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5a820b8b05b8fe1/Desktop/Plano Int/"/>
    </mc:Choice>
  </mc:AlternateContent>
  <xr:revisionPtr revIDLastSave="8" documentId="11_AEB8099511069EB7E84690202BEF890E6C448C4A" xr6:coauthVersionLast="47" xr6:coauthVersionMax="47" xr10:uidLastSave="{74D710C8-7EC7-4053-BB60-F6A4BB0CE8C0}"/>
  <bookViews>
    <workbookView xWindow="-108" yWindow="-108" windowWidth="23256" windowHeight="12456" firstSheet="1" activeTab="3" xr2:uid="{00000000-000D-0000-FFFF-FFFF00000000}"/>
  </bookViews>
  <sheets>
    <sheet name="MANZ. A" sheetId="1" r:id="rId1"/>
    <sheet name="MANZ. B" sheetId="2" r:id="rId2"/>
    <sheet name="MANZ.C" sheetId="3" r:id="rId3"/>
    <sheet name="MANZ.D" sheetId="4" r:id="rId4"/>
    <sheet name="MANZ.E" sheetId="5" r:id="rId5"/>
    <sheet name="MANZ.F" sheetId="6" r:id="rId6"/>
    <sheet name="MANZ.G" sheetId="7" r:id="rId7"/>
    <sheet name="MANZ.H" sheetId="8" r:id="rId8"/>
    <sheet name="MANZ.I" sheetId="9" r:id="rId9"/>
    <sheet name="MANZ.J" sheetId="10" r:id="rId10"/>
    <sheet name="MANZ.K" sheetId="11" r:id="rId11"/>
    <sheet name="MANZ.L" sheetId="12" r:id="rId12"/>
    <sheet name="SALA MULTIUSO" sheetId="13" r:id="rId13"/>
    <sheet name="RESUMEN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66" i="14" l="1"/>
  <c r="AG165" i="14"/>
  <c r="AG164" i="14"/>
  <c r="AG161" i="14"/>
  <c r="AG157" i="14"/>
  <c r="Y153" i="14"/>
  <c r="W153" i="14"/>
  <c r="U153" i="14"/>
  <c r="Q153" i="14"/>
  <c r="M153" i="14"/>
  <c r="K153" i="14"/>
  <c r="I153" i="14"/>
  <c r="G153" i="14"/>
  <c r="AG152" i="14"/>
  <c r="AG151" i="14"/>
  <c r="AG150" i="14"/>
  <c r="O148" i="14"/>
  <c r="S147" i="14"/>
  <c r="O144" i="14"/>
  <c r="S143" i="14"/>
  <c r="AG142" i="14"/>
  <c r="AG140" i="14"/>
  <c r="AG139" i="14"/>
  <c r="AG138" i="14"/>
  <c r="AG137" i="14"/>
  <c r="AG136" i="14"/>
  <c r="AG135" i="14"/>
  <c r="AG134" i="14"/>
  <c r="AG133" i="14"/>
  <c r="AG131" i="14"/>
  <c r="O130" i="14"/>
  <c r="AG126" i="14"/>
  <c r="AG125" i="14"/>
  <c r="AG124" i="14"/>
  <c r="AG123" i="14"/>
  <c r="AG122" i="14"/>
  <c r="AG121" i="14"/>
  <c r="AG118" i="14"/>
  <c r="AG117" i="14"/>
  <c r="AG113" i="14"/>
  <c r="AG112" i="14"/>
  <c r="AG111" i="14"/>
  <c r="AG110" i="14"/>
  <c r="AG109" i="14"/>
  <c r="AG108" i="14"/>
  <c r="O108" i="14"/>
  <c r="AG107" i="14"/>
  <c r="AG105" i="14"/>
  <c r="AG104" i="14"/>
  <c r="O102" i="14"/>
  <c r="AG101" i="14"/>
  <c r="W101" i="14"/>
  <c r="U101" i="14"/>
  <c r="Q101" i="14"/>
  <c r="M101" i="14"/>
  <c r="G101" i="14"/>
  <c r="AA99" i="14"/>
  <c r="C99" i="14"/>
  <c r="O97" i="14"/>
  <c r="W96" i="14"/>
  <c r="U96" i="14"/>
  <c r="Q96" i="14"/>
  <c r="M96" i="14"/>
  <c r="I96" i="14"/>
  <c r="G96" i="14"/>
  <c r="O94" i="14"/>
  <c r="O92" i="14"/>
  <c r="W91" i="14"/>
  <c r="U91" i="14"/>
  <c r="Q91" i="14"/>
  <c r="O91" i="14"/>
  <c r="M91" i="14"/>
  <c r="K91" i="14"/>
  <c r="I91" i="14"/>
  <c r="G91" i="14"/>
  <c r="AG92" i="14" s="1"/>
  <c r="O89" i="14"/>
  <c r="AG90" i="14" s="1"/>
  <c r="AG87" i="14"/>
  <c r="O87" i="14"/>
  <c r="O86" i="14"/>
  <c r="AG85" i="14"/>
  <c r="C82" i="14"/>
  <c r="AG82" i="14" s="1"/>
  <c r="Y81" i="14"/>
  <c r="W81" i="14"/>
  <c r="U81" i="14"/>
  <c r="Q81" i="14"/>
  <c r="O81" i="14"/>
  <c r="M81" i="14"/>
  <c r="G81" i="14"/>
  <c r="C81" i="14"/>
  <c r="AG79" i="14"/>
  <c r="O79" i="14"/>
  <c r="O76" i="14"/>
  <c r="AG74" i="14"/>
  <c r="W74" i="14"/>
  <c r="U74" i="14"/>
  <c r="S74" i="14"/>
  <c r="Q74" i="14"/>
  <c r="M74" i="14"/>
  <c r="K74" i="14"/>
  <c r="G74" i="14"/>
  <c r="W72" i="14"/>
  <c r="U72" i="14"/>
  <c r="Q72" i="14"/>
  <c r="M72" i="14"/>
  <c r="I72" i="14"/>
  <c r="G72" i="14"/>
  <c r="AG71" i="14"/>
  <c r="S71" i="14"/>
  <c r="O71" i="14"/>
  <c r="AA69" i="14"/>
  <c r="Y69" i="14"/>
  <c r="C69" i="14"/>
  <c r="AG67" i="14"/>
  <c r="AA67" i="14"/>
  <c r="Y67" i="14"/>
  <c r="W67" i="14"/>
  <c r="U67" i="14"/>
  <c r="S67" i="14"/>
  <c r="Q67" i="14"/>
  <c r="O67" i="14"/>
  <c r="M67" i="14"/>
  <c r="I67" i="14"/>
  <c r="C67" i="14"/>
  <c r="AG65" i="14"/>
  <c r="AA65" i="14"/>
  <c r="Y65" i="14"/>
  <c r="W65" i="14"/>
  <c r="U65" i="14"/>
  <c r="S65" i="14"/>
  <c r="Q65" i="14"/>
  <c r="G65" i="14"/>
  <c r="C65" i="14"/>
  <c r="AG63" i="14"/>
  <c r="AA63" i="14"/>
  <c r="Y63" i="14"/>
  <c r="W63" i="14"/>
  <c r="U63" i="14"/>
  <c r="S63" i="14"/>
  <c r="Q63" i="14"/>
  <c r="M63" i="14"/>
  <c r="K63" i="14"/>
  <c r="I63" i="14"/>
  <c r="G63" i="14"/>
  <c r="E63" i="14"/>
  <c r="C63" i="14"/>
  <c r="AA60" i="14"/>
  <c r="C60" i="14"/>
  <c r="AG59" i="14"/>
  <c r="AA59" i="14"/>
  <c r="Y59" i="14"/>
  <c r="W59" i="14"/>
  <c r="U59" i="14"/>
  <c r="S59" i="14"/>
  <c r="Q59" i="14"/>
  <c r="M59" i="14"/>
  <c r="K59" i="14"/>
  <c r="I59" i="14"/>
  <c r="G59" i="14"/>
  <c r="E59" i="14"/>
  <c r="C59" i="14"/>
  <c r="AG58" i="14"/>
  <c r="AA58" i="14"/>
  <c r="Y58" i="14"/>
  <c r="W58" i="14"/>
  <c r="U58" i="14"/>
  <c r="G58" i="14"/>
  <c r="C58" i="14"/>
  <c r="AA57" i="14"/>
  <c r="C57" i="14"/>
  <c r="AG55" i="14"/>
  <c r="AA53" i="14"/>
  <c r="C53" i="14"/>
  <c r="AG52" i="14"/>
  <c r="AA52" i="14"/>
  <c r="Y52" i="14"/>
  <c r="W52" i="14"/>
  <c r="U52" i="14"/>
  <c r="S52" i="14"/>
  <c r="Q52" i="14"/>
  <c r="C52" i="14"/>
  <c r="AA50" i="14"/>
  <c r="C50" i="14"/>
  <c r="AA49" i="14"/>
  <c r="C49" i="14"/>
  <c r="AA46" i="14"/>
  <c r="O46" i="14"/>
  <c r="C46" i="14"/>
  <c r="AG45" i="14"/>
  <c r="AA45" i="14"/>
  <c r="Y45" i="14"/>
  <c r="W45" i="14"/>
  <c r="U45" i="14"/>
  <c r="S45" i="14"/>
  <c r="Q45" i="14"/>
  <c r="M45" i="14"/>
  <c r="I45" i="14"/>
  <c r="G45" i="14"/>
  <c r="C45" i="14"/>
  <c r="AA44" i="14"/>
  <c r="U44" i="14"/>
  <c r="O44" i="14"/>
  <c r="C44" i="14"/>
  <c r="AA43" i="14"/>
  <c r="C43" i="14"/>
  <c r="AA42" i="14"/>
  <c r="Y42" i="14"/>
  <c r="W42" i="14"/>
  <c r="U42" i="14"/>
  <c r="S42" i="14"/>
  <c r="Q42" i="14"/>
  <c r="M42" i="14"/>
  <c r="I42" i="14"/>
  <c r="G42" i="14"/>
  <c r="E42" i="14"/>
  <c r="C42" i="14"/>
  <c r="AA41" i="14"/>
  <c r="O41" i="14"/>
  <c r="K41" i="14"/>
  <c r="C41" i="14"/>
  <c r="AA39" i="14"/>
  <c r="O39" i="14"/>
  <c r="E39" i="14"/>
  <c r="C39" i="14"/>
  <c r="AG38" i="14"/>
  <c r="AA38" i="14"/>
  <c r="Y38" i="14"/>
  <c r="W38" i="14"/>
  <c r="U38" i="14"/>
  <c r="S38" i="14"/>
  <c r="Q38" i="14"/>
  <c r="M38" i="14"/>
  <c r="K38" i="14"/>
  <c r="I38" i="14"/>
  <c r="G38" i="14"/>
  <c r="E38" i="14"/>
  <c r="C38" i="14"/>
  <c r="AA36" i="14"/>
  <c r="C36" i="14"/>
  <c r="AG34" i="14"/>
  <c r="AA33" i="14"/>
  <c r="C33" i="14"/>
  <c r="AA31" i="14"/>
  <c r="C31" i="14"/>
  <c r="AG29" i="14"/>
  <c r="AA29" i="14"/>
  <c r="Y29" i="14"/>
  <c r="W29" i="14"/>
  <c r="U29" i="14"/>
  <c r="S29" i="14"/>
  <c r="Q29" i="14"/>
  <c r="O29" i="14"/>
  <c r="M29" i="14"/>
  <c r="K29" i="14"/>
  <c r="I29" i="14"/>
  <c r="G29" i="14"/>
  <c r="E29" i="14"/>
  <c r="C29" i="14"/>
  <c r="AG28" i="14"/>
  <c r="AA28" i="14"/>
  <c r="Y28" i="14"/>
  <c r="W28" i="14"/>
  <c r="U28" i="14"/>
  <c r="S28" i="14"/>
  <c r="Q28" i="14"/>
  <c r="O28" i="14"/>
  <c r="M28" i="14"/>
  <c r="K28" i="14"/>
  <c r="I28" i="14"/>
  <c r="G28" i="14"/>
  <c r="E28" i="14"/>
  <c r="C28" i="14"/>
  <c r="AG26" i="14"/>
  <c r="AA26" i="14"/>
  <c r="Y26" i="14"/>
  <c r="W26" i="14"/>
  <c r="U26" i="14"/>
  <c r="S26" i="14"/>
  <c r="Q26" i="14"/>
  <c r="O26" i="14"/>
  <c r="M26" i="14"/>
  <c r="K26" i="14"/>
  <c r="I26" i="14"/>
  <c r="G26" i="14"/>
  <c r="C26" i="14"/>
  <c r="AG25" i="14"/>
  <c r="AA25" i="14"/>
  <c r="Y25" i="14"/>
  <c r="W25" i="14"/>
  <c r="U25" i="14"/>
  <c r="S25" i="14"/>
  <c r="Q25" i="14"/>
  <c r="O25" i="14"/>
  <c r="M25" i="14"/>
  <c r="K25" i="14"/>
  <c r="I25" i="14"/>
  <c r="G25" i="14"/>
  <c r="C25" i="14"/>
  <c r="AG24" i="14"/>
  <c r="AA24" i="14"/>
  <c r="Y24" i="14"/>
  <c r="W24" i="14"/>
  <c r="U24" i="14"/>
  <c r="S24" i="14"/>
  <c r="Q24" i="14"/>
  <c r="O24" i="14"/>
  <c r="M24" i="14"/>
  <c r="K24" i="14"/>
  <c r="I24" i="14"/>
  <c r="G24" i="14"/>
  <c r="C24" i="14"/>
  <c r="AG23" i="14"/>
  <c r="AA23" i="14"/>
  <c r="Y23" i="14"/>
  <c r="W23" i="14"/>
  <c r="U23" i="14"/>
  <c r="S23" i="14"/>
  <c r="Q23" i="14"/>
  <c r="O23" i="14"/>
  <c r="M23" i="14"/>
  <c r="K23" i="14"/>
  <c r="I23" i="14"/>
  <c r="G23" i="14"/>
  <c r="C23" i="14"/>
  <c r="AG22" i="14"/>
  <c r="AA22" i="14"/>
  <c r="Y22" i="14"/>
  <c r="W22" i="14"/>
  <c r="U22" i="14"/>
  <c r="S22" i="14"/>
  <c r="Q22" i="14"/>
  <c r="O22" i="14"/>
  <c r="M22" i="14"/>
  <c r="K22" i="14"/>
  <c r="I22" i="14"/>
  <c r="G22" i="14"/>
  <c r="C22" i="14"/>
  <c r="AG21" i="14"/>
  <c r="AA21" i="14"/>
  <c r="Y21" i="14"/>
  <c r="W21" i="14"/>
  <c r="U21" i="14"/>
  <c r="S21" i="14"/>
  <c r="Q21" i="14"/>
  <c r="O21" i="14"/>
  <c r="M21" i="14"/>
  <c r="K21" i="14"/>
  <c r="I21" i="14"/>
  <c r="G21" i="14"/>
  <c r="C21" i="14"/>
  <c r="AA20" i="14"/>
  <c r="Y20" i="14"/>
  <c r="W20" i="14"/>
  <c r="U20" i="14"/>
  <c r="S20" i="14"/>
  <c r="Q20" i="14"/>
  <c r="O20" i="14"/>
  <c r="M20" i="14"/>
  <c r="K20" i="14"/>
  <c r="I20" i="14"/>
  <c r="G20" i="14"/>
  <c r="C20" i="14"/>
  <c r="Y165" i="12"/>
  <c r="Z165" i="12" s="1"/>
  <c r="Y164" i="12"/>
  <c r="Z164" i="12" s="1"/>
  <c r="Y163" i="12"/>
  <c r="Z163" i="12" s="1"/>
  <c r="Y161" i="12"/>
  <c r="Z161" i="12" s="1"/>
  <c r="Y160" i="12"/>
  <c r="Z160" i="12" s="1"/>
  <c r="Y159" i="12"/>
  <c r="Z159" i="12" s="1"/>
  <c r="Y158" i="12"/>
  <c r="Z158" i="12" s="1"/>
  <c r="Y156" i="12"/>
  <c r="Z156" i="12" s="1"/>
  <c r="Y155" i="12"/>
  <c r="Z155" i="12" s="1"/>
  <c r="Y154" i="12"/>
  <c r="Z154" i="12" s="1"/>
  <c r="Y153" i="12"/>
  <c r="Z153" i="12" s="1"/>
  <c r="Y152" i="12"/>
  <c r="Z152" i="12" s="1"/>
  <c r="Y151" i="12"/>
  <c r="Y150" i="12"/>
  <c r="Y149" i="12"/>
  <c r="Z149" i="12" s="1"/>
  <c r="Y146" i="14" s="1"/>
  <c r="Y147" i="12"/>
  <c r="Z147" i="12" s="1"/>
  <c r="Y144" i="14" s="1"/>
  <c r="Y146" i="12"/>
  <c r="Z146" i="12" s="1"/>
  <c r="Y143" i="14" s="1"/>
  <c r="Y145" i="12"/>
  <c r="Z145" i="12" s="1"/>
  <c r="Y143" i="12"/>
  <c r="Z143" i="12" s="1"/>
  <c r="Y142" i="12"/>
  <c r="Z142" i="12" s="1"/>
  <c r="Y141" i="12"/>
  <c r="Z141" i="12" s="1"/>
  <c r="Y139" i="12"/>
  <c r="Z139" i="12" s="1"/>
  <c r="Y138" i="12"/>
  <c r="Z138" i="12" s="1"/>
  <c r="Y137" i="12"/>
  <c r="Z137" i="12" s="1"/>
  <c r="Y136" i="12"/>
  <c r="Z136" i="12" s="1"/>
  <c r="Y135" i="12"/>
  <c r="Z135" i="12" s="1"/>
  <c r="Y134" i="12"/>
  <c r="Z134" i="12" s="1"/>
  <c r="Y133" i="12"/>
  <c r="Z133" i="12" s="1"/>
  <c r="Y132" i="12"/>
  <c r="Z132" i="12" s="1"/>
  <c r="Y131" i="12"/>
  <c r="Z131" i="12" s="1"/>
  <c r="Y130" i="12"/>
  <c r="Z130" i="12" s="1"/>
  <c r="Y129" i="12"/>
  <c r="Z129" i="12" s="1"/>
  <c r="Y128" i="12"/>
  <c r="Z128" i="12" s="1"/>
  <c r="Y125" i="12"/>
  <c r="Z125" i="12" s="1"/>
  <c r="Y124" i="12"/>
  <c r="Z124" i="12" s="1"/>
  <c r="Y123" i="12"/>
  <c r="Z123" i="12" s="1"/>
  <c r="Y122" i="12"/>
  <c r="Z122" i="12" s="1"/>
  <c r="Y121" i="12"/>
  <c r="Z121" i="12" s="1"/>
  <c r="Y120" i="12"/>
  <c r="Z120" i="12" s="1"/>
  <c r="Y119" i="12"/>
  <c r="Z119" i="12" s="1"/>
  <c r="Y116" i="14" s="1"/>
  <c r="Y118" i="12"/>
  <c r="Z118" i="12" s="1"/>
  <c r="Y117" i="12"/>
  <c r="Z117" i="12" s="1"/>
  <c r="Y116" i="12"/>
  <c r="Z116" i="12" s="1"/>
  <c r="Y115" i="12"/>
  <c r="Z115" i="12" s="1"/>
  <c r="Y114" i="12"/>
  <c r="Z114" i="12" s="1"/>
  <c r="Y112" i="12"/>
  <c r="Z112" i="12" s="1"/>
  <c r="Y111" i="12"/>
  <c r="Z111" i="12" s="1"/>
  <c r="Y110" i="12"/>
  <c r="Z110" i="12" s="1"/>
  <c r="Y108" i="12"/>
  <c r="Z108" i="12" s="1"/>
  <c r="Y107" i="12"/>
  <c r="Z107" i="12" s="1"/>
  <c r="Y104" i="12"/>
  <c r="Z104" i="12" s="1"/>
  <c r="Y103" i="12"/>
  <c r="Z103" i="12" s="1"/>
  <c r="Y101" i="12"/>
  <c r="Z101" i="12" s="1"/>
  <c r="Y100" i="12"/>
  <c r="Z100" i="12" s="1"/>
  <c r="Y99" i="14" s="1"/>
  <c r="Y98" i="12"/>
  <c r="Z98" i="12" s="1"/>
  <c r="Y96" i="12"/>
  <c r="Z96" i="12" s="1"/>
  <c r="Y95" i="12"/>
  <c r="Z95" i="12" s="1"/>
  <c r="Y94" i="12"/>
  <c r="Z94" i="12" s="1"/>
  <c r="Y93" i="12"/>
  <c r="Z93" i="12" s="1"/>
  <c r="Y91" i="12"/>
  <c r="Z91" i="12" s="1"/>
  <c r="Y90" i="12"/>
  <c r="Z90" i="12" s="1"/>
  <c r="Y88" i="12"/>
  <c r="Z88" i="12" s="1"/>
  <c r="Y87" i="12"/>
  <c r="Z87" i="12" s="1"/>
  <c r="Y85" i="12"/>
  <c r="Z85" i="12" s="1"/>
  <c r="Y82" i="12"/>
  <c r="Z82" i="12" s="1"/>
  <c r="Y81" i="12"/>
  <c r="Z81" i="12" s="1"/>
  <c r="Y82" i="14" s="1"/>
  <c r="Y80" i="12"/>
  <c r="Z80" i="12" s="1"/>
  <c r="Y79" i="12"/>
  <c r="Z79" i="12" s="1"/>
  <c r="Y78" i="12"/>
  <c r="Z78" i="12" s="1"/>
  <c r="Y76" i="14" s="1"/>
  <c r="Y76" i="12"/>
  <c r="Z76" i="12" s="1"/>
  <c r="Y74" i="12"/>
  <c r="Z74" i="12" s="1"/>
  <c r="Y72" i="12"/>
  <c r="Z72" i="12" s="1"/>
  <c r="Y71" i="14" s="1"/>
  <c r="Y71" i="12"/>
  <c r="Z71" i="12" s="1"/>
  <c r="Y69" i="12"/>
  <c r="Z69" i="12" s="1"/>
  <c r="Y67" i="12"/>
  <c r="Z67" i="12" s="1"/>
  <c r="Y65" i="12"/>
  <c r="Z65" i="12" s="1"/>
  <c r="Y63" i="12"/>
  <c r="Z63" i="12" s="1"/>
  <c r="Y60" i="12"/>
  <c r="Z60" i="12" s="1"/>
  <c r="Y59" i="12"/>
  <c r="Z59" i="12" s="1"/>
  <c r="Y58" i="12"/>
  <c r="Z58" i="12" s="1"/>
  <c r="Y57" i="12"/>
  <c r="Z57" i="12" s="1"/>
  <c r="Y60" i="14" s="1"/>
  <c r="Y55" i="12"/>
  <c r="Z55" i="12" s="1"/>
  <c r="Y53" i="12"/>
  <c r="Z53" i="12" s="1"/>
  <c r="Y57" i="14" s="1"/>
  <c r="Y52" i="12"/>
  <c r="Z52" i="12" s="1"/>
  <c r="Y50" i="12"/>
  <c r="Z50" i="12" s="1"/>
  <c r="Y49" i="12"/>
  <c r="Z49" i="12" s="1"/>
  <c r="Y53" i="14" s="1"/>
  <c r="Y46" i="12"/>
  <c r="Z46" i="12" s="1"/>
  <c r="Y50" i="14" s="1"/>
  <c r="Y45" i="12"/>
  <c r="Z45" i="12" s="1"/>
  <c r="Y44" i="12"/>
  <c r="Z44" i="12" s="1"/>
  <c r="Y43" i="12"/>
  <c r="Z43" i="12" s="1"/>
  <c r="Y42" i="12"/>
  <c r="Z42" i="12" s="1"/>
  <c r="Y41" i="12"/>
  <c r="Z41" i="12" s="1"/>
  <c r="Y46" i="14" s="1"/>
  <c r="Y39" i="12"/>
  <c r="Z39" i="12" s="1"/>
  <c r="Y44" i="14" s="1"/>
  <c r="Y38" i="12"/>
  <c r="Z38" i="12" s="1"/>
  <c r="Y43" i="14" s="1"/>
  <c r="Y36" i="12"/>
  <c r="Z36" i="12" s="1"/>
  <c r="Y41" i="14" s="1"/>
  <c r="Y34" i="12"/>
  <c r="Z34" i="12" s="1"/>
  <c r="Y39" i="14" s="1"/>
  <c r="Y33" i="12"/>
  <c r="Z33" i="12" s="1"/>
  <c r="Y31" i="12"/>
  <c r="Z31" i="12" s="1"/>
  <c r="Y29" i="12"/>
  <c r="Z29" i="12" s="1"/>
  <c r="Y36" i="14" s="1"/>
  <c r="Y28" i="12"/>
  <c r="Z28" i="12" s="1"/>
  <c r="Y26" i="12"/>
  <c r="Z26" i="12" s="1"/>
  <c r="Y25" i="12"/>
  <c r="Z25" i="12" s="1"/>
  <c r="Y33" i="14" s="1"/>
  <c r="Y24" i="12"/>
  <c r="Z24" i="12" s="1"/>
  <c r="Y23" i="12"/>
  <c r="Z23" i="12" s="1"/>
  <c r="Y22" i="12"/>
  <c r="Z22" i="12" s="1"/>
  <c r="Y31" i="14" s="1"/>
  <c r="Y21" i="12"/>
  <c r="Z21" i="12" s="1"/>
  <c r="Y20" i="12"/>
  <c r="Z20" i="12" s="1"/>
  <c r="AA165" i="11"/>
  <c r="AB165" i="11" s="1"/>
  <c r="AA164" i="11"/>
  <c r="AB164" i="11" s="1"/>
  <c r="AA163" i="11"/>
  <c r="AB163" i="11" s="1"/>
  <c r="AA161" i="11"/>
  <c r="AB161" i="11" s="1"/>
  <c r="AA160" i="11"/>
  <c r="AB160" i="11" s="1"/>
  <c r="AB159" i="11"/>
  <c r="AA159" i="11"/>
  <c r="AA158" i="11"/>
  <c r="AB158" i="11" s="1"/>
  <c r="AA156" i="11"/>
  <c r="AB156" i="11" s="1"/>
  <c r="AA155" i="11"/>
  <c r="AB155" i="11" s="1"/>
  <c r="AA154" i="11"/>
  <c r="AB154" i="11" s="1"/>
  <c r="AA153" i="11"/>
  <c r="AB153" i="11" s="1"/>
  <c r="AA152" i="11"/>
  <c r="AB152" i="11" s="1"/>
  <c r="AA151" i="11"/>
  <c r="W148" i="14" s="1"/>
  <c r="AA150" i="11"/>
  <c r="AA149" i="11"/>
  <c r="AA147" i="11"/>
  <c r="AB147" i="11" s="1"/>
  <c r="AA146" i="11"/>
  <c r="AB146" i="11" s="1"/>
  <c r="AA145" i="11"/>
  <c r="AB145" i="11" s="1"/>
  <c r="AA143" i="11"/>
  <c r="AB143" i="11" s="1"/>
  <c r="AA142" i="11"/>
  <c r="AB142" i="11" s="1"/>
  <c r="AA141" i="11"/>
  <c r="AB141" i="11" s="1"/>
  <c r="AA139" i="11"/>
  <c r="AB139" i="11" s="1"/>
  <c r="AA138" i="11"/>
  <c r="AB138" i="11" s="1"/>
  <c r="AA137" i="11"/>
  <c r="AB137" i="11" s="1"/>
  <c r="AA136" i="11"/>
  <c r="AB136" i="11" s="1"/>
  <c r="AA135" i="11"/>
  <c r="AB135" i="11" s="1"/>
  <c r="AA134" i="11"/>
  <c r="AB134" i="11" s="1"/>
  <c r="AA133" i="11"/>
  <c r="AB133" i="11" s="1"/>
  <c r="AA132" i="11"/>
  <c r="AB132" i="11" s="1"/>
  <c r="AA131" i="11"/>
  <c r="AB131" i="11" s="1"/>
  <c r="AA130" i="11"/>
  <c r="AB130" i="11" s="1"/>
  <c r="AA129" i="11"/>
  <c r="AB129" i="11" s="1"/>
  <c r="AA128" i="11"/>
  <c r="AB128" i="11" s="1"/>
  <c r="AA125" i="11"/>
  <c r="AB125" i="11" s="1"/>
  <c r="AA124" i="11"/>
  <c r="AB124" i="11" s="1"/>
  <c r="AA123" i="11"/>
  <c r="AB123" i="11" s="1"/>
  <c r="W120" i="14" s="1"/>
  <c r="AA122" i="11"/>
  <c r="AB122" i="11" s="1"/>
  <c r="AA121" i="11"/>
  <c r="AB121" i="11" s="1"/>
  <c r="AA120" i="11"/>
  <c r="AB120" i="11" s="1"/>
  <c r="AA119" i="11"/>
  <c r="AA118" i="11"/>
  <c r="AB118" i="11" s="1"/>
  <c r="W115" i="14" s="1"/>
  <c r="AA117" i="11"/>
  <c r="AB117" i="11" s="1"/>
  <c r="AA116" i="11"/>
  <c r="AB116" i="11" s="1"/>
  <c r="AA115" i="11"/>
  <c r="AB115" i="11" s="1"/>
  <c r="AA114" i="11"/>
  <c r="AB114" i="11" s="1"/>
  <c r="AA112" i="11"/>
  <c r="AB112" i="11" s="1"/>
  <c r="AA111" i="11"/>
  <c r="AB111" i="11" s="1"/>
  <c r="AA110" i="11"/>
  <c r="AB110" i="11" s="1"/>
  <c r="AA108" i="11"/>
  <c r="AB108" i="11" s="1"/>
  <c r="AA107" i="11"/>
  <c r="AB107" i="11" s="1"/>
  <c r="AA104" i="11"/>
  <c r="AB104" i="11" s="1"/>
  <c r="AA103" i="11"/>
  <c r="AB103" i="11" s="1"/>
  <c r="W102" i="14" s="1"/>
  <c r="AA101" i="11"/>
  <c r="AB101" i="11" s="1"/>
  <c r="AA100" i="11"/>
  <c r="AB100" i="11" s="1"/>
  <c r="W99" i="14" s="1"/>
  <c r="AA98" i="11"/>
  <c r="AB98" i="11" s="1"/>
  <c r="W97" i="14" s="1"/>
  <c r="AA96" i="11"/>
  <c r="AB96" i="11" s="1"/>
  <c r="W95" i="14" s="1"/>
  <c r="AA95" i="11"/>
  <c r="AB95" i="11" s="1"/>
  <c r="W94" i="14" s="1"/>
  <c r="AA94" i="11"/>
  <c r="AB94" i="11" s="1"/>
  <c r="AA93" i="11"/>
  <c r="AB93" i="11" s="1"/>
  <c r="W92" i="14" s="1"/>
  <c r="AA91" i="11"/>
  <c r="AB91" i="11" s="1"/>
  <c r="AA90" i="11"/>
  <c r="AB90" i="11" s="1"/>
  <c r="AA88" i="11"/>
  <c r="AB88" i="11" s="1"/>
  <c r="W87" i="14" s="1"/>
  <c r="AA87" i="11"/>
  <c r="AB87" i="11" s="1"/>
  <c r="W85" i="14" s="1"/>
  <c r="AA85" i="11"/>
  <c r="AB85" i="11" s="1"/>
  <c r="AA82" i="11"/>
  <c r="AB82" i="11" s="1"/>
  <c r="AA81" i="11"/>
  <c r="AB81" i="11" s="1"/>
  <c r="W82" i="14" s="1"/>
  <c r="AA80" i="11"/>
  <c r="AB80" i="11" s="1"/>
  <c r="AA79" i="11"/>
  <c r="AB79" i="11" s="1"/>
  <c r="AA78" i="11"/>
  <c r="AB78" i="11" s="1"/>
  <c r="W76" i="14" s="1"/>
  <c r="AA77" i="11"/>
  <c r="AB77" i="11" s="1"/>
  <c r="AA76" i="11"/>
  <c r="AB76" i="11" s="1"/>
  <c r="AA74" i="11"/>
  <c r="AB74" i="11" s="1"/>
  <c r="AA72" i="11"/>
  <c r="AB72" i="11" s="1"/>
  <c r="W71" i="14" s="1"/>
  <c r="AA71" i="11"/>
  <c r="AB71" i="11" s="1"/>
  <c r="AA69" i="11"/>
  <c r="AB69" i="11" s="1"/>
  <c r="W69" i="14" s="1"/>
  <c r="AA67" i="11"/>
  <c r="AB67" i="11" s="1"/>
  <c r="AA65" i="11"/>
  <c r="AB65" i="11" s="1"/>
  <c r="AA63" i="11"/>
  <c r="AB63" i="11" s="1"/>
  <c r="AA60" i="11"/>
  <c r="AB60" i="11" s="1"/>
  <c r="AA59" i="11"/>
  <c r="AB59" i="11" s="1"/>
  <c r="AA58" i="11"/>
  <c r="AB58" i="11" s="1"/>
  <c r="AA57" i="11"/>
  <c r="AB57" i="11" s="1"/>
  <c r="W60" i="14" s="1"/>
  <c r="AA55" i="11"/>
  <c r="AB55" i="11" s="1"/>
  <c r="AA53" i="11"/>
  <c r="AB53" i="11" s="1"/>
  <c r="W57" i="14" s="1"/>
  <c r="AA52" i="11"/>
  <c r="AB52" i="11" s="1"/>
  <c r="AA50" i="11"/>
  <c r="AB50" i="11" s="1"/>
  <c r="AA49" i="11"/>
  <c r="AB49" i="11" s="1"/>
  <c r="W53" i="14" s="1"/>
  <c r="AA46" i="11"/>
  <c r="AB46" i="11" s="1"/>
  <c r="W50" i="14" s="1"/>
  <c r="AA45" i="11"/>
  <c r="AB45" i="11" s="1"/>
  <c r="AA44" i="11"/>
  <c r="AB44" i="11" s="1"/>
  <c r="AA43" i="11"/>
  <c r="AB43" i="11" s="1"/>
  <c r="AA42" i="11"/>
  <c r="AB42" i="11" s="1"/>
  <c r="AA41" i="11"/>
  <c r="AB41" i="11" s="1"/>
  <c r="W46" i="14" s="1"/>
  <c r="AA39" i="11"/>
  <c r="AB39" i="11" s="1"/>
  <c r="W44" i="14" s="1"/>
  <c r="AA38" i="11"/>
  <c r="AB38" i="11" s="1"/>
  <c r="W43" i="14" s="1"/>
  <c r="AA36" i="11"/>
  <c r="AB36" i="11" s="1"/>
  <c r="W41" i="14" s="1"/>
  <c r="AA34" i="11"/>
  <c r="AB34" i="11" s="1"/>
  <c r="W39" i="14" s="1"/>
  <c r="AA33" i="11"/>
  <c r="AB33" i="11" s="1"/>
  <c r="AA31" i="11"/>
  <c r="AB31" i="11" s="1"/>
  <c r="AA29" i="11"/>
  <c r="AB29" i="11" s="1"/>
  <c r="W36" i="14" s="1"/>
  <c r="AA28" i="11"/>
  <c r="AB28" i="11" s="1"/>
  <c r="AA26" i="11"/>
  <c r="AB26" i="11" s="1"/>
  <c r="AA25" i="11"/>
  <c r="AB25" i="11" s="1"/>
  <c r="W33" i="14" s="1"/>
  <c r="AA24" i="11"/>
  <c r="AB24" i="11" s="1"/>
  <c r="AA23" i="11"/>
  <c r="AB23" i="11" s="1"/>
  <c r="AA22" i="11"/>
  <c r="AB22" i="11" s="1"/>
  <c r="W31" i="14" s="1"/>
  <c r="AA21" i="11"/>
  <c r="AB21" i="11" s="1"/>
  <c r="AA20" i="11"/>
  <c r="AB20" i="11" s="1"/>
  <c r="AS168" i="10"/>
  <c r="AT168" i="10" s="1"/>
  <c r="AS167" i="10"/>
  <c r="AT167" i="10" s="1"/>
  <c r="AS166" i="10"/>
  <c r="AT166" i="10" s="1"/>
  <c r="AS164" i="10"/>
  <c r="AT164" i="10" s="1"/>
  <c r="AS163" i="10"/>
  <c r="AT163" i="10" s="1"/>
  <c r="AS162" i="10"/>
  <c r="AT162" i="10" s="1"/>
  <c r="AS161" i="10"/>
  <c r="AT161" i="10" s="1"/>
  <c r="AS159" i="10"/>
  <c r="AT159" i="10" s="1"/>
  <c r="AS158" i="10"/>
  <c r="AT158" i="10" s="1"/>
  <c r="AS157" i="10"/>
  <c r="AT157" i="10" s="1"/>
  <c r="AS156" i="10"/>
  <c r="AT156" i="10" s="1"/>
  <c r="AS155" i="10"/>
  <c r="AT155" i="10" s="1"/>
  <c r="AS154" i="10"/>
  <c r="AT154" i="10" s="1"/>
  <c r="AS153" i="10"/>
  <c r="AT153" i="10" s="1"/>
  <c r="U147" i="14" s="1"/>
  <c r="AS152" i="10"/>
  <c r="AT152" i="10" s="1"/>
  <c r="U146" i="14" s="1"/>
  <c r="AS150" i="10"/>
  <c r="AT150" i="10" s="1"/>
  <c r="U144" i="14" s="1"/>
  <c r="AS149" i="10"/>
  <c r="AT149" i="10" s="1"/>
  <c r="U143" i="14" s="1"/>
  <c r="AS148" i="10"/>
  <c r="AT148" i="10" s="1"/>
  <c r="AS146" i="10"/>
  <c r="AT146" i="10" s="1"/>
  <c r="AS145" i="10"/>
  <c r="AT145" i="10" s="1"/>
  <c r="AS144" i="10"/>
  <c r="AT144" i="10" s="1"/>
  <c r="AS142" i="10"/>
  <c r="AT142" i="10" s="1"/>
  <c r="AS141" i="10"/>
  <c r="AT141" i="10" s="1"/>
  <c r="AS140" i="10"/>
  <c r="AT140" i="10" s="1"/>
  <c r="AS139" i="10"/>
  <c r="AT139" i="10" s="1"/>
  <c r="AS138" i="10"/>
  <c r="AT138" i="10" s="1"/>
  <c r="AS137" i="10"/>
  <c r="AT137" i="10" s="1"/>
  <c r="AS136" i="10"/>
  <c r="AT136" i="10" s="1"/>
  <c r="AS135" i="10"/>
  <c r="AT135" i="10" s="1"/>
  <c r="AS134" i="10"/>
  <c r="AT134" i="10" s="1"/>
  <c r="AS133" i="10"/>
  <c r="AT133" i="10" s="1"/>
  <c r="AS132" i="10"/>
  <c r="AT132" i="10" s="1"/>
  <c r="AS131" i="10"/>
  <c r="AT131" i="10" s="1"/>
  <c r="AS128" i="10"/>
  <c r="AT128" i="10" s="1"/>
  <c r="AS127" i="10"/>
  <c r="AT127" i="10" s="1"/>
  <c r="AS126" i="10"/>
  <c r="AT126" i="10" s="1"/>
  <c r="U120" i="14" s="1"/>
  <c r="AS125" i="10"/>
  <c r="AT125" i="10" s="1"/>
  <c r="U119" i="14" s="1"/>
  <c r="AS124" i="10"/>
  <c r="AT124" i="10" s="1"/>
  <c r="AS123" i="10"/>
  <c r="AT123" i="10" s="1"/>
  <c r="AS122" i="10"/>
  <c r="AT122" i="10" s="1"/>
  <c r="U116" i="14" s="1"/>
  <c r="AS121" i="10"/>
  <c r="AT121" i="10" s="1"/>
  <c r="U115" i="14" s="1"/>
  <c r="AS120" i="10"/>
  <c r="AT120" i="10" s="1"/>
  <c r="AS119" i="10"/>
  <c r="AT119" i="10" s="1"/>
  <c r="AS118" i="10"/>
  <c r="AT118" i="10" s="1"/>
  <c r="AS117" i="10"/>
  <c r="AT117" i="10" s="1"/>
  <c r="AS115" i="10"/>
  <c r="AT115" i="10" s="1"/>
  <c r="AS114" i="10"/>
  <c r="AT114" i="10" s="1"/>
  <c r="AS113" i="10"/>
  <c r="AT113" i="10" s="1"/>
  <c r="AS111" i="10"/>
  <c r="AT111" i="10" s="1"/>
  <c r="AS110" i="10"/>
  <c r="AT110" i="10" s="1"/>
  <c r="AS107" i="10"/>
  <c r="AT107" i="10" s="1"/>
  <c r="AS106" i="10"/>
  <c r="AT106" i="10" s="1"/>
  <c r="U102" i="14" s="1"/>
  <c r="AS104" i="10"/>
  <c r="AT104" i="10" s="1"/>
  <c r="AS103" i="10"/>
  <c r="AS101" i="10"/>
  <c r="AT101" i="10" s="1"/>
  <c r="U97" i="14" s="1"/>
  <c r="AS99" i="10"/>
  <c r="AT99" i="10" s="1"/>
  <c r="U95" i="14" s="1"/>
  <c r="AS98" i="10"/>
  <c r="AT98" i="10" s="1"/>
  <c r="U94" i="14" s="1"/>
  <c r="AS97" i="10"/>
  <c r="AT97" i="10" s="1"/>
  <c r="AS96" i="10"/>
  <c r="AT96" i="10" s="1"/>
  <c r="U92" i="14" s="1"/>
  <c r="AS94" i="10"/>
  <c r="AT94" i="10" s="1"/>
  <c r="AS93" i="10"/>
  <c r="AT93" i="10" s="1"/>
  <c r="AS91" i="10"/>
  <c r="AT91" i="10" s="1"/>
  <c r="U87" i="14" s="1"/>
  <c r="AS90" i="10"/>
  <c r="AT90" i="10" s="1"/>
  <c r="U85" i="14" s="1"/>
  <c r="AS88" i="10"/>
  <c r="AT88" i="10" s="1"/>
  <c r="AS85" i="10"/>
  <c r="AT85" i="10" s="1"/>
  <c r="AS84" i="10"/>
  <c r="AT84" i="10" s="1"/>
  <c r="U82" i="14" s="1"/>
  <c r="AS83" i="10"/>
  <c r="AT83" i="10" s="1"/>
  <c r="AS82" i="10"/>
  <c r="AT82" i="10" s="1"/>
  <c r="AS81" i="10"/>
  <c r="AS80" i="10"/>
  <c r="AT80" i="10" s="1"/>
  <c r="AS79" i="10"/>
  <c r="AT79" i="10" s="1"/>
  <c r="AS77" i="10"/>
  <c r="AT77" i="10" s="1"/>
  <c r="AS75" i="10"/>
  <c r="AT75" i="10" s="1"/>
  <c r="U71" i="14" s="1"/>
  <c r="AS74" i="10"/>
  <c r="AT74" i="10" s="1"/>
  <c r="AS72" i="10"/>
  <c r="AT72" i="10" s="1"/>
  <c r="U69" i="14" s="1"/>
  <c r="AS70" i="10"/>
  <c r="AT70" i="10" s="1"/>
  <c r="AS68" i="10"/>
  <c r="AT68" i="10" s="1"/>
  <c r="AS66" i="10"/>
  <c r="AT66" i="10" s="1"/>
  <c r="AS63" i="10"/>
  <c r="AT63" i="10" s="1"/>
  <c r="AS62" i="10"/>
  <c r="AT62" i="10" s="1"/>
  <c r="AS61" i="10"/>
  <c r="AT61" i="10" s="1"/>
  <c r="AS60" i="10"/>
  <c r="AT60" i="10" s="1"/>
  <c r="U60" i="14" s="1"/>
  <c r="AS58" i="10"/>
  <c r="AT58" i="10" s="1"/>
  <c r="AS56" i="10"/>
  <c r="AT56" i="10" s="1"/>
  <c r="U57" i="14" s="1"/>
  <c r="AS55" i="10"/>
  <c r="AT55" i="10" s="1"/>
  <c r="AS53" i="10"/>
  <c r="AT53" i="10" s="1"/>
  <c r="AS52" i="10"/>
  <c r="AT52" i="10" s="1"/>
  <c r="U53" i="14" s="1"/>
  <c r="AS49" i="10"/>
  <c r="AT49" i="10" s="1"/>
  <c r="U50" i="14" s="1"/>
  <c r="AS48" i="10"/>
  <c r="AS47" i="10"/>
  <c r="AT47" i="10" s="1"/>
  <c r="AS46" i="10"/>
  <c r="AT46" i="10" s="1"/>
  <c r="AS45" i="10"/>
  <c r="AT45" i="10" s="1"/>
  <c r="AS44" i="10"/>
  <c r="AT44" i="10" s="1"/>
  <c r="U46" i="14" s="1"/>
  <c r="AS42" i="10"/>
  <c r="AT42" i="10" s="1"/>
  <c r="AS41" i="10"/>
  <c r="AT41" i="10" s="1"/>
  <c r="U43" i="14" s="1"/>
  <c r="AS39" i="10"/>
  <c r="AT39" i="10" s="1"/>
  <c r="U41" i="14" s="1"/>
  <c r="AS37" i="10"/>
  <c r="AS36" i="10"/>
  <c r="AT36" i="10" s="1"/>
  <c r="AS34" i="10"/>
  <c r="AT34" i="10" s="1"/>
  <c r="AS32" i="10"/>
  <c r="AS31" i="10"/>
  <c r="AT31" i="10" s="1"/>
  <c r="AS29" i="10"/>
  <c r="AT29" i="10" s="1"/>
  <c r="AS28" i="10"/>
  <c r="AT28" i="10" s="1"/>
  <c r="U33" i="14" s="1"/>
  <c r="AS27" i="10"/>
  <c r="AT27" i="10" s="1"/>
  <c r="AS26" i="10"/>
  <c r="AT26" i="10" s="1"/>
  <c r="AS25" i="10"/>
  <c r="AT25" i="10" s="1"/>
  <c r="U31" i="14" s="1"/>
  <c r="AS24" i="10"/>
  <c r="AT24" i="10" s="1"/>
  <c r="AS23" i="10"/>
  <c r="AT23" i="10" s="1"/>
  <c r="AA165" i="9"/>
  <c r="AB165" i="9" s="1"/>
  <c r="AA164" i="9"/>
  <c r="AB164" i="9" s="1"/>
  <c r="AA163" i="9"/>
  <c r="AB163" i="9" s="1"/>
  <c r="AA161" i="9"/>
  <c r="AB161" i="9" s="1"/>
  <c r="AA160" i="9"/>
  <c r="AB160" i="9" s="1"/>
  <c r="AA159" i="9"/>
  <c r="AB159" i="9" s="1"/>
  <c r="AA158" i="9"/>
  <c r="AB158" i="9" s="1"/>
  <c r="AA156" i="9"/>
  <c r="AB156" i="9" s="1"/>
  <c r="AA155" i="9"/>
  <c r="AB155" i="9" s="1"/>
  <c r="S153" i="14" s="1"/>
  <c r="AA154" i="9"/>
  <c r="AB154" i="9" s="1"/>
  <c r="AA153" i="9"/>
  <c r="AB153" i="9" s="1"/>
  <c r="AA152" i="9"/>
  <c r="AB152" i="9" s="1"/>
  <c r="AA151" i="9"/>
  <c r="AB151" i="9" s="1"/>
  <c r="AA150" i="9"/>
  <c r="AB150" i="9" s="1"/>
  <c r="AA149" i="9"/>
  <c r="AA147" i="9"/>
  <c r="AB147" i="9" s="1"/>
  <c r="S146" i="14" s="1"/>
  <c r="AA146" i="9"/>
  <c r="AB146" i="9" s="1"/>
  <c r="AB145" i="9"/>
  <c r="AA145" i="9"/>
  <c r="S144" i="14" s="1"/>
  <c r="AA143" i="9"/>
  <c r="AB143" i="9" s="1"/>
  <c r="AA142" i="9"/>
  <c r="AB142" i="9" s="1"/>
  <c r="AA141" i="9"/>
  <c r="AB141" i="9" s="1"/>
  <c r="AA139" i="9"/>
  <c r="AB139" i="9" s="1"/>
  <c r="AA138" i="9"/>
  <c r="AB138" i="9" s="1"/>
  <c r="AA137" i="9"/>
  <c r="AB137" i="9" s="1"/>
  <c r="AA136" i="9"/>
  <c r="AB136" i="9" s="1"/>
  <c r="AB135" i="9"/>
  <c r="AA135" i="9"/>
  <c r="AA134" i="9"/>
  <c r="AB134" i="9" s="1"/>
  <c r="AA133" i="9"/>
  <c r="AB133" i="9" s="1"/>
  <c r="S132" i="14" s="1"/>
  <c r="AA132" i="9"/>
  <c r="AB132" i="9" s="1"/>
  <c r="AA131" i="9"/>
  <c r="AB131" i="9" s="1"/>
  <c r="AA130" i="9"/>
  <c r="AB130" i="9" s="1"/>
  <c r="AA129" i="9"/>
  <c r="AB129" i="9" s="1"/>
  <c r="AA128" i="9"/>
  <c r="AB128" i="9" s="1"/>
  <c r="AB125" i="9"/>
  <c r="AA125" i="9"/>
  <c r="AA124" i="9"/>
  <c r="AB124" i="9" s="1"/>
  <c r="AA123" i="9"/>
  <c r="AB123" i="9" s="1"/>
  <c r="AA122" i="9"/>
  <c r="AB122" i="9" s="1"/>
  <c r="AA121" i="9"/>
  <c r="AB121" i="9" s="1"/>
  <c r="AA120" i="9"/>
  <c r="AB120" i="9" s="1"/>
  <c r="AA119" i="9"/>
  <c r="AB119" i="9" s="1"/>
  <c r="AA118" i="9"/>
  <c r="AB118" i="9" s="1"/>
  <c r="AA117" i="9"/>
  <c r="S116" i="14" s="1"/>
  <c r="AA116" i="9"/>
  <c r="AA115" i="9"/>
  <c r="AB115" i="9" s="1"/>
  <c r="AA114" i="9"/>
  <c r="AB114" i="9" s="1"/>
  <c r="AA112" i="9"/>
  <c r="AB112" i="9" s="1"/>
  <c r="AA111" i="9"/>
  <c r="AB111" i="9" s="1"/>
  <c r="AA110" i="9"/>
  <c r="AB110" i="9" s="1"/>
  <c r="AA109" i="9"/>
  <c r="AB109" i="9" s="1"/>
  <c r="AB108" i="9"/>
  <c r="AA108" i="9"/>
  <c r="AB107" i="9"/>
  <c r="AA107" i="9"/>
  <c r="AA104" i="9"/>
  <c r="AB104" i="9" s="1"/>
  <c r="AA103" i="9"/>
  <c r="AB103" i="9" s="1"/>
  <c r="AA101" i="9"/>
  <c r="AB101" i="9" s="1"/>
  <c r="AB100" i="9"/>
  <c r="AA100" i="9"/>
  <c r="AA98" i="9"/>
  <c r="AB98" i="9" s="1"/>
  <c r="S99" i="14" s="1"/>
  <c r="AA96" i="9"/>
  <c r="AB96" i="9" s="1"/>
  <c r="AB95" i="9"/>
  <c r="AA95" i="9"/>
  <c r="AA94" i="9"/>
  <c r="AB94" i="9" s="1"/>
  <c r="AB93" i="9"/>
  <c r="AA93" i="9"/>
  <c r="AB91" i="9"/>
  <c r="S92" i="14" s="1"/>
  <c r="AA91" i="9"/>
  <c r="AB90" i="9"/>
  <c r="S91" i="14" s="1"/>
  <c r="AA90" i="9"/>
  <c r="AA88" i="9"/>
  <c r="AB88" i="9" s="1"/>
  <c r="AB87" i="9"/>
  <c r="S87" i="14" s="1"/>
  <c r="AA87" i="9"/>
  <c r="AB85" i="9"/>
  <c r="S85" i="14" s="1"/>
  <c r="AA85" i="9"/>
  <c r="AB82" i="9"/>
  <c r="S81" i="14" s="1"/>
  <c r="AA82" i="9"/>
  <c r="AA81" i="9"/>
  <c r="AB81" i="9" s="1"/>
  <c r="AB80" i="9"/>
  <c r="AA80" i="9"/>
  <c r="AB79" i="9"/>
  <c r="S82" i="14" s="1"/>
  <c r="AA79" i="9"/>
  <c r="AB78" i="9"/>
  <c r="AA78" i="9"/>
  <c r="AA77" i="9"/>
  <c r="AB77" i="9" s="1"/>
  <c r="AB76" i="9"/>
  <c r="S76" i="14" s="1"/>
  <c r="AA76" i="9"/>
  <c r="AB74" i="9"/>
  <c r="AA74" i="9"/>
  <c r="AB72" i="9"/>
  <c r="AA72" i="9"/>
  <c r="AA71" i="9"/>
  <c r="AB71" i="9" s="1"/>
  <c r="S72" i="14" s="1"/>
  <c r="AB69" i="9"/>
  <c r="AA69" i="9"/>
  <c r="AB67" i="9"/>
  <c r="S69" i="14" s="1"/>
  <c r="AA67" i="9"/>
  <c r="AB65" i="9"/>
  <c r="AA65" i="9"/>
  <c r="AA63" i="9"/>
  <c r="AB63" i="9" s="1"/>
  <c r="AB60" i="9"/>
  <c r="AA60" i="9"/>
  <c r="AB59" i="9"/>
  <c r="AA59" i="9"/>
  <c r="AB58" i="9"/>
  <c r="AA58" i="9"/>
  <c r="AA57" i="9"/>
  <c r="AB57" i="9" s="1"/>
  <c r="S60" i="14" s="1"/>
  <c r="AA55" i="9"/>
  <c r="AB55" i="9" s="1"/>
  <c r="AB54" i="9"/>
  <c r="S58" i="14" s="1"/>
  <c r="AA54" i="9"/>
  <c r="AB53" i="9"/>
  <c r="S57" i="14" s="1"/>
  <c r="AA53" i="9"/>
  <c r="AA52" i="9"/>
  <c r="AB52" i="9" s="1"/>
  <c r="AA50" i="9"/>
  <c r="AB50" i="9" s="1"/>
  <c r="AB49" i="9"/>
  <c r="S53" i="14" s="1"/>
  <c r="AA49" i="9"/>
  <c r="AB46" i="9"/>
  <c r="S50" i="14" s="1"/>
  <c r="AA46" i="9"/>
  <c r="AA45" i="9"/>
  <c r="AB45" i="9" s="1"/>
  <c r="AA44" i="9"/>
  <c r="AB44" i="9" s="1"/>
  <c r="AB43" i="9"/>
  <c r="AA43" i="9"/>
  <c r="AB42" i="9"/>
  <c r="AA42" i="9"/>
  <c r="AA41" i="9"/>
  <c r="AB41" i="9" s="1"/>
  <c r="S46" i="14" s="1"/>
  <c r="AA39" i="9"/>
  <c r="AB39" i="9" s="1"/>
  <c r="S44" i="14" s="1"/>
  <c r="AA38" i="9"/>
  <c r="AB38" i="9" s="1"/>
  <c r="S43" i="14" s="1"/>
  <c r="AB36" i="9"/>
  <c r="S41" i="14" s="1"/>
  <c r="AA36" i="9"/>
  <c r="AA34" i="9"/>
  <c r="AB34" i="9" s="1"/>
  <c r="S39" i="14" s="1"/>
  <c r="AA33" i="9"/>
  <c r="AB33" i="9" s="1"/>
  <c r="AA31" i="9"/>
  <c r="AB31" i="9" s="1"/>
  <c r="AB29" i="9"/>
  <c r="S36" i="14" s="1"/>
  <c r="AA29" i="9"/>
  <c r="AA28" i="9"/>
  <c r="AB28" i="9" s="1"/>
  <c r="AA26" i="9"/>
  <c r="AB26" i="9" s="1"/>
  <c r="AA25" i="9"/>
  <c r="AB25" i="9" s="1"/>
  <c r="S33" i="14" s="1"/>
  <c r="AA24" i="9"/>
  <c r="AB24" i="9" s="1"/>
  <c r="AA23" i="9"/>
  <c r="AB23" i="9" s="1"/>
  <c r="AA22" i="9"/>
  <c r="AB22" i="9" s="1"/>
  <c r="S31" i="14" s="1"/>
  <c r="AB21" i="9"/>
  <c r="AA21" i="9"/>
  <c r="AA20" i="9"/>
  <c r="AB20" i="9" s="1"/>
  <c r="U165" i="8"/>
  <c r="V165" i="8" s="1"/>
  <c r="U164" i="8"/>
  <c r="V164" i="8" s="1"/>
  <c r="U163" i="8"/>
  <c r="V163" i="8" s="1"/>
  <c r="U161" i="8"/>
  <c r="V161" i="8" s="1"/>
  <c r="U160" i="8"/>
  <c r="V160" i="8" s="1"/>
  <c r="U159" i="8"/>
  <c r="V159" i="8" s="1"/>
  <c r="U158" i="8"/>
  <c r="V158" i="8" s="1"/>
  <c r="U156" i="8"/>
  <c r="V156" i="8" s="1"/>
  <c r="U155" i="8"/>
  <c r="V155" i="8" s="1"/>
  <c r="U154" i="8"/>
  <c r="V154" i="8" s="1"/>
  <c r="U153" i="8"/>
  <c r="V153" i="8" s="1"/>
  <c r="U152" i="8"/>
  <c r="V152" i="8" s="1"/>
  <c r="U151" i="8"/>
  <c r="U150" i="8"/>
  <c r="U149" i="8"/>
  <c r="V149" i="8" s="1"/>
  <c r="Q146" i="14" s="1"/>
  <c r="U147" i="8"/>
  <c r="V147" i="8" s="1"/>
  <c r="Q144" i="14" s="1"/>
  <c r="U146" i="8"/>
  <c r="V146" i="8" s="1"/>
  <c r="Q143" i="14" s="1"/>
  <c r="U145" i="8"/>
  <c r="V145" i="8" s="1"/>
  <c r="U143" i="8"/>
  <c r="V143" i="8" s="1"/>
  <c r="U142" i="8"/>
  <c r="V142" i="8" s="1"/>
  <c r="U141" i="8"/>
  <c r="V141" i="8" s="1"/>
  <c r="U139" i="8"/>
  <c r="V139" i="8" s="1"/>
  <c r="U138" i="8"/>
  <c r="V138" i="8" s="1"/>
  <c r="U137" i="8"/>
  <c r="V137" i="8" s="1"/>
  <c r="U136" i="8"/>
  <c r="V136" i="8" s="1"/>
  <c r="U135" i="8"/>
  <c r="V135" i="8" s="1"/>
  <c r="U134" i="8"/>
  <c r="V134" i="8" s="1"/>
  <c r="U133" i="8"/>
  <c r="V133" i="8" s="1"/>
  <c r="U132" i="8"/>
  <c r="V132" i="8" s="1"/>
  <c r="U131" i="8"/>
  <c r="V131" i="8" s="1"/>
  <c r="U130" i="8"/>
  <c r="V130" i="8" s="1"/>
  <c r="U129" i="8"/>
  <c r="V129" i="8" s="1"/>
  <c r="U128" i="8"/>
  <c r="V128" i="8" s="1"/>
  <c r="U125" i="8"/>
  <c r="V125" i="8" s="1"/>
  <c r="U124" i="8"/>
  <c r="V124" i="8" s="1"/>
  <c r="U123" i="8"/>
  <c r="V123" i="8" s="1"/>
  <c r="Q120" i="14" s="1"/>
  <c r="U122" i="8"/>
  <c r="V122" i="8" s="1"/>
  <c r="U121" i="8"/>
  <c r="V121" i="8" s="1"/>
  <c r="U120" i="8"/>
  <c r="V120" i="8" s="1"/>
  <c r="U119" i="8"/>
  <c r="U118" i="8"/>
  <c r="V118" i="8" s="1"/>
  <c r="Q115" i="14" s="1"/>
  <c r="U117" i="8"/>
  <c r="V117" i="8" s="1"/>
  <c r="U116" i="8"/>
  <c r="V116" i="8" s="1"/>
  <c r="U115" i="8"/>
  <c r="V115" i="8" s="1"/>
  <c r="U114" i="8"/>
  <c r="V114" i="8" s="1"/>
  <c r="U112" i="8"/>
  <c r="V112" i="8" s="1"/>
  <c r="U111" i="8"/>
  <c r="V111" i="8" s="1"/>
  <c r="U110" i="8"/>
  <c r="V110" i="8" s="1"/>
  <c r="U109" i="8"/>
  <c r="V109" i="8" s="1"/>
  <c r="U108" i="8"/>
  <c r="V108" i="8" s="1"/>
  <c r="U107" i="8"/>
  <c r="V107" i="8" s="1"/>
  <c r="U106" i="8"/>
  <c r="V106" i="8" s="1"/>
  <c r="U104" i="8"/>
  <c r="V104" i="8" s="1"/>
  <c r="U103" i="8"/>
  <c r="V103" i="8" s="1"/>
  <c r="Q102" i="14" s="1"/>
  <c r="U101" i="8"/>
  <c r="V101" i="8" s="1"/>
  <c r="U100" i="8"/>
  <c r="V100" i="8" s="1"/>
  <c r="Q99" i="14" s="1"/>
  <c r="U98" i="8"/>
  <c r="V98" i="8" s="1"/>
  <c r="Q97" i="14" s="1"/>
  <c r="U96" i="8"/>
  <c r="V96" i="8" s="1"/>
  <c r="Q95" i="14" s="1"/>
  <c r="U95" i="8"/>
  <c r="V95" i="8" s="1"/>
  <c r="Q94" i="14" s="1"/>
  <c r="U94" i="8"/>
  <c r="V94" i="8" s="1"/>
  <c r="U93" i="8"/>
  <c r="V93" i="8" s="1"/>
  <c r="Q92" i="14" s="1"/>
  <c r="U91" i="8"/>
  <c r="V91" i="8" s="1"/>
  <c r="U90" i="8"/>
  <c r="V90" i="8" s="1"/>
  <c r="U88" i="8"/>
  <c r="V88" i="8" s="1"/>
  <c r="Q87" i="14" s="1"/>
  <c r="U87" i="8"/>
  <c r="V87" i="8" s="1"/>
  <c r="Q85" i="14" s="1"/>
  <c r="U85" i="8"/>
  <c r="V85" i="8" s="1"/>
  <c r="U82" i="8"/>
  <c r="V82" i="8" s="1"/>
  <c r="U81" i="8"/>
  <c r="V81" i="8" s="1"/>
  <c r="Q82" i="14" s="1"/>
  <c r="U80" i="8"/>
  <c r="V80" i="8" s="1"/>
  <c r="Q78" i="14" s="1"/>
  <c r="U79" i="8"/>
  <c r="V79" i="8" s="1"/>
  <c r="U78" i="8"/>
  <c r="V78" i="8" s="1"/>
  <c r="Q76" i="14" s="1"/>
  <c r="U77" i="8"/>
  <c r="V77" i="8" s="1"/>
  <c r="U76" i="8"/>
  <c r="V76" i="8" s="1"/>
  <c r="U74" i="8"/>
  <c r="V74" i="8" s="1"/>
  <c r="U72" i="8"/>
  <c r="V72" i="8" s="1"/>
  <c r="Q71" i="14" s="1"/>
  <c r="U71" i="8"/>
  <c r="V71" i="8" s="1"/>
  <c r="U69" i="8"/>
  <c r="V69" i="8" s="1"/>
  <c r="Q69" i="14" s="1"/>
  <c r="U67" i="8"/>
  <c r="V67" i="8" s="1"/>
  <c r="U65" i="8"/>
  <c r="V65" i="8" s="1"/>
  <c r="U63" i="8"/>
  <c r="V63" i="8" s="1"/>
  <c r="U60" i="8"/>
  <c r="V60" i="8" s="1"/>
  <c r="U59" i="8"/>
  <c r="V59" i="8" s="1"/>
  <c r="U58" i="8"/>
  <c r="V58" i="8" s="1"/>
  <c r="U57" i="8"/>
  <c r="V57" i="8" s="1"/>
  <c r="Q60" i="14" s="1"/>
  <c r="U55" i="8"/>
  <c r="V55" i="8" s="1"/>
  <c r="U54" i="8"/>
  <c r="V54" i="8" s="1"/>
  <c r="Q58" i="14" s="1"/>
  <c r="U53" i="8"/>
  <c r="V53" i="8" s="1"/>
  <c r="Q57" i="14" s="1"/>
  <c r="U52" i="8"/>
  <c r="V52" i="8" s="1"/>
  <c r="U51" i="8"/>
  <c r="V51" i="8" s="1"/>
  <c r="U50" i="8"/>
  <c r="V50" i="8" s="1"/>
  <c r="U49" i="8"/>
  <c r="V49" i="8" s="1"/>
  <c r="Q53" i="14" s="1"/>
  <c r="U46" i="8"/>
  <c r="V46" i="8" s="1"/>
  <c r="Q50" i="14" s="1"/>
  <c r="U45" i="8"/>
  <c r="V45" i="8" s="1"/>
  <c r="Q49" i="14" s="1"/>
  <c r="U44" i="8"/>
  <c r="V44" i="8" s="1"/>
  <c r="U43" i="8"/>
  <c r="V43" i="8" s="1"/>
  <c r="U42" i="8"/>
  <c r="V42" i="8" s="1"/>
  <c r="U41" i="8"/>
  <c r="V41" i="8" s="1"/>
  <c r="Q46" i="14" s="1"/>
  <c r="V39" i="8"/>
  <c r="Q44" i="14" s="1"/>
  <c r="U39" i="8"/>
  <c r="V38" i="8"/>
  <c r="Q43" i="14" s="1"/>
  <c r="U38" i="8"/>
  <c r="V36" i="8"/>
  <c r="Q41" i="14" s="1"/>
  <c r="U36" i="8"/>
  <c r="U34" i="8"/>
  <c r="V34" i="8" s="1"/>
  <c r="Q39" i="14" s="1"/>
  <c r="U33" i="8"/>
  <c r="V33" i="8" s="1"/>
  <c r="U31" i="8"/>
  <c r="V31" i="8" s="1"/>
  <c r="U29" i="8"/>
  <c r="V29" i="8" s="1"/>
  <c r="Q36" i="14" s="1"/>
  <c r="U28" i="8"/>
  <c r="V28" i="8" s="1"/>
  <c r="V26" i="8"/>
  <c r="U26" i="8"/>
  <c r="V25" i="8"/>
  <c r="Q33" i="14" s="1"/>
  <c r="U25" i="8"/>
  <c r="V24" i="8"/>
  <c r="U24" i="8"/>
  <c r="U23" i="8"/>
  <c r="V23" i="8" s="1"/>
  <c r="U22" i="8"/>
  <c r="V22" i="8" s="1"/>
  <c r="Q31" i="14" s="1"/>
  <c r="U21" i="8"/>
  <c r="V21" i="8" s="1"/>
  <c r="U20" i="8"/>
  <c r="V20" i="8" s="1"/>
  <c r="AS167" i="7"/>
  <c r="AT167" i="7" s="1"/>
  <c r="AT166" i="7"/>
  <c r="AS166" i="7"/>
  <c r="AT165" i="7"/>
  <c r="AS165" i="7"/>
  <c r="AT163" i="7"/>
  <c r="AS163" i="7"/>
  <c r="AS162" i="7"/>
  <c r="AT162" i="7" s="1"/>
  <c r="AS161" i="7"/>
  <c r="AT161" i="7" s="1"/>
  <c r="AS160" i="7"/>
  <c r="O162" i="14" s="1"/>
  <c r="AG162" i="14" s="1"/>
  <c r="AS158" i="7"/>
  <c r="AS157" i="7"/>
  <c r="AT156" i="7"/>
  <c r="AS156" i="7"/>
  <c r="O157" i="14" s="1"/>
  <c r="AG156" i="14" s="1"/>
  <c r="AT155" i="7"/>
  <c r="AS155" i="7"/>
  <c r="O156" i="14" s="1"/>
  <c r="AG155" i="14" s="1"/>
  <c r="AT154" i="7"/>
  <c r="AS154" i="7"/>
  <c r="O155" i="14" s="1"/>
  <c r="AS153" i="7"/>
  <c r="AS152" i="7"/>
  <c r="AS151" i="7"/>
  <c r="AT151" i="7" s="1"/>
  <c r="AS149" i="7"/>
  <c r="AT149" i="7" s="1"/>
  <c r="AS148" i="7"/>
  <c r="AT148" i="7" s="1"/>
  <c r="AT147" i="7"/>
  <c r="AS147" i="7"/>
  <c r="AT145" i="7"/>
  <c r="AS145" i="7"/>
  <c r="O147" i="14" s="1"/>
  <c r="AT144" i="7"/>
  <c r="O146" i="14" s="1"/>
  <c r="AS144" i="7"/>
  <c r="AS143" i="7"/>
  <c r="AT143" i="7" s="1"/>
  <c r="AS141" i="7"/>
  <c r="AS140" i="7"/>
  <c r="AT140" i="7" s="1"/>
  <c r="AS139" i="7"/>
  <c r="AT139" i="7" s="1"/>
  <c r="AS138" i="7"/>
  <c r="AT138" i="7" s="1"/>
  <c r="AT137" i="7"/>
  <c r="AS137" i="7"/>
  <c r="AT136" i="7"/>
  <c r="AS136" i="7"/>
  <c r="AT135" i="7"/>
  <c r="AS135" i="7"/>
  <c r="AS134" i="7"/>
  <c r="AT134" i="7" s="1"/>
  <c r="AS133" i="7"/>
  <c r="AT133" i="7" s="1"/>
  <c r="AS132" i="7"/>
  <c r="AT132" i="7" s="1"/>
  <c r="AS131" i="7"/>
  <c r="AT131" i="7" s="1"/>
  <c r="AS130" i="7"/>
  <c r="AT127" i="7"/>
  <c r="O129" i="14" s="1"/>
  <c r="AS127" i="7"/>
  <c r="AT126" i="7"/>
  <c r="AS126" i="7"/>
  <c r="AT125" i="7"/>
  <c r="AS125" i="7"/>
  <c r="AS124" i="7"/>
  <c r="AT124" i="7" s="1"/>
  <c r="AS123" i="7"/>
  <c r="AT123" i="7" s="1"/>
  <c r="AS122" i="7"/>
  <c r="AT122" i="7" s="1"/>
  <c r="AS121" i="7"/>
  <c r="AT121" i="7" s="1"/>
  <c r="AS120" i="7"/>
  <c r="AT120" i="7" s="1"/>
  <c r="AT119" i="7"/>
  <c r="AS119" i="7"/>
  <c r="AT118" i="7"/>
  <c r="O120" i="14" s="1"/>
  <c r="AS118" i="7"/>
  <c r="AT117" i="7"/>
  <c r="AS117" i="7"/>
  <c r="AS116" i="7"/>
  <c r="AT116" i="7" s="1"/>
  <c r="AS114" i="7"/>
  <c r="AS113" i="7"/>
  <c r="O115" i="14" s="1"/>
  <c r="AS112" i="7"/>
  <c r="O113" i="14" s="1"/>
  <c r="AS110" i="7"/>
  <c r="AT110" i="7" s="1"/>
  <c r="AT109" i="7"/>
  <c r="AS109" i="7"/>
  <c r="AT106" i="7"/>
  <c r="AS106" i="7"/>
  <c r="AT105" i="7"/>
  <c r="AS105" i="7"/>
  <c r="AS103" i="7"/>
  <c r="AT103" i="7" s="1"/>
  <c r="AS102" i="7"/>
  <c r="AT102" i="7" s="1"/>
  <c r="AS100" i="7"/>
  <c r="AT100" i="7" s="1"/>
  <c r="AS98" i="7"/>
  <c r="O101" i="14" s="1"/>
  <c r="AS97" i="7"/>
  <c r="AT97" i="7" s="1"/>
  <c r="AT96" i="7"/>
  <c r="O99" i="14" s="1"/>
  <c r="AS96" i="7"/>
  <c r="AT95" i="7"/>
  <c r="AS95" i="7"/>
  <c r="O98" i="14" s="1"/>
  <c r="AG99" i="14" s="1"/>
  <c r="AT93" i="7"/>
  <c r="AS93" i="7"/>
  <c r="O96" i="14" s="1"/>
  <c r="AS92" i="7"/>
  <c r="AS90" i="7"/>
  <c r="O93" i="14" s="1"/>
  <c r="AG94" i="14" s="1"/>
  <c r="AS89" i="7"/>
  <c r="AS87" i="7"/>
  <c r="AS84" i="7"/>
  <c r="AT83" i="7"/>
  <c r="AS83" i="7"/>
  <c r="AT82" i="7"/>
  <c r="AS82" i="7"/>
  <c r="AT81" i="7"/>
  <c r="AS81" i="7"/>
  <c r="O82" i="14" s="1"/>
  <c r="AS80" i="7"/>
  <c r="AT80" i="7" s="1"/>
  <c r="AS78" i="7"/>
  <c r="O80" i="14" s="1"/>
  <c r="AS76" i="7"/>
  <c r="AT76" i="7" s="1"/>
  <c r="O78" i="14" s="1"/>
  <c r="AS74" i="7"/>
  <c r="AT74" i="7" s="1"/>
  <c r="AS73" i="7"/>
  <c r="AT71" i="7"/>
  <c r="AS71" i="7"/>
  <c r="AT69" i="7"/>
  <c r="AS69" i="7"/>
  <c r="O72" i="14" s="1"/>
  <c r="AT67" i="7"/>
  <c r="AS67" i="7"/>
  <c r="AS65" i="7"/>
  <c r="AS62" i="7"/>
  <c r="AT62" i="7" s="1"/>
  <c r="AS61" i="7"/>
  <c r="AT61" i="7" s="1"/>
  <c r="O65" i="14" s="1"/>
  <c r="AS60" i="7"/>
  <c r="AT60" i="7" s="1"/>
  <c r="AS59" i="7"/>
  <c r="AT59" i="7" s="1"/>
  <c r="O63" i="14" s="1"/>
  <c r="AT57" i="7"/>
  <c r="AS57" i="7"/>
  <c r="AT55" i="7"/>
  <c r="O60" i="14" s="1"/>
  <c r="AS55" i="7"/>
  <c r="AT54" i="7"/>
  <c r="O59" i="14" s="1"/>
  <c r="AS54" i="7"/>
  <c r="AS52" i="7"/>
  <c r="AT52" i="7" s="1"/>
  <c r="O58" i="14" s="1"/>
  <c r="AS51" i="7"/>
  <c r="AS48" i="7"/>
  <c r="AT48" i="7" s="1"/>
  <c r="AS47" i="7"/>
  <c r="AT47" i="7" s="1"/>
  <c r="O53" i="14" s="1"/>
  <c r="AS46" i="7"/>
  <c r="AT46" i="7" s="1"/>
  <c r="O52" i="14" s="1"/>
  <c r="AT45" i="7"/>
  <c r="AS45" i="7"/>
  <c r="AT44" i="7"/>
  <c r="O50" i="14" s="1"/>
  <c r="AS44" i="7"/>
  <c r="AT43" i="7"/>
  <c r="O49" i="14" s="1"/>
  <c r="AS43" i="7"/>
  <c r="AS41" i="7"/>
  <c r="AT41" i="7" s="1"/>
  <c r="AS40" i="7"/>
  <c r="AT40" i="7" s="1"/>
  <c r="AS38" i="7"/>
  <c r="AS36" i="7"/>
  <c r="AT36" i="7" s="1"/>
  <c r="O43" i="14" s="1"/>
  <c r="AS35" i="7"/>
  <c r="AT35" i="7" s="1"/>
  <c r="O42" i="14" s="1"/>
  <c r="AT33" i="7"/>
  <c r="AS33" i="7"/>
  <c r="AT31" i="7"/>
  <c r="AS31" i="7"/>
  <c r="AT30" i="7"/>
  <c r="O38" i="14" s="1"/>
  <c r="AS30" i="7"/>
  <c r="O34" i="14" s="1"/>
  <c r="AG39" i="14" s="1"/>
  <c r="AS28" i="7"/>
  <c r="AT28" i="7" s="1"/>
  <c r="O36" i="14" s="1"/>
  <c r="AS27" i="7"/>
  <c r="AT27" i="7" s="1"/>
  <c r="AS26" i="7"/>
  <c r="AT26" i="7" s="1"/>
  <c r="AS25" i="7"/>
  <c r="AT25" i="7" s="1"/>
  <c r="O33" i="14" s="1"/>
  <c r="AS24" i="7"/>
  <c r="AT24" i="7" s="1"/>
  <c r="AT23" i="7"/>
  <c r="O31" i="14" s="1"/>
  <c r="AS23" i="7"/>
  <c r="AT22" i="7"/>
  <c r="AS22" i="7"/>
  <c r="AB164" i="6"/>
  <c r="AA164" i="6"/>
  <c r="AA163" i="6"/>
  <c r="AB163" i="6" s="1"/>
  <c r="AA162" i="6"/>
  <c r="AB162" i="6" s="1"/>
  <c r="AA160" i="6"/>
  <c r="AB160" i="6" s="1"/>
  <c r="AA159" i="6"/>
  <c r="AB159" i="6" s="1"/>
  <c r="AA158" i="6"/>
  <c r="AB158" i="6" s="1"/>
  <c r="AB157" i="6"/>
  <c r="AA157" i="6"/>
  <c r="AB155" i="6"/>
  <c r="AA155" i="6"/>
  <c r="AB154" i="6"/>
  <c r="AA154" i="6"/>
  <c r="AA153" i="6"/>
  <c r="AB153" i="6" s="1"/>
  <c r="AA152" i="6"/>
  <c r="AB152" i="6" s="1"/>
  <c r="AA151" i="6"/>
  <c r="AB151" i="6" s="1"/>
  <c r="AA150" i="6"/>
  <c r="M148" i="14" s="1"/>
  <c r="AA149" i="6"/>
  <c r="AB148" i="6"/>
  <c r="AA148" i="6"/>
  <c r="M146" i="14" s="1"/>
  <c r="AB146" i="6"/>
  <c r="AA146" i="6"/>
  <c r="M144" i="14" s="1"/>
  <c r="AB145" i="6"/>
  <c r="AA145" i="6"/>
  <c r="M143" i="14" s="1"/>
  <c r="AA144" i="6"/>
  <c r="AB144" i="6" s="1"/>
  <c r="AA142" i="6"/>
  <c r="AB142" i="6" s="1"/>
  <c r="AA141" i="6"/>
  <c r="AB141" i="6" s="1"/>
  <c r="AA140" i="6"/>
  <c r="AB140" i="6" s="1"/>
  <c r="AA138" i="6"/>
  <c r="AB138" i="6" s="1"/>
  <c r="AB137" i="6"/>
  <c r="AA137" i="6"/>
  <c r="AB136" i="6"/>
  <c r="AA136" i="6"/>
  <c r="AB135" i="6"/>
  <c r="AA135" i="6"/>
  <c r="AA134" i="6"/>
  <c r="AB134" i="6" s="1"/>
  <c r="AA133" i="6"/>
  <c r="AB133" i="6" s="1"/>
  <c r="AA132" i="6"/>
  <c r="AB132" i="6" s="1"/>
  <c r="AA131" i="6"/>
  <c r="AB131" i="6" s="1"/>
  <c r="AA130" i="6"/>
  <c r="AB130" i="6" s="1"/>
  <c r="AB129" i="6"/>
  <c r="AA129" i="6"/>
  <c r="AB128" i="6"/>
  <c r="AA128" i="6"/>
  <c r="AB127" i="6"/>
  <c r="AA127" i="6"/>
  <c r="AA124" i="6"/>
  <c r="AB124" i="6" s="1"/>
  <c r="AA123" i="6"/>
  <c r="AB123" i="6" s="1"/>
  <c r="AA122" i="6"/>
  <c r="AB122" i="6" s="1"/>
  <c r="M120" i="14" s="1"/>
  <c r="AA121" i="6"/>
  <c r="AB121" i="6" s="1"/>
  <c r="M119" i="14" s="1"/>
  <c r="AG119" i="14" s="1"/>
  <c r="AA120" i="6"/>
  <c r="AB120" i="6" s="1"/>
  <c r="AB119" i="6"/>
  <c r="AA119" i="6"/>
  <c r="AB118" i="6"/>
  <c r="AA118" i="6"/>
  <c r="M116" i="14" s="1"/>
  <c r="AB117" i="6"/>
  <c r="AA117" i="6"/>
  <c r="M115" i="14" s="1"/>
  <c r="AA116" i="6"/>
  <c r="AB116" i="6" s="1"/>
  <c r="AA115" i="6"/>
  <c r="AB115" i="6" s="1"/>
  <c r="AA114" i="6"/>
  <c r="AB114" i="6" s="1"/>
  <c r="AA113" i="6"/>
  <c r="AB113" i="6" s="1"/>
  <c r="AA111" i="6"/>
  <c r="AB111" i="6" s="1"/>
  <c r="AA110" i="6"/>
  <c r="AB110" i="6" s="1"/>
  <c r="AA109" i="6"/>
  <c r="AB109" i="6" s="1"/>
  <c r="AA108" i="6"/>
  <c r="AB107" i="6"/>
  <c r="AA107" i="6"/>
  <c r="AB106" i="6"/>
  <c r="AA106" i="6"/>
  <c r="AB105" i="6"/>
  <c r="AA105" i="6"/>
  <c r="AB103" i="6"/>
  <c r="AA103" i="6"/>
  <c r="AB102" i="6"/>
  <c r="M102" i="14" s="1"/>
  <c r="AA102" i="6"/>
  <c r="AB100" i="6"/>
  <c r="AA100" i="6"/>
  <c r="AB99" i="6"/>
  <c r="M99" i="14" s="1"/>
  <c r="AA99" i="6"/>
  <c r="AB97" i="6"/>
  <c r="M97" i="14" s="1"/>
  <c r="AA97" i="6"/>
  <c r="AB95" i="6"/>
  <c r="M95" i="14" s="1"/>
  <c r="AA95" i="6"/>
  <c r="AB94" i="6"/>
  <c r="M94" i="14" s="1"/>
  <c r="AA94" i="6"/>
  <c r="AB93" i="6"/>
  <c r="AA93" i="6"/>
  <c r="AB92" i="6"/>
  <c r="M92" i="14" s="1"/>
  <c r="AA92" i="6"/>
  <c r="AB90" i="6"/>
  <c r="AA90" i="6"/>
  <c r="AB89" i="6"/>
  <c r="AA89" i="6"/>
  <c r="AB87" i="6"/>
  <c r="M87" i="14" s="1"/>
  <c r="AA87" i="6"/>
  <c r="AB86" i="6"/>
  <c r="M85" i="14" s="1"/>
  <c r="AA86" i="6"/>
  <c r="AB84" i="6"/>
  <c r="AA84" i="6"/>
  <c r="AB81" i="6"/>
  <c r="AA81" i="6"/>
  <c r="AB80" i="6"/>
  <c r="AA80" i="6"/>
  <c r="M82" i="14" s="1"/>
  <c r="AB79" i="6"/>
  <c r="AA79" i="6"/>
  <c r="M78" i="14" s="1"/>
  <c r="AB78" i="6"/>
  <c r="AA78" i="6"/>
  <c r="AB77" i="6"/>
  <c r="AA77" i="6"/>
  <c r="M76" i="14" s="1"/>
  <c r="AB75" i="6"/>
  <c r="AA75" i="6"/>
  <c r="AB73" i="6"/>
  <c r="AA73" i="6"/>
  <c r="AB71" i="6"/>
  <c r="M71" i="14" s="1"/>
  <c r="AA71" i="6"/>
  <c r="AB70" i="6"/>
  <c r="AA70" i="6"/>
  <c r="AB68" i="6"/>
  <c r="M69" i="14" s="1"/>
  <c r="AA68" i="6"/>
  <c r="AB66" i="6"/>
  <c r="AA66" i="6"/>
  <c r="AB64" i="6"/>
  <c r="AA64" i="6"/>
  <c r="AB62" i="6"/>
  <c r="AA62" i="6"/>
  <c r="AB61" i="6"/>
  <c r="M65" i="14" s="1"/>
  <c r="AA61" i="6"/>
  <c r="AB59" i="6"/>
  <c r="AA59" i="6"/>
  <c r="AB58" i="6"/>
  <c r="AA58" i="6"/>
  <c r="AB57" i="6"/>
  <c r="AA57" i="6"/>
  <c r="AB56" i="6"/>
  <c r="M60" i="14" s="1"/>
  <c r="AA56" i="6"/>
  <c r="AB54" i="6"/>
  <c r="AA54" i="6"/>
  <c r="AB53" i="6"/>
  <c r="M58" i="14" s="1"/>
  <c r="AA53" i="6"/>
  <c r="AA52" i="6"/>
  <c r="AB52" i="6" s="1"/>
  <c r="M57" i="14" s="1"/>
  <c r="AB51" i="6"/>
  <c r="AA51" i="6"/>
  <c r="AB50" i="6"/>
  <c r="AA50" i="6"/>
  <c r="AB49" i="6"/>
  <c r="AA49" i="6"/>
  <c r="AA48" i="6"/>
  <c r="AB48" i="6" s="1"/>
  <c r="M53" i="14" s="1"/>
  <c r="AB47" i="6"/>
  <c r="M52" i="14" s="1"/>
  <c r="AA47" i="6"/>
  <c r="AB45" i="6"/>
  <c r="M50" i="14" s="1"/>
  <c r="AA45" i="6"/>
  <c r="AB44" i="6"/>
  <c r="AA44" i="6"/>
  <c r="M49" i="14" s="1"/>
  <c r="AA43" i="6"/>
  <c r="AB43" i="6" s="1"/>
  <c r="AB42" i="6"/>
  <c r="AA42" i="6"/>
  <c r="AB41" i="6"/>
  <c r="AA41" i="6"/>
  <c r="AA40" i="6"/>
  <c r="AB40" i="6" s="1"/>
  <c r="M46" i="14" s="1"/>
  <c r="AA38" i="6"/>
  <c r="AB38" i="6" s="1"/>
  <c r="M44" i="14" s="1"/>
  <c r="AB37" i="6"/>
  <c r="M43" i="14" s="1"/>
  <c r="AA37" i="6"/>
  <c r="AB35" i="6"/>
  <c r="M41" i="14" s="1"/>
  <c r="AA35" i="6"/>
  <c r="AA33" i="6"/>
  <c r="AB33" i="6" s="1"/>
  <c r="M39" i="14" s="1"/>
  <c r="AA32" i="6"/>
  <c r="AB32" i="6" s="1"/>
  <c r="AB30" i="6"/>
  <c r="AA30" i="6"/>
  <c r="AB28" i="6"/>
  <c r="M36" i="14" s="1"/>
  <c r="AA28" i="6"/>
  <c r="AA27" i="6"/>
  <c r="AB27" i="6" s="1"/>
  <c r="AA25" i="6"/>
  <c r="AB25" i="6" s="1"/>
  <c r="AB24" i="6"/>
  <c r="M33" i="14" s="1"/>
  <c r="AA24" i="6"/>
  <c r="AB23" i="6"/>
  <c r="AA23" i="6"/>
  <c r="AA22" i="6"/>
  <c r="AB22" i="6" s="1"/>
  <c r="AA21" i="6"/>
  <c r="AB21" i="6" s="1"/>
  <c r="M31" i="14" s="1"/>
  <c r="AB20" i="6"/>
  <c r="AA20" i="6"/>
  <c r="AB19" i="6"/>
  <c r="AA19" i="6"/>
  <c r="AK165" i="5"/>
  <c r="AL165" i="5" s="1"/>
  <c r="AK164" i="5"/>
  <c r="AL164" i="5" s="1"/>
  <c r="AL163" i="5"/>
  <c r="AK163" i="5"/>
  <c r="AL161" i="5"/>
  <c r="AK161" i="5"/>
  <c r="AK160" i="5"/>
  <c r="AL160" i="5" s="1"/>
  <c r="AK159" i="5"/>
  <c r="AL159" i="5" s="1"/>
  <c r="AK158" i="5"/>
  <c r="AL158" i="5" s="1"/>
  <c r="AL156" i="5"/>
  <c r="AK156" i="5"/>
  <c r="AK155" i="5"/>
  <c r="AL155" i="5" s="1"/>
  <c r="AK154" i="5"/>
  <c r="AL154" i="5" s="1"/>
  <c r="AK153" i="5"/>
  <c r="AL153" i="5" s="1"/>
  <c r="AK152" i="5"/>
  <c r="AL152" i="5" s="1"/>
  <c r="AK151" i="5"/>
  <c r="K148" i="14" s="1"/>
  <c r="AK150" i="5"/>
  <c r="AL149" i="5"/>
  <c r="AK149" i="5"/>
  <c r="K146" i="14" s="1"/>
  <c r="AK147" i="5"/>
  <c r="K144" i="14" s="1"/>
  <c r="AK146" i="5"/>
  <c r="AK145" i="5"/>
  <c r="AL145" i="5" s="1"/>
  <c r="AL143" i="5"/>
  <c r="AK143" i="5"/>
  <c r="AK142" i="5"/>
  <c r="AL142" i="5" s="1"/>
  <c r="AK141" i="5"/>
  <c r="AL141" i="5" s="1"/>
  <c r="AK139" i="5"/>
  <c r="AL139" i="5" s="1"/>
  <c r="AK138" i="5"/>
  <c r="AL138" i="5" s="1"/>
  <c r="AL137" i="5"/>
  <c r="AK137" i="5"/>
  <c r="AK136" i="5"/>
  <c r="AL136" i="5" s="1"/>
  <c r="AK135" i="5"/>
  <c r="AL135" i="5" s="1"/>
  <c r="AK134" i="5"/>
  <c r="AL134" i="5" s="1"/>
  <c r="AK133" i="5"/>
  <c r="AL133" i="5" s="1"/>
  <c r="AK132" i="5"/>
  <c r="AL132" i="5" s="1"/>
  <c r="AK131" i="5"/>
  <c r="AL131" i="5" s="1"/>
  <c r="AK130" i="5"/>
  <c r="AL130" i="5" s="1"/>
  <c r="AK129" i="5"/>
  <c r="AL129" i="5" s="1"/>
  <c r="AK128" i="5"/>
  <c r="AL128" i="5" s="1"/>
  <c r="AK125" i="5"/>
  <c r="AL125" i="5" s="1"/>
  <c r="AL124" i="5"/>
  <c r="AK124" i="5"/>
  <c r="AK123" i="5"/>
  <c r="AL123" i="5" s="1"/>
  <c r="AK122" i="5"/>
  <c r="AL122" i="5" s="1"/>
  <c r="AK121" i="5"/>
  <c r="AL121" i="5" s="1"/>
  <c r="AK120" i="5"/>
  <c r="AL120" i="5" s="1"/>
  <c r="AL119" i="5"/>
  <c r="AK119" i="5"/>
  <c r="K116" i="14" s="1"/>
  <c r="AK118" i="5"/>
  <c r="AL118" i="5" s="1"/>
  <c r="K115" i="14" s="1"/>
  <c r="AK117" i="5"/>
  <c r="AL117" i="5" s="1"/>
  <c r="AK116" i="5"/>
  <c r="AL116" i="5" s="1"/>
  <c r="AK115" i="5"/>
  <c r="AL115" i="5" s="1"/>
  <c r="AK114" i="5"/>
  <c r="AL114" i="5" s="1"/>
  <c r="AK112" i="5"/>
  <c r="AL112" i="5" s="1"/>
  <c r="AL111" i="5"/>
  <c r="AK111" i="5"/>
  <c r="AK110" i="5"/>
  <c r="AL110" i="5" s="1"/>
  <c r="AK109" i="5"/>
  <c r="AL109" i="5" s="1"/>
  <c r="AK108" i="5"/>
  <c r="AL108" i="5" s="1"/>
  <c r="AL107" i="5"/>
  <c r="AK107" i="5"/>
  <c r="AL106" i="5"/>
  <c r="AK106" i="5"/>
  <c r="AK104" i="5"/>
  <c r="AL104" i="5" s="1"/>
  <c r="AK103" i="5"/>
  <c r="AL103" i="5" s="1"/>
  <c r="AK101" i="5"/>
  <c r="AL101" i="5" s="1"/>
  <c r="AL100" i="5"/>
  <c r="K99" i="14" s="1"/>
  <c r="AK100" i="5"/>
  <c r="AK98" i="5"/>
  <c r="AL98" i="5" s="1"/>
  <c r="AK96" i="5"/>
  <c r="AL96" i="5" s="1"/>
  <c r="AK95" i="5"/>
  <c r="AL95" i="5" s="1"/>
  <c r="AK94" i="5"/>
  <c r="AL94" i="5" s="1"/>
  <c r="AK93" i="5"/>
  <c r="AL93" i="5" s="1"/>
  <c r="K92" i="14" s="1"/>
  <c r="AK91" i="5"/>
  <c r="AL91" i="5" s="1"/>
  <c r="AL90" i="5"/>
  <c r="AK90" i="5"/>
  <c r="AK89" i="5"/>
  <c r="AL89" i="5" s="1"/>
  <c r="AK88" i="5"/>
  <c r="AL88" i="5" s="1"/>
  <c r="AK87" i="5"/>
  <c r="AL87" i="5" s="1"/>
  <c r="AL85" i="5"/>
  <c r="AK85" i="5"/>
  <c r="AL84" i="5"/>
  <c r="K81" i="14" s="1"/>
  <c r="AK84" i="5"/>
  <c r="AK82" i="5"/>
  <c r="AL82" i="5" s="1"/>
  <c r="AK81" i="5"/>
  <c r="AL81" i="5" s="1"/>
  <c r="K82" i="14" s="1"/>
  <c r="AK80" i="5"/>
  <c r="AL80" i="5" s="1"/>
  <c r="AL79" i="5"/>
  <c r="AK79" i="5"/>
  <c r="AK78" i="5"/>
  <c r="AK76" i="5"/>
  <c r="AL76" i="5" s="1"/>
  <c r="AK74" i="5"/>
  <c r="AL74" i="5" s="1"/>
  <c r="AK72" i="5"/>
  <c r="AL72" i="5" s="1"/>
  <c r="K71" i="14" s="1"/>
  <c r="AK71" i="5"/>
  <c r="AL71" i="5" s="1"/>
  <c r="AK69" i="5"/>
  <c r="AL69" i="5" s="1"/>
  <c r="K69" i="14" s="1"/>
  <c r="AL67" i="5"/>
  <c r="AK67" i="5"/>
  <c r="AK66" i="5"/>
  <c r="AL66" i="5" s="1"/>
  <c r="K67" i="14" s="1"/>
  <c r="AK65" i="5"/>
  <c r="AL65" i="5" s="1"/>
  <c r="AK64" i="5"/>
  <c r="AL64" i="5" s="1"/>
  <c r="AL63" i="5"/>
  <c r="AK63" i="5"/>
  <c r="AL62" i="5"/>
  <c r="K65" i="14" s="1"/>
  <c r="AK62" i="5"/>
  <c r="AK60" i="5"/>
  <c r="AL60" i="5" s="1"/>
  <c r="AK59" i="5"/>
  <c r="AL59" i="5" s="1"/>
  <c r="AK58" i="5"/>
  <c r="AL58" i="5" s="1"/>
  <c r="AL57" i="5"/>
  <c r="AK57" i="5"/>
  <c r="AK55" i="5"/>
  <c r="AL55" i="5" s="1"/>
  <c r="AK53" i="5"/>
  <c r="AL53" i="5" s="1"/>
  <c r="K57" i="14" s="1"/>
  <c r="AK52" i="5"/>
  <c r="AL52" i="5" s="1"/>
  <c r="AK50" i="5"/>
  <c r="AL50" i="5" s="1"/>
  <c r="AK49" i="5"/>
  <c r="AL49" i="5" s="1"/>
  <c r="AK48" i="5"/>
  <c r="AL48" i="5" s="1"/>
  <c r="AK46" i="5"/>
  <c r="AL46" i="5" s="1"/>
  <c r="K50" i="14" s="1"/>
  <c r="AK45" i="5"/>
  <c r="K49" i="14" s="1"/>
  <c r="AK44" i="5"/>
  <c r="AL44" i="5" s="1"/>
  <c r="AK43" i="5"/>
  <c r="AL43" i="5" s="1"/>
  <c r="AL42" i="5"/>
  <c r="AK42" i="5"/>
  <c r="AK41" i="5"/>
  <c r="K46" i="14" s="1"/>
  <c r="AK40" i="5"/>
  <c r="AL40" i="5" s="1"/>
  <c r="K45" i="14" s="1"/>
  <c r="AK39" i="5"/>
  <c r="AK38" i="5"/>
  <c r="K43" i="14" s="1"/>
  <c r="AL36" i="5"/>
  <c r="K42" i="14" s="1"/>
  <c r="AK36" i="5"/>
  <c r="AK34" i="5"/>
  <c r="AK33" i="5"/>
  <c r="AL33" i="5" s="1"/>
  <c r="AK31" i="5"/>
  <c r="AL31" i="5" s="1"/>
  <c r="AK29" i="5"/>
  <c r="K36" i="14" s="1"/>
  <c r="AK28" i="5"/>
  <c r="AL28" i="5" s="1"/>
  <c r="AK26" i="5"/>
  <c r="AL26" i="5" s="1"/>
  <c r="AK25" i="5"/>
  <c r="K33" i="14" s="1"/>
  <c r="AK24" i="5"/>
  <c r="AL24" i="5" s="1"/>
  <c r="AK23" i="5"/>
  <c r="AL23" i="5" s="1"/>
  <c r="AK22" i="5"/>
  <c r="AL21" i="5"/>
  <c r="AK21" i="5"/>
  <c r="AK20" i="5"/>
  <c r="AL20" i="5" s="1"/>
  <c r="Y164" i="4"/>
  <c r="Z164" i="4" s="1"/>
  <c r="Y163" i="4"/>
  <c r="Z163" i="4" s="1"/>
  <c r="Y162" i="4"/>
  <c r="Z162" i="4" s="1"/>
  <c r="Z160" i="4"/>
  <c r="Y160" i="4"/>
  <c r="Y159" i="4"/>
  <c r="Z159" i="4" s="1"/>
  <c r="Y158" i="4"/>
  <c r="Z158" i="4" s="1"/>
  <c r="Y157" i="4"/>
  <c r="Z157" i="4" s="1"/>
  <c r="Y155" i="4"/>
  <c r="Z155" i="4" s="1"/>
  <c r="Y154" i="4"/>
  <c r="Z154" i="4" s="1"/>
  <c r="Y153" i="4"/>
  <c r="Z153" i="4" s="1"/>
  <c r="Y152" i="4"/>
  <c r="Z152" i="4" s="1"/>
  <c r="Y151" i="4"/>
  <c r="Z151" i="4" s="1"/>
  <c r="Y150" i="4"/>
  <c r="Y149" i="4"/>
  <c r="Z148" i="4"/>
  <c r="Y148" i="4"/>
  <c r="I146" i="14" s="1"/>
  <c r="Y146" i="4"/>
  <c r="Z146" i="4" s="1"/>
  <c r="I144" i="14" s="1"/>
  <c r="Y145" i="4"/>
  <c r="Z145" i="4" s="1"/>
  <c r="I143" i="14" s="1"/>
  <c r="Y144" i="4"/>
  <c r="Z144" i="4" s="1"/>
  <c r="Y142" i="4"/>
  <c r="Z142" i="4" s="1"/>
  <c r="Z141" i="4"/>
  <c r="Y141" i="4"/>
  <c r="Y140" i="4"/>
  <c r="Z140" i="4" s="1"/>
  <c r="Y138" i="4"/>
  <c r="Z138" i="4" s="1"/>
  <c r="Y137" i="4"/>
  <c r="Z137" i="4" s="1"/>
  <c r="Y136" i="4"/>
  <c r="Z136" i="4" s="1"/>
  <c r="Y135" i="4"/>
  <c r="Z135" i="4" s="1"/>
  <c r="Y134" i="4"/>
  <c r="Z134" i="4" s="1"/>
  <c r="Y133" i="4"/>
  <c r="Z133" i="4" s="1"/>
  <c r="Y132" i="4"/>
  <c r="Z132" i="4" s="1"/>
  <c r="Y131" i="4"/>
  <c r="Z131" i="4" s="1"/>
  <c r="Y130" i="4"/>
  <c r="Z130" i="4" s="1"/>
  <c r="Z129" i="4"/>
  <c r="Y129" i="4"/>
  <c r="Y128" i="4"/>
  <c r="Z128" i="4" s="1"/>
  <c r="Y127" i="4"/>
  <c r="Z127" i="4" s="1"/>
  <c r="Y124" i="4"/>
  <c r="Z124" i="4" s="1"/>
  <c r="Y123" i="4"/>
  <c r="Z123" i="4" s="1"/>
  <c r="Z122" i="4"/>
  <c r="Y122" i="4"/>
  <c r="Y121" i="4"/>
  <c r="Z121" i="4" s="1"/>
  <c r="Y120" i="4"/>
  <c r="Z120" i="4" s="1"/>
  <c r="Y119" i="4"/>
  <c r="Z119" i="4" s="1"/>
  <c r="Y118" i="4"/>
  <c r="I116" i="14" s="1"/>
  <c r="Y117" i="4"/>
  <c r="Y116" i="4"/>
  <c r="Z116" i="4" s="1"/>
  <c r="Y115" i="4"/>
  <c r="Z115" i="4" s="1"/>
  <c r="Y114" i="4"/>
  <c r="Z114" i="4" s="1"/>
  <c r="Y113" i="4"/>
  <c r="Z113" i="4" s="1"/>
  <c r="Y111" i="4"/>
  <c r="Z111" i="4" s="1"/>
  <c r="Z110" i="4"/>
  <c r="Y110" i="4"/>
  <c r="Y109" i="4"/>
  <c r="Z109" i="4" s="1"/>
  <c r="Y107" i="4"/>
  <c r="Z107" i="4" s="1"/>
  <c r="Y106" i="4"/>
  <c r="Z106" i="4" s="1"/>
  <c r="Y105" i="4"/>
  <c r="Z105" i="4" s="1"/>
  <c r="Z103" i="4"/>
  <c r="Y103" i="4"/>
  <c r="Y102" i="4"/>
  <c r="Z102" i="4" s="1"/>
  <c r="Y100" i="4"/>
  <c r="Z100" i="4" s="1"/>
  <c r="Y99" i="4"/>
  <c r="Z99" i="4" s="1"/>
  <c r="I99" i="14" s="1"/>
  <c r="Y97" i="4"/>
  <c r="Z97" i="4" s="1"/>
  <c r="I97" i="14" s="1"/>
  <c r="Y95" i="4"/>
  <c r="Z95" i="4" s="1"/>
  <c r="I95" i="14" s="1"/>
  <c r="Y94" i="4"/>
  <c r="Z94" i="4" s="1"/>
  <c r="I94" i="14" s="1"/>
  <c r="Y93" i="4"/>
  <c r="Z93" i="4" s="1"/>
  <c r="Y92" i="4"/>
  <c r="Z92" i="4" s="1"/>
  <c r="I92" i="14" s="1"/>
  <c r="Y90" i="4"/>
  <c r="Z90" i="4" s="1"/>
  <c r="Y89" i="4"/>
  <c r="Z89" i="4" s="1"/>
  <c r="Z87" i="4"/>
  <c r="Y87" i="4"/>
  <c r="Y86" i="4"/>
  <c r="Z86" i="4" s="1"/>
  <c r="Y84" i="4"/>
  <c r="Z84" i="4" s="1"/>
  <c r="Y83" i="4"/>
  <c r="Z83" i="4" s="1"/>
  <c r="I81" i="14" s="1"/>
  <c r="Y81" i="4"/>
  <c r="Z81" i="4" s="1"/>
  <c r="Z80" i="4"/>
  <c r="I82" i="14" s="1"/>
  <c r="Y80" i="4"/>
  <c r="Y79" i="4"/>
  <c r="Z79" i="4" s="1"/>
  <c r="Y78" i="4"/>
  <c r="Z78" i="4" s="1"/>
  <c r="Y77" i="4"/>
  <c r="I76" i="14" s="1"/>
  <c r="Y75" i="4"/>
  <c r="Z75" i="4" s="1"/>
  <c r="Y73" i="4"/>
  <c r="Z73" i="4" s="1"/>
  <c r="Y71" i="4"/>
  <c r="Z71" i="4" s="1"/>
  <c r="I71" i="14" s="1"/>
  <c r="Y70" i="4"/>
  <c r="Z70" i="4" s="1"/>
  <c r="Y68" i="4"/>
  <c r="Z68" i="4" s="1"/>
  <c r="I69" i="14" s="1"/>
  <c r="Y66" i="4"/>
  <c r="Z66" i="4" s="1"/>
  <c r="Y64" i="4"/>
  <c r="Z64" i="4" s="1"/>
  <c r="Z62" i="4"/>
  <c r="Y62" i="4"/>
  <c r="Y61" i="4"/>
  <c r="Z61" i="4" s="1"/>
  <c r="I65" i="14" s="1"/>
  <c r="Y59" i="4"/>
  <c r="Z59" i="4" s="1"/>
  <c r="Y58" i="4"/>
  <c r="Z58" i="4" s="1"/>
  <c r="Y57" i="4"/>
  <c r="Z57" i="4" s="1"/>
  <c r="Z56" i="4"/>
  <c r="I60" i="14" s="1"/>
  <c r="Y56" i="4"/>
  <c r="Y54" i="4"/>
  <c r="Z54" i="4" s="1"/>
  <c r="Y53" i="4"/>
  <c r="Z53" i="4" s="1"/>
  <c r="I58" i="14" s="1"/>
  <c r="Y52" i="4"/>
  <c r="Z52" i="4" s="1"/>
  <c r="I57" i="14" s="1"/>
  <c r="Y51" i="4"/>
  <c r="Z51" i="4" s="1"/>
  <c r="Y50" i="4"/>
  <c r="Z50" i="4" s="1"/>
  <c r="Y49" i="4"/>
  <c r="Z49" i="4" s="1"/>
  <c r="Y48" i="4"/>
  <c r="Z48" i="4" s="1"/>
  <c r="I53" i="14" s="1"/>
  <c r="Y47" i="4"/>
  <c r="Z47" i="4" s="1"/>
  <c r="I52" i="14" s="1"/>
  <c r="Y45" i="4"/>
  <c r="Z45" i="4" s="1"/>
  <c r="I50" i="14" s="1"/>
  <c r="Y44" i="4"/>
  <c r="Z44" i="4" s="1"/>
  <c r="Z43" i="4"/>
  <c r="Y43" i="4"/>
  <c r="Y42" i="4"/>
  <c r="Z42" i="4" s="1"/>
  <c r="Y41" i="4"/>
  <c r="Z41" i="4" s="1"/>
  <c r="Y40" i="4"/>
  <c r="Z40" i="4" s="1"/>
  <c r="I46" i="14" s="1"/>
  <c r="Y38" i="4"/>
  <c r="Z38" i="4" s="1"/>
  <c r="I44" i="14" s="1"/>
  <c r="Z37" i="4"/>
  <c r="I43" i="14" s="1"/>
  <c r="Y37" i="4"/>
  <c r="Y35" i="4"/>
  <c r="Z35" i="4" s="1"/>
  <c r="I41" i="14" s="1"/>
  <c r="Y33" i="4"/>
  <c r="Z33" i="4" s="1"/>
  <c r="I39" i="14" s="1"/>
  <c r="Y32" i="4"/>
  <c r="Z32" i="4" s="1"/>
  <c r="Y30" i="4"/>
  <c r="Z30" i="4" s="1"/>
  <c r="Y28" i="4"/>
  <c r="Z28" i="4" s="1"/>
  <c r="I36" i="14" s="1"/>
  <c r="Y27" i="4"/>
  <c r="Z27" i="4" s="1"/>
  <c r="Y25" i="4"/>
  <c r="Z25" i="4" s="1"/>
  <c r="Y24" i="4"/>
  <c r="Z24" i="4" s="1"/>
  <c r="I33" i="14" s="1"/>
  <c r="Y23" i="4"/>
  <c r="Z23" i="4" s="1"/>
  <c r="Y22" i="4"/>
  <c r="Z22" i="4" s="1"/>
  <c r="Z21" i="4"/>
  <c r="I31" i="14" s="1"/>
  <c r="Y21" i="4"/>
  <c r="Y20" i="4"/>
  <c r="Z20" i="4" s="1"/>
  <c r="Y19" i="4"/>
  <c r="Z19" i="4" s="1"/>
  <c r="AK164" i="3"/>
  <c r="AL164" i="3" s="1"/>
  <c r="AK163" i="3"/>
  <c r="AL163" i="3" s="1"/>
  <c r="AL162" i="3"/>
  <c r="AK162" i="3"/>
  <c r="AK160" i="3"/>
  <c r="AL160" i="3" s="1"/>
  <c r="AK159" i="3"/>
  <c r="AL159" i="3" s="1"/>
  <c r="AK158" i="3"/>
  <c r="AL158" i="3" s="1"/>
  <c r="G155" i="14" s="1"/>
  <c r="AG154" i="14" s="1"/>
  <c r="AK157" i="3"/>
  <c r="AL157" i="3" s="1"/>
  <c r="G154" i="14" s="1"/>
  <c r="AK155" i="3"/>
  <c r="AL155" i="3" s="1"/>
  <c r="AK154" i="3"/>
  <c r="AL154" i="3" s="1"/>
  <c r="AK153" i="3"/>
  <c r="AL153" i="3" s="1"/>
  <c r="AK152" i="3"/>
  <c r="AL152" i="3" s="1"/>
  <c r="AK151" i="3"/>
  <c r="AL151" i="3" s="1"/>
  <c r="AK150" i="3"/>
  <c r="AK149" i="3"/>
  <c r="G147" i="14" s="1"/>
  <c r="AK148" i="3"/>
  <c r="G146" i="14" s="1"/>
  <c r="AK146" i="3"/>
  <c r="AL146" i="3" s="1"/>
  <c r="G144" i="14" s="1"/>
  <c r="AK145" i="3"/>
  <c r="AL145" i="3" s="1"/>
  <c r="G143" i="14" s="1"/>
  <c r="AK144" i="3"/>
  <c r="AL144" i="3" s="1"/>
  <c r="AK142" i="3"/>
  <c r="AL142" i="3" s="1"/>
  <c r="AK141" i="3"/>
  <c r="AL141" i="3" s="1"/>
  <c r="AK140" i="3"/>
  <c r="AL140" i="3" s="1"/>
  <c r="AK138" i="3"/>
  <c r="AL138" i="3" s="1"/>
  <c r="AK137" i="3"/>
  <c r="AL137" i="3" s="1"/>
  <c r="AK136" i="3"/>
  <c r="AL136" i="3" s="1"/>
  <c r="AK135" i="3"/>
  <c r="AL135" i="3" s="1"/>
  <c r="AK134" i="3"/>
  <c r="G132" i="14" s="1"/>
  <c r="AK133" i="3"/>
  <c r="AL133" i="3" s="1"/>
  <c r="AK132" i="3"/>
  <c r="AL132" i="3" s="1"/>
  <c r="G130" i="14" s="1"/>
  <c r="AG130" i="14" s="1"/>
  <c r="AK131" i="3"/>
  <c r="AL131" i="3" s="1"/>
  <c r="G129" i="14" s="1"/>
  <c r="AG129" i="14" s="1"/>
  <c r="AK130" i="3"/>
  <c r="AL130" i="3" s="1"/>
  <c r="AK129" i="3"/>
  <c r="AL129" i="3" s="1"/>
  <c r="AK128" i="3"/>
  <c r="AL128" i="3" s="1"/>
  <c r="AK127" i="3"/>
  <c r="AL127" i="3" s="1"/>
  <c r="AK124" i="3"/>
  <c r="AL124" i="3" s="1"/>
  <c r="AK123" i="3"/>
  <c r="AL123" i="3" s="1"/>
  <c r="AK122" i="3"/>
  <c r="AL122" i="3" s="1"/>
  <c r="G120" i="14" s="1"/>
  <c r="AG120" i="14" s="1"/>
  <c r="AK121" i="3"/>
  <c r="AL121" i="3" s="1"/>
  <c r="AK120" i="3"/>
  <c r="AL120" i="3" s="1"/>
  <c r="AK119" i="3"/>
  <c r="AL119" i="3" s="1"/>
  <c r="AK118" i="3"/>
  <c r="AL118" i="3" s="1"/>
  <c r="G116" i="14" s="1"/>
  <c r="AK117" i="3"/>
  <c r="AL117" i="3" s="1"/>
  <c r="G115" i="14" s="1"/>
  <c r="AK116" i="3"/>
  <c r="AL116" i="3" s="1"/>
  <c r="AK115" i="3"/>
  <c r="AL115" i="3" s="1"/>
  <c r="AK114" i="3"/>
  <c r="AL114" i="3" s="1"/>
  <c r="AK113" i="3"/>
  <c r="AL113" i="3" s="1"/>
  <c r="AK111" i="3"/>
  <c r="AL111" i="3" s="1"/>
  <c r="AK110" i="3"/>
  <c r="AL110" i="3" s="1"/>
  <c r="AK109" i="3"/>
  <c r="AL109" i="3" s="1"/>
  <c r="AK107" i="3"/>
  <c r="AL107" i="3" s="1"/>
  <c r="AK106" i="3"/>
  <c r="AL106" i="3" s="1"/>
  <c r="AK103" i="3"/>
  <c r="AL103" i="3" s="1"/>
  <c r="AK102" i="3"/>
  <c r="AL102" i="3" s="1"/>
  <c r="G102" i="14" s="1"/>
  <c r="AK100" i="3"/>
  <c r="AL100" i="3" s="1"/>
  <c r="AK99" i="3"/>
  <c r="AL99" i="3" s="1"/>
  <c r="G99" i="14" s="1"/>
  <c r="AK97" i="3"/>
  <c r="AL97" i="3" s="1"/>
  <c r="G97" i="14" s="1"/>
  <c r="AK95" i="3"/>
  <c r="AL95" i="3" s="1"/>
  <c r="G95" i="14" s="1"/>
  <c r="AK94" i="3"/>
  <c r="AL94" i="3" s="1"/>
  <c r="G94" i="14" s="1"/>
  <c r="AK93" i="3"/>
  <c r="AL93" i="3" s="1"/>
  <c r="AK92" i="3"/>
  <c r="AL92" i="3" s="1"/>
  <c r="G92" i="14" s="1"/>
  <c r="AG93" i="14" s="1"/>
  <c r="AK90" i="3"/>
  <c r="AL90" i="3" s="1"/>
  <c r="AK89" i="3"/>
  <c r="AL89" i="3" s="1"/>
  <c r="AK87" i="3"/>
  <c r="AL87" i="3" s="1"/>
  <c r="G87" i="14" s="1"/>
  <c r="AG88" i="14" s="1"/>
  <c r="AK86" i="3"/>
  <c r="AL86" i="3" s="1"/>
  <c r="G85" i="14" s="1"/>
  <c r="AK84" i="3"/>
  <c r="AL84" i="3" s="1"/>
  <c r="AK81" i="3"/>
  <c r="AL81" i="3" s="1"/>
  <c r="AK80" i="3"/>
  <c r="AL80" i="3" s="1"/>
  <c r="G82" i="14" s="1"/>
  <c r="AK79" i="3"/>
  <c r="AL79" i="3" s="1"/>
  <c r="G78" i="14" s="1"/>
  <c r="AK78" i="3"/>
  <c r="AL78" i="3" s="1"/>
  <c r="AK77" i="3"/>
  <c r="AL77" i="3" s="1"/>
  <c r="G76" i="14" s="1"/>
  <c r="AK75" i="3"/>
  <c r="AL75" i="3" s="1"/>
  <c r="AK73" i="3"/>
  <c r="AL73" i="3" s="1"/>
  <c r="AK71" i="3"/>
  <c r="AL71" i="3" s="1"/>
  <c r="G71" i="14" s="1"/>
  <c r="AK70" i="3"/>
  <c r="AL70" i="3" s="1"/>
  <c r="AK68" i="3"/>
  <c r="AL68" i="3" s="1"/>
  <c r="G69" i="14" s="1"/>
  <c r="AK66" i="3"/>
  <c r="AL66" i="3" s="1"/>
  <c r="AK65" i="3"/>
  <c r="AL65" i="3" s="1"/>
  <c r="G67" i="14" s="1"/>
  <c r="AK64" i="3"/>
  <c r="AL64" i="3" s="1"/>
  <c r="AK63" i="3"/>
  <c r="AL63" i="3" s="1"/>
  <c r="AK62" i="3"/>
  <c r="AL62" i="3" s="1"/>
  <c r="AK59" i="3"/>
  <c r="AL59" i="3" s="1"/>
  <c r="AK58" i="3"/>
  <c r="AL58" i="3" s="1"/>
  <c r="AK57" i="3"/>
  <c r="AL57" i="3" s="1"/>
  <c r="AK56" i="3"/>
  <c r="AL56" i="3" s="1"/>
  <c r="G60" i="14" s="1"/>
  <c r="AK54" i="3"/>
  <c r="AL54" i="3" s="1"/>
  <c r="AK52" i="3"/>
  <c r="AL52" i="3" s="1"/>
  <c r="G57" i="14" s="1"/>
  <c r="AK51" i="3"/>
  <c r="AL51" i="3" s="1"/>
  <c r="AK50" i="3"/>
  <c r="AL50" i="3" s="1"/>
  <c r="AK49" i="3"/>
  <c r="AL49" i="3" s="1"/>
  <c r="AK48" i="3"/>
  <c r="AL48" i="3" s="1"/>
  <c r="G53" i="14" s="1"/>
  <c r="AK47" i="3"/>
  <c r="AL47" i="3" s="1"/>
  <c r="G52" i="14" s="1"/>
  <c r="AK45" i="3"/>
  <c r="AL45" i="3" s="1"/>
  <c r="G50" i="14" s="1"/>
  <c r="AK44" i="3"/>
  <c r="AL44" i="3" s="1"/>
  <c r="G49" i="14" s="1"/>
  <c r="AK43" i="3"/>
  <c r="AL43" i="3" s="1"/>
  <c r="AK42" i="3"/>
  <c r="AL42" i="3" s="1"/>
  <c r="AK40" i="3"/>
  <c r="AL40" i="3" s="1"/>
  <c r="G46" i="14" s="1"/>
  <c r="AK38" i="3"/>
  <c r="AL38" i="3" s="1"/>
  <c r="G44" i="14" s="1"/>
  <c r="AK37" i="3"/>
  <c r="AL37" i="3" s="1"/>
  <c r="G43" i="14" s="1"/>
  <c r="AK35" i="3"/>
  <c r="AL35" i="3" s="1"/>
  <c r="G41" i="14" s="1"/>
  <c r="AK33" i="3"/>
  <c r="AL33" i="3" s="1"/>
  <c r="G39" i="14" s="1"/>
  <c r="AK32" i="3"/>
  <c r="AL32" i="3" s="1"/>
  <c r="AK30" i="3"/>
  <c r="AL30" i="3" s="1"/>
  <c r="AK28" i="3"/>
  <c r="AL28" i="3" s="1"/>
  <c r="G36" i="14" s="1"/>
  <c r="AK27" i="3"/>
  <c r="AL27" i="3" s="1"/>
  <c r="AK25" i="3"/>
  <c r="AL25" i="3" s="1"/>
  <c r="AK24" i="3"/>
  <c r="AL24" i="3" s="1"/>
  <c r="G33" i="14" s="1"/>
  <c r="AK23" i="3"/>
  <c r="AL23" i="3" s="1"/>
  <c r="AK22" i="3"/>
  <c r="AL22" i="3" s="1"/>
  <c r="AK21" i="3"/>
  <c r="AL21" i="3" s="1"/>
  <c r="G31" i="14" s="1"/>
  <c r="AK20" i="3"/>
  <c r="AL20" i="3" s="1"/>
  <c r="AK19" i="3"/>
  <c r="AL19" i="3" s="1"/>
  <c r="Q167" i="2"/>
  <c r="R167" i="2" s="1"/>
  <c r="Q166" i="2"/>
  <c r="R166" i="2" s="1"/>
  <c r="Q165" i="2"/>
  <c r="R165" i="2" s="1"/>
  <c r="Q163" i="2"/>
  <c r="R163" i="2" s="1"/>
  <c r="Q162" i="2"/>
  <c r="R162" i="2" s="1"/>
  <c r="Q161" i="2"/>
  <c r="R161" i="2" s="1"/>
  <c r="Q160" i="2"/>
  <c r="R160" i="2" s="1"/>
  <c r="Q158" i="2"/>
  <c r="R158" i="2" s="1"/>
  <c r="Q157" i="2"/>
  <c r="R157" i="2" s="1"/>
  <c r="Q156" i="2"/>
  <c r="R156" i="2" s="1"/>
  <c r="Q155" i="2"/>
  <c r="R155" i="2" s="1"/>
  <c r="Q154" i="2"/>
  <c r="R154" i="2" s="1"/>
  <c r="Q153" i="2"/>
  <c r="E148" i="14" s="1"/>
  <c r="Q152" i="2"/>
  <c r="R152" i="2" s="1"/>
  <c r="E147" i="14" s="1"/>
  <c r="Q151" i="2"/>
  <c r="R151" i="2" s="1"/>
  <c r="Q149" i="2"/>
  <c r="R149" i="2" s="1"/>
  <c r="Q148" i="2"/>
  <c r="R148" i="2" s="1"/>
  <c r="Q147" i="2"/>
  <c r="R147" i="2" s="1"/>
  <c r="Q145" i="2"/>
  <c r="R145" i="2" s="1"/>
  <c r="Q144" i="2"/>
  <c r="R144" i="2" s="1"/>
  <c r="Q143" i="2"/>
  <c r="R143" i="2" s="1"/>
  <c r="Q141" i="2"/>
  <c r="R141" i="2" s="1"/>
  <c r="Q140" i="2"/>
  <c r="R140" i="2" s="1"/>
  <c r="Q139" i="2"/>
  <c r="R139" i="2" s="1"/>
  <c r="Q138" i="2"/>
  <c r="R138" i="2" s="1"/>
  <c r="Q137" i="2"/>
  <c r="R137" i="2" s="1"/>
  <c r="Q136" i="2"/>
  <c r="R136" i="2" s="1"/>
  <c r="Q135" i="2"/>
  <c r="R135" i="2" s="1"/>
  <c r="Q134" i="2"/>
  <c r="R134" i="2" s="1"/>
  <c r="Q133" i="2"/>
  <c r="R133" i="2" s="1"/>
  <c r="Q132" i="2"/>
  <c r="R132" i="2" s="1"/>
  <c r="Q131" i="2"/>
  <c r="R131" i="2" s="1"/>
  <c r="Q130" i="2"/>
  <c r="R130" i="2" s="1"/>
  <c r="Q127" i="2"/>
  <c r="R127" i="2" s="1"/>
  <c r="Q126" i="2"/>
  <c r="R126" i="2" s="1"/>
  <c r="Q125" i="2"/>
  <c r="R125" i="2" s="1"/>
  <c r="Q124" i="2"/>
  <c r="R124" i="2" s="1"/>
  <c r="Q123" i="2"/>
  <c r="R123" i="2" s="1"/>
  <c r="Q122" i="2"/>
  <c r="R122" i="2" s="1"/>
  <c r="Q121" i="2"/>
  <c r="R121" i="2" s="1"/>
  <c r="Q120" i="2"/>
  <c r="R120" i="2" s="1"/>
  <c r="Q119" i="2"/>
  <c r="R119" i="2" s="1"/>
  <c r="Q118" i="2"/>
  <c r="R118" i="2" s="1"/>
  <c r="Q117" i="2"/>
  <c r="R117" i="2" s="1"/>
  <c r="Q116" i="2"/>
  <c r="R116" i="2" s="1"/>
  <c r="Q114" i="2"/>
  <c r="R114" i="2" s="1"/>
  <c r="Q113" i="2"/>
  <c r="R113" i="2" s="1"/>
  <c r="Q112" i="2"/>
  <c r="R112" i="2" s="1"/>
  <c r="Q111" i="2"/>
  <c r="R111" i="2" s="1"/>
  <c r="Q110" i="2"/>
  <c r="R110" i="2" s="1"/>
  <c r="Q109" i="2"/>
  <c r="R109" i="2" s="1"/>
  <c r="Q108" i="2"/>
  <c r="R108" i="2" s="1"/>
  <c r="Q106" i="2"/>
  <c r="R106" i="2" s="1"/>
  <c r="Q105" i="2"/>
  <c r="R105" i="2" s="1"/>
  <c r="Q103" i="2"/>
  <c r="R103" i="2" s="1"/>
  <c r="Q102" i="2"/>
  <c r="R102" i="2" s="1"/>
  <c r="E99" i="14" s="1"/>
  <c r="Q100" i="2"/>
  <c r="R100" i="2" s="1"/>
  <c r="Q99" i="2"/>
  <c r="R99" i="2" s="1"/>
  <c r="Q98" i="2"/>
  <c r="R98" i="2" s="1"/>
  <c r="Q97" i="2"/>
  <c r="R97" i="2" s="1"/>
  <c r="Q96" i="2"/>
  <c r="R96" i="2" s="1"/>
  <c r="Q95" i="2"/>
  <c r="R95" i="2" s="1"/>
  <c r="Q94" i="2"/>
  <c r="R94" i="2" s="1"/>
  <c r="Q93" i="2"/>
  <c r="R93" i="2" s="1"/>
  <c r="Q92" i="2"/>
  <c r="R92" i="2" s="1"/>
  <c r="Q91" i="2"/>
  <c r="R91" i="2" s="1"/>
  <c r="Q90" i="2"/>
  <c r="R90" i="2" s="1"/>
  <c r="Q89" i="2"/>
  <c r="R89" i="2" s="1"/>
  <c r="Q88" i="2"/>
  <c r="R88" i="2" s="1"/>
  <c r="Q87" i="2"/>
  <c r="R87" i="2" s="1"/>
  <c r="Q86" i="2"/>
  <c r="R86" i="2" s="1"/>
  <c r="E80" i="14" s="1"/>
  <c r="AG80" i="14" s="1"/>
  <c r="Q84" i="2"/>
  <c r="R84" i="2" s="1"/>
  <c r="Q83" i="2"/>
  <c r="R83" i="2" s="1"/>
  <c r="E82" i="14" s="1"/>
  <c r="Q82" i="2"/>
  <c r="R82" i="2" s="1"/>
  <c r="Q81" i="2"/>
  <c r="R81" i="2" s="1"/>
  <c r="Q80" i="2"/>
  <c r="R80" i="2" s="1"/>
  <c r="Q79" i="2"/>
  <c r="R79" i="2" s="1"/>
  <c r="Q78" i="2"/>
  <c r="R78" i="2" s="1"/>
  <c r="Q76" i="2"/>
  <c r="R76" i="2" s="1"/>
  <c r="Q74" i="2"/>
  <c r="R74" i="2" s="1"/>
  <c r="Q72" i="2"/>
  <c r="R72" i="2" s="1"/>
  <c r="Q71" i="2"/>
  <c r="R71" i="2" s="1"/>
  <c r="Q69" i="2"/>
  <c r="R69" i="2" s="1"/>
  <c r="E69" i="14" s="1"/>
  <c r="Q67" i="2"/>
  <c r="R67" i="2" s="1"/>
  <c r="Q66" i="2"/>
  <c r="R66" i="2" s="1"/>
  <c r="E67" i="14" s="1"/>
  <c r="AG69" i="14" s="1"/>
  <c r="Q65" i="2"/>
  <c r="R65" i="2" s="1"/>
  <c r="Q64" i="2"/>
  <c r="R64" i="2" s="1"/>
  <c r="Q63" i="2"/>
  <c r="R63" i="2" s="1"/>
  <c r="Q62" i="2"/>
  <c r="R62" i="2" s="1"/>
  <c r="E65" i="14" s="1"/>
  <c r="Q60" i="2"/>
  <c r="R60" i="2" s="1"/>
  <c r="Q59" i="2"/>
  <c r="R59" i="2" s="1"/>
  <c r="Q58" i="2"/>
  <c r="R58" i="2" s="1"/>
  <c r="Q57" i="2"/>
  <c r="R57" i="2" s="1"/>
  <c r="E60" i="14" s="1"/>
  <c r="Q55" i="2"/>
  <c r="R55" i="2" s="1"/>
  <c r="Q54" i="2"/>
  <c r="R54" i="2" s="1"/>
  <c r="E58" i="14" s="1"/>
  <c r="Q53" i="2"/>
  <c r="R53" i="2" s="1"/>
  <c r="E57" i="14" s="1"/>
  <c r="Q52" i="2"/>
  <c r="R52" i="2" s="1"/>
  <c r="Q51" i="2"/>
  <c r="R51" i="2" s="1"/>
  <c r="Q50" i="2"/>
  <c r="R50" i="2" s="1"/>
  <c r="Q49" i="2"/>
  <c r="R49" i="2" s="1"/>
  <c r="E53" i="14" s="1"/>
  <c r="Q48" i="2"/>
  <c r="R48" i="2" s="1"/>
  <c r="E52" i="14" s="1"/>
  <c r="Q46" i="2"/>
  <c r="R46" i="2" s="1"/>
  <c r="E50" i="14" s="1"/>
  <c r="Q45" i="2"/>
  <c r="R45" i="2" s="1"/>
  <c r="E49" i="14" s="1"/>
  <c r="Q44" i="2"/>
  <c r="R44" i="2" s="1"/>
  <c r="Q43" i="2"/>
  <c r="R43" i="2" s="1"/>
  <c r="Q42" i="2"/>
  <c r="R42" i="2" s="1"/>
  <c r="Q41" i="2"/>
  <c r="R41" i="2" s="1"/>
  <c r="E46" i="14" s="1"/>
  <c r="Q40" i="2"/>
  <c r="R40" i="2" s="1"/>
  <c r="E45" i="14" s="1"/>
  <c r="Q39" i="2"/>
  <c r="R39" i="2" s="1"/>
  <c r="E44" i="14" s="1"/>
  <c r="Q38" i="2"/>
  <c r="R38" i="2" s="1"/>
  <c r="E43" i="14" s="1"/>
  <c r="Q36" i="2"/>
  <c r="Q33" i="2"/>
  <c r="Q31" i="2"/>
  <c r="Q29" i="2"/>
  <c r="R29" i="2" s="1"/>
  <c r="E36" i="14" s="1"/>
  <c r="Q28" i="2"/>
  <c r="R28" i="2" s="1"/>
  <c r="Q26" i="2"/>
  <c r="R26" i="2" s="1"/>
  <c r="E26" i="14" s="1"/>
  <c r="Q25" i="2"/>
  <c r="R33" i="2" s="1"/>
  <c r="Q24" i="2"/>
  <c r="R24" i="2" s="1"/>
  <c r="E24" i="14" s="1"/>
  <c r="Q23" i="2"/>
  <c r="R23" i="2" s="1"/>
  <c r="E23" i="14" s="1"/>
  <c r="Q22" i="2"/>
  <c r="R22" i="2" s="1"/>
  <c r="Q21" i="2"/>
  <c r="R21" i="2" s="1"/>
  <c r="E21" i="14" s="1"/>
  <c r="Q20" i="2"/>
  <c r="R20" i="2" s="1"/>
  <c r="E20" i="14" s="1"/>
  <c r="AG60" i="14" l="1"/>
  <c r="AG57" i="14"/>
  <c r="E22" i="14"/>
  <c r="AG31" i="14" s="1"/>
  <c r="E31" i="14"/>
  <c r="O153" i="14"/>
  <c r="AT152" i="7"/>
  <c r="R36" i="2"/>
  <c r="E41" i="14" s="1"/>
  <c r="Z118" i="4"/>
  <c r="I148" i="14"/>
  <c r="AG148" i="14" s="1"/>
  <c r="Z150" i="4"/>
  <c r="AL29" i="5"/>
  <c r="AL38" i="5"/>
  <c r="K143" i="14"/>
  <c r="AL146" i="5"/>
  <c r="O45" i="14"/>
  <c r="AG49" i="14" s="1"/>
  <c r="AT38" i="7"/>
  <c r="O69" i="14"/>
  <c r="AT65" i="7"/>
  <c r="O154" i="14"/>
  <c r="AG153" i="14" s="1"/>
  <c r="AT153" i="7"/>
  <c r="O160" i="14"/>
  <c r="AG160" i="14" s="1"/>
  <c r="AT158" i="7"/>
  <c r="G148" i="14"/>
  <c r="AL150" i="3"/>
  <c r="K44" i="14"/>
  <c r="AL39" i="5"/>
  <c r="Q116" i="14"/>
  <c r="V119" i="8"/>
  <c r="AG143" i="14"/>
  <c r="Z77" i="4"/>
  <c r="AL45" i="5"/>
  <c r="K78" i="14" s="1"/>
  <c r="AG78" i="14" s="1"/>
  <c r="AL147" i="5"/>
  <c r="I147" i="14"/>
  <c r="Z149" i="4"/>
  <c r="O88" i="14"/>
  <c r="AG89" i="14" s="1"/>
  <c r="AT87" i="7"/>
  <c r="O116" i="14"/>
  <c r="AG116" i="14" s="1"/>
  <c r="AT114" i="7"/>
  <c r="Q147" i="14"/>
  <c r="V150" i="8"/>
  <c r="K31" i="14"/>
  <c r="AL22" i="5"/>
  <c r="R25" i="2"/>
  <c r="R31" i="2"/>
  <c r="R153" i="2"/>
  <c r="AL134" i="3"/>
  <c r="AL148" i="3"/>
  <c r="AL25" i="5"/>
  <c r="K39" i="14"/>
  <c r="AL34" i="5"/>
  <c r="AL41" i="5"/>
  <c r="K76" i="14"/>
  <c r="AG76" i="14" s="1"/>
  <c r="AL78" i="5"/>
  <c r="O55" i="14"/>
  <c r="AT51" i="7"/>
  <c r="O57" i="14" s="1"/>
  <c r="O90" i="14"/>
  <c r="AG91" i="14" s="1"/>
  <c r="AT89" i="7"/>
  <c r="O143" i="14"/>
  <c r="AT141" i="7"/>
  <c r="I49" i="14"/>
  <c r="AG53" i="14" s="1"/>
  <c r="I78" i="14"/>
  <c r="K52" i="14"/>
  <c r="K53" i="14"/>
  <c r="K147" i="14"/>
  <c r="AG147" i="14" s="1"/>
  <c r="AL150" i="5"/>
  <c r="AG72" i="14"/>
  <c r="AL149" i="3"/>
  <c r="I115" i="14"/>
  <c r="AG115" i="14" s="1"/>
  <c r="Z117" i="4"/>
  <c r="O74" i="14"/>
  <c r="AT73" i="7"/>
  <c r="O159" i="14"/>
  <c r="AG159" i="14" s="1"/>
  <c r="AT157" i="7"/>
  <c r="Q148" i="14"/>
  <c r="V151" i="8"/>
  <c r="S49" i="14"/>
  <c r="S78" i="14"/>
  <c r="S96" i="14"/>
  <c r="K96" i="14"/>
  <c r="AG97" i="14" s="1"/>
  <c r="W146" i="14"/>
  <c r="AG146" i="14" s="1"/>
  <c r="AB149" i="11"/>
  <c r="M147" i="14"/>
  <c r="AB149" i="6"/>
  <c r="AT90" i="7"/>
  <c r="AT112" i="7"/>
  <c r="AT160" i="7"/>
  <c r="AL151" i="5"/>
  <c r="O95" i="14"/>
  <c r="AT92" i="7"/>
  <c r="AB150" i="6"/>
  <c r="AT78" i="7"/>
  <c r="O85" i="14"/>
  <c r="AG86" i="14" s="1"/>
  <c r="AT84" i="7"/>
  <c r="AT98" i="7"/>
  <c r="AT113" i="7"/>
  <c r="O132" i="14"/>
  <c r="AG132" i="14" s="1"/>
  <c r="AT130" i="7"/>
  <c r="K95" i="14"/>
  <c r="AG96" i="14" s="1"/>
  <c r="S95" i="14"/>
  <c r="AB150" i="11"/>
  <c r="W147" i="14"/>
  <c r="K94" i="14"/>
  <c r="AG95" i="14" s="1"/>
  <c r="S94" i="14"/>
  <c r="S115" i="14"/>
  <c r="AB116" i="9"/>
  <c r="U39" i="14"/>
  <c r="AT37" i="10"/>
  <c r="U49" i="14"/>
  <c r="AT48" i="10"/>
  <c r="U78" i="14" s="1"/>
  <c r="AG46" i="14"/>
  <c r="AB117" i="9"/>
  <c r="S148" i="14"/>
  <c r="AB149" i="9"/>
  <c r="U99" i="14"/>
  <c r="AT103" i="10"/>
  <c r="AG50" i="14"/>
  <c r="U76" i="14"/>
  <c r="AT81" i="10"/>
  <c r="W49" i="14"/>
  <c r="W78" i="14"/>
  <c r="Y148" i="14"/>
  <c r="Z151" i="12"/>
  <c r="AG43" i="14"/>
  <c r="S97" i="14"/>
  <c r="K97" i="14"/>
  <c r="AG98" i="14" s="1"/>
  <c r="U36" i="14"/>
  <c r="AG41" i="14" s="1"/>
  <c r="AT32" i="10"/>
  <c r="W116" i="14"/>
  <c r="AB119" i="11"/>
  <c r="W143" i="14"/>
  <c r="W144" i="14"/>
  <c r="AG144" i="14" s="1"/>
  <c r="AG44" i="14"/>
  <c r="AG81" i="14"/>
  <c r="AB151" i="11"/>
  <c r="Y49" i="14"/>
  <c r="Y78" i="14"/>
  <c r="AG20" i="14"/>
  <c r="AG36" i="14"/>
  <c r="AG102" i="14"/>
  <c r="Z150" i="12"/>
  <c r="Y147" i="14"/>
  <c r="E33" i="14" l="1"/>
  <c r="E25" i="14"/>
  <c r="AG33" i="14" s="1"/>
</calcChain>
</file>

<file path=xl/sharedStrings.xml><?xml version="1.0" encoding="utf-8"?>
<sst xmlns="http://schemas.openxmlformats.org/spreadsheetml/2006/main" count="12385" uniqueCount="490">
  <si>
    <t>SERVIU REGION DE LA ARAUCANIA</t>
  </si>
  <si>
    <t>CUADRO RESUMEN DE CONTROL RECEPCIONADO</t>
  </si>
  <si>
    <t>OBRA</t>
  </si>
  <si>
    <t>CAMPOS DEL SUR II</t>
  </si>
  <si>
    <t>FECHA</t>
  </si>
  <si>
    <t>12.02.2025</t>
  </si>
  <si>
    <t>R3</t>
  </si>
  <si>
    <t>R18</t>
  </si>
  <si>
    <t>R28</t>
  </si>
  <si>
    <t>R38</t>
  </si>
  <si>
    <t>R55</t>
  </si>
  <si>
    <t>R74</t>
  </si>
  <si>
    <t>R98</t>
  </si>
  <si>
    <t>R112</t>
  </si>
  <si>
    <t>COMUNA</t>
  </si>
  <si>
    <t>RENAICO</t>
  </si>
  <si>
    <t>R7</t>
  </si>
  <si>
    <t>R19</t>
  </si>
  <si>
    <t>R29</t>
  </si>
  <si>
    <t>R39</t>
  </si>
  <si>
    <t>R58</t>
  </si>
  <si>
    <t>R81</t>
  </si>
  <si>
    <t>R99</t>
  </si>
  <si>
    <t>R113</t>
  </si>
  <si>
    <t>CONTRATISTA</t>
  </si>
  <si>
    <t>CONSTRUCTORA CIMOL S.P.A</t>
  </si>
  <si>
    <t>R9</t>
  </si>
  <si>
    <t>R20</t>
  </si>
  <si>
    <t>R30</t>
  </si>
  <si>
    <t>R41</t>
  </si>
  <si>
    <t>R60</t>
  </si>
  <si>
    <t>R83</t>
  </si>
  <si>
    <t>R100</t>
  </si>
  <si>
    <t>R114</t>
  </si>
  <si>
    <t>RESIDENTE DE OBRA</t>
  </si>
  <si>
    <t>EDGAR MORALES ALARCON</t>
  </si>
  <si>
    <t>R10</t>
  </si>
  <si>
    <t>R21</t>
  </si>
  <si>
    <t>R31</t>
  </si>
  <si>
    <t>R42</t>
  </si>
  <si>
    <t>R61</t>
  </si>
  <si>
    <t>R84</t>
  </si>
  <si>
    <t>R101</t>
  </si>
  <si>
    <t>R116</t>
  </si>
  <si>
    <t>AUTOCONTROL</t>
  </si>
  <si>
    <t>IGNACIO MEDINA MEDINA</t>
  </si>
  <si>
    <t>R11</t>
  </si>
  <si>
    <t>R22</t>
  </si>
  <si>
    <t>R32</t>
  </si>
  <si>
    <t>R44</t>
  </si>
  <si>
    <t>R63</t>
  </si>
  <si>
    <t>R85</t>
  </si>
  <si>
    <t>R104</t>
  </si>
  <si>
    <t>R117</t>
  </si>
  <si>
    <t>MICHEL BERGER HUICHANAO</t>
  </si>
  <si>
    <t>R12</t>
  </si>
  <si>
    <t>R23</t>
  </si>
  <si>
    <t>R33</t>
  </si>
  <si>
    <t>R45</t>
  </si>
  <si>
    <t>R64</t>
  </si>
  <si>
    <t>R86</t>
  </si>
  <si>
    <t>R105</t>
  </si>
  <si>
    <t>E.P.</t>
  </si>
  <si>
    <t>PLAN SOCIAL</t>
  </si>
  <si>
    <t>VERSION</t>
  </si>
  <si>
    <t>1.0</t>
  </si>
  <si>
    <t>R13</t>
  </si>
  <si>
    <t>R24</t>
  </si>
  <si>
    <t>R34</t>
  </si>
  <si>
    <t>R46</t>
  </si>
  <si>
    <t>R65</t>
  </si>
  <si>
    <t>R87</t>
  </si>
  <si>
    <t>R106</t>
  </si>
  <si>
    <t>S.A.T.</t>
  </si>
  <si>
    <t>OBED CEA LONCONADO</t>
  </si>
  <si>
    <t>R14</t>
  </si>
  <si>
    <t>R25</t>
  </si>
  <si>
    <t>R35</t>
  </si>
  <si>
    <t>R47</t>
  </si>
  <si>
    <t>R67</t>
  </si>
  <si>
    <t>R88</t>
  </si>
  <si>
    <t>R107</t>
  </si>
  <si>
    <t>F.T.O.</t>
  </si>
  <si>
    <t>R15</t>
  </si>
  <si>
    <t>R26</t>
  </si>
  <si>
    <t>R36</t>
  </si>
  <si>
    <t>R51</t>
  </si>
  <si>
    <t>R68</t>
  </si>
  <si>
    <t>R90</t>
  </si>
  <si>
    <t>R109</t>
  </si>
  <si>
    <t>CODIGO</t>
  </si>
  <si>
    <t>R16</t>
  </si>
  <si>
    <t>R27</t>
  </si>
  <si>
    <t>R37</t>
  </si>
  <si>
    <t>R52</t>
  </si>
  <si>
    <t>R69</t>
  </si>
  <si>
    <t>R95</t>
  </si>
  <si>
    <t>R110</t>
  </si>
  <si>
    <t>ITEM</t>
  </si>
  <si>
    <t>DESIGNACIÓN</t>
  </si>
  <si>
    <t>UBICACIÓN</t>
  </si>
  <si>
    <t>VIVIENDA LOTE Nº</t>
  </si>
  <si>
    <t xml:space="preserve">MANZANA  : </t>
  </si>
  <si>
    <t>A</t>
  </si>
  <si>
    <t>T. REV</t>
  </si>
  <si>
    <t>TOTAL</t>
  </si>
  <si>
    <t xml:space="preserve">B </t>
  </si>
  <si>
    <t xml:space="preserve"> OBRA GRUESA</t>
  </si>
  <si>
    <t>AT</t>
  </si>
  <si>
    <t>RV</t>
  </si>
  <si>
    <t>B.1</t>
  </si>
  <si>
    <t>FUNDACIONES</t>
  </si>
  <si>
    <t>B.1.1</t>
  </si>
  <si>
    <t>Replanteo, trazado y niveles</t>
  </si>
  <si>
    <t>B.1.2</t>
  </si>
  <si>
    <t>Excavación</t>
  </si>
  <si>
    <t>B.1.3</t>
  </si>
  <si>
    <t>Emplantillado (G5)</t>
  </si>
  <si>
    <t>B.1.4</t>
  </si>
  <si>
    <t>Hormigón cimientos (G10)</t>
  </si>
  <si>
    <t>B.1.5</t>
  </si>
  <si>
    <t>Hormigón sobrecimientos (G17)</t>
  </si>
  <si>
    <t>B.1.6</t>
  </si>
  <si>
    <t>Enfierradura</t>
  </si>
  <si>
    <t>B.1.7</t>
  </si>
  <si>
    <t>Moldajes</t>
  </si>
  <si>
    <t>B.2</t>
  </si>
  <si>
    <t>RADIER</t>
  </si>
  <si>
    <t>B.2.1</t>
  </si>
  <si>
    <t>Base (Cama de ripio) e=0,08 mts</t>
  </si>
  <si>
    <t>B.2.2</t>
  </si>
  <si>
    <t>Hormigón (G15)</t>
  </si>
  <si>
    <t>B.3</t>
  </si>
  <si>
    <t xml:space="preserve">MUROS 1 piso </t>
  </si>
  <si>
    <t>B.3.3.1</t>
  </si>
  <si>
    <t>Entramado Estructural</t>
  </si>
  <si>
    <t>B.4</t>
  </si>
  <si>
    <t>ESTRUCTURA HORIZONTAL (ENTREPISO)</t>
  </si>
  <si>
    <t>B.4.4.1</t>
  </si>
  <si>
    <t>Madera</t>
  </si>
  <si>
    <t>B.4.4.2</t>
  </si>
  <si>
    <t>Terciado estructural (15mm)</t>
  </si>
  <si>
    <t>B.5</t>
  </si>
  <si>
    <t xml:space="preserve">MUROS 2 piso </t>
  </si>
  <si>
    <t>B.5.3.1</t>
  </si>
  <si>
    <t>Entramado Estructural (2do P)</t>
  </si>
  <si>
    <t>B.6</t>
  </si>
  <si>
    <t>CUBIERTA</t>
  </si>
  <si>
    <t>B.6.1.1</t>
  </si>
  <si>
    <t>B.6.2.1</t>
  </si>
  <si>
    <t>Acero galvanizado (0.35mm)</t>
  </si>
  <si>
    <t>B.6.3</t>
  </si>
  <si>
    <t>Hojalatería</t>
  </si>
  <si>
    <t>B.6.3.1</t>
  </si>
  <si>
    <t>Canales</t>
  </si>
  <si>
    <t>B.6.3.2</t>
  </si>
  <si>
    <t>Bajadas y Hojalaterias</t>
  </si>
  <si>
    <t>B.6.EX.1</t>
  </si>
  <si>
    <t>Caballete</t>
  </si>
  <si>
    <t>B.6.EX.2</t>
  </si>
  <si>
    <t>Esquineros</t>
  </si>
  <si>
    <t>B.6.EX.3</t>
  </si>
  <si>
    <t>Forro Terminal Alero</t>
  </si>
  <si>
    <t>B.6.EX.4</t>
  </si>
  <si>
    <t>Forro Cortagotera Sobrecimento</t>
  </si>
  <si>
    <t>C.1</t>
  </si>
  <si>
    <t xml:space="preserve">REVESTIMIENTOS MUROS Y TABIQUES </t>
  </si>
  <si>
    <t>C.1.1</t>
  </si>
  <si>
    <t>Exterior</t>
  </si>
  <si>
    <t>C.1.1.2</t>
  </si>
  <si>
    <t>Placas Smart Panel 11,1 mm tipo H</t>
  </si>
  <si>
    <t>C.1.1.3</t>
  </si>
  <si>
    <t>Placas de fibrocemento 4 mm</t>
  </si>
  <si>
    <t>C.1.2</t>
  </si>
  <si>
    <t>Interior zona seca</t>
  </si>
  <si>
    <t>C.1.2.2.1</t>
  </si>
  <si>
    <t>Yeso cartón 10 mm</t>
  </si>
  <si>
    <t>C.1.2.2.2</t>
  </si>
  <si>
    <t>Yeso cartón 15 mm (Adosamiento)</t>
  </si>
  <si>
    <t>C.1.3</t>
  </si>
  <si>
    <t>Interior zona húmeda</t>
  </si>
  <si>
    <t>C.1.3.3</t>
  </si>
  <si>
    <t>Fibrocemento 6 mm (Simplisima)</t>
  </si>
  <si>
    <t>C.2</t>
  </si>
  <si>
    <t>AISLACION TERMICA MUROS (INCLUYE BARRERAS DE HUMEDAD Y VAPOR)</t>
  </si>
  <si>
    <t>C.2.1.2</t>
  </si>
  <si>
    <t>Aislacion sobrecimiento 40 mm 15 kg/m3</t>
  </si>
  <si>
    <t>C.2.1.3</t>
  </si>
  <si>
    <t>Aislacion madera 4x4</t>
  </si>
  <si>
    <t>C.2.3.1</t>
  </si>
  <si>
    <t>Lana de vidrio  Muros Perimetrales 94 mm 11 kg/m3</t>
  </si>
  <si>
    <t>C.2.3.1.B</t>
  </si>
  <si>
    <t>Lana de vidrio 50 mm 11 kg/m3</t>
  </si>
  <si>
    <t>C.3</t>
  </si>
  <si>
    <t>CIELO</t>
  </si>
  <si>
    <t>C.3.2</t>
  </si>
  <si>
    <t>Estructura cielo falso</t>
  </si>
  <si>
    <t>C.3.2.1</t>
  </si>
  <si>
    <t>C.3.3</t>
  </si>
  <si>
    <t>Revestimiento zona seca</t>
  </si>
  <si>
    <t>C.3.3.1</t>
  </si>
  <si>
    <t>C.3.4</t>
  </si>
  <si>
    <t xml:space="preserve">Revestimiento zona húmeda </t>
  </si>
  <si>
    <t>C.3.4.2</t>
  </si>
  <si>
    <t>Yeso cartón 12.5 mm RH</t>
  </si>
  <si>
    <t>C.4</t>
  </si>
  <si>
    <t>AISLACIÓN TÉRMICA CUBIERTA</t>
  </si>
  <si>
    <t>C.4.3.1</t>
  </si>
  <si>
    <t>Lana de vidrio 160 mm 11 kg/m3</t>
  </si>
  <si>
    <t>C.5</t>
  </si>
  <si>
    <t>REVESTIMIENTO PISOS</t>
  </si>
  <si>
    <t>C.5.1.3</t>
  </si>
  <si>
    <t>Cerámica Antideslizante (piso)</t>
  </si>
  <si>
    <t>C.5.4</t>
  </si>
  <si>
    <t>Piso Flotante 6mm</t>
  </si>
  <si>
    <t>C.7</t>
  </si>
  <si>
    <t>ESCALERA INTERIOR</t>
  </si>
  <si>
    <t>C.7.1</t>
  </si>
  <si>
    <t>Escalera (estructura, peldaños, baranda y pasamanos)</t>
  </si>
  <si>
    <t>C.8</t>
  </si>
  <si>
    <t>ALEROS Y FRONTONES</t>
  </si>
  <si>
    <t>C.8.1.1</t>
  </si>
  <si>
    <t>Madera Frontones y Aleros</t>
  </si>
  <si>
    <t>C.8.2</t>
  </si>
  <si>
    <t>Revestimiento</t>
  </si>
  <si>
    <t>C.8.2.3</t>
  </si>
  <si>
    <t>Madera placas frontones smart panel H 11.1mm</t>
  </si>
  <si>
    <t>C.8.3</t>
  </si>
  <si>
    <t>Rejillas de ventilacion</t>
  </si>
  <si>
    <t>C.8.3.1</t>
  </si>
  <si>
    <t>Rejilla de ventilacion adicional (Cocina)</t>
  </si>
  <si>
    <t>C.8.4</t>
  </si>
  <si>
    <t>Tapacan (Smart Panel)</t>
  </si>
  <si>
    <t>C.8.5.1</t>
  </si>
  <si>
    <t>Fibrocemento 4 mm (Rev. Alero)</t>
  </si>
  <si>
    <t>C.9</t>
  </si>
  <si>
    <t>PUERTAS Y VENTANAS</t>
  </si>
  <si>
    <t>C.9.1</t>
  </si>
  <si>
    <t>Marcos</t>
  </si>
  <si>
    <t>C.9.1.1</t>
  </si>
  <si>
    <t>C.9.2</t>
  </si>
  <si>
    <t>Puertas interiores</t>
  </si>
  <si>
    <t>C.9.2.1</t>
  </si>
  <si>
    <t>Puerta ancho 70</t>
  </si>
  <si>
    <t>C.9.2.4</t>
  </si>
  <si>
    <t>Puerta ancho 85</t>
  </si>
  <si>
    <t>C.9.3</t>
  </si>
  <si>
    <t>Puerta exteriores</t>
  </si>
  <si>
    <t>C.9.3.1</t>
  </si>
  <si>
    <t>Puerta ancho 80 (Metalica)</t>
  </si>
  <si>
    <t>C.9.3.2</t>
  </si>
  <si>
    <t>Puerta ancho 85 (Metalica)</t>
  </si>
  <si>
    <t>C.9.4</t>
  </si>
  <si>
    <t>Quincallería (incluye chapas, perillas, bisagras y topes)</t>
  </si>
  <si>
    <t>C.9.4.1</t>
  </si>
  <si>
    <t>Puerta principal</t>
  </si>
  <si>
    <t>C.9.4.2</t>
  </si>
  <si>
    <t>Baño</t>
  </si>
  <si>
    <t>C.9.4.3</t>
  </si>
  <si>
    <t>Interior</t>
  </si>
  <si>
    <t>C.9.4.4</t>
  </si>
  <si>
    <t>Exterior cocina</t>
  </si>
  <si>
    <t>C.9.5</t>
  </si>
  <si>
    <t>Ventanas (incluye quincallería)</t>
  </si>
  <si>
    <t>C.9.5.2</t>
  </si>
  <si>
    <t>PVC TERMOPANEL</t>
  </si>
  <si>
    <t>C.10</t>
  </si>
  <si>
    <t>MOLDURAS</t>
  </si>
  <si>
    <t>C.10.1</t>
  </si>
  <si>
    <t>Guardapolvos</t>
  </si>
  <si>
    <t>C.10.2</t>
  </si>
  <si>
    <t>Cornisas</t>
  </si>
  <si>
    <t>C.11</t>
  </si>
  <si>
    <t>PINTURAS</t>
  </si>
  <si>
    <t>C.11.1</t>
  </si>
  <si>
    <t>Óleo</t>
  </si>
  <si>
    <t>C.11.2.2</t>
  </si>
  <si>
    <t>Esmalte (Exterior)</t>
  </si>
  <si>
    <t>C.12</t>
  </si>
  <si>
    <t>OBRAS EXTERIORES</t>
  </si>
  <si>
    <t>C.12.1</t>
  </si>
  <si>
    <t xml:space="preserve">Pavimento de Acceso </t>
  </si>
  <si>
    <t>C.12.1.1</t>
  </si>
  <si>
    <t>Pav. Hormigon</t>
  </si>
  <si>
    <t>C.12.1.4</t>
  </si>
  <si>
    <t>Rampa acceso vivienda</t>
  </si>
  <si>
    <t>C.12.2</t>
  </si>
  <si>
    <t>Cierros</t>
  </si>
  <si>
    <t>C.12.2.3</t>
  </si>
  <si>
    <t>Porton Patio (ancho min. 0.90m.)</t>
  </si>
  <si>
    <t>C.12.2.4</t>
  </si>
  <si>
    <t>Cierro entre propiedades (alt.1.80 m.)</t>
  </si>
  <si>
    <t>C.12.2.5</t>
  </si>
  <si>
    <t>Cierro Semi Opaco</t>
  </si>
  <si>
    <t>C. EXTRAS</t>
  </si>
  <si>
    <t>PARTIDAS DE OBRAS DE TERMINACION  AGREGADAS POR LA EMPRESA</t>
  </si>
  <si>
    <t>C.EX.1</t>
  </si>
  <si>
    <t>Barrera de Vapor - Muros</t>
  </si>
  <si>
    <t>C.EX.2</t>
  </si>
  <si>
    <t>Barrera de humedad</t>
  </si>
  <si>
    <t>C.EX.3</t>
  </si>
  <si>
    <t>Ojo Magico Digiltal</t>
  </si>
  <si>
    <t>C.EX.5</t>
  </si>
  <si>
    <t>Pozos de drenaje</t>
  </si>
  <si>
    <t>C.EX.6</t>
  </si>
  <si>
    <t xml:space="preserve">Molduras Puerta  </t>
  </si>
  <si>
    <t>C.EX.7</t>
  </si>
  <si>
    <t>Molduras Ventana</t>
  </si>
  <si>
    <t>C.EX.10</t>
  </si>
  <si>
    <t>Numeros Municipales</t>
  </si>
  <si>
    <t>C.EX.11</t>
  </si>
  <si>
    <t>Perfilado de Patio</t>
  </si>
  <si>
    <t>C.EX.14.1</t>
  </si>
  <si>
    <t>Cerradura Acceso Especial Seguridad</t>
  </si>
  <si>
    <t>C.EX.15</t>
  </si>
  <si>
    <t>Proteccion Metalica Ventana</t>
  </si>
  <si>
    <t>C.EX.16</t>
  </si>
  <si>
    <t>Closet melamina (vivienda movilidad reducida)</t>
  </si>
  <si>
    <t>C.EX.18</t>
  </si>
  <si>
    <t>Hormigon pavimento estacionamiento</t>
  </si>
  <si>
    <t>D</t>
  </si>
  <si>
    <t xml:space="preserve">INSTALACIONES </t>
  </si>
  <si>
    <t>D.1</t>
  </si>
  <si>
    <t>ARTEFACTOS SANITARIOS (Incl. grifería)</t>
  </si>
  <si>
    <t>D.1.1</t>
  </si>
  <si>
    <t>WC</t>
  </si>
  <si>
    <t>D.1.2</t>
  </si>
  <si>
    <t>Lavamanos con pedestal</t>
  </si>
  <si>
    <t>D.1.3</t>
  </si>
  <si>
    <t>Lavamanos sin pedestal (vivienda movilidad reducida)</t>
  </si>
  <si>
    <t>D.1.4</t>
  </si>
  <si>
    <t xml:space="preserve">Tina </t>
  </si>
  <si>
    <t>D.1.5</t>
  </si>
  <si>
    <t>Base ducha (vivienda movilidad reducida)</t>
  </si>
  <si>
    <t>D.1.6</t>
  </si>
  <si>
    <t>Lavadero</t>
  </si>
  <si>
    <t>D.1.7</t>
  </si>
  <si>
    <t xml:space="preserve">Lavaplatos con mueble </t>
  </si>
  <si>
    <t>D.1.8</t>
  </si>
  <si>
    <t xml:space="preserve">Lavaplatos con atril </t>
  </si>
  <si>
    <t>D.1.9</t>
  </si>
  <si>
    <t>Barras W.C. (viviendas movilidad reducida)</t>
  </si>
  <si>
    <t>D.1.10</t>
  </si>
  <si>
    <t>Barras ducha (viviendas movilidad reducida)</t>
  </si>
  <si>
    <t>D.1.11</t>
  </si>
  <si>
    <t>WC discapacitados</t>
  </si>
  <si>
    <t>D.1.12</t>
  </si>
  <si>
    <t>Base ducha tipo 2 (vivienda discapacidad)</t>
  </si>
  <si>
    <t>D.2</t>
  </si>
  <si>
    <t>RED AGUA POTABLE</t>
  </si>
  <si>
    <t>D.2.1</t>
  </si>
  <si>
    <t>MAP 1/2"</t>
  </si>
  <si>
    <t>D.2.4</t>
  </si>
  <si>
    <t>Red interior agua fría</t>
  </si>
  <si>
    <t>D.2.5</t>
  </si>
  <si>
    <t>Red interior agua caliente</t>
  </si>
  <si>
    <t>D.3</t>
  </si>
  <si>
    <t>RED ALCANTARILLADO</t>
  </si>
  <si>
    <t>D.3.1</t>
  </si>
  <si>
    <t>UD</t>
  </si>
  <si>
    <t>D.3.2</t>
  </si>
  <si>
    <t xml:space="preserve">Red interior </t>
  </si>
  <si>
    <t>D.3.4</t>
  </si>
  <si>
    <t>Cámara de inspeccion</t>
  </si>
  <si>
    <t>D.4</t>
  </si>
  <si>
    <t>INSTALACIONES ELECTRICAS</t>
  </si>
  <si>
    <t>D.4.1</t>
  </si>
  <si>
    <t>Medidor y Empalmes (Viviendas)</t>
  </si>
  <si>
    <t>D.4.2</t>
  </si>
  <si>
    <t>Tablero (automaticos, protecciones, etc)</t>
  </si>
  <si>
    <t>D.4.4</t>
  </si>
  <si>
    <t>Puesta a tierra</t>
  </si>
  <si>
    <t>D.4.5.1</t>
  </si>
  <si>
    <t>Canalizado eléctrico</t>
  </si>
  <si>
    <t>D.4.5.2</t>
  </si>
  <si>
    <t>Cableado eléctrico</t>
  </si>
  <si>
    <t>D.4.5.3</t>
  </si>
  <si>
    <t>Artefactos eléctricos</t>
  </si>
  <si>
    <t>D.4.5.4</t>
  </si>
  <si>
    <t>Red interior - Dimmer</t>
  </si>
  <si>
    <t>D.5</t>
  </si>
  <si>
    <t xml:space="preserve">INSTALACIONES DE GAS </t>
  </si>
  <si>
    <t>D.5.3</t>
  </si>
  <si>
    <t>Red interior</t>
  </si>
  <si>
    <t>D.5.4</t>
  </si>
  <si>
    <t>Calefón</t>
  </si>
  <si>
    <t>D.5.5</t>
  </si>
  <si>
    <t xml:space="preserve">Nicho para cilindros </t>
  </si>
  <si>
    <t>D.5.6</t>
  </si>
  <si>
    <t>Ductos Ventilación y Evacuación gases</t>
  </si>
  <si>
    <t>D.EX</t>
  </si>
  <si>
    <t>PARTIDAS DE OBRAS DE INSTALACIONES  AGREGADAS POR LA EMPRESA</t>
  </si>
  <si>
    <t>D.EX.1</t>
  </si>
  <si>
    <t>Extractor de aire</t>
  </si>
  <si>
    <t>D.EX.3</t>
  </si>
  <si>
    <t>Cortinas Roller Back Out</t>
  </si>
  <si>
    <t>D.EX.4</t>
  </si>
  <si>
    <t>Timbre de luz</t>
  </si>
  <si>
    <t xml:space="preserve">ADMINISTRADOR DE OBRA </t>
  </si>
  <si>
    <t>F.T.O</t>
  </si>
  <si>
    <t>MAURICIO DIAZ BARRA</t>
  </si>
  <si>
    <t>B</t>
  </si>
  <si>
    <t>C.6</t>
  </si>
  <si>
    <t>AISLACIÓN TÉRMICA PISOS</t>
  </si>
  <si>
    <t>C.6.3</t>
  </si>
  <si>
    <t>Lana de vidrio 80 mm 11 kg/m3</t>
  </si>
  <si>
    <t>SAT</t>
  </si>
  <si>
    <t>R4</t>
  </si>
  <si>
    <t>R5</t>
  </si>
  <si>
    <t>R6</t>
  </si>
  <si>
    <t>R17</t>
  </si>
  <si>
    <t>R8</t>
  </si>
  <si>
    <t>C</t>
  </si>
  <si>
    <t>R,3O</t>
  </si>
  <si>
    <t>E</t>
  </si>
  <si>
    <t>R217</t>
  </si>
  <si>
    <t>F</t>
  </si>
  <si>
    <t>R2</t>
  </si>
  <si>
    <t>G</t>
  </si>
  <si>
    <t>R.28</t>
  </si>
  <si>
    <t>H</t>
  </si>
  <si>
    <t>I</t>
  </si>
  <si>
    <t>S.A.T</t>
  </si>
  <si>
    <t>J</t>
  </si>
  <si>
    <t xml:space="preserve"> R24</t>
  </si>
  <si>
    <t>R21+</t>
  </si>
  <si>
    <t>R197</t>
  </si>
  <si>
    <t>K</t>
  </si>
  <si>
    <t>L</t>
  </si>
  <si>
    <t>SALA MULTIUSO</t>
  </si>
  <si>
    <t>Hormigón (G-17)</t>
  </si>
  <si>
    <t>B.3.3</t>
  </si>
  <si>
    <t>B.3.3.2</t>
  </si>
  <si>
    <t>Entramado No Estructural</t>
  </si>
  <si>
    <t>B.6.1</t>
  </si>
  <si>
    <t>Estructura (inc. Costaneras)</t>
  </si>
  <si>
    <t>B.6.2</t>
  </si>
  <si>
    <t>Cubierta (inc. Cumbreras)</t>
  </si>
  <si>
    <t>B. EXTRAS</t>
  </si>
  <si>
    <t xml:space="preserve">PARTIDAS DE OBRA GRUESA AGREGADAS POR LA EMPRESA	</t>
  </si>
  <si>
    <t xml:space="preserve"> OBRAS DE TERMINACION</t>
  </si>
  <si>
    <t>C.1.1.3.2</t>
  </si>
  <si>
    <t>Madera placas Smart Panel 11,1 mm</t>
  </si>
  <si>
    <t>C.1.1.3.3</t>
  </si>
  <si>
    <t>Placa de fibrocemento 4 mm</t>
  </si>
  <si>
    <t>C.1.3.2</t>
  </si>
  <si>
    <t>Fibrocemento 6 mm</t>
  </si>
  <si>
    <t>C.1.3.4</t>
  </si>
  <si>
    <t>Yeso cartón 12,5 mm RH</t>
  </si>
  <si>
    <t>Lana de vidrio 50 mm 14 kg/m3</t>
  </si>
  <si>
    <t>C.4.3.2</t>
  </si>
  <si>
    <t>Lana de vidrio  80 mm  11 kg/m3</t>
  </si>
  <si>
    <t>C.8.1</t>
  </si>
  <si>
    <t>Estructura</t>
  </si>
  <si>
    <t>C.8.1.3</t>
  </si>
  <si>
    <t>Alero acceso vivienda</t>
  </si>
  <si>
    <t>Madera placas frontones smart panel 11.1mm</t>
  </si>
  <si>
    <t>C.8.2.4</t>
  </si>
  <si>
    <t>Tapacan (Smart Panel 11.1mm)</t>
  </si>
  <si>
    <t>C.9.2.3</t>
  </si>
  <si>
    <t>Puerta ancho 80</t>
  </si>
  <si>
    <t>PVC</t>
  </si>
  <si>
    <t>C.11.2</t>
  </si>
  <si>
    <t>Esmalte</t>
  </si>
  <si>
    <t>C.11.2.1</t>
  </si>
  <si>
    <t>Esmalte (Interior)</t>
  </si>
  <si>
    <t>C.12.1.2</t>
  </si>
  <si>
    <t>Pav. Hormigon (A=0,80 mt, e =0,07 mt, G17)</t>
  </si>
  <si>
    <t>Rampa acceso vivienda (incluye baranda doble altura)</t>
  </si>
  <si>
    <t>C.12.2.4.3</t>
  </si>
  <si>
    <t>Barrera de Vapor</t>
  </si>
  <si>
    <t>C.EX.17</t>
  </si>
  <si>
    <t>Placa madera closet</t>
  </si>
  <si>
    <t>Hormigón pavimento estacionamiento</t>
  </si>
  <si>
    <t>D.4.5</t>
  </si>
  <si>
    <t>UBICACIÓN:</t>
  </si>
  <si>
    <t>MANZANA</t>
  </si>
  <si>
    <t>SEDE SOCIAL</t>
  </si>
  <si>
    <t xml:space="preserve">MZ-A </t>
  </si>
  <si>
    <t>MZ-B</t>
  </si>
  <si>
    <t>MZ-C</t>
  </si>
  <si>
    <t>MZ-D</t>
  </si>
  <si>
    <t>MZ-E</t>
  </si>
  <si>
    <t>MZ-F</t>
  </si>
  <si>
    <t>MZ-G</t>
  </si>
  <si>
    <t>MZ-H</t>
  </si>
  <si>
    <t>MZ-I</t>
  </si>
  <si>
    <t>MZ-J</t>
  </si>
  <si>
    <t>MZ-K</t>
  </si>
  <si>
    <t>MZ-L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</si>
</sst>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d\-m\-yy;@"/>
    <numFmt numFmtId="165" formatCode="_-* #,##0.00_-;\-* #,##0.00_-;_-* &quot;-&quot;??_-;_-@_-"/>
  </numFmts>
  <fonts count="8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name val="Tahoma"/>
      <family val="2"/>
    </font>
    <font>
      <b/>
      <sz val="28"/>
      <name val="Tahoma"/>
      <family val="2"/>
    </font>
    <font>
      <sz val="10"/>
      <name val="Arial"/>
      <family val="2"/>
    </font>
    <font>
      <u/>
      <sz val="7.5"/>
      <color indexed="12"/>
      <name val="Tahoma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name val="Tahoma"/>
      <family val="2"/>
    </font>
    <font>
      <sz val="17"/>
      <name val="Arial"/>
      <family val="2"/>
    </font>
    <font>
      <sz val="17"/>
      <name val="Tahoma"/>
      <family val="2"/>
    </font>
    <font>
      <b/>
      <sz val="18"/>
      <name val="Aptos Narrow"/>
      <family val="2"/>
      <scheme val="minor"/>
    </font>
    <font>
      <b/>
      <sz val="14"/>
      <name val="Aptos Narrow"/>
      <family val="2"/>
      <scheme val="minor"/>
    </font>
    <font>
      <b/>
      <sz val="16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6"/>
      <color theme="1"/>
      <name val="Arial"/>
      <family val="2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20"/>
      <name val="Aptos Narrow"/>
      <family val="2"/>
      <scheme val="minor"/>
    </font>
    <font>
      <b/>
      <sz val="16"/>
      <name val="Aptos Narrow"/>
      <family val="2"/>
      <scheme val="minor"/>
    </font>
    <font>
      <sz val="16"/>
      <name val="Aptos Narrow"/>
      <family val="2"/>
      <scheme val="minor"/>
    </font>
    <font>
      <b/>
      <sz val="18"/>
      <color indexed="8"/>
      <name val="Aptos Narrow"/>
      <family val="2"/>
      <scheme val="minor"/>
    </font>
    <font>
      <sz val="12"/>
      <color indexed="8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b/>
      <u/>
      <sz val="16"/>
      <color indexed="12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8"/>
      <name val="Aptos Narrow"/>
      <family val="2"/>
      <scheme val="minor"/>
    </font>
    <font>
      <sz val="12"/>
      <name val="Aptos Narrow"/>
      <family val="2"/>
      <scheme val="minor"/>
    </font>
    <font>
      <sz val="17"/>
      <name val="Aptos Narrow"/>
      <family val="2"/>
      <scheme val="minor"/>
    </font>
    <font>
      <sz val="14"/>
      <name val="Aptos Narrow"/>
      <family val="2"/>
      <scheme val="minor"/>
    </font>
    <font>
      <b/>
      <sz val="28"/>
      <name val="Aptos Narrow"/>
      <family val="2"/>
      <scheme val="minor"/>
    </font>
    <font>
      <b/>
      <sz val="16"/>
      <color indexed="8"/>
      <name val="Aptos Narrow"/>
      <family val="2"/>
      <scheme val="minor"/>
    </font>
    <font>
      <sz val="16"/>
      <color indexed="8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8"/>
      <color indexed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u/>
      <sz val="18"/>
      <color indexed="12"/>
      <name val="Aptos Narrow"/>
      <family val="2"/>
      <scheme val="minor"/>
    </font>
    <font>
      <b/>
      <sz val="18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2"/>
      <name val="Tahoma"/>
      <family val="2"/>
    </font>
    <font>
      <sz val="12"/>
      <color theme="1"/>
      <name val="Aptos Narrow"/>
      <family val="2"/>
      <scheme val="minor"/>
    </font>
    <font>
      <sz val="12"/>
      <name val="Tahoma"/>
      <family val="2"/>
    </font>
    <font>
      <b/>
      <sz val="26"/>
      <color indexed="8"/>
      <name val="Aptos Narrow"/>
      <family val="2"/>
      <scheme val="minor"/>
    </font>
    <font>
      <b/>
      <sz val="26"/>
      <name val="Aptos Narrow"/>
      <family val="2"/>
      <scheme val="minor"/>
    </font>
    <font>
      <sz val="26"/>
      <color indexed="8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u/>
      <sz val="26"/>
      <color indexed="12"/>
      <name val="Aptos Narrow"/>
      <family val="2"/>
      <scheme val="minor"/>
    </font>
    <font>
      <sz val="26"/>
      <name val="Aptos Narrow"/>
      <family val="2"/>
      <scheme val="minor"/>
    </font>
    <font>
      <b/>
      <sz val="36"/>
      <name val="Aptos Narrow"/>
      <family val="2"/>
      <scheme val="minor"/>
    </font>
    <font>
      <b/>
      <sz val="48"/>
      <name val="Aptos Narrow"/>
      <family val="2"/>
      <scheme val="minor"/>
    </font>
    <font>
      <b/>
      <sz val="48"/>
      <name val="Tahoma"/>
      <family val="2"/>
    </font>
    <font>
      <b/>
      <sz val="26"/>
      <color theme="1"/>
      <name val="Arial"/>
      <family val="2"/>
    </font>
    <font>
      <sz val="26"/>
      <color theme="1"/>
      <name val="Arial"/>
      <family val="2"/>
    </font>
    <font>
      <b/>
      <sz val="26"/>
      <name val="Tahoma"/>
      <family val="2"/>
    </font>
    <font>
      <sz val="26"/>
      <name val="Tahoma"/>
      <family val="2"/>
    </font>
    <font>
      <sz val="26"/>
      <name val="Arial"/>
      <family val="2"/>
    </font>
    <font>
      <b/>
      <sz val="22"/>
      <name val="Aptos Narrow"/>
      <family val="2"/>
      <scheme val="minor"/>
    </font>
    <font>
      <b/>
      <sz val="22"/>
      <name val="Tahoma"/>
      <family val="2"/>
    </font>
    <font>
      <sz val="22"/>
      <color theme="1"/>
      <name val="Aptos Narrow"/>
      <family val="2"/>
      <scheme val="minor"/>
    </font>
    <font>
      <sz val="22"/>
      <name val="Aptos Narrow"/>
      <family val="2"/>
      <scheme val="minor"/>
    </font>
    <font>
      <b/>
      <sz val="22"/>
      <color indexed="8"/>
      <name val="Aptos Narrow"/>
      <family val="2"/>
      <scheme val="minor"/>
    </font>
    <font>
      <sz val="22"/>
      <color indexed="8"/>
      <name val="Aptos Narrow"/>
      <family val="2"/>
      <scheme val="minor"/>
    </font>
    <font>
      <b/>
      <sz val="22"/>
      <color theme="1"/>
      <name val="Arial"/>
      <family val="2"/>
    </font>
    <font>
      <sz val="22"/>
      <color theme="1"/>
      <name val="Arial"/>
      <family val="2"/>
    </font>
    <font>
      <sz val="20"/>
      <name val="Aptos Narrow"/>
      <family val="2"/>
      <scheme val="minor"/>
    </font>
    <font>
      <sz val="28"/>
      <name val="Aptos Narrow"/>
      <family val="2"/>
      <scheme val="minor"/>
    </font>
    <font>
      <sz val="20"/>
      <color indexed="8"/>
      <name val="Aptos Narrow"/>
      <family val="2"/>
      <scheme val="minor"/>
    </font>
    <font>
      <u/>
      <sz val="20"/>
      <name val="Aptos Narrow"/>
      <family val="2"/>
      <scheme val="minor"/>
    </font>
    <font>
      <b/>
      <u/>
      <sz val="22"/>
      <color indexed="12"/>
      <name val="Aptos Narrow"/>
      <family val="2"/>
      <scheme val="minor"/>
    </font>
    <font>
      <b/>
      <sz val="24"/>
      <color indexed="8"/>
      <name val="Aptos Narrow"/>
      <family val="2"/>
      <scheme val="minor"/>
    </font>
    <font>
      <sz val="24"/>
      <color indexed="8"/>
      <name val="Aptos Narrow"/>
      <family val="2"/>
      <scheme val="minor"/>
    </font>
    <font>
      <b/>
      <sz val="24"/>
      <name val="Aptos Narrow"/>
      <family val="2"/>
      <scheme val="minor"/>
    </font>
    <font>
      <sz val="22"/>
      <name val="Tahoma"/>
      <family val="2"/>
    </font>
    <font>
      <b/>
      <sz val="14"/>
      <name val="Calibri"/>
      <family val="2"/>
    </font>
  </fonts>
  <fills count="6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FFF00"/>
      </patternFill>
    </fill>
    <fill>
      <patternFill patternType="solid">
        <fgColor theme="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B67BC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DEA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1E2F1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532F3E"/>
        <bgColor indexed="64"/>
      </patternFill>
    </fill>
    <fill>
      <patternFill patternType="solid">
        <fgColor rgb="FF660033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0066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FFFF"/>
        <bgColor rgb="FF000000"/>
      </patternFill>
    </fill>
  </fills>
  <borders count="7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2">
    <xf numFmtId="0" fontId="0" fillId="0" borderId="0"/>
    <xf numFmtId="0" fontId="4" fillId="0" borderId="0"/>
    <xf numFmtId="0" fontId="5" fillId="0" borderId="0">
      <alignment vertical="top"/>
      <protection locked="0"/>
    </xf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43" fontId="4" fillId="0" borderId="0"/>
    <xf numFmtId="0" fontId="17" fillId="9" borderId="0"/>
    <xf numFmtId="165" fontId="4" fillId="0" borderId="0"/>
    <xf numFmtId="9" fontId="1" fillId="0" borderId="0"/>
  </cellStyleXfs>
  <cellXfs count="1317">
    <xf numFmtId="0" fontId="0" fillId="0" borderId="0" xfId="0"/>
    <xf numFmtId="0" fontId="0" fillId="2" borderId="0" xfId="0" applyFill="1"/>
    <xf numFmtId="0" fontId="9" fillId="3" borderId="0" xfId="0" applyFont="1" applyFill="1"/>
    <xf numFmtId="0" fontId="9" fillId="2" borderId="0" xfId="0" applyFont="1" applyFill="1"/>
    <xf numFmtId="0" fontId="9" fillId="0" borderId="0" xfId="0" applyFont="1"/>
    <xf numFmtId="0" fontId="10" fillId="2" borderId="0" xfId="0" applyFont="1" applyFill="1" applyAlignment="1">
      <alignment vertical="center" wrapText="1"/>
    </xf>
    <xf numFmtId="0" fontId="6" fillId="2" borderId="26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top" wrapText="1"/>
    </xf>
    <xf numFmtId="0" fontId="0" fillId="2" borderId="14" xfId="0" applyFill="1" applyBorder="1"/>
    <xf numFmtId="0" fontId="12" fillId="2" borderId="0" xfId="0" applyFont="1" applyFill="1" applyAlignment="1">
      <alignment vertical="center" wrapText="1"/>
    </xf>
    <xf numFmtId="0" fontId="9" fillId="2" borderId="39" xfId="0" applyFont="1" applyFill="1" applyBorder="1" applyAlignment="1">
      <alignment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0" fontId="3" fillId="2" borderId="0" xfId="0" applyFont="1" applyFill="1" applyAlignment="1">
      <alignment horizontal="center" vertical="center"/>
    </xf>
    <xf numFmtId="14" fontId="15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23" fillId="2" borderId="41" xfId="0" applyFont="1" applyFill="1" applyBorder="1" applyAlignment="1">
      <alignment horizontal="left" vertical="center"/>
    </xf>
    <xf numFmtId="0" fontId="23" fillId="2" borderId="42" xfId="0" applyFont="1" applyFill="1" applyBorder="1" applyAlignment="1">
      <alignment horizontal="left" vertical="center"/>
    </xf>
    <xf numFmtId="0" fontId="23" fillId="2" borderId="45" xfId="0" applyFont="1" applyFill="1" applyBorder="1" applyAlignment="1">
      <alignment horizontal="left" vertical="center"/>
    </xf>
    <xf numFmtId="0" fontId="31" fillId="2" borderId="32" xfId="0" applyFont="1" applyFill="1" applyBorder="1" applyAlignment="1">
      <alignment horizontal="right" vertical="center" wrapText="1"/>
    </xf>
    <xf numFmtId="0" fontId="31" fillId="2" borderId="39" xfId="0" applyFont="1" applyFill="1" applyBorder="1" applyAlignment="1">
      <alignment vertical="center" wrapText="1"/>
    </xf>
    <xf numFmtId="0" fontId="13" fillId="0" borderId="32" xfId="0" applyFont="1" applyBorder="1" applyAlignment="1">
      <alignment horizontal="right" vertical="center" wrapText="1"/>
    </xf>
    <xf numFmtId="0" fontId="13" fillId="0" borderId="39" xfId="0" applyFont="1" applyBorder="1" applyAlignment="1">
      <alignment vertical="center" wrapText="1"/>
    </xf>
    <xf numFmtId="0" fontId="31" fillId="2" borderId="32" xfId="0" applyFont="1" applyFill="1" applyBorder="1" applyAlignment="1">
      <alignment horizontal="right" vertical="center"/>
    </xf>
    <xf numFmtId="0" fontId="13" fillId="2" borderId="32" xfId="0" applyFont="1" applyFill="1" applyBorder="1" applyAlignment="1">
      <alignment horizontal="right" vertical="center" wrapText="1"/>
    </xf>
    <xf numFmtId="0" fontId="13" fillId="2" borderId="39" xfId="0" applyFont="1" applyFill="1" applyBorder="1" applyAlignment="1">
      <alignment vertical="center" wrapText="1"/>
    </xf>
    <xf numFmtId="0" fontId="31" fillId="0" borderId="32" xfId="0" applyFont="1" applyBorder="1" applyAlignment="1">
      <alignment horizontal="right" vertical="center" wrapText="1"/>
    </xf>
    <xf numFmtId="0" fontId="31" fillId="0" borderId="39" xfId="0" applyFont="1" applyBorder="1" applyAlignment="1">
      <alignment vertical="center" wrapText="1"/>
    </xf>
    <xf numFmtId="0" fontId="31" fillId="0" borderId="39" xfId="0" applyFont="1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31" fillId="0" borderId="35" xfId="0" applyFont="1" applyBorder="1" applyAlignment="1">
      <alignment horizontal="right" vertical="center" wrapText="1"/>
    </xf>
    <xf numFmtId="0" fontId="31" fillId="0" borderId="19" xfId="0" applyFont="1" applyBorder="1" applyAlignment="1">
      <alignment vertical="center" wrapText="1"/>
    </xf>
    <xf numFmtId="0" fontId="20" fillId="2" borderId="0" xfId="6" applyFont="1" applyFill="1"/>
    <xf numFmtId="0" fontId="14" fillId="2" borderId="14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0" fillId="3" borderId="0" xfId="0" applyFill="1"/>
    <xf numFmtId="0" fontId="21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 applyAlignment="1">
      <alignment vertical="center" wrapText="1"/>
    </xf>
    <xf numFmtId="0" fontId="31" fillId="2" borderId="0" xfId="0" applyFont="1" applyFill="1" applyAlignment="1">
      <alignment vertical="center" wrapText="1"/>
    </xf>
    <xf numFmtId="0" fontId="34" fillId="2" borderId="0" xfId="0" applyFont="1" applyFill="1" applyAlignment="1">
      <alignment vertical="center" wrapText="1"/>
    </xf>
    <xf numFmtId="0" fontId="16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 vertical="center" wrapText="1"/>
    </xf>
    <xf numFmtId="0" fontId="34" fillId="2" borderId="0" xfId="0" applyFont="1" applyFill="1"/>
    <xf numFmtId="0" fontId="28" fillId="2" borderId="0" xfId="0" applyFont="1" applyFill="1" applyAlignment="1">
      <alignment horizontal="center"/>
    </xf>
    <xf numFmtId="0" fontId="35" fillId="2" borderId="0" xfId="0" applyFont="1" applyFill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164" fontId="37" fillId="2" borderId="1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14" fontId="7" fillId="2" borderId="0" xfId="0" applyNumberFormat="1" applyFont="1" applyFill="1" applyAlignment="1">
      <alignment horizontal="center" vertical="center"/>
    </xf>
    <xf numFmtId="0" fontId="37" fillId="2" borderId="5" xfId="0" applyFont="1" applyFill="1" applyBorder="1" applyAlignment="1">
      <alignment horizontal="center" vertical="center"/>
    </xf>
    <xf numFmtId="164" fontId="37" fillId="2" borderId="5" xfId="0" applyNumberFormat="1" applyFont="1" applyFill="1" applyBorder="1" applyAlignment="1">
      <alignment horizontal="center" vertical="center"/>
    </xf>
    <xf numFmtId="0" fontId="38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37" fillId="2" borderId="55" xfId="0" applyFont="1" applyFill="1" applyBorder="1" applyAlignment="1">
      <alignment horizontal="center" vertical="center"/>
    </xf>
    <xf numFmtId="164" fontId="37" fillId="2" borderId="55" xfId="0" applyNumberFormat="1" applyFont="1" applyFill="1" applyBorder="1" applyAlignment="1">
      <alignment horizontal="center" vertical="center"/>
    </xf>
    <xf numFmtId="0" fontId="38" fillId="2" borderId="55" xfId="0" applyFont="1" applyFill="1" applyBorder="1" applyAlignment="1">
      <alignment horizontal="center" vertical="center"/>
    </xf>
    <xf numFmtId="0" fontId="39" fillId="3" borderId="14" xfId="0" applyFont="1" applyFill="1" applyBorder="1" applyAlignment="1">
      <alignment horizontal="left" vertical="center"/>
    </xf>
    <xf numFmtId="0" fontId="28" fillId="3" borderId="14" xfId="0" applyFont="1" applyFill="1" applyBorder="1"/>
    <xf numFmtId="0" fontId="28" fillId="2" borderId="14" xfId="0" applyFont="1" applyFill="1" applyBorder="1"/>
    <xf numFmtId="0" fontId="28" fillId="2" borderId="0" xfId="0" applyFont="1" applyFill="1"/>
    <xf numFmtId="0" fontId="0" fillId="2" borderId="7" xfId="0" applyFill="1" applyBorder="1"/>
    <xf numFmtId="0" fontId="39" fillId="3" borderId="16" xfId="0" applyFont="1" applyFill="1" applyBorder="1" applyAlignment="1">
      <alignment horizontal="left" vertical="center"/>
    </xf>
    <xf numFmtId="0" fontId="28" fillId="3" borderId="16" xfId="0" applyFont="1" applyFill="1" applyBorder="1" applyAlignment="1">
      <alignment horizontal="center"/>
    </xf>
    <xf numFmtId="0" fontId="28" fillId="3" borderId="16" xfId="0" applyFont="1" applyFill="1" applyBorder="1"/>
    <xf numFmtId="0" fontId="28" fillId="0" borderId="16" xfId="0" applyFont="1" applyBorder="1"/>
    <xf numFmtId="0" fontId="26" fillId="3" borderId="17" xfId="0" applyFont="1" applyFill="1" applyBorder="1" applyAlignment="1">
      <alignment vertical="center"/>
    </xf>
    <xf numFmtId="0" fontId="26" fillId="2" borderId="17" xfId="0" applyFont="1" applyFill="1" applyBorder="1" applyAlignment="1">
      <alignment vertical="center"/>
    </xf>
    <xf numFmtId="0" fontId="25" fillId="4" borderId="25" xfId="0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5" fillId="4" borderId="22" xfId="0" applyFont="1" applyFill="1" applyBorder="1" applyAlignment="1">
      <alignment horizontal="center" vertical="center"/>
    </xf>
    <xf numFmtId="0" fontId="30" fillId="4" borderId="23" xfId="0" applyFont="1" applyFill="1" applyBorder="1" applyAlignment="1">
      <alignment horizontal="center" vertical="center"/>
    </xf>
    <xf numFmtId="0" fontId="19" fillId="4" borderId="24" xfId="0" applyFont="1" applyFill="1" applyBorder="1" applyAlignment="1">
      <alignment horizontal="center" vertical="center"/>
    </xf>
    <xf numFmtId="0" fontId="13" fillId="6" borderId="29" xfId="0" applyFont="1" applyFill="1" applyBorder="1" applyAlignment="1">
      <alignment vertical="center" wrapText="1"/>
    </xf>
    <xf numFmtId="0" fontId="30" fillId="6" borderId="44" xfId="0" applyFont="1" applyFill="1" applyBorder="1" applyAlignment="1">
      <alignment horizontal="center" vertical="center"/>
    </xf>
    <xf numFmtId="0" fontId="30" fillId="6" borderId="40" xfId="0" applyFont="1" applyFill="1" applyBorder="1" applyAlignment="1">
      <alignment horizontal="center" vertical="center"/>
    </xf>
    <xf numFmtId="0" fontId="31" fillId="2" borderId="32" xfId="0" applyFont="1" applyFill="1" applyBorder="1" applyAlignment="1">
      <alignment vertical="center" wrapText="1"/>
    </xf>
    <xf numFmtId="0" fontId="14" fillId="2" borderId="27" xfId="0" applyFont="1" applyFill="1" applyBorder="1" applyAlignment="1">
      <alignment horizontal="center" vertical="center"/>
    </xf>
    <xf numFmtId="0" fontId="27" fillId="2" borderId="27" xfId="0" applyFont="1" applyFill="1" applyBorder="1" applyAlignment="1">
      <alignment horizontal="center" vertical="center"/>
    </xf>
    <xf numFmtId="0" fontId="27" fillId="2" borderId="26" xfId="0" applyFont="1" applyFill="1" applyBorder="1" applyAlignment="1">
      <alignment horizontal="center" vertical="center"/>
    </xf>
    <xf numFmtId="0" fontId="13" fillId="6" borderId="32" xfId="0" applyFont="1" applyFill="1" applyBorder="1" applyAlignment="1">
      <alignment vertical="center" wrapText="1"/>
    </xf>
    <xf numFmtId="0" fontId="27" fillId="6" borderId="27" xfId="0" applyFont="1" applyFill="1" applyBorder="1" applyAlignment="1">
      <alignment horizontal="center" vertical="center"/>
    </xf>
    <xf numFmtId="0" fontId="27" fillId="6" borderId="26" xfId="0" applyFont="1" applyFill="1" applyBorder="1" applyAlignment="1">
      <alignment horizontal="center" vertical="center"/>
    </xf>
    <xf numFmtId="0" fontId="14" fillId="2" borderId="26" xfId="0" applyFont="1" applyFill="1" applyBorder="1" applyAlignment="1">
      <alignment horizontal="center" vertical="center"/>
    </xf>
    <xf numFmtId="0" fontId="13" fillId="2" borderId="32" xfId="0" applyFont="1" applyFill="1" applyBorder="1" applyAlignment="1">
      <alignment vertical="center" wrapText="1"/>
    </xf>
    <xf numFmtId="0" fontId="6" fillId="2" borderId="27" xfId="0" applyFont="1" applyFill="1" applyBorder="1" applyAlignment="1">
      <alignment horizontal="center" vertical="center"/>
    </xf>
    <xf numFmtId="0" fontId="13" fillId="6" borderId="59" xfId="0" applyFont="1" applyFill="1" applyBorder="1" applyAlignment="1">
      <alignment vertical="center" wrapText="1"/>
    </xf>
    <xf numFmtId="0" fontId="13" fillId="0" borderId="31" xfId="0" applyFont="1" applyBorder="1" applyAlignment="1">
      <alignment vertical="center" wrapText="1"/>
    </xf>
    <xf numFmtId="0" fontId="31" fillId="0" borderId="32" xfId="0" applyFont="1" applyBorder="1" applyAlignment="1">
      <alignment vertical="center" wrapText="1"/>
    </xf>
    <xf numFmtId="0" fontId="14" fillId="2" borderId="26" xfId="4" applyFont="1" applyFill="1" applyBorder="1" applyAlignment="1">
      <alignment horizontal="center" vertical="center"/>
    </xf>
    <xf numFmtId="0" fontId="13" fillId="6" borderId="32" xfId="0" applyFont="1" applyFill="1" applyBorder="1" applyAlignment="1">
      <alignment vertical="center"/>
    </xf>
    <xf numFmtId="0" fontId="9" fillId="2" borderId="60" xfId="0" applyFont="1" applyFill="1" applyBorder="1" applyAlignment="1">
      <alignment vertical="center" wrapText="1"/>
    </xf>
    <xf numFmtId="0" fontId="13" fillId="6" borderId="29" xfId="0" applyFont="1" applyFill="1" applyBorder="1" applyAlignment="1">
      <alignment vertical="center"/>
    </xf>
    <xf numFmtId="0" fontId="31" fillId="0" borderId="32" xfId="0" applyFont="1" applyBorder="1" applyAlignment="1">
      <alignment vertical="center"/>
    </xf>
    <xf numFmtId="0" fontId="31" fillId="0" borderId="31" xfId="0" applyFont="1" applyBorder="1" applyAlignment="1">
      <alignment vertical="center"/>
    </xf>
    <xf numFmtId="0" fontId="9" fillId="11" borderId="62" xfId="0" applyFont="1" applyFill="1" applyBorder="1" applyAlignment="1">
      <alignment vertical="center" wrapText="1"/>
    </xf>
    <xf numFmtId="0" fontId="9" fillId="2" borderId="62" xfId="0" applyFont="1" applyFill="1" applyBorder="1" applyAlignment="1">
      <alignment vertical="center" wrapText="1"/>
    </xf>
    <xf numFmtId="0" fontId="9" fillId="2" borderId="62" xfId="0" quotePrefix="1" applyFont="1" applyFill="1" applyBorder="1" applyAlignment="1">
      <alignment vertical="center"/>
    </xf>
    <xf numFmtId="0" fontId="9" fillId="2" borderId="62" xfId="0" applyFont="1" applyFill="1" applyBorder="1" applyAlignment="1">
      <alignment vertical="center"/>
    </xf>
    <xf numFmtId="0" fontId="20" fillId="2" borderId="27" xfId="0" applyFont="1" applyFill="1" applyBorder="1" applyAlignment="1">
      <alignment horizontal="center" vertical="center"/>
    </xf>
    <xf numFmtId="0" fontId="16" fillId="2" borderId="62" xfId="0" applyFont="1" applyFill="1" applyBorder="1" applyAlignment="1">
      <alignment vertical="center" wrapText="1"/>
    </xf>
    <xf numFmtId="0" fontId="16" fillId="10" borderId="63" xfId="0" applyFont="1" applyFill="1" applyBorder="1" applyAlignment="1">
      <alignment vertical="center" wrapText="1"/>
    </xf>
    <xf numFmtId="0" fontId="14" fillId="2" borderId="1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28" fillId="3" borderId="0" xfId="0" applyFont="1" applyFill="1"/>
    <xf numFmtId="0" fontId="42" fillId="2" borderId="0" xfId="0" applyFont="1" applyFill="1" applyAlignment="1">
      <alignment horizontal="left" vertical="center"/>
    </xf>
    <xf numFmtId="0" fontId="14" fillId="2" borderId="0" xfId="0" applyFont="1" applyFill="1" applyAlignment="1">
      <alignment vertical="center"/>
    </xf>
    <xf numFmtId="0" fontId="20" fillId="2" borderId="18" xfId="0" applyFont="1" applyFill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8" fillId="0" borderId="0" xfId="0" applyFont="1"/>
    <xf numFmtId="0" fontId="38" fillId="2" borderId="0" xfId="0" applyFont="1" applyFill="1"/>
    <xf numFmtId="0" fontId="23" fillId="2" borderId="0" xfId="0" applyFont="1" applyFill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3" fontId="13" fillId="2" borderId="30" xfId="1" applyNumberFormat="1" applyFont="1" applyFill="1" applyBorder="1" applyAlignment="1">
      <alignment horizontal="left" vertical="center"/>
    </xf>
    <xf numFmtId="0" fontId="31" fillId="2" borderId="41" xfId="0" applyFont="1" applyFill="1" applyBorder="1" applyAlignment="1">
      <alignment horizontal="left" vertical="center"/>
    </xf>
    <xf numFmtId="3" fontId="13" fillId="2" borderId="28" xfId="1" applyNumberFormat="1" applyFont="1" applyFill="1" applyBorder="1" applyAlignment="1">
      <alignment horizontal="left" vertical="center"/>
    </xf>
    <xf numFmtId="0" fontId="31" fillId="2" borderId="42" xfId="0" applyFont="1" applyFill="1" applyBorder="1" applyAlignment="1">
      <alignment horizontal="left" vertical="center"/>
    </xf>
    <xf numFmtId="0" fontId="43" fillId="2" borderId="5" xfId="0" applyFont="1" applyFill="1" applyBorder="1" applyAlignment="1">
      <alignment horizontal="center" vertical="center"/>
    </xf>
    <xf numFmtId="164" fontId="43" fillId="2" borderId="5" xfId="0" applyNumberFormat="1" applyFont="1" applyFill="1" applyBorder="1" applyAlignment="1">
      <alignment horizontal="center" vertical="center"/>
    </xf>
    <xf numFmtId="0" fontId="24" fillId="3" borderId="23" xfId="0" applyFont="1" applyFill="1" applyBorder="1" applyAlignment="1">
      <alignment horizontal="center" vertical="center" wrapText="1"/>
    </xf>
    <xf numFmtId="0" fontId="24" fillId="3" borderId="24" xfId="0" applyFont="1" applyFill="1" applyBorder="1" applyAlignment="1">
      <alignment horizontal="center" vertical="center" wrapText="1"/>
    </xf>
    <xf numFmtId="0" fontId="43" fillId="6" borderId="40" xfId="0" applyFont="1" applyFill="1" applyBorder="1" applyAlignment="1">
      <alignment horizontal="center" vertical="center"/>
    </xf>
    <xf numFmtId="0" fontId="13" fillId="6" borderId="41" xfId="0" applyFont="1" applyFill="1" applyBorder="1" applyAlignment="1">
      <alignment horizontal="center" vertical="center"/>
    </xf>
    <xf numFmtId="0" fontId="43" fillId="2" borderId="26" xfId="0" applyFont="1" applyFill="1" applyBorder="1" applyAlignment="1">
      <alignment horizontal="center" vertical="center"/>
    </xf>
    <xf numFmtId="0" fontId="13" fillId="2" borderId="42" xfId="0" applyFont="1" applyFill="1" applyBorder="1" applyAlignment="1">
      <alignment horizontal="center" vertical="center"/>
    </xf>
    <xf numFmtId="0" fontId="43" fillId="2" borderId="37" xfId="0" applyFont="1" applyFill="1" applyBorder="1" applyAlignment="1">
      <alignment horizontal="center" vertical="center"/>
    </xf>
    <xf numFmtId="0" fontId="13" fillId="2" borderId="43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9" fillId="2" borderId="0" xfId="0" applyFont="1" applyFill="1" applyAlignment="1">
      <alignment horizontal="center"/>
    </xf>
    <xf numFmtId="0" fontId="13" fillId="6" borderId="29" xfId="0" applyFont="1" applyFill="1" applyBorder="1" applyAlignment="1">
      <alignment horizontal="right" vertical="center" wrapText="1"/>
    </xf>
    <xf numFmtId="0" fontId="13" fillId="6" borderId="38" xfId="0" applyFont="1" applyFill="1" applyBorder="1" applyAlignment="1">
      <alignment vertical="center" wrapText="1"/>
    </xf>
    <xf numFmtId="0" fontId="13" fillId="6" borderId="32" xfId="0" applyFont="1" applyFill="1" applyBorder="1" applyAlignment="1">
      <alignment horizontal="right" vertical="center" wrapText="1"/>
    </xf>
    <xf numFmtId="0" fontId="13" fillId="6" borderId="39" xfId="0" applyFont="1" applyFill="1" applyBorder="1" applyAlignment="1">
      <alignment vertical="center" wrapText="1"/>
    </xf>
    <xf numFmtId="0" fontId="13" fillId="6" borderId="28" xfId="0" applyFont="1" applyFill="1" applyBorder="1" applyAlignment="1">
      <alignment vertical="center" wrapText="1"/>
    </xf>
    <xf numFmtId="0" fontId="13" fillId="6" borderId="31" xfId="0" applyFont="1" applyFill="1" applyBorder="1" applyAlignment="1">
      <alignment horizontal="right" vertical="center" wrapText="1"/>
    </xf>
    <xf numFmtId="0" fontId="13" fillId="6" borderId="15" xfId="0" applyFont="1" applyFill="1" applyBorder="1" applyAlignment="1">
      <alignment vertical="center" wrapText="1"/>
    </xf>
    <xf numFmtId="0" fontId="13" fillId="0" borderId="31" xfId="0" applyFont="1" applyBorder="1" applyAlignment="1">
      <alignment horizontal="right" vertical="center" wrapText="1"/>
    </xf>
    <xf numFmtId="0" fontId="13" fillId="0" borderId="15" xfId="0" applyFont="1" applyBorder="1" applyAlignment="1">
      <alignment vertical="center" wrapText="1"/>
    </xf>
    <xf numFmtId="0" fontId="13" fillId="2" borderId="28" xfId="0" applyFont="1" applyFill="1" applyBorder="1" applyAlignment="1">
      <alignment vertical="center" wrapText="1"/>
    </xf>
    <xf numFmtId="0" fontId="31" fillId="2" borderId="28" xfId="0" applyFont="1" applyFill="1" applyBorder="1" applyAlignment="1">
      <alignment vertical="center" wrapText="1"/>
    </xf>
    <xf numFmtId="0" fontId="13" fillId="6" borderId="32" xfId="0" applyFont="1" applyFill="1" applyBorder="1" applyAlignment="1">
      <alignment horizontal="right" vertical="center"/>
    </xf>
    <xf numFmtId="0" fontId="13" fillId="6" borderId="39" xfId="0" applyFont="1" applyFill="1" applyBorder="1" applyAlignment="1">
      <alignment vertical="center"/>
    </xf>
    <xf numFmtId="0" fontId="13" fillId="6" borderId="28" xfId="0" applyFont="1" applyFill="1" applyBorder="1" applyAlignment="1">
      <alignment vertical="center"/>
    </xf>
    <xf numFmtId="0" fontId="31" fillId="2" borderId="46" xfId="0" applyFont="1" applyFill="1" applyBorder="1" applyAlignment="1">
      <alignment vertical="center" wrapText="1"/>
    </xf>
    <xf numFmtId="0" fontId="31" fillId="0" borderId="31" xfId="0" applyFont="1" applyBorder="1" applyAlignment="1">
      <alignment horizontal="right" vertical="center" wrapText="1"/>
    </xf>
    <xf numFmtId="0" fontId="31" fillId="0" borderId="15" xfId="0" applyFont="1" applyBorder="1" applyAlignment="1">
      <alignment vertical="center"/>
    </xf>
    <xf numFmtId="0" fontId="9" fillId="0" borderId="55" xfId="0" applyFont="1" applyBorder="1" applyAlignment="1">
      <alignment horizontal="center" vertical="center"/>
    </xf>
    <xf numFmtId="0" fontId="13" fillId="6" borderId="30" xfId="0" applyFont="1" applyFill="1" applyBorder="1" applyAlignment="1">
      <alignment vertical="center" wrapText="1"/>
    </xf>
    <xf numFmtId="0" fontId="43" fillId="6" borderId="48" xfId="0" applyFont="1" applyFill="1" applyBorder="1" applyAlignment="1">
      <alignment horizontal="center" vertical="center"/>
    </xf>
    <xf numFmtId="0" fontId="13" fillId="2" borderId="28" xfId="0" applyFont="1" applyFill="1" applyBorder="1" applyAlignment="1">
      <alignment horizontal="center" vertical="center"/>
    </xf>
    <xf numFmtId="0" fontId="43" fillId="2" borderId="49" xfId="0" applyFont="1" applyFill="1" applyBorder="1" applyAlignment="1">
      <alignment horizontal="center" vertical="center"/>
    </xf>
    <xf numFmtId="0" fontId="13" fillId="6" borderId="28" xfId="0" applyFont="1" applyFill="1" applyBorder="1" applyAlignment="1">
      <alignment horizontal="center" vertical="center"/>
    </xf>
    <xf numFmtId="0" fontId="43" fillId="6" borderId="49" xfId="0" applyFont="1" applyFill="1" applyBorder="1" applyAlignment="1">
      <alignment horizontal="center" vertical="center"/>
    </xf>
    <xf numFmtId="0" fontId="43" fillId="6" borderId="27" xfId="0" applyFont="1" applyFill="1" applyBorder="1" applyAlignment="1">
      <alignment horizontal="center" vertical="center"/>
    </xf>
    <xf numFmtId="0" fontId="43" fillId="6" borderId="39" xfId="0" applyFont="1" applyFill="1" applyBorder="1" applyAlignment="1">
      <alignment horizontal="center" vertical="center"/>
    </xf>
    <xf numFmtId="0" fontId="24" fillId="2" borderId="49" xfId="0" applyFont="1" applyFill="1" applyBorder="1" applyAlignment="1">
      <alignment horizontal="center" vertical="center"/>
    </xf>
    <xf numFmtId="0" fontId="24" fillId="2" borderId="28" xfId="0" applyFont="1" applyFill="1" applyBorder="1" applyAlignment="1">
      <alignment horizontal="center" vertical="center"/>
    </xf>
    <xf numFmtId="0" fontId="43" fillId="2" borderId="28" xfId="0" applyFont="1" applyFill="1" applyBorder="1" applyAlignment="1">
      <alignment horizontal="center" vertical="center"/>
    </xf>
    <xf numFmtId="0" fontId="43" fillId="6" borderId="28" xfId="0" applyFont="1" applyFill="1" applyBorder="1" applyAlignment="1">
      <alignment horizontal="center" vertical="center"/>
    </xf>
    <xf numFmtId="0" fontId="13" fillId="6" borderId="42" xfId="0" applyFont="1" applyFill="1" applyBorder="1" applyAlignment="1">
      <alignment horizontal="center" vertical="center"/>
    </xf>
    <xf numFmtId="0" fontId="24" fillId="6" borderId="49" xfId="0" applyFont="1" applyFill="1" applyBorder="1" applyAlignment="1">
      <alignment horizontal="center" vertical="center"/>
    </xf>
    <xf numFmtId="0" fontId="44" fillId="2" borderId="26" xfId="0" applyFont="1" applyFill="1" applyBorder="1" applyAlignment="1">
      <alignment horizontal="center"/>
    </xf>
    <xf numFmtId="0" fontId="43" fillId="6" borderId="49" xfId="0" applyFont="1" applyFill="1" applyBorder="1" applyAlignment="1">
      <alignment vertical="center"/>
    </xf>
    <xf numFmtId="0" fontId="43" fillId="2" borderId="49" xfId="0" applyFont="1" applyFill="1" applyBorder="1" applyAlignment="1">
      <alignment vertical="center"/>
    </xf>
    <xf numFmtId="0" fontId="24" fillId="2" borderId="49" xfId="0" applyFont="1" applyFill="1" applyBorder="1" applyAlignment="1">
      <alignment vertical="center"/>
    </xf>
    <xf numFmtId="0" fontId="31" fillId="6" borderId="49" xfId="0" applyFont="1" applyFill="1" applyBorder="1" applyAlignment="1">
      <alignment horizontal="left" vertical="top" wrapText="1"/>
    </xf>
    <xf numFmtId="0" fontId="31" fillId="2" borderId="49" xfId="0" applyFont="1" applyFill="1" applyBorder="1" applyAlignment="1">
      <alignment horizontal="left" vertical="top" wrapText="1"/>
    </xf>
    <xf numFmtId="0" fontId="13" fillId="2" borderId="49" xfId="0" applyFont="1" applyFill="1" applyBorder="1" applyAlignment="1">
      <alignment horizontal="left" vertical="top" wrapText="1"/>
    </xf>
    <xf numFmtId="0" fontId="13" fillId="2" borderId="28" xfId="0" applyFont="1" applyFill="1" applyBorder="1" applyAlignment="1">
      <alignment horizontal="center" vertical="center" wrapText="1"/>
    </xf>
    <xf numFmtId="0" fontId="43" fillId="2" borderId="28" xfId="0" applyFont="1" applyFill="1" applyBorder="1" applyAlignment="1">
      <alignment vertical="center"/>
    </xf>
    <xf numFmtId="0" fontId="43" fillId="2" borderId="33" xfId="0" applyFont="1" applyFill="1" applyBorder="1" applyAlignment="1">
      <alignment vertical="center"/>
    </xf>
    <xf numFmtId="0" fontId="9" fillId="2" borderId="49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31" fillId="2" borderId="28" xfId="0" applyFont="1" applyFill="1" applyBorder="1" applyAlignment="1">
      <alignment vertical="center"/>
    </xf>
    <xf numFmtId="0" fontId="24" fillId="2" borderId="47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/>
    </xf>
    <xf numFmtId="0" fontId="24" fillId="3" borderId="51" xfId="0" applyFont="1" applyFill="1" applyBorder="1" applyAlignment="1">
      <alignment horizontal="left" vertical="center"/>
    </xf>
    <xf numFmtId="0" fontId="43" fillId="3" borderId="48" xfId="0" applyFont="1" applyFill="1" applyBorder="1"/>
    <xf numFmtId="0" fontId="43" fillId="3" borderId="38" xfId="0" applyFont="1" applyFill="1" applyBorder="1"/>
    <xf numFmtId="0" fontId="43" fillId="4" borderId="53" xfId="0" applyFont="1" applyFill="1" applyBorder="1" applyAlignment="1">
      <alignment horizontal="center"/>
    </xf>
    <xf numFmtId="0" fontId="43" fillId="4" borderId="65" xfId="0" applyFont="1" applyFill="1" applyBorder="1" applyAlignment="1">
      <alignment horizontal="center"/>
    </xf>
    <xf numFmtId="0" fontId="43" fillId="4" borderId="65" xfId="0" applyFont="1" applyFill="1" applyBorder="1" applyAlignment="1">
      <alignment horizontal="center" vertical="center"/>
    </xf>
    <xf numFmtId="0" fontId="13" fillId="4" borderId="54" xfId="0" applyFont="1" applyFill="1" applyBorder="1" applyAlignment="1">
      <alignment horizontal="center" vertical="center"/>
    </xf>
    <xf numFmtId="3" fontId="13" fillId="2" borderId="47" xfId="1" applyNumberFormat="1" applyFont="1" applyFill="1" applyBorder="1" applyAlignment="1">
      <alignment horizontal="left" vertical="center"/>
    </xf>
    <xf numFmtId="0" fontId="31" fillId="2" borderId="43" xfId="0" applyFont="1" applyFill="1" applyBorder="1" applyAlignment="1">
      <alignment horizontal="left" vertical="center"/>
    </xf>
    <xf numFmtId="0" fontId="9" fillId="3" borderId="8" xfId="0" applyFont="1" applyFill="1" applyBorder="1"/>
    <xf numFmtId="0" fontId="9" fillId="3" borderId="9" xfId="0" applyFont="1" applyFill="1" applyBorder="1"/>
    <xf numFmtId="0" fontId="31" fillId="2" borderId="0" xfId="0" applyFont="1" applyFill="1" applyAlignment="1">
      <alignment vertical="center"/>
    </xf>
    <xf numFmtId="0" fontId="38" fillId="2" borderId="0" xfId="0" applyFont="1" applyFill="1" applyAlignment="1">
      <alignment horizontal="center" vertical="center"/>
    </xf>
    <xf numFmtId="0" fontId="46" fillId="2" borderId="0" xfId="0" applyFont="1" applyFill="1" applyAlignment="1">
      <alignment vertical="center"/>
    </xf>
    <xf numFmtId="0" fontId="35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8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164" fontId="36" fillId="2" borderId="6" xfId="0" applyNumberFormat="1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2" borderId="0" xfId="0" applyFont="1" applyFill="1" applyAlignment="1">
      <alignment vertical="center"/>
    </xf>
    <xf numFmtId="0" fontId="50" fillId="2" borderId="0" xfId="0" applyFont="1" applyFill="1"/>
    <xf numFmtId="0" fontId="32" fillId="2" borderId="0" xfId="0" applyFont="1" applyFill="1" applyAlignment="1">
      <alignment vertical="center" wrapText="1"/>
    </xf>
    <xf numFmtId="0" fontId="51" fillId="2" borderId="0" xfId="0" applyFont="1" applyFill="1" applyAlignment="1">
      <alignment vertical="center" wrapText="1"/>
    </xf>
    <xf numFmtId="0" fontId="47" fillId="2" borderId="0" xfId="0" applyFont="1" applyFill="1" applyAlignment="1">
      <alignment horizontal="center" vertical="center"/>
    </xf>
    <xf numFmtId="0" fontId="37" fillId="3" borderId="0" xfId="0" applyFont="1" applyFill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38" fillId="3" borderId="0" xfId="0" applyFont="1" applyFill="1" applyAlignment="1">
      <alignment horizontal="left"/>
    </xf>
    <xf numFmtId="0" fontId="22" fillId="2" borderId="0" xfId="5" applyFont="1" applyFill="1" applyAlignment="1">
      <alignment horizontal="left" vertical="center"/>
    </xf>
    <xf numFmtId="0" fontId="22" fillId="2" borderId="0" xfId="6" applyFont="1" applyFill="1" applyAlignment="1">
      <alignment horizontal="left"/>
    </xf>
    <xf numFmtId="0" fontId="22" fillId="2" borderId="14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38" fillId="2" borderId="14" xfId="0" applyFont="1" applyFill="1" applyBorder="1"/>
    <xf numFmtId="0" fontId="22" fillId="2" borderId="14" xfId="0" applyFont="1" applyFill="1" applyBorder="1" applyAlignment="1">
      <alignment vertical="center"/>
    </xf>
    <xf numFmtId="0" fontId="22" fillId="2" borderId="0" xfId="0" applyFont="1" applyFill="1" applyAlignment="1">
      <alignment vertical="center"/>
    </xf>
    <xf numFmtId="0" fontId="38" fillId="2" borderId="0" xfId="0" applyFont="1" applyFill="1" applyAlignment="1">
      <alignment horizontal="center"/>
    </xf>
    <xf numFmtId="0" fontId="37" fillId="3" borderId="0" xfId="0" applyFont="1" applyFill="1"/>
    <xf numFmtId="0" fontId="38" fillId="3" borderId="0" xfId="0" applyFont="1" applyFill="1"/>
    <xf numFmtId="0" fontId="38" fillId="0" borderId="14" xfId="0" applyFont="1" applyBorder="1"/>
    <xf numFmtId="0" fontId="48" fillId="2" borderId="0" xfId="0" applyFont="1" applyFill="1" applyAlignment="1">
      <alignment vertical="center" wrapText="1"/>
    </xf>
    <xf numFmtId="0" fontId="22" fillId="2" borderId="0" xfId="6" applyFont="1" applyFill="1"/>
    <xf numFmtId="3" fontId="22" fillId="2" borderId="30" xfId="1" applyNumberFormat="1" applyFont="1" applyFill="1" applyBorder="1" applyAlignment="1">
      <alignment vertical="center"/>
    </xf>
    <xf numFmtId="3" fontId="22" fillId="2" borderId="28" xfId="1" applyNumberFormat="1" applyFont="1" applyFill="1" applyBorder="1" applyAlignment="1">
      <alignment vertical="center"/>
    </xf>
    <xf numFmtId="3" fontId="22" fillId="2" borderId="34" xfId="1" applyNumberFormat="1" applyFont="1" applyFill="1" applyBorder="1" applyAlignment="1">
      <alignment vertical="center"/>
    </xf>
    <xf numFmtId="0" fontId="22" fillId="2" borderId="0" xfId="5" applyFont="1" applyFill="1" applyAlignment="1">
      <alignment vertical="center"/>
    </xf>
    <xf numFmtId="0" fontId="13" fillId="4" borderId="2" xfId="0" applyFont="1" applyFill="1" applyBorder="1" applyAlignment="1">
      <alignment vertical="top" wrapText="1"/>
    </xf>
    <xf numFmtId="0" fontId="13" fillId="6" borderId="51" xfId="0" applyFont="1" applyFill="1" applyBorder="1" applyAlignment="1">
      <alignment vertical="center" wrapText="1"/>
    </xf>
    <xf numFmtId="0" fontId="31" fillId="2" borderId="50" xfId="0" applyFont="1" applyFill="1" applyBorder="1" applyAlignment="1">
      <alignment vertical="center" wrapText="1"/>
    </xf>
    <xf numFmtId="0" fontId="13" fillId="6" borderId="50" xfId="0" applyFont="1" applyFill="1" applyBorder="1" applyAlignment="1">
      <alignment vertical="center" wrapText="1"/>
    </xf>
    <xf numFmtId="0" fontId="13" fillId="0" borderId="50" xfId="0" applyFont="1" applyBorder="1" applyAlignment="1">
      <alignment vertical="center" wrapText="1"/>
    </xf>
    <xf numFmtId="0" fontId="31" fillId="2" borderId="50" xfId="0" applyFont="1" applyFill="1" applyBorder="1" applyAlignment="1">
      <alignment vertical="center"/>
    </xf>
    <xf numFmtId="0" fontId="13" fillId="2" borderId="50" xfId="0" applyFont="1" applyFill="1" applyBorder="1" applyAlignment="1">
      <alignment vertical="center" wrapText="1"/>
    </xf>
    <xf numFmtId="0" fontId="13" fillId="6" borderId="58" xfId="0" applyFont="1" applyFill="1" applyBorder="1" applyAlignment="1">
      <alignment vertical="center" wrapText="1"/>
    </xf>
    <xf numFmtId="0" fontId="13" fillId="0" borderId="52" xfId="0" applyFont="1" applyBorder="1" applyAlignment="1">
      <alignment vertical="center" wrapText="1"/>
    </xf>
    <xf numFmtId="0" fontId="31" fillId="0" borderId="50" xfId="0" applyFont="1" applyBorder="1" applyAlignment="1">
      <alignment vertical="center" wrapText="1"/>
    </xf>
    <xf numFmtId="0" fontId="13" fillId="6" borderId="50" xfId="0" applyFont="1" applyFill="1" applyBorder="1" applyAlignment="1">
      <alignment vertical="center"/>
    </xf>
    <xf numFmtId="0" fontId="9" fillId="2" borderId="57" xfId="0" applyFont="1" applyFill="1" applyBorder="1" applyAlignment="1">
      <alignment vertical="center"/>
    </xf>
    <xf numFmtId="0" fontId="31" fillId="0" borderId="52" xfId="0" applyFont="1" applyBorder="1" applyAlignment="1">
      <alignment vertical="center" wrapText="1"/>
    </xf>
    <xf numFmtId="0" fontId="9" fillId="11" borderId="56" xfId="0" applyFont="1" applyFill="1" applyBorder="1" applyAlignment="1">
      <alignment vertical="center" wrapText="1"/>
    </xf>
    <xf numFmtId="0" fontId="9" fillId="2" borderId="56" xfId="0" applyFont="1" applyFill="1" applyBorder="1" applyAlignment="1">
      <alignment vertical="center" wrapText="1"/>
    </xf>
    <xf numFmtId="0" fontId="9" fillId="2" borderId="56" xfId="0" applyFont="1" applyFill="1" applyBorder="1" applyAlignment="1">
      <alignment vertical="center"/>
    </xf>
    <xf numFmtId="0" fontId="16" fillId="2" borderId="56" xfId="0" applyFont="1" applyFill="1" applyBorder="1" applyAlignment="1">
      <alignment vertical="center" wrapText="1"/>
    </xf>
    <xf numFmtId="0" fontId="16" fillId="10" borderId="61" xfId="0" applyFont="1" applyFill="1" applyBorder="1" applyAlignment="1">
      <alignment vertical="center" wrapText="1"/>
    </xf>
    <xf numFmtId="0" fontId="20" fillId="2" borderId="0" xfId="5" applyFont="1" applyFill="1" applyAlignment="1">
      <alignment vertical="center"/>
    </xf>
    <xf numFmtId="0" fontId="52" fillId="3" borderId="48" xfId="0" applyFont="1" applyFill="1" applyBorder="1" applyAlignment="1">
      <alignment horizontal="left" vertical="center"/>
    </xf>
    <xf numFmtId="0" fontId="54" fillId="3" borderId="48" xfId="0" applyFont="1" applyFill="1" applyBorder="1"/>
    <xf numFmtId="0" fontId="54" fillId="3" borderId="3" xfId="0" applyFont="1" applyFill="1" applyBorder="1"/>
    <xf numFmtId="0" fontId="54" fillId="3" borderId="3" xfId="0" applyFont="1" applyFill="1" applyBorder="1" applyAlignment="1">
      <alignment horizontal="center"/>
    </xf>
    <xf numFmtId="0" fontId="55" fillId="3" borderId="3" xfId="0" applyFont="1" applyFill="1" applyBorder="1"/>
    <xf numFmtId="0" fontId="55" fillId="3" borderId="4" xfId="0" applyFont="1" applyFill="1" applyBorder="1"/>
    <xf numFmtId="0" fontId="55" fillId="0" borderId="4" xfId="0" applyFont="1" applyBorder="1"/>
    <xf numFmtId="0" fontId="52" fillId="3" borderId="16" xfId="0" applyFont="1" applyFill="1" applyBorder="1" applyAlignment="1">
      <alignment horizontal="left" vertical="center"/>
    </xf>
    <xf numFmtId="0" fontId="54" fillId="3" borderId="16" xfId="0" applyFont="1" applyFill="1" applyBorder="1" applyAlignment="1">
      <alignment horizontal="center"/>
    </xf>
    <xf numFmtId="0" fontId="54" fillId="3" borderId="16" xfId="0" applyFont="1" applyFill="1" applyBorder="1"/>
    <xf numFmtId="0" fontId="54" fillId="0" borderId="16" xfId="0" applyFont="1" applyBorder="1"/>
    <xf numFmtId="0" fontId="52" fillId="3" borderId="17" xfId="0" applyFont="1" applyFill="1" applyBorder="1" applyAlignment="1">
      <alignment vertical="center"/>
    </xf>
    <xf numFmtId="0" fontId="55" fillId="0" borderId="7" xfId="0" applyFont="1" applyBorder="1"/>
    <xf numFmtId="0" fontId="52" fillId="3" borderId="23" xfId="0" applyFont="1" applyFill="1" applyBorder="1" applyAlignment="1">
      <alignment horizontal="center" vertical="center" wrapText="1"/>
    </xf>
    <xf numFmtId="0" fontId="52" fillId="3" borderId="24" xfId="0" applyFont="1" applyFill="1" applyBorder="1" applyAlignment="1">
      <alignment horizontal="center" vertical="center" wrapText="1"/>
    </xf>
    <xf numFmtId="0" fontId="53" fillId="13" borderId="2" xfId="0" applyFont="1" applyFill="1" applyBorder="1" applyAlignment="1">
      <alignment horizontal="left" vertical="top" wrapText="1"/>
    </xf>
    <xf numFmtId="0" fontId="53" fillId="13" borderId="1" xfId="0" applyFont="1" applyFill="1" applyBorder="1" applyAlignment="1">
      <alignment horizontal="center" vertical="center" wrapText="1"/>
    </xf>
    <xf numFmtId="0" fontId="54" fillId="13" borderId="25" xfId="0" applyFont="1" applyFill="1" applyBorder="1" applyAlignment="1">
      <alignment horizontal="center" vertical="center"/>
    </xf>
    <xf numFmtId="0" fontId="54" fillId="13" borderId="23" xfId="0" applyFont="1" applyFill="1" applyBorder="1" applyAlignment="1">
      <alignment horizontal="center" vertical="center"/>
    </xf>
    <xf numFmtId="0" fontId="54" fillId="13" borderId="22" xfId="0" applyFont="1" applyFill="1" applyBorder="1" applyAlignment="1">
      <alignment horizontal="center" vertical="center"/>
    </xf>
    <xf numFmtId="0" fontId="53" fillId="13" borderId="24" xfId="0" applyFont="1" applyFill="1" applyBorder="1" applyAlignment="1">
      <alignment horizontal="center" vertical="center"/>
    </xf>
    <xf numFmtId="0" fontId="53" fillId="6" borderId="51" xfId="0" applyFont="1" applyFill="1" applyBorder="1" applyAlignment="1">
      <alignment horizontal="left" vertical="center" wrapText="1"/>
    </xf>
    <xf numFmtId="0" fontId="53" fillId="6" borderId="29" xfId="0" applyFont="1" applyFill="1" applyBorder="1" applyAlignment="1">
      <alignment vertical="center" wrapText="1"/>
    </xf>
    <xf numFmtId="0" fontId="53" fillId="6" borderId="44" xfId="0" applyFont="1" applyFill="1" applyBorder="1" applyAlignment="1">
      <alignment horizontal="center" vertical="center" wrapText="1"/>
    </xf>
    <xf numFmtId="0" fontId="54" fillId="6" borderId="44" xfId="0" applyFont="1" applyFill="1" applyBorder="1" applyAlignment="1">
      <alignment horizontal="center" vertical="center"/>
    </xf>
    <xf numFmtId="0" fontId="54" fillId="6" borderId="40" xfId="0" applyFont="1" applyFill="1" applyBorder="1" applyAlignment="1">
      <alignment horizontal="center" vertical="center"/>
    </xf>
    <xf numFmtId="0" fontId="55" fillId="6" borderId="40" xfId="0" applyFont="1" applyFill="1" applyBorder="1" applyAlignment="1">
      <alignment horizontal="center" vertical="center"/>
    </xf>
    <xf numFmtId="0" fontId="53" fillId="6" borderId="41" xfId="0" applyFont="1" applyFill="1" applyBorder="1" applyAlignment="1">
      <alignment horizontal="center" vertical="center"/>
    </xf>
    <xf numFmtId="0" fontId="58" fillId="2" borderId="50" xfId="0" applyFont="1" applyFill="1" applyBorder="1" applyAlignment="1">
      <alignment horizontal="left" vertical="center" wrapText="1"/>
    </xf>
    <xf numFmtId="0" fontId="58" fillId="2" borderId="32" xfId="0" applyFont="1" applyFill="1" applyBorder="1" applyAlignment="1">
      <alignment vertical="center" wrapText="1"/>
    </xf>
    <xf numFmtId="0" fontId="53" fillId="2" borderId="27" xfId="0" applyFont="1" applyFill="1" applyBorder="1" applyAlignment="1">
      <alignment horizontal="center" vertical="center"/>
    </xf>
    <xf numFmtId="0" fontId="52" fillId="2" borderId="27" xfId="0" applyFont="1" applyFill="1" applyBorder="1" applyAlignment="1">
      <alignment horizontal="center" vertical="center"/>
    </xf>
    <xf numFmtId="0" fontId="52" fillId="2" borderId="26" xfId="0" applyFont="1" applyFill="1" applyBorder="1" applyAlignment="1">
      <alignment horizontal="center" vertical="center"/>
    </xf>
    <xf numFmtId="0" fontId="54" fillId="2" borderId="26" xfId="0" applyFont="1" applyFill="1" applyBorder="1" applyAlignment="1">
      <alignment horizontal="center" vertical="center"/>
    </xf>
    <xf numFmtId="0" fontId="58" fillId="2" borderId="42" xfId="0" applyFont="1" applyFill="1" applyBorder="1" applyAlignment="1">
      <alignment horizontal="center" vertical="center"/>
    </xf>
    <xf numFmtId="0" fontId="56" fillId="2" borderId="26" xfId="0" applyFont="1" applyFill="1" applyBorder="1" applyAlignment="1">
      <alignment horizontal="center" vertical="center"/>
    </xf>
    <xf numFmtId="0" fontId="53" fillId="6" borderId="50" xfId="0" applyFont="1" applyFill="1" applyBorder="1" applyAlignment="1">
      <alignment horizontal="left" vertical="center" wrapText="1"/>
    </xf>
    <xf numFmtId="0" fontId="53" fillId="6" borderId="32" xfId="0" applyFont="1" applyFill="1" applyBorder="1" applyAlignment="1">
      <alignment vertical="center" wrapText="1"/>
    </xf>
    <xf numFmtId="0" fontId="53" fillId="6" borderId="27" xfId="0" applyFont="1" applyFill="1" applyBorder="1" applyAlignment="1">
      <alignment horizontal="center" vertical="center"/>
    </xf>
    <xf numFmtId="0" fontId="52" fillId="6" borderId="27" xfId="0" applyFont="1" applyFill="1" applyBorder="1" applyAlignment="1">
      <alignment horizontal="center" vertical="center"/>
    </xf>
    <xf numFmtId="0" fontId="52" fillId="6" borderId="26" xfId="0" applyFont="1" applyFill="1" applyBorder="1" applyAlignment="1">
      <alignment horizontal="center" vertical="center"/>
    </xf>
    <xf numFmtId="0" fontId="56" fillId="6" borderId="26" xfId="0" applyFont="1" applyFill="1" applyBorder="1" applyAlignment="1">
      <alignment horizontal="center" vertical="center"/>
    </xf>
    <xf numFmtId="0" fontId="52" fillId="6" borderId="42" xfId="0" applyFont="1" applyFill="1" applyBorder="1" applyAlignment="1">
      <alignment horizontal="center" vertical="center"/>
    </xf>
    <xf numFmtId="0" fontId="53" fillId="0" borderId="50" xfId="0" applyFont="1" applyBorder="1" applyAlignment="1">
      <alignment horizontal="left" vertical="center" wrapText="1"/>
    </xf>
    <xf numFmtId="0" fontId="53" fillId="0" borderId="32" xfId="0" applyFont="1" applyBorder="1" applyAlignment="1">
      <alignment vertical="center" wrapText="1"/>
    </xf>
    <xf numFmtId="0" fontId="58" fillId="2" borderId="50" xfId="0" applyFont="1" applyFill="1" applyBorder="1" applyAlignment="1">
      <alignment horizontal="left" vertical="center"/>
    </xf>
    <xf numFmtId="0" fontId="53" fillId="2" borderId="26" xfId="0" applyFont="1" applyFill="1" applyBorder="1" applyAlignment="1">
      <alignment horizontal="center" vertical="center"/>
    </xf>
    <xf numFmtId="0" fontId="53" fillId="2" borderId="50" xfId="0" applyFont="1" applyFill="1" applyBorder="1" applyAlignment="1">
      <alignment horizontal="left" vertical="center" wrapText="1"/>
    </xf>
    <xf numFmtId="0" fontId="53" fillId="2" borderId="32" xfId="0" applyFont="1" applyFill="1" applyBorder="1" applyAlignment="1">
      <alignment vertical="center" wrapText="1"/>
    </xf>
    <xf numFmtId="0" fontId="56" fillId="2" borderId="27" xfId="0" applyFont="1" applyFill="1" applyBorder="1" applyAlignment="1">
      <alignment horizontal="center" vertical="center"/>
    </xf>
    <xf numFmtId="0" fontId="53" fillId="6" borderId="58" xfId="0" applyFont="1" applyFill="1" applyBorder="1" applyAlignment="1">
      <alignment horizontal="left" vertical="center" wrapText="1"/>
    </xf>
    <xf numFmtId="0" fontId="53" fillId="6" borderId="59" xfId="0" applyFont="1" applyFill="1" applyBorder="1" applyAlignment="1">
      <alignment vertical="center" wrapText="1"/>
    </xf>
    <xf numFmtId="0" fontId="53" fillId="0" borderId="52" xfId="0" applyFont="1" applyBorder="1" applyAlignment="1">
      <alignment horizontal="left" vertical="center" wrapText="1"/>
    </xf>
    <xf numFmtId="0" fontId="53" fillId="0" borderId="31" xfId="0" applyFont="1" applyBorder="1" applyAlignment="1">
      <alignment vertical="center" wrapText="1"/>
    </xf>
    <xf numFmtId="0" fontId="53" fillId="2" borderId="26" xfId="4" applyFont="1" applyFill="1" applyBorder="1" applyAlignment="1">
      <alignment horizontal="center" vertical="center"/>
    </xf>
    <xf numFmtId="0" fontId="58" fillId="0" borderId="50" xfId="0" applyFont="1" applyBorder="1" applyAlignment="1">
      <alignment horizontal="left" vertical="center" wrapText="1"/>
    </xf>
    <xf numFmtId="0" fontId="58" fillId="0" borderId="32" xfId="0" applyFont="1" applyBorder="1" applyAlignment="1">
      <alignment vertical="center" wrapText="1"/>
    </xf>
    <xf numFmtId="0" fontId="53" fillId="6" borderId="50" xfId="0" applyFont="1" applyFill="1" applyBorder="1" applyAlignment="1">
      <alignment horizontal="left" vertical="center"/>
    </xf>
    <xf numFmtId="0" fontId="53" fillId="6" borderId="32" xfId="0" applyFont="1" applyFill="1" applyBorder="1" applyAlignment="1">
      <alignment vertical="center"/>
    </xf>
    <xf numFmtId="0" fontId="55" fillId="2" borderId="57" xfId="0" applyFont="1" applyFill="1" applyBorder="1" applyAlignment="1">
      <alignment horizontal="left" vertical="center"/>
    </xf>
    <xf numFmtId="0" fontId="55" fillId="2" borderId="60" xfId="0" applyFont="1" applyFill="1" applyBorder="1" applyAlignment="1">
      <alignment vertical="center" wrapText="1"/>
    </xf>
    <xf numFmtId="0" fontId="53" fillId="6" borderId="29" xfId="0" applyFont="1" applyFill="1" applyBorder="1" applyAlignment="1">
      <alignment vertical="center"/>
    </xf>
    <xf numFmtId="0" fontId="58" fillId="0" borderId="32" xfId="0" applyFont="1" applyBorder="1" applyAlignment="1">
      <alignment vertical="center"/>
    </xf>
    <xf numFmtId="0" fontId="58" fillId="0" borderId="52" xfId="0" applyFont="1" applyBorder="1" applyAlignment="1">
      <alignment horizontal="left" vertical="center" wrapText="1"/>
    </xf>
    <xf numFmtId="0" fontId="58" fillId="0" borderId="31" xfId="0" applyFont="1" applyBorder="1" applyAlignment="1">
      <alignment vertical="center"/>
    </xf>
    <xf numFmtId="0" fontId="55" fillId="11" borderId="56" xfId="0" applyFont="1" applyFill="1" applyBorder="1" applyAlignment="1">
      <alignment horizontal="left" vertical="center" wrapText="1"/>
    </xf>
    <xf numFmtId="0" fontId="55" fillId="11" borderId="62" xfId="0" applyFont="1" applyFill="1" applyBorder="1" applyAlignment="1">
      <alignment vertical="center" wrapText="1"/>
    </xf>
    <xf numFmtId="0" fontId="55" fillId="2" borderId="56" xfId="0" applyFont="1" applyFill="1" applyBorder="1" applyAlignment="1">
      <alignment horizontal="left" vertical="center" wrapText="1"/>
    </xf>
    <xf numFmtId="0" fontId="55" fillId="2" borderId="62" xfId="0" applyFont="1" applyFill="1" applyBorder="1" applyAlignment="1">
      <alignment vertical="center" wrapText="1"/>
    </xf>
    <xf numFmtId="0" fontId="55" fillId="2" borderId="56" xfId="0" applyFont="1" applyFill="1" applyBorder="1" applyAlignment="1">
      <alignment horizontal="left" vertical="center"/>
    </xf>
    <xf numFmtId="0" fontId="55" fillId="2" borderId="62" xfId="0" quotePrefix="1" applyFont="1" applyFill="1" applyBorder="1" applyAlignment="1">
      <alignment vertical="center"/>
    </xf>
    <xf numFmtId="0" fontId="55" fillId="2" borderId="62" xfId="0" applyFont="1" applyFill="1" applyBorder="1" applyAlignment="1">
      <alignment vertical="center"/>
    </xf>
    <xf numFmtId="0" fontId="55" fillId="10" borderId="61" xfId="0" applyFont="1" applyFill="1" applyBorder="1" applyAlignment="1">
      <alignment horizontal="left" vertical="center" wrapText="1"/>
    </xf>
    <xf numFmtId="0" fontId="55" fillId="10" borderId="63" xfId="0" applyFont="1" applyFill="1" applyBorder="1" applyAlignment="1">
      <alignment vertical="center" wrapText="1"/>
    </xf>
    <xf numFmtId="0" fontId="53" fillId="2" borderId="18" xfId="0" applyFont="1" applyFill="1" applyBorder="1" applyAlignment="1">
      <alignment horizontal="center" vertical="center"/>
    </xf>
    <xf numFmtId="0" fontId="56" fillId="2" borderId="18" xfId="0" applyFont="1" applyFill="1" applyBorder="1" applyAlignment="1">
      <alignment horizontal="center" vertical="center"/>
    </xf>
    <xf numFmtId="0" fontId="56" fillId="2" borderId="37" xfId="0" applyFont="1" applyFill="1" applyBorder="1" applyAlignment="1">
      <alignment horizontal="center" vertical="center"/>
    </xf>
    <xf numFmtId="0" fontId="53" fillId="2" borderId="0" xfId="0" applyFont="1" applyFill="1" applyAlignment="1">
      <alignment horizontal="center" vertical="center"/>
    </xf>
    <xf numFmtId="0" fontId="52" fillId="29" borderId="6" xfId="0" applyFont="1" applyFill="1" applyBorder="1" applyAlignment="1">
      <alignment horizontal="center" vertical="center"/>
    </xf>
    <xf numFmtId="0" fontId="52" fillId="15" borderId="6" xfId="0" applyFont="1" applyFill="1" applyBorder="1" applyAlignment="1">
      <alignment horizontal="center" vertical="center"/>
    </xf>
    <xf numFmtId="0" fontId="52" fillId="17" borderId="6" xfId="0" applyFont="1" applyFill="1" applyBorder="1" applyAlignment="1">
      <alignment horizontal="center" vertical="center"/>
    </xf>
    <xf numFmtId="0" fontId="52" fillId="19" borderId="6" xfId="0" applyFont="1" applyFill="1" applyBorder="1" applyAlignment="1">
      <alignment horizontal="center" vertical="center"/>
    </xf>
    <xf numFmtId="0" fontId="52" fillId="20" borderId="6" xfId="0" applyFont="1" applyFill="1" applyBorder="1" applyAlignment="1">
      <alignment horizontal="center" vertical="center"/>
    </xf>
    <xf numFmtId="0" fontId="52" fillId="24" borderId="6" xfId="0" applyFont="1" applyFill="1" applyBorder="1" applyAlignment="1">
      <alignment horizontal="center" vertical="center"/>
    </xf>
    <xf numFmtId="3" fontId="53" fillId="2" borderId="30" xfId="1" applyNumberFormat="1" applyFont="1" applyFill="1" applyBorder="1" applyAlignment="1">
      <alignment horizontal="left" vertical="center"/>
    </xf>
    <xf numFmtId="0" fontId="58" fillId="2" borderId="41" xfId="0" applyFont="1" applyFill="1" applyBorder="1" applyAlignment="1">
      <alignment horizontal="left" vertical="center"/>
    </xf>
    <xf numFmtId="3" fontId="53" fillId="2" borderId="28" xfId="1" applyNumberFormat="1" applyFont="1" applyFill="1" applyBorder="1" applyAlignment="1">
      <alignment horizontal="left" vertical="center"/>
    </xf>
    <xf numFmtId="0" fontId="58" fillId="2" borderId="42" xfId="0" applyFont="1" applyFill="1" applyBorder="1" applyAlignment="1">
      <alignment horizontal="left" vertical="center"/>
    </xf>
    <xf numFmtId="3" fontId="53" fillId="2" borderId="34" xfId="1" applyNumberFormat="1" applyFont="1" applyFill="1" applyBorder="1" applyAlignment="1">
      <alignment horizontal="left" vertical="center"/>
    </xf>
    <xf numFmtId="0" fontId="58" fillId="2" borderId="45" xfId="0" applyFont="1" applyFill="1" applyBorder="1" applyAlignment="1">
      <alignment horizontal="left" vertical="center"/>
    </xf>
    <xf numFmtId="0" fontId="52" fillId="3" borderId="51" xfId="0" applyFont="1" applyFill="1" applyBorder="1" applyAlignment="1">
      <alignment horizontal="left" vertical="center"/>
    </xf>
    <xf numFmtId="0" fontId="54" fillId="3" borderId="38" xfId="0" applyFont="1" applyFill="1" applyBorder="1"/>
    <xf numFmtId="0" fontId="52" fillId="3" borderId="64" xfId="0" applyFont="1" applyFill="1" applyBorder="1" applyAlignment="1">
      <alignment horizontal="left" vertical="center"/>
    </xf>
    <xf numFmtId="0" fontId="54" fillId="3" borderId="17" xfId="0" applyFont="1" applyFill="1" applyBorder="1" applyAlignment="1">
      <alignment horizontal="center"/>
    </xf>
    <xf numFmtId="0" fontId="54" fillId="3" borderId="17" xfId="0" applyFont="1" applyFill="1" applyBorder="1"/>
    <xf numFmtId="0" fontId="54" fillId="0" borderId="17" xfId="0" applyFont="1" applyBorder="1"/>
    <xf numFmtId="0" fontId="54" fillId="6" borderId="26" xfId="0" applyFont="1" applyFill="1" applyBorder="1" applyAlignment="1">
      <alignment horizontal="center" vertical="center"/>
    </xf>
    <xf numFmtId="0" fontId="58" fillId="6" borderId="4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center" vertical="center"/>
    </xf>
    <xf numFmtId="0" fontId="54" fillId="2" borderId="2" xfId="0" applyFont="1" applyFill="1" applyBorder="1" applyAlignment="1">
      <alignment horizontal="center" vertical="center"/>
    </xf>
    <xf numFmtId="0" fontId="54" fillId="2" borderId="3" xfId="0" applyFont="1" applyFill="1" applyBorder="1" applyAlignment="1">
      <alignment horizontal="center" vertical="center"/>
    </xf>
    <xf numFmtId="0" fontId="54" fillId="2" borderId="4" xfId="0" applyFont="1" applyFill="1" applyBorder="1" applyAlignment="1">
      <alignment horizontal="center" vertical="center"/>
    </xf>
    <xf numFmtId="14" fontId="62" fillId="2" borderId="0" xfId="0" applyNumberFormat="1" applyFont="1" applyFill="1" applyAlignment="1">
      <alignment horizontal="center" vertical="center"/>
    </xf>
    <xf numFmtId="0" fontId="63" fillId="0" borderId="0" xfId="0" applyFont="1" applyAlignment="1">
      <alignment vertical="center"/>
    </xf>
    <xf numFmtId="0" fontId="55" fillId="0" borderId="0" xfId="0" applyFont="1"/>
    <xf numFmtId="0" fontId="56" fillId="8" borderId="6" xfId="0" applyFont="1" applyFill="1" applyBorder="1" applyAlignment="1">
      <alignment horizontal="center" vertical="center"/>
    </xf>
    <xf numFmtId="0" fontId="54" fillId="2" borderId="6" xfId="0" applyFont="1" applyFill="1" applyBorder="1" applyAlignment="1">
      <alignment horizontal="center" vertical="center"/>
    </xf>
    <xf numFmtId="0" fontId="54" fillId="2" borderId="0" xfId="0" applyFont="1" applyFill="1" applyAlignment="1">
      <alignment horizontal="center" vertical="center"/>
    </xf>
    <xf numFmtId="0" fontId="54" fillId="2" borderId="7" xfId="0" applyFont="1" applyFill="1" applyBorder="1" applyAlignment="1">
      <alignment horizontal="center" vertical="center"/>
    </xf>
    <xf numFmtId="0" fontId="62" fillId="2" borderId="0" xfId="0" applyFont="1" applyFill="1" applyAlignment="1">
      <alignment horizontal="center" vertical="center"/>
    </xf>
    <xf numFmtId="0" fontId="52" fillId="28" borderId="6" xfId="0" applyFont="1" applyFill="1" applyBorder="1" applyAlignment="1">
      <alignment horizontal="center" vertical="center"/>
    </xf>
    <xf numFmtId="164" fontId="54" fillId="2" borderId="0" xfId="0" applyNumberFormat="1" applyFont="1" applyFill="1" applyAlignment="1">
      <alignment horizontal="center" vertical="center"/>
    </xf>
    <xf numFmtId="164" fontId="54" fillId="2" borderId="7" xfId="0" applyNumberFormat="1" applyFont="1" applyFill="1" applyBorder="1" applyAlignment="1">
      <alignment horizontal="center" vertical="center"/>
    </xf>
    <xf numFmtId="0" fontId="54" fillId="2" borderId="8" xfId="0" applyFont="1" applyFill="1" applyBorder="1" applyAlignment="1">
      <alignment horizontal="center" vertical="center"/>
    </xf>
    <xf numFmtId="0" fontId="54" fillId="2" borderId="9" xfId="0" applyFont="1" applyFill="1" applyBorder="1" applyAlignment="1">
      <alignment horizontal="center" vertical="center"/>
    </xf>
    <xf numFmtId="164" fontId="54" fillId="2" borderId="9" xfId="0" applyNumberFormat="1" applyFont="1" applyFill="1" applyBorder="1" applyAlignment="1">
      <alignment horizontal="center" vertical="center"/>
    </xf>
    <xf numFmtId="164" fontId="54" fillId="2" borderId="10" xfId="0" applyNumberFormat="1" applyFont="1" applyFill="1" applyBorder="1" applyAlignment="1">
      <alignment horizontal="center" vertical="center"/>
    </xf>
    <xf numFmtId="164" fontId="54" fillId="2" borderId="3" xfId="0" applyNumberFormat="1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14" fontId="56" fillId="2" borderId="3" xfId="0" applyNumberFormat="1" applyFont="1" applyFill="1" applyBorder="1" applyAlignment="1">
      <alignment horizontal="center" vertical="center"/>
    </xf>
    <xf numFmtId="0" fontId="55" fillId="2" borderId="0" xfId="0" applyFont="1" applyFill="1" applyAlignment="1">
      <alignment horizontal="center" vertical="center"/>
    </xf>
    <xf numFmtId="14" fontId="56" fillId="2" borderId="0" xfId="0" applyNumberFormat="1" applyFont="1" applyFill="1" applyAlignment="1">
      <alignment horizontal="center" vertical="center"/>
    </xf>
    <xf numFmtId="0" fontId="52" fillId="26" borderId="6" xfId="0" applyFont="1" applyFill="1" applyBorder="1" applyAlignment="1">
      <alignment horizontal="center" vertical="center"/>
    </xf>
    <xf numFmtId="0" fontId="52" fillId="27" borderId="6" xfId="0" applyFont="1" applyFill="1" applyBorder="1" applyAlignment="1">
      <alignment horizontal="center" vertical="center"/>
    </xf>
    <xf numFmtId="3" fontId="53" fillId="2" borderId="47" xfId="1" applyNumberFormat="1" applyFont="1" applyFill="1" applyBorder="1" applyAlignment="1">
      <alignment horizontal="left" vertical="center"/>
    </xf>
    <xf numFmtId="0" fontId="58" fillId="2" borderId="43" xfId="0" applyFont="1" applyFill="1" applyBorder="1" applyAlignment="1">
      <alignment horizontal="left" vertical="center"/>
    </xf>
    <xf numFmtId="0" fontId="55" fillId="0" borderId="0" xfId="0" applyFont="1" applyAlignment="1">
      <alignment horizontal="left"/>
    </xf>
    <xf numFmtId="0" fontId="55" fillId="2" borderId="9" xfId="0" applyFont="1" applyFill="1" applyBorder="1" applyAlignment="1">
      <alignment horizontal="center" vertical="center"/>
    </xf>
    <xf numFmtId="0" fontId="52" fillId="3" borderId="14" xfId="0" applyFont="1" applyFill="1" applyBorder="1" applyAlignment="1">
      <alignment horizontal="left" vertical="center"/>
    </xf>
    <xf numFmtId="0" fontId="54" fillId="3" borderId="14" xfId="0" applyFont="1" applyFill="1" applyBorder="1"/>
    <xf numFmtId="0" fontId="54" fillId="3" borderId="0" xfId="0" applyFont="1" applyFill="1"/>
    <xf numFmtId="0" fontId="54" fillId="3" borderId="0" xfId="0" applyFont="1" applyFill="1" applyAlignment="1">
      <alignment horizontal="center"/>
    </xf>
    <xf numFmtId="0" fontId="55" fillId="3" borderId="0" xfId="0" applyFont="1" applyFill="1"/>
    <xf numFmtId="0" fontId="55" fillId="3" borderId="7" xfId="0" applyFont="1" applyFill="1" applyBorder="1"/>
    <xf numFmtId="0" fontId="53" fillId="21" borderId="2" xfId="0" applyFont="1" applyFill="1" applyBorder="1" applyAlignment="1">
      <alignment horizontal="left" vertical="top" wrapText="1"/>
    </xf>
    <xf numFmtId="0" fontId="53" fillId="21" borderId="1" xfId="0" applyFont="1" applyFill="1" applyBorder="1" applyAlignment="1">
      <alignment horizontal="center" vertical="center" wrapText="1"/>
    </xf>
    <xf numFmtId="0" fontId="54" fillId="21" borderId="25" xfId="0" applyFont="1" applyFill="1" applyBorder="1" applyAlignment="1">
      <alignment horizontal="center" vertical="center"/>
    </xf>
    <xf numFmtId="0" fontId="54" fillId="21" borderId="23" xfId="0" applyFont="1" applyFill="1" applyBorder="1" applyAlignment="1">
      <alignment horizontal="center" vertical="center"/>
    </xf>
    <xf numFmtId="0" fontId="54" fillId="21" borderId="22" xfId="0" applyFont="1" applyFill="1" applyBorder="1" applyAlignment="1">
      <alignment horizontal="center" vertical="center"/>
    </xf>
    <xf numFmtId="0" fontId="53" fillId="21" borderId="24" xfId="0" applyFont="1" applyFill="1" applyBorder="1" applyAlignment="1">
      <alignment horizontal="center" vertical="center"/>
    </xf>
    <xf numFmtId="0" fontId="55" fillId="2" borderId="0" xfId="0" applyFont="1" applyFill="1"/>
    <xf numFmtId="0" fontId="60" fillId="2" borderId="3" xfId="0" applyFont="1" applyFill="1" applyBorder="1" applyAlignment="1">
      <alignment vertical="center"/>
    </xf>
    <xf numFmtId="0" fontId="60" fillId="2" borderId="0" xfId="0" applyFont="1" applyFill="1" applyAlignment="1">
      <alignment vertical="center"/>
    </xf>
    <xf numFmtId="164" fontId="54" fillId="2" borderId="6" xfId="0" applyNumberFormat="1" applyFont="1" applyFill="1" applyBorder="1" applyAlignment="1">
      <alignment horizontal="center" vertical="center"/>
    </xf>
    <xf numFmtId="164" fontId="54" fillId="2" borderId="8" xfId="0" applyNumberFormat="1" applyFont="1" applyFill="1" applyBorder="1" applyAlignment="1">
      <alignment horizontal="center" vertical="center"/>
    </xf>
    <xf numFmtId="0" fontId="55" fillId="3" borderId="12" xfId="0" applyFont="1" applyFill="1" applyBorder="1" applyAlignment="1">
      <alignment horizontal="left"/>
    </xf>
    <xf numFmtId="0" fontId="55" fillId="3" borderId="13" xfId="0" applyFont="1" applyFill="1" applyBorder="1"/>
    <xf numFmtId="0" fontId="55" fillId="3" borderId="12" xfId="0" applyFont="1" applyFill="1" applyBorder="1"/>
    <xf numFmtId="0" fontId="55" fillId="3" borderId="9" xfId="0" applyFont="1" applyFill="1" applyBorder="1"/>
    <xf numFmtId="0" fontId="53" fillId="18" borderId="2" xfId="0" applyFont="1" applyFill="1" applyBorder="1" applyAlignment="1">
      <alignment horizontal="left" vertical="top" wrapText="1"/>
    </xf>
    <xf numFmtId="0" fontId="53" fillId="18" borderId="1" xfId="0" applyFont="1" applyFill="1" applyBorder="1" applyAlignment="1">
      <alignment horizontal="center" vertical="center" wrapText="1"/>
    </xf>
    <xf numFmtId="3" fontId="53" fillId="2" borderId="30" xfId="1" applyNumberFormat="1" applyFont="1" applyFill="1" applyBorder="1" applyAlignment="1">
      <alignment vertical="center"/>
    </xf>
    <xf numFmtId="0" fontId="55" fillId="2" borderId="2" xfId="0" applyFont="1" applyFill="1" applyBorder="1" applyAlignment="1">
      <alignment horizontal="center" vertical="center"/>
    </xf>
    <xf numFmtId="0" fontId="55" fillId="0" borderId="3" xfId="0" applyFont="1" applyBorder="1" applyAlignment="1">
      <alignment vertical="center"/>
    </xf>
    <xf numFmtId="3" fontId="53" fillId="2" borderId="28" xfId="1" applyNumberFormat="1" applyFont="1" applyFill="1" applyBorder="1" applyAlignment="1">
      <alignment vertical="center"/>
    </xf>
    <xf numFmtId="0" fontId="55" fillId="2" borderId="6" xfId="0" applyFont="1" applyFill="1" applyBorder="1" applyAlignment="1">
      <alignment horizontal="center" vertical="center"/>
    </xf>
    <xf numFmtId="0" fontId="56" fillId="2" borderId="0" xfId="0" applyFont="1" applyFill="1" applyAlignment="1">
      <alignment horizontal="center" vertical="center"/>
    </xf>
    <xf numFmtId="0" fontId="55" fillId="0" borderId="0" xfId="0" applyFont="1" applyAlignment="1">
      <alignment vertical="center"/>
    </xf>
    <xf numFmtId="3" fontId="53" fillId="2" borderId="34" xfId="1" applyNumberFormat="1" applyFont="1" applyFill="1" applyBorder="1" applyAlignment="1">
      <alignment vertical="center"/>
    </xf>
    <xf numFmtId="0" fontId="55" fillId="2" borderId="8" xfId="0" applyFont="1" applyFill="1" applyBorder="1" applyAlignment="1">
      <alignment horizontal="center" vertical="center"/>
    </xf>
    <xf numFmtId="0" fontId="56" fillId="2" borderId="9" xfId="0" applyFont="1" applyFill="1" applyBorder="1" applyAlignment="1">
      <alignment horizontal="center" vertical="center"/>
    </xf>
    <xf numFmtId="0" fontId="55" fillId="0" borderId="9" xfId="0" applyFont="1" applyBorder="1" applyAlignment="1">
      <alignment vertical="center"/>
    </xf>
    <xf numFmtId="0" fontId="55" fillId="0" borderId="10" xfId="0" applyFont="1" applyBorder="1"/>
    <xf numFmtId="0" fontId="54" fillId="3" borderId="13" xfId="0" applyFont="1" applyFill="1" applyBorder="1"/>
    <xf numFmtId="0" fontId="54" fillId="3" borderId="13" xfId="0" applyFont="1" applyFill="1" applyBorder="1" applyAlignment="1">
      <alignment horizontal="center"/>
    </xf>
    <xf numFmtId="0" fontId="55" fillId="0" borderId="13" xfId="0" applyFont="1" applyBorder="1"/>
    <xf numFmtId="0" fontId="55" fillId="0" borderId="36" xfId="0" applyFont="1" applyBorder="1"/>
    <xf numFmtId="0" fontId="54" fillId="3" borderId="9" xfId="0" applyFont="1" applyFill="1" applyBorder="1" applyAlignment="1">
      <alignment horizontal="center"/>
    </xf>
    <xf numFmtId="0" fontId="54" fillId="3" borderId="9" xfId="0" applyFont="1" applyFill="1" applyBorder="1"/>
    <xf numFmtId="0" fontId="54" fillId="0" borderId="9" xfId="0" applyFont="1" applyBorder="1"/>
    <xf numFmtId="0" fontId="52" fillId="3" borderId="9" xfId="0" applyFont="1" applyFill="1" applyBorder="1" applyAlignment="1">
      <alignment vertical="center"/>
    </xf>
    <xf numFmtId="0" fontId="55" fillId="0" borderId="9" xfId="0" applyFont="1" applyBorder="1"/>
    <xf numFmtId="0" fontId="53" fillId="25" borderId="2" xfId="0" applyFont="1" applyFill="1" applyBorder="1" applyAlignment="1">
      <alignment vertical="top" wrapText="1"/>
    </xf>
    <xf numFmtId="0" fontId="53" fillId="25" borderId="1" xfId="0" applyFont="1" applyFill="1" applyBorder="1" applyAlignment="1">
      <alignment horizontal="center" vertical="center" wrapText="1"/>
    </xf>
    <xf numFmtId="0" fontId="54" fillId="25" borderId="25" xfId="0" applyFont="1" applyFill="1" applyBorder="1" applyAlignment="1">
      <alignment horizontal="center" vertical="center"/>
    </xf>
    <xf numFmtId="0" fontId="54" fillId="25" borderId="23" xfId="0" applyFont="1" applyFill="1" applyBorder="1" applyAlignment="1">
      <alignment horizontal="center" vertical="center"/>
    </xf>
    <xf numFmtId="0" fontId="54" fillId="25" borderId="22" xfId="0" applyFont="1" applyFill="1" applyBorder="1" applyAlignment="1">
      <alignment horizontal="center" vertical="center"/>
    </xf>
    <xf numFmtId="0" fontId="53" fillId="25" borderId="24" xfId="0" applyFont="1" applyFill="1" applyBorder="1" applyAlignment="1">
      <alignment horizontal="center" vertical="center"/>
    </xf>
    <xf numFmtId="0" fontId="53" fillId="25" borderId="51" xfId="0" applyFont="1" applyFill="1" applyBorder="1" applyAlignment="1">
      <alignment vertical="center" wrapText="1"/>
    </xf>
    <xf numFmtId="0" fontId="53" fillId="25" borderId="29" xfId="0" applyFont="1" applyFill="1" applyBorder="1" applyAlignment="1">
      <alignment vertical="center" wrapText="1"/>
    </xf>
    <xf numFmtId="0" fontId="53" fillId="25" borderId="44" xfId="0" applyFont="1" applyFill="1" applyBorder="1" applyAlignment="1">
      <alignment horizontal="center" vertical="center" wrapText="1"/>
    </xf>
    <xf numFmtId="0" fontId="54" fillId="25" borderId="44" xfId="0" applyFont="1" applyFill="1" applyBorder="1" applyAlignment="1">
      <alignment horizontal="center" vertical="center"/>
    </xf>
    <xf numFmtId="0" fontId="54" fillId="25" borderId="40" xfId="0" applyFont="1" applyFill="1" applyBorder="1" applyAlignment="1">
      <alignment horizontal="center" vertical="center"/>
    </xf>
    <xf numFmtId="0" fontId="55" fillId="25" borderId="40" xfId="0" applyFont="1" applyFill="1" applyBorder="1" applyAlignment="1">
      <alignment horizontal="center" vertical="center"/>
    </xf>
    <xf numFmtId="0" fontId="53" fillId="25" borderId="41" xfId="0" applyFont="1" applyFill="1" applyBorder="1" applyAlignment="1">
      <alignment horizontal="center" vertical="center"/>
    </xf>
    <xf numFmtId="0" fontId="58" fillId="2" borderId="50" xfId="0" applyFont="1" applyFill="1" applyBorder="1" applyAlignment="1">
      <alignment vertical="center" wrapText="1"/>
    </xf>
    <xf numFmtId="0" fontId="53" fillId="25" borderId="50" xfId="0" applyFont="1" applyFill="1" applyBorder="1" applyAlignment="1">
      <alignment vertical="center" wrapText="1"/>
    </xf>
    <xf numFmtId="0" fontId="53" fillId="25" borderId="27" xfId="0" applyFont="1" applyFill="1" applyBorder="1" applyAlignment="1">
      <alignment horizontal="center" vertical="center"/>
    </xf>
    <xf numFmtId="0" fontId="52" fillId="25" borderId="27" xfId="0" applyFont="1" applyFill="1" applyBorder="1" applyAlignment="1">
      <alignment horizontal="center" vertical="center"/>
    </xf>
    <xf numFmtId="0" fontId="52" fillId="25" borderId="26" xfId="0" applyFont="1" applyFill="1" applyBorder="1" applyAlignment="1">
      <alignment horizontal="center" vertical="center"/>
    </xf>
    <xf numFmtId="0" fontId="56" fillId="25" borderId="26" xfId="0" applyFont="1" applyFill="1" applyBorder="1" applyAlignment="1">
      <alignment horizontal="center" vertical="center"/>
    </xf>
    <xf numFmtId="0" fontId="58" fillId="2" borderId="50" xfId="0" applyFont="1" applyFill="1" applyBorder="1" applyAlignment="1">
      <alignment vertical="center"/>
    </xf>
    <xf numFmtId="0" fontId="53" fillId="25" borderId="26" xfId="0" applyFont="1" applyFill="1" applyBorder="1" applyAlignment="1">
      <alignment horizontal="center" vertical="center"/>
    </xf>
    <xf numFmtId="0" fontId="53" fillId="25" borderId="58" xfId="0" applyFont="1" applyFill="1" applyBorder="1" applyAlignment="1">
      <alignment vertical="center" wrapText="1"/>
    </xf>
    <xf numFmtId="0" fontId="53" fillId="25" borderId="59" xfId="0" applyFont="1" applyFill="1" applyBorder="1" applyAlignment="1">
      <alignment vertical="center" wrapText="1"/>
    </xf>
    <xf numFmtId="0" fontId="53" fillId="25" borderId="52" xfId="0" applyFont="1" applyFill="1" applyBorder="1" applyAlignment="1">
      <alignment vertical="center" wrapText="1"/>
    </xf>
    <xf numFmtId="0" fontId="53" fillId="25" borderId="31" xfId="0" applyFont="1" applyFill="1" applyBorder="1" applyAlignment="1">
      <alignment vertical="center" wrapText="1"/>
    </xf>
    <xf numFmtId="0" fontId="53" fillId="25" borderId="26" xfId="4" applyFont="1" applyFill="1" applyBorder="1" applyAlignment="1">
      <alignment horizontal="center" vertical="center"/>
    </xf>
    <xf numFmtId="0" fontId="58" fillId="0" borderId="50" xfId="0" applyFont="1" applyBorder="1" applyAlignment="1">
      <alignment vertical="center" wrapText="1"/>
    </xf>
    <xf numFmtId="0" fontId="53" fillId="25" borderId="50" xfId="0" applyFont="1" applyFill="1" applyBorder="1" applyAlignment="1">
      <alignment vertical="center"/>
    </xf>
    <xf numFmtId="0" fontId="55" fillId="2" borderId="57" xfId="0" applyFont="1" applyFill="1" applyBorder="1" applyAlignment="1">
      <alignment vertical="center"/>
    </xf>
    <xf numFmtId="0" fontId="53" fillId="25" borderId="29" xfId="0" applyFont="1" applyFill="1" applyBorder="1" applyAlignment="1">
      <alignment vertical="center"/>
    </xf>
    <xf numFmtId="0" fontId="58" fillId="0" borderId="52" xfId="0" applyFont="1" applyBorder="1" applyAlignment="1">
      <alignment vertical="center" wrapText="1"/>
    </xf>
    <xf numFmtId="0" fontId="52" fillId="14" borderId="2" xfId="0" applyFont="1" applyFill="1" applyBorder="1" applyAlignment="1">
      <alignment horizontal="center" vertical="center"/>
    </xf>
    <xf numFmtId="0" fontId="52" fillId="3" borderId="0" xfId="0" applyFont="1" applyFill="1" applyAlignment="1">
      <alignment vertical="center"/>
    </xf>
    <xf numFmtId="0" fontId="53" fillId="13" borderId="2" xfId="0" applyFont="1" applyFill="1" applyBorder="1" applyAlignment="1">
      <alignment horizontal="center" vertical="top" wrapText="1"/>
    </xf>
    <xf numFmtId="0" fontId="53" fillId="6" borderId="51" xfId="0" applyFont="1" applyFill="1" applyBorder="1" applyAlignment="1">
      <alignment horizontal="center" vertical="center" wrapText="1"/>
    </xf>
    <xf numFmtId="0" fontId="58" fillId="2" borderId="50" xfId="0" applyFont="1" applyFill="1" applyBorder="1" applyAlignment="1">
      <alignment horizontal="center" vertical="center" wrapText="1"/>
    </xf>
    <xf numFmtId="0" fontId="53" fillId="6" borderId="50" xfId="0" applyFont="1" applyFill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8" fillId="2" borderId="50" xfId="0" applyFont="1" applyFill="1" applyBorder="1" applyAlignment="1">
      <alignment horizontal="center" vertical="center"/>
    </xf>
    <xf numFmtId="0" fontId="53" fillId="2" borderId="50" xfId="0" applyFont="1" applyFill="1" applyBorder="1" applyAlignment="1">
      <alignment horizontal="center" vertical="center" wrapText="1"/>
    </xf>
    <xf numFmtId="0" fontId="53" fillId="6" borderId="58" xfId="0" applyFont="1" applyFill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8" fillId="0" borderId="50" xfId="0" applyFont="1" applyBorder="1" applyAlignment="1">
      <alignment horizontal="center" vertical="center" wrapText="1"/>
    </xf>
    <xf numFmtId="0" fontId="53" fillId="6" borderId="50" xfId="0" applyFont="1" applyFill="1" applyBorder="1" applyAlignment="1">
      <alignment horizontal="center" vertical="center"/>
    </xf>
    <xf numFmtId="0" fontId="55" fillId="2" borderId="57" xfId="0" applyFont="1" applyFill="1" applyBorder="1" applyAlignment="1">
      <alignment horizontal="center" vertical="center"/>
    </xf>
    <xf numFmtId="0" fontId="58" fillId="0" borderId="52" xfId="0" applyFont="1" applyBorder="1" applyAlignment="1">
      <alignment horizontal="center" vertical="center" wrapText="1"/>
    </xf>
    <xf numFmtId="0" fontId="52" fillId="29" borderId="8" xfId="0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0" fontId="53" fillId="2" borderId="0" xfId="0" applyFont="1" applyFill="1" applyAlignment="1">
      <alignment vertical="center"/>
    </xf>
    <xf numFmtId="0" fontId="64" fillId="2" borderId="0" xfId="0" applyFont="1" applyFill="1" applyAlignment="1">
      <alignment vertical="center"/>
    </xf>
    <xf numFmtId="0" fontId="58" fillId="2" borderId="0" xfId="0" applyFont="1" applyFill="1" applyAlignment="1">
      <alignment horizontal="center" vertical="center" wrapText="1"/>
    </xf>
    <xf numFmtId="0" fontId="58" fillId="2" borderId="0" xfId="0" applyFont="1" applyFill="1" applyAlignment="1">
      <alignment vertical="center" wrapText="1"/>
    </xf>
    <xf numFmtId="0" fontId="58" fillId="2" borderId="0" xfId="0" applyFont="1" applyFill="1" applyAlignment="1">
      <alignment horizontal="center" vertical="center"/>
    </xf>
    <xf numFmtId="0" fontId="65" fillId="2" borderId="0" xfId="0" applyFont="1" applyFill="1" applyAlignment="1">
      <alignment vertical="center" wrapText="1"/>
    </xf>
    <xf numFmtId="0" fontId="55" fillId="3" borderId="0" xfId="0" applyFont="1" applyFill="1" applyAlignment="1">
      <alignment horizontal="left"/>
    </xf>
    <xf numFmtId="0" fontId="58" fillId="2" borderId="0" xfId="0" applyFont="1" applyFill="1" applyAlignment="1">
      <alignment vertical="center"/>
    </xf>
    <xf numFmtId="0" fontId="65" fillId="2" borderId="0" xfId="0" applyFont="1" applyFill="1" applyAlignment="1">
      <alignment vertical="center"/>
    </xf>
    <xf numFmtId="0" fontId="55" fillId="10" borderId="0" xfId="0" applyFont="1" applyFill="1" applyAlignment="1">
      <alignment horizontal="left" vertical="center" wrapText="1"/>
    </xf>
    <xf numFmtId="0" fontId="55" fillId="10" borderId="0" xfId="0" applyFont="1" applyFill="1" applyAlignment="1">
      <alignment vertical="center" wrapText="1"/>
    </xf>
    <xf numFmtId="0" fontId="52" fillId="30" borderId="6" xfId="0" applyFont="1" applyFill="1" applyBorder="1" applyAlignment="1">
      <alignment horizontal="center" vertical="center"/>
    </xf>
    <xf numFmtId="0" fontId="52" fillId="30" borderId="8" xfId="0" applyFont="1" applyFill="1" applyBorder="1" applyAlignment="1">
      <alignment horizontal="center" vertical="center"/>
    </xf>
    <xf numFmtId="0" fontId="53" fillId="25" borderId="33" xfId="0" applyFont="1" applyFill="1" applyBorder="1" applyAlignment="1">
      <alignment vertical="center" wrapText="1"/>
    </xf>
    <xf numFmtId="0" fontId="58" fillId="2" borderId="33" xfId="0" applyFont="1" applyFill="1" applyBorder="1" applyAlignment="1">
      <alignment vertical="center" wrapText="1"/>
    </xf>
    <xf numFmtId="0" fontId="55" fillId="2" borderId="66" xfId="0" applyFont="1" applyFill="1" applyBorder="1" applyAlignment="1">
      <alignment horizontal="left" vertical="center" wrapText="1"/>
    </xf>
    <xf numFmtId="0" fontId="55" fillId="10" borderId="67" xfId="0" applyFont="1" applyFill="1" applyBorder="1" applyAlignment="1">
      <alignment horizontal="left" vertical="center" wrapText="1"/>
    </xf>
    <xf numFmtId="0" fontId="55" fillId="11" borderId="57" xfId="0" applyFont="1" applyFill="1" applyBorder="1" applyAlignment="1">
      <alignment vertical="center" wrapText="1"/>
    </xf>
    <xf numFmtId="0" fontId="55" fillId="2" borderId="57" xfId="0" applyFont="1" applyFill="1" applyBorder="1" applyAlignment="1">
      <alignment vertical="center" wrapText="1"/>
    </xf>
    <xf numFmtId="0" fontId="55" fillId="10" borderId="68" xfId="0" applyFont="1" applyFill="1" applyBorder="1" applyAlignment="1">
      <alignment vertical="center" wrapText="1"/>
    </xf>
    <xf numFmtId="0" fontId="52" fillId="3" borderId="9" xfId="0" applyFont="1" applyFill="1" applyBorder="1" applyAlignment="1">
      <alignment horizontal="left" vertical="center"/>
    </xf>
    <xf numFmtId="0" fontId="55" fillId="10" borderId="60" xfId="0" applyFont="1" applyFill="1" applyBorder="1" applyAlignment="1">
      <alignment vertical="center" wrapText="1"/>
    </xf>
    <xf numFmtId="0" fontId="55" fillId="11" borderId="60" xfId="0" applyFont="1" applyFill="1" applyBorder="1" applyAlignment="1">
      <alignment vertical="center" wrapText="1"/>
    </xf>
    <xf numFmtId="0" fontId="55" fillId="2" borderId="60" xfId="0" quotePrefix="1" applyFont="1" applyFill="1" applyBorder="1" applyAlignment="1">
      <alignment vertical="center"/>
    </xf>
    <xf numFmtId="0" fontId="55" fillId="2" borderId="60" xfId="0" applyFont="1" applyFill="1" applyBorder="1" applyAlignment="1">
      <alignment vertical="center"/>
    </xf>
    <xf numFmtId="0" fontId="55" fillId="10" borderId="69" xfId="0" applyFont="1" applyFill="1" applyBorder="1" applyAlignment="1">
      <alignment vertical="center" wrapText="1"/>
    </xf>
    <xf numFmtId="0" fontId="68" fillId="2" borderId="0" xfId="0" applyFont="1" applyFill="1" applyAlignment="1">
      <alignment horizontal="center" vertical="center"/>
    </xf>
    <xf numFmtId="0" fontId="69" fillId="0" borderId="0" xfId="0" applyFont="1"/>
    <xf numFmtId="3" fontId="67" fillId="2" borderId="30" xfId="1" applyNumberFormat="1" applyFont="1" applyFill="1" applyBorder="1" applyAlignment="1">
      <alignment horizontal="left" vertical="center"/>
    </xf>
    <xf numFmtId="0" fontId="70" fillId="2" borderId="41" xfId="0" applyFont="1" applyFill="1" applyBorder="1" applyAlignment="1">
      <alignment horizontal="left" vertical="center"/>
    </xf>
    <xf numFmtId="0" fontId="71" fillId="2" borderId="6" xfId="0" applyFont="1" applyFill="1" applyBorder="1" applyAlignment="1">
      <alignment horizontal="center" vertical="center"/>
    </xf>
    <xf numFmtId="0" fontId="71" fillId="2" borderId="0" xfId="0" applyFont="1" applyFill="1" applyAlignment="1">
      <alignment horizontal="center" vertical="center"/>
    </xf>
    <xf numFmtId="0" fontId="71" fillId="2" borderId="7" xfId="0" applyFont="1" applyFill="1" applyBorder="1" applyAlignment="1">
      <alignment horizontal="center" vertical="center"/>
    </xf>
    <xf numFmtId="0" fontId="72" fillId="2" borderId="2" xfId="0" applyFont="1" applyFill="1" applyBorder="1" applyAlignment="1">
      <alignment horizontal="center" vertical="center"/>
    </xf>
    <xf numFmtId="164" fontId="72" fillId="2" borderId="3" xfId="0" applyNumberFormat="1" applyFont="1" applyFill="1" applyBorder="1" applyAlignment="1">
      <alignment horizontal="center" vertical="center"/>
    </xf>
    <xf numFmtId="14" fontId="73" fillId="2" borderId="0" xfId="0" applyNumberFormat="1" applyFont="1" applyFill="1" applyAlignment="1">
      <alignment horizontal="center" vertical="center"/>
    </xf>
    <xf numFmtId="0" fontId="74" fillId="0" borderId="0" xfId="0" applyFont="1" applyAlignment="1">
      <alignment vertical="center"/>
    </xf>
    <xf numFmtId="3" fontId="67" fillId="2" borderId="28" xfId="1" applyNumberFormat="1" applyFont="1" applyFill="1" applyBorder="1" applyAlignment="1">
      <alignment horizontal="left" vertical="center"/>
    </xf>
    <xf numFmtId="0" fontId="70" fillId="2" borderId="42" xfId="0" applyFont="1" applyFill="1" applyBorder="1" applyAlignment="1">
      <alignment horizontal="left" vertical="center"/>
    </xf>
    <xf numFmtId="0" fontId="72" fillId="2" borderId="6" xfId="0" applyFont="1" applyFill="1" applyBorder="1" applyAlignment="1">
      <alignment horizontal="center" vertical="center"/>
    </xf>
    <xf numFmtId="164" fontId="72" fillId="2" borderId="0" xfId="0" applyNumberFormat="1" applyFont="1" applyFill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164" fontId="72" fillId="2" borderId="6" xfId="0" applyNumberFormat="1" applyFont="1" applyFill="1" applyBorder="1" applyAlignment="1">
      <alignment horizontal="center" vertical="center"/>
    </xf>
    <xf numFmtId="0" fontId="69" fillId="2" borderId="0" xfId="0" applyFont="1" applyFill="1" applyAlignment="1">
      <alignment horizontal="center" vertical="center"/>
    </xf>
    <xf numFmtId="0" fontId="71" fillId="2" borderId="8" xfId="0" applyFont="1" applyFill="1" applyBorder="1" applyAlignment="1">
      <alignment horizontal="center" vertical="center"/>
    </xf>
    <xf numFmtId="0" fontId="71" fillId="2" borderId="9" xfId="0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horizontal="center" vertical="center"/>
    </xf>
    <xf numFmtId="3" fontId="67" fillId="2" borderId="47" xfId="1" applyNumberFormat="1" applyFont="1" applyFill="1" applyBorder="1" applyAlignment="1">
      <alignment horizontal="left" vertical="center"/>
    </xf>
    <xf numFmtId="0" fontId="70" fillId="2" borderId="43" xfId="0" applyFont="1" applyFill="1" applyBorder="1" applyAlignment="1">
      <alignment horizontal="left" vertical="center"/>
    </xf>
    <xf numFmtId="0" fontId="52" fillId="31" borderId="6" xfId="0" applyFont="1" applyFill="1" applyBorder="1" applyAlignment="1">
      <alignment horizontal="center" vertical="center"/>
    </xf>
    <xf numFmtId="0" fontId="34" fillId="2" borderId="0" xfId="0" applyFont="1" applyFill="1" applyAlignment="1">
      <alignment horizontal="center" vertical="center"/>
    </xf>
    <xf numFmtId="0" fontId="75" fillId="2" borderId="0" xfId="0" applyFont="1" applyFill="1" applyAlignment="1">
      <alignment horizontal="center" vertical="center"/>
    </xf>
    <xf numFmtId="3" fontId="75" fillId="2" borderId="30" xfId="1" applyNumberFormat="1" applyFont="1" applyFill="1" applyBorder="1" applyAlignment="1">
      <alignment horizontal="left" vertical="center"/>
    </xf>
    <xf numFmtId="0" fontId="75" fillId="2" borderId="41" xfId="0" applyFont="1" applyFill="1" applyBorder="1" applyAlignment="1">
      <alignment horizontal="left" vertical="center"/>
    </xf>
    <xf numFmtId="3" fontId="75" fillId="2" borderId="28" xfId="1" applyNumberFormat="1" applyFont="1" applyFill="1" applyBorder="1" applyAlignment="1">
      <alignment horizontal="left" vertical="center"/>
    </xf>
    <xf numFmtId="0" fontId="75" fillId="2" borderId="42" xfId="0" applyFont="1" applyFill="1" applyBorder="1" applyAlignment="1">
      <alignment horizontal="left" vertical="center"/>
    </xf>
    <xf numFmtId="3" fontId="75" fillId="2" borderId="34" xfId="1" applyNumberFormat="1" applyFont="1" applyFill="1" applyBorder="1" applyAlignment="1">
      <alignment horizontal="left" vertical="center"/>
    </xf>
    <xf numFmtId="0" fontId="75" fillId="2" borderId="45" xfId="0" applyFont="1" applyFill="1" applyBorder="1" applyAlignment="1">
      <alignment horizontal="left" vertical="center"/>
    </xf>
    <xf numFmtId="0" fontId="8" fillId="2" borderId="12" xfId="0" applyFont="1" applyFill="1" applyBorder="1"/>
    <xf numFmtId="0" fontId="8" fillId="2" borderId="13" xfId="0" applyFont="1" applyFill="1" applyBorder="1"/>
    <xf numFmtId="0" fontId="75" fillId="2" borderId="13" xfId="0" applyFont="1" applyFill="1" applyBorder="1"/>
    <xf numFmtId="0" fontId="75" fillId="2" borderId="9" xfId="0" applyFont="1" applyFill="1" applyBorder="1"/>
    <xf numFmtId="0" fontId="75" fillId="3" borderId="12" xfId="0" applyFont="1" applyFill="1" applyBorder="1" applyAlignment="1">
      <alignment vertical="center"/>
    </xf>
    <xf numFmtId="0" fontId="75" fillId="3" borderId="13" xfId="0" applyFont="1" applyFill="1" applyBorder="1" applyAlignment="1">
      <alignment vertical="center"/>
    </xf>
    <xf numFmtId="0" fontId="75" fillId="3" borderId="36" xfId="0" applyFont="1" applyFill="1" applyBorder="1" applyAlignment="1">
      <alignment vertical="center"/>
    </xf>
    <xf numFmtId="0" fontId="75" fillId="8" borderId="13" xfId="0" applyFont="1" applyFill="1" applyBorder="1" applyAlignment="1">
      <alignment horizontal="center" vertical="center"/>
    </xf>
    <xf numFmtId="0" fontId="75" fillId="6" borderId="51" xfId="0" applyFont="1" applyFill="1" applyBorder="1" applyAlignment="1">
      <alignment horizontal="left" vertical="center"/>
    </xf>
    <xf numFmtId="0" fontId="75" fillId="2" borderId="50" xfId="0" applyFont="1" applyFill="1" applyBorder="1" applyAlignment="1">
      <alignment horizontal="left" vertical="center"/>
    </xf>
    <xf numFmtId="0" fontId="75" fillId="6" borderId="50" xfId="0" applyFont="1" applyFill="1" applyBorder="1" applyAlignment="1">
      <alignment horizontal="left" vertical="center"/>
    </xf>
    <xf numFmtId="0" fontId="75" fillId="0" borderId="50" xfId="0" applyFont="1" applyBorder="1" applyAlignment="1">
      <alignment horizontal="left" vertical="center"/>
    </xf>
    <xf numFmtId="0" fontId="75" fillId="6" borderId="58" xfId="0" applyFont="1" applyFill="1" applyBorder="1" applyAlignment="1">
      <alignment horizontal="left" vertical="center"/>
    </xf>
    <xf numFmtId="0" fontId="75" fillId="0" borderId="52" xfId="0" applyFont="1" applyBorder="1" applyAlignment="1">
      <alignment horizontal="left" vertical="center"/>
    </xf>
    <xf numFmtId="0" fontId="8" fillId="2" borderId="57" xfId="0" applyFont="1" applyFill="1" applyBorder="1" applyAlignment="1">
      <alignment horizontal="left" vertical="center"/>
    </xf>
    <xf numFmtId="0" fontId="8" fillId="2" borderId="0" xfId="0" applyFont="1" applyFill="1"/>
    <xf numFmtId="0" fontId="75" fillId="2" borderId="0" xfId="0" applyFont="1" applyFill="1"/>
    <xf numFmtId="0" fontId="75" fillId="2" borderId="0" xfId="6" applyFont="1" applyFill="1"/>
    <xf numFmtId="0" fontId="75" fillId="2" borderId="14" xfId="0" applyFont="1" applyFill="1" applyBorder="1" applyAlignment="1">
      <alignment horizontal="center" vertical="center"/>
    </xf>
    <xf numFmtId="0" fontId="75" fillId="2" borderId="14" xfId="0" applyFont="1" applyFill="1" applyBorder="1"/>
    <xf numFmtId="0" fontId="8" fillId="2" borderId="14" xfId="0" applyFont="1" applyFill="1" applyBorder="1"/>
    <xf numFmtId="0" fontId="8" fillId="3" borderId="0" xfId="0" applyFont="1" applyFill="1"/>
    <xf numFmtId="0" fontId="75" fillId="2" borderId="0" xfId="0" applyFont="1" applyFill="1" applyAlignment="1">
      <alignment vertical="center"/>
    </xf>
    <xf numFmtId="0" fontId="75" fillId="2" borderId="0" xfId="0" applyFont="1" applyFill="1" applyAlignment="1">
      <alignment horizontal="center" vertical="center" wrapText="1"/>
    </xf>
    <xf numFmtId="0" fontId="75" fillId="2" borderId="0" xfId="0" applyFont="1" applyFill="1" applyAlignment="1">
      <alignment vertical="center" wrapText="1"/>
    </xf>
    <xf numFmtId="0" fontId="75" fillId="2" borderId="0" xfId="0" applyFont="1" applyFill="1" applyAlignment="1">
      <alignment horizontal="center"/>
    </xf>
    <xf numFmtId="0" fontId="52" fillId="31" borderId="2" xfId="0" applyFont="1" applyFill="1" applyBorder="1" applyAlignment="1">
      <alignment horizontal="center" vertical="center"/>
    </xf>
    <xf numFmtId="0" fontId="52" fillId="32" borderId="6" xfId="0" applyFont="1" applyFill="1" applyBorder="1" applyAlignment="1">
      <alignment horizontal="center" vertical="center"/>
    </xf>
    <xf numFmtId="0" fontId="69" fillId="3" borderId="3" xfId="0" applyFont="1" applyFill="1" applyBorder="1" applyAlignment="1">
      <alignment horizontal="center"/>
    </xf>
    <xf numFmtId="0" fontId="67" fillId="2" borderId="0" xfId="0" applyFont="1" applyFill="1" applyAlignment="1">
      <alignment horizontal="center" vertical="center"/>
    </xf>
    <xf numFmtId="0" fontId="71" fillId="3" borderId="51" xfId="0" applyFont="1" applyFill="1" applyBorder="1" applyAlignment="1">
      <alignment horizontal="left" vertical="center"/>
    </xf>
    <xf numFmtId="0" fontId="72" fillId="3" borderId="48" xfId="0" applyFont="1" applyFill="1" applyBorder="1"/>
    <xf numFmtId="0" fontId="72" fillId="3" borderId="3" xfId="0" applyFont="1" applyFill="1" applyBorder="1"/>
    <xf numFmtId="0" fontId="72" fillId="3" borderId="3" xfId="0" applyFont="1" applyFill="1" applyBorder="1" applyAlignment="1">
      <alignment horizontal="center"/>
    </xf>
    <xf numFmtId="0" fontId="69" fillId="3" borderId="3" xfId="0" applyFont="1" applyFill="1" applyBorder="1"/>
    <xf numFmtId="0" fontId="69" fillId="3" borderId="4" xfId="0" applyFont="1" applyFill="1" applyBorder="1"/>
    <xf numFmtId="0" fontId="71" fillId="3" borderId="64" xfId="0" applyFont="1" applyFill="1" applyBorder="1" applyAlignment="1">
      <alignment horizontal="left" vertical="center"/>
    </xf>
    <xf numFmtId="0" fontId="72" fillId="3" borderId="17" xfId="0" applyFont="1" applyFill="1" applyBorder="1" applyAlignment="1">
      <alignment horizontal="center"/>
    </xf>
    <xf numFmtId="0" fontId="72" fillId="3" borderId="17" xfId="0" applyFont="1" applyFill="1" applyBorder="1"/>
    <xf numFmtId="0" fontId="72" fillId="0" borderId="17" xfId="0" applyFont="1" applyBorder="1"/>
    <xf numFmtId="0" fontId="71" fillId="3" borderId="17" xfId="0" applyFont="1" applyFill="1" applyBorder="1" applyAlignment="1">
      <alignment vertical="center"/>
    </xf>
    <xf numFmtId="0" fontId="71" fillId="3" borderId="23" xfId="0" applyFont="1" applyFill="1" applyBorder="1" applyAlignment="1">
      <alignment horizontal="center" vertical="center" wrapText="1"/>
    </xf>
    <xf numFmtId="0" fontId="71" fillId="3" borderId="24" xfId="0" applyFont="1" applyFill="1" applyBorder="1" applyAlignment="1">
      <alignment horizontal="center" vertical="center" wrapText="1"/>
    </xf>
    <xf numFmtId="0" fontId="72" fillId="6" borderId="44" xfId="0" applyFont="1" applyFill="1" applyBorder="1" applyAlignment="1">
      <alignment horizontal="center" vertical="center"/>
    </xf>
    <xf numFmtId="0" fontId="72" fillId="6" borderId="40" xfId="0" applyFont="1" applyFill="1" applyBorder="1" applyAlignment="1">
      <alignment horizontal="center" vertical="center"/>
    </xf>
    <xf numFmtId="0" fontId="67" fillId="6" borderId="41" xfId="0" applyFont="1" applyFill="1" applyBorder="1" applyAlignment="1">
      <alignment horizontal="center" vertical="center"/>
    </xf>
    <xf numFmtId="0" fontId="67" fillId="2" borderId="27" xfId="0" applyFont="1" applyFill="1" applyBorder="1" applyAlignment="1">
      <alignment horizontal="center" vertical="center"/>
    </xf>
    <xf numFmtId="0" fontId="71" fillId="2" borderId="27" xfId="0" applyFont="1" applyFill="1" applyBorder="1" applyAlignment="1">
      <alignment horizontal="center" vertical="center"/>
    </xf>
    <xf numFmtId="0" fontId="71" fillId="2" borderId="26" xfId="0" applyFont="1" applyFill="1" applyBorder="1" applyAlignment="1">
      <alignment horizontal="center" vertical="center"/>
    </xf>
    <xf numFmtId="0" fontId="40" fillId="2" borderId="26" xfId="0" applyFont="1" applyFill="1" applyBorder="1" applyAlignment="1">
      <alignment horizontal="center" vertical="center"/>
    </xf>
    <xf numFmtId="0" fontId="71" fillId="6" borderId="27" xfId="0" applyFont="1" applyFill="1" applyBorder="1" applyAlignment="1">
      <alignment horizontal="center" vertical="center"/>
    </xf>
    <xf numFmtId="0" fontId="71" fillId="6" borderId="26" xfId="0" applyFont="1" applyFill="1" applyBorder="1" applyAlignment="1">
      <alignment horizontal="center" vertical="center"/>
    </xf>
    <xf numFmtId="0" fontId="67" fillId="2" borderId="26" xfId="0" applyFont="1" applyFill="1" applyBorder="1" applyAlignment="1">
      <alignment horizontal="center" vertical="center"/>
    </xf>
    <xf numFmtId="0" fontId="40" fillId="2" borderId="27" xfId="0" applyFont="1" applyFill="1" applyBorder="1" applyAlignment="1">
      <alignment horizontal="center" vertical="center"/>
    </xf>
    <xf numFmtId="0" fontId="67" fillId="2" borderId="26" xfId="4" applyFont="1" applyFill="1" applyBorder="1" applyAlignment="1">
      <alignment horizontal="center" vertical="center"/>
    </xf>
    <xf numFmtId="0" fontId="67" fillId="2" borderId="18" xfId="0" applyFont="1" applyFill="1" applyBorder="1" applyAlignment="1">
      <alignment horizontal="center" vertical="center"/>
    </xf>
    <xf numFmtId="0" fontId="40" fillId="2" borderId="18" xfId="0" applyFont="1" applyFill="1" applyBorder="1" applyAlignment="1">
      <alignment horizontal="center" vertical="center"/>
    </xf>
    <xf numFmtId="0" fontId="40" fillId="2" borderId="37" xfId="0" applyFont="1" applyFill="1" applyBorder="1" applyAlignment="1">
      <alignment horizontal="center" vertical="center"/>
    </xf>
    <xf numFmtId="0" fontId="69" fillId="3" borderId="0" xfId="0" applyFont="1" applyFill="1"/>
    <xf numFmtId="0" fontId="70" fillId="2" borderId="0" xfId="0" applyFont="1" applyFill="1" applyAlignment="1">
      <alignment horizontal="left" vertical="center"/>
    </xf>
    <xf numFmtId="0" fontId="69" fillId="2" borderId="0" xfId="0" applyFont="1" applyFill="1"/>
    <xf numFmtId="0" fontId="67" fillId="2" borderId="0" xfId="5" applyFont="1" applyFill="1" applyAlignment="1">
      <alignment horizontal="left" vertical="center"/>
    </xf>
    <xf numFmtId="0" fontId="67" fillId="2" borderId="0" xfId="6" applyFont="1" applyFill="1"/>
    <xf numFmtId="0" fontId="67" fillId="2" borderId="14" xfId="0" applyFont="1" applyFill="1" applyBorder="1" applyAlignment="1">
      <alignment horizontal="center" vertical="center"/>
    </xf>
    <xf numFmtId="0" fontId="69" fillId="2" borderId="14" xfId="0" applyFont="1" applyFill="1" applyBorder="1"/>
    <xf numFmtId="0" fontId="67" fillId="2" borderId="0" xfId="0" applyFont="1" applyFill="1" applyAlignment="1">
      <alignment vertical="center"/>
    </xf>
    <xf numFmtId="0" fontId="70" fillId="2" borderId="0" xfId="0" applyFont="1" applyFill="1" applyAlignment="1">
      <alignment horizontal="center" vertical="center" wrapText="1"/>
    </xf>
    <xf numFmtId="0" fontId="70" fillId="2" borderId="0" xfId="0" applyFont="1" applyFill="1" applyAlignment="1">
      <alignment vertical="center" wrapText="1"/>
    </xf>
    <xf numFmtId="0" fontId="69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  <xf numFmtId="0" fontId="37" fillId="2" borderId="6" xfId="0" applyFont="1" applyFill="1" applyBorder="1" applyAlignment="1">
      <alignment horizontal="center" vertical="center"/>
    </xf>
    <xf numFmtId="0" fontId="37" fillId="2" borderId="8" xfId="0" applyFont="1" applyFill="1" applyBorder="1" applyAlignment="1">
      <alignment horizontal="center" vertical="center"/>
    </xf>
    <xf numFmtId="0" fontId="26" fillId="3" borderId="0" xfId="0" applyFont="1" applyFill="1" applyAlignment="1">
      <alignment vertical="center"/>
    </xf>
    <xf numFmtId="0" fontId="39" fillId="3" borderId="12" xfId="0" applyFont="1" applyFill="1" applyBorder="1" applyAlignment="1">
      <alignment horizontal="left" vertical="center"/>
    </xf>
    <xf numFmtId="0" fontId="28" fillId="3" borderId="13" xfId="0" applyFont="1" applyFill="1" applyBorder="1" applyAlignment="1">
      <alignment horizontal="center"/>
    </xf>
    <xf numFmtId="0" fontId="28" fillId="3" borderId="13" xfId="0" applyFont="1" applyFill="1" applyBorder="1"/>
    <xf numFmtId="0" fontId="28" fillId="0" borderId="13" xfId="0" applyFont="1" applyBorder="1"/>
    <xf numFmtId="0" fontId="26" fillId="3" borderId="13" xfId="0" applyFont="1" applyFill="1" applyBorder="1" applyAlignment="1">
      <alignment vertical="center"/>
    </xf>
    <xf numFmtId="0" fontId="52" fillId="26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70" fillId="2" borderId="0" xfId="0" applyFont="1" applyFill="1" applyAlignment="1">
      <alignment vertical="center"/>
    </xf>
    <xf numFmtId="0" fontId="43" fillId="40" borderId="1" xfId="0" applyFont="1" applyFill="1" applyBorder="1" applyAlignment="1">
      <alignment horizontal="center" vertical="center"/>
    </xf>
    <xf numFmtId="0" fontId="43" fillId="37" borderId="5" xfId="0" applyFont="1" applyFill="1" applyBorder="1" applyAlignment="1">
      <alignment horizontal="center" vertical="center"/>
    </xf>
    <xf numFmtId="0" fontId="37" fillId="45" borderId="2" xfId="0" applyFont="1" applyFill="1" applyBorder="1" applyAlignment="1">
      <alignment horizontal="center" vertical="center"/>
    </xf>
    <xf numFmtId="164" fontId="37" fillId="2" borderId="0" xfId="0" applyNumberFormat="1" applyFont="1" applyFill="1" applyAlignment="1">
      <alignment horizontal="center" vertical="center"/>
    </xf>
    <xf numFmtId="0" fontId="13" fillId="21" borderId="2" xfId="0" applyFont="1" applyFill="1" applyBorder="1" applyAlignment="1">
      <alignment vertical="top" wrapText="1"/>
    </xf>
    <xf numFmtId="0" fontId="13" fillId="21" borderId="1" xfId="0" applyFont="1" applyFill="1" applyBorder="1" applyAlignment="1">
      <alignment horizontal="center" vertical="center" wrapText="1"/>
    </xf>
    <xf numFmtId="0" fontId="25" fillId="21" borderId="23" xfId="0" applyFont="1" applyFill="1" applyBorder="1" applyAlignment="1">
      <alignment horizontal="center" vertical="center"/>
    </xf>
    <xf numFmtId="0" fontId="25" fillId="21" borderId="22" xfId="0" applyFont="1" applyFill="1" applyBorder="1" applyAlignment="1">
      <alignment horizontal="center" vertical="center"/>
    </xf>
    <xf numFmtId="0" fontId="30" fillId="21" borderId="23" xfId="0" applyFont="1" applyFill="1" applyBorder="1" applyAlignment="1">
      <alignment horizontal="center" vertical="center"/>
    </xf>
    <xf numFmtId="0" fontId="19" fillId="21" borderId="24" xfId="0" applyFont="1" applyFill="1" applyBorder="1" applyAlignment="1">
      <alignment horizontal="center" vertical="center"/>
    </xf>
    <xf numFmtId="0" fontId="26" fillId="3" borderId="53" xfId="0" applyFont="1" applyFill="1" applyBorder="1" applyAlignment="1">
      <alignment horizontal="center" vertical="center" wrapText="1"/>
    </xf>
    <xf numFmtId="0" fontId="26" fillId="3" borderId="54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/>
    </xf>
    <xf numFmtId="0" fontId="22" fillId="2" borderId="42" xfId="0" applyFont="1" applyFill="1" applyBorder="1" applyAlignment="1">
      <alignment horizontal="center" vertical="center"/>
    </xf>
    <xf numFmtId="0" fontId="36" fillId="6" borderId="40" xfId="0" applyFont="1" applyFill="1" applyBorder="1" applyAlignment="1">
      <alignment horizontal="center" vertical="center"/>
    </xf>
    <xf numFmtId="0" fontId="36" fillId="2" borderId="26" xfId="0" applyFont="1" applyFill="1" applyBorder="1" applyAlignment="1">
      <alignment horizontal="center" vertical="center"/>
    </xf>
    <xf numFmtId="0" fontId="41" fillId="6" borderId="30" xfId="0" applyFont="1" applyFill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/>
    </xf>
    <xf numFmtId="0" fontId="27" fillId="2" borderId="28" xfId="0" applyFont="1" applyFill="1" applyBorder="1" applyAlignment="1">
      <alignment horizontal="center" vertical="center"/>
    </xf>
    <xf numFmtId="0" fontId="14" fillId="6" borderId="28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20" fillId="2" borderId="28" xfId="0" applyFont="1" applyFill="1" applyBorder="1" applyAlignment="1">
      <alignment horizontal="center" vertical="center"/>
    </xf>
    <xf numFmtId="0" fontId="14" fillId="2" borderId="47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left" vertical="center"/>
    </xf>
    <xf numFmtId="0" fontId="28" fillId="3" borderId="3" xfId="0" applyFont="1" applyFill="1" applyBorder="1"/>
    <xf numFmtId="0" fontId="28" fillId="3" borderId="48" xfId="0" applyFont="1" applyFill="1" applyBorder="1"/>
    <xf numFmtId="0" fontId="28" fillId="3" borderId="38" xfId="0" applyFont="1" applyFill="1" applyBorder="1"/>
    <xf numFmtId="0" fontId="27" fillId="6" borderId="42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164" fontId="25" fillId="2" borderId="0" xfId="0" applyNumberFormat="1" applyFont="1" applyFill="1" applyAlignment="1">
      <alignment horizontal="center" vertical="center"/>
    </xf>
    <xf numFmtId="16" fontId="25" fillId="2" borderId="0" xfId="0" applyNumberFormat="1" applyFont="1" applyFill="1" applyAlignment="1">
      <alignment horizontal="center" vertical="center"/>
    </xf>
    <xf numFmtId="0" fontId="75" fillId="18" borderId="13" xfId="0" applyFont="1" applyFill="1" applyBorder="1" applyAlignment="1">
      <alignment horizontal="center" vertical="center"/>
    </xf>
    <xf numFmtId="0" fontId="75" fillId="18" borderId="36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left" vertical="center"/>
    </xf>
    <xf numFmtId="0" fontId="50" fillId="3" borderId="0" xfId="0" applyFont="1" applyFill="1" applyAlignment="1">
      <alignment horizontal="left"/>
    </xf>
    <xf numFmtId="0" fontId="20" fillId="2" borderId="0" xfId="5" applyFont="1" applyFill="1" applyAlignment="1">
      <alignment horizontal="left" vertical="center"/>
    </xf>
    <xf numFmtId="0" fontId="20" fillId="2" borderId="0" xfId="6" applyFont="1" applyFill="1" applyAlignment="1">
      <alignment horizontal="left"/>
    </xf>
    <xf numFmtId="0" fontId="20" fillId="2" borderId="14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50" fillId="2" borderId="14" xfId="0" applyFont="1" applyFill="1" applyBorder="1"/>
    <xf numFmtId="0" fontId="20" fillId="2" borderId="14" xfId="0" applyFont="1" applyFill="1" applyBorder="1" applyAlignment="1">
      <alignment vertical="center"/>
    </xf>
    <xf numFmtId="0" fontId="50" fillId="0" borderId="14" xfId="0" applyFont="1" applyBorder="1"/>
    <xf numFmtId="0" fontId="20" fillId="2" borderId="0" xfId="0" applyFont="1" applyFill="1" applyAlignment="1">
      <alignment vertical="center"/>
    </xf>
    <xf numFmtId="0" fontId="32" fillId="2" borderId="0" xfId="0" applyFont="1" applyFill="1" applyAlignment="1">
      <alignment horizontal="center" vertical="center" wrapText="1"/>
    </xf>
    <xf numFmtId="0" fontId="51" fillId="2" borderId="0" xfId="0" applyFont="1" applyFill="1" applyAlignment="1">
      <alignment vertical="center"/>
    </xf>
    <xf numFmtId="0" fontId="52" fillId="48" borderId="6" xfId="0" applyFont="1" applyFill="1" applyBorder="1" applyAlignment="1">
      <alignment horizontal="center" vertical="center"/>
    </xf>
    <xf numFmtId="0" fontId="52" fillId="30" borderId="2" xfId="0" applyFont="1" applyFill="1" applyBorder="1" applyAlignment="1">
      <alignment horizontal="center" vertical="center"/>
    </xf>
    <xf numFmtId="0" fontId="52" fillId="50" borderId="0" xfId="0" applyFont="1" applyFill="1" applyAlignment="1">
      <alignment horizontal="center" vertical="center"/>
    </xf>
    <xf numFmtId="0" fontId="52" fillId="51" borderId="3" xfId="0" applyFont="1" applyFill="1" applyBorder="1" applyAlignment="1">
      <alignment horizontal="center" vertical="center"/>
    </xf>
    <xf numFmtId="0" fontId="36" fillId="51" borderId="3" xfId="0" applyFont="1" applyFill="1" applyBorder="1" applyAlignment="1">
      <alignment horizontal="center" vertical="center"/>
    </xf>
    <xf numFmtId="0" fontId="52" fillId="50" borderId="6" xfId="0" applyFont="1" applyFill="1" applyBorder="1" applyAlignment="1">
      <alignment horizontal="center" vertical="center"/>
    </xf>
    <xf numFmtId="0" fontId="52" fillId="51" borderId="8" xfId="0" applyFont="1" applyFill="1" applyBorder="1" applyAlignment="1">
      <alignment horizontal="center" vertical="center"/>
    </xf>
    <xf numFmtId="0" fontId="52" fillId="51" borderId="6" xfId="0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53" fillId="12" borderId="27" xfId="0" applyFont="1" applyFill="1" applyBorder="1" applyAlignment="1">
      <alignment horizontal="center" vertical="center"/>
    </xf>
    <xf numFmtId="0" fontId="52" fillId="14" borderId="26" xfId="0" applyFont="1" applyFill="1" applyBorder="1" applyAlignment="1">
      <alignment horizontal="center" vertical="center"/>
    </xf>
    <xf numFmtId="0" fontId="53" fillId="15" borderId="27" xfId="0" applyFont="1" applyFill="1" applyBorder="1" applyAlignment="1">
      <alignment horizontal="center" vertical="center"/>
    </xf>
    <xf numFmtId="0" fontId="52" fillId="15" borderId="26" xfId="0" applyFont="1" applyFill="1" applyBorder="1" applyAlignment="1">
      <alignment horizontal="center" vertical="center"/>
    </xf>
    <xf numFmtId="0" fontId="52" fillId="16" borderId="26" xfId="0" applyFont="1" applyFill="1" applyBorder="1" applyAlignment="1">
      <alignment horizontal="center" vertical="center"/>
    </xf>
    <xf numFmtId="0" fontId="52" fillId="52" borderId="26" xfId="0" applyFont="1" applyFill="1" applyBorder="1" applyAlignment="1">
      <alignment horizontal="center" vertical="center"/>
    </xf>
    <xf numFmtId="0" fontId="36" fillId="53" borderId="6" xfId="0" applyFont="1" applyFill="1" applyBorder="1" applyAlignment="1">
      <alignment horizontal="center" vertical="center"/>
    </xf>
    <xf numFmtId="0" fontId="71" fillId="51" borderId="26" xfId="0" applyFont="1" applyFill="1" applyBorder="1" applyAlignment="1">
      <alignment horizontal="center" vertical="center"/>
    </xf>
    <xf numFmtId="0" fontId="53" fillId="45" borderId="27" xfId="0" applyFont="1" applyFill="1" applyBorder="1" applyAlignment="1">
      <alignment horizontal="center" vertical="center"/>
    </xf>
    <xf numFmtId="0" fontId="52" fillId="45" borderId="26" xfId="0" applyFont="1" applyFill="1" applyBorder="1" applyAlignment="1">
      <alignment horizontal="center" vertical="center"/>
    </xf>
    <xf numFmtId="0" fontId="52" fillId="47" borderId="26" xfId="0" applyFont="1" applyFill="1" applyBorder="1" applyAlignment="1">
      <alignment horizontal="center" vertical="center"/>
    </xf>
    <xf numFmtId="0" fontId="81" fillId="2" borderId="2" xfId="0" applyFon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2" borderId="6" xfId="0" applyFont="1" applyFill="1" applyBorder="1" applyAlignment="1">
      <alignment horizontal="center" vertical="center"/>
    </xf>
    <xf numFmtId="164" fontId="81" fillId="2" borderId="6" xfId="0" applyNumberFormat="1" applyFont="1" applyFill="1" applyBorder="1" applyAlignment="1">
      <alignment horizontal="center" vertical="center"/>
    </xf>
    <xf numFmtId="0" fontId="81" fillId="2" borderId="9" xfId="0" applyFont="1" applyFill="1" applyBorder="1" applyAlignment="1">
      <alignment horizontal="center" vertical="center"/>
    </xf>
    <xf numFmtId="164" fontId="81" fillId="2" borderId="8" xfId="0" applyNumberFormat="1" applyFont="1" applyFill="1" applyBorder="1" applyAlignment="1">
      <alignment horizontal="center" vertical="center"/>
    </xf>
    <xf numFmtId="0" fontId="52" fillId="49" borderId="6" xfId="0" applyFont="1" applyFill="1" applyBorder="1" applyAlignment="1">
      <alignment horizontal="center" vertical="center"/>
    </xf>
    <xf numFmtId="0" fontId="53" fillId="31" borderId="27" xfId="0" applyFont="1" applyFill="1" applyBorder="1" applyAlignment="1">
      <alignment horizontal="center" vertical="center"/>
    </xf>
    <xf numFmtId="0" fontId="52" fillId="31" borderId="26" xfId="0" applyFont="1" applyFill="1" applyBorder="1" applyAlignment="1">
      <alignment horizontal="center" vertical="center"/>
    </xf>
    <xf numFmtId="164" fontId="72" fillId="2" borderId="8" xfId="0" applyNumberFormat="1" applyFont="1" applyFill="1" applyBorder="1" applyAlignment="1">
      <alignment horizontal="center" vertical="center"/>
    </xf>
    <xf numFmtId="0" fontId="69" fillId="2" borderId="9" xfId="0" applyFont="1" applyFill="1" applyBorder="1" applyAlignment="1">
      <alignment horizontal="center" vertical="center"/>
    </xf>
    <xf numFmtId="0" fontId="69" fillId="3" borderId="12" xfId="0" applyFont="1" applyFill="1" applyBorder="1"/>
    <xf numFmtId="0" fontId="69" fillId="3" borderId="13" xfId="0" applyFont="1" applyFill="1" applyBorder="1"/>
    <xf numFmtId="0" fontId="69" fillId="3" borderId="9" xfId="0" applyFont="1" applyFill="1" applyBorder="1"/>
    <xf numFmtId="0" fontId="69" fillId="3" borderId="10" xfId="0" applyFont="1" applyFill="1" applyBorder="1"/>
    <xf numFmtId="0" fontId="71" fillId="3" borderId="14" xfId="0" applyFont="1" applyFill="1" applyBorder="1" applyAlignment="1">
      <alignment horizontal="left" vertical="center"/>
    </xf>
    <xf numFmtId="0" fontId="72" fillId="3" borderId="14" xfId="0" applyFont="1" applyFill="1" applyBorder="1"/>
    <xf numFmtId="0" fontId="71" fillId="3" borderId="16" xfId="0" applyFont="1" applyFill="1" applyBorder="1" applyAlignment="1">
      <alignment horizontal="left" vertical="center"/>
    </xf>
    <xf numFmtId="0" fontId="72" fillId="3" borderId="16" xfId="0" applyFont="1" applyFill="1" applyBorder="1" applyAlignment="1">
      <alignment horizontal="center"/>
    </xf>
    <xf numFmtId="0" fontId="72" fillId="3" borderId="16" xfId="0" applyFont="1" applyFill="1" applyBorder="1"/>
    <xf numFmtId="0" fontId="72" fillId="0" borderId="16" xfId="0" applyFont="1" applyBorder="1"/>
    <xf numFmtId="0" fontId="72" fillId="18" borderId="22" xfId="0" applyFont="1" applyFill="1" applyBorder="1" applyAlignment="1">
      <alignment horizontal="center" vertical="center"/>
    </xf>
    <xf numFmtId="0" fontId="72" fillId="18" borderId="23" xfId="0" applyFont="1" applyFill="1" applyBorder="1" applyAlignment="1">
      <alignment horizontal="center" vertical="center"/>
    </xf>
    <xf numFmtId="0" fontId="67" fillId="18" borderId="24" xfId="0" applyFont="1" applyFill="1" applyBorder="1" applyAlignment="1">
      <alignment horizontal="center" vertical="center"/>
    </xf>
    <xf numFmtId="0" fontId="67" fillId="6" borderId="30" xfId="0" applyFont="1" applyFill="1" applyBorder="1" applyAlignment="1">
      <alignment horizontal="center" vertical="center" wrapText="1"/>
    </xf>
    <xf numFmtId="0" fontId="67" fillId="2" borderId="28" xfId="0" applyFont="1" applyFill="1" applyBorder="1" applyAlignment="1">
      <alignment horizontal="center" vertical="center"/>
    </xf>
    <xf numFmtId="0" fontId="71" fillId="52" borderId="26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0" fontId="67" fillId="6" borderId="28" xfId="0" applyFont="1" applyFill="1" applyBorder="1" applyAlignment="1">
      <alignment horizontal="center" vertical="center"/>
    </xf>
    <xf numFmtId="0" fontId="40" fillId="2" borderId="28" xfId="0" applyFont="1" applyFill="1" applyBorder="1" applyAlignment="1">
      <alignment horizontal="center" vertical="center"/>
    </xf>
    <xf numFmtId="0" fontId="67" fillId="2" borderId="47" xfId="0" applyFont="1" applyFill="1" applyBorder="1" applyAlignment="1">
      <alignment horizontal="center" vertical="center"/>
    </xf>
    <xf numFmtId="0" fontId="67" fillId="2" borderId="14" xfId="0" applyFont="1" applyFill="1" applyBorder="1" applyAlignment="1">
      <alignment vertical="center"/>
    </xf>
    <xf numFmtId="0" fontId="71" fillId="49" borderId="28" xfId="0" applyFont="1" applyFill="1" applyBorder="1" applyAlignment="1">
      <alignment horizontal="center" vertical="center"/>
    </xf>
    <xf numFmtId="0" fontId="37" fillId="54" borderId="6" xfId="0" applyFont="1" applyFill="1" applyBorder="1" applyAlignment="1">
      <alignment horizontal="center" vertical="center"/>
    </xf>
    <xf numFmtId="0" fontId="36" fillId="50" borderId="0" xfId="0" applyFont="1" applyFill="1" applyAlignment="1">
      <alignment horizontal="center" vertical="center"/>
    </xf>
    <xf numFmtId="3" fontId="22" fillId="2" borderId="47" xfId="1" applyNumberFormat="1" applyFont="1" applyFill="1" applyBorder="1" applyAlignment="1">
      <alignment vertical="center"/>
    </xf>
    <xf numFmtId="0" fontId="23" fillId="2" borderId="43" xfId="0" applyFont="1" applyFill="1" applyBorder="1" applyAlignment="1">
      <alignment horizontal="left" vertical="center"/>
    </xf>
    <xf numFmtId="0" fontId="53" fillId="54" borderId="26" xfId="0" applyFont="1" applyFill="1" applyBorder="1" applyAlignment="1">
      <alignment horizontal="center" vertical="center"/>
    </xf>
    <xf numFmtId="0" fontId="52" fillId="54" borderId="26" xfId="0" applyFont="1" applyFill="1" applyBorder="1" applyAlignment="1">
      <alignment horizontal="center" vertical="center"/>
    </xf>
    <xf numFmtId="0" fontId="52" fillId="44" borderId="26" xfId="0" applyFont="1" applyFill="1" applyBorder="1" applyAlignment="1">
      <alignment horizontal="center" vertical="center"/>
    </xf>
    <xf numFmtId="0" fontId="52" fillId="53" borderId="6" xfId="0" applyFont="1" applyFill="1" applyBorder="1" applyAlignment="1">
      <alignment horizontal="center" vertical="center"/>
    </xf>
    <xf numFmtId="0" fontId="52" fillId="54" borderId="6" xfId="0" applyFont="1" applyFill="1" applyBorder="1" applyAlignment="1">
      <alignment horizontal="center" vertical="center"/>
    </xf>
    <xf numFmtId="0" fontId="52" fillId="50" borderId="2" xfId="0" applyFont="1" applyFill="1" applyBorder="1" applyAlignment="1">
      <alignment horizontal="center" vertical="center"/>
    </xf>
    <xf numFmtId="0" fontId="56" fillId="15" borderId="6" xfId="0" applyFont="1" applyFill="1" applyBorder="1" applyAlignment="1">
      <alignment horizontal="center" vertical="center"/>
    </xf>
    <xf numFmtId="0" fontId="52" fillId="8" borderId="6" xfId="0" applyFont="1" applyFill="1" applyBorder="1" applyAlignment="1">
      <alignment horizontal="center" vertical="center"/>
    </xf>
    <xf numFmtId="0" fontId="52" fillId="46" borderId="6" xfId="0" applyFont="1" applyFill="1" applyBorder="1" applyAlignment="1">
      <alignment horizontal="center" vertical="center"/>
    </xf>
    <xf numFmtId="0" fontId="53" fillId="54" borderId="27" xfId="0" applyFont="1" applyFill="1" applyBorder="1" applyAlignment="1">
      <alignment horizontal="center" vertical="center"/>
    </xf>
    <xf numFmtId="0" fontId="71" fillId="54" borderId="26" xfId="0" applyFont="1" applyFill="1" applyBorder="1" applyAlignment="1">
      <alignment horizontal="center" vertical="center"/>
    </xf>
    <xf numFmtId="0" fontId="56" fillId="54" borderId="26" xfId="0" applyFont="1" applyFill="1" applyBorder="1" applyAlignment="1">
      <alignment horizontal="center" vertical="center"/>
    </xf>
    <xf numFmtId="0" fontId="52" fillId="54" borderId="27" xfId="0" applyFont="1" applyFill="1" applyBorder="1" applyAlignment="1">
      <alignment horizontal="center" vertical="center"/>
    </xf>
    <xf numFmtId="0" fontId="52" fillId="55" borderId="27" xfId="0" applyFont="1" applyFill="1" applyBorder="1" applyAlignment="1">
      <alignment horizontal="center" vertical="center"/>
    </xf>
    <xf numFmtId="0" fontId="52" fillId="55" borderId="26" xfId="0" applyFont="1" applyFill="1" applyBorder="1" applyAlignment="1">
      <alignment horizontal="center" vertical="center"/>
    </xf>
    <xf numFmtId="0" fontId="71" fillId="37" borderId="26" xfId="0" applyFont="1" applyFill="1" applyBorder="1" applyAlignment="1">
      <alignment horizontal="center" vertical="center"/>
    </xf>
    <xf numFmtId="0" fontId="71" fillId="49" borderId="26" xfId="0" applyFont="1" applyFill="1" applyBorder="1" applyAlignment="1">
      <alignment horizontal="center" vertical="center"/>
    </xf>
    <xf numFmtId="0" fontId="40" fillId="49" borderId="26" xfId="0" applyFont="1" applyFill="1" applyBorder="1" applyAlignment="1">
      <alignment horizontal="center" vertical="center"/>
    </xf>
    <xf numFmtId="0" fontId="52" fillId="32" borderId="26" xfId="0" applyFont="1" applyFill="1" applyBorder="1" applyAlignment="1">
      <alignment horizontal="center" vertical="center"/>
    </xf>
    <xf numFmtId="0" fontId="52" fillId="26" borderId="26" xfId="0" applyFont="1" applyFill="1" applyBorder="1" applyAlignment="1">
      <alignment horizontal="center" vertical="center"/>
    </xf>
    <xf numFmtId="0" fontId="52" fillId="30" borderId="26" xfId="0" applyFont="1" applyFill="1" applyBorder="1" applyAlignment="1">
      <alignment horizontal="center" vertical="center"/>
    </xf>
    <xf numFmtId="0" fontId="53" fillId="54" borderId="26" xfId="4" applyFont="1" applyFill="1" applyBorder="1" applyAlignment="1">
      <alignment horizontal="center" vertical="center"/>
    </xf>
    <xf numFmtId="0" fontId="52" fillId="2" borderId="8" xfId="0" applyFont="1" applyFill="1" applyBorder="1" applyAlignment="1">
      <alignment horizontal="center" vertical="center"/>
    </xf>
    <xf numFmtId="0" fontId="52" fillId="56" borderId="6" xfId="0" applyFont="1" applyFill="1" applyBorder="1" applyAlignment="1">
      <alignment horizontal="center" vertical="center"/>
    </xf>
    <xf numFmtId="0" fontId="52" fillId="56" borderId="27" xfId="0" applyFont="1" applyFill="1" applyBorder="1" applyAlignment="1">
      <alignment horizontal="center" vertical="center"/>
    </xf>
    <xf numFmtId="0" fontId="52" fillId="56" borderId="26" xfId="0" applyFont="1" applyFill="1" applyBorder="1" applyAlignment="1">
      <alignment horizontal="center" vertical="center"/>
    </xf>
    <xf numFmtId="0" fontId="53" fillId="57" borderId="27" xfId="0" applyFont="1" applyFill="1" applyBorder="1" applyAlignment="1">
      <alignment horizontal="center" vertical="center"/>
    </xf>
    <xf numFmtId="0" fontId="54" fillId="57" borderId="26" xfId="0" applyFont="1" applyFill="1" applyBorder="1" applyAlignment="1">
      <alignment horizontal="center" vertical="center"/>
    </xf>
    <xf numFmtId="0" fontId="67" fillId="57" borderId="28" xfId="0" applyFont="1" applyFill="1" applyBorder="1" applyAlignment="1">
      <alignment horizontal="center" vertical="center"/>
    </xf>
    <xf numFmtId="0" fontId="67" fillId="57" borderId="27" xfId="0" applyFont="1" applyFill="1" applyBorder="1" applyAlignment="1">
      <alignment horizontal="center" vertical="center"/>
    </xf>
    <xf numFmtId="0" fontId="72" fillId="57" borderId="26" xfId="0" applyFont="1" applyFill="1" applyBorder="1" applyAlignment="1">
      <alignment horizontal="center" vertical="center"/>
    </xf>
    <xf numFmtId="0" fontId="71" fillId="57" borderId="26" xfId="0" applyFont="1" applyFill="1" applyBorder="1" applyAlignment="1">
      <alignment horizontal="center" vertical="center"/>
    </xf>
    <xf numFmtId="0" fontId="56" fillId="57" borderId="26" xfId="0" applyFont="1" applyFill="1" applyBorder="1" applyAlignment="1">
      <alignment horizontal="center" vertical="center"/>
    </xf>
    <xf numFmtId="0" fontId="52" fillId="57" borderId="26" xfId="0" applyFont="1" applyFill="1" applyBorder="1" applyAlignment="1">
      <alignment horizontal="center" vertical="center"/>
    </xf>
    <xf numFmtId="0" fontId="40" fillId="57" borderId="26" xfId="0" applyFont="1" applyFill="1" applyBorder="1" applyAlignment="1">
      <alignment horizontal="center" vertical="center"/>
    </xf>
    <xf numFmtId="0" fontId="53" fillId="57" borderId="26" xfId="4" applyFont="1" applyFill="1" applyBorder="1" applyAlignment="1">
      <alignment horizontal="center" vertical="center"/>
    </xf>
    <xf numFmtId="0" fontId="36" fillId="56" borderId="6" xfId="0" applyFont="1" applyFill="1" applyBorder="1" applyAlignment="1">
      <alignment horizontal="center" vertical="center"/>
    </xf>
    <xf numFmtId="0" fontId="80" fillId="12" borderId="2" xfId="0" applyFont="1" applyFill="1" applyBorder="1" applyAlignment="1">
      <alignment horizontal="center" vertical="center"/>
    </xf>
    <xf numFmtId="0" fontId="80" fillId="28" borderId="2" xfId="0" applyFont="1" applyFill="1" applyBorder="1" applyAlignment="1">
      <alignment horizontal="center" vertical="center"/>
    </xf>
    <xf numFmtId="0" fontId="80" fillId="14" borderId="6" xfId="0" applyFont="1" applyFill="1" applyBorder="1" applyAlignment="1">
      <alignment horizontal="center" vertical="center"/>
    </xf>
    <xf numFmtId="0" fontId="80" fillId="29" borderId="6" xfId="0" applyFont="1" applyFill="1" applyBorder="1" applyAlignment="1">
      <alignment horizontal="center" vertical="center"/>
    </xf>
    <xf numFmtId="0" fontId="80" fillId="15" borderId="6" xfId="0" applyFont="1" applyFill="1" applyBorder="1" applyAlignment="1">
      <alignment horizontal="center" vertical="center"/>
    </xf>
    <xf numFmtId="0" fontId="80" fillId="30" borderId="6" xfId="0" applyFont="1" applyFill="1" applyBorder="1" applyAlignment="1">
      <alignment horizontal="center" vertical="center"/>
    </xf>
    <xf numFmtId="0" fontId="80" fillId="53" borderId="6" xfId="0" applyFont="1" applyFill="1" applyBorder="1" applyAlignment="1">
      <alignment horizontal="center" vertical="center"/>
    </xf>
    <xf numFmtId="0" fontId="80" fillId="16" borderId="6" xfId="0" applyFont="1" applyFill="1" applyBorder="1" applyAlignment="1">
      <alignment horizontal="center" vertical="center"/>
    </xf>
    <xf numFmtId="0" fontId="80" fillId="32" borderId="6" xfId="0" applyFont="1" applyFill="1" applyBorder="1" applyAlignment="1">
      <alignment horizontal="center" vertical="center"/>
    </xf>
    <xf numFmtId="0" fontId="80" fillId="54" borderId="6" xfId="0" applyFont="1" applyFill="1" applyBorder="1" applyAlignment="1">
      <alignment horizontal="center" vertical="center"/>
    </xf>
    <xf numFmtId="0" fontId="80" fillId="17" borderId="6" xfId="0" applyFont="1" applyFill="1" applyBorder="1" applyAlignment="1">
      <alignment horizontal="center" vertical="center"/>
    </xf>
    <xf numFmtId="0" fontId="80" fillId="56" borderId="6" xfId="0" applyFont="1" applyFill="1" applyBorder="1" applyAlignment="1">
      <alignment horizontal="center" vertical="center"/>
    </xf>
    <xf numFmtId="0" fontId="80" fillId="19" borderId="6" xfId="0" applyFont="1" applyFill="1" applyBorder="1" applyAlignment="1">
      <alignment horizontal="center" vertical="center"/>
    </xf>
    <xf numFmtId="0" fontId="80" fillId="42" borderId="6" xfId="0" applyFont="1" applyFill="1" applyBorder="1" applyAlignment="1">
      <alignment horizontal="center" vertical="center"/>
    </xf>
    <xf numFmtId="0" fontId="80" fillId="57" borderId="6" xfId="0" applyFont="1" applyFill="1" applyBorder="1" applyAlignment="1">
      <alignment horizontal="center" vertical="center"/>
    </xf>
    <xf numFmtId="0" fontId="80" fillId="20" borderId="6" xfId="0" applyFont="1" applyFill="1" applyBorder="1" applyAlignment="1">
      <alignment horizontal="center" vertical="center"/>
    </xf>
    <xf numFmtId="0" fontId="80" fillId="45" borderId="6" xfId="0" applyFont="1" applyFill="1" applyBorder="1" applyAlignment="1">
      <alignment horizontal="center" vertical="center"/>
    </xf>
    <xf numFmtId="0" fontId="80" fillId="24" borderId="6" xfId="0" applyFont="1" applyFill="1" applyBorder="1" applyAlignment="1">
      <alignment horizontal="center" vertical="center"/>
    </xf>
    <xf numFmtId="0" fontId="80" fillId="47" borderId="6" xfId="0" applyFont="1" applyFill="1" applyBorder="1" applyAlignment="1">
      <alignment horizontal="center" vertical="center"/>
    </xf>
    <xf numFmtId="0" fontId="80" fillId="26" borderId="8" xfId="0" applyFont="1" applyFill="1" applyBorder="1" applyAlignment="1">
      <alignment horizontal="center" vertical="center"/>
    </xf>
    <xf numFmtId="0" fontId="80" fillId="48" borderId="8" xfId="0" applyFont="1" applyFill="1" applyBorder="1" applyAlignment="1">
      <alignment horizontal="center" vertical="center"/>
    </xf>
    <xf numFmtId="0" fontId="52" fillId="57" borderId="6" xfId="0" applyFont="1" applyFill="1" applyBorder="1" applyAlignment="1">
      <alignment horizontal="center" vertical="center"/>
    </xf>
    <xf numFmtId="0" fontId="53" fillId="20" borderId="27" xfId="0" applyFont="1" applyFill="1" applyBorder="1" applyAlignment="1">
      <alignment horizontal="center" vertical="center"/>
    </xf>
    <xf numFmtId="0" fontId="52" fillId="20" borderId="26" xfId="0" applyFont="1" applyFill="1" applyBorder="1" applyAlignment="1">
      <alignment horizontal="center" vertical="center"/>
    </xf>
    <xf numFmtId="0" fontId="52" fillId="2" borderId="6" xfId="0" applyFon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2" borderId="9" xfId="0" applyFont="1" applyFill="1" applyBorder="1" applyAlignment="1">
      <alignment horizontal="center" vertical="center"/>
    </xf>
    <xf numFmtId="0" fontId="52" fillId="60" borderId="8" xfId="0" applyFont="1" applyFill="1" applyBorder="1" applyAlignment="1">
      <alignment horizontal="center" vertical="center"/>
    </xf>
    <xf numFmtId="0" fontId="80" fillId="20" borderId="8" xfId="0" applyFont="1" applyFill="1" applyBorder="1" applyAlignment="1">
      <alignment horizontal="center" vertical="center"/>
    </xf>
    <xf numFmtId="0" fontId="52" fillId="20" borderId="2" xfId="0" applyFont="1" applyFill="1" applyBorder="1" applyAlignment="1">
      <alignment horizontal="center" vertical="center"/>
    </xf>
    <xf numFmtId="0" fontId="56" fillId="49" borderId="2" xfId="0" applyFont="1" applyFill="1" applyBorder="1"/>
    <xf numFmtId="0" fontId="52" fillId="47" borderId="6" xfId="0" applyFont="1" applyFill="1" applyBorder="1" applyAlignment="1">
      <alignment horizontal="center" vertical="center"/>
    </xf>
    <xf numFmtId="0" fontId="52" fillId="32" borderId="2" xfId="0" applyFont="1" applyFill="1" applyBorder="1" applyAlignment="1">
      <alignment horizontal="center" vertical="center"/>
    </xf>
    <xf numFmtId="0" fontId="56" fillId="15" borderId="6" xfId="0" applyFont="1" applyFill="1" applyBorder="1" applyAlignment="1">
      <alignment horizontal="center"/>
    </xf>
    <xf numFmtId="0" fontId="52" fillId="16" borderId="6" xfId="0" applyFont="1" applyFill="1" applyBorder="1" applyAlignment="1">
      <alignment horizontal="center" vertical="center"/>
    </xf>
    <xf numFmtId="0" fontId="52" fillId="20" borderId="8" xfId="0" applyFont="1" applyFill="1" applyBorder="1" applyAlignment="1">
      <alignment horizontal="center" vertical="center"/>
    </xf>
    <xf numFmtId="0" fontId="52" fillId="31" borderId="8" xfId="0" applyFont="1" applyFill="1" applyBorder="1" applyAlignment="1">
      <alignment horizontal="center" vertical="center"/>
    </xf>
    <xf numFmtId="0" fontId="52" fillId="58" borderId="0" xfId="0" applyFont="1" applyFill="1" applyAlignment="1">
      <alignment horizontal="center" vertical="center"/>
    </xf>
    <xf numFmtId="0" fontId="52" fillId="59" borderId="3" xfId="0" applyFont="1" applyFill="1" applyBorder="1" applyAlignment="1">
      <alignment horizontal="center" vertical="center"/>
    </xf>
    <xf numFmtId="0" fontId="52" fillId="37" borderId="6" xfId="0" applyFont="1" applyFill="1" applyBorder="1" applyAlignment="1">
      <alignment horizontal="center" vertical="center"/>
    </xf>
    <xf numFmtId="0" fontId="52" fillId="44" borderId="6" xfId="0" applyFont="1" applyFill="1" applyBorder="1" applyAlignment="1">
      <alignment horizontal="center" vertical="center"/>
    </xf>
    <xf numFmtId="0" fontId="52" fillId="60" borderId="0" xfId="0" applyFont="1" applyFill="1" applyAlignment="1">
      <alignment horizontal="center" vertical="center"/>
    </xf>
    <xf numFmtId="0" fontId="52" fillId="43" borderId="6" xfId="0" applyFont="1" applyFill="1" applyBorder="1" applyAlignment="1">
      <alignment horizontal="center" vertical="center"/>
    </xf>
    <xf numFmtId="0" fontId="52" fillId="45" borderId="6" xfId="0" applyFont="1" applyFill="1" applyBorder="1" applyAlignment="1">
      <alignment horizontal="center" vertical="center"/>
    </xf>
    <xf numFmtId="0" fontId="52" fillId="22" borderId="6" xfId="0" applyFont="1" applyFill="1" applyBorder="1" applyAlignment="1">
      <alignment horizontal="center" vertical="center"/>
    </xf>
    <xf numFmtId="0" fontId="52" fillId="42" borderId="6" xfId="0" applyFont="1" applyFill="1" applyBorder="1" applyAlignment="1">
      <alignment horizontal="center" vertical="center"/>
    </xf>
    <xf numFmtId="0" fontId="52" fillId="4" borderId="2" xfId="0" applyFont="1" applyFill="1" applyBorder="1" applyAlignment="1">
      <alignment horizontal="center" vertical="center"/>
    </xf>
    <xf numFmtId="0" fontId="52" fillId="48" borderId="3" xfId="0" applyFont="1" applyFill="1" applyBorder="1" applyAlignment="1">
      <alignment horizontal="center" vertical="center"/>
    </xf>
    <xf numFmtId="0" fontId="52" fillId="12" borderId="6" xfId="0" applyFont="1" applyFill="1" applyBorder="1" applyAlignment="1">
      <alignment horizontal="center" vertical="center"/>
    </xf>
    <xf numFmtId="0" fontId="52" fillId="14" borderId="6" xfId="0" applyFont="1" applyFill="1" applyBorder="1" applyAlignment="1">
      <alignment horizontal="center" vertical="center"/>
    </xf>
    <xf numFmtId="164" fontId="52" fillId="2" borderId="6" xfId="0" applyNumberFormat="1" applyFont="1" applyFill="1" applyBorder="1" applyAlignment="1">
      <alignment horizontal="center" vertical="center"/>
    </xf>
    <xf numFmtId="0" fontId="52" fillId="23" borderId="6" xfId="0" applyFont="1" applyFill="1" applyBorder="1" applyAlignment="1">
      <alignment horizontal="center" vertical="center"/>
    </xf>
    <xf numFmtId="0" fontId="52" fillId="24" borderId="8" xfId="0" applyFont="1" applyFill="1" applyBorder="1" applyAlignment="1">
      <alignment horizontal="center" vertical="center"/>
    </xf>
    <xf numFmtId="0" fontId="52" fillId="47" borderId="8" xfId="0" applyFont="1" applyFill="1" applyBorder="1" applyAlignment="1">
      <alignment horizontal="center" vertical="center"/>
    </xf>
    <xf numFmtId="164" fontId="52" fillId="2" borderId="8" xfId="0" applyNumberFormat="1" applyFont="1" applyFill="1" applyBorder="1" applyAlignment="1">
      <alignment horizontal="center" vertical="center"/>
    </xf>
    <xf numFmtId="0" fontId="52" fillId="48" borderId="2" xfId="0" applyFont="1" applyFill="1" applyBorder="1" applyAlignment="1">
      <alignment horizontal="center" vertical="center"/>
    </xf>
    <xf numFmtId="0" fontId="52" fillId="46" borderId="8" xfId="0" applyFont="1" applyFill="1" applyBorder="1" applyAlignment="1">
      <alignment horizontal="center" vertical="center"/>
    </xf>
    <xf numFmtId="0" fontId="52" fillId="47" borderId="2" xfId="0" applyFont="1" applyFill="1" applyBorder="1" applyAlignment="1">
      <alignment horizontal="center" vertical="center"/>
    </xf>
    <xf numFmtId="0" fontId="52" fillId="45" borderId="8" xfId="0" applyFont="1" applyFill="1" applyBorder="1" applyAlignment="1">
      <alignment horizontal="center" vertical="center"/>
    </xf>
    <xf numFmtId="0" fontId="52" fillId="17" borderId="2" xfId="0" applyFont="1" applyFill="1" applyBorder="1" applyAlignment="1">
      <alignment horizontal="center" vertical="center"/>
    </xf>
    <xf numFmtId="0" fontId="52" fillId="41" borderId="8" xfId="0" applyFont="1" applyFill="1" applyBorder="1" applyAlignment="1">
      <alignment horizontal="center" vertical="center"/>
    </xf>
    <xf numFmtId="0" fontId="80" fillId="37" borderId="6" xfId="0" applyFont="1" applyFill="1" applyBorder="1" applyAlignment="1">
      <alignment horizontal="center" vertical="center"/>
    </xf>
    <xf numFmtId="0" fontId="52" fillId="61" borderId="3" xfId="0" applyFont="1" applyFill="1" applyBorder="1" applyAlignment="1">
      <alignment horizontal="center" vertical="center"/>
    </xf>
    <xf numFmtId="164" fontId="36" fillId="2" borderId="2" xfId="0" applyNumberFormat="1" applyFont="1" applyFill="1" applyBorder="1" applyAlignment="1">
      <alignment horizontal="center" vertical="center"/>
    </xf>
    <xf numFmtId="164" fontId="36" fillId="2" borderId="0" xfId="0" applyNumberFormat="1" applyFont="1" applyFill="1" applyAlignment="1">
      <alignment horizontal="center" vertical="center"/>
    </xf>
    <xf numFmtId="164" fontId="36" fillId="2" borderId="9" xfId="0" applyNumberFormat="1" applyFont="1" applyFill="1" applyBorder="1" applyAlignment="1">
      <alignment horizontal="center" vertical="center"/>
    </xf>
    <xf numFmtId="0" fontId="80" fillId="50" borderId="2" xfId="0" applyFont="1" applyFill="1" applyBorder="1" applyAlignment="1">
      <alignment horizontal="center" vertical="center"/>
    </xf>
    <xf numFmtId="0" fontId="80" fillId="51" borderId="2" xfId="0" applyFont="1" applyFill="1" applyBorder="1" applyAlignment="1">
      <alignment horizontal="center" vertical="center"/>
    </xf>
    <xf numFmtId="0" fontId="80" fillId="58" borderId="6" xfId="0" applyFont="1" applyFill="1" applyBorder="1" applyAlignment="1">
      <alignment horizontal="center" vertical="center"/>
    </xf>
    <xf numFmtId="0" fontId="71" fillId="59" borderId="12" xfId="0" applyFont="1" applyFill="1" applyBorder="1" applyAlignment="1">
      <alignment horizontal="center" vertical="center"/>
    </xf>
    <xf numFmtId="0" fontId="52" fillId="62" borderId="0" xfId="0" applyFont="1" applyFill="1" applyAlignment="1">
      <alignment horizontal="center" vertical="center"/>
    </xf>
    <xf numFmtId="0" fontId="52" fillId="63" borderId="0" xfId="0" applyFont="1" applyFill="1" applyAlignment="1">
      <alignment horizontal="center" vertical="center"/>
    </xf>
    <xf numFmtId="0" fontId="52" fillId="63" borderId="26" xfId="0" applyFont="1" applyFill="1" applyBorder="1" applyAlignment="1">
      <alignment horizontal="center" vertical="center"/>
    </xf>
    <xf numFmtId="0" fontId="52" fillId="64" borderId="26" xfId="0" applyFont="1" applyFill="1" applyBorder="1" applyAlignment="1">
      <alignment horizontal="center" vertical="center"/>
    </xf>
    <xf numFmtId="0" fontId="52" fillId="64" borderId="6" xfId="0" applyFont="1" applyFill="1" applyBorder="1" applyAlignment="1">
      <alignment horizontal="center" vertical="center"/>
    </xf>
    <xf numFmtId="0" fontId="80" fillId="64" borderId="0" xfId="0" applyFont="1" applyFill="1" applyAlignment="1">
      <alignment horizontal="center" vertical="center"/>
    </xf>
    <xf numFmtId="0" fontId="52" fillId="2" borderId="2" xfId="0" applyFont="1" applyFill="1" applyBorder="1" applyAlignment="1">
      <alignment horizontal="center" vertical="center"/>
    </xf>
    <xf numFmtId="0" fontId="80" fillId="28" borderId="0" xfId="0" applyFont="1" applyFill="1" applyAlignment="1">
      <alignment horizontal="center" vertical="center"/>
    </xf>
    <xf numFmtId="0" fontId="52" fillId="51" borderId="2" xfId="0" applyFont="1" applyFill="1" applyBorder="1" applyAlignment="1">
      <alignment horizontal="center" vertical="center"/>
    </xf>
    <xf numFmtId="0" fontId="52" fillId="58" borderId="8" xfId="0" applyFont="1" applyFill="1" applyBorder="1" applyAlignment="1">
      <alignment horizontal="center" vertical="center"/>
    </xf>
    <xf numFmtId="0" fontId="52" fillId="20" borderId="12" xfId="0" applyFont="1" applyFill="1" applyBorder="1" applyAlignment="1">
      <alignment horizontal="center" vertical="center"/>
    </xf>
    <xf numFmtId="0" fontId="52" fillId="59" borderId="2" xfId="0" applyFont="1" applyFill="1" applyBorder="1" applyAlignment="1">
      <alignment horizontal="center" vertical="center"/>
    </xf>
    <xf numFmtId="0" fontId="52" fillId="60" borderId="6" xfId="0" applyFont="1" applyFill="1" applyBorder="1" applyAlignment="1">
      <alignment horizontal="center" vertical="center"/>
    </xf>
    <xf numFmtId="0" fontId="52" fillId="62" borderId="6" xfId="0" applyFont="1" applyFill="1" applyBorder="1" applyAlignment="1">
      <alignment horizontal="center" vertical="center"/>
    </xf>
    <xf numFmtId="0" fontId="52" fillId="63" borderId="6" xfId="0" applyFont="1" applyFill="1" applyBorder="1" applyAlignment="1">
      <alignment horizontal="center" vertical="center"/>
    </xf>
    <xf numFmtId="0" fontId="80" fillId="64" borderId="8" xfId="0" applyFont="1" applyFill="1" applyBorder="1" applyAlignment="1">
      <alignment horizontal="center" vertical="center"/>
    </xf>
    <xf numFmtId="0" fontId="80" fillId="2" borderId="8" xfId="0" applyFont="1" applyFill="1" applyBorder="1" applyAlignment="1">
      <alignment horizontal="center" vertical="center"/>
    </xf>
    <xf numFmtId="0" fontId="52" fillId="65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33" fillId="2" borderId="0" xfId="0" applyFont="1" applyFill="1" applyAlignment="1">
      <alignment horizontal="center" vertical="center"/>
    </xf>
    <xf numFmtId="0" fontId="22" fillId="2" borderId="1" xfId="0" applyFont="1" applyFill="1" applyBorder="1" applyAlignment="1">
      <alignment horizontal="left" vertical="center"/>
    </xf>
    <xf numFmtId="0" fontId="59" fillId="2" borderId="2" xfId="0" applyFont="1" applyFill="1" applyBorder="1" applyAlignment="1">
      <alignment horizontal="center" vertical="center"/>
    </xf>
    <xf numFmtId="0" fontId="79" fillId="3" borderId="20" xfId="2" applyFont="1" applyFill="1" applyBorder="1" applyAlignment="1" applyProtection="1">
      <alignment horizontal="center" vertical="center"/>
    </xf>
    <xf numFmtId="0" fontId="55" fillId="0" borderId="0" xfId="0" applyFont="1" applyAlignment="1">
      <alignment horizontal="center"/>
    </xf>
    <xf numFmtId="0" fontId="75" fillId="2" borderId="16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0" fillId="0" borderId="55" xfId="0" applyBorder="1"/>
    <xf numFmtId="0" fontId="0" fillId="0" borderId="20" xfId="0" applyBorder="1"/>
    <xf numFmtId="0" fontId="0" fillId="0" borderId="16" xfId="0" applyBorder="1"/>
    <xf numFmtId="0" fontId="68" fillId="2" borderId="11" xfId="0" applyFont="1" applyFill="1" applyBorder="1" applyAlignment="1">
      <alignment horizontal="center" vertical="center"/>
    </xf>
    <xf numFmtId="0" fontId="79" fillId="3" borderId="65" xfId="2" applyFont="1" applyFill="1" applyBorder="1" applyAlignment="1" applyProtection="1">
      <alignment horizontal="center" vertical="center"/>
    </xf>
    <xf numFmtId="0" fontId="0" fillId="0" borderId="27" xfId="0" applyBorder="1"/>
    <xf numFmtId="0" fontId="75" fillId="2" borderId="26" xfId="0" applyFont="1" applyFill="1" applyBorder="1" applyAlignment="1">
      <alignment horizontal="center" vertical="center"/>
    </xf>
    <xf numFmtId="0" fontId="75" fillId="32" borderId="26" xfId="0" applyFont="1" applyFill="1" applyBorder="1" applyAlignment="1">
      <alignment horizontal="center" vertical="center"/>
    </xf>
    <xf numFmtId="0" fontId="0" fillId="0" borderId="49" xfId="0" applyBorder="1"/>
    <xf numFmtId="0" fontId="75" fillId="2" borderId="42" xfId="0" applyFont="1" applyFill="1" applyBorder="1" applyAlignment="1">
      <alignment horizontal="center" vertical="center"/>
    </xf>
    <xf numFmtId="0" fontId="0" fillId="0" borderId="39" xfId="0" applyBorder="1"/>
    <xf numFmtId="0" fontId="13" fillId="6" borderId="44" xfId="0" applyFont="1" applyFill="1" applyBorder="1" applyAlignment="1">
      <alignment horizontal="center" vertical="center" wrapText="1"/>
    </xf>
    <xf numFmtId="0" fontId="43" fillId="6" borderId="44" xfId="0" applyFont="1" applyFill="1" applyBorder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24" fillId="2" borderId="27" xfId="0" applyFont="1" applyFill="1" applyBorder="1" applyAlignment="1">
      <alignment horizontal="center" vertical="center"/>
    </xf>
    <xf numFmtId="0" fontId="24" fillId="2" borderId="2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13" fillId="6" borderId="27" xfId="0" applyFont="1" applyFill="1" applyBorder="1" applyAlignment="1">
      <alignment horizontal="center" vertical="center"/>
    </xf>
    <xf numFmtId="0" fontId="24" fillId="6" borderId="27" xfId="0" applyFont="1" applyFill="1" applyBorder="1" applyAlignment="1">
      <alignment horizontal="center" vertical="center"/>
    </xf>
    <xf numFmtId="0" fontId="24" fillId="6" borderId="26" xfId="0" applyFont="1" applyFill="1" applyBorder="1" applyAlignment="1">
      <alignment horizontal="center" vertical="center"/>
    </xf>
    <xf numFmtId="0" fontId="43" fillId="6" borderId="26" xfId="0" applyFont="1" applyFill="1" applyBorder="1" applyAlignment="1">
      <alignment horizontal="center" vertical="center"/>
    </xf>
    <xf numFmtId="0" fontId="31" fillId="6" borderId="42" xfId="0" applyFont="1" applyFill="1" applyBorder="1" applyAlignment="1">
      <alignment horizontal="center" vertical="center"/>
    </xf>
    <xf numFmtId="0" fontId="13" fillId="2" borderId="26" xfId="0" applyFont="1" applyFill="1" applyBorder="1" applyAlignment="1">
      <alignment horizontal="center" vertical="center"/>
    </xf>
    <xf numFmtId="0" fontId="44" fillId="2" borderId="27" xfId="0" applyFont="1" applyFill="1" applyBorder="1" applyAlignment="1">
      <alignment horizontal="center" vertical="center"/>
    </xf>
    <xf numFmtId="0" fontId="44" fillId="2" borderId="26" xfId="0" applyFont="1" applyFill="1" applyBorder="1" applyAlignment="1">
      <alignment horizontal="center" vertical="center"/>
    </xf>
    <xf numFmtId="0" fontId="13" fillId="2" borderId="26" xfId="4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44" fillId="2" borderId="18" xfId="0" applyFont="1" applyFill="1" applyBorder="1" applyAlignment="1">
      <alignment horizontal="center" vertical="center"/>
    </xf>
    <xf numFmtId="0" fontId="44" fillId="2" borderId="37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0" fillId="0" borderId="33" xfId="0" applyBorder="1"/>
    <xf numFmtId="0" fontId="0" fillId="0" borderId="26" xfId="0" applyBorder="1"/>
    <xf numFmtId="0" fontId="0" fillId="0" borderId="42" xfId="0" applyBorder="1"/>
    <xf numFmtId="0" fontId="0" fillId="0" borderId="26" xfId="0" applyBorder="1" applyAlignment="1">
      <alignment horizontal="center"/>
    </xf>
    <xf numFmtId="0" fontId="55" fillId="0" borderId="70" xfId="0" applyFont="1" applyBorder="1"/>
    <xf numFmtId="0" fontId="9" fillId="0" borderId="70" xfId="0" applyFont="1" applyBorder="1"/>
    <xf numFmtId="0" fontId="9" fillId="0" borderId="71" xfId="0" applyFont="1" applyBorder="1"/>
    <xf numFmtId="0" fontId="9" fillId="10" borderId="61" xfId="0" applyFont="1" applyFill="1" applyBorder="1" applyAlignment="1">
      <alignment vertical="center" wrapText="1"/>
    </xf>
    <xf numFmtId="0" fontId="9" fillId="10" borderId="63" xfId="0" applyFont="1" applyFill="1" applyBorder="1" applyAlignment="1">
      <alignment vertical="center" wrapText="1"/>
    </xf>
    <xf numFmtId="0" fontId="52" fillId="52" borderId="27" xfId="0" applyFont="1" applyFill="1" applyBorder="1" applyAlignment="1">
      <alignment horizontal="center" vertical="center"/>
    </xf>
    <xf numFmtId="0" fontId="55" fillId="0" borderId="72" xfId="0" applyFont="1" applyBorder="1"/>
    <xf numFmtId="0" fontId="38" fillId="0" borderId="0" xfId="0" applyFont="1" applyAlignment="1">
      <alignment horizontal="left"/>
    </xf>
    <xf numFmtId="0" fontId="50" fillId="0" borderId="0" xfId="0" applyFont="1"/>
    <xf numFmtId="0" fontId="55" fillId="0" borderId="71" xfId="0" applyFont="1" applyBorder="1"/>
    <xf numFmtId="0" fontId="58" fillId="2" borderId="70" xfId="0" applyFont="1" applyFill="1" applyBorder="1" applyAlignment="1">
      <alignment vertical="center" wrapText="1"/>
    </xf>
    <xf numFmtId="0" fontId="53" fillId="25" borderId="70" xfId="0" applyFont="1" applyFill="1" applyBorder="1" applyAlignment="1">
      <alignment vertical="center" wrapText="1"/>
    </xf>
    <xf numFmtId="0" fontId="58" fillId="0" borderId="70" xfId="0" applyFont="1" applyBorder="1" applyAlignment="1">
      <alignment vertical="center" wrapText="1"/>
    </xf>
    <xf numFmtId="0" fontId="55" fillId="0" borderId="5" xfId="0" applyFont="1" applyBorder="1"/>
    <xf numFmtId="0" fontId="53" fillId="25" borderId="70" xfId="0" applyFont="1" applyFill="1" applyBorder="1" applyAlignment="1">
      <alignment vertical="center"/>
    </xf>
    <xf numFmtId="0" fontId="58" fillId="0" borderId="70" xfId="0" applyFont="1" applyBorder="1" applyAlignment="1">
      <alignment vertical="center"/>
    </xf>
    <xf numFmtId="0" fontId="56" fillId="25" borderId="42" xfId="0" applyFont="1" applyFill="1" applyBorder="1" applyAlignment="1">
      <alignment horizontal="center" vertical="center"/>
    </xf>
    <xf numFmtId="0" fontId="52" fillId="37" borderId="26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11" borderId="57" xfId="0" applyFont="1" applyFill="1" applyBorder="1" applyAlignment="1">
      <alignment horizontal="center" vertical="center" wrapText="1"/>
    </xf>
    <xf numFmtId="0" fontId="55" fillId="2" borderId="57" xfId="0" applyFont="1" applyFill="1" applyBorder="1" applyAlignment="1">
      <alignment horizontal="center" vertical="center" wrapText="1"/>
    </xf>
    <xf numFmtId="0" fontId="55" fillId="10" borderId="68" xfId="0" applyFont="1" applyFill="1" applyBorder="1" applyAlignment="1">
      <alignment horizontal="center" vertical="center" wrapText="1"/>
    </xf>
    <xf numFmtId="0" fontId="52" fillId="16" borderId="27" xfId="0" applyFont="1" applyFill="1" applyBorder="1" applyAlignment="1">
      <alignment horizontal="center" vertical="center"/>
    </xf>
    <xf numFmtId="0" fontId="53" fillId="6" borderId="70" xfId="0" applyFont="1" applyFill="1" applyBorder="1" applyAlignment="1">
      <alignment vertical="center" wrapText="1"/>
    </xf>
    <xf numFmtId="0" fontId="53" fillId="2" borderId="70" xfId="0" applyFont="1" applyFill="1" applyBorder="1" applyAlignment="1">
      <alignment vertical="center" wrapText="1"/>
    </xf>
    <xf numFmtId="0" fontId="53" fillId="0" borderId="70" xfId="0" applyFont="1" applyBorder="1" applyAlignment="1">
      <alignment vertical="center" wrapText="1"/>
    </xf>
    <xf numFmtId="0" fontId="53" fillId="6" borderId="70" xfId="0" applyFont="1" applyFill="1" applyBorder="1" applyAlignment="1">
      <alignment vertical="center"/>
    </xf>
    <xf numFmtId="0" fontId="55" fillId="11" borderId="57" xfId="0" applyFont="1" applyFill="1" applyBorder="1" applyAlignment="1">
      <alignment horizontal="left" vertical="center" wrapText="1"/>
    </xf>
    <xf numFmtId="0" fontId="55" fillId="2" borderId="57" xfId="0" applyFont="1" applyFill="1" applyBorder="1" applyAlignment="1">
      <alignment horizontal="left" vertical="center" wrapText="1"/>
    </xf>
    <xf numFmtId="0" fontId="55" fillId="10" borderId="68" xfId="0" applyFont="1" applyFill="1" applyBorder="1" applyAlignment="1">
      <alignment horizontal="left" vertical="center" wrapText="1"/>
    </xf>
    <xf numFmtId="0" fontId="53" fillId="4" borderId="2" xfId="0" applyFont="1" applyFill="1" applyBorder="1" applyAlignment="1">
      <alignment horizontal="center" vertical="top" wrapText="1"/>
    </xf>
    <xf numFmtId="0" fontId="53" fillId="4" borderId="1" xfId="0" applyFont="1" applyFill="1" applyBorder="1" applyAlignment="1">
      <alignment horizontal="center" vertical="center" wrapText="1"/>
    </xf>
    <xf numFmtId="0" fontId="53" fillId="6" borderId="51" xfId="0" applyFont="1" applyFill="1" applyBorder="1" applyAlignment="1">
      <alignment wrapText="1"/>
    </xf>
    <xf numFmtId="0" fontId="58" fillId="2" borderId="50" xfId="0" applyFont="1" applyFill="1" applyBorder="1" applyAlignment="1">
      <alignment wrapText="1"/>
    </xf>
    <xf numFmtId="0" fontId="53" fillId="6" borderId="50" xfId="0" applyFont="1" applyFill="1" applyBorder="1" applyAlignment="1">
      <alignment wrapText="1"/>
    </xf>
    <xf numFmtId="0" fontId="58" fillId="2" borderId="50" xfId="0" applyFont="1" applyFill="1" applyBorder="1"/>
    <xf numFmtId="0" fontId="53" fillId="2" borderId="50" xfId="0" applyFont="1" applyFill="1" applyBorder="1" applyAlignment="1">
      <alignment wrapText="1"/>
    </xf>
    <xf numFmtId="0" fontId="53" fillId="0" borderId="52" xfId="0" applyFont="1" applyBorder="1" applyAlignment="1">
      <alignment wrapText="1"/>
    </xf>
    <xf numFmtId="0" fontId="58" fillId="0" borderId="50" xfId="0" applyFont="1" applyBorder="1" applyAlignment="1">
      <alignment wrapText="1"/>
    </xf>
    <xf numFmtId="0" fontId="53" fillId="0" borderId="50" xfId="0" applyFont="1" applyBorder="1" applyAlignment="1">
      <alignment wrapText="1"/>
    </xf>
    <xf numFmtId="0" fontId="53" fillId="6" borderId="50" xfId="0" applyFont="1" applyFill="1" applyBorder="1"/>
    <xf numFmtId="0" fontId="55" fillId="2" borderId="57" xfId="0" applyFont="1" applyFill="1" applyBorder="1"/>
    <xf numFmtId="0" fontId="53" fillId="6" borderId="58" xfId="0" applyFont="1" applyFill="1" applyBorder="1" applyAlignment="1">
      <alignment wrapText="1"/>
    </xf>
    <xf numFmtId="0" fontId="58" fillId="0" borderId="52" xfId="0" applyFont="1" applyBorder="1" applyAlignment="1">
      <alignment wrapText="1"/>
    </xf>
    <xf numFmtId="0" fontId="55" fillId="11" borderId="57" xfId="0" applyFont="1" applyFill="1" applyBorder="1" applyAlignment="1">
      <alignment wrapText="1"/>
    </xf>
    <xf numFmtId="0" fontId="55" fillId="2" borderId="57" xfId="0" applyFont="1" applyFill="1" applyBorder="1" applyAlignment="1">
      <alignment wrapText="1"/>
    </xf>
    <xf numFmtId="0" fontId="55" fillId="10" borderId="68" xfId="0" applyFont="1" applyFill="1" applyBorder="1" applyAlignment="1">
      <alignment wrapText="1"/>
    </xf>
    <xf numFmtId="0" fontId="54" fillId="4" borderId="25" xfId="0" applyFont="1" applyFill="1" applyBorder="1" applyAlignment="1">
      <alignment horizontal="center" vertical="center"/>
    </xf>
    <xf numFmtId="0" fontId="54" fillId="4" borderId="23" xfId="0" applyFont="1" applyFill="1" applyBorder="1" applyAlignment="1">
      <alignment horizontal="center" vertical="center"/>
    </xf>
    <xf numFmtId="0" fontId="54" fillId="4" borderId="22" xfId="0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 vertical="center"/>
    </xf>
    <xf numFmtId="0" fontId="56" fillId="6" borderId="42" xfId="0" applyFont="1" applyFill="1" applyBorder="1" applyAlignment="1">
      <alignment horizontal="center" vertical="center"/>
    </xf>
    <xf numFmtId="0" fontId="52" fillId="51" borderId="26" xfId="0" applyFont="1" applyFill="1" applyBorder="1" applyAlignment="1">
      <alignment horizontal="center" vertical="center"/>
    </xf>
    <xf numFmtId="0" fontId="8" fillId="0" borderId="0" xfId="0" applyFont="1"/>
    <xf numFmtId="0" fontId="75" fillId="6" borderId="48" xfId="0" applyFont="1" applyFill="1" applyBorder="1" applyAlignment="1">
      <alignment vertical="center"/>
    </xf>
    <xf numFmtId="0" fontId="75" fillId="6" borderId="38" xfId="0" applyFont="1" applyFill="1" applyBorder="1" applyAlignment="1">
      <alignment vertical="center"/>
    </xf>
    <xf numFmtId="0" fontId="8" fillId="2" borderId="57" xfId="0" applyFont="1" applyFill="1" applyBorder="1" applyAlignment="1">
      <alignment horizontal="left" vertical="center" wrapText="1"/>
    </xf>
    <xf numFmtId="0" fontId="8" fillId="10" borderId="57" xfId="0" applyFont="1" applyFill="1" applyBorder="1" applyAlignment="1">
      <alignment horizontal="left" vertical="center" wrapText="1"/>
    </xf>
    <xf numFmtId="0" fontId="8" fillId="11" borderId="57" xfId="0" applyFont="1" applyFill="1" applyBorder="1" applyAlignment="1">
      <alignment horizontal="left" vertical="center"/>
    </xf>
    <xf numFmtId="0" fontId="8" fillId="10" borderId="68" xfId="0" applyFont="1" applyFill="1" applyBorder="1" applyAlignment="1">
      <alignment horizontal="left" vertical="center"/>
    </xf>
    <xf numFmtId="0" fontId="75" fillId="2" borderId="27" xfId="0" applyFont="1" applyFill="1" applyBorder="1" applyAlignment="1">
      <alignment horizontal="center" vertical="center"/>
    </xf>
    <xf numFmtId="0" fontId="75" fillId="6" borderId="29" xfId="0" applyFont="1" applyFill="1" applyBorder="1" applyAlignment="1">
      <alignment vertical="center"/>
    </xf>
    <xf numFmtId="0" fontId="75" fillId="2" borderId="70" xfId="0" applyFont="1" applyFill="1" applyBorder="1" applyAlignment="1">
      <alignment vertical="center"/>
    </xf>
    <xf numFmtId="0" fontId="75" fillId="6" borderId="70" xfId="0" applyFont="1" applyFill="1" applyBorder="1" applyAlignment="1">
      <alignment vertical="center"/>
    </xf>
    <xf numFmtId="0" fontId="8" fillId="0" borderId="5" xfId="0" applyFont="1" applyBorder="1"/>
    <xf numFmtId="0" fontId="75" fillId="0" borderId="31" xfId="0" applyFont="1" applyBorder="1" applyAlignment="1">
      <alignment vertical="center"/>
    </xf>
    <xf numFmtId="0" fontId="75" fillId="0" borderId="70" xfId="0" applyFont="1" applyBorder="1" applyAlignment="1">
      <alignment vertical="center"/>
    </xf>
    <xf numFmtId="0" fontId="8" fillId="2" borderId="60" xfId="0" applyFont="1" applyFill="1" applyBorder="1" applyAlignment="1">
      <alignment horizontal="left" vertical="center" wrapText="1"/>
    </xf>
    <xf numFmtId="0" fontId="8" fillId="10" borderId="60" xfId="0" applyFont="1" applyFill="1" applyBorder="1" applyAlignment="1">
      <alignment horizontal="left" vertical="center" wrapText="1"/>
    </xf>
    <xf numFmtId="0" fontId="8" fillId="2" borderId="60" xfId="0" applyFont="1" applyFill="1" applyBorder="1" applyAlignment="1">
      <alignment vertical="center"/>
    </xf>
    <xf numFmtId="0" fontId="75" fillId="6" borderId="59" xfId="0" applyFont="1" applyFill="1" applyBorder="1" applyAlignment="1">
      <alignment vertical="center"/>
    </xf>
    <xf numFmtId="0" fontId="8" fillId="11" borderId="60" xfId="0" applyFont="1" applyFill="1" applyBorder="1" applyAlignment="1">
      <alignment vertical="center"/>
    </xf>
    <xf numFmtId="0" fontId="8" fillId="2" borderId="60" xfId="0" quotePrefix="1" applyFont="1" applyFill="1" applyBorder="1" applyAlignment="1">
      <alignment vertical="center"/>
    </xf>
    <xf numFmtId="0" fontId="8" fillId="10" borderId="69" xfId="0" applyFont="1" applyFill="1" applyBorder="1" applyAlignment="1">
      <alignment vertical="center"/>
    </xf>
    <xf numFmtId="0" fontId="8" fillId="6" borderId="0" xfId="0" applyFont="1" applyFill="1"/>
    <xf numFmtId="0" fontId="8" fillId="6" borderId="5" xfId="0" applyFont="1" applyFill="1" applyBorder="1"/>
    <xf numFmtId="0" fontId="21" fillId="6" borderId="51" xfId="0" applyFont="1" applyFill="1" applyBorder="1" applyAlignment="1">
      <alignment horizontal="left" vertical="center"/>
    </xf>
    <xf numFmtId="0" fontId="21" fillId="6" borderId="29" xfId="0" applyFont="1" applyFill="1" applyBorder="1" applyAlignment="1">
      <alignment vertical="center"/>
    </xf>
    <xf numFmtId="0" fontId="21" fillId="18" borderId="2" xfId="0" applyFont="1" applyFill="1" applyBorder="1" applyAlignment="1">
      <alignment horizontal="left" vertical="center"/>
    </xf>
    <xf numFmtId="0" fontId="21" fillId="18" borderId="1" xfId="0" applyFont="1" applyFill="1" applyBorder="1" applyAlignment="1">
      <alignment horizontal="center" vertical="center"/>
    </xf>
    <xf numFmtId="0" fontId="21" fillId="6" borderId="50" xfId="0" applyFont="1" applyFill="1" applyBorder="1" applyAlignment="1">
      <alignment horizontal="left" vertical="center"/>
    </xf>
    <xf numFmtId="0" fontId="21" fillId="6" borderId="70" xfId="0" applyFont="1" applyFill="1" applyBorder="1" applyAlignment="1">
      <alignment vertical="center"/>
    </xf>
    <xf numFmtId="0" fontId="21" fillId="2" borderId="50" xfId="0" applyFont="1" applyFill="1" applyBorder="1" applyAlignment="1">
      <alignment horizontal="left" vertical="center"/>
    </xf>
    <xf numFmtId="0" fontId="21" fillId="2" borderId="70" xfId="0" applyFont="1" applyFill="1" applyBorder="1" applyAlignment="1">
      <alignment vertical="center"/>
    </xf>
    <xf numFmtId="14" fontId="7" fillId="2" borderId="5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4" fontId="36" fillId="2" borderId="7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7" xfId="0" applyBorder="1"/>
    <xf numFmtId="14" fontId="7" fillId="2" borderId="5" xfId="0" applyNumberFormat="1" applyFont="1" applyFill="1" applyBorder="1" applyAlignment="1">
      <alignment horizontal="center" vertical="center"/>
    </xf>
    <xf numFmtId="14" fontId="36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4" fillId="2" borderId="1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14" fontId="36" fillId="2" borderId="4" xfId="0" applyNumberFormat="1" applyFont="1" applyFill="1" applyBorder="1" applyAlignment="1">
      <alignment horizontal="center" vertical="center"/>
    </xf>
    <xf numFmtId="14" fontId="36" fillId="2" borderId="10" xfId="0" applyNumberFormat="1" applyFont="1" applyFill="1" applyBorder="1" applyAlignment="1">
      <alignment horizontal="center" vertical="center"/>
    </xf>
    <xf numFmtId="0" fontId="36" fillId="2" borderId="11" xfId="0" applyFont="1" applyFill="1" applyBorder="1" applyAlignment="1">
      <alignment horizontal="center" vertical="center"/>
    </xf>
    <xf numFmtId="14" fontId="22" fillId="2" borderId="0" xfId="0" applyNumberFormat="1" applyFont="1" applyFill="1" applyAlignment="1">
      <alignment horizontal="center" vertical="center"/>
    </xf>
    <xf numFmtId="14" fontId="7" fillId="2" borderId="0" xfId="0" applyNumberFormat="1" applyFont="1" applyFill="1" applyAlignment="1">
      <alignment horizontal="center" vertical="center"/>
    </xf>
    <xf numFmtId="0" fontId="29" fillId="3" borderId="20" xfId="2" applyFont="1" applyFill="1" applyBorder="1" applyAlignment="1" applyProtection="1">
      <alignment horizontal="center" vertical="center"/>
    </xf>
    <xf numFmtId="0" fontId="0" fillId="0" borderId="20" xfId="0" applyBorder="1"/>
    <xf numFmtId="0" fontId="21" fillId="2" borderId="0" xfId="0" applyFont="1" applyFill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0" fillId="0" borderId="5" xfId="0" applyBorder="1"/>
    <xf numFmtId="14" fontId="7" fillId="2" borderId="1" xfId="0" applyNumberFormat="1" applyFont="1" applyFill="1" applyBorder="1" applyAlignment="1">
      <alignment horizontal="center" vertical="center"/>
    </xf>
    <xf numFmtId="0" fontId="27" fillId="2" borderId="11" xfId="0" applyFont="1" applyFill="1" applyBorder="1" applyAlignment="1">
      <alignment horizontal="center" vertical="center"/>
    </xf>
    <xf numFmtId="0" fontId="0" fillId="0" borderId="13" xfId="0" applyBorder="1"/>
    <xf numFmtId="0" fontId="0" fillId="0" borderId="36" xfId="0" applyBorder="1"/>
    <xf numFmtId="14" fontId="22" fillId="2" borderId="9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/>
    </xf>
    <xf numFmtId="0" fontId="26" fillId="3" borderId="12" xfId="0" applyFont="1" applyFill="1" applyBorder="1" applyAlignment="1">
      <alignment vertical="center"/>
    </xf>
    <xf numFmtId="0" fontId="36" fillId="2" borderId="55" xfId="0" applyFon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0" fillId="0" borderId="16" xfId="0" applyBorder="1"/>
    <xf numFmtId="0" fontId="40" fillId="2" borderId="11" xfId="0" applyFont="1" applyFill="1" applyBorder="1" applyAlignment="1">
      <alignment horizontal="center"/>
    </xf>
    <xf numFmtId="14" fontId="22" fillId="2" borderId="10" xfId="0" applyNumberFormat="1" applyFont="1" applyFill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0" fillId="0" borderId="55" xfId="0" applyBorder="1"/>
    <xf numFmtId="14" fontId="36" fillId="2" borderId="3" xfId="0" applyNumberFormat="1" applyFont="1" applyFill="1" applyBorder="1" applyAlignment="1">
      <alignment horizontal="center" vertical="center"/>
    </xf>
    <xf numFmtId="0" fontId="0" fillId="3" borderId="11" xfId="0" applyFill="1" applyBorder="1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14" fontId="22" fillId="2" borderId="3" xfId="0" applyNumberFormat="1" applyFont="1" applyFill="1" applyBorder="1" applyAlignment="1">
      <alignment horizontal="center" vertical="center"/>
    </xf>
    <xf numFmtId="14" fontId="24" fillId="2" borderId="11" xfId="0" applyNumberFormat="1" applyFont="1" applyFill="1" applyBorder="1" applyAlignment="1">
      <alignment horizontal="center" vertical="center"/>
    </xf>
    <xf numFmtId="14" fontId="7" fillId="2" borderId="9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29" fillId="3" borderId="65" xfId="2" applyFont="1" applyFill="1" applyBorder="1" applyAlignment="1" applyProtection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14" fontId="36" fillId="50" borderId="0" xfId="0" applyNumberFormat="1" applyFont="1" applyFill="1" applyAlignment="1">
      <alignment horizontal="center" vertical="center"/>
    </xf>
    <xf numFmtId="0" fontId="29" fillId="3" borderId="53" xfId="2" applyFont="1" applyFill="1" applyBorder="1" applyAlignment="1" applyProtection="1">
      <alignment horizontal="center" vertical="center"/>
    </xf>
    <xf numFmtId="0" fontId="29" fillId="3" borderId="21" xfId="2" applyFont="1" applyFill="1" applyBorder="1" applyAlignment="1" applyProtection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14" fontId="36" fillId="53" borderId="7" xfId="0" applyNumberFormat="1" applyFont="1" applyFill="1" applyBorder="1" applyAlignment="1">
      <alignment horizontal="center" vertical="center"/>
    </xf>
    <xf numFmtId="14" fontId="36" fillId="45" borderId="4" xfId="0" applyNumberFormat="1" applyFont="1" applyFill="1" applyBorder="1" applyAlignment="1">
      <alignment horizontal="center" vertical="center"/>
    </xf>
    <xf numFmtId="14" fontId="36" fillId="51" borderId="4" xfId="0" applyNumberFormat="1" applyFont="1" applyFill="1" applyBorder="1" applyAlignment="1">
      <alignment horizontal="center" vertical="center"/>
    </xf>
    <xf numFmtId="14" fontId="36" fillId="54" borderId="7" xfId="0" applyNumberFormat="1" applyFont="1" applyFill="1" applyBorder="1" applyAlignment="1">
      <alignment horizontal="center" vertical="center"/>
    </xf>
    <xf numFmtId="14" fontId="80" fillId="28" borderId="7" xfId="0" applyNumberFormat="1" applyFont="1" applyFill="1" applyBorder="1" applyAlignment="1">
      <alignment horizontal="center" vertical="center"/>
    </xf>
    <xf numFmtId="14" fontId="36" fillId="56" borderId="7" xfId="0" applyNumberFormat="1" applyFont="1" applyFill="1" applyBorder="1" applyAlignment="1">
      <alignment horizontal="center" vertical="center"/>
    </xf>
    <xf numFmtId="14" fontId="27" fillId="2" borderId="11" xfId="0" applyNumberFormat="1" applyFont="1" applyFill="1" applyBorder="1" applyAlignment="1">
      <alignment horizontal="center" vertical="center"/>
    </xf>
    <xf numFmtId="0" fontId="40" fillId="3" borderId="11" xfId="0" applyFont="1" applyFill="1" applyBorder="1" applyAlignment="1">
      <alignment horizontal="center"/>
    </xf>
    <xf numFmtId="0" fontId="35" fillId="2" borderId="2" xfId="0" applyFont="1" applyFill="1" applyBorder="1" applyAlignment="1">
      <alignment horizontal="center" vertical="center"/>
    </xf>
    <xf numFmtId="0" fontId="27" fillId="3" borderId="11" xfId="0" applyFont="1" applyFill="1" applyBorder="1" applyAlignment="1">
      <alignment horizontal="center" vertical="center"/>
    </xf>
    <xf numFmtId="14" fontId="22" fillId="2" borderId="7" xfId="0" applyNumberFormat="1" applyFont="1" applyFill="1" applyBorder="1" applyAlignment="1">
      <alignment horizontal="center" vertical="center"/>
    </xf>
    <xf numFmtId="0" fontId="52" fillId="3" borderId="11" xfId="0" applyFont="1" applyFill="1" applyBorder="1" applyAlignment="1">
      <alignment horizontal="center" vertical="center"/>
    </xf>
    <xf numFmtId="14" fontId="80" fillId="28" borderId="4" xfId="0" applyNumberFormat="1" applyFont="1" applyFill="1" applyBorder="1" applyAlignment="1">
      <alignment horizontal="center" vertical="center"/>
    </xf>
    <xf numFmtId="14" fontId="22" fillId="2" borderId="4" xfId="0" applyNumberFormat="1" applyFont="1" applyFill="1" applyBorder="1" applyAlignment="1">
      <alignment horizontal="center" vertical="center"/>
    </xf>
    <xf numFmtId="0" fontId="58" fillId="2" borderId="0" xfId="0" applyFont="1" applyFill="1" applyAlignment="1">
      <alignment horizontal="center" vertical="center"/>
    </xf>
    <xf numFmtId="0" fontId="55" fillId="0" borderId="0" xfId="0" applyFont="1"/>
    <xf numFmtId="14" fontId="80" fillId="64" borderId="7" xfId="0" applyNumberFormat="1" applyFont="1" applyFill="1" applyBorder="1" applyAlignment="1">
      <alignment horizontal="center" vertical="center"/>
    </xf>
    <xf numFmtId="14" fontId="80" fillId="53" borderId="7" xfId="0" applyNumberFormat="1" applyFont="1" applyFill="1" applyBorder="1" applyAlignment="1">
      <alignment horizontal="center" vertical="center"/>
    </xf>
    <xf numFmtId="14" fontId="7" fillId="2" borderId="7" xfId="0" applyNumberFormat="1" applyFont="1" applyFill="1" applyBorder="1" applyAlignment="1">
      <alignment horizontal="center" vertical="center"/>
    </xf>
    <xf numFmtId="0" fontId="57" fillId="3" borderId="65" xfId="2" applyFont="1" applyFill="1" applyBorder="1" applyAlignment="1" applyProtection="1">
      <alignment horizontal="center" vertical="center"/>
    </xf>
    <xf numFmtId="14" fontId="80" fillId="20" borderId="0" xfId="0" applyNumberFormat="1" applyFont="1" applyFill="1" applyAlignment="1">
      <alignment horizontal="center" vertical="center"/>
    </xf>
    <xf numFmtId="14" fontId="80" fillId="45" borderId="7" xfId="0" applyNumberFormat="1" applyFont="1" applyFill="1" applyBorder="1" applyAlignment="1">
      <alignment horizontal="center" vertical="center"/>
    </xf>
    <xf numFmtId="0" fontId="59" fillId="2" borderId="1" xfId="0" applyFont="1" applyFill="1" applyBorder="1" applyAlignment="1">
      <alignment horizontal="center" vertical="center"/>
    </xf>
    <xf numFmtId="14" fontId="80" fillId="19" borderId="0" xfId="0" applyNumberFormat="1" applyFont="1" applyFill="1" applyAlignment="1">
      <alignment horizontal="center" vertical="center"/>
    </xf>
    <xf numFmtId="14" fontId="80" fillId="14" borderId="0" xfId="0" applyNumberFormat="1" applyFont="1" applyFill="1" applyAlignment="1">
      <alignment horizontal="center" vertical="center"/>
    </xf>
    <xf numFmtId="14" fontId="80" fillId="42" borderId="7" xfId="0" applyNumberFormat="1" applyFont="1" applyFill="1" applyBorder="1" applyAlignment="1">
      <alignment horizontal="center" vertical="center"/>
    </xf>
    <xf numFmtId="14" fontId="80" fillId="20" borderId="10" xfId="0" applyNumberFormat="1" applyFont="1" applyFill="1" applyBorder="1" applyAlignment="1">
      <alignment horizontal="center" vertical="center"/>
    </xf>
    <xf numFmtId="14" fontId="80" fillId="24" borderId="0" xfId="0" applyNumberFormat="1" applyFont="1" applyFill="1" applyAlignment="1">
      <alignment horizontal="center" vertical="center"/>
    </xf>
    <xf numFmtId="14" fontId="82" fillId="29" borderId="7" xfId="0" applyNumberFormat="1" applyFont="1" applyFill="1" applyBorder="1" applyAlignment="1">
      <alignment horizontal="center" vertical="center"/>
    </xf>
    <xf numFmtId="0" fontId="52" fillId="2" borderId="11" xfId="0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center" vertical="center"/>
    </xf>
    <xf numFmtId="14" fontId="82" fillId="26" borderId="9" xfId="0" applyNumberFormat="1" applyFont="1" applyFill="1" applyBorder="1" applyAlignment="1">
      <alignment horizontal="center" vertical="center"/>
    </xf>
    <xf numFmtId="14" fontId="7" fillId="2" borderId="4" xfId="0" applyNumberFormat="1" applyFont="1" applyFill="1" applyBorder="1" applyAlignment="1">
      <alignment horizontal="center" vertical="center"/>
    </xf>
    <xf numFmtId="14" fontId="80" fillId="17" borderId="0" xfId="0" applyNumberFormat="1" applyFont="1" applyFill="1" applyAlignment="1">
      <alignment horizontal="center" vertical="center"/>
    </xf>
    <xf numFmtId="14" fontId="52" fillId="65" borderId="7" xfId="0" applyNumberFormat="1" applyFont="1" applyFill="1" applyBorder="1" applyAlignment="1">
      <alignment horizontal="center" vertical="center"/>
    </xf>
    <xf numFmtId="14" fontId="82" fillId="48" borderId="10" xfId="0" applyNumberFormat="1" applyFont="1" applyFill="1" applyBorder="1" applyAlignment="1">
      <alignment horizontal="center" vertical="center"/>
    </xf>
    <xf numFmtId="14" fontId="7" fillId="2" borderId="10" xfId="0" applyNumberFormat="1" applyFont="1" applyFill="1" applyBorder="1" applyAlignment="1">
      <alignment horizontal="center" vertical="center"/>
    </xf>
    <xf numFmtId="14" fontId="80" fillId="16" borderId="0" xfId="0" applyNumberFormat="1" applyFont="1" applyFill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80" fillId="12" borderId="3" xfId="0" applyNumberFormat="1" applyFont="1" applyFill="1" applyBorder="1" applyAlignment="1">
      <alignment horizontal="center" vertical="center"/>
    </xf>
    <xf numFmtId="14" fontId="80" fillId="32" borderId="7" xfId="0" applyNumberFormat="1" applyFont="1" applyFill="1" applyBorder="1" applyAlignment="1">
      <alignment horizontal="center" vertical="center"/>
    </xf>
    <xf numFmtId="0" fontId="52" fillId="2" borderId="55" xfId="0" applyFont="1" applyFill="1" applyBorder="1" applyAlignment="1">
      <alignment horizontal="center" vertical="center"/>
    </xf>
    <xf numFmtId="14" fontId="52" fillId="60" borderId="0" xfId="0" applyNumberFormat="1" applyFont="1" applyFill="1" applyAlignment="1">
      <alignment horizontal="center" vertical="center"/>
    </xf>
    <xf numFmtId="0" fontId="53" fillId="2" borderId="16" xfId="0" applyFont="1" applyFill="1" applyBorder="1" applyAlignment="1">
      <alignment horizontal="center" vertical="center"/>
    </xf>
    <xf numFmtId="0" fontId="66" fillId="2" borderId="0" xfId="0" applyFont="1" applyFill="1" applyAlignment="1">
      <alignment horizontal="center" vertical="center" wrapText="1"/>
    </xf>
    <xf numFmtId="0" fontId="53" fillId="3" borderId="11" xfId="0" applyFont="1" applyFill="1" applyBorder="1" applyAlignment="1">
      <alignment horizontal="center" vertical="center"/>
    </xf>
    <xf numFmtId="14" fontId="80" fillId="56" borderId="7" xfId="0" applyNumberFormat="1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left" vertical="center"/>
    </xf>
    <xf numFmtId="14" fontId="80" fillId="50" borderId="4" xfId="0" applyNumberFormat="1" applyFont="1" applyFill="1" applyBorder="1" applyAlignment="1">
      <alignment horizontal="center" vertical="center"/>
    </xf>
    <xf numFmtId="0" fontId="60" fillId="2" borderId="11" xfId="0" applyFont="1" applyFill="1" applyBorder="1" applyAlignment="1">
      <alignment horizontal="center" vertical="center"/>
    </xf>
    <xf numFmtId="14" fontId="71" fillId="59" borderId="36" xfId="0" applyNumberFormat="1" applyFont="1" applyFill="1" applyBorder="1" applyAlignment="1">
      <alignment horizontal="center" vertical="center"/>
    </xf>
    <xf numFmtId="14" fontId="52" fillId="63" borderId="0" xfId="0" applyNumberFormat="1" applyFont="1" applyFill="1" applyAlignment="1">
      <alignment horizontal="center" vertical="center"/>
    </xf>
    <xf numFmtId="14" fontId="82" fillId="30" borderId="7" xfId="0" applyNumberFormat="1" applyFont="1" applyFill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14" fontId="80" fillId="54" borderId="7" xfId="0" applyNumberFormat="1" applyFont="1" applyFill="1" applyBorder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14" fontId="80" fillId="58" borderId="7" xfId="0" applyNumberFormat="1" applyFont="1" applyFill="1" applyBorder="1" applyAlignment="1">
      <alignment horizontal="center" vertical="center"/>
    </xf>
    <xf numFmtId="0" fontId="57" fillId="3" borderId="20" xfId="2" applyFont="1" applyFill="1" applyBorder="1" applyAlignment="1" applyProtection="1">
      <alignment horizontal="center" vertical="center"/>
    </xf>
    <xf numFmtId="14" fontId="80" fillId="57" borderId="7" xfId="0" applyNumberFormat="1" applyFont="1" applyFill="1" applyBorder="1" applyAlignment="1">
      <alignment horizontal="center" vertical="center"/>
    </xf>
    <xf numFmtId="14" fontId="80" fillId="37" borderId="7" xfId="0" applyNumberFormat="1" applyFont="1" applyFill="1" applyBorder="1" applyAlignment="1">
      <alignment horizontal="center" vertical="center"/>
    </xf>
    <xf numFmtId="14" fontId="80" fillId="47" borderId="7" xfId="0" applyNumberFormat="1" applyFont="1" applyFill="1" applyBorder="1" applyAlignment="1">
      <alignment horizontal="center" vertical="center"/>
    </xf>
    <xf numFmtId="14" fontId="80" fillId="51" borderId="4" xfId="0" applyNumberFormat="1" applyFont="1" applyFill="1" applyBorder="1" applyAlignment="1">
      <alignment horizontal="center" vertical="center"/>
    </xf>
    <xf numFmtId="14" fontId="80" fillId="15" borderId="0" xfId="0" applyNumberFormat="1" applyFont="1" applyFill="1" applyAlignment="1">
      <alignment horizontal="center" vertical="center"/>
    </xf>
    <xf numFmtId="0" fontId="56" fillId="3" borderId="11" xfId="0" applyFont="1" applyFill="1" applyBorder="1" applyAlignment="1">
      <alignment horizontal="center"/>
    </xf>
    <xf numFmtId="0" fontId="58" fillId="2" borderId="0" xfId="0" applyFont="1" applyFill="1" applyAlignment="1">
      <alignment horizontal="center" vertical="center" wrapText="1"/>
    </xf>
    <xf numFmtId="14" fontId="52" fillId="62" borderId="0" xfId="0" applyNumberFormat="1" applyFont="1" applyFill="1" applyAlignment="1">
      <alignment horizontal="center" vertical="center"/>
    </xf>
    <xf numFmtId="0" fontId="64" fillId="2" borderId="16" xfId="0" applyFont="1" applyFill="1" applyBorder="1" applyAlignment="1">
      <alignment horizontal="center" vertical="center"/>
    </xf>
    <xf numFmtId="14" fontId="52" fillId="50" borderId="7" xfId="0" applyNumberFormat="1" applyFont="1" applyFill="1" applyBorder="1" applyAlignment="1">
      <alignment horizontal="center" vertical="center"/>
    </xf>
    <xf numFmtId="0" fontId="38" fillId="3" borderId="12" xfId="0" applyFont="1" applyFill="1" applyBorder="1" applyAlignment="1">
      <alignment horizontal="center"/>
    </xf>
    <xf numFmtId="0" fontId="53" fillId="2" borderId="0" xfId="0" applyFont="1" applyFill="1" applyAlignment="1">
      <alignment horizontal="center" vertical="center"/>
    </xf>
    <xf numFmtId="14" fontId="52" fillId="47" borderId="4" xfId="0" applyNumberFormat="1" applyFont="1" applyFill="1" applyBorder="1" applyAlignment="1">
      <alignment horizontal="center" vertical="center"/>
    </xf>
    <xf numFmtId="14" fontId="53" fillId="45" borderId="9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left" vertical="center"/>
    </xf>
    <xf numFmtId="14" fontId="52" fillId="2" borderId="7" xfId="0" applyNumberFormat="1" applyFont="1" applyFill="1" applyBorder="1" applyAlignment="1">
      <alignment horizontal="center" vertical="center"/>
    </xf>
    <xf numFmtId="14" fontId="53" fillId="2" borderId="10" xfId="0" applyNumberFormat="1" applyFont="1" applyFill="1" applyBorder="1" applyAlignment="1">
      <alignment horizontal="center" vertical="center"/>
    </xf>
    <xf numFmtId="14" fontId="53" fillId="30" borderId="0" xfId="0" applyNumberFormat="1" applyFont="1" applyFill="1" applyAlignment="1">
      <alignment horizontal="center" vertical="center"/>
    </xf>
    <xf numFmtId="0" fontId="61" fillId="2" borderId="2" xfId="0" applyFont="1" applyFill="1" applyBorder="1" applyAlignment="1">
      <alignment horizontal="center" vertical="center"/>
    </xf>
    <xf numFmtId="14" fontId="52" fillId="20" borderId="10" xfId="0" applyNumberFormat="1" applyFont="1" applyFill="1" applyBorder="1" applyAlignment="1">
      <alignment horizontal="center" vertical="center"/>
    </xf>
    <xf numFmtId="14" fontId="52" fillId="54" borderId="7" xfId="0" applyNumberFormat="1" applyFont="1" applyFill="1" applyBorder="1" applyAlignment="1">
      <alignment horizontal="center" vertical="center"/>
    </xf>
    <xf numFmtId="14" fontId="53" fillId="2" borderId="7" xfId="0" applyNumberFormat="1" applyFont="1" applyFill="1" applyBorder="1" applyAlignment="1">
      <alignment horizontal="center" vertical="center"/>
    </xf>
    <xf numFmtId="14" fontId="52" fillId="2" borderId="11" xfId="0" applyNumberFormat="1" applyFont="1" applyFill="1" applyBorder="1" applyAlignment="1">
      <alignment horizontal="center" vertical="center"/>
    </xf>
    <xf numFmtId="14" fontId="52" fillId="58" borderId="7" xfId="0" applyNumberFormat="1" applyFont="1" applyFill="1" applyBorder="1" applyAlignment="1">
      <alignment horizontal="center" vertical="center"/>
    </xf>
    <xf numFmtId="14" fontId="53" fillId="29" borderId="0" xfId="0" applyNumberFormat="1" applyFont="1" applyFill="1" applyAlignment="1">
      <alignment horizontal="center" vertical="center"/>
    </xf>
    <xf numFmtId="14" fontId="52" fillId="37" borderId="0" xfId="0" applyNumberFormat="1" applyFont="1" applyFill="1" applyAlignment="1">
      <alignment horizontal="center" vertical="center"/>
    </xf>
    <xf numFmtId="14" fontId="52" fillId="28" borderId="0" xfId="0" applyNumberFormat="1" applyFont="1" applyFill="1" applyAlignment="1">
      <alignment horizontal="center" vertical="center"/>
    </xf>
    <xf numFmtId="14" fontId="52" fillId="24" borderId="3" xfId="0" applyNumberFormat="1" applyFont="1" applyFill="1" applyBorder="1" applyAlignment="1">
      <alignment horizontal="center" vertical="center"/>
    </xf>
    <xf numFmtId="14" fontId="52" fillId="59" borderId="3" xfId="0" applyNumberFormat="1" applyFont="1" applyFill="1" applyBorder="1" applyAlignment="1">
      <alignment horizontal="center" vertical="center"/>
    </xf>
    <xf numFmtId="14" fontId="52" fillId="53" borderId="7" xfId="0" applyNumberFormat="1" applyFont="1" applyFill="1" applyBorder="1" applyAlignment="1">
      <alignment horizontal="center" vertical="center"/>
    </xf>
    <xf numFmtId="14" fontId="52" fillId="2" borderId="4" xfId="0" applyNumberFormat="1" applyFont="1" applyFill="1" applyBorder="1" applyAlignment="1">
      <alignment horizontal="center" vertical="center"/>
    </xf>
    <xf numFmtId="14" fontId="52" fillId="57" borderId="7" xfId="0" applyNumberFormat="1" applyFont="1" applyFill="1" applyBorder="1" applyAlignment="1">
      <alignment horizontal="center" vertical="center"/>
    </xf>
    <xf numFmtId="14" fontId="52" fillId="2" borderId="10" xfId="0" applyNumberFormat="1" applyFont="1" applyFill="1" applyBorder="1" applyAlignment="1">
      <alignment horizontal="center" vertical="center"/>
    </xf>
    <xf numFmtId="14" fontId="52" fillId="51" borderId="7" xfId="0" applyNumberFormat="1" applyFont="1" applyFill="1" applyBorder="1" applyAlignment="1">
      <alignment horizontal="center" vertical="center"/>
    </xf>
    <xf numFmtId="14" fontId="53" fillId="31" borderId="0" xfId="0" applyNumberFormat="1" applyFont="1" applyFill="1" applyAlignment="1">
      <alignment horizontal="center" vertical="center"/>
    </xf>
    <xf numFmtId="14" fontId="56" fillId="8" borderId="0" xfId="0" applyNumberFormat="1" applyFont="1" applyFill="1" applyAlignment="1">
      <alignment horizontal="center" vertical="center"/>
    </xf>
    <xf numFmtId="14" fontId="52" fillId="56" borderId="7" xfId="0" applyNumberFormat="1" applyFont="1" applyFill="1" applyBorder="1" applyAlignment="1">
      <alignment horizontal="center" vertical="center"/>
    </xf>
    <xf numFmtId="14" fontId="52" fillId="44" borderId="0" xfId="0" applyNumberFormat="1" applyFont="1" applyFill="1" applyAlignment="1">
      <alignment horizontal="center" vertical="center"/>
    </xf>
    <xf numFmtId="14" fontId="52" fillId="48" borderId="4" xfId="0" applyNumberFormat="1" applyFont="1" applyFill="1" applyBorder="1" applyAlignment="1">
      <alignment horizontal="center" vertical="center"/>
    </xf>
    <xf numFmtId="14" fontId="52" fillId="2" borderId="0" xfId="0" applyNumberFormat="1" applyFont="1" applyFill="1" applyAlignment="1">
      <alignment horizontal="center" vertical="center"/>
    </xf>
    <xf numFmtId="14" fontId="56" fillId="2" borderId="0" xfId="0" applyNumberFormat="1" applyFont="1" applyFill="1" applyAlignment="1">
      <alignment horizontal="center" vertical="center"/>
    </xf>
    <xf numFmtId="14" fontId="52" fillId="42" borderId="7" xfId="0" applyNumberFormat="1" applyFont="1" applyFill="1" applyBorder="1" applyAlignment="1">
      <alignment horizontal="center" vertical="center"/>
    </xf>
    <xf numFmtId="14" fontId="53" fillId="30" borderId="7" xfId="0" applyNumberFormat="1" applyFont="1" applyFill="1" applyBorder="1" applyAlignment="1">
      <alignment horizontal="center" vertical="center"/>
    </xf>
    <xf numFmtId="14" fontId="52" fillId="24" borderId="7" xfId="0" applyNumberFormat="1" applyFont="1" applyFill="1" applyBorder="1" applyAlignment="1">
      <alignment horizontal="center" vertical="center"/>
    </xf>
    <xf numFmtId="14" fontId="52" fillId="44" borderId="7" xfId="0" applyNumberFormat="1" applyFont="1" applyFill="1" applyBorder="1" applyAlignment="1">
      <alignment horizontal="center" vertical="center"/>
    </xf>
    <xf numFmtId="14" fontId="52" fillId="50" borderId="0" xfId="0" applyNumberFormat="1" applyFont="1" applyFill="1" applyAlignment="1">
      <alignment horizontal="center" vertical="center"/>
    </xf>
    <xf numFmtId="0" fontId="38" fillId="3" borderId="11" xfId="0" applyFont="1" applyFill="1" applyBorder="1" applyAlignment="1">
      <alignment horizontal="center"/>
    </xf>
    <xf numFmtId="14" fontId="52" fillId="45" borderId="7" xfId="0" applyNumberFormat="1" applyFont="1" applyFill="1" applyBorder="1" applyAlignment="1">
      <alignment horizontal="center" vertical="center"/>
    </xf>
    <xf numFmtId="14" fontId="53" fillId="2" borderId="0" xfId="0" applyNumberFormat="1" applyFont="1" applyFill="1" applyAlignment="1">
      <alignment horizontal="center" vertical="center"/>
    </xf>
    <xf numFmtId="14" fontId="53" fillId="29" borderId="7" xfId="0" applyNumberFormat="1" applyFont="1" applyFill="1" applyBorder="1" applyAlignment="1">
      <alignment horizontal="center" vertical="center"/>
    </xf>
    <xf numFmtId="14" fontId="56" fillId="2" borderId="9" xfId="0" applyNumberFormat="1" applyFont="1" applyFill="1" applyBorder="1" applyAlignment="1">
      <alignment horizontal="center" vertical="center"/>
    </xf>
    <xf numFmtId="14" fontId="52" fillId="27" borderId="7" xfId="0" applyNumberFormat="1" applyFont="1" applyFill="1" applyBorder="1" applyAlignment="1">
      <alignment horizontal="center" vertical="center"/>
    </xf>
    <xf numFmtId="14" fontId="52" fillId="20" borderId="4" xfId="0" applyNumberFormat="1" applyFont="1" applyFill="1" applyBorder="1" applyAlignment="1">
      <alignment horizontal="center" vertical="center"/>
    </xf>
    <xf numFmtId="14" fontId="52" fillId="2" borderId="3" xfId="0" applyNumberFormat="1" applyFont="1" applyFill="1" applyBorder="1" applyAlignment="1">
      <alignment horizontal="center" vertical="center"/>
    </xf>
    <xf numFmtId="14" fontId="52" fillId="64" borderId="7" xfId="0" applyNumberFormat="1" applyFont="1" applyFill="1" applyBorder="1" applyAlignment="1">
      <alignment horizontal="center" vertical="center"/>
    </xf>
    <xf numFmtId="14" fontId="53" fillId="46" borderId="10" xfId="0" applyNumberFormat="1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0" borderId="14" xfId="0" applyBorder="1"/>
    <xf numFmtId="14" fontId="53" fillId="2" borderId="9" xfId="0" applyNumberFormat="1" applyFont="1" applyFill="1" applyBorder="1" applyAlignment="1">
      <alignment horizontal="center" vertical="center"/>
    </xf>
    <xf numFmtId="14" fontId="56" fillId="2" borderId="3" xfId="0" applyNumberFormat="1" applyFont="1" applyFill="1" applyBorder="1" applyAlignment="1">
      <alignment horizontal="center" vertical="center"/>
    </xf>
    <xf numFmtId="14" fontId="52" fillId="51" borderId="4" xfId="0" applyNumberFormat="1" applyFont="1" applyFill="1" applyBorder="1" applyAlignment="1">
      <alignment horizontal="center" vertical="center"/>
    </xf>
    <xf numFmtId="0" fontId="65" fillId="2" borderId="0" xfId="0" applyFont="1" applyFill="1" applyAlignment="1">
      <alignment horizontal="center" vertical="center"/>
    </xf>
    <xf numFmtId="14" fontId="53" fillId="26" borderId="7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71" fillId="2" borderId="55" xfId="0" applyFont="1" applyFill="1" applyBorder="1" applyAlignment="1">
      <alignment horizontal="center" vertical="center"/>
    </xf>
    <xf numFmtId="0" fontId="79" fillId="3" borderId="20" xfId="2" applyFont="1" applyFill="1" applyBorder="1" applyAlignment="1" applyProtection="1">
      <alignment horizontal="center" vertical="center"/>
    </xf>
    <xf numFmtId="0" fontId="79" fillId="3" borderId="65" xfId="2" applyFont="1" applyFill="1" applyBorder="1" applyAlignment="1" applyProtection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14" fontId="40" fillId="2" borderId="7" xfId="0" applyNumberFormat="1" applyFont="1" applyFill="1" applyBorder="1" applyAlignment="1">
      <alignment horizontal="center" vertical="center"/>
    </xf>
    <xf numFmtId="0" fontId="70" fillId="2" borderId="0" xfId="0" applyFont="1" applyFill="1" applyAlignment="1">
      <alignment horizontal="center" vertical="center" wrapText="1"/>
    </xf>
    <xf numFmtId="14" fontId="52" fillId="37" borderId="7" xfId="0" applyNumberFormat="1" applyFont="1" applyFill="1" applyBorder="1" applyAlignment="1">
      <alignment horizontal="center" vertical="center"/>
    </xf>
    <xf numFmtId="14" fontId="71" fillId="2" borderId="7" xfId="0" applyNumberFormat="1" applyFont="1" applyFill="1" applyBorder="1" applyAlignment="1">
      <alignment horizontal="center" vertical="center"/>
    </xf>
    <xf numFmtId="14" fontId="67" fillId="2" borderId="7" xfId="0" applyNumberFormat="1" applyFont="1" applyFill="1" applyBorder="1" applyAlignment="1">
      <alignment horizontal="center" vertical="center"/>
    </xf>
    <xf numFmtId="0" fontId="83" fillId="2" borderId="0" xfId="0" applyFont="1" applyFill="1" applyAlignment="1">
      <alignment horizontal="center" vertical="center"/>
    </xf>
    <xf numFmtId="14" fontId="67" fillId="2" borderId="10" xfId="0" applyNumberFormat="1" applyFont="1" applyFill="1" applyBorder="1" applyAlignment="1">
      <alignment horizontal="center" vertical="center"/>
    </xf>
    <xf numFmtId="0" fontId="71" fillId="3" borderId="11" xfId="0" applyFont="1" applyFill="1" applyBorder="1" applyAlignment="1">
      <alignment horizontal="center" vertical="center"/>
    </xf>
    <xf numFmtId="0" fontId="68" fillId="2" borderId="16" xfId="0" applyFont="1" applyFill="1" applyBorder="1" applyAlignment="1">
      <alignment horizontal="center" vertical="center"/>
    </xf>
    <xf numFmtId="0" fontId="71" fillId="2" borderId="11" xfId="0" applyFont="1" applyFill="1" applyBorder="1" applyAlignment="1">
      <alignment horizontal="center" vertical="center"/>
    </xf>
    <xf numFmtId="14" fontId="52" fillId="19" borderId="7" xfId="0" applyNumberFormat="1" applyFont="1" applyFill="1" applyBorder="1" applyAlignment="1">
      <alignment horizontal="center" vertical="center"/>
    </xf>
    <xf numFmtId="14" fontId="52" fillId="17" borderId="4" xfId="0" applyNumberFormat="1" applyFont="1" applyFill="1" applyBorder="1" applyAlignment="1">
      <alignment horizontal="center" vertical="center"/>
    </xf>
    <xf numFmtId="14" fontId="52" fillId="32" borderId="4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52" fillId="47" borderId="7" xfId="0" applyNumberFormat="1" applyFont="1" applyFill="1" applyBorder="1" applyAlignment="1">
      <alignment horizontal="center" vertical="center"/>
    </xf>
    <xf numFmtId="14" fontId="52" fillId="20" borderId="7" xfId="0" applyNumberFormat="1" applyFont="1" applyFill="1" applyBorder="1" applyAlignment="1">
      <alignment horizontal="center" vertical="center"/>
    </xf>
    <xf numFmtId="0" fontId="70" fillId="2" borderId="0" xfId="0" applyFont="1" applyFill="1" applyAlignment="1">
      <alignment horizontal="center" vertical="center"/>
    </xf>
    <xf numFmtId="14" fontId="40" fillId="2" borderId="10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14" fontId="52" fillId="41" borderId="10" xfId="0" applyNumberFormat="1" applyFont="1" applyFill="1" applyBorder="1" applyAlignment="1">
      <alignment horizontal="center" vertical="center"/>
    </xf>
    <xf numFmtId="0" fontId="38" fillId="0" borderId="11" xfId="0" applyFont="1" applyBorder="1" applyAlignment="1">
      <alignment horizontal="center"/>
    </xf>
    <xf numFmtId="14" fontId="56" fillId="2" borderId="7" xfId="0" applyNumberFormat="1" applyFont="1" applyFill="1" applyBorder="1" applyAlignment="1">
      <alignment horizontal="center" vertical="center"/>
    </xf>
    <xf numFmtId="14" fontId="56" fillId="2" borderId="4" xfId="0" applyNumberFormat="1" applyFont="1" applyFill="1" applyBorder="1" applyAlignment="1">
      <alignment horizontal="center" vertical="center"/>
    </xf>
    <xf numFmtId="14" fontId="52" fillId="15" borderId="0" xfId="0" applyNumberFormat="1" applyFont="1" applyFill="1" applyAlignment="1">
      <alignment horizontal="center" vertical="center"/>
    </xf>
    <xf numFmtId="14" fontId="52" fillId="14" borderId="0" xfId="0" applyNumberFormat="1" applyFont="1" applyFill="1" applyAlignment="1">
      <alignment horizontal="center" vertical="center"/>
    </xf>
    <xf numFmtId="14" fontId="52" fillId="16" borderId="0" xfId="0" applyNumberFormat="1" applyFont="1" applyFill="1" applyAlignment="1">
      <alignment horizontal="center" vertical="center"/>
    </xf>
    <xf numFmtId="14" fontId="52" fillId="17" borderId="0" xfId="0" applyNumberFormat="1" applyFont="1" applyFill="1" applyAlignment="1">
      <alignment horizontal="center" vertical="center"/>
    </xf>
    <xf numFmtId="14" fontId="52" fillId="12" borderId="0" xfId="0" applyNumberFormat="1" applyFont="1" applyFill="1" applyAlignment="1">
      <alignment horizontal="center" vertical="center"/>
    </xf>
    <xf numFmtId="14" fontId="52" fillId="23" borderId="0" xfId="0" applyNumberFormat="1" applyFont="1" applyFill="1" applyAlignment="1">
      <alignment horizontal="center" vertical="center"/>
    </xf>
    <xf numFmtId="14" fontId="52" fillId="4" borderId="3" xfId="0" applyNumberFormat="1" applyFont="1" applyFill="1" applyBorder="1" applyAlignment="1">
      <alignment horizontal="center" vertical="center"/>
    </xf>
    <xf numFmtId="14" fontId="56" fillId="2" borderId="10" xfId="0" applyNumberFormat="1" applyFont="1" applyFill="1" applyBorder="1" applyAlignment="1">
      <alignment horizontal="center" vertical="center"/>
    </xf>
    <xf numFmtId="14" fontId="53" fillId="26" borderId="4" xfId="0" applyNumberFormat="1" applyFont="1" applyFill="1" applyBorder="1" applyAlignment="1">
      <alignment horizontal="center" vertical="center"/>
    </xf>
    <xf numFmtId="14" fontId="53" fillId="47" borderId="10" xfId="0" applyNumberFormat="1" applyFont="1" applyFill="1" applyBorder="1" applyAlignment="1">
      <alignment horizontal="center" vertical="center"/>
    </xf>
    <xf numFmtId="0" fontId="52" fillId="3" borderId="8" xfId="0" applyFont="1" applyFill="1" applyBorder="1" applyAlignment="1">
      <alignment vertical="center"/>
    </xf>
    <xf numFmtId="14" fontId="52" fillId="19" borderId="0" xfId="0" applyNumberFormat="1" applyFont="1" applyFill="1" applyAlignment="1">
      <alignment horizontal="center" vertical="center"/>
    </xf>
    <xf numFmtId="0" fontId="59" fillId="2" borderId="11" xfId="0" applyFont="1" applyFill="1" applyBorder="1" applyAlignment="1">
      <alignment horizontal="center" vertical="center"/>
    </xf>
    <xf numFmtId="0" fontId="52" fillId="3" borderId="55" xfId="0" applyFont="1" applyFill="1" applyBorder="1" applyAlignment="1">
      <alignment horizontal="center" vertical="center"/>
    </xf>
    <xf numFmtId="14" fontId="53" fillId="24" borderId="9" xfId="0" applyNumberFormat="1" applyFont="1" applyFill="1" applyBorder="1" applyAlignment="1">
      <alignment horizontal="center" vertical="center"/>
    </xf>
    <xf numFmtId="0" fontId="55" fillId="3" borderId="11" xfId="0" applyFont="1" applyFill="1" applyBorder="1" applyAlignment="1">
      <alignment horizontal="center"/>
    </xf>
    <xf numFmtId="0" fontId="56" fillId="3" borderId="55" xfId="0" applyFont="1" applyFill="1" applyBorder="1" applyAlignment="1">
      <alignment horizontal="center"/>
    </xf>
    <xf numFmtId="14" fontId="52" fillId="48" borderId="3" xfId="0" applyNumberFormat="1" applyFont="1" applyFill="1" applyBorder="1" applyAlignment="1">
      <alignment horizontal="center" vertical="center"/>
    </xf>
    <xf numFmtId="14" fontId="53" fillId="2" borderId="3" xfId="0" applyNumberFormat="1" applyFont="1" applyFill="1" applyBorder="1" applyAlignment="1">
      <alignment horizontal="center" vertical="center"/>
    </xf>
    <xf numFmtId="14" fontId="52" fillId="28" borderId="7" xfId="0" applyNumberFormat="1" applyFont="1" applyFill="1" applyBorder="1" applyAlignment="1">
      <alignment horizontal="center" vertical="center"/>
    </xf>
    <xf numFmtId="14" fontId="52" fillId="32" borderId="7" xfId="0" applyNumberFormat="1" applyFont="1" applyFill="1" applyBorder="1" applyAlignment="1">
      <alignment horizontal="center" vertical="center"/>
    </xf>
    <xf numFmtId="0" fontId="52" fillId="3" borderId="13" xfId="0" applyFont="1" applyFill="1" applyBorder="1" applyAlignment="1">
      <alignment horizontal="left" vertical="center"/>
    </xf>
    <xf numFmtId="14" fontId="52" fillId="32" borderId="0" xfId="0" applyNumberFormat="1" applyFont="1" applyFill="1" applyAlignment="1">
      <alignment horizontal="center" vertical="center"/>
    </xf>
    <xf numFmtId="14" fontId="52" fillId="31" borderId="4" xfId="0" applyNumberFormat="1" applyFont="1" applyFill="1" applyBorder="1" applyAlignment="1">
      <alignment horizontal="center" vertical="center"/>
    </xf>
    <xf numFmtId="0" fontId="38" fillId="2" borderId="14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14" fontId="52" fillId="17" borderId="7" xfId="0" applyNumberFormat="1" applyFont="1" applyFill="1" applyBorder="1" applyAlignment="1">
      <alignment horizontal="center" vertical="center"/>
    </xf>
    <xf numFmtId="14" fontId="53" fillId="30" borderId="10" xfId="0" applyNumberFormat="1" applyFont="1" applyFill="1" applyBorder="1" applyAlignment="1">
      <alignment horizontal="center" vertical="center"/>
    </xf>
    <xf numFmtId="0" fontId="61" fillId="2" borderId="1" xfId="0" applyFont="1" applyFill="1" applyBorder="1" applyAlignment="1">
      <alignment horizontal="center" vertical="center"/>
    </xf>
    <xf numFmtId="14" fontId="52" fillId="14" borderId="4" xfId="0" applyNumberFormat="1" applyFont="1" applyFill="1" applyBorder="1" applyAlignment="1">
      <alignment horizontal="center" vertical="center"/>
    </xf>
    <xf numFmtId="14" fontId="52" fillId="15" borderId="7" xfId="0" applyNumberFormat="1" applyFont="1" applyFill="1" applyBorder="1" applyAlignment="1">
      <alignment horizontal="center" vertical="center"/>
    </xf>
    <xf numFmtId="14" fontId="53" fillId="30" borderId="4" xfId="0" applyNumberFormat="1" applyFont="1" applyFill="1" applyBorder="1" applyAlignment="1">
      <alignment horizontal="center" vertical="center"/>
    </xf>
    <xf numFmtId="14" fontId="52" fillId="24" borderId="0" xfId="0" applyNumberFormat="1" applyFont="1" applyFill="1" applyAlignment="1">
      <alignment horizontal="center" vertical="center"/>
    </xf>
    <xf numFmtId="14" fontId="52" fillId="20" borderId="0" xfId="0" applyNumberFormat="1" applyFont="1" applyFill="1" applyAlignment="1">
      <alignment horizontal="center" vertical="center"/>
    </xf>
    <xf numFmtId="14" fontId="53" fillId="26" borderId="0" xfId="0" applyNumberFormat="1" applyFont="1" applyFill="1" applyAlignment="1">
      <alignment horizontal="center" vertical="center"/>
    </xf>
    <xf numFmtId="14" fontId="52" fillId="31" borderId="7" xfId="0" applyNumberFormat="1" applyFont="1" applyFill="1" applyBorder="1" applyAlignment="1">
      <alignment horizontal="center" vertical="center"/>
    </xf>
    <xf numFmtId="0" fontId="22" fillId="2" borderId="14" xfId="0" applyFont="1" applyFill="1" applyBorder="1" applyAlignment="1">
      <alignment horizontal="center" vertical="center"/>
    </xf>
    <xf numFmtId="0" fontId="55" fillId="3" borderId="12" xfId="0" applyFont="1" applyFill="1" applyBorder="1" applyAlignment="1">
      <alignment horizontal="center"/>
    </xf>
    <xf numFmtId="14" fontId="52" fillId="22" borderId="0" xfId="0" applyNumberFormat="1" applyFont="1" applyFill="1" applyAlignment="1">
      <alignment horizontal="center" vertical="center"/>
    </xf>
    <xf numFmtId="14" fontId="53" fillId="2" borderId="4" xfId="0" applyNumberFormat="1" applyFont="1" applyFill="1" applyBorder="1" applyAlignment="1">
      <alignment horizontal="center" vertical="center"/>
    </xf>
    <xf numFmtId="14" fontId="52" fillId="14" borderId="3" xfId="0" applyNumberFormat="1" applyFont="1" applyFill="1" applyBorder="1" applyAlignment="1">
      <alignment horizontal="center" vertical="center"/>
    </xf>
    <xf numFmtId="14" fontId="52" fillId="51" borderId="10" xfId="0" applyNumberFormat="1" applyFont="1" applyFill="1" applyBorder="1" applyAlignment="1">
      <alignment horizontal="center" vertical="center"/>
    </xf>
    <xf numFmtId="14" fontId="53" fillId="29" borderId="9" xfId="0" applyNumberFormat="1" applyFont="1" applyFill="1" applyBorder="1" applyAlignment="1">
      <alignment horizontal="center" vertical="center"/>
    </xf>
    <xf numFmtId="0" fontId="61" fillId="2" borderId="11" xfId="0" applyFont="1" applyFill="1" applyBorder="1" applyAlignment="1">
      <alignment horizontal="center" vertical="center"/>
    </xf>
    <xf numFmtId="14" fontId="53" fillId="48" borderId="7" xfId="0" applyNumberFormat="1" applyFont="1" applyFill="1" applyBorder="1" applyAlignment="1">
      <alignment horizontal="center" vertical="center"/>
    </xf>
    <xf numFmtId="0" fontId="69" fillId="0" borderId="0" xfId="0" applyFont="1"/>
    <xf numFmtId="14" fontId="53" fillId="47" borderId="0" xfId="0" applyNumberFormat="1" applyFont="1" applyFill="1" applyAlignment="1">
      <alignment horizontal="center" vertical="center"/>
    </xf>
    <xf numFmtId="0" fontId="67" fillId="2" borderId="1" xfId="0" applyFont="1" applyFill="1" applyBorder="1" applyAlignment="1">
      <alignment horizontal="left" vertical="center"/>
    </xf>
    <xf numFmtId="0" fontId="67" fillId="2" borderId="0" xfId="0" applyFont="1" applyFill="1" applyAlignment="1">
      <alignment horizontal="center" vertical="center"/>
    </xf>
    <xf numFmtId="14" fontId="56" fillId="49" borderId="4" xfId="0" applyNumberFormat="1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 vertical="center"/>
    </xf>
    <xf numFmtId="14" fontId="71" fillId="2" borderId="4" xfId="0" applyNumberFormat="1" applyFont="1" applyFill="1" applyBorder="1" applyAlignment="1">
      <alignment horizontal="center" vertical="center"/>
    </xf>
    <xf numFmtId="0" fontId="67" fillId="2" borderId="1" xfId="0" applyFont="1" applyFill="1" applyBorder="1" applyAlignment="1">
      <alignment horizontal="center" vertical="center"/>
    </xf>
    <xf numFmtId="0" fontId="79" fillId="3" borderId="53" xfId="2" applyFont="1" applyFill="1" applyBorder="1" applyAlignment="1" applyProtection="1">
      <alignment horizontal="center" vertical="center"/>
    </xf>
    <xf numFmtId="14" fontId="52" fillId="43" borderId="0" xfId="0" applyNumberFormat="1" applyFont="1" applyFill="1" applyAlignment="1">
      <alignment horizontal="center" vertical="center"/>
    </xf>
    <xf numFmtId="14" fontId="52" fillId="45" borderId="0" xfId="0" applyNumberFormat="1" applyFont="1" applyFill="1" applyAlignment="1">
      <alignment horizontal="center" vertical="center"/>
    </xf>
    <xf numFmtId="0" fontId="68" fillId="2" borderId="11" xfId="0" applyFont="1" applyFill="1" applyBorder="1" applyAlignment="1">
      <alignment horizontal="center" vertical="center"/>
    </xf>
    <xf numFmtId="0" fontId="67" fillId="3" borderId="11" xfId="0" applyFont="1" applyFill="1" applyBorder="1" applyAlignment="1">
      <alignment horizontal="center" vertical="center"/>
    </xf>
    <xf numFmtId="14" fontId="52" fillId="59" borderId="4" xfId="0" applyNumberFormat="1" applyFont="1" applyFill="1" applyBorder="1" applyAlignment="1">
      <alignment horizontal="center" vertical="center"/>
    </xf>
    <xf numFmtId="14" fontId="52" fillId="24" borderId="4" xfId="0" applyNumberFormat="1" applyFont="1" applyFill="1" applyBorder="1" applyAlignment="1">
      <alignment horizontal="center" vertical="center"/>
    </xf>
    <xf numFmtId="14" fontId="52" fillId="2" borderId="9" xfId="0" applyNumberFormat="1" applyFont="1" applyFill="1" applyBorder="1" applyAlignment="1">
      <alignment horizontal="center" vertical="center"/>
    </xf>
    <xf numFmtId="14" fontId="52" fillId="20" borderId="36" xfId="0" applyNumberFormat="1" applyFont="1" applyFill="1" applyBorder="1" applyAlignment="1">
      <alignment horizontal="center" vertical="center"/>
    </xf>
    <xf numFmtId="14" fontId="52" fillId="63" borderId="7" xfId="0" applyNumberFormat="1" applyFont="1" applyFill="1" applyBorder="1" applyAlignment="1">
      <alignment horizontal="center" vertical="center"/>
    </xf>
    <xf numFmtId="14" fontId="56" fillId="15" borderId="7" xfId="0" applyNumberFormat="1" applyFont="1" applyFill="1" applyBorder="1" applyAlignment="1">
      <alignment horizontal="center"/>
    </xf>
    <xf numFmtId="14" fontId="52" fillId="31" borderId="10" xfId="0" applyNumberFormat="1" applyFont="1" applyFill="1" applyBorder="1" applyAlignment="1">
      <alignment horizontal="center" vertical="center"/>
    </xf>
    <xf numFmtId="14" fontId="52" fillId="58" borderId="10" xfId="0" applyNumberFormat="1" applyFont="1" applyFill="1" applyBorder="1" applyAlignment="1">
      <alignment horizontal="center" vertical="center"/>
    </xf>
    <xf numFmtId="14" fontId="52" fillId="49" borderId="0" xfId="0" applyNumberFormat="1" applyFont="1" applyFill="1" applyAlignment="1">
      <alignment horizontal="center" vertical="center"/>
    </xf>
    <xf numFmtId="14" fontId="80" fillId="2" borderId="10" xfId="0" applyNumberFormat="1" applyFont="1" applyFill="1" applyBorder="1" applyAlignment="1">
      <alignment horizontal="center" vertical="center"/>
    </xf>
    <xf numFmtId="14" fontId="52" fillId="32" borderId="3" xfId="0" applyNumberFormat="1" applyFont="1" applyFill="1" applyBorder="1" applyAlignment="1">
      <alignment horizontal="center" vertical="center"/>
    </xf>
    <xf numFmtId="14" fontId="52" fillId="60" borderId="7" xfId="0" applyNumberFormat="1" applyFont="1" applyFill="1" applyBorder="1" applyAlignment="1">
      <alignment horizontal="center" vertical="center"/>
    </xf>
    <xf numFmtId="14" fontId="52" fillId="47" borderId="0" xfId="0" applyNumberFormat="1" applyFont="1" applyFill="1" applyAlignment="1">
      <alignment horizontal="center" vertical="center"/>
    </xf>
    <xf numFmtId="14" fontId="52" fillId="2" borderId="2" xfId="0" applyNumberFormat="1" applyFont="1" applyFill="1" applyBorder="1" applyAlignment="1">
      <alignment horizontal="center" vertical="center"/>
    </xf>
    <xf numFmtId="14" fontId="52" fillId="62" borderId="7" xfId="0" applyNumberFormat="1" applyFont="1" applyFill="1" applyBorder="1" applyAlignment="1">
      <alignment horizontal="center" vertical="center"/>
    </xf>
    <xf numFmtId="14" fontId="52" fillId="16" borderId="7" xfId="0" applyNumberFormat="1" applyFont="1" applyFill="1" applyBorder="1" applyAlignment="1">
      <alignment horizontal="center" vertical="center"/>
    </xf>
    <xf numFmtId="14" fontId="80" fillId="64" borderId="10" xfId="0" applyNumberFormat="1" applyFont="1" applyFill="1" applyBorder="1" applyAlignment="1">
      <alignment horizontal="center" vertical="center"/>
    </xf>
    <xf numFmtId="14" fontId="53" fillId="50" borderId="4" xfId="0" applyNumberFormat="1" applyFont="1" applyFill="1" applyBorder="1" applyAlignment="1">
      <alignment horizontal="center" vertical="center"/>
    </xf>
    <xf numFmtId="14" fontId="52" fillId="46" borderId="0" xfId="0" applyNumberFormat="1" applyFont="1" applyFill="1" applyAlignment="1">
      <alignment horizontal="center" vertical="center"/>
    </xf>
    <xf numFmtId="14" fontId="80" fillId="2" borderId="7" xfId="0" applyNumberFormat="1" applyFont="1" applyFill="1" applyBorder="1" applyAlignment="1">
      <alignment horizontal="center" vertical="center"/>
    </xf>
    <xf numFmtId="14" fontId="82" fillId="2" borderId="7" xfId="0" applyNumberFormat="1" applyFont="1" applyFill="1" applyBorder="1" applyAlignment="1">
      <alignment horizontal="center" vertical="center"/>
    </xf>
    <xf numFmtId="14" fontId="52" fillId="8" borderId="0" xfId="0" applyNumberFormat="1" applyFont="1" applyFill="1" applyAlignment="1">
      <alignment horizontal="center" vertical="center"/>
    </xf>
    <xf numFmtId="0" fontId="60" fillId="2" borderId="1" xfId="0" applyFont="1" applyFill="1" applyBorder="1" applyAlignment="1">
      <alignment horizontal="center" vertical="center"/>
    </xf>
    <xf numFmtId="14" fontId="53" fillId="49" borderId="0" xfId="0" applyNumberFormat="1" applyFont="1" applyFill="1" applyAlignment="1">
      <alignment horizontal="center" vertical="center"/>
    </xf>
    <xf numFmtId="14" fontId="52" fillId="61" borderId="4" xfId="0" applyNumberFormat="1" applyFont="1" applyFill="1" applyBorder="1" applyAlignment="1">
      <alignment horizontal="center" vertical="center"/>
    </xf>
    <xf numFmtId="14" fontId="53" fillId="60" borderId="10" xfId="0" applyNumberFormat="1" applyFont="1" applyFill="1" applyBorder="1" applyAlignment="1">
      <alignment horizontal="center" vertical="center"/>
    </xf>
    <xf numFmtId="14" fontId="82" fillId="2" borderId="10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56" fillId="15" borderId="0" xfId="0" applyNumberFormat="1" applyFont="1" applyFill="1" applyAlignment="1">
      <alignment horizontal="center" vertical="center"/>
    </xf>
    <xf numFmtId="14" fontId="24" fillId="2" borderId="7" xfId="0" applyNumberFormat="1" applyFont="1" applyFill="1" applyBorder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50" fillId="0" borderId="0" xfId="0" applyFont="1"/>
    <xf numFmtId="14" fontId="24" fillId="40" borderId="4" xfId="0" applyNumberFormat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45" fillId="3" borderId="53" xfId="2" applyFont="1" applyFill="1" applyBorder="1" applyAlignment="1" applyProtection="1">
      <alignment horizontal="center" vertical="center"/>
    </xf>
    <xf numFmtId="0" fontId="32" fillId="2" borderId="0" xfId="0" applyFont="1" applyFill="1" applyAlignment="1">
      <alignment horizontal="center" vertical="center" wrapText="1"/>
    </xf>
    <xf numFmtId="0" fontId="24" fillId="3" borderId="73" xfId="0" applyFont="1" applyFill="1" applyBorder="1" applyAlignment="1">
      <alignment horizontal="left" vertical="center"/>
    </xf>
    <xf numFmtId="0" fontId="0" fillId="0" borderId="17" xfId="0" applyBorder="1"/>
    <xf numFmtId="0" fontId="0" fillId="0" borderId="19" xfId="0" applyBorder="1"/>
    <xf numFmtId="14" fontId="44" fillId="2" borderId="55" xfId="0" applyNumberFormat="1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4" fillId="2" borderId="36" xfId="0" applyFont="1" applyFill="1" applyBorder="1" applyAlignment="1">
      <alignment horizontal="center" vertical="center"/>
    </xf>
    <xf numFmtId="14" fontId="24" fillId="37" borderId="7" xfId="0" applyNumberFormat="1" applyFont="1" applyFill="1" applyBorder="1" applyAlignment="1">
      <alignment horizontal="center" vertical="center"/>
    </xf>
    <xf numFmtId="14" fontId="13" fillId="2" borderId="7" xfId="0" applyNumberFormat="1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4" fontId="75" fillId="2" borderId="0" xfId="0" applyNumberFormat="1" applyFont="1" applyFill="1" applyAlignment="1">
      <alignment horizontal="center" vertical="center"/>
    </xf>
    <xf numFmtId="14" fontId="50" fillId="0" borderId="0" xfId="0" applyNumberFormat="1" applyFont="1" applyAlignment="1">
      <alignment horizontal="center" vertical="center"/>
    </xf>
    <xf numFmtId="0" fontId="75" fillId="3" borderId="36" xfId="0" applyFont="1" applyFill="1" applyBorder="1" applyAlignment="1">
      <alignment horizontal="center" vertical="center"/>
    </xf>
    <xf numFmtId="14" fontId="18" fillId="0" borderId="0" xfId="0" applyNumberFormat="1" applyFont="1" applyAlignment="1">
      <alignment horizontal="center"/>
    </xf>
    <xf numFmtId="0" fontId="77" fillId="3" borderId="11" xfId="0" applyFont="1" applyFill="1" applyBorder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0" fontId="78" fillId="3" borderId="1" xfId="2" applyFont="1" applyFill="1" applyBorder="1" applyAlignment="1" applyProtection="1">
      <alignment horizontal="center" vertical="center"/>
    </xf>
    <xf numFmtId="0" fontId="78" fillId="8" borderId="1" xfId="2" applyFont="1" applyFill="1" applyBorder="1" applyAlignment="1" applyProtection="1">
      <alignment horizontal="center" vertical="center"/>
    </xf>
    <xf numFmtId="0" fontId="78" fillId="35" borderId="1" xfId="2" applyFont="1" applyFill="1" applyBorder="1" applyAlignment="1" applyProtection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0" fontId="75" fillId="2" borderId="1" xfId="0" applyFont="1" applyFill="1" applyBorder="1" applyAlignment="1">
      <alignment horizontal="center" vertical="center"/>
    </xf>
    <xf numFmtId="0" fontId="78" fillId="36" borderId="1" xfId="2" applyFont="1" applyFill="1" applyBorder="1" applyAlignment="1" applyProtection="1">
      <alignment horizontal="center" vertical="center"/>
    </xf>
    <xf numFmtId="0" fontId="75" fillId="7" borderId="1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8" fillId="27" borderId="1" xfId="2" applyFont="1" applyFill="1" applyBorder="1" applyAlignment="1" applyProtection="1">
      <alignment horizontal="center" vertical="center"/>
    </xf>
    <xf numFmtId="0" fontId="78" fillId="34" borderId="1" xfId="2" applyFont="1" applyFill="1" applyBorder="1" applyAlignment="1" applyProtection="1">
      <alignment horizontal="center" vertical="center"/>
    </xf>
    <xf numFmtId="0" fontId="78" fillId="38" borderId="1" xfId="2" applyFont="1" applyFill="1" applyBorder="1" applyAlignment="1" applyProtection="1">
      <alignment horizontal="center" vertical="center"/>
    </xf>
    <xf numFmtId="0" fontId="75" fillId="3" borderId="12" xfId="0" applyFont="1" applyFill="1" applyBorder="1" applyAlignment="1">
      <alignment horizontal="center" vertical="center"/>
    </xf>
    <xf numFmtId="0" fontId="75" fillId="2" borderId="11" xfId="0" applyFont="1" applyFill="1" applyBorder="1" applyAlignment="1">
      <alignment horizontal="center" vertical="center"/>
    </xf>
    <xf numFmtId="0" fontId="78" fillId="3" borderId="22" xfId="2" applyFont="1" applyFill="1" applyBorder="1" applyAlignment="1" applyProtection="1">
      <alignment horizontal="center" vertical="center"/>
    </xf>
    <xf numFmtId="0" fontId="0" fillId="0" borderId="25" xfId="0" applyBorder="1"/>
    <xf numFmtId="0" fontId="75" fillId="8" borderId="11" xfId="0" applyFont="1" applyFill="1" applyBorder="1" applyAlignment="1">
      <alignment horizontal="center" vertical="center"/>
    </xf>
    <xf numFmtId="0" fontId="76" fillId="2" borderId="2" xfId="0" applyFont="1" applyFill="1" applyBorder="1" applyAlignment="1">
      <alignment horizontal="center" vertical="center"/>
    </xf>
    <xf numFmtId="0" fontId="78" fillId="33" borderId="1" xfId="2" applyFont="1" applyFill="1" applyBorder="1" applyAlignment="1" applyProtection="1">
      <alignment horizontal="center" vertical="center"/>
    </xf>
    <xf numFmtId="0" fontId="78" fillId="29" borderId="1" xfId="2" applyFont="1" applyFill="1" applyBorder="1" applyAlignment="1" applyProtection="1">
      <alignment horizontal="center" vertical="center"/>
    </xf>
    <xf numFmtId="0" fontId="78" fillId="37" borderId="1" xfId="2" applyFont="1" applyFill="1" applyBorder="1" applyAlignment="1" applyProtection="1">
      <alignment horizontal="center" vertical="center"/>
    </xf>
    <xf numFmtId="0" fontId="78" fillId="5" borderId="1" xfId="2" applyFont="1" applyFill="1" applyBorder="1" applyAlignment="1" applyProtection="1">
      <alignment horizontal="center" vertical="center"/>
    </xf>
    <xf numFmtId="14" fontId="75" fillId="2" borderId="11" xfId="0" applyNumberFormat="1" applyFont="1" applyFill="1" applyBorder="1" applyAlignment="1">
      <alignment horizontal="center" vertical="center"/>
    </xf>
    <xf numFmtId="0" fontId="78" fillId="39" borderId="1" xfId="2" applyFont="1" applyFill="1" applyBorder="1" applyAlignment="1" applyProtection="1">
      <alignment horizontal="center" vertical="center"/>
    </xf>
    <xf numFmtId="0" fontId="84" fillId="66" borderId="28" xfId="0" applyFont="1" applyFill="1" applyBorder="1" applyAlignment="1">
      <alignment horizontal="center" vertical="center"/>
    </xf>
  </cellXfs>
  <cellStyles count="12">
    <cellStyle name="Hipervínculo" xfId="2" builtinId="8"/>
    <cellStyle name="Millares 2 4 2" xfId="8" xr:uid="{00000000-0005-0000-0000-000008000000}"/>
    <cellStyle name="Millares 6 2" xfId="10" xr:uid="{00000000-0005-0000-0000-00000A000000}"/>
    <cellStyle name="Neutral 2" xfId="9" xr:uid="{00000000-0005-0000-0000-000009000000}"/>
    <cellStyle name="Normal" xfId="0" builtinId="0"/>
    <cellStyle name="Normal 16" xfId="3" xr:uid="{00000000-0005-0000-0000-000003000000}"/>
    <cellStyle name="Normal 2" xfId="6" xr:uid="{00000000-0005-0000-0000-000006000000}"/>
    <cellStyle name="Normal 24" xfId="4" xr:uid="{00000000-0005-0000-0000-000004000000}"/>
    <cellStyle name="Normal 24 3" xfId="7" xr:uid="{00000000-0005-0000-0000-000007000000}"/>
    <cellStyle name="Normal 3 2" xfId="1" xr:uid="{00000000-0005-0000-0000-000001000000}"/>
    <cellStyle name="Normal_INFORME MENSUAL RUKA PEHUEN (SEPTIEMBRE) 2" xfId="5" xr:uid="{00000000-0005-0000-0000-000005000000}"/>
    <cellStyle name="Porcentaje 2" xfId="11" xr:uid="{00000000-0005-0000-0000-00000B000000}"/>
  </cellStyles>
  <dxfs count="1473">
    <dxf>
      <fill>
        <patternFill>
          <bgColor rgb="FF00B05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7030A0"/>
        </patternFill>
      </fill>
    </dxf>
    <dxf>
      <fill>
        <patternFill>
          <bgColor rgb="FFC00000"/>
        </patternFill>
      </fill>
    </dxf>
    <dxf>
      <fill>
        <patternFill>
          <bgColor theme="7" tint="-0.499984740745262"/>
        </patternFill>
      </fill>
    </dxf>
    <dxf>
      <fill>
        <patternFill>
          <bgColor rgb="FF532F3E"/>
        </patternFill>
      </fill>
    </dxf>
    <dxf>
      <fill>
        <patternFill>
          <bgColor theme="9" tint="0.59996337778862885"/>
        </patternFill>
      </fill>
    </dxf>
    <dxf>
      <fill>
        <patternFill>
          <bgColor rgb="FF6600FF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003300"/>
        </patternFill>
      </fill>
    </dxf>
    <dxf>
      <fill>
        <patternFill>
          <bgColor theme="5"/>
        </patternFill>
      </fill>
    </dxf>
    <dxf>
      <fill>
        <patternFill>
          <bgColor rgb="FF00FF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FFFFCC"/>
        </patternFill>
      </fill>
    </dxf>
    <dxf>
      <fill>
        <patternFill>
          <bgColor rgb="FF532F3E"/>
        </patternFill>
      </fill>
    </dxf>
    <dxf>
      <fill>
        <patternFill>
          <bgColor rgb="FF532F3E"/>
        </patternFill>
      </fill>
    </dxf>
    <dxf>
      <fill>
        <patternFill>
          <bgColor rgb="FF532F3E"/>
        </patternFill>
      </fill>
    </dxf>
    <dxf>
      <fill>
        <patternFill>
          <bgColor rgb="FF532F3E"/>
        </patternFill>
      </fill>
    </dxf>
    <dxf>
      <fill>
        <patternFill>
          <bgColor rgb="FF00330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theme="9" tint="0.59996337778862885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rgb="FFCCCC00"/>
        </patternFill>
      </fill>
    </dxf>
    <dxf>
      <fill>
        <patternFill>
          <bgColor rgb="FFFF9999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003300"/>
        </patternFill>
      </fill>
    </dxf>
    <dxf>
      <fill>
        <patternFill>
          <bgColor theme="7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rgb="FF6600FF"/>
        </patternFill>
      </fill>
    </dxf>
    <dxf>
      <fill>
        <patternFill>
          <bgColor rgb="FF00FFFF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rgb="FF996600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theme="1" tint="0.24994659260841701"/>
        </patternFill>
      </fill>
    </dxf>
    <dxf>
      <fill>
        <patternFill>
          <bgColor rgb="FFFF00FF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2" tint="-0.499984740745262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00FF99"/>
        </patternFill>
      </fill>
    </dxf>
    <dxf>
      <fill>
        <patternFill>
          <bgColor theme="7" tint="0.59996337778862885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FF66CC"/>
        </patternFill>
      </fill>
    </dxf>
    <dxf>
      <fill>
        <patternFill>
          <bgColor rgb="FFFFFFCC"/>
        </patternFill>
      </fill>
    </dxf>
    <dxf>
      <fill>
        <patternFill>
          <bgColor rgb="FF000066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rgb="FFFFFFCC"/>
        </patternFill>
      </fill>
    </dxf>
    <dxf>
      <fill>
        <patternFill>
          <bgColor rgb="FF00FF99"/>
        </patternFill>
      </fill>
    </dxf>
    <dxf>
      <fill>
        <patternFill>
          <bgColor rgb="FF66FF66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808000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0.59996337778862885"/>
        </patternFill>
      </fill>
    </dxf>
    <dxf>
      <font>
        <condense val="0"/>
        <extend val="0"/>
        <color indexed="9"/>
      </font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ont>
        <b/>
        <condense val="0"/>
        <extend val="0"/>
        <color auto="1"/>
      </font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003300"/>
        </patternFill>
      </fill>
    </dxf>
    <dxf>
      <fill>
        <patternFill>
          <bgColor rgb="FF532F3E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FFFFCC"/>
        </patternFill>
      </fill>
    </dxf>
    <dxf>
      <fill>
        <patternFill>
          <bgColor rgb="FF532F3E"/>
        </patternFill>
      </fill>
    </dxf>
    <dxf>
      <fill>
        <patternFill>
          <bgColor rgb="FF532F3E"/>
        </patternFill>
      </fill>
    </dxf>
    <dxf>
      <fill>
        <patternFill>
          <bgColor rgb="FF532F3E"/>
        </patternFill>
      </fill>
    </dxf>
    <dxf>
      <fill>
        <patternFill>
          <bgColor rgb="FF532F3E"/>
        </patternFill>
      </fill>
    </dxf>
    <dxf>
      <fill>
        <patternFill>
          <bgColor rgb="FF00330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theme="9" tint="0.59996337778862885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rgb="FFCCCC00"/>
        </patternFill>
      </fill>
    </dxf>
    <dxf>
      <fill>
        <patternFill>
          <bgColor rgb="FFFF9999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003300"/>
        </patternFill>
      </fill>
    </dxf>
    <dxf>
      <fill>
        <patternFill>
          <bgColor theme="7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rgb="FF6600FF"/>
        </patternFill>
      </fill>
    </dxf>
    <dxf>
      <fill>
        <patternFill>
          <bgColor rgb="FF00FFFF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rgb="FF996600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theme="1" tint="0.24994659260841701"/>
        </patternFill>
      </fill>
    </dxf>
    <dxf>
      <fill>
        <patternFill>
          <bgColor rgb="FFFF00FF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00FFFF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2" tint="-0.499984740745262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00FF99"/>
        </patternFill>
      </fill>
    </dxf>
    <dxf>
      <fill>
        <patternFill>
          <bgColor theme="7" tint="0.59996337778862885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FF66CC"/>
        </patternFill>
      </fill>
    </dxf>
    <dxf>
      <fill>
        <patternFill>
          <bgColor rgb="FFFFFFCC"/>
        </patternFill>
      </fill>
    </dxf>
    <dxf>
      <fill>
        <patternFill>
          <bgColor rgb="FF000066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rgb="FFFFFFCC"/>
        </patternFill>
      </fill>
    </dxf>
    <dxf>
      <fill>
        <patternFill>
          <bgColor rgb="FF00FF99"/>
        </patternFill>
      </fill>
    </dxf>
    <dxf>
      <fill>
        <patternFill>
          <bgColor rgb="FF66FF66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808000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0.59996337778862885"/>
        </patternFill>
      </fill>
    </dxf>
    <dxf>
      <font>
        <condense val="0"/>
        <extend val="0"/>
        <color indexed="9"/>
      </font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ont>
        <b/>
        <condense val="0"/>
        <extend val="0"/>
        <color auto="1"/>
      </font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rgb="FF8497B0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rgb="FF8497B0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rgb="FF8497B0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66FFFF"/>
        </patternFill>
      </fill>
    </dxf>
    <dxf>
      <fill>
        <patternFill>
          <bgColor rgb="FFCCCCFF"/>
        </patternFill>
      </fill>
    </dxf>
    <dxf>
      <fill>
        <patternFill>
          <bgColor theme="3" tint="0.39994506668294322"/>
        </patternFill>
      </fill>
    </dxf>
    <dxf>
      <fill>
        <patternFill>
          <bgColor rgb="FFCCCCFF"/>
        </patternFill>
      </fill>
    </dxf>
    <dxf>
      <fill>
        <patternFill>
          <bgColor rgb="FF66FFFF"/>
        </patternFill>
      </fill>
    </dxf>
    <dxf>
      <fill>
        <patternFill>
          <bgColor rgb="FF8497B0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66FFFF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bgColor rgb="FF66FF66"/>
        </patternFill>
      </fill>
    </dxf>
    <dxf>
      <font>
        <condense val="0"/>
        <extend val="0"/>
        <color indexed="9"/>
      </font>
    </dxf>
    <dxf>
      <fill>
        <patternFill>
          <bgColor rgb="FFFF66CC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2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66FF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rgb="FF99FF33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FF99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003300"/>
        </patternFill>
      </fill>
    </dxf>
    <dxf>
      <fill>
        <patternFill>
          <bgColor rgb="FFFFFFCC"/>
        </patternFill>
      </fill>
    </dxf>
    <dxf>
      <fill>
        <patternFill>
          <bgColor rgb="FF99FF33"/>
        </patternFill>
      </fill>
    </dxf>
    <dxf>
      <fill>
        <patternFill>
          <bgColor rgb="FF003300"/>
        </patternFill>
      </fill>
    </dxf>
    <dxf>
      <font>
        <b/>
        <condense val="0"/>
        <extend val="0"/>
        <color auto="1"/>
      </font>
    </dxf>
    <dxf>
      <fill>
        <patternFill>
          <bgColor theme="5" tint="0.59996337778862885"/>
        </patternFill>
      </fill>
    </dxf>
    <dxf>
      <fill>
        <patternFill>
          <bgColor rgb="FFFF99FF"/>
        </patternFill>
      </fill>
    </dxf>
    <dxf>
      <fill>
        <patternFill>
          <bgColor rgb="FF808000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ill>
        <patternFill>
          <bgColor theme="2" tint="-0.499984740745262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ont>
        <condense val="0"/>
        <extend val="0"/>
        <color indexed="9"/>
      </font>
    </dxf>
    <dxf>
      <fill>
        <patternFill>
          <bgColor rgb="FF00B050"/>
        </patternFill>
      </fill>
    </dxf>
    <dxf>
      <fill>
        <patternFill>
          <bgColor rgb="FFCCFF33"/>
        </patternFill>
      </fill>
    </dxf>
    <dxf>
      <fill>
        <patternFill>
          <bgColor rgb="FFFF00FF"/>
        </patternFill>
      </fill>
    </dxf>
    <dxf>
      <fill>
        <patternFill>
          <bgColor rgb="FF00FF99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33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FF99"/>
        </patternFill>
      </fill>
    </dxf>
    <dxf>
      <fill>
        <patternFill>
          <bgColor rgb="FFFF99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rgb="FFCCFFFF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rgb="FF99FF33"/>
        </patternFill>
      </fill>
    </dxf>
    <dxf>
      <fill>
        <patternFill>
          <bgColor rgb="FF808000"/>
        </patternFill>
      </fill>
    </dxf>
    <dxf>
      <fill>
        <patternFill>
          <bgColor theme="2" tint="-0.499984740745262"/>
        </patternFill>
      </fill>
    </dxf>
    <dxf>
      <fill>
        <patternFill>
          <bgColor rgb="FF003300"/>
        </patternFill>
      </fill>
    </dxf>
    <dxf>
      <fill>
        <patternFill>
          <bgColor theme="5" tint="0.59996337778862885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ont>
        <b/>
        <condense val="0"/>
        <extend val="0"/>
        <color auto="1"/>
      </font>
    </dxf>
    <dxf>
      <fill>
        <patternFill>
          <bgColor rgb="FF7030A0"/>
        </patternFill>
      </fill>
    </dxf>
    <dxf>
      <font>
        <condense val="0"/>
        <extend val="0"/>
        <color indexed="9"/>
      </font>
    </dxf>
    <dxf>
      <fill>
        <patternFill>
          <bgColor rgb="FF00B050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C00000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66FFFF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bgColor rgb="FFCCCC00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006666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rgb="FF00FFFF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-0.499984740745262"/>
        </patternFill>
      </fill>
    </dxf>
    <dxf>
      <fill>
        <patternFill>
          <bgColor rgb="FF003300"/>
        </patternFill>
      </fill>
    </dxf>
    <dxf>
      <fill>
        <patternFill>
          <bgColor rgb="FF660033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66FFFF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FF99FF"/>
        </patternFill>
      </fill>
    </dxf>
    <dxf>
      <fill>
        <patternFill>
          <bgColor rgb="FF9966FF"/>
        </patternFill>
      </fill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00FFFF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rgb="FF66FFFF"/>
        </patternFill>
      </fill>
    </dxf>
    <dxf>
      <fill>
        <patternFill>
          <bgColor rgb="FFFF00FF"/>
        </patternFill>
      </fill>
    </dxf>
    <dxf>
      <fill>
        <patternFill>
          <bgColor theme="2" tint="-0.499984740745262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rgb="FFFF99FF"/>
        </patternFill>
      </fill>
    </dxf>
    <dxf>
      <fill>
        <patternFill>
          <bgColor theme="1" tint="0.24994659260841701"/>
        </patternFill>
      </fill>
    </dxf>
    <dxf>
      <fill>
        <patternFill>
          <bgColor theme="7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006666"/>
        </patternFill>
      </fill>
    </dxf>
    <dxf>
      <fill>
        <patternFill>
          <bgColor rgb="FF00FFFF"/>
        </patternFill>
      </fill>
    </dxf>
    <dxf>
      <fill>
        <patternFill>
          <bgColor rgb="FF9966FF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003300"/>
        </patternFill>
      </fill>
    </dxf>
    <dxf>
      <font>
        <b/>
        <condense val="0"/>
        <extend val="0"/>
        <color auto="1"/>
      </font>
    </dxf>
    <dxf>
      <fill>
        <patternFill>
          <bgColor rgb="FF660033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66CC"/>
        </patternFill>
      </fill>
    </dxf>
    <dxf>
      <font>
        <condense val="0"/>
        <extend val="0"/>
        <color indexed="9"/>
      </font>
    </dxf>
    <dxf>
      <fill>
        <patternFill>
          <bgColor theme="5"/>
        </patternFill>
      </fill>
    </dxf>
    <dxf>
      <fill>
        <patternFill>
          <bgColor rgb="FFCCFF33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rgb="FF66FFFF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996600"/>
        </patternFill>
      </fill>
    </dxf>
    <dxf>
      <fill>
        <patternFill>
          <bgColor rgb="FF006666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FFFF"/>
        </patternFill>
      </fill>
    </dxf>
    <dxf>
      <fill>
        <patternFill>
          <bgColor rgb="FF9966FF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003300"/>
        </patternFill>
      </fill>
    </dxf>
    <dxf>
      <fill>
        <patternFill>
          <bgColor rgb="FF660033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000066"/>
        </patternFill>
      </fill>
    </dxf>
    <dxf>
      <fill>
        <patternFill>
          <bgColor rgb="FF336699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660033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rgb="FFCCFF33"/>
        </patternFill>
      </fill>
    </dxf>
    <dxf>
      <fill>
        <patternFill>
          <bgColor rgb="FF666633"/>
        </patternFill>
      </fill>
    </dxf>
    <dxf>
      <fill>
        <patternFill>
          <bgColor theme="4" tint="-0.499984740745262"/>
        </patternFill>
      </fill>
    </dxf>
    <dxf>
      <fill>
        <patternFill>
          <bgColor theme="1" tint="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FF99FF"/>
        </patternFill>
      </fill>
    </dxf>
    <dxf>
      <fill>
        <patternFill>
          <bgColor rgb="FFFF00FF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006600"/>
        </patternFill>
      </fill>
    </dxf>
    <dxf>
      <fill>
        <patternFill>
          <bgColor rgb="FFFF9999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00FF99"/>
        </patternFill>
      </fill>
    </dxf>
    <dxf>
      <fill>
        <patternFill>
          <bgColor theme="1" tint="0.24994659260841701"/>
        </patternFill>
      </fill>
    </dxf>
    <dxf>
      <fill>
        <patternFill>
          <bgColor rgb="FF003300"/>
        </patternFill>
      </fill>
    </dxf>
    <dxf>
      <fill>
        <patternFill>
          <bgColor rgb="FF660033"/>
        </patternFill>
      </fill>
    </dxf>
    <dxf>
      <fill>
        <patternFill>
          <bgColor rgb="FF66FF66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000066"/>
        </patternFill>
      </fill>
    </dxf>
    <dxf>
      <fill>
        <patternFill>
          <bgColor rgb="FF66FFFF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rgb="FFCCFF33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499984740745262"/>
        </patternFill>
      </fill>
    </dxf>
    <dxf>
      <fill>
        <patternFill>
          <bgColor rgb="FF808000"/>
        </patternFill>
      </fill>
    </dxf>
    <dxf>
      <fill>
        <patternFill>
          <bgColor rgb="FF006600"/>
        </patternFill>
      </fill>
    </dxf>
    <dxf>
      <fill>
        <patternFill>
          <bgColor rgb="FF666633"/>
        </patternFill>
      </fill>
    </dxf>
    <dxf>
      <fill>
        <patternFill>
          <bgColor theme="4" tint="-0.499984740745262"/>
        </patternFill>
      </fill>
    </dxf>
    <dxf>
      <fill>
        <patternFill>
          <bgColor theme="3" tint="0.39994506668294322"/>
        </patternFill>
      </fill>
    </dxf>
    <dxf>
      <fill>
        <patternFill>
          <bgColor rgb="FFFF9999"/>
        </patternFill>
      </fill>
    </dxf>
    <dxf>
      <fill>
        <patternFill>
          <bgColor rgb="FF996600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006600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theme="4" tint="-0.499984740745262"/>
        </patternFill>
      </fill>
    </dxf>
    <dxf>
      <fill>
        <patternFill>
          <bgColor rgb="FF666633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499984740745262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bgColor rgb="FF660033"/>
        </patternFill>
      </fill>
    </dxf>
    <dxf>
      <fill>
        <patternFill>
          <bgColor rgb="FF66FF66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336699"/>
        </patternFill>
      </fill>
    </dxf>
    <dxf>
      <fill>
        <patternFill>
          <bgColor rgb="FFFF00FF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660033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rgb="FF666633"/>
        </patternFill>
      </fill>
    </dxf>
    <dxf>
      <fill>
        <patternFill>
          <bgColor theme="4" tint="-0.499984740745262"/>
        </patternFill>
      </fill>
    </dxf>
    <dxf>
      <fill>
        <patternFill>
          <bgColor rgb="FFFF9999"/>
        </patternFill>
      </fill>
    </dxf>
    <dxf>
      <fill>
        <patternFill>
          <bgColor rgb="FF006600"/>
        </patternFill>
      </fill>
    </dxf>
    <dxf>
      <fill>
        <patternFill>
          <bgColor rgb="FFFF99FF"/>
        </patternFill>
      </fill>
    </dxf>
    <dxf>
      <fill>
        <patternFill>
          <bgColor rgb="FF996600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660033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006600"/>
        </patternFill>
      </fill>
    </dxf>
    <dxf>
      <fill>
        <patternFill>
          <bgColor rgb="FF003300"/>
        </patternFill>
      </fill>
    </dxf>
    <dxf>
      <fill>
        <patternFill>
          <bgColor rgb="FF66FF66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rgb="FF666633"/>
        </patternFill>
      </fill>
    </dxf>
    <dxf>
      <fill>
        <patternFill>
          <bgColor rgb="FF808000"/>
        </patternFill>
      </fill>
    </dxf>
    <dxf>
      <fill>
        <patternFill>
          <bgColor rgb="FF00FF99"/>
        </patternFill>
      </fill>
    </dxf>
    <dxf>
      <fill>
        <patternFill>
          <bgColor theme="4" tint="-0.499984740745262"/>
        </patternFill>
      </fill>
    </dxf>
    <dxf>
      <fill>
        <patternFill>
          <bgColor rgb="FF000066"/>
        </patternFill>
      </fill>
    </dxf>
    <dxf>
      <fill>
        <patternFill>
          <bgColor rgb="FF996600"/>
        </patternFill>
      </fill>
    </dxf>
    <dxf>
      <fill>
        <patternFill>
          <bgColor rgb="FF336699"/>
        </patternFill>
      </fill>
    </dxf>
    <dxf>
      <fill>
        <patternFill>
          <bgColor rgb="FFFF00FF"/>
        </patternFill>
      </fill>
    </dxf>
    <dxf>
      <fill>
        <patternFill>
          <bgColor rgb="FFFFFFCC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66FF66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rgb="FF6600FF"/>
        </patternFill>
      </fill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996600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00FF99"/>
        </patternFill>
      </fill>
    </dxf>
    <dxf>
      <fill>
        <patternFill>
          <bgColor rgb="FFFF00FF"/>
        </patternFill>
      </fill>
    </dxf>
    <dxf>
      <fill>
        <patternFill>
          <bgColor rgb="FFCCCC00"/>
        </patternFill>
      </fill>
    </dxf>
    <dxf>
      <fill>
        <patternFill>
          <bgColor rgb="FFFFFFCC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66FFFF"/>
        </patternFill>
      </fill>
    </dxf>
    <dxf>
      <fill>
        <patternFill>
          <bgColor theme="4" tint="-0.499984740745262"/>
        </patternFill>
      </fill>
    </dxf>
    <dxf>
      <fill>
        <patternFill>
          <bgColor rgb="FF6600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996600"/>
        </patternFill>
      </fill>
    </dxf>
    <dxf>
      <fill>
        <patternFill>
          <bgColor rgb="FF00FF99"/>
        </patternFill>
      </fill>
    </dxf>
    <dxf>
      <fill>
        <patternFill>
          <bgColor rgb="FFFF00FF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rgb="FF6600FF"/>
        </patternFill>
      </fill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24994659260841701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003300"/>
        </patternFill>
      </fill>
    </dxf>
    <dxf>
      <fill>
        <patternFill>
          <bgColor rgb="FFFF99FF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rgb="FFCCFF33"/>
        </patternFill>
      </fill>
    </dxf>
    <dxf>
      <fill>
        <patternFill>
          <bgColor rgb="FF66FF66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66FFFF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FFFFCC"/>
        </patternFill>
      </fill>
    </dxf>
    <dxf>
      <fill>
        <patternFill>
          <bgColor theme="4" tint="-0.499984740745262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66FFFF"/>
        </patternFill>
      </fill>
    </dxf>
    <dxf>
      <fill>
        <patternFill>
          <bgColor rgb="FF996600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996600"/>
        </patternFill>
      </fill>
    </dxf>
    <dxf>
      <fill>
        <patternFill>
          <bgColor theme="2" tint="-0.499984740745262"/>
        </patternFill>
      </fill>
    </dxf>
    <dxf>
      <fill>
        <patternFill>
          <bgColor rgb="FFC00000"/>
        </patternFill>
      </fill>
    </dxf>
    <dxf>
      <fill>
        <patternFill>
          <bgColor rgb="FFCCFFFF"/>
        </patternFill>
      </fill>
    </dxf>
    <dxf>
      <fill>
        <patternFill>
          <bgColor rgb="FFFF99FF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FF00FF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FF66CC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CCCC00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66FFFF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CCFF33"/>
        </patternFill>
      </fill>
    </dxf>
    <dxf>
      <fill>
        <patternFill>
          <bgColor rgb="FFCCFF33"/>
        </patternFill>
      </fill>
    </dxf>
    <dxf>
      <fill>
        <patternFill>
          <bgColor theme="1" tint="0.24994659260841701"/>
        </patternFill>
      </fill>
    </dxf>
    <dxf>
      <fill>
        <patternFill>
          <bgColor theme="1" tint="0.24994659260841701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5"/>
        </patternFill>
      </fill>
    </dxf>
    <dxf>
      <fill>
        <patternFill>
          <bgColor rgb="FF996600"/>
        </patternFill>
      </fill>
    </dxf>
    <dxf>
      <fill>
        <patternFill>
          <bgColor theme="5"/>
        </patternFill>
      </fill>
    </dxf>
    <dxf>
      <fill>
        <patternFill>
          <bgColor rgb="FF996600"/>
        </patternFill>
      </fill>
    </dxf>
    <dxf>
      <fill>
        <patternFill>
          <bgColor rgb="FF006666"/>
        </patternFill>
      </fill>
    </dxf>
    <dxf>
      <fill>
        <patternFill>
          <bgColor rgb="FFCCCC00"/>
        </patternFill>
      </fill>
    </dxf>
    <dxf>
      <fill>
        <patternFill>
          <bgColor rgb="FF66FFFF"/>
        </patternFill>
      </fill>
    </dxf>
    <dxf>
      <fill>
        <patternFill>
          <bgColor theme="4" tint="-0.499984740745262"/>
        </patternFill>
      </fill>
    </dxf>
    <dxf>
      <fill>
        <patternFill>
          <bgColor rgb="FF9966FF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33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2" tint="-0.499984740745262"/>
        </patternFill>
      </fill>
    </dxf>
    <dxf>
      <fill>
        <patternFill>
          <bgColor rgb="FFFF00FF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FF66CC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7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336699"/>
        </patternFill>
      </fill>
    </dxf>
    <dxf>
      <fill>
        <patternFill>
          <bgColor rgb="FFCCCC00"/>
        </patternFill>
      </fill>
    </dxf>
    <dxf>
      <fill>
        <patternFill>
          <bgColor rgb="FF66FFFF"/>
        </patternFill>
      </fill>
    </dxf>
    <dxf>
      <fill>
        <patternFill>
          <bgColor theme="4" tint="-0.499984740745262"/>
        </patternFill>
      </fill>
    </dxf>
    <dxf>
      <fill>
        <patternFill>
          <bgColor rgb="FF9966FF"/>
        </patternFill>
      </fill>
    </dxf>
    <dxf>
      <fill>
        <patternFill>
          <bgColor rgb="FF80800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fgColor rgb="FF532F3E"/>
          <bgColor rgb="FF532F3E"/>
        </patternFill>
      </fill>
    </dxf>
    <dxf>
      <fill>
        <patternFill>
          <bgColor rgb="FF66FF33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00FF99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9" tint="0.79998168889431442"/>
        </patternFill>
      </fill>
    </dxf>
    <dxf>
      <fill>
        <patternFill>
          <bgColor rgb="FF000066"/>
        </patternFill>
      </fill>
    </dxf>
    <dxf>
      <fill>
        <patternFill>
          <bgColor rgb="FF66FFFF"/>
        </patternFill>
      </fill>
    </dxf>
    <dxf>
      <fill>
        <patternFill>
          <bgColor theme="5" tint="0.59996337778862885"/>
        </patternFill>
      </fill>
    </dxf>
    <dxf>
      <fill>
        <patternFill>
          <bgColor theme="2" tint="-0.499984740745262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FF66CC"/>
        </patternFill>
      </fill>
    </dxf>
    <dxf>
      <fill>
        <patternFill>
          <bgColor rgb="FF00B0F0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0000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rgb="FF00FFFF"/>
        </patternFill>
      </fill>
    </dxf>
    <dxf>
      <fill>
        <patternFill>
          <bgColor rgb="FF006666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rgb="FF9966FF"/>
        </patternFill>
      </fill>
    </dxf>
    <dxf>
      <fill>
        <patternFill>
          <bgColor rgb="FFCCFF33"/>
        </patternFill>
      </fill>
    </dxf>
    <dxf>
      <fill>
        <patternFill>
          <bgColor theme="5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003300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theme="5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808000"/>
        </patternFill>
      </fill>
    </dxf>
    <dxf>
      <fill>
        <patternFill>
          <bgColor theme="4" tint="-0.499984740745262"/>
        </patternFill>
      </fill>
    </dxf>
    <dxf>
      <fill>
        <patternFill>
          <bgColor rgb="FF9966FF"/>
        </patternFill>
      </fill>
    </dxf>
    <dxf>
      <fill>
        <patternFill>
          <bgColor rgb="FF00FFFF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24994659260841701"/>
        </patternFill>
      </fill>
    </dxf>
    <dxf>
      <fill>
        <patternFill>
          <bgColor rgb="FFFF9999"/>
        </patternFill>
      </fill>
    </dxf>
    <dxf>
      <fill>
        <patternFill>
          <bgColor rgb="FFCCFFFF"/>
        </patternFill>
      </fill>
    </dxf>
    <dxf>
      <fill>
        <patternFill>
          <bgColor rgb="FFCCFF33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theme="2" tint="-0.499984740745262"/>
        </patternFill>
      </fill>
    </dxf>
    <dxf>
      <fill>
        <patternFill>
          <bgColor rgb="FF336699"/>
        </patternFill>
      </fill>
    </dxf>
    <dxf>
      <fill>
        <patternFill>
          <bgColor rgb="FFFF00FF"/>
        </patternFill>
      </fill>
    </dxf>
    <dxf>
      <fill>
        <patternFill>
          <bgColor rgb="FF66FF66"/>
        </patternFill>
      </fill>
    </dxf>
    <dxf>
      <fill>
        <patternFill>
          <bgColor rgb="FF003300"/>
        </patternFill>
      </fill>
    </dxf>
    <dxf>
      <fill>
        <patternFill>
          <bgColor rgb="FFFFFFCC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996600"/>
        </patternFill>
      </fill>
    </dxf>
    <dxf>
      <fill>
        <patternFill>
          <bgColor theme="4" tint="-0.499984740745262"/>
        </patternFill>
      </fill>
    </dxf>
    <dxf>
      <fill>
        <patternFill>
          <bgColor rgb="FF808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003300"/>
        </patternFill>
      </fill>
    </dxf>
    <dxf>
      <fill>
        <patternFill>
          <bgColor rgb="FF66FF66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000066"/>
        </patternFill>
      </fill>
    </dxf>
    <dxf>
      <fill>
        <patternFill>
          <bgColor rgb="FF00FF99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theme="2" tint="-0.499984740745262"/>
        </patternFill>
      </fill>
    </dxf>
    <dxf>
      <fill>
        <patternFill>
          <bgColor rgb="FFFF66CC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00FFFF"/>
        </patternFill>
      </fill>
    </dxf>
    <dxf>
      <fill>
        <patternFill>
          <bgColor rgb="FF9966FF"/>
        </patternFill>
      </fill>
    </dxf>
    <dxf>
      <fill>
        <patternFill>
          <bgColor rgb="FFFF9999"/>
        </patternFill>
      </fill>
    </dxf>
    <dxf>
      <fill>
        <patternFill>
          <bgColor rgb="FFCCFFFF"/>
        </patternFill>
      </fill>
    </dxf>
    <dxf>
      <fill>
        <patternFill>
          <bgColor rgb="FF996600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336699"/>
        </patternFill>
      </fill>
    </dxf>
    <dxf>
      <fill>
        <patternFill>
          <bgColor rgb="FFFF00FF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00330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808000"/>
        </patternFill>
      </fill>
    </dxf>
    <dxf>
      <fill>
        <patternFill>
          <bgColor theme="4" tint="-0.499984740745262"/>
        </patternFill>
      </fill>
    </dxf>
    <dxf>
      <fill>
        <patternFill>
          <bgColor rgb="FF9966FF"/>
        </patternFill>
      </fill>
    </dxf>
    <dxf>
      <fill>
        <patternFill>
          <bgColor rgb="FF00FFFF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theme="1" tint="0.24994659260841701"/>
        </patternFill>
      </fill>
    </dxf>
    <dxf>
      <fill>
        <patternFill>
          <bgColor theme="1" tint="0.24994659260841701"/>
        </patternFill>
      </fill>
    </dxf>
    <dxf>
      <fill>
        <patternFill>
          <bgColor rgb="FFFF00FF"/>
        </patternFill>
      </fill>
    </dxf>
    <dxf>
      <fill>
        <patternFill>
          <bgColor rgb="FFFF9999"/>
        </patternFill>
      </fill>
    </dxf>
    <dxf>
      <fill>
        <patternFill>
          <bgColor rgb="FFCCFFFF"/>
        </patternFill>
      </fill>
    </dxf>
    <dxf>
      <fill>
        <patternFill>
          <bgColor rgb="FF996600"/>
        </patternFill>
      </fill>
    </dxf>
    <dxf>
      <fill>
        <patternFill>
          <bgColor rgb="FF00FF99"/>
        </patternFill>
      </fill>
    </dxf>
    <dxf>
      <fill>
        <patternFill>
          <bgColor rgb="FF000066"/>
        </patternFill>
      </fill>
    </dxf>
    <dxf>
      <fill>
        <patternFill>
          <bgColor rgb="FF336699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theme="5" tint="0.59996337778862885"/>
        </patternFill>
      </fill>
    </dxf>
    <dxf>
      <fill>
        <patternFill>
          <bgColor rgb="FF003300"/>
        </patternFill>
      </fill>
    </dxf>
    <dxf>
      <fill>
        <patternFill>
          <bgColor theme="5" tint="-0.24994659260841701"/>
        </patternFill>
      </fill>
    </dxf>
    <dxf>
      <fill>
        <patternFill>
          <bgColor rgb="FF808000"/>
        </patternFill>
      </fill>
    </dxf>
    <dxf>
      <fill>
        <patternFill>
          <bgColor rgb="FF9966FF"/>
        </patternFill>
      </fill>
    </dxf>
    <dxf>
      <fill>
        <patternFill>
          <bgColor rgb="FF00FFFF"/>
        </patternFill>
      </fill>
    </dxf>
    <dxf>
      <fill>
        <patternFill>
          <bgColor rgb="FF006666"/>
        </patternFill>
      </fill>
    </dxf>
    <dxf>
      <fill>
        <patternFill>
          <bgColor theme="7" tint="-0.499984740745262"/>
        </patternFill>
      </fill>
    </dxf>
    <dxf>
      <fill>
        <patternFill>
          <bgColor rgb="FFFF66CC"/>
        </patternFill>
      </fill>
    </dxf>
    <dxf>
      <fill>
        <patternFill>
          <bgColor theme="2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9" tint="0.79998168889431442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rgb="FF9966FF"/>
        </patternFill>
      </fill>
    </dxf>
    <dxf>
      <fill>
        <patternFill>
          <bgColor theme="7" tint="-0.499984740745262"/>
        </patternFill>
      </fill>
    </dxf>
    <dxf>
      <fill>
        <patternFill>
          <bgColor rgb="FF006666"/>
        </patternFill>
      </fill>
    </dxf>
    <dxf>
      <fill>
        <patternFill>
          <bgColor rgb="FF00FFFF"/>
        </patternFill>
      </fill>
    </dxf>
    <dxf>
      <fill>
        <patternFill>
          <bgColor rgb="FF9966FF"/>
        </patternFill>
      </fill>
    </dxf>
    <dxf>
      <fill>
        <patternFill>
          <bgColor theme="4" tint="-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499984740745262"/>
        </patternFill>
      </fill>
    </dxf>
    <dxf>
      <fill>
        <patternFill>
          <bgColor theme="3" tint="0.39994506668294322"/>
        </patternFill>
      </fill>
    </dxf>
    <dxf>
      <fill>
        <patternFill patternType="solid">
          <fgColor rgb="FF532F3E"/>
          <bgColor rgb="FF532F3E"/>
        </patternFill>
      </fill>
    </dxf>
    <dxf>
      <fill>
        <patternFill>
          <bgColor rgb="FF66FF66"/>
        </patternFill>
      </fill>
    </dxf>
    <dxf>
      <fill>
        <patternFill>
          <bgColor rgb="FF003300"/>
        </patternFill>
      </fill>
    </dxf>
    <dxf>
      <fill>
        <patternFill>
          <bgColor rgb="FF9966FF"/>
        </patternFill>
      </fill>
    </dxf>
    <dxf>
      <fill>
        <patternFill>
          <bgColor rgb="FFFF00FF"/>
        </patternFill>
      </fill>
    </dxf>
    <dxf>
      <fill>
        <patternFill>
          <bgColor rgb="FFA50021"/>
        </patternFill>
      </fill>
    </dxf>
    <dxf>
      <fill>
        <patternFill>
          <bgColor rgb="FF000066"/>
        </patternFill>
      </fill>
    </dxf>
    <dxf>
      <fill>
        <patternFill>
          <bgColor rgb="FF00FFCC"/>
        </patternFill>
      </fill>
    </dxf>
    <dxf>
      <fill>
        <patternFill>
          <bgColor rgb="FF996600"/>
        </patternFill>
      </fill>
    </dxf>
    <dxf>
      <fill>
        <patternFill>
          <bgColor rgb="FFFF99FF"/>
        </patternFill>
      </fill>
    </dxf>
    <dxf>
      <fill>
        <patternFill>
          <bgColor rgb="FFCCFFFF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fgColor rgb="FF532F3E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6666FF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499984740745262"/>
        </patternFill>
      </fill>
    </dxf>
    <dxf>
      <fill>
        <patternFill>
          <bgColor theme="5" tint="-0.24994659260841701"/>
        </patternFill>
      </fill>
    </dxf>
    <dxf>
      <fill>
        <patternFill>
          <bgColor rgb="FF808000"/>
        </patternFill>
      </fill>
    </dxf>
    <dxf>
      <fill>
        <patternFill>
          <bgColor rgb="FF9966FF"/>
        </patternFill>
      </fill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FFFF00"/>
        </patternFill>
      </fill>
    </dxf>
    <dxf>
      <fill>
        <patternFill>
          <bgColor rgb="FF006666"/>
        </patternFill>
      </fill>
    </dxf>
    <dxf>
      <fill>
        <patternFill>
          <bgColor theme="2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rgb="FFFF9999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00FFCC"/>
        </patternFill>
      </fill>
    </dxf>
    <dxf>
      <fill>
        <patternFill>
          <bgColor rgb="FF336699"/>
        </patternFill>
      </fill>
    </dxf>
    <dxf>
      <fill>
        <patternFill>
          <bgColor rgb="FFFF00FF"/>
        </patternFill>
      </fill>
    </dxf>
    <dxf>
      <fill>
        <patternFill>
          <bgColor theme="1" tint="0.24994659260841701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ill>
        <patternFill>
          <bgColor rgb="FF00B050"/>
        </patternFill>
      </fill>
    </dxf>
    <dxf>
      <fill>
        <patternFill>
          <bgColor theme="2" tint="-0.499984740745262"/>
        </patternFill>
      </fill>
    </dxf>
    <dxf>
      <fill>
        <patternFill>
          <bgColor rgb="FF006666"/>
        </patternFill>
      </fill>
    </dxf>
    <dxf>
      <fill>
        <patternFill>
          <bgColor rgb="FFFFFF00"/>
        </patternFill>
      </fill>
    </dxf>
    <dxf>
      <fill>
        <patternFill>
          <bgColor rgb="FF66FFFF"/>
        </patternFill>
      </fill>
    </dxf>
    <dxf>
      <fill>
        <patternFill>
          <bgColor theme="4" tint="-0.499984740745262"/>
        </patternFill>
      </fill>
    </dxf>
    <dxf>
      <fill>
        <patternFill>
          <bgColor rgb="FF9966FF"/>
        </patternFill>
      </fill>
    </dxf>
    <dxf>
      <fill>
        <patternFill>
          <bgColor rgb="FF80800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3" tint="0.39994506668294322"/>
        </patternFill>
      </fill>
    </dxf>
    <dxf>
      <fill>
        <patternFill>
          <bgColor rgb="FF003300"/>
        </patternFill>
      </fill>
    </dxf>
    <dxf>
      <fill>
        <patternFill>
          <bgColor rgb="FF66FF66"/>
        </patternFill>
      </fill>
    </dxf>
    <dxf>
      <fill>
        <patternFill>
          <bgColor rgb="FFFFFFCC"/>
        </patternFill>
      </fill>
    </dxf>
    <dxf>
      <fill>
        <patternFill>
          <bgColor rgb="FF6666FF"/>
        </patternFill>
      </fill>
    </dxf>
    <dxf>
      <fill>
        <patternFill>
          <bgColor rgb="FFFF00FF"/>
        </patternFill>
      </fill>
    </dxf>
    <dxf>
      <fill>
        <patternFill>
          <bgColor rgb="FF336699"/>
        </patternFill>
      </fill>
    </dxf>
    <dxf>
      <fill>
        <patternFill>
          <bgColor rgb="FF00FFCC"/>
        </patternFill>
      </fill>
    </dxf>
    <dxf>
      <fill>
        <patternFill>
          <bgColor rgb="FFCCFFFF"/>
        </patternFill>
      </fill>
    </dxf>
    <dxf>
      <fill>
        <patternFill>
          <bgColor rgb="FF996600"/>
        </patternFill>
      </fill>
    </dxf>
    <dxf>
      <fill>
        <patternFill>
          <bgColor rgb="FFFF9999"/>
        </patternFill>
      </fill>
    </dxf>
    <dxf>
      <fill>
        <patternFill>
          <bgColor theme="1" tint="0.24994659260841701"/>
        </patternFill>
      </fill>
    </dxf>
    <dxf>
      <fill>
        <patternFill>
          <bgColor rgb="FF66FFFF"/>
        </patternFill>
      </fill>
    </dxf>
    <dxf>
      <fill>
        <patternFill>
          <bgColor rgb="FFCCFF33"/>
        </patternFill>
      </fill>
    </dxf>
    <dxf>
      <font>
        <condense val="0"/>
        <extend val="0"/>
        <color indexed="9"/>
      </font>
    </dxf>
    <dxf>
      <font>
        <b/>
        <condense val="0"/>
        <extend val="0"/>
        <color auto="1"/>
      </font>
    </dxf>
    <dxf>
      <fill>
        <patternFill>
          <bgColor theme="5"/>
        </patternFill>
      </fill>
    </dxf>
    <dxf>
      <fill>
        <patternFill>
          <bgColor rgb="FF7030A0"/>
        </patternFill>
      </fill>
    </dxf>
    <dxf>
      <fill>
        <patternFill>
          <bgColor rgb="FFFF9999"/>
        </patternFill>
      </fill>
    </dxf>
    <dxf>
      <fill>
        <patternFill>
          <bgColor rgb="FF996600"/>
        </patternFill>
      </fill>
    </dxf>
    <dxf>
      <fill>
        <patternFill>
          <bgColor rgb="FFCCFFFF"/>
        </patternFill>
      </fill>
    </dxf>
    <dxf>
      <fill>
        <patternFill>
          <bgColor rgb="FF00FFCC"/>
        </patternFill>
      </fill>
    </dxf>
    <dxf>
      <fill>
        <patternFill>
          <bgColor rgb="FF336699"/>
        </patternFill>
      </fill>
    </dxf>
    <dxf>
      <fill>
        <patternFill>
          <bgColor rgb="FFFF00FF"/>
        </patternFill>
      </fill>
    </dxf>
    <dxf>
      <fill>
        <patternFill>
          <bgColor rgb="FF6666FF"/>
        </patternFill>
      </fill>
    </dxf>
    <dxf>
      <fill>
        <patternFill>
          <bgColor rgb="FFFFFFCC"/>
        </patternFill>
      </fill>
    </dxf>
    <dxf>
      <fill>
        <patternFill>
          <bgColor rgb="FF66FF66"/>
        </patternFill>
      </fill>
    </dxf>
    <dxf>
      <fill>
        <patternFill>
          <bgColor rgb="FF003300"/>
        </patternFill>
      </fill>
    </dxf>
    <dxf>
      <fill>
        <patternFill>
          <bgColor theme="3" tint="0.39994506668294322"/>
        </patternFill>
      </fill>
    </dxf>
    <dxf>
      <fill>
        <patternFill>
          <bgColor theme="5" tint="-0.499984740745262"/>
        </patternFill>
      </fill>
    </dxf>
    <dxf>
      <fill>
        <patternFill>
          <bgColor theme="5" tint="-0.24994659260841701"/>
        </patternFill>
      </fill>
    </dxf>
    <dxf>
      <fill>
        <patternFill>
          <bgColor rgb="FF808000"/>
        </patternFill>
      </fill>
    </dxf>
    <dxf>
      <fill>
        <patternFill>
          <bgColor rgb="FF9966FF"/>
        </patternFill>
      </fill>
    </dxf>
    <dxf>
      <fill>
        <patternFill>
          <bgColor theme="4" tint="-0.499984740745262"/>
        </patternFill>
      </fill>
    </dxf>
    <dxf>
      <fill>
        <patternFill>
          <bgColor rgb="FF66FFFF"/>
        </patternFill>
      </fill>
    </dxf>
    <dxf>
      <fill>
        <patternFill>
          <bgColor rgb="FFFFFF00"/>
        </patternFill>
      </fill>
    </dxf>
    <dxf>
      <fill>
        <patternFill>
          <bgColor rgb="FF006666"/>
        </patternFill>
      </fill>
    </dxf>
    <dxf>
      <fill>
        <patternFill>
          <bgColor theme="2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5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9"/>
      </font>
    </dxf>
    <dxf>
      <fill>
        <patternFill>
          <bgColor rgb="FFCCFF33"/>
        </patternFill>
      </fill>
    </dxf>
    <dxf>
      <fill>
        <patternFill>
          <bgColor rgb="FF66FFFF"/>
        </patternFill>
      </fill>
    </dxf>
    <dxf>
      <fill>
        <patternFill>
          <bgColor theme="1" tint="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136526</xdr:colOff>
      <xdr:row>2</xdr:row>
      <xdr:rowOff>63500</xdr:rowOff>
    </xdr:from>
    <xdr:to>
      <xdr:col>1</xdr:col>
      <xdr:colOff>492553</xdr:colOff>
      <xdr:row>3</xdr:row>
      <xdr:rowOff>36196</xdr:rowOff>
    </xdr:to>
    <xdr:pic>
      <xdr:nvPicPr>
        <xdr:cNvPr id="2" name="1 Imagen" descr="C:\Users\JorgeAntonio\AppData\Local\Microsoft\Windows\INetCache\Content.Outlook\ERFA72SR\SERVIU_Region_Araucania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526" y="436880"/>
          <a:ext cx="2205354" cy="437516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136526</xdr:colOff>
      <xdr:row>0</xdr:row>
      <xdr:rowOff>93980</xdr:rowOff>
    </xdr:from>
    <xdr:to>
      <xdr:col>1</xdr:col>
      <xdr:colOff>273776</xdr:colOff>
      <xdr:row>3</xdr:row>
      <xdr:rowOff>5442</xdr:rowOff>
    </xdr:to>
    <xdr:pic>
      <xdr:nvPicPr>
        <xdr:cNvPr id="2" name="1 Imagen" descr="C:\Users\JorgeAntonio\AppData\Local\Microsoft\Windows\INetCache\Content.Outlook\ERFA72SR\SERVIU_Region_Araucania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526" y="93980"/>
          <a:ext cx="2035174" cy="11861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0</xdr:col>
      <xdr:colOff>2199409</xdr:colOff>
      <xdr:row>2</xdr:row>
      <xdr:rowOff>917864</xdr:rowOff>
    </xdr:to>
    <xdr:pic>
      <xdr:nvPicPr>
        <xdr:cNvPr id="2" name="1 Imagen" descr="C:\Users\JorgeAntonio\AppData\Local\Microsoft\Windows\INetCache\Content.Outlook\ERFA72SR\SERVIU_Region_Araucania.jp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"/>
          <a:ext cx="2199409" cy="161059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N189"/>
  <sheetViews>
    <sheetView topLeftCell="A3" zoomScale="40" workbookViewId="0">
      <selection activeCell="H22" sqref="H22"/>
    </sheetView>
  </sheetViews>
  <sheetFormatPr baseColWidth="10" defaultRowHeight="14.4" x14ac:dyDescent="0.3"/>
  <cols>
    <col min="1" max="1" width="27" bestFit="1" customWidth="1"/>
    <col min="2" max="2" width="107.33203125" bestFit="1" customWidth="1"/>
  </cols>
  <sheetData>
    <row r="1" spans="1:56" x14ac:dyDescent="0.3"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" customHeight="1" thickBot="1" x14ac:dyDescent="0.35"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ht="36.6" customHeight="1" x14ac:dyDescent="0.3">
      <c r="A3" s="1003"/>
      <c r="B3" s="996" t="s">
        <v>0</v>
      </c>
      <c r="C3" s="1022" t="s">
        <v>1</v>
      </c>
      <c r="D3" s="984"/>
      <c r="E3" s="984"/>
      <c r="F3" s="984"/>
      <c r="G3" s="984"/>
      <c r="H3" s="984"/>
      <c r="I3" s="984"/>
      <c r="J3" s="984"/>
      <c r="K3" s="984"/>
      <c r="L3" s="984"/>
      <c r="M3" s="984"/>
      <c r="N3" s="984"/>
      <c r="O3" s="984"/>
      <c r="P3" s="984"/>
      <c r="Q3" s="984"/>
      <c r="R3" s="984"/>
      <c r="S3" s="984"/>
      <c r="T3" s="984"/>
      <c r="U3" s="984"/>
      <c r="V3" s="984"/>
      <c r="W3" s="984"/>
      <c r="X3" s="984"/>
      <c r="Y3" s="984"/>
      <c r="Z3" s="984"/>
      <c r="AA3" s="984"/>
      <c r="AB3" s="984"/>
      <c r="AC3" s="984"/>
      <c r="AD3" s="984"/>
      <c r="AE3" s="984"/>
      <c r="AF3" s="984"/>
      <c r="AG3" s="984"/>
      <c r="AH3" s="984"/>
      <c r="AI3" s="984"/>
      <c r="AJ3" s="984"/>
      <c r="AK3" s="984"/>
      <c r="AL3" s="984"/>
      <c r="AM3" s="984"/>
      <c r="AN3" s="984"/>
      <c r="AO3" s="985"/>
      <c r="AP3" s="49"/>
      <c r="AQ3" s="15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56" ht="36.6" customHeight="1" x14ac:dyDescent="0.3">
      <c r="A4" s="997"/>
      <c r="B4" s="997"/>
      <c r="C4" s="986"/>
      <c r="D4" s="978"/>
      <c r="E4" s="978"/>
      <c r="F4" s="978"/>
      <c r="G4" s="978"/>
      <c r="H4" s="978"/>
      <c r="I4" s="978"/>
      <c r="J4" s="978"/>
      <c r="K4" s="978"/>
      <c r="L4" s="978"/>
      <c r="M4" s="978"/>
      <c r="N4" s="978"/>
      <c r="O4" s="978"/>
      <c r="P4" s="978"/>
      <c r="Q4" s="978"/>
      <c r="R4" s="978"/>
      <c r="S4" s="978"/>
      <c r="T4" s="978"/>
      <c r="U4" s="978"/>
      <c r="V4" s="978"/>
      <c r="W4" s="978"/>
      <c r="X4" s="978"/>
      <c r="Y4" s="978"/>
      <c r="Z4" s="978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9"/>
      <c r="AP4" s="49"/>
      <c r="AQ4" s="15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</row>
    <row r="5" spans="1:56" ht="37.200000000000003" customHeight="1" thickBot="1" x14ac:dyDescent="0.35">
      <c r="A5" s="997"/>
      <c r="B5" s="997"/>
      <c r="C5" s="986"/>
      <c r="D5" s="978"/>
      <c r="E5" s="978"/>
      <c r="F5" s="978"/>
      <c r="G5" s="978"/>
      <c r="H5" s="978"/>
      <c r="I5" s="978"/>
      <c r="J5" s="978"/>
      <c r="K5" s="978"/>
      <c r="L5" s="978"/>
      <c r="M5" s="978"/>
      <c r="N5" s="978"/>
      <c r="O5" s="978"/>
      <c r="P5" s="978"/>
      <c r="Q5" s="978"/>
      <c r="R5" s="978"/>
      <c r="S5" s="978"/>
      <c r="T5" s="978"/>
      <c r="U5" s="978"/>
      <c r="V5" s="978"/>
      <c r="W5" s="978"/>
      <c r="X5" s="978"/>
      <c r="Y5" s="978"/>
      <c r="Z5" s="978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9"/>
      <c r="AP5" s="49"/>
      <c r="AQ5" s="15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 ht="21" customHeight="1" x14ac:dyDescent="0.3">
      <c r="A6" s="230" t="s">
        <v>2</v>
      </c>
      <c r="B6" s="19" t="s">
        <v>3</v>
      </c>
      <c r="C6" s="1005" t="s">
        <v>4</v>
      </c>
      <c r="D6" s="978"/>
      <c r="E6" s="978"/>
      <c r="F6" s="979"/>
      <c r="G6" s="1018" t="s">
        <v>5</v>
      </c>
      <c r="H6" s="984"/>
      <c r="I6" s="985"/>
      <c r="J6" s="50" t="s">
        <v>6</v>
      </c>
      <c r="K6" s="988"/>
      <c r="L6" s="984"/>
      <c r="M6" s="985"/>
      <c r="N6" s="50" t="s">
        <v>7</v>
      </c>
      <c r="O6" s="1014"/>
      <c r="P6" s="984"/>
      <c r="Q6" s="984"/>
      <c r="R6" s="50" t="s">
        <v>8</v>
      </c>
      <c r="S6" s="988"/>
      <c r="T6" s="984"/>
      <c r="U6" s="985"/>
      <c r="V6" s="50" t="s">
        <v>9</v>
      </c>
      <c r="W6" s="1014"/>
      <c r="X6" s="984"/>
      <c r="Y6" s="984"/>
      <c r="Z6" s="51" t="s">
        <v>10</v>
      </c>
      <c r="AA6" s="1017"/>
      <c r="AB6" s="984"/>
      <c r="AC6" s="984"/>
      <c r="AD6" s="52" t="s">
        <v>11</v>
      </c>
      <c r="AE6" s="998"/>
      <c r="AF6" s="984"/>
      <c r="AG6" s="985"/>
      <c r="AH6" s="52" t="s">
        <v>12</v>
      </c>
      <c r="AI6" s="998"/>
      <c r="AJ6" s="984"/>
      <c r="AK6" s="985"/>
      <c r="AL6" s="52" t="s">
        <v>13</v>
      </c>
      <c r="AM6" s="998"/>
      <c r="AN6" s="984"/>
      <c r="AO6" s="985"/>
      <c r="AP6" s="53"/>
      <c r="AQ6" s="16"/>
      <c r="AR6" s="18"/>
      <c r="AS6" s="18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 ht="21" customHeight="1" x14ac:dyDescent="0.3">
      <c r="A7" s="231" t="s">
        <v>14</v>
      </c>
      <c r="B7" s="20" t="s">
        <v>15</v>
      </c>
      <c r="C7" s="986"/>
      <c r="D7" s="978"/>
      <c r="E7" s="978"/>
      <c r="F7" s="979"/>
      <c r="G7" s="986"/>
      <c r="H7" s="978"/>
      <c r="I7" s="979"/>
      <c r="J7" s="54" t="s">
        <v>16</v>
      </c>
      <c r="K7" s="977"/>
      <c r="L7" s="978"/>
      <c r="M7" s="979"/>
      <c r="N7" s="54" t="s">
        <v>17</v>
      </c>
      <c r="O7" s="981"/>
      <c r="P7" s="978"/>
      <c r="Q7" s="978"/>
      <c r="R7" s="54" t="s">
        <v>18</v>
      </c>
      <c r="S7" s="977"/>
      <c r="T7" s="978"/>
      <c r="U7" s="979"/>
      <c r="V7" s="54" t="s">
        <v>19</v>
      </c>
      <c r="W7" s="981"/>
      <c r="X7" s="978"/>
      <c r="Y7" s="978"/>
      <c r="Z7" s="55" t="s">
        <v>20</v>
      </c>
      <c r="AA7" s="991"/>
      <c r="AB7" s="978"/>
      <c r="AC7" s="978"/>
      <c r="AD7" s="56" t="s">
        <v>21</v>
      </c>
      <c r="AE7" s="980"/>
      <c r="AF7" s="978"/>
      <c r="AG7" s="979"/>
      <c r="AH7" s="56" t="s">
        <v>22</v>
      </c>
      <c r="AI7" s="980"/>
      <c r="AJ7" s="978"/>
      <c r="AK7" s="979"/>
      <c r="AL7" s="56" t="s">
        <v>23</v>
      </c>
      <c r="AM7" s="980"/>
      <c r="AN7" s="978"/>
      <c r="AO7" s="979"/>
      <c r="AP7" s="57"/>
      <c r="AQ7" s="17"/>
      <c r="AR7" s="18"/>
      <c r="AS7" s="18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</row>
    <row r="8" spans="1:56" ht="21" customHeight="1" x14ac:dyDescent="0.3">
      <c r="A8" s="231" t="s">
        <v>24</v>
      </c>
      <c r="B8" s="20" t="s">
        <v>25</v>
      </c>
      <c r="C8" s="986"/>
      <c r="D8" s="978"/>
      <c r="E8" s="978"/>
      <c r="F8" s="979"/>
      <c r="G8" s="986"/>
      <c r="H8" s="978"/>
      <c r="I8" s="979"/>
      <c r="J8" s="54" t="s">
        <v>26</v>
      </c>
      <c r="K8" s="977"/>
      <c r="L8" s="978"/>
      <c r="M8" s="979"/>
      <c r="N8" s="54" t="s">
        <v>27</v>
      </c>
      <c r="O8" s="981"/>
      <c r="P8" s="978"/>
      <c r="Q8" s="978"/>
      <c r="R8" s="54" t="s">
        <v>28</v>
      </c>
      <c r="S8" s="977"/>
      <c r="T8" s="978"/>
      <c r="U8" s="979"/>
      <c r="V8" s="55" t="s">
        <v>29</v>
      </c>
      <c r="W8" s="981"/>
      <c r="X8" s="978"/>
      <c r="Y8" s="978"/>
      <c r="Z8" s="55" t="s">
        <v>30</v>
      </c>
      <c r="AA8" s="991"/>
      <c r="AB8" s="978"/>
      <c r="AC8" s="978"/>
      <c r="AD8" s="56" t="s">
        <v>31</v>
      </c>
      <c r="AE8" s="980"/>
      <c r="AF8" s="978"/>
      <c r="AG8" s="979"/>
      <c r="AH8" s="56" t="s">
        <v>32</v>
      </c>
      <c r="AI8" s="980"/>
      <c r="AJ8" s="978"/>
      <c r="AK8" s="979"/>
      <c r="AL8" s="56" t="s">
        <v>33</v>
      </c>
      <c r="AM8" s="980"/>
      <c r="AN8" s="978"/>
      <c r="AO8" s="979"/>
      <c r="AP8" s="57"/>
      <c r="AQ8" s="17"/>
      <c r="AR8" s="18"/>
      <c r="AS8" s="18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 ht="21" customHeight="1" x14ac:dyDescent="0.3">
      <c r="A9" s="231" t="s">
        <v>34</v>
      </c>
      <c r="B9" s="20" t="s">
        <v>35</v>
      </c>
      <c r="C9" s="986"/>
      <c r="D9" s="978"/>
      <c r="E9" s="978"/>
      <c r="F9" s="979"/>
      <c r="G9" s="986"/>
      <c r="H9" s="978"/>
      <c r="I9" s="979"/>
      <c r="J9" s="54" t="s">
        <v>36</v>
      </c>
      <c r="K9" s="977"/>
      <c r="L9" s="978"/>
      <c r="M9" s="979"/>
      <c r="N9" s="54" t="s">
        <v>37</v>
      </c>
      <c r="O9" s="981"/>
      <c r="P9" s="978"/>
      <c r="Q9" s="978"/>
      <c r="R9" s="54" t="s">
        <v>38</v>
      </c>
      <c r="S9" s="977"/>
      <c r="T9" s="978"/>
      <c r="U9" s="979"/>
      <c r="V9" s="55" t="s">
        <v>39</v>
      </c>
      <c r="W9" s="981"/>
      <c r="X9" s="978"/>
      <c r="Y9" s="978"/>
      <c r="Z9" s="56" t="s">
        <v>40</v>
      </c>
      <c r="AA9" s="992"/>
      <c r="AB9" s="978"/>
      <c r="AC9" s="978"/>
      <c r="AD9" s="56" t="s">
        <v>41</v>
      </c>
      <c r="AE9" s="980"/>
      <c r="AF9" s="978"/>
      <c r="AG9" s="979"/>
      <c r="AH9" s="56" t="s">
        <v>42</v>
      </c>
      <c r="AI9" s="980"/>
      <c r="AJ9" s="978"/>
      <c r="AK9" s="979"/>
      <c r="AL9" s="56" t="s">
        <v>43</v>
      </c>
      <c r="AM9" s="980"/>
      <c r="AN9" s="978"/>
      <c r="AO9" s="979"/>
      <c r="AP9" s="57"/>
      <c r="AQ9" s="17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 ht="21" customHeight="1" x14ac:dyDescent="0.3">
      <c r="A10" s="231" t="s">
        <v>44</v>
      </c>
      <c r="B10" s="20" t="s">
        <v>45</v>
      </c>
      <c r="C10" s="986"/>
      <c r="D10" s="978"/>
      <c r="E10" s="978"/>
      <c r="F10" s="979"/>
      <c r="G10" s="986"/>
      <c r="H10" s="978"/>
      <c r="I10" s="979"/>
      <c r="J10" s="54" t="s">
        <v>46</v>
      </c>
      <c r="K10" s="977"/>
      <c r="L10" s="978"/>
      <c r="M10" s="979"/>
      <c r="N10" s="54" t="s">
        <v>47</v>
      </c>
      <c r="O10" s="981"/>
      <c r="P10" s="978"/>
      <c r="Q10" s="978"/>
      <c r="R10" s="54" t="s">
        <v>48</v>
      </c>
      <c r="S10" s="977"/>
      <c r="T10" s="978"/>
      <c r="U10" s="979"/>
      <c r="V10" s="55" t="s">
        <v>49</v>
      </c>
      <c r="W10" s="981"/>
      <c r="X10" s="978"/>
      <c r="Y10" s="978"/>
      <c r="Z10" s="56" t="s">
        <v>50</v>
      </c>
      <c r="AA10" s="992"/>
      <c r="AB10" s="978"/>
      <c r="AC10" s="978"/>
      <c r="AD10" s="56" t="s">
        <v>51</v>
      </c>
      <c r="AE10" s="980"/>
      <c r="AF10" s="978"/>
      <c r="AG10" s="979"/>
      <c r="AH10" s="56" t="s">
        <v>52</v>
      </c>
      <c r="AI10" s="980"/>
      <c r="AJ10" s="978"/>
      <c r="AK10" s="979"/>
      <c r="AL10" s="56" t="s">
        <v>53</v>
      </c>
      <c r="AM10" s="980"/>
      <c r="AN10" s="978"/>
      <c r="AO10" s="979"/>
      <c r="AP10" s="57"/>
      <c r="AQ10" s="17"/>
      <c r="AR10" s="18"/>
      <c r="AS10" s="18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</row>
    <row r="11" spans="1:56" ht="21.6" customHeight="1" thickBot="1" x14ac:dyDescent="0.35">
      <c r="A11" s="231" t="s">
        <v>44</v>
      </c>
      <c r="B11" s="20" t="s">
        <v>54</v>
      </c>
      <c r="C11" s="987"/>
      <c r="D11" s="975"/>
      <c r="E11" s="975"/>
      <c r="F11" s="976"/>
      <c r="G11" s="987"/>
      <c r="H11" s="975"/>
      <c r="I11" s="976"/>
      <c r="J11" s="54" t="s">
        <v>55</v>
      </c>
      <c r="K11" s="977"/>
      <c r="L11" s="978"/>
      <c r="M11" s="979"/>
      <c r="N11" s="54" t="s">
        <v>56</v>
      </c>
      <c r="O11" s="981"/>
      <c r="P11" s="978"/>
      <c r="Q11" s="978"/>
      <c r="R11" s="54" t="s">
        <v>57</v>
      </c>
      <c r="S11" s="977"/>
      <c r="T11" s="978"/>
      <c r="U11" s="979"/>
      <c r="V11" s="55" t="s">
        <v>58</v>
      </c>
      <c r="W11" s="981"/>
      <c r="X11" s="978"/>
      <c r="Y11" s="978"/>
      <c r="Z11" s="56" t="s">
        <v>59</v>
      </c>
      <c r="AA11" s="992"/>
      <c r="AB11" s="978"/>
      <c r="AC11" s="978"/>
      <c r="AD11" s="56" t="s">
        <v>60</v>
      </c>
      <c r="AE11" s="980"/>
      <c r="AF11" s="978"/>
      <c r="AG11" s="979"/>
      <c r="AH11" s="56" t="s">
        <v>61</v>
      </c>
      <c r="AI11" s="980"/>
      <c r="AJ11" s="978"/>
      <c r="AK11" s="979"/>
      <c r="AL11" s="56"/>
      <c r="AM11" s="980"/>
      <c r="AN11" s="978"/>
      <c r="AO11" s="979"/>
      <c r="AP11" s="57"/>
      <c r="AQ11" s="17"/>
      <c r="AR11" s="18"/>
      <c r="AS11" s="18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</row>
    <row r="12" spans="1:56" ht="21.6" customHeight="1" thickBot="1" x14ac:dyDescent="0.35">
      <c r="A12" s="231" t="s">
        <v>62</v>
      </c>
      <c r="B12" s="20" t="s">
        <v>63</v>
      </c>
      <c r="C12" s="990" t="s">
        <v>64</v>
      </c>
      <c r="D12" s="984"/>
      <c r="E12" s="984"/>
      <c r="F12" s="985"/>
      <c r="G12" s="983" t="s">
        <v>65</v>
      </c>
      <c r="H12" s="984"/>
      <c r="I12" s="985"/>
      <c r="J12" s="54" t="s">
        <v>66</v>
      </c>
      <c r="K12" s="977"/>
      <c r="L12" s="978"/>
      <c r="M12" s="979"/>
      <c r="N12" s="54" t="s">
        <v>67</v>
      </c>
      <c r="O12" s="981"/>
      <c r="P12" s="978"/>
      <c r="Q12" s="978"/>
      <c r="R12" s="54" t="s">
        <v>68</v>
      </c>
      <c r="S12" s="977"/>
      <c r="T12" s="978"/>
      <c r="U12" s="979"/>
      <c r="V12" s="55" t="s">
        <v>69</v>
      </c>
      <c r="W12" s="981"/>
      <c r="X12" s="978"/>
      <c r="Y12" s="978"/>
      <c r="Z12" s="56" t="s">
        <v>70</v>
      </c>
      <c r="AA12" s="992"/>
      <c r="AB12" s="978"/>
      <c r="AC12" s="978"/>
      <c r="AD12" s="56" t="s">
        <v>71</v>
      </c>
      <c r="AE12" s="980"/>
      <c r="AF12" s="978"/>
      <c r="AG12" s="979"/>
      <c r="AH12" s="56" t="s">
        <v>72</v>
      </c>
      <c r="AI12" s="980"/>
      <c r="AJ12" s="978"/>
      <c r="AK12" s="979"/>
      <c r="AL12" s="56"/>
      <c r="AM12" s="980"/>
      <c r="AN12" s="978"/>
      <c r="AO12" s="979"/>
      <c r="AP12" s="57"/>
      <c r="AQ12" s="17"/>
      <c r="AR12" s="18"/>
      <c r="AS12" s="18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</row>
    <row r="13" spans="1:56" ht="21.6" customHeight="1" thickBot="1" x14ac:dyDescent="0.35">
      <c r="A13" s="231" t="s">
        <v>73</v>
      </c>
      <c r="B13" s="20" t="s">
        <v>74</v>
      </c>
      <c r="C13" s="986"/>
      <c r="D13" s="978"/>
      <c r="E13" s="978"/>
      <c r="F13" s="979"/>
      <c r="G13" s="986"/>
      <c r="H13" s="978"/>
      <c r="I13" s="979"/>
      <c r="J13" s="54" t="s">
        <v>75</v>
      </c>
      <c r="K13" s="977"/>
      <c r="L13" s="978"/>
      <c r="M13" s="979"/>
      <c r="N13" s="54" t="s">
        <v>76</v>
      </c>
      <c r="O13" s="981"/>
      <c r="P13" s="978"/>
      <c r="Q13" s="978"/>
      <c r="R13" s="54" t="s">
        <v>77</v>
      </c>
      <c r="S13" s="977"/>
      <c r="T13" s="978"/>
      <c r="U13" s="979"/>
      <c r="V13" s="55" t="s">
        <v>78</v>
      </c>
      <c r="W13" s="981"/>
      <c r="X13" s="978"/>
      <c r="Y13" s="978"/>
      <c r="Z13" s="56" t="s">
        <v>79</v>
      </c>
      <c r="AA13" s="992"/>
      <c r="AB13" s="978"/>
      <c r="AC13" s="978"/>
      <c r="AD13" s="56" t="s">
        <v>80</v>
      </c>
      <c r="AE13" s="980"/>
      <c r="AF13" s="978"/>
      <c r="AG13" s="979"/>
      <c r="AH13" s="56" t="s">
        <v>81</v>
      </c>
      <c r="AI13" s="980"/>
      <c r="AJ13" s="978"/>
      <c r="AK13" s="979"/>
      <c r="AL13" s="56"/>
      <c r="AM13" s="980"/>
      <c r="AN13" s="978"/>
      <c r="AO13" s="979"/>
      <c r="AP13" s="57"/>
      <c r="AQ13" s="17"/>
      <c r="AR13" s="18"/>
      <c r="AS13" s="18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</row>
    <row r="14" spans="1:56" ht="21.6" customHeight="1" thickBot="1" x14ac:dyDescent="0.35">
      <c r="A14" s="231" t="s">
        <v>82</v>
      </c>
      <c r="B14" s="20"/>
      <c r="C14" s="986"/>
      <c r="D14" s="978"/>
      <c r="E14" s="978"/>
      <c r="F14" s="979"/>
      <c r="G14" s="986"/>
      <c r="H14" s="978"/>
      <c r="I14" s="979"/>
      <c r="J14" s="54" t="s">
        <v>83</v>
      </c>
      <c r="K14" s="977"/>
      <c r="L14" s="978"/>
      <c r="M14" s="979"/>
      <c r="N14" s="54" t="s">
        <v>84</v>
      </c>
      <c r="O14" s="981"/>
      <c r="P14" s="978"/>
      <c r="Q14" s="978"/>
      <c r="R14" s="54" t="s">
        <v>85</v>
      </c>
      <c r="S14" s="977"/>
      <c r="T14" s="978"/>
      <c r="U14" s="979"/>
      <c r="V14" s="55" t="s">
        <v>86</v>
      </c>
      <c r="W14" s="991"/>
      <c r="X14" s="978"/>
      <c r="Y14" s="978"/>
      <c r="Z14" s="56" t="s">
        <v>87</v>
      </c>
      <c r="AA14" s="992"/>
      <c r="AB14" s="978"/>
      <c r="AC14" s="978"/>
      <c r="AD14" s="56" t="s">
        <v>88</v>
      </c>
      <c r="AE14" s="980"/>
      <c r="AF14" s="978"/>
      <c r="AG14" s="979"/>
      <c r="AH14" s="56" t="s">
        <v>89</v>
      </c>
      <c r="AI14" s="980"/>
      <c r="AJ14" s="978"/>
      <c r="AK14" s="979"/>
      <c r="AL14" s="56"/>
      <c r="AM14" s="980"/>
      <c r="AN14" s="978"/>
      <c r="AO14" s="979"/>
      <c r="AP14" s="57"/>
      <c r="AQ14" s="17"/>
      <c r="AR14" s="18"/>
      <c r="AS14" s="18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</row>
    <row r="15" spans="1:56" ht="21.6" customHeight="1" thickBot="1" x14ac:dyDescent="0.35">
      <c r="A15" s="232" t="s">
        <v>90</v>
      </c>
      <c r="B15" s="21">
        <v>182948</v>
      </c>
      <c r="C15" s="987"/>
      <c r="D15" s="975"/>
      <c r="E15" s="975"/>
      <c r="F15" s="976"/>
      <c r="G15" s="987"/>
      <c r="H15" s="975"/>
      <c r="I15" s="976"/>
      <c r="J15" s="58" t="s">
        <v>91</v>
      </c>
      <c r="K15" s="1011"/>
      <c r="L15" s="975"/>
      <c r="M15" s="976"/>
      <c r="N15" s="58" t="s">
        <v>92</v>
      </c>
      <c r="O15" s="1002"/>
      <c r="P15" s="975"/>
      <c r="Q15" s="975"/>
      <c r="R15" s="58" t="s">
        <v>93</v>
      </c>
      <c r="S15" s="989"/>
      <c r="T15" s="975"/>
      <c r="U15" s="976"/>
      <c r="V15" s="59" t="s">
        <v>94</v>
      </c>
      <c r="W15" s="1002"/>
      <c r="X15" s="975"/>
      <c r="Y15" s="975"/>
      <c r="Z15" s="60" t="s">
        <v>95</v>
      </c>
      <c r="AA15" s="1019"/>
      <c r="AB15" s="975"/>
      <c r="AC15" s="975"/>
      <c r="AD15" s="60" t="s">
        <v>96</v>
      </c>
      <c r="AE15" s="974"/>
      <c r="AF15" s="975"/>
      <c r="AG15" s="976"/>
      <c r="AH15" s="60" t="s">
        <v>97</v>
      </c>
      <c r="AI15" s="974"/>
      <c r="AJ15" s="975"/>
      <c r="AK15" s="976"/>
      <c r="AL15" s="60"/>
      <c r="AM15" s="974"/>
      <c r="AN15" s="975"/>
      <c r="AO15" s="976"/>
      <c r="AP15" s="57"/>
      <c r="AQ15" s="17"/>
      <c r="AR15" s="18"/>
      <c r="AS15" s="18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 ht="15" customHeight="1" thickBot="1" x14ac:dyDescent="0.35">
      <c r="A16" s="1015"/>
      <c r="B16" s="1000"/>
      <c r="C16" s="1000"/>
      <c r="D16" s="1000"/>
      <c r="E16" s="1000"/>
      <c r="F16" s="1000"/>
      <c r="G16" s="1000"/>
      <c r="H16" s="1000"/>
      <c r="I16" s="1000"/>
      <c r="J16" s="1000"/>
      <c r="K16" s="1000"/>
      <c r="L16" s="1000"/>
      <c r="M16" s="1000"/>
      <c r="N16" s="1000"/>
      <c r="O16" s="1000"/>
      <c r="P16" s="1000"/>
      <c r="Q16" s="1000"/>
      <c r="R16" s="1000"/>
      <c r="S16" s="1000"/>
      <c r="T16" s="1000"/>
      <c r="U16" s="1000"/>
      <c r="V16" s="1000"/>
      <c r="W16" s="1000"/>
      <c r="X16" s="1000"/>
      <c r="Y16" s="1000"/>
      <c r="Z16" s="1000"/>
      <c r="AA16" s="1000"/>
      <c r="AB16" s="1000"/>
      <c r="AC16" s="1000"/>
      <c r="AD16" s="1000"/>
      <c r="AE16" s="1000"/>
      <c r="AF16" s="1000"/>
      <c r="AG16" s="1000"/>
      <c r="AH16" s="1000"/>
      <c r="AI16" s="1000"/>
      <c r="AJ16" s="1000"/>
      <c r="AK16" s="100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 ht="16.2" customHeight="1" thickBot="1" x14ac:dyDescent="0.35">
      <c r="A17" s="1004" t="s">
        <v>98</v>
      </c>
      <c r="B17" s="1012" t="s">
        <v>99</v>
      </c>
      <c r="C17" s="61" t="s">
        <v>100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3"/>
      <c r="AD17" s="64"/>
      <c r="AE17" s="64"/>
      <c r="AF17" s="64"/>
      <c r="AG17" s="64"/>
      <c r="AH17" s="64"/>
      <c r="AI17" s="48"/>
      <c r="AJ17" s="1"/>
      <c r="AK17" s="65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 ht="29.4" customHeight="1" thickBot="1" x14ac:dyDescent="0.6">
      <c r="A18" s="986"/>
      <c r="B18" s="997"/>
      <c r="C18" s="66" t="s">
        <v>101</v>
      </c>
      <c r="D18" s="67"/>
      <c r="E18" s="68"/>
      <c r="F18" s="68"/>
      <c r="G18" s="69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1"/>
      <c r="AD18" s="999" t="s">
        <v>102</v>
      </c>
      <c r="AE18" s="1000"/>
      <c r="AF18" s="1000"/>
      <c r="AG18" s="1000"/>
      <c r="AH18" s="1000"/>
      <c r="AI18" s="1001"/>
      <c r="AJ18" s="1010" t="s">
        <v>103</v>
      </c>
      <c r="AK18" s="100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1:56" ht="24" customHeight="1" thickBot="1" x14ac:dyDescent="0.35">
      <c r="A19" s="987"/>
      <c r="B19" s="1013"/>
      <c r="C19" s="993">
        <v>1</v>
      </c>
      <c r="D19" s="994"/>
      <c r="E19" s="1021">
        <v>2</v>
      </c>
      <c r="F19" s="994"/>
      <c r="G19" s="124" t="s">
        <v>104</v>
      </c>
      <c r="H19" s="125" t="s">
        <v>105</v>
      </c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 ht="40.049999999999997" customHeight="1" thickBot="1" x14ac:dyDescent="0.35">
      <c r="A20" s="234" t="s">
        <v>106</v>
      </c>
      <c r="B20" s="12" t="s">
        <v>107</v>
      </c>
      <c r="C20" s="72" t="s">
        <v>108</v>
      </c>
      <c r="D20" s="73" t="s">
        <v>109</v>
      </c>
      <c r="E20" s="74" t="s">
        <v>108</v>
      </c>
      <c r="F20" s="73" t="s">
        <v>109</v>
      </c>
      <c r="G20" s="75"/>
      <c r="H20" s="76"/>
      <c r="I20" s="842"/>
    </row>
    <row r="21" spans="1:56" ht="40.049999999999997" customHeight="1" x14ac:dyDescent="0.3">
      <c r="A21" s="235" t="s">
        <v>110</v>
      </c>
      <c r="B21" s="77" t="s">
        <v>111</v>
      </c>
      <c r="C21" s="867"/>
      <c r="D21" s="868"/>
      <c r="E21" s="126"/>
      <c r="F21" s="126"/>
      <c r="G21" s="126"/>
      <c r="H21" s="127"/>
      <c r="I21" s="842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 ht="40.049999999999997" customHeight="1" x14ac:dyDescent="0.3">
      <c r="A22" s="236" t="s">
        <v>112</v>
      </c>
      <c r="B22" s="80" t="s">
        <v>113</v>
      </c>
      <c r="C22" s="869"/>
      <c r="D22" s="870"/>
      <c r="E22" s="869"/>
      <c r="F22" s="871"/>
      <c r="G22" s="128"/>
      <c r="H22" s="872"/>
      <c r="I22" s="842"/>
    </row>
    <row r="23" spans="1:56" ht="40.049999999999997" customHeight="1" x14ac:dyDescent="0.3">
      <c r="A23" s="236" t="s">
        <v>114</v>
      </c>
      <c r="B23" s="80" t="s">
        <v>115</v>
      </c>
      <c r="C23" s="869"/>
      <c r="D23" s="870"/>
      <c r="E23" s="869"/>
      <c r="F23" s="871"/>
      <c r="G23" s="128"/>
      <c r="H23" s="872"/>
      <c r="I23" s="842"/>
    </row>
    <row r="24" spans="1:56" ht="40.049999999999997" customHeight="1" x14ac:dyDescent="0.3">
      <c r="A24" s="236" t="s">
        <v>116</v>
      </c>
      <c r="B24" s="80" t="s">
        <v>117</v>
      </c>
      <c r="C24" s="869"/>
      <c r="D24" s="870"/>
      <c r="E24" s="869"/>
      <c r="F24" s="871"/>
      <c r="G24" s="128"/>
      <c r="H24" s="872"/>
      <c r="I24" s="842"/>
    </row>
    <row r="25" spans="1:56" ht="40.049999999999997" customHeight="1" x14ac:dyDescent="0.3">
      <c r="A25" s="236" t="s">
        <v>118</v>
      </c>
      <c r="B25" s="80" t="s">
        <v>119</v>
      </c>
      <c r="C25" s="869"/>
      <c r="D25" s="870"/>
      <c r="E25" s="869"/>
      <c r="F25" s="871"/>
      <c r="G25" s="128"/>
      <c r="H25" s="872"/>
      <c r="I25" s="842"/>
    </row>
    <row r="26" spans="1:56" ht="40.049999999999997" customHeight="1" x14ac:dyDescent="0.3">
      <c r="A26" s="236" t="s">
        <v>120</v>
      </c>
      <c r="B26" s="80" t="s">
        <v>121</v>
      </c>
      <c r="C26" s="870"/>
      <c r="D26" s="870"/>
      <c r="E26" s="871"/>
      <c r="F26" s="871"/>
      <c r="G26" s="128"/>
      <c r="H26" s="872"/>
      <c r="I26" s="842"/>
    </row>
    <row r="27" spans="1:56" ht="40.049999999999997" customHeight="1" x14ac:dyDescent="0.3">
      <c r="A27" s="236" t="s">
        <v>122</v>
      </c>
      <c r="B27" s="80" t="s">
        <v>123</v>
      </c>
      <c r="C27" s="870"/>
      <c r="D27" s="870"/>
      <c r="E27" s="871"/>
      <c r="F27" s="871"/>
      <c r="G27" s="128"/>
      <c r="H27" s="872"/>
      <c r="I27" s="842"/>
    </row>
    <row r="28" spans="1:56" ht="40.049999999999997" customHeight="1" x14ac:dyDescent="0.3">
      <c r="A28" s="236" t="s">
        <v>124</v>
      </c>
      <c r="B28" s="80" t="s">
        <v>125</v>
      </c>
      <c r="C28" s="870"/>
      <c r="D28" s="870"/>
      <c r="E28" s="871"/>
      <c r="F28" s="871"/>
      <c r="G28" s="128"/>
      <c r="H28" s="872"/>
      <c r="I28" s="842"/>
    </row>
    <row r="29" spans="1:56" ht="40.049999999999997" customHeight="1" x14ac:dyDescent="0.3">
      <c r="A29" s="237" t="s">
        <v>126</v>
      </c>
      <c r="B29" s="84" t="s">
        <v>127</v>
      </c>
      <c r="C29" s="873"/>
      <c r="D29" s="874"/>
      <c r="E29" s="875"/>
      <c r="F29" s="875"/>
      <c r="G29" s="876"/>
      <c r="H29" s="877"/>
      <c r="I29" s="842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 ht="40.049999999999997" customHeight="1" x14ac:dyDescent="0.3">
      <c r="A30" s="236" t="s">
        <v>128</v>
      </c>
      <c r="B30" s="80" t="s">
        <v>129</v>
      </c>
      <c r="C30" s="870"/>
      <c r="D30" s="870"/>
      <c r="E30" s="871"/>
      <c r="F30" s="871"/>
      <c r="G30" s="128"/>
      <c r="H30" s="872"/>
      <c r="I30" s="842"/>
    </row>
    <row r="31" spans="1:56" ht="40.049999999999997" customHeight="1" x14ac:dyDescent="0.3">
      <c r="A31" s="236" t="s">
        <v>130</v>
      </c>
      <c r="B31" s="80" t="s">
        <v>131</v>
      </c>
      <c r="C31" s="870"/>
      <c r="D31" s="870"/>
      <c r="E31" s="871"/>
      <c r="F31" s="871"/>
      <c r="G31" s="128"/>
      <c r="H31" s="872"/>
      <c r="I31" s="842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 ht="40.049999999999997" customHeight="1" x14ac:dyDescent="0.3">
      <c r="A32" s="237" t="s">
        <v>132</v>
      </c>
      <c r="B32" s="84" t="s">
        <v>133</v>
      </c>
      <c r="C32" s="873"/>
      <c r="D32" s="874"/>
      <c r="E32" s="875"/>
      <c r="F32" s="875"/>
      <c r="G32" s="876"/>
      <c r="H32" s="877"/>
      <c r="I32" s="842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 ht="40.049999999999997" customHeight="1" x14ac:dyDescent="0.3">
      <c r="A33" s="239" t="s">
        <v>134</v>
      </c>
      <c r="B33" s="80" t="s">
        <v>135</v>
      </c>
      <c r="C33" s="869"/>
      <c r="D33" s="870"/>
      <c r="E33" s="869"/>
      <c r="F33" s="871"/>
      <c r="G33" s="128"/>
      <c r="H33" s="129"/>
      <c r="I33" s="842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 ht="40.049999999999997" customHeight="1" x14ac:dyDescent="0.3">
      <c r="A34" s="237" t="s">
        <v>136</v>
      </c>
      <c r="B34" s="84" t="s">
        <v>137</v>
      </c>
      <c r="C34" s="873"/>
      <c r="D34" s="874"/>
      <c r="E34" s="875"/>
      <c r="F34" s="875"/>
      <c r="G34" s="876"/>
      <c r="H34" s="877"/>
      <c r="I34" s="842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 ht="40.049999999999997" customHeight="1" x14ac:dyDescent="0.3">
      <c r="A35" s="236" t="s">
        <v>138</v>
      </c>
      <c r="B35" s="80" t="s">
        <v>139</v>
      </c>
      <c r="C35" s="869"/>
      <c r="D35" s="870"/>
      <c r="E35" s="878"/>
      <c r="F35" s="871"/>
      <c r="G35" s="128"/>
      <c r="H35" s="129"/>
      <c r="I35" s="842"/>
    </row>
    <row r="36" spans="1:56" ht="40.049999999999997" customHeight="1" x14ac:dyDescent="0.3">
      <c r="A36" s="236" t="s">
        <v>140</v>
      </c>
      <c r="B36" s="80" t="s">
        <v>141</v>
      </c>
      <c r="C36" s="869"/>
      <c r="D36" s="870"/>
      <c r="E36" s="869"/>
      <c r="F36" s="871"/>
      <c r="G36" s="128"/>
      <c r="H36" s="129"/>
      <c r="I36" s="842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 ht="40.049999999999997" customHeight="1" x14ac:dyDescent="0.3">
      <c r="A37" s="237" t="s">
        <v>142</v>
      </c>
      <c r="B37" s="84" t="s">
        <v>143</v>
      </c>
      <c r="C37" s="873"/>
      <c r="D37" s="874"/>
      <c r="E37" s="875"/>
      <c r="F37" s="875"/>
      <c r="G37" s="876"/>
      <c r="H37" s="877"/>
      <c r="I37" s="842"/>
    </row>
    <row r="38" spans="1:56" ht="40.049999999999997" customHeight="1" x14ac:dyDescent="0.3">
      <c r="A38" s="239" t="s">
        <v>144</v>
      </c>
      <c r="B38" s="80" t="s">
        <v>145</v>
      </c>
      <c r="C38" s="870"/>
      <c r="D38" s="870"/>
      <c r="E38" s="871"/>
      <c r="F38" s="871"/>
      <c r="G38" s="128"/>
      <c r="H38" s="129"/>
      <c r="I38" s="842"/>
    </row>
    <row r="39" spans="1:56" ht="40.049999999999997" customHeight="1" x14ac:dyDescent="0.3">
      <c r="A39" s="237" t="s">
        <v>146</v>
      </c>
      <c r="B39" s="84" t="s">
        <v>147</v>
      </c>
      <c r="C39" s="873"/>
      <c r="D39" s="874"/>
      <c r="E39" s="875"/>
      <c r="F39" s="875"/>
      <c r="G39" s="876"/>
      <c r="H39" s="877"/>
      <c r="I39" s="842"/>
    </row>
    <row r="40" spans="1:56" ht="40.049999999999997" customHeight="1" x14ac:dyDescent="0.3">
      <c r="A40" s="236" t="s">
        <v>148</v>
      </c>
      <c r="B40" s="80" t="s">
        <v>139</v>
      </c>
      <c r="C40" s="870"/>
      <c r="D40" s="870"/>
      <c r="E40" s="871"/>
      <c r="F40" s="871"/>
      <c r="G40" s="128"/>
      <c r="H40" s="129"/>
      <c r="I40" s="842"/>
    </row>
    <row r="41" spans="1:56" ht="40.049999999999997" customHeight="1" x14ac:dyDescent="0.3">
      <c r="A41" s="236" t="s">
        <v>149</v>
      </c>
      <c r="B41" s="80" t="s">
        <v>150</v>
      </c>
      <c r="C41" s="870"/>
      <c r="D41" s="870"/>
      <c r="E41" s="871"/>
      <c r="F41" s="871"/>
      <c r="G41" s="128"/>
      <c r="H41" s="129"/>
      <c r="I41" s="842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 ht="40.049999999999997" customHeight="1" x14ac:dyDescent="0.3">
      <c r="A42" s="240" t="s">
        <v>151</v>
      </c>
      <c r="B42" s="88" t="s">
        <v>152</v>
      </c>
      <c r="C42" s="869"/>
      <c r="D42" s="870"/>
      <c r="E42" s="871"/>
      <c r="F42" s="871"/>
      <c r="G42" s="128"/>
      <c r="H42" s="129"/>
      <c r="I42" s="842"/>
    </row>
    <row r="43" spans="1:56" ht="40.049999999999997" customHeight="1" x14ac:dyDescent="0.3">
      <c r="A43" s="236" t="s">
        <v>153</v>
      </c>
      <c r="B43" s="80" t="s">
        <v>154</v>
      </c>
      <c r="C43" s="869"/>
      <c r="D43" s="870"/>
      <c r="E43" s="869"/>
      <c r="F43" s="871"/>
      <c r="G43" s="128"/>
      <c r="H43" s="129"/>
      <c r="I43" s="842"/>
    </row>
    <row r="44" spans="1:56" ht="40.049999999999997" customHeight="1" x14ac:dyDescent="0.3">
      <c r="A44" s="236" t="s">
        <v>155</v>
      </c>
      <c r="B44" s="80" t="s">
        <v>156</v>
      </c>
      <c r="C44" s="879"/>
      <c r="D44" s="870"/>
      <c r="E44" s="880"/>
      <c r="F44" s="871"/>
      <c r="G44" s="128"/>
      <c r="H44" s="129"/>
      <c r="I44" s="842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 ht="40.049999999999997" customHeight="1" x14ac:dyDescent="0.3">
      <c r="A45" s="236" t="s">
        <v>157</v>
      </c>
      <c r="B45" s="80" t="s">
        <v>158</v>
      </c>
      <c r="C45" s="870"/>
      <c r="D45" s="870"/>
      <c r="E45" s="871"/>
      <c r="F45" s="871"/>
      <c r="G45" s="128"/>
      <c r="H45" s="129"/>
      <c r="I45" s="842"/>
    </row>
    <row r="46" spans="1:56" ht="40.049999999999997" customHeight="1" x14ac:dyDescent="0.3">
      <c r="A46" s="236" t="s">
        <v>159</v>
      </c>
      <c r="B46" s="80" t="s">
        <v>160</v>
      </c>
      <c r="C46" s="869"/>
      <c r="D46" s="870"/>
      <c r="E46" s="871"/>
      <c r="F46" s="871"/>
      <c r="G46" s="128"/>
      <c r="H46" s="129"/>
      <c r="I46" s="842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 ht="40.049999999999997" customHeight="1" x14ac:dyDescent="0.3">
      <c r="A47" s="236" t="s">
        <v>161</v>
      </c>
      <c r="B47" s="80" t="s">
        <v>162</v>
      </c>
      <c r="C47" s="869"/>
      <c r="D47" s="870"/>
      <c r="E47" s="871"/>
      <c r="F47" s="871"/>
      <c r="G47" s="128"/>
      <c r="H47" s="129"/>
      <c r="I47" s="842"/>
    </row>
    <row r="48" spans="1:56" ht="40.049999999999997" customHeight="1" x14ac:dyDescent="0.3">
      <c r="A48" s="236" t="s">
        <v>163</v>
      </c>
      <c r="B48" s="80" t="s">
        <v>164</v>
      </c>
      <c r="C48" s="869"/>
      <c r="D48" s="870"/>
      <c r="E48" s="878"/>
      <c r="F48" s="871"/>
      <c r="G48" s="128"/>
      <c r="H48" s="129"/>
      <c r="I48" s="842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 ht="40.049999999999997" customHeight="1" x14ac:dyDescent="0.3">
      <c r="A49" s="235" t="s">
        <v>165</v>
      </c>
      <c r="B49" s="77" t="s">
        <v>166</v>
      </c>
      <c r="C49" s="873"/>
      <c r="D49" s="874"/>
      <c r="E49" s="875"/>
      <c r="F49" s="875"/>
      <c r="G49" s="876"/>
      <c r="H49" s="877"/>
      <c r="I49" s="842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 ht="40.049999999999997" customHeight="1" x14ac:dyDescent="0.3">
      <c r="A50" s="242" t="s">
        <v>167</v>
      </c>
      <c r="B50" s="91" t="s">
        <v>168</v>
      </c>
      <c r="C50" s="869"/>
      <c r="D50" s="870"/>
      <c r="E50" s="871"/>
      <c r="F50" s="871"/>
      <c r="G50" s="128"/>
      <c r="H50" s="129"/>
      <c r="I50" s="842"/>
    </row>
    <row r="51" spans="1:56" ht="40.049999999999997" customHeight="1" x14ac:dyDescent="0.3">
      <c r="A51" s="243" t="s">
        <v>169</v>
      </c>
      <c r="B51" s="92" t="s">
        <v>170</v>
      </c>
      <c r="C51" s="869"/>
      <c r="D51" s="870"/>
      <c r="E51" s="871"/>
      <c r="F51" s="871"/>
      <c r="G51" s="128"/>
      <c r="H51" s="129"/>
      <c r="I51" s="842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 ht="40.049999999999997" customHeight="1" x14ac:dyDescent="0.3">
      <c r="A52" s="243" t="s">
        <v>171</v>
      </c>
      <c r="B52" s="92" t="s">
        <v>172</v>
      </c>
      <c r="C52" s="869"/>
      <c r="D52" s="870"/>
      <c r="E52" s="869"/>
      <c r="F52" s="871"/>
      <c r="G52" s="128"/>
      <c r="H52" s="129"/>
      <c r="I52" s="842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 ht="40.049999999999997" customHeight="1" x14ac:dyDescent="0.3">
      <c r="A53" s="238" t="s">
        <v>173</v>
      </c>
      <c r="B53" s="32" t="s">
        <v>174</v>
      </c>
      <c r="C53" s="869"/>
      <c r="D53" s="870"/>
      <c r="E53" s="871"/>
      <c r="F53" s="871"/>
      <c r="G53" s="128"/>
      <c r="H53" s="129"/>
      <c r="I53" s="842"/>
    </row>
    <row r="54" spans="1:56" ht="40.049999999999997" customHeight="1" x14ac:dyDescent="0.3">
      <c r="A54" s="243" t="s">
        <v>175</v>
      </c>
      <c r="B54" s="92" t="s">
        <v>176</v>
      </c>
      <c r="C54" s="869"/>
      <c r="D54" s="870"/>
      <c r="E54" s="869"/>
      <c r="F54" s="871"/>
      <c r="G54" s="128"/>
      <c r="H54" s="129"/>
      <c r="I54" s="842"/>
    </row>
    <row r="55" spans="1:56" ht="40.049999999999997" customHeight="1" x14ac:dyDescent="0.3">
      <c r="A55" s="243" t="s">
        <v>177</v>
      </c>
      <c r="B55" s="92" t="s">
        <v>178</v>
      </c>
      <c r="C55" s="869"/>
      <c r="D55" s="870"/>
      <c r="E55" s="871"/>
      <c r="F55" s="871"/>
      <c r="G55" s="128"/>
      <c r="H55" s="129"/>
      <c r="I55" s="842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 ht="40.049999999999997" customHeight="1" x14ac:dyDescent="0.3">
      <c r="A56" s="238" t="s">
        <v>179</v>
      </c>
      <c r="B56" s="32" t="s">
        <v>180</v>
      </c>
      <c r="C56" s="869"/>
      <c r="D56" s="870"/>
      <c r="E56" s="871"/>
      <c r="F56" s="871"/>
      <c r="G56" s="128"/>
      <c r="H56" s="129"/>
      <c r="I56" s="842"/>
    </row>
    <row r="57" spans="1:56" ht="40.049999999999997" customHeight="1" x14ac:dyDescent="0.3">
      <c r="A57" s="243" t="s">
        <v>181</v>
      </c>
      <c r="B57" s="92" t="s">
        <v>182</v>
      </c>
      <c r="C57" s="869"/>
      <c r="D57" s="870"/>
      <c r="E57" s="869"/>
      <c r="F57" s="871"/>
      <c r="G57" s="128"/>
      <c r="H57" s="129"/>
      <c r="I57" s="842"/>
    </row>
    <row r="58" spans="1:56" ht="40.049999999999997" customHeight="1" x14ac:dyDescent="0.3">
      <c r="A58" s="237" t="s">
        <v>183</v>
      </c>
      <c r="B58" s="84" t="s">
        <v>184</v>
      </c>
      <c r="C58" s="873"/>
      <c r="D58" s="874"/>
      <c r="E58" s="875"/>
      <c r="F58" s="875"/>
      <c r="G58" s="876"/>
      <c r="H58" s="877"/>
      <c r="I58" s="842"/>
    </row>
    <row r="59" spans="1:56" ht="40.049999999999997" customHeight="1" x14ac:dyDescent="0.3">
      <c r="A59" s="236" t="s">
        <v>185</v>
      </c>
      <c r="B59" s="80" t="s">
        <v>186</v>
      </c>
      <c r="C59" s="869"/>
      <c r="D59" s="870"/>
      <c r="E59" s="871"/>
      <c r="F59" s="871"/>
      <c r="G59" s="128"/>
      <c r="H59" s="129"/>
      <c r="I59" s="842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 ht="40.049999999999997" customHeight="1" x14ac:dyDescent="0.3">
      <c r="A60" s="236" t="s">
        <v>187</v>
      </c>
      <c r="B60" s="80" t="s">
        <v>188</v>
      </c>
      <c r="C60" s="869"/>
      <c r="D60" s="870"/>
      <c r="E60" s="871"/>
      <c r="F60" s="871"/>
      <c r="G60" s="128"/>
      <c r="H60" s="129"/>
      <c r="I60" s="842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 ht="40.049999999999997" customHeight="1" x14ac:dyDescent="0.3">
      <c r="A61" s="236" t="s">
        <v>189</v>
      </c>
      <c r="B61" s="80" t="s">
        <v>190</v>
      </c>
      <c r="C61" s="870"/>
      <c r="D61" s="870"/>
      <c r="E61" s="871"/>
      <c r="F61" s="871"/>
      <c r="G61" s="128"/>
      <c r="H61" s="129"/>
      <c r="I61" s="842"/>
    </row>
    <row r="62" spans="1:56" ht="40.049999999999997" customHeight="1" x14ac:dyDescent="0.3">
      <c r="A62" s="236" t="s">
        <v>191</v>
      </c>
      <c r="B62" s="80" t="s">
        <v>192</v>
      </c>
      <c r="C62" s="870"/>
      <c r="D62" s="870"/>
      <c r="E62" s="871"/>
      <c r="F62" s="871"/>
      <c r="G62" s="128"/>
      <c r="H62" s="129"/>
      <c r="I62" s="842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 ht="40.049999999999997" customHeight="1" x14ac:dyDescent="0.3">
      <c r="A63" s="237" t="s">
        <v>193</v>
      </c>
      <c r="B63" s="84" t="s">
        <v>194</v>
      </c>
      <c r="C63" s="873"/>
      <c r="D63" s="874"/>
      <c r="E63" s="875"/>
      <c r="F63" s="875"/>
      <c r="G63" s="876"/>
      <c r="H63" s="877"/>
      <c r="I63" s="842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 ht="40.049999999999997" customHeight="1" x14ac:dyDescent="0.3">
      <c r="A64" s="238" t="s">
        <v>195</v>
      </c>
      <c r="B64" s="32" t="s">
        <v>196</v>
      </c>
      <c r="C64" s="869"/>
      <c r="D64" s="870"/>
      <c r="E64" s="871"/>
      <c r="F64" s="871"/>
      <c r="G64" s="128"/>
      <c r="H64" s="129"/>
      <c r="I64" s="842"/>
    </row>
    <row r="65" spans="1:56" ht="40.049999999999997" customHeight="1" x14ac:dyDescent="0.3">
      <c r="A65" s="243" t="s">
        <v>197</v>
      </c>
      <c r="B65" s="92" t="s">
        <v>139</v>
      </c>
      <c r="C65" s="869"/>
      <c r="D65" s="870"/>
      <c r="E65" s="871"/>
      <c r="F65" s="871"/>
      <c r="G65" s="128"/>
      <c r="H65" s="129"/>
      <c r="I65" s="842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 ht="40.049999999999997" customHeight="1" x14ac:dyDescent="0.3">
      <c r="A66" s="238" t="s">
        <v>198</v>
      </c>
      <c r="B66" s="32" t="s">
        <v>199</v>
      </c>
      <c r="C66" s="869"/>
      <c r="D66" s="870"/>
      <c r="E66" s="871"/>
      <c r="F66" s="871"/>
      <c r="G66" s="128"/>
      <c r="H66" s="129"/>
      <c r="I66" s="842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 ht="40.049999999999997" customHeight="1" x14ac:dyDescent="0.3">
      <c r="A67" s="243" t="s">
        <v>200</v>
      </c>
      <c r="B67" s="92" t="s">
        <v>176</v>
      </c>
      <c r="C67" s="869"/>
      <c r="D67" s="870"/>
      <c r="E67" s="869"/>
      <c r="F67" s="871"/>
      <c r="G67" s="128"/>
      <c r="H67" s="129"/>
      <c r="I67" s="842"/>
    </row>
    <row r="68" spans="1:56" ht="40.049999999999997" customHeight="1" x14ac:dyDescent="0.3">
      <c r="A68" s="238" t="s">
        <v>201</v>
      </c>
      <c r="B68" s="32" t="s">
        <v>202</v>
      </c>
      <c r="C68" s="869"/>
      <c r="D68" s="870"/>
      <c r="E68" s="871"/>
      <c r="F68" s="871"/>
      <c r="G68" s="128"/>
      <c r="H68" s="129"/>
      <c r="I68" s="842"/>
    </row>
    <row r="69" spans="1:56" ht="40.049999999999997" customHeight="1" x14ac:dyDescent="0.3">
      <c r="A69" s="243" t="s">
        <v>203</v>
      </c>
      <c r="B69" s="92" t="s">
        <v>204</v>
      </c>
      <c r="C69" s="869"/>
      <c r="D69" s="870"/>
      <c r="E69" s="871"/>
      <c r="F69" s="871"/>
      <c r="G69" s="128"/>
      <c r="H69" s="129"/>
      <c r="I69" s="842"/>
    </row>
    <row r="70" spans="1:56" ht="40.049999999999997" customHeight="1" x14ac:dyDescent="0.3">
      <c r="A70" s="237" t="s">
        <v>205</v>
      </c>
      <c r="B70" s="84" t="s">
        <v>206</v>
      </c>
      <c r="C70" s="873"/>
      <c r="D70" s="874"/>
      <c r="E70" s="875"/>
      <c r="F70" s="875"/>
      <c r="G70" s="876"/>
      <c r="H70" s="877"/>
      <c r="I70" s="842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 ht="40.049999999999997" customHeight="1" x14ac:dyDescent="0.3">
      <c r="A71" s="236" t="s">
        <v>207</v>
      </c>
      <c r="B71" s="80" t="s">
        <v>208</v>
      </c>
      <c r="C71" s="870"/>
      <c r="D71" s="870"/>
      <c r="E71" s="871"/>
      <c r="F71" s="871"/>
      <c r="G71" s="128"/>
      <c r="H71" s="129"/>
      <c r="I71" s="842"/>
    </row>
    <row r="72" spans="1:56" ht="40.049999999999997" customHeight="1" x14ac:dyDescent="0.3">
      <c r="A72" s="237" t="s">
        <v>209</v>
      </c>
      <c r="B72" s="84" t="s">
        <v>210</v>
      </c>
      <c r="C72" s="873"/>
      <c r="D72" s="874"/>
      <c r="E72" s="875"/>
      <c r="F72" s="875"/>
      <c r="G72" s="876"/>
      <c r="H72" s="877"/>
      <c r="I72" s="842"/>
    </row>
    <row r="73" spans="1:56" ht="40.049999999999997" customHeight="1" x14ac:dyDescent="0.3">
      <c r="A73" s="236" t="s">
        <v>211</v>
      </c>
      <c r="B73" s="80" t="s">
        <v>212</v>
      </c>
      <c r="C73" s="869"/>
      <c r="D73" s="870"/>
      <c r="E73" s="871"/>
      <c r="F73" s="871"/>
      <c r="G73" s="128"/>
      <c r="H73" s="129"/>
      <c r="I73" s="842"/>
    </row>
    <row r="74" spans="1:56" ht="40.049999999999997" customHeight="1" x14ac:dyDescent="0.3">
      <c r="A74" s="236" t="s">
        <v>213</v>
      </c>
      <c r="B74" s="80" t="s">
        <v>214</v>
      </c>
      <c r="C74" s="869"/>
      <c r="D74" s="870"/>
      <c r="E74" s="878"/>
      <c r="F74" s="871"/>
      <c r="G74" s="128"/>
      <c r="H74" s="129"/>
      <c r="I74" s="842"/>
    </row>
    <row r="75" spans="1:56" ht="40.049999999999997" customHeight="1" x14ac:dyDescent="0.3">
      <c r="A75" s="237" t="s">
        <v>215</v>
      </c>
      <c r="B75" s="84" t="s">
        <v>216</v>
      </c>
      <c r="C75" s="873"/>
      <c r="D75" s="874"/>
      <c r="E75" s="875"/>
      <c r="F75" s="875"/>
      <c r="G75" s="876"/>
      <c r="H75" s="877"/>
      <c r="I75" s="842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</row>
    <row r="76" spans="1:56" ht="40.049999999999997" customHeight="1" x14ac:dyDescent="0.3">
      <c r="A76" s="236" t="s">
        <v>217</v>
      </c>
      <c r="B76" s="80" t="s">
        <v>218</v>
      </c>
      <c r="C76" s="869"/>
      <c r="D76" s="870"/>
      <c r="E76" s="869"/>
      <c r="F76" s="871"/>
      <c r="G76" s="128"/>
      <c r="H76" s="129"/>
      <c r="I76" s="842"/>
    </row>
    <row r="77" spans="1:56" ht="40.049999999999997" customHeight="1" x14ac:dyDescent="0.3">
      <c r="A77" s="237" t="s">
        <v>219</v>
      </c>
      <c r="B77" s="84" t="s">
        <v>220</v>
      </c>
      <c r="C77" s="873"/>
      <c r="D77" s="874"/>
      <c r="E77" s="875"/>
      <c r="F77" s="875"/>
      <c r="G77" s="876"/>
      <c r="H77" s="877"/>
      <c r="I77" s="842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</row>
    <row r="78" spans="1:56" ht="40.049999999999997" customHeight="1" x14ac:dyDescent="0.3">
      <c r="A78" s="236" t="s">
        <v>221</v>
      </c>
      <c r="B78" s="80" t="s">
        <v>222</v>
      </c>
      <c r="C78" s="870"/>
      <c r="D78" s="870"/>
      <c r="E78" s="871"/>
      <c r="F78" s="871"/>
      <c r="G78" s="128"/>
      <c r="H78" s="129"/>
      <c r="I78" s="842"/>
    </row>
    <row r="79" spans="1:56" ht="40.049999999999997" customHeight="1" x14ac:dyDescent="0.3">
      <c r="A79" s="240" t="s">
        <v>223</v>
      </c>
      <c r="B79" s="88" t="s">
        <v>224</v>
      </c>
      <c r="C79" s="869"/>
      <c r="D79" s="870"/>
      <c r="E79" s="871"/>
      <c r="F79" s="871"/>
      <c r="G79" s="128"/>
      <c r="H79" s="129"/>
      <c r="I79" s="842"/>
    </row>
    <row r="80" spans="1:56" ht="40.049999999999997" customHeight="1" x14ac:dyDescent="0.3">
      <c r="A80" s="236" t="s">
        <v>225</v>
      </c>
      <c r="B80" s="80" t="s">
        <v>226</v>
      </c>
      <c r="C80" s="869"/>
      <c r="D80" s="870"/>
      <c r="E80" s="871"/>
      <c r="F80" s="871"/>
      <c r="G80" s="128"/>
      <c r="H80" s="129"/>
      <c r="I80" s="842"/>
    </row>
    <row r="81" spans="1:56" ht="40.049999999999997" customHeight="1" x14ac:dyDescent="0.3">
      <c r="A81" s="236" t="s">
        <v>227</v>
      </c>
      <c r="B81" s="80" t="s">
        <v>228</v>
      </c>
      <c r="C81" s="869"/>
      <c r="D81" s="870"/>
      <c r="E81" s="869"/>
      <c r="F81" s="871"/>
      <c r="G81" s="128"/>
      <c r="H81" s="129"/>
      <c r="I81" s="842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</row>
    <row r="82" spans="1:56" ht="40.049999999999997" customHeight="1" x14ac:dyDescent="0.3">
      <c r="A82" s="236" t="s">
        <v>229</v>
      </c>
      <c r="B82" s="80" t="s">
        <v>230</v>
      </c>
      <c r="C82" s="869"/>
      <c r="D82" s="870"/>
      <c r="E82" s="869"/>
      <c r="F82" s="871"/>
      <c r="G82" s="128"/>
      <c r="H82" s="129"/>
      <c r="I82" s="842"/>
    </row>
    <row r="83" spans="1:56" ht="40.049999999999997" customHeight="1" x14ac:dyDescent="0.3">
      <c r="A83" s="236" t="s">
        <v>231</v>
      </c>
      <c r="B83" s="80" t="s">
        <v>232</v>
      </c>
      <c r="C83" s="869"/>
      <c r="D83" s="869"/>
      <c r="E83" s="881"/>
      <c r="F83" s="871"/>
      <c r="G83" s="128"/>
      <c r="H83" s="129"/>
      <c r="I83" s="842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</row>
    <row r="84" spans="1:56" ht="40.049999999999997" customHeight="1" x14ac:dyDescent="0.3">
      <c r="A84" s="236" t="s">
        <v>233</v>
      </c>
      <c r="B84" s="80" t="s">
        <v>234</v>
      </c>
      <c r="C84" s="869"/>
      <c r="D84" s="869"/>
      <c r="E84" s="881"/>
      <c r="F84" s="871"/>
      <c r="G84" s="128"/>
      <c r="H84" s="129"/>
      <c r="I84" s="842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</row>
    <row r="85" spans="1:56" ht="40.049999999999997" customHeight="1" x14ac:dyDescent="0.3">
      <c r="A85" s="237" t="s">
        <v>235</v>
      </c>
      <c r="B85" s="84" t="s">
        <v>236</v>
      </c>
      <c r="C85" s="873"/>
      <c r="D85" s="874"/>
      <c r="E85" s="875"/>
      <c r="F85" s="875"/>
      <c r="G85" s="876"/>
      <c r="H85" s="877"/>
      <c r="I85" s="842"/>
    </row>
    <row r="86" spans="1:56" ht="40.049999999999997" customHeight="1" x14ac:dyDescent="0.3">
      <c r="A86" s="238" t="s">
        <v>237</v>
      </c>
      <c r="B86" s="32" t="s">
        <v>238</v>
      </c>
      <c r="C86" s="869"/>
      <c r="D86" s="869"/>
      <c r="E86" s="878"/>
      <c r="F86" s="871"/>
      <c r="G86" s="128"/>
      <c r="H86" s="129"/>
      <c r="I86" s="842"/>
    </row>
    <row r="87" spans="1:56" ht="40.049999999999997" customHeight="1" x14ac:dyDescent="0.3">
      <c r="A87" s="236" t="s">
        <v>239</v>
      </c>
      <c r="B87" s="80" t="s">
        <v>139</v>
      </c>
      <c r="C87" s="870"/>
      <c r="D87" s="869"/>
      <c r="E87" s="871"/>
      <c r="F87" s="871"/>
      <c r="G87" s="128"/>
      <c r="H87" s="129"/>
      <c r="I87" s="842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</row>
    <row r="88" spans="1:56" ht="40.049999999999997" customHeight="1" x14ac:dyDescent="0.3">
      <c r="A88" s="238" t="s">
        <v>240</v>
      </c>
      <c r="B88" s="32" t="s">
        <v>241</v>
      </c>
      <c r="C88" s="869"/>
      <c r="D88" s="869"/>
      <c r="E88" s="871"/>
      <c r="F88" s="871"/>
      <c r="G88" s="128"/>
      <c r="H88" s="129"/>
      <c r="I88" s="842"/>
    </row>
    <row r="89" spans="1:56" ht="40.049999999999997" customHeight="1" x14ac:dyDescent="0.3">
      <c r="A89" s="243" t="s">
        <v>242</v>
      </c>
      <c r="B89" s="92" t="s">
        <v>243</v>
      </c>
      <c r="C89" s="870"/>
      <c r="D89" s="869"/>
      <c r="E89" s="871"/>
      <c r="F89" s="871"/>
      <c r="G89" s="128"/>
      <c r="H89" s="129"/>
      <c r="I89" s="842"/>
    </row>
    <row r="90" spans="1:56" ht="40.049999999999997" customHeight="1" x14ac:dyDescent="0.3">
      <c r="A90" s="243" t="s">
        <v>244</v>
      </c>
      <c r="B90" s="92" t="s">
        <v>245</v>
      </c>
      <c r="C90" s="869"/>
      <c r="D90" s="869"/>
      <c r="E90" s="878"/>
      <c r="F90" s="871"/>
      <c r="G90" s="128"/>
      <c r="H90" s="129"/>
      <c r="I90" s="842"/>
    </row>
    <row r="91" spans="1:56" ht="40.049999999999997" customHeight="1" x14ac:dyDescent="0.3">
      <c r="A91" s="238" t="s">
        <v>246</v>
      </c>
      <c r="B91" s="32" t="s">
        <v>247</v>
      </c>
      <c r="C91" s="869"/>
      <c r="D91" s="869"/>
      <c r="E91" s="878"/>
      <c r="F91" s="871"/>
      <c r="G91" s="128"/>
      <c r="H91" s="129"/>
      <c r="I91" s="842"/>
    </row>
    <row r="92" spans="1:56" ht="40.049999999999997" customHeight="1" x14ac:dyDescent="0.3">
      <c r="A92" s="243" t="s">
        <v>248</v>
      </c>
      <c r="B92" s="92" t="s">
        <v>249</v>
      </c>
      <c r="C92" s="870"/>
      <c r="D92" s="869"/>
      <c r="E92" s="871"/>
      <c r="F92" s="871"/>
      <c r="G92" s="128"/>
      <c r="H92" s="129"/>
      <c r="I92" s="842"/>
    </row>
    <row r="93" spans="1:56" ht="40.049999999999997" customHeight="1" x14ac:dyDescent="0.3">
      <c r="A93" s="243" t="s">
        <v>250</v>
      </c>
      <c r="B93" s="92" t="s">
        <v>251</v>
      </c>
      <c r="C93" s="870"/>
      <c r="D93" s="869"/>
      <c r="E93" s="871"/>
      <c r="F93" s="871"/>
      <c r="G93" s="128"/>
      <c r="H93" s="129"/>
      <c r="I93" s="842"/>
    </row>
    <row r="94" spans="1:56" ht="40.049999999999997" customHeight="1" x14ac:dyDescent="0.3">
      <c r="A94" s="238" t="s">
        <v>252</v>
      </c>
      <c r="B94" s="32" t="s">
        <v>253</v>
      </c>
      <c r="C94" s="869"/>
      <c r="D94" s="869"/>
      <c r="E94" s="878"/>
      <c r="F94" s="871"/>
      <c r="G94" s="128"/>
      <c r="H94" s="129"/>
      <c r="I94" s="842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</row>
    <row r="95" spans="1:56" ht="40.049999999999997" customHeight="1" x14ac:dyDescent="0.3">
      <c r="A95" s="236" t="s">
        <v>254</v>
      </c>
      <c r="B95" s="80" t="s">
        <v>255</v>
      </c>
      <c r="C95" s="869"/>
      <c r="D95" s="869"/>
      <c r="E95" s="869"/>
      <c r="F95" s="871"/>
      <c r="G95" s="128"/>
      <c r="H95" s="129"/>
      <c r="I95" s="842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</row>
    <row r="96" spans="1:56" ht="40.049999999999997" customHeight="1" x14ac:dyDescent="0.3">
      <c r="A96" s="236" t="s">
        <v>256</v>
      </c>
      <c r="B96" s="80" t="s">
        <v>257</v>
      </c>
      <c r="C96" s="869"/>
      <c r="D96" s="870"/>
      <c r="E96" s="869"/>
      <c r="F96" s="871"/>
      <c r="G96" s="128"/>
      <c r="H96" s="129"/>
      <c r="I96" s="842"/>
    </row>
    <row r="97" spans="1:56" ht="40.049999999999997" customHeight="1" x14ac:dyDescent="0.3">
      <c r="A97" s="236" t="s">
        <v>258</v>
      </c>
      <c r="B97" s="80" t="s">
        <v>259</v>
      </c>
      <c r="C97" s="869"/>
      <c r="D97" s="870"/>
      <c r="E97" s="869"/>
      <c r="F97" s="871"/>
      <c r="G97" s="128"/>
      <c r="H97" s="129"/>
      <c r="I97" s="842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</row>
    <row r="98" spans="1:56" ht="40.049999999999997" customHeight="1" x14ac:dyDescent="0.3">
      <c r="A98" s="236" t="s">
        <v>260</v>
      </c>
      <c r="B98" s="80" t="s">
        <v>261</v>
      </c>
      <c r="C98" s="869"/>
      <c r="D98" s="870"/>
      <c r="E98" s="869"/>
      <c r="F98" s="871"/>
      <c r="G98" s="128"/>
      <c r="H98" s="129"/>
      <c r="I98" s="842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</row>
    <row r="99" spans="1:56" ht="40.049999999999997" customHeight="1" x14ac:dyDescent="0.3">
      <c r="A99" s="238" t="s">
        <v>262</v>
      </c>
      <c r="B99" s="32" t="s">
        <v>263</v>
      </c>
      <c r="C99" s="869"/>
      <c r="D99" s="870"/>
      <c r="E99" s="871"/>
      <c r="F99" s="871"/>
      <c r="G99" s="128"/>
      <c r="H99" s="129"/>
      <c r="I99" s="842"/>
    </row>
    <row r="100" spans="1:56" ht="40.049999999999997" customHeight="1" x14ac:dyDescent="0.3">
      <c r="A100" s="243" t="s">
        <v>264</v>
      </c>
      <c r="B100" s="92" t="s">
        <v>265</v>
      </c>
      <c r="C100" s="869"/>
      <c r="D100" s="870"/>
      <c r="E100" s="871"/>
      <c r="F100" s="871"/>
      <c r="G100" s="128"/>
      <c r="H100" s="129"/>
      <c r="I100" s="842"/>
    </row>
    <row r="101" spans="1:56" ht="40.049999999999997" customHeight="1" x14ac:dyDescent="0.3">
      <c r="A101" s="244" t="s">
        <v>266</v>
      </c>
      <c r="B101" s="84" t="s">
        <v>267</v>
      </c>
      <c r="C101" s="873"/>
      <c r="D101" s="874"/>
      <c r="E101" s="875"/>
      <c r="F101" s="875"/>
      <c r="G101" s="876"/>
      <c r="H101" s="877"/>
      <c r="I101" s="842"/>
    </row>
    <row r="102" spans="1:56" ht="40.049999999999997" customHeight="1" x14ac:dyDescent="0.3">
      <c r="A102" s="236" t="s">
        <v>268</v>
      </c>
      <c r="B102" s="80" t="s">
        <v>269</v>
      </c>
      <c r="C102" s="870"/>
      <c r="D102" s="870"/>
      <c r="E102" s="871"/>
      <c r="F102" s="871"/>
      <c r="G102" s="128"/>
      <c r="H102" s="129"/>
      <c r="I102" s="842"/>
    </row>
    <row r="103" spans="1:56" ht="40.049999999999997" customHeight="1" x14ac:dyDescent="0.3">
      <c r="A103" s="236" t="s">
        <v>270</v>
      </c>
      <c r="B103" s="80" t="s">
        <v>271</v>
      </c>
      <c r="C103" s="870"/>
      <c r="D103" s="870"/>
      <c r="E103" s="871"/>
      <c r="F103" s="871"/>
      <c r="G103" s="128"/>
      <c r="H103" s="129"/>
      <c r="I103" s="842"/>
    </row>
    <row r="104" spans="1:56" ht="40.049999999999997" customHeight="1" x14ac:dyDescent="0.3">
      <c r="A104" s="244" t="s">
        <v>272</v>
      </c>
      <c r="B104" s="84" t="s">
        <v>273</v>
      </c>
      <c r="C104" s="873"/>
      <c r="D104" s="874"/>
      <c r="E104" s="875"/>
      <c r="F104" s="875"/>
      <c r="G104" s="876"/>
      <c r="H104" s="877"/>
      <c r="I104" s="842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</row>
    <row r="105" spans="1:56" ht="40.049999999999997" customHeight="1" x14ac:dyDescent="0.3">
      <c r="A105" s="236" t="s">
        <v>274</v>
      </c>
      <c r="B105" s="80" t="s">
        <v>275</v>
      </c>
      <c r="C105" s="869"/>
      <c r="D105" s="869"/>
      <c r="E105" s="869"/>
      <c r="F105" s="871"/>
      <c r="G105" s="128"/>
      <c r="H105" s="129"/>
      <c r="I105" s="842"/>
    </row>
    <row r="106" spans="1:56" ht="40.049999999999997" customHeight="1" x14ac:dyDescent="0.3">
      <c r="A106" s="236" t="s">
        <v>276</v>
      </c>
      <c r="B106" s="80" t="s">
        <v>277</v>
      </c>
      <c r="C106" s="869"/>
      <c r="D106" s="870"/>
      <c r="E106" s="869"/>
      <c r="F106" s="871"/>
      <c r="G106" s="128"/>
      <c r="H106" s="129"/>
      <c r="I106" s="842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</row>
    <row r="107" spans="1:56" ht="40.049999999999997" customHeight="1" x14ac:dyDescent="0.3">
      <c r="A107" s="237" t="s">
        <v>278</v>
      </c>
      <c r="B107" s="84" t="s">
        <v>279</v>
      </c>
      <c r="C107" s="873"/>
      <c r="D107" s="874"/>
      <c r="E107" s="875"/>
      <c r="F107" s="875"/>
      <c r="G107" s="876"/>
      <c r="H107" s="877"/>
      <c r="I107" s="842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56" ht="40.049999999999997" customHeight="1" x14ac:dyDescent="0.3">
      <c r="A108" s="238" t="s">
        <v>280</v>
      </c>
      <c r="B108" s="32" t="s">
        <v>281</v>
      </c>
      <c r="C108" s="869"/>
      <c r="D108" s="870"/>
      <c r="E108" s="871"/>
      <c r="F108" s="871"/>
      <c r="G108" s="128"/>
      <c r="H108" s="129"/>
      <c r="I108" s="842"/>
    </row>
    <row r="109" spans="1:56" ht="40.049999999999997" customHeight="1" x14ac:dyDescent="0.3">
      <c r="A109" s="243" t="s">
        <v>282</v>
      </c>
      <c r="B109" s="92" t="s">
        <v>283</v>
      </c>
      <c r="C109" s="870"/>
      <c r="D109" s="870"/>
      <c r="E109" s="871"/>
      <c r="F109" s="871"/>
      <c r="G109" s="128"/>
      <c r="H109" s="129"/>
      <c r="I109" s="842"/>
    </row>
    <row r="110" spans="1:56" ht="40.049999999999997" customHeight="1" x14ac:dyDescent="0.3">
      <c r="A110" s="243" t="s">
        <v>284</v>
      </c>
      <c r="B110" s="92" t="s">
        <v>285</v>
      </c>
      <c r="C110" s="869"/>
      <c r="D110" s="870"/>
      <c r="E110" s="871"/>
      <c r="F110" s="871"/>
      <c r="G110" s="128"/>
      <c r="H110" s="129"/>
      <c r="I110" s="842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</row>
    <row r="111" spans="1:56" ht="40.049999999999997" customHeight="1" x14ac:dyDescent="0.3">
      <c r="A111" s="238" t="s">
        <v>286</v>
      </c>
      <c r="B111" s="32" t="s">
        <v>287</v>
      </c>
      <c r="C111" s="869"/>
      <c r="D111" s="870"/>
      <c r="E111" s="871"/>
      <c r="F111" s="871"/>
      <c r="G111" s="128"/>
      <c r="H111" s="129"/>
      <c r="I111" s="842"/>
    </row>
    <row r="112" spans="1:56" ht="40.049999999999997" customHeight="1" x14ac:dyDescent="0.3">
      <c r="A112" s="236" t="s">
        <v>288</v>
      </c>
      <c r="B112" s="80" t="s">
        <v>289</v>
      </c>
      <c r="C112" s="870"/>
      <c r="D112" s="870"/>
      <c r="E112" s="871"/>
      <c r="F112" s="871"/>
      <c r="G112" s="128"/>
      <c r="H112" s="129"/>
      <c r="I112" s="842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</row>
    <row r="113" spans="1:56" ht="40.049999999999997" customHeight="1" x14ac:dyDescent="0.3">
      <c r="A113" s="236" t="s">
        <v>290</v>
      </c>
      <c r="B113" s="80" t="s">
        <v>291</v>
      </c>
      <c r="C113" s="869"/>
      <c r="D113" s="870"/>
      <c r="E113" s="869"/>
      <c r="F113" s="871"/>
      <c r="G113" s="128"/>
      <c r="H113" s="129"/>
      <c r="I113" s="842"/>
    </row>
    <row r="114" spans="1:56" ht="40.049999999999997" customHeight="1" x14ac:dyDescent="0.3">
      <c r="A114" s="236" t="s">
        <v>292</v>
      </c>
      <c r="B114" s="80" t="s">
        <v>293</v>
      </c>
      <c r="C114" s="869"/>
      <c r="D114" s="870"/>
      <c r="E114" s="869"/>
      <c r="F114" s="871"/>
      <c r="G114" s="128"/>
      <c r="H114" s="129"/>
      <c r="I114" s="842"/>
    </row>
    <row r="115" spans="1:56" ht="40.049999999999997" customHeight="1" x14ac:dyDescent="0.3">
      <c r="A115" s="237" t="s">
        <v>294</v>
      </c>
      <c r="B115" s="94" t="s">
        <v>295</v>
      </c>
      <c r="C115" s="873"/>
      <c r="D115" s="874"/>
      <c r="E115" s="875"/>
      <c r="F115" s="875"/>
      <c r="G115" s="876"/>
      <c r="H115" s="877"/>
      <c r="I115" s="842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</row>
    <row r="116" spans="1:56" ht="40.049999999999997" customHeight="1" x14ac:dyDescent="0.3">
      <c r="A116" s="245" t="s">
        <v>296</v>
      </c>
      <c r="B116" s="95" t="s">
        <v>297</v>
      </c>
      <c r="C116" s="869"/>
      <c r="D116" s="870"/>
      <c r="E116" s="871"/>
      <c r="F116" s="871"/>
      <c r="G116" s="128"/>
      <c r="H116" s="129"/>
      <c r="I116" s="842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</row>
    <row r="117" spans="1:56" ht="40.049999999999997" customHeight="1" x14ac:dyDescent="0.3">
      <c r="A117" s="245" t="s">
        <v>298</v>
      </c>
      <c r="B117" s="95" t="s">
        <v>299</v>
      </c>
      <c r="C117" s="869"/>
      <c r="D117" s="870"/>
      <c r="E117" s="871"/>
      <c r="F117" s="871"/>
      <c r="G117" s="128"/>
      <c r="H117" s="129"/>
      <c r="I117" s="842"/>
    </row>
    <row r="118" spans="1:56" ht="40.049999999999997" customHeight="1" x14ac:dyDescent="0.3">
      <c r="A118" s="245" t="s">
        <v>300</v>
      </c>
      <c r="B118" s="95" t="s">
        <v>301</v>
      </c>
      <c r="C118" s="869"/>
      <c r="D118" s="870"/>
      <c r="E118" s="869"/>
      <c r="F118" s="871"/>
      <c r="G118" s="128"/>
      <c r="H118" s="129"/>
      <c r="I118" s="842"/>
    </row>
    <row r="119" spans="1:56" ht="40.049999999999997" customHeight="1" x14ac:dyDescent="0.3">
      <c r="A119" s="245" t="s">
        <v>302</v>
      </c>
      <c r="B119" s="95" t="s">
        <v>303</v>
      </c>
      <c r="C119" s="870"/>
      <c r="D119" s="870"/>
      <c r="E119" s="871"/>
      <c r="F119" s="871"/>
      <c r="G119" s="128"/>
      <c r="H119" s="129"/>
      <c r="I119" s="842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</row>
    <row r="120" spans="1:56" ht="40.049999999999997" customHeight="1" x14ac:dyDescent="0.3">
      <c r="A120" s="245" t="s">
        <v>304</v>
      </c>
      <c r="B120" s="95" t="s">
        <v>305</v>
      </c>
      <c r="C120" s="869"/>
      <c r="D120" s="870"/>
      <c r="E120" s="871"/>
      <c r="F120" s="871"/>
      <c r="G120" s="128"/>
      <c r="H120" s="129"/>
      <c r="I120" s="842"/>
    </row>
    <row r="121" spans="1:56" ht="40.049999999999997" customHeight="1" x14ac:dyDescent="0.3">
      <c r="A121" s="245" t="s">
        <v>306</v>
      </c>
      <c r="B121" s="95" t="s">
        <v>307</v>
      </c>
      <c r="C121" s="879"/>
      <c r="D121" s="870"/>
      <c r="E121" s="880"/>
      <c r="F121" s="871"/>
      <c r="G121" s="128"/>
      <c r="H121" s="129"/>
      <c r="I121" s="842"/>
    </row>
    <row r="122" spans="1:56" ht="40.049999999999997" customHeight="1" x14ac:dyDescent="0.3">
      <c r="A122" s="245" t="s">
        <v>308</v>
      </c>
      <c r="B122" s="95" t="s">
        <v>309</v>
      </c>
      <c r="C122" s="869"/>
      <c r="D122" s="870"/>
      <c r="E122" s="871"/>
      <c r="F122" s="871"/>
      <c r="G122" s="128"/>
      <c r="H122" s="129"/>
      <c r="I122" s="842"/>
    </row>
    <row r="123" spans="1:56" ht="40.049999999999997" customHeight="1" x14ac:dyDescent="0.3">
      <c r="A123" s="245" t="s">
        <v>310</v>
      </c>
      <c r="B123" s="95" t="s">
        <v>311</v>
      </c>
      <c r="C123" s="869"/>
      <c r="D123" s="879"/>
      <c r="E123" s="880"/>
      <c r="F123" s="880"/>
      <c r="G123" s="128"/>
      <c r="H123" s="129"/>
      <c r="I123" s="842"/>
    </row>
    <row r="124" spans="1:56" ht="40.049999999999997" customHeight="1" x14ac:dyDescent="0.3">
      <c r="A124" s="245" t="s">
        <v>312</v>
      </c>
      <c r="B124" s="95" t="s">
        <v>313</v>
      </c>
      <c r="C124" s="869"/>
      <c r="D124" s="879"/>
      <c r="E124" s="880"/>
      <c r="F124" s="880"/>
      <c r="G124" s="128"/>
      <c r="H124" s="129"/>
      <c r="I124" s="842"/>
    </row>
    <row r="125" spans="1:56" ht="40.049999999999997" customHeight="1" x14ac:dyDescent="0.3">
      <c r="A125" s="245" t="s">
        <v>314</v>
      </c>
      <c r="B125" s="95" t="s">
        <v>315</v>
      </c>
      <c r="C125" s="869"/>
      <c r="D125" s="879"/>
      <c r="E125" s="880"/>
      <c r="F125" s="880"/>
      <c r="G125" s="128"/>
      <c r="H125" s="129"/>
      <c r="I125" s="842"/>
    </row>
    <row r="126" spans="1:56" ht="40.049999999999997" customHeight="1" x14ac:dyDescent="0.3">
      <c r="A126" s="245" t="s">
        <v>316</v>
      </c>
      <c r="B126" s="95" t="s">
        <v>317</v>
      </c>
      <c r="C126" s="869"/>
      <c r="D126" s="879"/>
      <c r="E126" s="880"/>
      <c r="F126" s="880"/>
      <c r="G126" s="128"/>
      <c r="H126" s="129"/>
      <c r="I126" s="842"/>
    </row>
    <row r="127" spans="1:56" ht="40.049999999999997" customHeight="1" x14ac:dyDescent="0.3">
      <c r="A127" s="245" t="s">
        <v>318</v>
      </c>
      <c r="B127" s="95" t="s">
        <v>319</v>
      </c>
      <c r="C127" s="869"/>
      <c r="D127" s="879"/>
      <c r="E127" s="879"/>
      <c r="F127" s="880"/>
      <c r="G127" s="128"/>
      <c r="H127" s="129"/>
      <c r="I127" s="842"/>
    </row>
    <row r="128" spans="1:56" ht="40.049999999999997" customHeight="1" x14ac:dyDescent="0.3">
      <c r="A128" s="241" t="s">
        <v>320</v>
      </c>
      <c r="B128" s="90" t="s">
        <v>321</v>
      </c>
      <c r="C128" s="873"/>
      <c r="D128" s="874"/>
      <c r="E128" s="875"/>
      <c r="F128" s="875"/>
      <c r="G128" s="876"/>
      <c r="H128" s="877"/>
      <c r="I128" s="842"/>
    </row>
    <row r="129" spans="1:9" ht="40.049999999999997" customHeight="1" x14ac:dyDescent="0.3">
      <c r="A129" s="235" t="s">
        <v>322</v>
      </c>
      <c r="B129" s="96" t="s">
        <v>323</v>
      </c>
      <c r="C129" s="873"/>
      <c r="D129" s="874"/>
      <c r="E129" s="875"/>
      <c r="F129" s="875"/>
      <c r="G129" s="876"/>
      <c r="H129" s="877"/>
      <c r="I129" s="842"/>
    </row>
    <row r="130" spans="1:9" ht="40.049999999999997" customHeight="1" x14ac:dyDescent="0.3">
      <c r="A130" s="243" t="s">
        <v>324</v>
      </c>
      <c r="B130" s="97" t="s">
        <v>325</v>
      </c>
      <c r="C130" s="869"/>
      <c r="D130" s="879"/>
      <c r="E130" s="869"/>
      <c r="F130" s="880"/>
      <c r="G130" s="128"/>
      <c r="H130" s="129"/>
      <c r="I130" s="842"/>
    </row>
    <row r="131" spans="1:9" ht="40.049999999999997" customHeight="1" x14ac:dyDescent="0.3">
      <c r="A131" s="246" t="s">
        <v>326</v>
      </c>
      <c r="B131" s="98" t="s">
        <v>327</v>
      </c>
      <c r="C131" s="869"/>
      <c r="D131" s="879"/>
      <c r="E131" s="869"/>
      <c r="F131" s="880"/>
      <c r="G131" s="128"/>
      <c r="H131" s="129"/>
      <c r="I131" s="842"/>
    </row>
    <row r="132" spans="1:9" ht="40.049999999999997" customHeight="1" x14ac:dyDescent="0.3">
      <c r="A132" s="243" t="s">
        <v>328</v>
      </c>
      <c r="B132" s="97" t="s">
        <v>329</v>
      </c>
      <c r="C132" s="869"/>
      <c r="D132" s="879"/>
      <c r="E132" s="881"/>
      <c r="F132" s="880"/>
      <c r="G132" s="128"/>
      <c r="H132" s="129"/>
      <c r="I132" s="842"/>
    </row>
    <row r="133" spans="1:9" ht="40.049999999999997" customHeight="1" x14ac:dyDescent="0.3">
      <c r="A133" s="243" t="s">
        <v>330</v>
      </c>
      <c r="B133" s="97" t="s">
        <v>331</v>
      </c>
      <c r="C133" s="870"/>
      <c r="D133" s="879"/>
      <c r="E133" s="871"/>
      <c r="F133" s="880"/>
      <c r="G133" s="128"/>
      <c r="H133" s="129"/>
      <c r="I133" s="842"/>
    </row>
    <row r="134" spans="1:9" ht="40.049999999999997" customHeight="1" x14ac:dyDescent="0.3">
      <c r="A134" s="243" t="s">
        <v>332</v>
      </c>
      <c r="B134" s="97" t="s">
        <v>333</v>
      </c>
      <c r="C134" s="869"/>
      <c r="D134" s="879"/>
      <c r="E134" s="880"/>
      <c r="F134" s="880"/>
      <c r="G134" s="128"/>
      <c r="H134" s="129"/>
      <c r="I134" s="842"/>
    </row>
    <row r="135" spans="1:9" ht="40.049999999999997" customHeight="1" x14ac:dyDescent="0.3">
      <c r="A135" s="243" t="s">
        <v>334</v>
      </c>
      <c r="B135" s="97" t="s">
        <v>335</v>
      </c>
      <c r="C135" s="869"/>
      <c r="D135" s="870"/>
      <c r="E135" s="869"/>
      <c r="F135" s="871"/>
      <c r="G135" s="128"/>
      <c r="H135" s="129"/>
      <c r="I135" s="842"/>
    </row>
    <row r="136" spans="1:9" ht="40.049999999999997" customHeight="1" x14ac:dyDescent="0.3">
      <c r="A136" s="243" t="s">
        <v>336</v>
      </c>
      <c r="B136" s="97" t="s">
        <v>337</v>
      </c>
      <c r="C136" s="869"/>
      <c r="D136" s="879"/>
      <c r="E136" s="869"/>
      <c r="F136" s="880"/>
      <c r="G136" s="128"/>
      <c r="H136" s="129"/>
      <c r="I136" s="842"/>
    </row>
    <row r="137" spans="1:9" ht="40.049999999999997" customHeight="1" x14ac:dyDescent="0.3">
      <c r="A137" s="243" t="s">
        <v>338</v>
      </c>
      <c r="B137" s="97" t="s">
        <v>339</v>
      </c>
      <c r="C137" s="869"/>
      <c r="D137" s="879"/>
      <c r="E137" s="880"/>
      <c r="F137" s="880"/>
      <c r="G137" s="128"/>
      <c r="H137" s="129"/>
      <c r="I137" s="842"/>
    </row>
    <row r="138" spans="1:9" ht="40.049999999999997" customHeight="1" x14ac:dyDescent="0.3">
      <c r="A138" s="243" t="s">
        <v>340</v>
      </c>
      <c r="B138" s="97" t="s">
        <v>341</v>
      </c>
      <c r="C138" s="869"/>
      <c r="D138" s="879"/>
      <c r="E138" s="880"/>
      <c r="F138" s="880"/>
      <c r="G138" s="128"/>
      <c r="H138" s="129"/>
      <c r="I138" s="842"/>
    </row>
    <row r="139" spans="1:9" ht="40.049999999999997" customHeight="1" x14ac:dyDescent="0.3">
      <c r="A139" s="243" t="s">
        <v>342</v>
      </c>
      <c r="B139" s="97" t="s">
        <v>343</v>
      </c>
      <c r="C139" s="869"/>
      <c r="D139" s="879"/>
      <c r="E139" s="880"/>
      <c r="F139" s="880"/>
      <c r="G139" s="128"/>
      <c r="H139" s="129"/>
      <c r="I139" s="842"/>
    </row>
    <row r="140" spans="1:9" ht="40.049999999999997" customHeight="1" x14ac:dyDescent="0.3">
      <c r="A140" s="243" t="s">
        <v>344</v>
      </c>
      <c r="B140" s="97" t="s">
        <v>345</v>
      </c>
      <c r="C140" s="869"/>
      <c r="D140" s="879"/>
      <c r="E140" s="880"/>
      <c r="F140" s="880"/>
      <c r="G140" s="128"/>
      <c r="H140" s="129"/>
      <c r="I140" s="842"/>
    </row>
    <row r="141" spans="1:9" ht="40.049999999999997" customHeight="1" x14ac:dyDescent="0.3">
      <c r="A141" s="243" t="s">
        <v>346</v>
      </c>
      <c r="B141" s="97" t="s">
        <v>347</v>
      </c>
      <c r="C141" s="869"/>
      <c r="D141" s="879"/>
      <c r="E141" s="880"/>
      <c r="F141" s="880"/>
      <c r="G141" s="128"/>
      <c r="H141" s="129"/>
      <c r="I141" s="842"/>
    </row>
    <row r="142" spans="1:9" ht="40.049999999999997" customHeight="1" x14ac:dyDescent="0.3">
      <c r="A142" s="237" t="s">
        <v>348</v>
      </c>
      <c r="B142" s="94" t="s">
        <v>349</v>
      </c>
      <c r="C142" s="873"/>
      <c r="D142" s="874"/>
      <c r="E142" s="875"/>
      <c r="F142" s="875"/>
      <c r="G142" s="876"/>
      <c r="H142" s="877"/>
      <c r="I142" s="842"/>
    </row>
    <row r="143" spans="1:9" ht="40.049999999999997" customHeight="1" x14ac:dyDescent="0.3">
      <c r="A143" s="243" t="s">
        <v>350</v>
      </c>
      <c r="B143" s="92" t="s">
        <v>351</v>
      </c>
      <c r="C143" s="869"/>
      <c r="D143" s="879"/>
      <c r="E143" s="869"/>
      <c r="F143" s="880"/>
      <c r="G143" s="128"/>
      <c r="H143" s="129"/>
      <c r="I143" s="842"/>
    </row>
    <row r="144" spans="1:9" ht="40.049999999999997" customHeight="1" x14ac:dyDescent="0.3">
      <c r="A144" s="243" t="s">
        <v>352</v>
      </c>
      <c r="B144" s="92" t="s">
        <v>353</v>
      </c>
      <c r="C144" s="869"/>
      <c r="D144" s="879"/>
      <c r="E144" s="880"/>
      <c r="F144" s="880"/>
      <c r="G144" s="128"/>
      <c r="H144" s="129"/>
      <c r="I144" s="842"/>
    </row>
    <row r="145" spans="1:9" ht="40.049999999999997" customHeight="1" x14ac:dyDescent="0.3">
      <c r="A145" s="243" t="s">
        <v>354</v>
      </c>
      <c r="B145" s="92" t="s">
        <v>355</v>
      </c>
      <c r="C145" s="869"/>
      <c r="D145" s="879"/>
      <c r="E145" s="880"/>
      <c r="F145" s="880"/>
      <c r="G145" s="128"/>
      <c r="H145" s="129"/>
      <c r="I145" s="842"/>
    </row>
    <row r="146" spans="1:9" ht="40.049999999999997" customHeight="1" x14ac:dyDescent="0.3">
      <c r="A146" s="237" t="s">
        <v>356</v>
      </c>
      <c r="B146" s="94" t="s">
        <v>357</v>
      </c>
      <c r="C146" s="873"/>
      <c r="D146" s="874"/>
      <c r="E146" s="875"/>
      <c r="F146" s="875"/>
      <c r="G146" s="876"/>
      <c r="H146" s="877"/>
      <c r="I146" s="842"/>
    </row>
    <row r="147" spans="1:9" ht="40.049999999999997" customHeight="1" x14ac:dyDescent="0.3">
      <c r="A147" s="243" t="s">
        <v>358</v>
      </c>
      <c r="B147" s="92" t="s">
        <v>359</v>
      </c>
      <c r="C147" s="869"/>
      <c r="D147" s="879"/>
      <c r="E147" s="869"/>
      <c r="F147" s="880"/>
      <c r="G147" s="128"/>
      <c r="H147" s="129"/>
      <c r="I147" s="842"/>
    </row>
    <row r="148" spans="1:9" ht="40.049999999999997" customHeight="1" x14ac:dyDescent="0.3">
      <c r="A148" s="243" t="s">
        <v>360</v>
      </c>
      <c r="B148" s="92" t="s">
        <v>361</v>
      </c>
      <c r="C148" s="870"/>
      <c r="D148" s="879"/>
      <c r="E148" s="871"/>
      <c r="F148" s="880"/>
      <c r="G148" s="128"/>
      <c r="H148" s="129"/>
      <c r="I148" s="842"/>
    </row>
    <row r="149" spans="1:9" ht="40.049999999999997" customHeight="1" x14ac:dyDescent="0.3">
      <c r="A149" s="243" t="s">
        <v>362</v>
      </c>
      <c r="B149" s="92" t="s">
        <v>363</v>
      </c>
      <c r="C149" s="869"/>
      <c r="D149" s="879"/>
      <c r="E149" s="869"/>
      <c r="F149" s="880"/>
      <c r="G149" s="128"/>
      <c r="H149" s="129"/>
      <c r="I149" s="842"/>
    </row>
    <row r="150" spans="1:9" ht="40.049999999999997" customHeight="1" x14ac:dyDescent="0.3">
      <c r="A150" s="237" t="s">
        <v>364</v>
      </c>
      <c r="B150" s="84" t="s">
        <v>365</v>
      </c>
      <c r="C150" s="873"/>
      <c r="D150" s="874"/>
      <c r="E150" s="875"/>
      <c r="F150" s="875"/>
      <c r="G150" s="876"/>
      <c r="H150" s="877"/>
      <c r="I150" s="842"/>
    </row>
    <row r="151" spans="1:9" ht="40.049999999999997" customHeight="1" x14ac:dyDescent="0.3">
      <c r="A151" s="247" t="s">
        <v>366</v>
      </c>
      <c r="B151" s="99" t="s">
        <v>367</v>
      </c>
      <c r="C151" s="879"/>
      <c r="D151" s="879"/>
      <c r="E151" s="880"/>
      <c r="F151" s="880"/>
      <c r="G151" s="128"/>
      <c r="H151" s="129"/>
      <c r="I151" s="842"/>
    </row>
    <row r="152" spans="1:9" ht="40.049999999999997" customHeight="1" x14ac:dyDescent="0.3">
      <c r="A152" s="248" t="s">
        <v>368</v>
      </c>
      <c r="B152" s="100" t="s">
        <v>369</v>
      </c>
      <c r="C152" s="879"/>
      <c r="D152" s="879"/>
      <c r="E152" s="880"/>
      <c r="F152" s="880"/>
      <c r="G152" s="128"/>
      <c r="H152" s="129"/>
      <c r="I152" s="842"/>
    </row>
    <row r="153" spans="1:9" ht="40.049999999999997" customHeight="1" x14ac:dyDescent="0.3">
      <c r="A153" s="248" t="s">
        <v>370</v>
      </c>
      <c r="B153" s="100" t="s">
        <v>371</v>
      </c>
      <c r="C153" s="870"/>
      <c r="D153" s="879"/>
      <c r="E153" s="871"/>
      <c r="F153" s="880"/>
      <c r="G153" s="128"/>
      <c r="H153" s="129"/>
      <c r="I153" s="842"/>
    </row>
    <row r="154" spans="1:9" ht="40.049999999999997" customHeight="1" x14ac:dyDescent="0.3">
      <c r="A154" s="249" t="s">
        <v>372</v>
      </c>
      <c r="B154" s="101" t="s">
        <v>373</v>
      </c>
      <c r="C154" s="870"/>
      <c r="D154" s="879"/>
      <c r="E154" s="880"/>
      <c r="F154" s="880"/>
      <c r="G154" s="128"/>
      <c r="H154" s="129"/>
      <c r="I154" s="842"/>
    </row>
    <row r="155" spans="1:9" ht="40.049999999999997" customHeight="1" x14ac:dyDescent="0.3">
      <c r="A155" s="249" t="s">
        <v>374</v>
      </c>
      <c r="B155" s="101" t="s">
        <v>375</v>
      </c>
      <c r="C155" s="870"/>
      <c r="D155" s="879"/>
      <c r="E155" s="880"/>
      <c r="F155" s="880"/>
      <c r="G155" s="128"/>
      <c r="H155" s="129"/>
      <c r="I155" s="842"/>
    </row>
    <row r="156" spans="1:9" ht="40.049999999999997" customHeight="1" x14ac:dyDescent="0.3">
      <c r="A156" s="249" t="s">
        <v>376</v>
      </c>
      <c r="B156" s="101" t="s">
        <v>377</v>
      </c>
      <c r="C156" s="870"/>
      <c r="D156" s="879"/>
      <c r="E156" s="871"/>
      <c r="F156" s="880"/>
      <c r="G156" s="128"/>
      <c r="H156" s="129"/>
      <c r="I156" s="842"/>
    </row>
    <row r="157" spans="1:9" ht="40.049999999999997" customHeight="1" x14ac:dyDescent="0.3">
      <c r="A157" s="249" t="s">
        <v>378</v>
      </c>
      <c r="B157" s="102" t="s">
        <v>379</v>
      </c>
      <c r="C157" s="879"/>
      <c r="D157" s="879"/>
      <c r="E157" s="880"/>
      <c r="F157" s="880"/>
      <c r="G157" s="128"/>
      <c r="H157" s="129"/>
      <c r="I157" s="842"/>
    </row>
    <row r="158" spans="1:9" ht="40.049999999999997" customHeight="1" x14ac:dyDescent="0.3">
      <c r="A158" s="237" t="s">
        <v>380</v>
      </c>
      <c r="B158" s="84" t="s">
        <v>381</v>
      </c>
      <c r="C158" s="873"/>
      <c r="D158" s="874"/>
      <c r="E158" s="875"/>
      <c r="F158" s="875"/>
      <c r="G158" s="876"/>
      <c r="H158" s="877"/>
      <c r="I158" s="842"/>
    </row>
    <row r="159" spans="1:9" ht="40.049999999999997" customHeight="1" x14ac:dyDescent="0.3">
      <c r="A159" s="243" t="s">
        <v>382</v>
      </c>
      <c r="B159" s="92" t="s">
        <v>383</v>
      </c>
      <c r="C159" s="869"/>
      <c r="D159" s="879"/>
      <c r="E159" s="880"/>
      <c r="F159" s="880"/>
      <c r="G159" s="128"/>
      <c r="H159" s="129"/>
      <c r="I159" s="842"/>
    </row>
    <row r="160" spans="1:9" ht="40.049999999999997" customHeight="1" x14ac:dyDescent="0.3">
      <c r="A160" s="243" t="s">
        <v>384</v>
      </c>
      <c r="B160" s="92" t="s">
        <v>385</v>
      </c>
      <c r="C160" s="869"/>
      <c r="D160" s="879"/>
      <c r="E160" s="869"/>
      <c r="F160" s="880"/>
      <c r="G160" s="128"/>
      <c r="H160" s="129"/>
      <c r="I160" s="842"/>
    </row>
    <row r="161" spans="1:66" ht="40.049999999999997" customHeight="1" x14ac:dyDescent="0.3">
      <c r="A161" s="243" t="s">
        <v>386</v>
      </c>
      <c r="B161" s="92" t="s">
        <v>387</v>
      </c>
      <c r="C161" s="869"/>
      <c r="D161" s="879"/>
      <c r="E161" s="869"/>
      <c r="F161" s="880"/>
      <c r="G161" s="128"/>
      <c r="H161" s="129"/>
      <c r="I161" s="842"/>
    </row>
    <row r="162" spans="1:66" ht="40.049999999999997" customHeight="1" x14ac:dyDescent="0.3">
      <c r="A162" s="243" t="s">
        <v>388</v>
      </c>
      <c r="B162" s="92" t="s">
        <v>389</v>
      </c>
      <c r="C162" s="869"/>
      <c r="D162" s="879"/>
      <c r="E162" s="869"/>
      <c r="F162" s="880"/>
      <c r="G162" s="128"/>
      <c r="H162" s="129"/>
      <c r="I162" s="842"/>
    </row>
    <row r="163" spans="1:66" ht="40.049999999999997" customHeight="1" x14ac:dyDescent="0.3">
      <c r="A163" s="237" t="s">
        <v>390</v>
      </c>
      <c r="B163" s="94" t="s">
        <v>391</v>
      </c>
      <c r="C163" s="873"/>
      <c r="D163" s="874"/>
      <c r="E163" s="875"/>
      <c r="F163" s="875"/>
      <c r="G163" s="876"/>
      <c r="H163" s="877"/>
      <c r="I163" s="842"/>
    </row>
    <row r="164" spans="1:66" ht="40.049999999999997" customHeight="1" x14ac:dyDescent="0.3">
      <c r="A164" s="250" t="s">
        <v>392</v>
      </c>
      <c r="B164" s="104" t="s">
        <v>393</v>
      </c>
      <c r="C164" s="869"/>
      <c r="D164" s="879"/>
      <c r="E164" s="869"/>
      <c r="F164" s="880"/>
      <c r="G164" s="128"/>
      <c r="H164" s="129"/>
      <c r="I164" s="842"/>
    </row>
    <row r="165" spans="1:66" ht="40.049999999999997" customHeight="1" x14ac:dyDescent="0.45">
      <c r="A165" s="250" t="s">
        <v>394</v>
      </c>
      <c r="B165" s="104" t="s">
        <v>395</v>
      </c>
      <c r="C165" s="869"/>
      <c r="D165" s="879"/>
      <c r="E165" s="869"/>
      <c r="F165" s="880"/>
      <c r="G165" s="128"/>
      <c r="H165" s="129"/>
      <c r="I165" s="842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</row>
    <row r="166" spans="1:66" ht="40.049999999999997" customHeight="1" thickBot="1" x14ac:dyDescent="0.35">
      <c r="A166" s="251" t="s">
        <v>396</v>
      </c>
      <c r="B166" s="105" t="s">
        <v>397</v>
      </c>
      <c r="C166" s="882"/>
      <c r="D166" s="883"/>
      <c r="E166" s="882"/>
      <c r="F166" s="884"/>
      <c r="G166" s="130"/>
      <c r="H166" s="131"/>
      <c r="I166" s="842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66" x14ac:dyDescent="0.3">
      <c r="A167" s="109"/>
      <c r="B167" s="110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</row>
    <row r="168" spans="1:66" x14ac:dyDescent="0.3">
      <c r="A168" s="109"/>
      <c r="B168" s="110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x14ac:dyDescent="0.3">
      <c r="A169" s="109"/>
      <c r="B169" s="110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x14ac:dyDescent="0.3">
      <c r="A170" s="109"/>
      <c r="B170" s="110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x14ac:dyDescent="0.3">
      <c r="A171" s="109"/>
      <c r="B171" s="110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x14ac:dyDescent="0.3">
      <c r="A172" s="109"/>
      <c r="B172" s="110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x14ac:dyDescent="0.3">
      <c r="A173" s="109"/>
      <c r="B173" s="110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x14ac:dyDescent="0.3">
      <c r="A174" s="38"/>
      <c r="B174" s="110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x14ac:dyDescent="0.3">
      <c r="A175" s="38"/>
      <c r="B175" s="110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x14ac:dyDescent="0.3">
      <c r="A176" s="38"/>
      <c r="B176" s="110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x14ac:dyDescent="0.3">
      <c r="A177" s="38"/>
      <c r="B177" s="110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ht="15.6" customHeight="1" x14ac:dyDescent="0.3">
      <c r="A178" s="25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ht="18" customHeight="1" x14ac:dyDescent="0.3">
      <c r="A179" s="35"/>
      <c r="B179" s="36"/>
      <c r="C179" s="37"/>
      <c r="D179" s="37"/>
      <c r="E179" s="37"/>
      <c r="F179" s="36"/>
      <c r="G179" s="36"/>
      <c r="H179" s="36"/>
      <c r="I179" s="8"/>
      <c r="J179" s="8"/>
      <c r="K179" s="8"/>
      <c r="L179" s="8"/>
      <c r="M179" s="8"/>
      <c r="N179" s="8"/>
      <c r="O179" s="1"/>
      <c r="P179" s="37"/>
      <c r="Q179" s="37"/>
      <c r="R179" s="37"/>
      <c r="S179" s="37"/>
      <c r="T179" s="37"/>
      <c r="U179" s="37"/>
      <c r="V179" s="36"/>
      <c r="W179" s="36"/>
      <c r="X179" s="36"/>
      <c r="Y179" s="36"/>
      <c r="Z179" s="8"/>
      <c r="AA179" s="8"/>
      <c r="AB179" s="8"/>
      <c r="AC179" s="36"/>
      <c r="AD179" s="37"/>
      <c r="AE179" s="111"/>
      <c r="AF179" s="111"/>
      <c r="AG179" s="111"/>
      <c r="AH179" s="111"/>
      <c r="AI179" s="1"/>
      <c r="AJ179" s="1"/>
      <c r="AK179" s="1"/>
      <c r="AL179" s="1"/>
      <c r="AM179" s="1"/>
      <c r="AN179" s="1"/>
      <c r="AO179" s="8"/>
      <c r="AP179" s="8"/>
      <c r="AQ179" s="8"/>
      <c r="AR179" s="8"/>
      <c r="AS179" s="8"/>
      <c r="AT179" s="8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</row>
    <row r="180" spans="1:66" ht="25.8" customHeight="1" x14ac:dyDescent="0.3">
      <c r="A180" s="38"/>
      <c r="B180" s="39" t="s">
        <v>398</v>
      </c>
      <c r="C180" s="39"/>
      <c r="D180" s="39"/>
      <c r="E180" s="39"/>
      <c r="F180" s="1008" t="s">
        <v>44</v>
      </c>
      <c r="G180" s="1009"/>
      <c r="H180" s="1009"/>
      <c r="I180" s="1009"/>
      <c r="J180" s="1009"/>
      <c r="K180" s="1009"/>
      <c r="L180" s="1009"/>
      <c r="M180" s="1009"/>
      <c r="N180" s="1009"/>
      <c r="O180" s="1"/>
      <c r="P180" s="40"/>
      <c r="Q180" s="40"/>
      <c r="R180" s="40"/>
      <c r="S180" s="40"/>
      <c r="T180" s="1"/>
      <c r="U180" s="1"/>
      <c r="W180" s="995" t="s">
        <v>399</v>
      </c>
      <c r="X180" s="978"/>
      <c r="Y180" s="978"/>
      <c r="Z180" s="978"/>
      <c r="AA180" s="978"/>
      <c r="AB180" s="978"/>
      <c r="AC180" s="39"/>
      <c r="AD180" s="1"/>
      <c r="AE180" s="1"/>
      <c r="AF180" s="1"/>
      <c r="AG180" s="1"/>
      <c r="AH180" s="1"/>
      <c r="AI180" s="982" t="s">
        <v>73</v>
      </c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78"/>
      <c r="AW180" s="978"/>
      <c r="AX180" s="978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982"/>
      <c r="BJ180" s="978"/>
      <c r="BK180" s="978"/>
      <c r="BL180" s="978"/>
      <c r="BM180" s="978"/>
      <c r="BN180" s="1"/>
    </row>
    <row r="181" spans="1:66" ht="23.25" customHeight="1" x14ac:dyDescent="0.3">
      <c r="A181" s="38"/>
      <c r="B181" s="41" t="s">
        <v>35</v>
      </c>
      <c r="C181" s="41"/>
      <c r="D181" s="41"/>
      <c r="E181" s="41"/>
      <c r="F181" s="1006" t="s">
        <v>45</v>
      </c>
      <c r="G181" s="978"/>
      <c r="H181" s="978"/>
      <c r="I181" s="978"/>
      <c r="J181" s="978"/>
      <c r="K181" s="978"/>
      <c r="L181" s="978"/>
      <c r="M181" s="978"/>
      <c r="N181" s="978"/>
      <c r="O181" s="42"/>
      <c r="P181" s="42"/>
      <c r="Q181" s="42"/>
      <c r="R181" s="42"/>
      <c r="S181" s="42"/>
      <c r="T181" s="1"/>
      <c r="U181" s="1"/>
      <c r="V181" s="1007"/>
      <c r="W181" s="978"/>
      <c r="X181" s="978"/>
      <c r="Y181" s="978"/>
      <c r="Z181" s="978"/>
      <c r="AA181" s="978"/>
      <c r="AB181" s="978"/>
      <c r="AC181" s="978"/>
      <c r="AD181" s="1"/>
      <c r="AE181" s="1"/>
      <c r="AF181" s="1"/>
      <c r="AG181" s="1"/>
      <c r="AH181" s="1"/>
      <c r="AI181" s="42"/>
      <c r="AJ181" s="42"/>
      <c r="AK181" s="42"/>
      <c r="AL181" s="42"/>
      <c r="AM181" s="42"/>
      <c r="AN181" s="1020" t="s">
        <v>74</v>
      </c>
      <c r="AO181" s="978"/>
      <c r="AP181" s="978"/>
      <c r="AQ181" s="978"/>
      <c r="AR181" s="978"/>
      <c r="AS181" s="978"/>
      <c r="AT181" s="978"/>
      <c r="AU181" s="9"/>
      <c r="AV181" s="9"/>
      <c r="AW181" s="9"/>
      <c r="AX181" s="9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016"/>
      <c r="BJ181" s="978"/>
      <c r="BK181" s="978"/>
      <c r="BL181" s="978"/>
      <c r="BM181" s="978"/>
      <c r="BN181" s="1"/>
    </row>
    <row r="182" spans="1:66" ht="18" customHeight="1" x14ac:dyDescent="0.35">
      <c r="B182" s="44"/>
      <c r="C182" s="44"/>
      <c r="D182" s="44"/>
      <c r="E182" s="44"/>
      <c r="F182" s="44"/>
      <c r="G182" s="45"/>
      <c r="H182" s="45"/>
      <c r="I182" s="1"/>
      <c r="J182" s="1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1007"/>
      <c r="W182" s="978"/>
      <c r="X182" s="978"/>
      <c r="Y182" s="978"/>
      <c r="Z182" s="978"/>
      <c r="AA182" s="978"/>
      <c r="AB182" s="1"/>
      <c r="AC182" s="45"/>
      <c r="AD182" s="1"/>
      <c r="AE182" s="1"/>
      <c r="AF182" s="1"/>
      <c r="AG182" s="1"/>
      <c r="AH182" s="1"/>
      <c r="AI182" s="42"/>
      <c r="AJ182" s="42"/>
      <c r="AK182" s="42"/>
      <c r="AL182" s="42"/>
      <c r="AM182" s="42"/>
      <c r="AN182" s="42"/>
      <c r="AO182" s="42"/>
      <c r="AP182" s="42"/>
      <c r="AQ182" s="9"/>
      <c r="AR182" s="9"/>
      <c r="AS182" s="9"/>
      <c r="AT182" s="9"/>
      <c r="AU182" s="9"/>
      <c r="AV182" s="9"/>
      <c r="AW182" s="9"/>
      <c r="AX182" s="9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</row>
    <row r="183" spans="1:66" ht="22.2" customHeight="1" x14ac:dyDescent="0.35">
      <c r="A183" s="1"/>
      <c r="B183" s="46"/>
      <c r="C183" s="46"/>
      <c r="D183" s="46"/>
      <c r="E183" s="46"/>
      <c r="F183" s="46"/>
      <c r="G183" s="46"/>
      <c r="H183" s="46"/>
      <c r="I183" s="1"/>
      <c r="J183" s="1"/>
      <c r="K183" s="46"/>
      <c r="L183" s="46"/>
      <c r="M183" s="47"/>
      <c r="N183" s="46"/>
      <c r="O183" s="46"/>
      <c r="P183" s="46"/>
      <c r="Q183" s="46"/>
      <c r="R183" s="46"/>
      <c r="S183" s="46"/>
      <c r="T183" s="46"/>
      <c r="U183" s="46"/>
      <c r="V183" s="843"/>
      <c r="AB183" s="1"/>
      <c r="AC183" s="46"/>
      <c r="AD183" s="46"/>
      <c r="AE183" s="47"/>
      <c r="AF183" s="46"/>
      <c r="AG183" s="46"/>
      <c r="AH183" s="46"/>
      <c r="AI183" s="42"/>
      <c r="AJ183" s="42"/>
      <c r="AK183" s="42"/>
      <c r="AL183" s="42"/>
      <c r="AM183" s="42"/>
      <c r="AN183" s="42"/>
      <c r="AO183" s="42"/>
      <c r="AP183" s="42"/>
      <c r="AQ183" s="9"/>
      <c r="AR183" s="9"/>
      <c r="AS183" s="9"/>
      <c r="AT183" s="9"/>
      <c r="AU183" s="9"/>
      <c r="AV183" s="9"/>
      <c r="AW183" s="9"/>
      <c r="AX183" s="9"/>
      <c r="BE183" s="1"/>
      <c r="BF183" s="1"/>
      <c r="BG183" s="1"/>
      <c r="BH183" s="1"/>
      <c r="BI183" s="1"/>
      <c r="BJ183" s="1"/>
      <c r="BK183" s="1"/>
      <c r="BL183" s="1"/>
      <c r="BM183" s="1"/>
      <c r="BN183" s="1"/>
    </row>
    <row r="184" spans="1:66" x14ac:dyDescent="0.3">
      <c r="A184" s="1"/>
      <c r="B184" s="1"/>
      <c r="C184" s="48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H184" s="48"/>
      <c r="BE184" s="1"/>
      <c r="BF184" s="1"/>
      <c r="BG184" s="1"/>
      <c r="BH184" s="1"/>
      <c r="BI184" s="1"/>
      <c r="BJ184" s="1"/>
      <c r="BK184" s="1"/>
      <c r="BL184" s="1"/>
      <c r="BM184" s="1"/>
      <c r="BN184" s="1"/>
    </row>
    <row r="185" spans="1:66" x14ac:dyDescent="0.3">
      <c r="A185" s="1"/>
      <c r="B185" s="1"/>
      <c r="C185" s="48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H185" s="48"/>
      <c r="BE185" s="1"/>
      <c r="BF185" s="1"/>
      <c r="BG185" s="1"/>
      <c r="BH185" s="1"/>
      <c r="BI185" s="1"/>
      <c r="BJ185" s="1"/>
      <c r="BK185" s="1"/>
      <c r="BL185" s="1"/>
      <c r="BM185" s="1"/>
      <c r="BN185" s="1"/>
    </row>
    <row r="186" spans="1:66" x14ac:dyDescent="0.3">
      <c r="A186" s="1"/>
      <c r="B186" s="1"/>
      <c r="C186" s="48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</row>
    <row r="187" spans="1:66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</row>
    <row r="188" spans="1:66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</row>
    <row r="189" spans="1:66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</row>
  </sheetData>
  <mergeCells count="103">
    <mergeCell ref="BI181:BM181"/>
    <mergeCell ref="AA6:AC6"/>
    <mergeCell ref="G6:I11"/>
    <mergeCell ref="AA15:AC15"/>
    <mergeCell ref="S7:U7"/>
    <mergeCell ref="AN181:AT181"/>
    <mergeCell ref="AE8:AG8"/>
    <mergeCell ref="AA7:AC7"/>
    <mergeCell ref="S10:U10"/>
    <mergeCell ref="AM10:AO10"/>
    <mergeCell ref="AE10:AG10"/>
    <mergeCell ref="S9:U9"/>
    <mergeCell ref="O8:Q8"/>
    <mergeCell ref="W11:Y11"/>
    <mergeCell ref="O11:Q11"/>
    <mergeCell ref="K6:M6"/>
    <mergeCell ref="AA9:AC9"/>
    <mergeCell ref="AE12:AG12"/>
    <mergeCell ref="AI6:AK6"/>
    <mergeCell ref="A3:A5"/>
    <mergeCell ref="S8:U8"/>
    <mergeCell ref="A17:A19"/>
    <mergeCell ref="C6:F11"/>
    <mergeCell ref="F181:N181"/>
    <mergeCell ref="V182:AA182"/>
    <mergeCell ref="F180:N180"/>
    <mergeCell ref="V181:AC181"/>
    <mergeCell ref="AE9:AG9"/>
    <mergeCell ref="AA11:AC11"/>
    <mergeCell ref="AE11:AG11"/>
    <mergeCell ref="W14:Y14"/>
    <mergeCell ref="K13:M13"/>
    <mergeCell ref="W13:Y13"/>
    <mergeCell ref="S12:U12"/>
    <mergeCell ref="K15:M15"/>
    <mergeCell ref="B17:B19"/>
    <mergeCell ref="W6:Y6"/>
    <mergeCell ref="O6:Q6"/>
    <mergeCell ref="W15:Y15"/>
    <mergeCell ref="AA13:AC13"/>
    <mergeCell ref="A16:AK16"/>
    <mergeCell ref="E19:F19"/>
    <mergeCell ref="C3:AO5"/>
    <mergeCell ref="B3:B5"/>
    <mergeCell ref="AA12:AC12"/>
    <mergeCell ref="K7:M7"/>
    <mergeCell ref="AE6:AG6"/>
    <mergeCell ref="AM12:AO12"/>
    <mergeCell ref="AE15:AG15"/>
    <mergeCell ref="O14:Q14"/>
    <mergeCell ref="AA14:AC14"/>
    <mergeCell ref="O13:Q13"/>
    <mergeCell ref="O7:Q7"/>
    <mergeCell ref="AI8:AK8"/>
    <mergeCell ref="AE7:AG7"/>
    <mergeCell ref="W10:Y10"/>
    <mergeCell ref="O15:Q15"/>
    <mergeCell ref="AI10:AK10"/>
    <mergeCell ref="AI12:AK12"/>
    <mergeCell ref="AM6:AO6"/>
    <mergeCell ref="AM15:AO15"/>
    <mergeCell ref="AI14:AK14"/>
    <mergeCell ref="AI13:AK13"/>
    <mergeCell ref="AM14:AO14"/>
    <mergeCell ref="AM13:AO13"/>
    <mergeCell ref="C19:D19"/>
    <mergeCell ref="O9:Q9"/>
    <mergeCell ref="AI9:AK9"/>
    <mergeCell ref="S11:U11"/>
    <mergeCell ref="K11:M11"/>
    <mergeCell ref="AI11:AK11"/>
    <mergeCell ref="AM9:AO9"/>
    <mergeCell ref="K12:M12"/>
    <mergeCell ref="AM11:AO11"/>
    <mergeCell ref="W12:Y12"/>
    <mergeCell ref="K14:M14"/>
    <mergeCell ref="AE13:AG13"/>
    <mergeCell ref="W9:Y9"/>
    <mergeCell ref="O12:Q12"/>
    <mergeCell ref="AD18:AI18"/>
    <mergeCell ref="AJ18:AK18"/>
    <mergeCell ref="C12:F15"/>
    <mergeCell ref="AM7:AO7"/>
    <mergeCell ref="W8:Y8"/>
    <mergeCell ref="K10:M10"/>
    <mergeCell ref="AA8:AC8"/>
    <mergeCell ref="AM8:AO8"/>
    <mergeCell ref="O10:Q10"/>
    <mergeCell ref="AA10:AC10"/>
    <mergeCell ref="K9:M9"/>
    <mergeCell ref="K8:M8"/>
    <mergeCell ref="AI15:AK15"/>
    <mergeCell ref="S14:U14"/>
    <mergeCell ref="AE14:AG14"/>
    <mergeCell ref="S13:U13"/>
    <mergeCell ref="W7:Y7"/>
    <mergeCell ref="BI180:BM180"/>
    <mergeCell ref="G12:I15"/>
    <mergeCell ref="S6:U6"/>
    <mergeCell ref="AI7:AK7"/>
    <mergeCell ref="S15:U15"/>
    <mergeCell ref="AI180:AX180"/>
    <mergeCell ref="W180:AB18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D183"/>
  <sheetViews>
    <sheetView zoomScale="42" workbookViewId="0">
      <selection activeCell="AB19" sqref="AB19"/>
    </sheetView>
  </sheetViews>
  <sheetFormatPr baseColWidth="10" defaultRowHeight="14.4" x14ac:dyDescent="0.3"/>
  <cols>
    <col min="1" max="1" width="27.6640625" bestFit="1" customWidth="1"/>
    <col min="2" max="2" width="104.109375" bestFit="1" customWidth="1"/>
  </cols>
  <sheetData>
    <row r="1" spans="1:30" ht="61.95" customHeight="1" x14ac:dyDescent="0.3">
      <c r="A1" s="1003"/>
      <c r="B1" s="996" t="s">
        <v>0</v>
      </c>
      <c r="C1" s="1035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15"/>
      <c r="AA1" s="15"/>
      <c r="AB1" s="1"/>
      <c r="AC1" s="1"/>
      <c r="AD1" s="1"/>
    </row>
    <row r="2" spans="1:30" ht="24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15"/>
      <c r="AA2" s="15"/>
      <c r="AB2" s="1"/>
      <c r="AC2" s="1"/>
      <c r="AD2" s="1"/>
    </row>
    <row r="3" spans="1:30" ht="24" customHeight="1" thickBot="1" x14ac:dyDescent="0.3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15"/>
      <c r="AA3" s="15"/>
      <c r="AB3" s="1"/>
      <c r="AC3" s="1"/>
      <c r="AD3" s="1"/>
    </row>
    <row r="4" spans="1:30" ht="24" customHeight="1" x14ac:dyDescent="0.3">
      <c r="A4" s="230" t="s">
        <v>2</v>
      </c>
      <c r="B4" s="19" t="s">
        <v>3</v>
      </c>
      <c r="C4" s="990" t="s">
        <v>4</v>
      </c>
      <c r="D4" s="985"/>
      <c r="E4" s="1033">
        <v>46037</v>
      </c>
      <c r="F4" s="985"/>
      <c r="G4" s="616" t="s">
        <v>27</v>
      </c>
      <c r="H4" s="1028">
        <v>45933</v>
      </c>
      <c r="I4" s="984"/>
      <c r="J4" s="985"/>
      <c r="K4" s="602"/>
      <c r="L4" s="988"/>
      <c r="M4" s="984"/>
      <c r="N4" s="985"/>
      <c r="O4" s="602"/>
      <c r="P4" s="988"/>
      <c r="Q4" s="984"/>
      <c r="R4" s="985"/>
      <c r="S4" s="981"/>
      <c r="T4" s="978"/>
      <c r="U4" s="978"/>
      <c r="V4" s="601"/>
      <c r="W4" s="981"/>
      <c r="X4" s="978"/>
      <c r="Y4" s="978"/>
      <c r="Z4" s="16"/>
      <c r="AA4" s="16"/>
      <c r="AB4" s="18"/>
      <c r="AC4" s="18"/>
      <c r="AD4" s="1"/>
    </row>
    <row r="5" spans="1:30" ht="24" customHeight="1" thickBot="1" x14ac:dyDescent="0.35">
      <c r="A5" s="231" t="s">
        <v>14</v>
      </c>
      <c r="B5" s="20" t="s">
        <v>15</v>
      </c>
      <c r="C5" s="986"/>
      <c r="D5" s="979"/>
      <c r="E5" s="986"/>
      <c r="F5" s="979"/>
      <c r="G5" s="714" t="s">
        <v>56</v>
      </c>
      <c r="H5" s="1023">
        <v>45954</v>
      </c>
      <c r="I5" s="978"/>
      <c r="J5" s="978"/>
      <c r="K5" s="603"/>
      <c r="L5" s="977"/>
      <c r="M5" s="978"/>
      <c r="N5" s="979"/>
      <c r="O5" s="603"/>
      <c r="P5" s="977"/>
      <c r="Q5" s="978"/>
      <c r="R5" s="979"/>
      <c r="S5" s="981"/>
      <c r="T5" s="978"/>
      <c r="U5" s="978"/>
      <c r="V5" s="601"/>
      <c r="W5" s="981"/>
      <c r="X5" s="978"/>
      <c r="Y5" s="978"/>
      <c r="Z5" s="17"/>
      <c r="AA5" s="17"/>
      <c r="AB5" s="18"/>
      <c r="AC5" s="18"/>
      <c r="AD5" s="1"/>
    </row>
    <row r="6" spans="1:30" ht="24" customHeight="1" x14ac:dyDescent="0.3">
      <c r="A6" s="231" t="s">
        <v>24</v>
      </c>
      <c r="B6" s="20" t="s">
        <v>25</v>
      </c>
      <c r="C6" s="986"/>
      <c r="D6" s="979"/>
      <c r="E6" s="986"/>
      <c r="F6" s="979"/>
      <c r="G6" s="664" t="s">
        <v>67</v>
      </c>
      <c r="H6" s="1029">
        <v>45960</v>
      </c>
      <c r="I6" s="984"/>
      <c r="J6" s="985"/>
      <c r="K6" s="603"/>
      <c r="L6" s="977"/>
      <c r="M6" s="978"/>
      <c r="N6" s="979"/>
      <c r="O6" s="603"/>
      <c r="P6" s="977"/>
      <c r="Q6" s="978"/>
      <c r="R6" s="979"/>
      <c r="S6" s="981"/>
      <c r="T6" s="978"/>
      <c r="U6" s="978"/>
      <c r="V6" s="617"/>
      <c r="W6" s="981"/>
      <c r="X6" s="978"/>
      <c r="Y6" s="978"/>
      <c r="Z6" s="17"/>
      <c r="AA6" s="17"/>
      <c r="AB6" s="18"/>
      <c r="AC6" s="18"/>
      <c r="AD6" s="1"/>
    </row>
    <row r="7" spans="1:30" ht="24" customHeight="1" x14ac:dyDescent="0.3">
      <c r="A7" s="231" t="s">
        <v>34</v>
      </c>
      <c r="B7" s="20" t="s">
        <v>35</v>
      </c>
      <c r="C7" s="986"/>
      <c r="D7" s="979"/>
      <c r="E7" s="986"/>
      <c r="F7" s="979"/>
      <c r="G7" s="675" t="s">
        <v>76</v>
      </c>
      <c r="H7" s="1027">
        <v>45968</v>
      </c>
      <c r="I7" s="978"/>
      <c r="J7" s="979"/>
      <c r="K7" s="603"/>
      <c r="L7" s="977"/>
      <c r="M7" s="978"/>
      <c r="N7" s="979"/>
      <c r="O7" s="603"/>
      <c r="P7" s="977"/>
      <c r="Q7" s="978"/>
      <c r="R7" s="979"/>
      <c r="S7" s="981"/>
      <c r="T7" s="978"/>
      <c r="U7" s="978"/>
      <c r="V7" s="617"/>
      <c r="W7" s="981"/>
      <c r="X7" s="978"/>
      <c r="Y7" s="978"/>
      <c r="Z7" s="17"/>
      <c r="AA7" s="17"/>
      <c r="AB7" s="1"/>
      <c r="AC7" s="1"/>
      <c r="AD7" s="1"/>
    </row>
    <row r="8" spans="1:30" ht="24" customHeight="1" x14ac:dyDescent="0.3">
      <c r="A8" s="231" t="s">
        <v>44</v>
      </c>
      <c r="B8" s="20" t="s">
        <v>45</v>
      </c>
      <c r="C8" s="986"/>
      <c r="D8" s="979"/>
      <c r="E8" s="986"/>
      <c r="F8" s="979"/>
      <c r="G8" s="713" t="s">
        <v>84</v>
      </c>
      <c r="H8" s="1030">
        <v>45975</v>
      </c>
      <c r="I8" s="978"/>
      <c r="J8" s="979"/>
      <c r="K8" s="603"/>
      <c r="L8" s="977"/>
      <c r="M8" s="978"/>
      <c r="N8" s="979"/>
      <c r="O8" s="603"/>
      <c r="P8" s="977"/>
      <c r="Q8" s="978"/>
      <c r="R8" s="979"/>
      <c r="S8" s="981"/>
      <c r="T8" s="978"/>
      <c r="U8" s="978"/>
      <c r="V8" s="617"/>
      <c r="W8" s="981"/>
      <c r="X8" s="978"/>
      <c r="Y8" s="978"/>
      <c r="Z8" s="17"/>
      <c r="AA8" s="17"/>
      <c r="AB8" s="18"/>
      <c r="AC8" s="18"/>
      <c r="AD8" s="1"/>
    </row>
    <row r="9" spans="1:30" ht="24" customHeight="1" thickBot="1" x14ac:dyDescent="0.35">
      <c r="A9" s="231" t="s">
        <v>44</v>
      </c>
      <c r="B9" s="20" t="s">
        <v>54</v>
      </c>
      <c r="C9" s="987"/>
      <c r="D9" s="976"/>
      <c r="E9" s="987"/>
      <c r="F9" s="976"/>
      <c r="G9" s="753" t="s">
        <v>92</v>
      </c>
      <c r="H9" s="1032">
        <v>45982</v>
      </c>
      <c r="I9" s="978"/>
      <c r="J9" s="979"/>
      <c r="K9" s="603"/>
      <c r="L9" s="977"/>
      <c r="M9" s="978"/>
      <c r="N9" s="979"/>
      <c r="O9" s="603"/>
      <c r="P9" s="977"/>
      <c r="Q9" s="978"/>
      <c r="R9" s="979"/>
      <c r="S9" s="981"/>
      <c r="T9" s="978"/>
      <c r="U9" s="978"/>
      <c r="V9" s="617"/>
      <c r="W9" s="981"/>
      <c r="X9" s="978"/>
      <c r="Y9" s="978"/>
      <c r="Z9" s="17"/>
      <c r="AA9" s="17"/>
      <c r="AB9" s="18"/>
      <c r="AC9" s="18"/>
      <c r="AD9" s="1"/>
    </row>
    <row r="10" spans="1:30" ht="24" customHeight="1" x14ac:dyDescent="0.3">
      <c r="A10" s="231" t="s">
        <v>62</v>
      </c>
      <c r="B10" s="20" t="s">
        <v>63</v>
      </c>
      <c r="C10" s="990" t="s">
        <v>64</v>
      </c>
      <c r="D10" s="985"/>
      <c r="E10" s="1026" t="s">
        <v>65</v>
      </c>
      <c r="F10" s="984"/>
      <c r="G10" s="831" t="s">
        <v>85</v>
      </c>
      <c r="H10" s="1031">
        <v>46045</v>
      </c>
      <c r="I10" s="978"/>
      <c r="J10" s="979"/>
      <c r="K10" s="603"/>
      <c r="L10" s="977"/>
      <c r="M10" s="978"/>
      <c r="N10" s="979"/>
      <c r="O10" s="603"/>
      <c r="P10" s="977"/>
      <c r="Q10" s="978"/>
      <c r="R10" s="979"/>
      <c r="S10" s="981"/>
      <c r="T10" s="978"/>
      <c r="U10" s="978"/>
      <c r="V10" s="617"/>
      <c r="W10" s="981"/>
      <c r="X10" s="978"/>
      <c r="Y10" s="978"/>
      <c r="Z10" s="17"/>
      <c r="AA10" s="17"/>
      <c r="AB10" s="18"/>
      <c r="AC10" s="18"/>
      <c r="AD10" s="1"/>
    </row>
    <row r="11" spans="1:30" ht="24" customHeight="1" x14ac:dyDescent="0.3">
      <c r="A11" s="231" t="s">
        <v>73</v>
      </c>
      <c r="B11" s="20" t="s">
        <v>74</v>
      </c>
      <c r="C11" s="986"/>
      <c r="D11" s="979"/>
      <c r="E11" s="986"/>
      <c r="F11" s="978"/>
      <c r="G11" s="603"/>
      <c r="H11" s="977"/>
      <c r="I11" s="978"/>
      <c r="J11" s="979"/>
      <c r="K11" s="603"/>
      <c r="L11" s="977"/>
      <c r="M11" s="978"/>
      <c r="N11" s="979"/>
      <c r="O11" s="603"/>
      <c r="P11" s="977"/>
      <c r="Q11" s="978"/>
      <c r="R11" s="979"/>
      <c r="S11" s="981"/>
      <c r="T11" s="978"/>
      <c r="U11" s="978"/>
      <c r="V11" s="617"/>
      <c r="W11" s="981"/>
      <c r="X11" s="978"/>
      <c r="Y11" s="978"/>
      <c r="Z11" s="17"/>
      <c r="AA11" s="17"/>
      <c r="AB11" s="18"/>
      <c r="AC11" s="18"/>
      <c r="AD11" s="1"/>
    </row>
    <row r="12" spans="1:30" ht="24" customHeight="1" x14ac:dyDescent="0.3">
      <c r="A12" s="231" t="s">
        <v>82</v>
      </c>
      <c r="B12" s="20" t="s">
        <v>400</v>
      </c>
      <c r="C12" s="986"/>
      <c r="D12" s="979"/>
      <c r="E12" s="986"/>
      <c r="F12" s="978"/>
      <c r="G12" s="603"/>
      <c r="H12" s="977"/>
      <c r="I12" s="978"/>
      <c r="J12" s="979"/>
      <c r="K12" s="603"/>
      <c r="L12" s="977"/>
      <c r="M12" s="978"/>
      <c r="N12" s="979"/>
      <c r="O12" s="603"/>
      <c r="P12" s="977"/>
      <c r="Q12" s="978"/>
      <c r="R12" s="979"/>
      <c r="S12" s="981"/>
      <c r="T12" s="978"/>
      <c r="U12" s="978"/>
      <c r="V12" s="617"/>
      <c r="W12" s="991"/>
      <c r="X12" s="978"/>
      <c r="Y12" s="978"/>
      <c r="Z12" s="17"/>
      <c r="AA12" s="17"/>
      <c r="AB12" s="18"/>
      <c r="AC12" s="18"/>
      <c r="AD12" s="1"/>
    </row>
    <row r="13" spans="1:30" ht="24" customHeight="1" thickBot="1" x14ac:dyDescent="0.35">
      <c r="A13" s="715" t="s">
        <v>90</v>
      </c>
      <c r="B13" s="716">
        <v>182948</v>
      </c>
      <c r="C13" s="987"/>
      <c r="D13" s="976"/>
      <c r="E13" s="987"/>
      <c r="F13" s="975"/>
      <c r="G13" s="604"/>
      <c r="H13" s="989"/>
      <c r="I13" s="975"/>
      <c r="J13" s="976"/>
      <c r="K13" s="604"/>
      <c r="L13" s="989"/>
      <c r="M13" s="975"/>
      <c r="N13" s="976"/>
      <c r="O13" s="604"/>
      <c r="P13" s="989"/>
      <c r="Q13" s="975"/>
      <c r="R13" s="976"/>
      <c r="S13" s="981"/>
      <c r="T13" s="978"/>
      <c r="U13" s="978"/>
      <c r="V13" s="617"/>
      <c r="W13" s="991"/>
      <c r="X13" s="978"/>
      <c r="Y13" s="978"/>
      <c r="Z13" s="17"/>
      <c r="AA13" s="17"/>
      <c r="AB13" s="18"/>
      <c r="AC13" s="18"/>
      <c r="AD13" s="1"/>
    </row>
    <row r="14" spans="1:30" ht="24" customHeight="1" thickBot="1" x14ac:dyDescent="0.35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1"/>
      <c r="AA14" s="1"/>
      <c r="AB14" s="1"/>
      <c r="AC14" s="1"/>
      <c r="AD14" s="1"/>
    </row>
    <row r="15" spans="1:30" ht="24" customHeight="1" thickBot="1" x14ac:dyDescent="0.35">
      <c r="A15" s="1004" t="s">
        <v>98</v>
      </c>
      <c r="B15" s="1012" t="s">
        <v>99</v>
      </c>
      <c r="C15" s="637" t="s">
        <v>100</v>
      </c>
      <c r="D15" s="638"/>
      <c r="E15" s="638"/>
      <c r="F15" s="638"/>
      <c r="G15" s="638"/>
      <c r="H15" s="638"/>
      <c r="I15" s="638"/>
      <c r="J15" s="638"/>
      <c r="K15" s="638"/>
      <c r="L15" s="638"/>
      <c r="M15" s="638"/>
      <c r="N15" s="638"/>
      <c r="O15" s="638"/>
      <c r="P15" s="638"/>
      <c r="Q15" s="639"/>
      <c r="R15" s="640"/>
      <c r="S15" s="109"/>
      <c r="T15" s="109"/>
      <c r="U15" s="109"/>
      <c r="V15" s="109"/>
      <c r="W15" s="109"/>
      <c r="X15" s="109"/>
      <c r="Y15" s="109"/>
      <c r="Z15" s="1"/>
      <c r="AA15" s="1"/>
      <c r="AB15" s="1"/>
      <c r="AC15" s="1"/>
      <c r="AD15" s="1"/>
    </row>
    <row r="16" spans="1:30" ht="24" customHeight="1" thickBot="1" x14ac:dyDescent="0.6">
      <c r="A16" s="986"/>
      <c r="B16" s="997"/>
      <c r="C16" s="606" t="s">
        <v>101</v>
      </c>
      <c r="D16" s="607"/>
      <c r="E16" s="608"/>
      <c r="F16" s="608"/>
      <c r="G16" s="609"/>
      <c r="H16" s="610"/>
      <c r="I16" s="610"/>
      <c r="J16" s="610"/>
      <c r="K16" s="1036" t="s">
        <v>102</v>
      </c>
      <c r="L16" s="1000"/>
      <c r="M16" s="1000"/>
      <c r="N16" s="1000"/>
      <c r="O16" s="1000"/>
      <c r="P16" s="1001"/>
      <c r="Q16" s="1034" t="s">
        <v>401</v>
      </c>
      <c r="R16" s="1001"/>
      <c r="S16" s="605"/>
      <c r="T16" s="605"/>
      <c r="U16" s="605"/>
      <c r="V16" s="605"/>
      <c r="W16" s="605"/>
      <c r="X16" s="605"/>
      <c r="Y16" s="605"/>
      <c r="Z16" s="1"/>
      <c r="AA16" s="1"/>
      <c r="AB16" s="1"/>
      <c r="AC16" s="1"/>
      <c r="AD16" s="1"/>
    </row>
    <row r="17" spans="1:30" ht="24" customHeight="1" thickBot="1" x14ac:dyDescent="0.35">
      <c r="A17" s="987"/>
      <c r="B17" s="1013"/>
      <c r="C17" s="1024">
        <v>1</v>
      </c>
      <c r="D17" s="994"/>
      <c r="E17" s="1021">
        <v>2</v>
      </c>
      <c r="F17" s="994"/>
      <c r="G17" s="1021">
        <v>3</v>
      </c>
      <c r="H17" s="994"/>
      <c r="I17" s="1021">
        <v>4</v>
      </c>
      <c r="J17" s="994"/>
      <c r="K17" s="1021">
        <v>5</v>
      </c>
      <c r="L17" s="994"/>
      <c r="M17" s="1021">
        <v>6</v>
      </c>
      <c r="N17" s="994"/>
      <c r="O17" s="1025">
        <v>7</v>
      </c>
      <c r="P17" s="1000"/>
      <c r="Q17" s="624" t="s">
        <v>104</v>
      </c>
      <c r="R17" s="625" t="s">
        <v>105</v>
      </c>
      <c r="Z17" s="1"/>
      <c r="AA17" s="1"/>
      <c r="AB17" s="1"/>
      <c r="AC17" s="1"/>
      <c r="AD17" s="1"/>
    </row>
    <row r="18" spans="1:30" ht="40.049999999999997" customHeight="1" thickBot="1" x14ac:dyDescent="0.35">
      <c r="A18" s="618" t="s">
        <v>106</v>
      </c>
      <c r="B18" s="619" t="s">
        <v>107</v>
      </c>
      <c r="C18" s="621" t="s">
        <v>108</v>
      </c>
      <c r="D18" s="620" t="s">
        <v>109</v>
      </c>
      <c r="E18" s="621" t="s">
        <v>108</v>
      </c>
      <c r="F18" s="620" t="s">
        <v>109</v>
      </c>
      <c r="G18" s="621" t="s">
        <v>108</v>
      </c>
      <c r="H18" s="620" t="s">
        <v>109</v>
      </c>
      <c r="I18" s="621" t="s">
        <v>108</v>
      </c>
      <c r="J18" s="620" t="s">
        <v>109</v>
      </c>
      <c r="K18" s="621" t="s">
        <v>108</v>
      </c>
      <c r="L18" s="620" t="s">
        <v>109</v>
      </c>
      <c r="M18" s="621" t="s">
        <v>108</v>
      </c>
      <c r="N18" s="620" t="s">
        <v>109</v>
      </c>
      <c r="O18" s="621" t="s">
        <v>108</v>
      </c>
      <c r="P18" s="620" t="s">
        <v>109</v>
      </c>
      <c r="Q18" s="622"/>
      <c r="R18" s="623"/>
    </row>
    <row r="19" spans="1:30" ht="40.049999999999997" customHeight="1" x14ac:dyDescent="0.3">
      <c r="A19" s="235" t="s">
        <v>110</v>
      </c>
      <c r="B19" s="77" t="s">
        <v>111</v>
      </c>
      <c r="C19" s="630"/>
      <c r="D19" s="78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628"/>
      <c r="R19" s="626"/>
      <c r="Z19" s="1"/>
      <c r="AA19" s="1"/>
      <c r="AB19" s="1"/>
      <c r="AC19" s="1"/>
      <c r="AD19" s="1"/>
    </row>
    <row r="20" spans="1:30" ht="40.049999999999997" customHeight="1" x14ac:dyDescent="0.3">
      <c r="A20" s="236" t="s">
        <v>112</v>
      </c>
      <c r="B20" s="80" t="s">
        <v>113</v>
      </c>
      <c r="C20" s="1316" t="s">
        <v>85</v>
      </c>
      <c r="D20" s="82"/>
      <c r="E20" s="81"/>
      <c r="F20" s="83"/>
      <c r="G20" s="81" t="s">
        <v>27</v>
      </c>
      <c r="H20" s="83"/>
      <c r="I20" s="81" t="s">
        <v>27</v>
      </c>
      <c r="J20" s="83"/>
      <c r="K20" s="81" t="s">
        <v>27</v>
      </c>
      <c r="L20" s="83"/>
      <c r="M20" s="81" t="s">
        <v>27</v>
      </c>
      <c r="N20" s="83"/>
      <c r="O20" s="81"/>
      <c r="P20" s="83"/>
      <c r="Q20" s="629">
        <f t="shared" ref="Q20:Q26" si="0">COUNTIF(C20:P20,"&gt;=R")</f>
        <v>5</v>
      </c>
      <c r="R20" s="627">
        <f t="shared" ref="R20:R26" si="1">Q20</f>
        <v>5</v>
      </c>
    </row>
    <row r="21" spans="1:30" ht="40.049999999999997" customHeight="1" x14ac:dyDescent="0.3">
      <c r="A21" s="236" t="s">
        <v>114</v>
      </c>
      <c r="B21" s="80" t="s">
        <v>115</v>
      </c>
      <c r="C21" s="631" t="s">
        <v>85</v>
      </c>
      <c r="D21" s="82"/>
      <c r="E21" s="81"/>
      <c r="F21" s="83"/>
      <c r="G21" s="81" t="s">
        <v>84</v>
      </c>
      <c r="H21" s="83"/>
      <c r="I21" s="81" t="s">
        <v>84</v>
      </c>
      <c r="J21" s="83"/>
      <c r="K21" s="81" t="s">
        <v>84</v>
      </c>
      <c r="L21" s="83"/>
      <c r="M21" s="81" t="s">
        <v>27</v>
      </c>
      <c r="N21" s="83"/>
      <c r="O21" s="81"/>
      <c r="P21" s="83"/>
      <c r="Q21" s="629">
        <f t="shared" si="0"/>
        <v>5</v>
      </c>
      <c r="R21" s="627">
        <f t="shared" si="1"/>
        <v>5</v>
      </c>
    </row>
    <row r="22" spans="1:30" ht="40.049999999999997" customHeight="1" x14ac:dyDescent="0.3">
      <c r="A22" s="236" t="s">
        <v>116</v>
      </c>
      <c r="B22" s="80" t="s">
        <v>117</v>
      </c>
      <c r="C22" s="631" t="s">
        <v>85</v>
      </c>
      <c r="D22" s="82"/>
      <c r="E22" s="81"/>
      <c r="F22" s="83"/>
      <c r="G22" s="81" t="s">
        <v>84</v>
      </c>
      <c r="H22" s="83"/>
      <c r="I22" s="81" t="s">
        <v>84</v>
      </c>
      <c r="J22" s="83"/>
      <c r="K22" s="81" t="s">
        <v>84</v>
      </c>
      <c r="L22" s="83"/>
      <c r="M22" s="81" t="s">
        <v>84</v>
      </c>
      <c r="N22" s="83"/>
      <c r="O22" s="81"/>
      <c r="P22" s="83"/>
      <c r="Q22" s="629">
        <f t="shared" si="0"/>
        <v>5</v>
      </c>
      <c r="R22" s="627">
        <f t="shared" si="1"/>
        <v>5</v>
      </c>
    </row>
    <row r="23" spans="1:30" ht="40.049999999999997" customHeight="1" x14ac:dyDescent="0.3">
      <c r="A23" s="236" t="s">
        <v>118</v>
      </c>
      <c r="B23" s="80" t="s">
        <v>119</v>
      </c>
      <c r="C23" s="631" t="s">
        <v>85</v>
      </c>
      <c r="D23" s="82"/>
      <c r="E23" s="81"/>
      <c r="F23" s="83"/>
      <c r="G23" s="81" t="s">
        <v>84</v>
      </c>
      <c r="H23" s="83"/>
      <c r="I23" s="81" t="s">
        <v>84</v>
      </c>
      <c r="J23" s="83"/>
      <c r="K23" s="81" t="s">
        <v>84</v>
      </c>
      <c r="L23" s="83"/>
      <c r="M23" s="81" t="s">
        <v>84</v>
      </c>
      <c r="N23" s="83"/>
      <c r="O23" s="81"/>
      <c r="P23" s="83"/>
      <c r="Q23" s="629">
        <f t="shared" si="0"/>
        <v>5</v>
      </c>
      <c r="R23" s="627">
        <f t="shared" si="1"/>
        <v>5</v>
      </c>
    </row>
    <row r="24" spans="1:30" ht="40.049999999999997" customHeight="1" x14ac:dyDescent="0.3">
      <c r="A24" s="236" t="s">
        <v>120</v>
      </c>
      <c r="B24" s="80" t="s">
        <v>121</v>
      </c>
      <c r="C24" s="631" t="s">
        <v>85</v>
      </c>
      <c r="D24" s="82"/>
      <c r="E24" s="83"/>
      <c r="F24" s="83"/>
      <c r="G24" s="83" t="s">
        <v>84</v>
      </c>
      <c r="H24" s="83"/>
      <c r="I24" s="81" t="s">
        <v>84</v>
      </c>
      <c r="J24" s="83"/>
      <c r="K24" s="83" t="s">
        <v>76</v>
      </c>
      <c r="L24" s="83"/>
      <c r="M24" s="83" t="s">
        <v>76</v>
      </c>
      <c r="N24" s="83"/>
      <c r="O24" s="83"/>
      <c r="P24" s="83"/>
      <c r="Q24" s="629">
        <f t="shared" si="0"/>
        <v>5</v>
      </c>
      <c r="R24" s="627">
        <f t="shared" si="1"/>
        <v>5</v>
      </c>
    </row>
    <row r="25" spans="1:30" ht="40.049999999999997" customHeight="1" x14ac:dyDescent="0.3">
      <c r="A25" s="236" t="s">
        <v>122</v>
      </c>
      <c r="B25" s="80" t="s">
        <v>123</v>
      </c>
      <c r="C25" s="631" t="s">
        <v>85</v>
      </c>
      <c r="D25" s="82"/>
      <c r="E25" s="83"/>
      <c r="F25" s="83"/>
      <c r="G25" s="83" t="s">
        <v>84</v>
      </c>
      <c r="H25" s="83"/>
      <c r="I25" s="81" t="s">
        <v>84</v>
      </c>
      <c r="J25" s="83"/>
      <c r="K25" s="83" t="s">
        <v>76</v>
      </c>
      <c r="L25" s="83"/>
      <c r="M25" s="83" t="s">
        <v>76</v>
      </c>
      <c r="N25" s="83"/>
      <c r="O25" s="83"/>
      <c r="P25" s="83"/>
      <c r="Q25" s="629">
        <f t="shared" si="0"/>
        <v>5</v>
      </c>
      <c r="R25" s="627">
        <f t="shared" si="1"/>
        <v>5</v>
      </c>
    </row>
    <row r="26" spans="1:30" ht="40.049999999999997" customHeight="1" x14ac:dyDescent="0.3">
      <c r="A26" s="236" t="s">
        <v>124</v>
      </c>
      <c r="B26" s="80" t="s">
        <v>125</v>
      </c>
      <c r="C26" s="631" t="s">
        <v>85</v>
      </c>
      <c r="D26" s="82"/>
      <c r="E26" s="83"/>
      <c r="F26" s="83"/>
      <c r="G26" s="83" t="s">
        <v>84</v>
      </c>
      <c r="H26" s="83"/>
      <c r="I26" s="81" t="s">
        <v>84</v>
      </c>
      <c r="J26" s="83"/>
      <c r="K26" s="83" t="s">
        <v>76</v>
      </c>
      <c r="L26" s="83"/>
      <c r="M26" s="83" t="s">
        <v>76</v>
      </c>
      <c r="N26" s="83"/>
      <c r="O26" s="83"/>
      <c r="P26" s="83"/>
      <c r="Q26" s="629">
        <f t="shared" si="0"/>
        <v>5</v>
      </c>
      <c r="R26" s="627">
        <f t="shared" si="1"/>
        <v>5</v>
      </c>
    </row>
    <row r="27" spans="1:30" ht="40.049999999999997" customHeight="1" x14ac:dyDescent="0.3">
      <c r="A27" s="237" t="s">
        <v>126</v>
      </c>
      <c r="B27" s="84" t="s">
        <v>127</v>
      </c>
      <c r="C27" s="633"/>
      <c r="D27" s="85"/>
      <c r="E27" s="86"/>
      <c r="F27" s="86"/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641"/>
      <c r="Z27" s="1"/>
      <c r="AA27" s="1"/>
      <c r="AB27" s="1"/>
      <c r="AC27" s="1"/>
      <c r="AD27" s="1"/>
    </row>
    <row r="28" spans="1:30" ht="40.049999999999997" customHeight="1" x14ac:dyDescent="0.3">
      <c r="A28" s="236" t="s">
        <v>128</v>
      </c>
      <c r="B28" s="80" t="s">
        <v>129</v>
      </c>
      <c r="C28" s="632" t="s">
        <v>85</v>
      </c>
      <c r="D28" s="82"/>
      <c r="E28" s="83"/>
      <c r="F28" s="83"/>
      <c r="G28" s="83" t="s">
        <v>84</v>
      </c>
      <c r="H28" s="83"/>
      <c r="I28" s="81" t="s">
        <v>84</v>
      </c>
      <c r="J28" s="83"/>
      <c r="K28" s="83" t="s">
        <v>76</v>
      </c>
      <c r="L28" s="83"/>
      <c r="M28" s="83" t="s">
        <v>76</v>
      </c>
      <c r="N28" s="83"/>
      <c r="O28" s="83"/>
      <c r="P28" s="83"/>
      <c r="Q28" s="629">
        <f>COUNTIF(C28:P28,"&gt;=R")</f>
        <v>5</v>
      </c>
      <c r="R28" s="627">
        <f>Q28</f>
        <v>5</v>
      </c>
    </row>
    <row r="29" spans="1:30" ht="40.049999999999997" customHeight="1" x14ac:dyDescent="0.3">
      <c r="A29" s="236" t="s">
        <v>130</v>
      </c>
      <c r="B29" s="80" t="s">
        <v>131</v>
      </c>
      <c r="C29" s="632" t="s">
        <v>85</v>
      </c>
      <c r="D29" s="82"/>
      <c r="E29" s="83"/>
      <c r="F29" s="83"/>
      <c r="G29" s="83" t="s">
        <v>84</v>
      </c>
      <c r="H29" s="83"/>
      <c r="I29" s="81" t="s">
        <v>84</v>
      </c>
      <c r="J29" s="83"/>
      <c r="K29" s="83" t="s">
        <v>76</v>
      </c>
      <c r="L29" s="83"/>
      <c r="M29" s="83" t="s">
        <v>76</v>
      </c>
      <c r="N29" s="83"/>
      <c r="O29" s="83"/>
      <c r="P29" s="83"/>
      <c r="Q29" s="629">
        <f>COUNTIF(C29:P29,"&gt;=R")</f>
        <v>5</v>
      </c>
      <c r="R29" s="627">
        <f>Q29</f>
        <v>5</v>
      </c>
      <c r="Z29" s="1"/>
      <c r="AA29" s="1"/>
      <c r="AB29" s="1"/>
      <c r="AC29" s="1"/>
      <c r="AD29" s="1"/>
    </row>
    <row r="30" spans="1:30" ht="40.049999999999997" customHeight="1" x14ac:dyDescent="0.3">
      <c r="A30" s="237" t="s">
        <v>132</v>
      </c>
      <c r="B30" s="84" t="s">
        <v>133</v>
      </c>
      <c r="C30" s="633"/>
      <c r="D30" s="85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641"/>
      <c r="Z30" s="1"/>
      <c r="AA30" s="1"/>
      <c r="AB30" s="1"/>
      <c r="AC30" s="1"/>
      <c r="AD30" s="1"/>
    </row>
    <row r="31" spans="1:30" ht="40.049999999999997" customHeight="1" x14ac:dyDescent="0.3">
      <c r="A31" s="239" t="s">
        <v>134</v>
      </c>
      <c r="B31" s="80" t="s">
        <v>135</v>
      </c>
      <c r="C31" s="631"/>
      <c r="D31" s="82"/>
      <c r="E31" s="81"/>
      <c r="F31" s="83"/>
      <c r="G31" s="81"/>
      <c r="H31" s="83"/>
      <c r="I31" s="83"/>
      <c r="J31" s="83"/>
      <c r="K31" s="83"/>
      <c r="L31" s="83"/>
      <c r="M31" s="83"/>
      <c r="N31" s="83"/>
      <c r="O31" s="83"/>
      <c r="P31" s="83"/>
      <c r="Q31" s="629">
        <f>COUNTIF(C22:P22,"&gt;=R")</f>
        <v>5</v>
      </c>
      <c r="R31" s="627">
        <f>Q22</f>
        <v>5</v>
      </c>
      <c r="Z31" s="1"/>
      <c r="AA31" s="1"/>
      <c r="AB31" s="1"/>
      <c r="AC31" s="1"/>
      <c r="AD31" s="1"/>
    </row>
    <row r="32" spans="1:30" ht="40.049999999999997" customHeight="1" x14ac:dyDescent="0.3">
      <c r="A32" s="237" t="s">
        <v>136</v>
      </c>
      <c r="B32" s="84" t="s">
        <v>137</v>
      </c>
      <c r="C32" s="633"/>
      <c r="D32" s="85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641"/>
      <c r="Z32" s="1"/>
      <c r="AA32" s="1"/>
      <c r="AB32" s="1"/>
      <c r="AC32" s="1"/>
      <c r="AD32" s="1"/>
    </row>
    <row r="33" spans="1:56" ht="40.049999999999997" customHeight="1" x14ac:dyDescent="0.3">
      <c r="A33" s="236" t="s">
        <v>138</v>
      </c>
      <c r="B33" s="80" t="s">
        <v>139</v>
      </c>
      <c r="C33" s="631"/>
      <c r="D33" s="82"/>
      <c r="E33" s="87"/>
      <c r="F33" s="83"/>
      <c r="G33" s="87"/>
      <c r="H33" s="83"/>
      <c r="I33" s="83"/>
      <c r="J33" s="83"/>
      <c r="K33" s="83"/>
      <c r="L33" s="83"/>
      <c r="M33" s="83"/>
      <c r="N33" s="83"/>
      <c r="O33" s="83"/>
      <c r="P33" s="83"/>
      <c r="Q33" s="629">
        <f>COUNTIF(C25:P25,"&gt;=R")</f>
        <v>5</v>
      </c>
      <c r="R33" s="627">
        <f>Q25</f>
        <v>5</v>
      </c>
    </row>
    <row r="34" spans="1:56" ht="40.049999999999997" customHeight="1" x14ac:dyDescent="0.3">
      <c r="A34" s="236" t="s">
        <v>140</v>
      </c>
      <c r="B34" s="80" t="s">
        <v>141</v>
      </c>
      <c r="C34" s="869"/>
      <c r="D34" s="870"/>
      <c r="E34" s="869"/>
      <c r="F34" s="871"/>
      <c r="G34" s="128"/>
      <c r="H34" s="885"/>
      <c r="I34" s="889"/>
      <c r="J34" s="886"/>
      <c r="K34" s="887"/>
      <c r="L34" s="887"/>
      <c r="M34" s="887"/>
      <c r="N34" s="887"/>
      <c r="O34" s="887"/>
      <c r="P34" s="887"/>
      <c r="Q34" s="887"/>
      <c r="R34" s="888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 ht="40.049999999999997" customHeight="1" x14ac:dyDescent="0.3">
      <c r="A35" s="237" t="s">
        <v>142</v>
      </c>
      <c r="B35" s="84" t="s">
        <v>143</v>
      </c>
      <c r="C35" s="633"/>
      <c r="D35" s="85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641"/>
    </row>
    <row r="36" spans="1:56" ht="40.049999999999997" customHeight="1" x14ac:dyDescent="0.3">
      <c r="A36" s="239" t="s">
        <v>144</v>
      </c>
      <c r="B36" s="80" t="s">
        <v>145</v>
      </c>
      <c r="C36" s="632"/>
      <c r="D36" s="82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629">
        <f>COUNTIF(C29:P29,"&gt;=R")</f>
        <v>5</v>
      </c>
      <c r="R36" s="627">
        <f>Q29</f>
        <v>5</v>
      </c>
    </row>
    <row r="37" spans="1:56" ht="40.049999999999997" customHeight="1" x14ac:dyDescent="0.3">
      <c r="A37" s="237" t="s">
        <v>146</v>
      </c>
      <c r="B37" s="84" t="s">
        <v>147</v>
      </c>
      <c r="C37" s="633"/>
      <c r="D37" s="85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641"/>
    </row>
    <row r="38" spans="1:56" ht="40.049999999999997" customHeight="1" x14ac:dyDescent="0.3">
      <c r="A38" s="236" t="s">
        <v>148</v>
      </c>
      <c r="B38" s="80" t="s">
        <v>139</v>
      </c>
      <c r="C38" s="632"/>
      <c r="D38" s="82"/>
      <c r="E38" s="83"/>
      <c r="F38" s="83"/>
      <c r="G38" s="87"/>
      <c r="H38" s="83"/>
      <c r="I38" s="83"/>
      <c r="J38" s="83"/>
      <c r="K38" s="83"/>
      <c r="L38" s="83"/>
      <c r="M38" s="83"/>
      <c r="N38" s="83"/>
      <c r="O38" s="83"/>
      <c r="P38" s="83"/>
      <c r="Q38" s="629">
        <f t="shared" ref="Q38:Q46" si="2">COUNTIF(C38:P38,"&gt;=R")</f>
        <v>0</v>
      </c>
      <c r="R38" s="627">
        <f t="shared" ref="R38:R46" si="3">Q38</f>
        <v>0</v>
      </c>
    </row>
    <row r="39" spans="1:56" ht="40.049999999999997" customHeight="1" x14ac:dyDescent="0.3">
      <c r="A39" s="236" t="s">
        <v>149</v>
      </c>
      <c r="B39" s="80" t="s">
        <v>150</v>
      </c>
      <c r="C39" s="632"/>
      <c r="D39" s="82"/>
      <c r="E39" s="83"/>
      <c r="F39" s="83"/>
      <c r="G39" s="83"/>
      <c r="H39" s="83"/>
      <c r="I39" s="87"/>
      <c r="J39" s="83"/>
      <c r="K39" s="87"/>
      <c r="L39" s="83"/>
      <c r="M39" s="87"/>
      <c r="N39" s="83"/>
      <c r="O39" s="87"/>
      <c r="P39" s="83"/>
      <c r="Q39" s="629">
        <f t="shared" si="2"/>
        <v>0</v>
      </c>
      <c r="R39" s="627">
        <f t="shared" si="3"/>
        <v>0</v>
      </c>
      <c r="Z39" s="1"/>
      <c r="AA39" s="1"/>
      <c r="AB39" s="1"/>
      <c r="AC39" s="1"/>
      <c r="AD39" s="1"/>
    </row>
    <row r="40" spans="1:56" ht="40.049999999999997" customHeight="1" x14ac:dyDescent="0.3">
      <c r="A40" s="240" t="s">
        <v>151</v>
      </c>
      <c r="B40" s="88" t="s">
        <v>152</v>
      </c>
      <c r="C40" s="631"/>
      <c r="D40" s="82"/>
      <c r="E40" s="83"/>
      <c r="F40" s="83"/>
      <c r="G40" s="83"/>
      <c r="H40" s="83"/>
      <c r="I40" s="83"/>
      <c r="J40" s="83"/>
      <c r="K40" s="83"/>
      <c r="L40" s="83"/>
      <c r="M40" s="87"/>
      <c r="N40" s="83"/>
      <c r="O40" s="83"/>
      <c r="P40" s="83"/>
      <c r="Q40" s="629">
        <f t="shared" si="2"/>
        <v>0</v>
      </c>
      <c r="R40" s="627">
        <f t="shared" si="3"/>
        <v>0</v>
      </c>
    </row>
    <row r="41" spans="1:56" ht="40.049999999999997" customHeight="1" x14ac:dyDescent="0.3">
      <c r="A41" s="236" t="s">
        <v>153</v>
      </c>
      <c r="B41" s="80" t="s">
        <v>154</v>
      </c>
      <c r="C41" s="631"/>
      <c r="D41" s="82"/>
      <c r="E41" s="81"/>
      <c r="F41" s="83"/>
      <c r="G41" s="81"/>
      <c r="H41" s="83"/>
      <c r="I41" s="81"/>
      <c r="J41" s="83"/>
      <c r="K41" s="81"/>
      <c r="L41" s="83"/>
      <c r="M41" s="83"/>
      <c r="N41" s="83"/>
      <c r="O41" s="83"/>
      <c r="P41" s="83"/>
      <c r="Q41" s="629">
        <f t="shared" si="2"/>
        <v>0</v>
      </c>
      <c r="R41" s="627">
        <f t="shared" si="3"/>
        <v>0</v>
      </c>
    </row>
    <row r="42" spans="1:56" ht="40.049999999999997" customHeight="1" x14ac:dyDescent="0.3">
      <c r="A42" s="236" t="s">
        <v>155</v>
      </c>
      <c r="B42" s="80" t="s">
        <v>156</v>
      </c>
      <c r="C42" s="634"/>
      <c r="D42" s="82"/>
      <c r="E42" s="6"/>
      <c r="F42" s="83"/>
      <c r="G42" s="6"/>
      <c r="H42" s="83"/>
      <c r="I42" s="6"/>
      <c r="J42" s="83"/>
      <c r="K42" s="6"/>
      <c r="L42" s="83"/>
      <c r="M42" s="6"/>
      <c r="N42" s="83"/>
      <c r="O42" s="6"/>
      <c r="P42" s="83"/>
      <c r="Q42" s="629">
        <f t="shared" si="2"/>
        <v>0</v>
      </c>
      <c r="R42" s="627">
        <f t="shared" si="3"/>
        <v>0</v>
      </c>
      <c r="Z42" s="1"/>
      <c r="AA42" s="1"/>
      <c r="AB42" s="1"/>
      <c r="AC42" s="1"/>
      <c r="AD42" s="1"/>
    </row>
    <row r="43" spans="1:56" ht="40.049999999999997" customHeight="1" x14ac:dyDescent="0.3">
      <c r="A43" s="236" t="s">
        <v>157</v>
      </c>
      <c r="B43" s="80" t="s">
        <v>158</v>
      </c>
      <c r="C43" s="632"/>
      <c r="D43" s="82"/>
      <c r="E43" s="83"/>
      <c r="F43" s="83"/>
      <c r="G43" s="83"/>
      <c r="H43" s="83"/>
      <c r="I43" s="87"/>
      <c r="J43" s="83"/>
      <c r="K43" s="87"/>
      <c r="L43" s="83"/>
      <c r="M43" s="87"/>
      <c r="N43" s="83"/>
      <c r="O43" s="87"/>
      <c r="P43" s="83"/>
      <c r="Q43" s="629">
        <f t="shared" si="2"/>
        <v>0</v>
      </c>
      <c r="R43" s="627">
        <f t="shared" si="3"/>
        <v>0</v>
      </c>
    </row>
    <row r="44" spans="1:56" ht="40.049999999999997" customHeight="1" x14ac:dyDescent="0.3">
      <c r="A44" s="236" t="s">
        <v>159</v>
      </c>
      <c r="B44" s="80" t="s">
        <v>160</v>
      </c>
      <c r="C44" s="631"/>
      <c r="D44" s="82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629">
        <f t="shared" si="2"/>
        <v>0</v>
      </c>
      <c r="R44" s="627">
        <f t="shared" si="3"/>
        <v>0</v>
      </c>
      <c r="Z44" s="1"/>
      <c r="AA44" s="1"/>
      <c r="AB44" s="1"/>
      <c r="AC44" s="1"/>
      <c r="AD44" s="1"/>
    </row>
    <row r="45" spans="1:56" ht="40.049999999999997" customHeight="1" x14ac:dyDescent="0.3">
      <c r="A45" s="236" t="s">
        <v>161</v>
      </c>
      <c r="B45" s="80" t="s">
        <v>162</v>
      </c>
      <c r="C45" s="631"/>
      <c r="D45" s="82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629">
        <f t="shared" si="2"/>
        <v>0</v>
      </c>
      <c r="R45" s="627">
        <f t="shared" si="3"/>
        <v>0</v>
      </c>
    </row>
    <row r="46" spans="1:56" ht="40.049999999999997" customHeight="1" thickBot="1" x14ac:dyDescent="0.35">
      <c r="A46" s="236" t="s">
        <v>163</v>
      </c>
      <c r="B46" s="80" t="s">
        <v>164</v>
      </c>
      <c r="C46" s="631"/>
      <c r="D46" s="82"/>
      <c r="E46" s="87"/>
      <c r="F46" s="83"/>
      <c r="G46" s="83"/>
      <c r="H46" s="83"/>
      <c r="I46" s="83"/>
      <c r="J46" s="83"/>
      <c r="K46" s="83"/>
      <c r="L46" s="83"/>
      <c r="M46" s="6"/>
      <c r="N46" s="83"/>
      <c r="O46" s="83"/>
      <c r="P46" s="83"/>
      <c r="Q46" s="629">
        <f t="shared" si="2"/>
        <v>0</v>
      </c>
      <c r="R46" s="627">
        <f t="shared" si="3"/>
        <v>0</v>
      </c>
      <c r="Z46" s="1"/>
      <c r="AA46" s="1"/>
      <c r="AB46" s="1"/>
      <c r="AC46" s="1"/>
      <c r="AD46" s="1"/>
    </row>
    <row r="47" spans="1:56" ht="40.049999999999997" customHeight="1" x14ac:dyDescent="0.3">
      <c r="A47" s="235" t="s">
        <v>165</v>
      </c>
      <c r="B47" s="77" t="s">
        <v>166</v>
      </c>
      <c r="C47" s="633"/>
      <c r="D47" s="85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641"/>
      <c r="Z47" s="1"/>
      <c r="AA47" s="1"/>
      <c r="AB47" s="1"/>
      <c r="AC47" s="1"/>
      <c r="AD47" s="1"/>
    </row>
    <row r="48" spans="1:56" ht="40.049999999999997" customHeight="1" x14ac:dyDescent="0.3">
      <c r="A48" s="242" t="s">
        <v>167</v>
      </c>
      <c r="B48" s="91" t="s">
        <v>168</v>
      </c>
      <c r="C48" s="631"/>
      <c r="D48" s="82"/>
      <c r="E48" s="83"/>
      <c r="F48" s="83"/>
      <c r="G48" s="6"/>
      <c r="H48" s="83"/>
      <c r="I48" s="83"/>
      <c r="J48" s="83"/>
      <c r="K48" s="83"/>
      <c r="L48" s="83"/>
      <c r="M48" s="83"/>
      <c r="N48" s="83"/>
      <c r="O48" s="83"/>
      <c r="P48" s="83"/>
      <c r="Q48" s="629">
        <f t="shared" ref="Q48:Q55" si="4">COUNTIF(C48:P48,"&gt;=R")</f>
        <v>0</v>
      </c>
      <c r="R48" s="627">
        <f t="shared" ref="R48:R55" si="5">Q48</f>
        <v>0</v>
      </c>
    </row>
    <row r="49" spans="1:30" ht="40.049999999999997" customHeight="1" x14ac:dyDescent="0.3">
      <c r="A49" s="243" t="s">
        <v>169</v>
      </c>
      <c r="B49" s="92" t="s">
        <v>170</v>
      </c>
      <c r="C49" s="631"/>
      <c r="D49" s="82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629">
        <f t="shared" si="4"/>
        <v>0</v>
      </c>
      <c r="R49" s="627">
        <f t="shared" si="5"/>
        <v>0</v>
      </c>
      <c r="Z49" s="1"/>
      <c r="AA49" s="1"/>
      <c r="AB49" s="1"/>
      <c r="AC49" s="1"/>
      <c r="AD49" s="1"/>
    </row>
    <row r="50" spans="1:30" ht="40.049999999999997" customHeight="1" x14ac:dyDescent="0.3">
      <c r="A50" s="243" t="s">
        <v>171</v>
      </c>
      <c r="B50" s="92" t="s">
        <v>172</v>
      </c>
      <c r="C50" s="631"/>
      <c r="D50" s="82"/>
      <c r="E50" s="81"/>
      <c r="F50" s="83"/>
      <c r="G50" s="81"/>
      <c r="H50" s="83"/>
      <c r="I50" s="81"/>
      <c r="J50" s="83"/>
      <c r="K50" s="81"/>
      <c r="L50" s="83"/>
      <c r="M50" s="81"/>
      <c r="N50" s="83"/>
      <c r="O50" s="81"/>
      <c r="P50" s="83"/>
      <c r="Q50" s="629">
        <f t="shared" si="4"/>
        <v>0</v>
      </c>
      <c r="R50" s="627">
        <f t="shared" si="5"/>
        <v>0</v>
      </c>
      <c r="Z50" s="1"/>
      <c r="AA50" s="1"/>
      <c r="AB50" s="1"/>
      <c r="AC50" s="1"/>
      <c r="AD50" s="1"/>
    </row>
    <row r="51" spans="1:30" ht="40.049999999999997" customHeight="1" x14ac:dyDescent="0.3">
      <c r="A51" s="238" t="s">
        <v>173</v>
      </c>
      <c r="B51" s="32" t="s">
        <v>174</v>
      </c>
      <c r="C51" s="631"/>
      <c r="D51" s="82"/>
      <c r="E51" s="83"/>
      <c r="F51" s="83"/>
      <c r="G51" s="6"/>
      <c r="H51" s="83"/>
      <c r="I51" s="6"/>
      <c r="J51" s="83"/>
      <c r="K51" s="6"/>
      <c r="L51" s="83"/>
      <c r="M51" s="83"/>
      <c r="N51" s="83"/>
      <c r="O51" s="83"/>
      <c r="P51" s="83"/>
      <c r="Q51" s="629">
        <f t="shared" si="4"/>
        <v>0</v>
      </c>
      <c r="R51" s="627">
        <f t="shared" si="5"/>
        <v>0</v>
      </c>
    </row>
    <row r="52" spans="1:30" ht="40.049999999999997" customHeight="1" x14ac:dyDescent="0.3">
      <c r="A52" s="243" t="s">
        <v>175</v>
      </c>
      <c r="B52" s="92" t="s">
        <v>176</v>
      </c>
      <c r="C52" s="631"/>
      <c r="D52" s="82"/>
      <c r="E52" s="81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629">
        <f t="shared" si="4"/>
        <v>0</v>
      </c>
      <c r="R52" s="627">
        <f t="shared" si="5"/>
        <v>0</v>
      </c>
    </row>
    <row r="53" spans="1:30" ht="40.049999999999997" customHeight="1" x14ac:dyDescent="0.3">
      <c r="A53" s="243" t="s">
        <v>177</v>
      </c>
      <c r="B53" s="92" t="s">
        <v>178</v>
      </c>
      <c r="C53" s="631"/>
      <c r="D53" s="82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629">
        <f t="shared" si="4"/>
        <v>0</v>
      </c>
      <c r="R53" s="627">
        <f t="shared" si="5"/>
        <v>0</v>
      </c>
      <c r="Z53" s="1"/>
      <c r="AA53" s="1"/>
      <c r="AB53" s="1"/>
      <c r="AC53" s="1"/>
      <c r="AD53" s="1"/>
    </row>
    <row r="54" spans="1:30" ht="40.049999999999997" customHeight="1" x14ac:dyDescent="0.3">
      <c r="A54" s="238" t="s">
        <v>179</v>
      </c>
      <c r="B54" s="32" t="s">
        <v>180</v>
      </c>
      <c r="C54" s="631"/>
      <c r="D54" s="82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629">
        <f t="shared" si="4"/>
        <v>0</v>
      </c>
      <c r="R54" s="627">
        <f t="shared" si="5"/>
        <v>0</v>
      </c>
    </row>
    <row r="55" spans="1:30" ht="40.049999999999997" customHeight="1" x14ac:dyDescent="0.45">
      <c r="A55" s="4" t="s">
        <v>181</v>
      </c>
      <c r="B55" s="891" t="s">
        <v>182</v>
      </c>
      <c r="C55" s="631"/>
      <c r="D55" s="82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629">
        <f t="shared" si="4"/>
        <v>0</v>
      </c>
      <c r="R55" s="627">
        <f t="shared" si="5"/>
        <v>0</v>
      </c>
    </row>
    <row r="56" spans="1:30" ht="40.049999999999997" customHeight="1" x14ac:dyDescent="0.3">
      <c r="A56" s="237" t="s">
        <v>183</v>
      </c>
      <c r="B56" s="84" t="s">
        <v>184</v>
      </c>
      <c r="C56" s="633"/>
      <c r="D56" s="85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641"/>
    </row>
    <row r="57" spans="1:30" ht="40.049999999999997" customHeight="1" x14ac:dyDescent="0.3">
      <c r="A57" s="236" t="s">
        <v>185</v>
      </c>
      <c r="B57" s="80" t="s">
        <v>186</v>
      </c>
      <c r="C57" s="631"/>
      <c r="D57" s="82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629">
        <f>COUNTIF(C57:P57,"&gt;=R")</f>
        <v>0</v>
      </c>
      <c r="R57" s="627">
        <f>Q57</f>
        <v>0</v>
      </c>
      <c r="Z57" s="1"/>
      <c r="AA57" s="1"/>
      <c r="AB57" s="1"/>
      <c r="AC57" s="1"/>
      <c r="AD57" s="1"/>
    </row>
    <row r="58" spans="1:30" ht="40.049999999999997" customHeight="1" x14ac:dyDescent="0.3">
      <c r="A58" s="236" t="s">
        <v>187</v>
      </c>
      <c r="B58" s="80" t="s">
        <v>188</v>
      </c>
      <c r="C58" s="631"/>
      <c r="D58" s="82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629">
        <f>COUNTIF(C58:P58,"&gt;=R")</f>
        <v>0</v>
      </c>
      <c r="R58" s="627">
        <f>Q58</f>
        <v>0</v>
      </c>
      <c r="Z58" s="1"/>
      <c r="AA58" s="1"/>
      <c r="AB58" s="1"/>
      <c r="AC58" s="1"/>
      <c r="AD58" s="1"/>
    </row>
    <row r="59" spans="1:30" ht="40.049999999999997" customHeight="1" x14ac:dyDescent="0.3">
      <c r="A59" s="236" t="s">
        <v>189</v>
      </c>
      <c r="B59" s="80" t="s">
        <v>190</v>
      </c>
      <c r="C59" s="632"/>
      <c r="D59" s="82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629">
        <f>COUNTIF(C59:P59,"&gt;=R")</f>
        <v>0</v>
      </c>
      <c r="R59" s="627">
        <f>Q59</f>
        <v>0</v>
      </c>
    </row>
    <row r="60" spans="1:30" ht="40.049999999999997" customHeight="1" x14ac:dyDescent="0.3">
      <c r="A60" s="236" t="s">
        <v>191</v>
      </c>
      <c r="B60" s="80" t="s">
        <v>192</v>
      </c>
      <c r="C60" s="632"/>
      <c r="D60" s="82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629">
        <f>COUNTIF(C60:P60,"&gt;=R")</f>
        <v>0</v>
      </c>
      <c r="R60" s="627">
        <f>Q60</f>
        <v>0</v>
      </c>
      <c r="Z60" s="1"/>
      <c r="AA60" s="1"/>
      <c r="AB60" s="1"/>
      <c r="AC60" s="1"/>
      <c r="AD60" s="1"/>
    </row>
    <row r="61" spans="1:30" ht="40.049999999999997" customHeight="1" x14ac:dyDescent="0.3">
      <c r="A61" s="237" t="s">
        <v>193</v>
      </c>
      <c r="B61" s="84" t="s">
        <v>194</v>
      </c>
      <c r="C61" s="633"/>
      <c r="D61" s="85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641"/>
      <c r="Z61" s="1"/>
      <c r="AA61" s="1"/>
      <c r="AB61" s="1"/>
      <c r="AC61" s="1"/>
      <c r="AD61" s="1"/>
    </row>
    <row r="62" spans="1:30" ht="40.049999999999997" customHeight="1" x14ac:dyDescent="0.3">
      <c r="A62" s="238" t="s">
        <v>195</v>
      </c>
      <c r="B62" s="32" t="s">
        <v>196</v>
      </c>
      <c r="C62" s="631"/>
      <c r="D62" s="82"/>
      <c r="E62" s="83"/>
      <c r="F62" s="83"/>
      <c r="G62" s="6"/>
      <c r="H62" s="83"/>
      <c r="I62" s="6"/>
      <c r="J62" s="83"/>
      <c r="K62" s="83"/>
      <c r="L62" s="83"/>
      <c r="M62" s="83"/>
      <c r="N62" s="83"/>
      <c r="O62" s="83"/>
      <c r="P62" s="83"/>
      <c r="Q62" s="629">
        <f t="shared" ref="Q62:Q67" si="6">COUNTIF(C62:P62,"&gt;=R")</f>
        <v>0</v>
      </c>
      <c r="R62" s="627">
        <f t="shared" ref="R62:R67" si="7">Q62</f>
        <v>0</v>
      </c>
    </row>
    <row r="63" spans="1:30" ht="40.049999999999997" customHeight="1" x14ac:dyDescent="0.3">
      <c r="A63" s="243" t="s">
        <v>197</v>
      </c>
      <c r="B63" s="92" t="s">
        <v>139</v>
      </c>
      <c r="C63" s="631"/>
      <c r="D63" s="82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629">
        <f t="shared" si="6"/>
        <v>0</v>
      </c>
      <c r="R63" s="627">
        <f t="shared" si="7"/>
        <v>0</v>
      </c>
      <c r="Z63" s="1"/>
      <c r="AA63" s="1"/>
      <c r="AB63" s="1"/>
      <c r="AC63" s="1"/>
      <c r="AD63" s="1"/>
    </row>
    <row r="64" spans="1:30" ht="40.049999999999997" customHeight="1" x14ac:dyDescent="0.3">
      <c r="A64" s="238" t="s">
        <v>198</v>
      </c>
      <c r="B64" s="32" t="s">
        <v>199</v>
      </c>
      <c r="C64" s="631"/>
      <c r="D64" s="82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629">
        <f t="shared" si="6"/>
        <v>0</v>
      </c>
      <c r="R64" s="627">
        <f t="shared" si="7"/>
        <v>0</v>
      </c>
      <c r="Z64" s="1"/>
      <c r="AA64" s="1"/>
      <c r="AB64" s="1"/>
      <c r="AC64" s="1"/>
      <c r="AD64" s="1"/>
    </row>
    <row r="65" spans="1:30" ht="40.049999999999997" customHeight="1" x14ac:dyDescent="0.3">
      <c r="A65" s="243" t="s">
        <v>200</v>
      </c>
      <c r="B65" s="92" t="s">
        <v>176</v>
      </c>
      <c r="C65" s="631"/>
      <c r="D65" s="82"/>
      <c r="E65" s="81"/>
      <c r="F65" s="83"/>
      <c r="G65" s="6"/>
      <c r="H65" s="83"/>
      <c r="I65" s="83"/>
      <c r="J65" s="83"/>
      <c r="K65" s="83"/>
      <c r="L65" s="83"/>
      <c r="M65" s="83"/>
      <c r="N65" s="83"/>
      <c r="O65" s="83"/>
      <c r="P65" s="83"/>
      <c r="Q65" s="629">
        <f t="shared" si="6"/>
        <v>0</v>
      </c>
      <c r="R65" s="627">
        <f t="shared" si="7"/>
        <v>0</v>
      </c>
    </row>
    <row r="66" spans="1:30" ht="40.049999999999997" customHeight="1" x14ac:dyDescent="0.3">
      <c r="A66" s="238" t="s">
        <v>201</v>
      </c>
      <c r="B66" s="32" t="s">
        <v>202</v>
      </c>
      <c r="C66" s="631"/>
      <c r="D66" s="82"/>
      <c r="E66" s="83"/>
      <c r="F66" s="83"/>
      <c r="G66" s="6"/>
      <c r="H66" s="83"/>
      <c r="I66" s="6"/>
      <c r="J66" s="83"/>
      <c r="K66" s="83"/>
      <c r="L66" s="83"/>
      <c r="M66" s="83"/>
      <c r="N66" s="83"/>
      <c r="O66" s="83"/>
      <c r="P66" s="83"/>
      <c r="Q66" s="629">
        <f t="shared" si="6"/>
        <v>0</v>
      </c>
      <c r="R66" s="627">
        <f t="shared" si="7"/>
        <v>0</v>
      </c>
    </row>
    <row r="67" spans="1:30" ht="40.049999999999997" customHeight="1" x14ac:dyDescent="0.3">
      <c r="A67" s="243" t="s">
        <v>203</v>
      </c>
      <c r="B67" s="92" t="s">
        <v>204</v>
      </c>
      <c r="C67" s="631"/>
      <c r="D67" s="82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629">
        <f t="shared" si="6"/>
        <v>0</v>
      </c>
      <c r="R67" s="627">
        <f t="shared" si="7"/>
        <v>0</v>
      </c>
    </row>
    <row r="68" spans="1:30" ht="40.049999999999997" customHeight="1" x14ac:dyDescent="0.3">
      <c r="A68" s="237" t="s">
        <v>205</v>
      </c>
      <c r="B68" s="84" t="s">
        <v>206</v>
      </c>
      <c r="C68" s="633"/>
      <c r="D68" s="85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641"/>
      <c r="Z68" s="1"/>
      <c r="AA68" s="1"/>
      <c r="AB68" s="1"/>
      <c r="AC68" s="1"/>
      <c r="AD68" s="1"/>
    </row>
    <row r="69" spans="1:30" ht="40.049999999999997" customHeight="1" x14ac:dyDescent="0.3">
      <c r="A69" s="236" t="s">
        <v>207</v>
      </c>
      <c r="B69" s="80" t="s">
        <v>208</v>
      </c>
      <c r="C69" s="632"/>
      <c r="D69" s="82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629">
        <f>COUNTIF(C69:P69,"&gt;=R")</f>
        <v>0</v>
      </c>
      <c r="R69" s="627">
        <f>Q69</f>
        <v>0</v>
      </c>
    </row>
    <row r="70" spans="1:30" ht="40.049999999999997" customHeight="1" x14ac:dyDescent="0.3">
      <c r="A70" s="237" t="s">
        <v>209</v>
      </c>
      <c r="B70" s="84" t="s">
        <v>210</v>
      </c>
      <c r="C70" s="633"/>
      <c r="D70" s="85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641"/>
    </row>
    <row r="71" spans="1:30" ht="40.049999999999997" customHeight="1" x14ac:dyDescent="0.3">
      <c r="A71" s="236" t="s">
        <v>211</v>
      </c>
      <c r="B71" s="80" t="s">
        <v>212</v>
      </c>
      <c r="C71" s="631"/>
      <c r="D71" s="82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629">
        <f>COUNTIF(C71:P71,"&gt;=R")</f>
        <v>0</v>
      </c>
      <c r="R71" s="627">
        <f>Q71</f>
        <v>0</v>
      </c>
    </row>
    <row r="72" spans="1:30" ht="40.049999999999997" customHeight="1" x14ac:dyDescent="0.3">
      <c r="A72" s="236" t="s">
        <v>213</v>
      </c>
      <c r="B72" s="80" t="s">
        <v>214</v>
      </c>
      <c r="C72" s="631"/>
      <c r="D72" s="82"/>
      <c r="E72" s="87"/>
      <c r="F72" s="83"/>
      <c r="G72" s="83"/>
      <c r="H72" s="83"/>
      <c r="I72" s="83"/>
      <c r="J72" s="83"/>
      <c r="K72" s="83"/>
      <c r="L72" s="83"/>
      <c r="M72" s="6"/>
      <c r="N72" s="83"/>
      <c r="O72" s="83"/>
      <c r="P72" s="83"/>
      <c r="Q72" s="629">
        <f>COUNTIF(C72:P72,"&gt;=R")</f>
        <v>0</v>
      </c>
      <c r="R72" s="627">
        <f>Q72</f>
        <v>0</v>
      </c>
    </row>
    <row r="73" spans="1:30" ht="40.049999999999997" customHeight="1" x14ac:dyDescent="0.3">
      <c r="A73" s="237" t="s">
        <v>402</v>
      </c>
      <c r="B73" s="84" t="s">
        <v>403</v>
      </c>
      <c r="C73" s="633"/>
      <c r="D73" s="85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641"/>
    </row>
    <row r="74" spans="1:30" ht="40.049999999999997" customHeight="1" x14ac:dyDescent="0.3">
      <c r="A74" s="236" t="s">
        <v>404</v>
      </c>
      <c r="B74" s="80" t="s">
        <v>405</v>
      </c>
      <c r="C74" s="631"/>
      <c r="D74" s="82"/>
      <c r="E74" s="87"/>
      <c r="F74" s="83"/>
      <c r="G74" s="83"/>
      <c r="H74" s="83"/>
      <c r="I74" s="83"/>
      <c r="J74" s="83"/>
      <c r="K74" s="83"/>
      <c r="L74" s="83"/>
      <c r="M74" s="6"/>
      <c r="N74" s="83"/>
      <c r="O74" s="83"/>
      <c r="P74" s="83"/>
      <c r="Q74" s="629">
        <f>COUNTIF(C74:P74,"&gt;=R")</f>
        <v>0</v>
      </c>
      <c r="R74" s="627">
        <f>Q74</f>
        <v>0</v>
      </c>
    </row>
    <row r="75" spans="1:30" ht="40.049999999999997" customHeight="1" x14ac:dyDescent="0.3">
      <c r="A75" s="237" t="s">
        <v>215</v>
      </c>
      <c r="B75" s="84" t="s">
        <v>216</v>
      </c>
      <c r="C75" s="633"/>
      <c r="D75" s="85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641"/>
      <c r="Z75" s="1"/>
      <c r="AA75" s="1"/>
      <c r="AB75" s="1"/>
      <c r="AC75" s="1"/>
      <c r="AD75" s="1"/>
    </row>
    <row r="76" spans="1:30" ht="40.049999999999997" customHeight="1" x14ac:dyDescent="0.3">
      <c r="A76" s="236" t="s">
        <v>217</v>
      </c>
      <c r="B76" s="80" t="s">
        <v>218</v>
      </c>
      <c r="C76" s="631"/>
      <c r="D76" s="82"/>
      <c r="E76" s="81"/>
      <c r="F76" s="83"/>
      <c r="G76" s="81"/>
      <c r="H76" s="83"/>
      <c r="I76" s="81"/>
      <c r="J76" s="83"/>
      <c r="K76" s="83"/>
      <c r="L76" s="83"/>
      <c r="M76" s="83"/>
      <c r="N76" s="83"/>
      <c r="O76" s="83"/>
      <c r="P76" s="83"/>
      <c r="Q76" s="629">
        <f>COUNTIF(C76:P76,"&gt;=R")</f>
        <v>0</v>
      </c>
      <c r="R76" s="627">
        <f>Q76</f>
        <v>0</v>
      </c>
    </row>
    <row r="77" spans="1:30" ht="40.049999999999997" customHeight="1" x14ac:dyDescent="0.3">
      <c r="A77" s="237" t="s">
        <v>219</v>
      </c>
      <c r="B77" s="84" t="s">
        <v>220</v>
      </c>
      <c r="C77" s="633"/>
      <c r="D77" s="85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641"/>
      <c r="Z77" s="1"/>
      <c r="AA77" s="1"/>
      <c r="AB77" s="1"/>
      <c r="AC77" s="1"/>
      <c r="AD77" s="1"/>
    </row>
    <row r="78" spans="1:30" ht="40.049999999999997" customHeight="1" x14ac:dyDescent="0.3">
      <c r="A78" s="236" t="s">
        <v>221</v>
      </c>
      <c r="B78" s="80" t="s">
        <v>222</v>
      </c>
      <c r="C78" s="632"/>
      <c r="D78" s="82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629">
        <f t="shared" ref="Q78:Q84" si="8">COUNTIF(C78:P78,"&gt;=R")</f>
        <v>0</v>
      </c>
      <c r="R78" s="627">
        <f t="shared" ref="R78:R84" si="9">Q78</f>
        <v>0</v>
      </c>
    </row>
    <row r="79" spans="1:30" ht="40.049999999999997" customHeight="1" x14ac:dyDescent="0.3">
      <c r="A79" s="240" t="s">
        <v>223</v>
      </c>
      <c r="B79" s="88" t="s">
        <v>224</v>
      </c>
      <c r="C79" s="631"/>
      <c r="D79" s="82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629">
        <f t="shared" si="8"/>
        <v>0</v>
      </c>
      <c r="R79" s="627">
        <f t="shared" si="9"/>
        <v>0</v>
      </c>
    </row>
    <row r="80" spans="1:30" ht="40.049999999999997" customHeight="1" x14ac:dyDescent="0.3">
      <c r="A80" s="236" t="s">
        <v>225</v>
      </c>
      <c r="B80" s="80" t="s">
        <v>226</v>
      </c>
      <c r="C80" s="631"/>
      <c r="D80" s="82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629">
        <f t="shared" si="8"/>
        <v>0</v>
      </c>
      <c r="R80" s="627">
        <f t="shared" si="9"/>
        <v>0</v>
      </c>
    </row>
    <row r="81" spans="1:30" ht="40.049999999999997" customHeight="1" x14ac:dyDescent="0.3">
      <c r="A81" s="236" t="s">
        <v>227</v>
      </c>
      <c r="B81" s="80" t="s">
        <v>228</v>
      </c>
      <c r="C81" s="631"/>
      <c r="D81" s="82"/>
      <c r="E81" s="81"/>
      <c r="F81" s="83"/>
      <c r="G81" s="81"/>
      <c r="H81" s="83"/>
      <c r="I81" s="81"/>
      <c r="J81" s="83"/>
      <c r="K81" s="81"/>
      <c r="L81" s="83"/>
      <c r="M81" s="81"/>
      <c r="N81" s="83"/>
      <c r="O81" s="81"/>
      <c r="P81" s="83"/>
      <c r="Q81" s="629">
        <f t="shared" si="8"/>
        <v>0</v>
      </c>
      <c r="R81" s="627">
        <f t="shared" si="9"/>
        <v>0</v>
      </c>
      <c r="Z81" s="1"/>
      <c r="AA81" s="1"/>
      <c r="AB81" s="1"/>
      <c r="AC81" s="1"/>
      <c r="AD81" s="1"/>
    </row>
    <row r="82" spans="1:30" ht="40.049999999999997" customHeight="1" x14ac:dyDescent="0.3">
      <c r="A82" s="236" t="s">
        <v>229</v>
      </c>
      <c r="B82" s="80" t="s">
        <v>230</v>
      </c>
      <c r="C82" s="631"/>
      <c r="D82" s="82"/>
      <c r="E82" s="81"/>
      <c r="F82" s="83"/>
      <c r="G82" s="81"/>
      <c r="H82" s="83"/>
      <c r="I82" s="81"/>
      <c r="J82" s="83"/>
      <c r="K82" s="81"/>
      <c r="L82" s="83"/>
      <c r="M82" s="81"/>
      <c r="N82" s="83"/>
      <c r="O82" s="81"/>
      <c r="P82" s="83"/>
      <c r="Q82" s="629">
        <f t="shared" si="8"/>
        <v>0</v>
      </c>
      <c r="R82" s="627">
        <f t="shared" si="9"/>
        <v>0</v>
      </c>
    </row>
    <row r="83" spans="1:30" ht="40.049999999999997" customHeight="1" x14ac:dyDescent="0.3">
      <c r="A83" s="236" t="s">
        <v>231</v>
      </c>
      <c r="B83" s="80" t="s">
        <v>232</v>
      </c>
      <c r="C83" s="631"/>
      <c r="D83" s="81"/>
      <c r="E83" s="9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629">
        <f t="shared" si="8"/>
        <v>0</v>
      </c>
      <c r="R83" s="627">
        <f t="shared" si="9"/>
        <v>0</v>
      </c>
      <c r="Z83" s="1"/>
      <c r="AA83" s="1"/>
      <c r="AB83" s="1"/>
      <c r="AC83" s="1"/>
      <c r="AD83" s="1"/>
    </row>
    <row r="84" spans="1:30" ht="40.049999999999997" customHeight="1" x14ac:dyDescent="0.45">
      <c r="A84" s="4" t="s">
        <v>233</v>
      </c>
      <c r="B84" s="891" t="s">
        <v>234</v>
      </c>
      <c r="C84" s="631"/>
      <c r="D84" s="81"/>
      <c r="E84" s="9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629">
        <f t="shared" si="8"/>
        <v>0</v>
      </c>
      <c r="R84" s="627">
        <f t="shared" si="9"/>
        <v>0</v>
      </c>
    </row>
    <row r="85" spans="1:30" ht="40.049999999999997" customHeight="1" x14ac:dyDescent="0.3">
      <c r="A85" s="237" t="s">
        <v>235</v>
      </c>
      <c r="B85" s="84" t="s">
        <v>236</v>
      </c>
      <c r="C85" s="633"/>
      <c r="D85" s="85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641"/>
    </row>
    <row r="86" spans="1:30" ht="40.049999999999997" customHeight="1" x14ac:dyDescent="0.3">
      <c r="A86" s="238" t="s">
        <v>237</v>
      </c>
      <c r="B86" s="32" t="s">
        <v>238</v>
      </c>
      <c r="C86" s="631"/>
      <c r="D86" s="81"/>
      <c r="E86" s="87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629">
        <f t="shared" ref="Q86:Q100" si="10">COUNTIF(C86:P86,"&gt;=R")</f>
        <v>0</v>
      </c>
      <c r="R86" s="627">
        <f t="shared" ref="R86:R100" si="11">Q86</f>
        <v>0</v>
      </c>
    </row>
    <row r="87" spans="1:30" ht="40.049999999999997" customHeight="1" x14ac:dyDescent="0.3">
      <c r="A87" s="236" t="s">
        <v>239</v>
      </c>
      <c r="B87" s="80" t="s">
        <v>139</v>
      </c>
      <c r="C87" s="632"/>
      <c r="D87" s="81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629">
        <f t="shared" si="10"/>
        <v>0</v>
      </c>
      <c r="R87" s="627">
        <f t="shared" si="11"/>
        <v>0</v>
      </c>
      <c r="Z87" s="1"/>
      <c r="AA87" s="1"/>
      <c r="AB87" s="1"/>
      <c r="AC87" s="1"/>
      <c r="AD87" s="1"/>
    </row>
    <row r="88" spans="1:30" ht="40.049999999999997" customHeight="1" x14ac:dyDescent="0.3">
      <c r="A88" s="238" t="s">
        <v>240</v>
      </c>
      <c r="B88" s="32" t="s">
        <v>241</v>
      </c>
      <c r="C88" s="631"/>
      <c r="D88" s="81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629">
        <f t="shared" si="10"/>
        <v>0</v>
      </c>
      <c r="R88" s="627">
        <f t="shared" si="11"/>
        <v>0</v>
      </c>
    </row>
    <row r="89" spans="1:30" ht="40.049999999999997" customHeight="1" x14ac:dyDescent="0.3">
      <c r="A89" s="243" t="s">
        <v>242</v>
      </c>
      <c r="B89" s="92" t="s">
        <v>243</v>
      </c>
      <c r="C89" s="632"/>
      <c r="D89" s="81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629">
        <f t="shared" si="10"/>
        <v>0</v>
      </c>
      <c r="R89" s="627">
        <f t="shared" si="11"/>
        <v>0</v>
      </c>
    </row>
    <row r="90" spans="1:30" ht="40.049999999999997" customHeight="1" x14ac:dyDescent="0.3">
      <c r="A90" s="243" t="s">
        <v>244</v>
      </c>
      <c r="B90" s="92" t="s">
        <v>245</v>
      </c>
      <c r="C90" s="631"/>
      <c r="D90" s="81"/>
      <c r="E90" s="87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629">
        <f t="shared" si="10"/>
        <v>0</v>
      </c>
      <c r="R90" s="627">
        <f t="shared" si="11"/>
        <v>0</v>
      </c>
    </row>
    <row r="91" spans="1:30" ht="40.049999999999997" customHeight="1" x14ac:dyDescent="0.3">
      <c r="A91" s="238" t="s">
        <v>246</v>
      </c>
      <c r="B91" s="32" t="s">
        <v>247</v>
      </c>
      <c r="C91" s="631"/>
      <c r="D91" s="81"/>
      <c r="E91" s="87"/>
      <c r="F91" s="83"/>
      <c r="G91" s="83"/>
      <c r="H91" s="83"/>
      <c r="I91" s="83"/>
      <c r="J91" s="83"/>
      <c r="K91" s="83"/>
      <c r="L91" s="83"/>
      <c r="M91" s="93"/>
      <c r="N91" s="83"/>
      <c r="O91" s="83"/>
      <c r="P91" s="83"/>
      <c r="Q91" s="629">
        <f t="shared" si="10"/>
        <v>0</v>
      </c>
      <c r="R91" s="627">
        <f t="shared" si="11"/>
        <v>0</v>
      </c>
    </row>
    <row r="92" spans="1:30" ht="40.049999999999997" customHeight="1" x14ac:dyDescent="0.3">
      <c r="A92" s="243" t="s">
        <v>248</v>
      </c>
      <c r="B92" s="92" t="s">
        <v>249</v>
      </c>
      <c r="C92" s="632"/>
      <c r="D92" s="81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629">
        <f t="shared" si="10"/>
        <v>0</v>
      </c>
      <c r="R92" s="627">
        <f t="shared" si="11"/>
        <v>0</v>
      </c>
    </row>
    <row r="93" spans="1:30" ht="40.049999999999997" customHeight="1" x14ac:dyDescent="0.3">
      <c r="A93" s="243" t="s">
        <v>250</v>
      </c>
      <c r="B93" s="92" t="s">
        <v>251</v>
      </c>
      <c r="C93" s="632"/>
      <c r="D93" s="81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629">
        <f t="shared" si="10"/>
        <v>0</v>
      </c>
      <c r="R93" s="627">
        <f t="shared" si="11"/>
        <v>0</v>
      </c>
    </row>
    <row r="94" spans="1:30" ht="40.049999999999997" customHeight="1" x14ac:dyDescent="0.3">
      <c r="A94" s="238" t="s">
        <v>252</v>
      </c>
      <c r="B94" s="32" t="s">
        <v>253</v>
      </c>
      <c r="C94" s="631"/>
      <c r="D94" s="81"/>
      <c r="E94" s="87"/>
      <c r="F94" s="83"/>
      <c r="G94" s="6"/>
      <c r="H94" s="83"/>
      <c r="I94" s="6"/>
      <c r="J94" s="83"/>
      <c r="K94" s="83"/>
      <c r="L94" s="83"/>
      <c r="M94" s="83"/>
      <c r="N94" s="83"/>
      <c r="O94" s="83"/>
      <c r="P94" s="83"/>
      <c r="Q94" s="629">
        <f t="shared" si="10"/>
        <v>0</v>
      </c>
      <c r="R94" s="627">
        <f t="shared" si="11"/>
        <v>0</v>
      </c>
      <c r="Z94" s="1"/>
      <c r="AA94" s="1"/>
      <c r="AB94" s="1"/>
      <c r="AC94" s="1"/>
      <c r="AD94" s="1"/>
    </row>
    <row r="95" spans="1:30" ht="40.049999999999997" customHeight="1" x14ac:dyDescent="0.3">
      <c r="A95" s="236" t="s">
        <v>254</v>
      </c>
      <c r="B95" s="80" t="s">
        <v>255</v>
      </c>
      <c r="C95" s="631"/>
      <c r="D95" s="81"/>
      <c r="E95" s="81"/>
      <c r="F95" s="83"/>
      <c r="G95" s="81"/>
      <c r="H95" s="83"/>
      <c r="I95" s="81"/>
      <c r="J95" s="83"/>
      <c r="K95" s="81"/>
      <c r="L95" s="83"/>
      <c r="M95" s="81"/>
      <c r="N95" s="83"/>
      <c r="O95" s="81"/>
      <c r="P95" s="83"/>
      <c r="Q95" s="629">
        <f t="shared" si="10"/>
        <v>0</v>
      </c>
      <c r="R95" s="627">
        <f t="shared" si="11"/>
        <v>0</v>
      </c>
      <c r="Z95" s="1"/>
      <c r="AA95" s="1"/>
      <c r="AB95" s="1"/>
      <c r="AC95" s="1"/>
      <c r="AD95" s="1"/>
    </row>
    <row r="96" spans="1:30" ht="40.049999999999997" customHeight="1" x14ac:dyDescent="0.3">
      <c r="A96" s="236" t="s">
        <v>256</v>
      </c>
      <c r="B96" s="80" t="s">
        <v>257</v>
      </c>
      <c r="C96" s="631"/>
      <c r="D96" s="82"/>
      <c r="E96" s="81"/>
      <c r="F96" s="83"/>
      <c r="G96" s="81"/>
      <c r="H96" s="83"/>
      <c r="I96" s="81"/>
      <c r="J96" s="83"/>
      <c r="K96" s="81"/>
      <c r="L96" s="83"/>
      <c r="M96" s="81"/>
      <c r="N96" s="83"/>
      <c r="O96" s="81"/>
      <c r="P96" s="83"/>
      <c r="Q96" s="629">
        <f t="shared" si="10"/>
        <v>0</v>
      </c>
      <c r="R96" s="627">
        <f t="shared" si="11"/>
        <v>0</v>
      </c>
    </row>
    <row r="97" spans="1:30" ht="40.049999999999997" customHeight="1" x14ac:dyDescent="0.3">
      <c r="A97" s="236" t="s">
        <v>258</v>
      </c>
      <c r="B97" s="80" t="s">
        <v>259</v>
      </c>
      <c r="C97" s="631"/>
      <c r="D97" s="82"/>
      <c r="E97" s="81"/>
      <c r="F97" s="83"/>
      <c r="G97" s="81"/>
      <c r="H97" s="83"/>
      <c r="I97" s="81"/>
      <c r="J97" s="83"/>
      <c r="K97" s="81"/>
      <c r="L97" s="83"/>
      <c r="M97" s="81"/>
      <c r="N97" s="83"/>
      <c r="O97" s="81"/>
      <c r="P97" s="83"/>
      <c r="Q97" s="629">
        <f t="shared" si="10"/>
        <v>0</v>
      </c>
      <c r="R97" s="627">
        <f t="shared" si="11"/>
        <v>0</v>
      </c>
      <c r="Z97" s="1"/>
      <c r="AA97" s="1"/>
      <c r="AB97" s="1"/>
      <c r="AC97" s="1"/>
      <c r="AD97" s="1"/>
    </row>
    <row r="98" spans="1:30" ht="40.049999999999997" customHeight="1" x14ac:dyDescent="0.3">
      <c r="A98" s="236" t="s">
        <v>260</v>
      </c>
      <c r="B98" s="80" t="s">
        <v>261</v>
      </c>
      <c r="C98" s="631"/>
      <c r="D98" s="82"/>
      <c r="E98" s="81"/>
      <c r="F98" s="83"/>
      <c r="G98" s="81"/>
      <c r="H98" s="83"/>
      <c r="I98" s="81"/>
      <c r="J98" s="83"/>
      <c r="K98" s="81"/>
      <c r="L98" s="83"/>
      <c r="M98" s="81"/>
      <c r="N98" s="83"/>
      <c r="O98" s="81"/>
      <c r="P98" s="83"/>
      <c r="Q98" s="629">
        <f t="shared" si="10"/>
        <v>0</v>
      </c>
      <c r="R98" s="627">
        <f t="shared" si="11"/>
        <v>0</v>
      </c>
      <c r="Z98" s="1"/>
      <c r="AA98" s="1"/>
      <c r="AB98" s="1"/>
      <c r="AC98" s="1"/>
      <c r="AD98" s="1"/>
    </row>
    <row r="99" spans="1:30" ht="40.049999999999997" customHeight="1" x14ac:dyDescent="0.3">
      <c r="A99" s="238" t="s">
        <v>262</v>
      </c>
      <c r="B99" s="32" t="s">
        <v>263</v>
      </c>
      <c r="C99" s="631"/>
      <c r="D99" s="82"/>
      <c r="E99" s="83"/>
      <c r="F99" s="83"/>
      <c r="G99" s="6"/>
      <c r="H99" s="83"/>
      <c r="I99" s="6"/>
      <c r="J99" s="83"/>
      <c r="K99" s="6"/>
      <c r="L99" s="83"/>
      <c r="M99" s="83"/>
      <c r="N99" s="83"/>
      <c r="O99" s="83"/>
      <c r="P99" s="83"/>
      <c r="Q99" s="629">
        <f t="shared" si="10"/>
        <v>0</v>
      </c>
      <c r="R99" s="627">
        <f t="shared" si="11"/>
        <v>0</v>
      </c>
    </row>
    <row r="100" spans="1:30" ht="40.049999999999997" customHeight="1" x14ac:dyDescent="0.3">
      <c r="A100" s="243" t="s">
        <v>264</v>
      </c>
      <c r="B100" s="92" t="s">
        <v>265</v>
      </c>
      <c r="C100" s="631"/>
      <c r="D100" s="82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629">
        <f t="shared" si="10"/>
        <v>0</v>
      </c>
      <c r="R100" s="627">
        <f t="shared" si="11"/>
        <v>0</v>
      </c>
    </row>
    <row r="101" spans="1:30" ht="40.049999999999997" customHeight="1" x14ac:dyDescent="0.3">
      <c r="A101" s="244" t="s">
        <v>266</v>
      </c>
      <c r="B101" s="84" t="s">
        <v>267</v>
      </c>
      <c r="C101" s="633"/>
      <c r="D101" s="85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641"/>
    </row>
    <row r="102" spans="1:30" ht="40.049999999999997" customHeight="1" x14ac:dyDescent="0.3">
      <c r="A102" s="236" t="s">
        <v>268</v>
      </c>
      <c r="B102" s="80" t="s">
        <v>269</v>
      </c>
      <c r="C102" s="632"/>
      <c r="D102" s="82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629">
        <f>COUNTIF(C102:P102,"&gt;=R")</f>
        <v>0</v>
      </c>
      <c r="R102" s="627">
        <f>Q102</f>
        <v>0</v>
      </c>
    </row>
    <row r="103" spans="1:30" ht="40.049999999999997" customHeight="1" x14ac:dyDescent="0.3">
      <c r="A103" s="236" t="s">
        <v>270</v>
      </c>
      <c r="B103" s="80" t="s">
        <v>271</v>
      </c>
      <c r="C103" s="632"/>
      <c r="D103" s="82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629">
        <f>COUNTIF(C103:P103,"&gt;=R")</f>
        <v>0</v>
      </c>
      <c r="R103" s="627">
        <f>Q103</f>
        <v>0</v>
      </c>
    </row>
    <row r="104" spans="1:30" ht="40.049999999999997" customHeight="1" x14ac:dyDescent="0.3">
      <c r="A104" s="244" t="s">
        <v>272</v>
      </c>
      <c r="B104" s="84" t="s">
        <v>273</v>
      </c>
      <c r="C104" s="633"/>
      <c r="D104" s="85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641"/>
      <c r="Z104" s="1"/>
      <c r="AA104" s="1"/>
      <c r="AB104" s="1"/>
      <c r="AC104" s="1"/>
      <c r="AD104" s="1"/>
    </row>
    <row r="105" spans="1:30" ht="40.049999999999997" customHeight="1" x14ac:dyDescent="0.3">
      <c r="A105" s="236" t="s">
        <v>274</v>
      </c>
      <c r="B105" s="80" t="s">
        <v>275</v>
      </c>
      <c r="C105" s="631"/>
      <c r="D105" s="81"/>
      <c r="E105" s="81"/>
      <c r="F105" s="83"/>
      <c r="G105" s="81"/>
      <c r="H105" s="83"/>
      <c r="I105" s="81"/>
      <c r="J105" s="83"/>
      <c r="K105" s="81"/>
      <c r="L105" s="83"/>
      <c r="M105" s="81"/>
      <c r="N105" s="83"/>
      <c r="O105" s="81"/>
      <c r="P105" s="83"/>
      <c r="Q105" s="629">
        <f>COUNTIF(C105:P105,"&gt;=R")</f>
        <v>0</v>
      </c>
      <c r="R105" s="627">
        <f>Q105</f>
        <v>0</v>
      </c>
    </row>
    <row r="106" spans="1:30" ht="40.049999999999997" customHeight="1" x14ac:dyDescent="0.3">
      <c r="A106" s="236" t="s">
        <v>276</v>
      </c>
      <c r="B106" s="80" t="s">
        <v>277</v>
      </c>
      <c r="C106" s="631"/>
      <c r="D106" s="82"/>
      <c r="E106" s="81"/>
      <c r="F106" s="83"/>
      <c r="G106" s="81"/>
      <c r="H106" s="83"/>
      <c r="I106" s="81"/>
      <c r="J106" s="83"/>
      <c r="K106" s="93"/>
      <c r="L106" s="83"/>
      <c r="M106" s="93"/>
      <c r="N106" s="83"/>
      <c r="O106" s="93"/>
      <c r="P106" s="83"/>
      <c r="Q106" s="629">
        <f>COUNTIF(C106:P106,"&gt;=R")</f>
        <v>0</v>
      </c>
      <c r="R106" s="627">
        <f>Q106</f>
        <v>0</v>
      </c>
      <c r="Z106" s="1"/>
      <c r="AA106" s="1"/>
      <c r="AB106" s="1"/>
      <c r="AC106" s="1"/>
      <c r="AD106" s="1"/>
    </row>
    <row r="107" spans="1:30" ht="40.049999999999997" customHeight="1" x14ac:dyDescent="0.3">
      <c r="A107" s="237" t="s">
        <v>278</v>
      </c>
      <c r="B107" s="84" t="s">
        <v>279</v>
      </c>
      <c r="C107" s="633"/>
      <c r="D107" s="85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641"/>
      <c r="Z107" s="1"/>
      <c r="AA107" s="1"/>
      <c r="AB107" s="1"/>
      <c r="AC107" s="1"/>
      <c r="AD107" s="1"/>
    </row>
    <row r="108" spans="1:30" ht="40.049999999999997" customHeight="1" x14ac:dyDescent="0.3">
      <c r="A108" s="238" t="s">
        <v>280</v>
      </c>
      <c r="B108" s="32" t="s">
        <v>281</v>
      </c>
      <c r="C108" s="631"/>
      <c r="D108" s="82"/>
      <c r="E108" s="83"/>
      <c r="F108" s="83"/>
      <c r="G108" s="6"/>
      <c r="H108" s="83"/>
      <c r="I108" s="6"/>
      <c r="J108" s="83"/>
      <c r="K108" s="83"/>
      <c r="L108" s="83"/>
      <c r="M108" s="83"/>
      <c r="N108" s="83"/>
      <c r="O108" s="83"/>
      <c r="P108" s="83"/>
      <c r="Q108" s="629">
        <f t="shared" ref="Q108:Q114" si="12">COUNTIF(C108:P108,"&gt;=R")</f>
        <v>0</v>
      </c>
      <c r="R108" s="627">
        <f t="shared" ref="R108:R114" si="13">Q108</f>
        <v>0</v>
      </c>
    </row>
    <row r="109" spans="1:30" ht="40.049999999999997" customHeight="1" x14ac:dyDescent="0.45">
      <c r="A109" s="4" t="s">
        <v>282</v>
      </c>
      <c r="B109" s="891" t="s">
        <v>283</v>
      </c>
      <c r="C109" s="631"/>
      <c r="D109" s="82"/>
      <c r="E109" s="83"/>
      <c r="F109" s="83"/>
      <c r="G109" s="6"/>
      <c r="H109" s="83"/>
      <c r="I109" s="6"/>
      <c r="J109" s="83"/>
      <c r="K109" s="83"/>
      <c r="L109" s="83"/>
      <c r="M109" s="83"/>
      <c r="N109" s="83"/>
      <c r="O109" s="83"/>
      <c r="P109" s="83"/>
      <c r="Q109" s="629">
        <f t="shared" si="12"/>
        <v>0</v>
      </c>
      <c r="R109" s="627">
        <f t="shared" si="13"/>
        <v>0</v>
      </c>
    </row>
    <row r="110" spans="1:30" ht="40.049999999999997" customHeight="1" x14ac:dyDescent="0.3">
      <c r="A110" s="243" t="s">
        <v>284</v>
      </c>
      <c r="B110" s="92" t="s">
        <v>285</v>
      </c>
      <c r="C110" s="631"/>
      <c r="D110" s="82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629">
        <f t="shared" si="12"/>
        <v>0</v>
      </c>
      <c r="R110" s="627">
        <f t="shared" si="13"/>
        <v>0</v>
      </c>
      <c r="Z110" s="1"/>
      <c r="AA110" s="1"/>
      <c r="AB110" s="1"/>
      <c r="AC110" s="1"/>
      <c r="AD110" s="1"/>
    </row>
    <row r="111" spans="1:30" ht="40.049999999999997" customHeight="1" x14ac:dyDescent="0.3">
      <c r="A111" s="238" t="s">
        <v>286</v>
      </c>
      <c r="B111" s="32" t="s">
        <v>287</v>
      </c>
      <c r="C111" s="631"/>
      <c r="D111" s="82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629">
        <f t="shared" si="12"/>
        <v>0</v>
      </c>
      <c r="R111" s="627">
        <f t="shared" si="13"/>
        <v>0</v>
      </c>
    </row>
    <row r="112" spans="1:30" ht="40.049999999999997" customHeight="1" x14ac:dyDescent="0.3">
      <c r="A112" s="236" t="s">
        <v>288</v>
      </c>
      <c r="B112" s="80" t="s">
        <v>289</v>
      </c>
      <c r="C112" s="632"/>
      <c r="D112" s="82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629">
        <f t="shared" si="12"/>
        <v>0</v>
      </c>
      <c r="R112" s="627">
        <f t="shared" si="13"/>
        <v>0</v>
      </c>
      <c r="Z112" s="1"/>
      <c r="AA112" s="1"/>
      <c r="AB112" s="1"/>
      <c r="AC112" s="1"/>
      <c r="AD112" s="1"/>
    </row>
    <row r="113" spans="1:30" ht="40.049999999999997" customHeight="1" x14ac:dyDescent="0.3">
      <c r="A113" s="236" t="s">
        <v>290</v>
      </c>
      <c r="B113" s="80" t="s">
        <v>291</v>
      </c>
      <c r="C113" s="631"/>
      <c r="D113" s="82"/>
      <c r="E113" s="81"/>
      <c r="F113" s="83"/>
      <c r="G113" s="81"/>
      <c r="H113" s="83"/>
      <c r="I113" s="81"/>
      <c r="J113" s="83"/>
      <c r="K113" s="81"/>
      <c r="L113" s="83"/>
      <c r="M113" s="81"/>
      <c r="N113" s="83"/>
      <c r="O113" s="81"/>
      <c r="P113" s="83"/>
      <c r="Q113" s="629">
        <f t="shared" si="12"/>
        <v>0</v>
      </c>
      <c r="R113" s="627">
        <f t="shared" si="13"/>
        <v>0</v>
      </c>
    </row>
    <row r="114" spans="1:30" ht="40.049999999999997" customHeight="1" x14ac:dyDescent="0.45">
      <c r="A114" s="4" t="s">
        <v>292</v>
      </c>
      <c r="B114" s="891" t="s">
        <v>293</v>
      </c>
      <c r="C114" s="631"/>
      <c r="D114" s="82"/>
      <c r="E114" s="81"/>
      <c r="F114" s="83"/>
      <c r="G114" s="81"/>
      <c r="H114" s="83"/>
      <c r="I114" s="81"/>
      <c r="J114" s="83"/>
      <c r="K114" s="81"/>
      <c r="L114" s="83"/>
      <c r="M114" s="81"/>
      <c r="N114" s="83"/>
      <c r="O114" s="81"/>
      <c r="P114" s="83"/>
      <c r="Q114" s="629">
        <f t="shared" si="12"/>
        <v>0</v>
      </c>
      <c r="R114" s="627">
        <f t="shared" si="13"/>
        <v>0</v>
      </c>
    </row>
    <row r="115" spans="1:30" ht="40.049999999999997" customHeight="1" x14ac:dyDescent="0.3">
      <c r="A115" s="237" t="s">
        <v>294</v>
      </c>
      <c r="B115" s="94" t="s">
        <v>295</v>
      </c>
      <c r="C115" s="633"/>
      <c r="D115" s="85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641"/>
      <c r="Z115" s="1"/>
      <c r="AA115" s="1"/>
      <c r="AB115" s="1"/>
      <c r="AC115" s="1"/>
      <c r="AD115" s="1"/>
    </row>
    <row r="116" spans="1:30" ht="40.049999999999997" customHeight="1" x14ac:dyDescent="0.3">
      <c r="A116" s="245" t="s">
        <v>296</v>
      </c>
      <c r="B116" s="95" t="s">
        <v>297</v>
      </c>
      <c r="C116" s="631"/>
      <c r="D116" s="82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629">
        <f t="shared" ref="Q116:Q127" si="14">COUNTIF(C116:P116,"&gt;=R")</f>
        <v>0</v>
      </c>
      <c r="R116" s="627">
        <f t="shared" ref="R116:R127" si="15">Q116</f>
        <v>0</v>
      </c>
      <c r="Z116" s="1"/>
      <c r="AA116" s="1"/>
      <c r="AB116" s="1"/>
      <c r="AC116" s="1"/>
      <c r="AD116" s="1"/>
    </row>
    <row r="117" spans="1:30" ht="40.049999999999997" customHeight="1" x14ac:dyDescent="0.3">
      <c r="A117" s="245" t="s">
        <v>298</v>
      </c>
      <c r="B117" s="95" t="s">
        <v>299</v>
      </c>
      <c r="C117" s="631"/>
      <c r="D117" s="82"/>
      <c r="E117" s="83"/>
      <c r="F117" s="83"/>
      <c r="G117" s="93"/>
      <c r="H117" s="83"/>
      <c r="I117" s="93"/>
      <c r="J117" s="83"/>
      <c r="K117" s="93"/>
      <c r="L117" s="83"/>
      <c r="M117" s="83"/>
      <c r="N117" s="83"/>
      <c r="O117" s="83"/>
      <c r="P117" s="83"/>
      <c r="Q117" s="629">
        <f t="shared" si="14"/>
        <v>0</v>
      </c>
      <c r="R117" s="627">
        <f t="shared" si="15"/>
        <v>0</v>
      </c>
    </row>
    <row r="118" spans="1:30" ht="40.049999999999997" customHeight="1" x14ac:dyDescent="0.3">
      <c r="A118" s="245" t="s">
        <v>300</v>
      </c>
      <c r="B118" s="95" t="s">
        <v>301</v>
      </c>
      <c r="C118" s="631"/>
      <c r="D118" s="82"/>
      <c r="E118" s="81"/>
      <c r="F118" s="83"/>
      <c r="G118" s="81"/>
      <c r="H118" s="83"/>
      <c r="I118" s="81"/>
      <c r="J118" s="83"/>
      <c r="K118" s="81"/>
      <c r="L118" s="83"/>
      <c r="M118" s="81"/>
      <c r="N118" s="83"/>
      <c r="O118" s="81"/>
      <c r="P118" s="83"/>
      <c r="Q118" s="629">
        <f t="shared" si="14"/>
        <v>0</v>
      </c>
      <c r="R118" s="627">
        <f t="shared" si="15"/>
        <v>0</v>
      </c>
    </row>
    <row r="119" spans="1:30" ht="40.049999999999997" customHeight="1" x14ac:dyDescent="0.3">
      <c r="A119" s="245" t="s">
        <v>302</v>
      </c>
      <c r="B119" s="95" t="s">
        <v>303</v>
      </c>
      <c r="C119" s="632"/>
      <c r="D119" s="82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629">
        <f t="shared" si="14"/>
        <v>0</v>
      </c>
      <c r="R119" s="627">
        <f t="shared" si="15"/>
        <v>0</v>
      </c>
      <c r="Z119" s="1"/>
      <c r="AA119" s="1"/>
      <c r="AB119" s="1"/>
      <c r="AC119" s="1"/>
      <c r="AD119" s="1"/>
    </row>
    <row r="120" spans="1:30" ht="40.049999999999997" customHeight="1" x14ac:dyDescent="0.3">
      <c r="A120" s="245" t="s">
        <v>304</v>
      </c>
      <c r="B120" s="95" t="s">
        <v>305</v>
      </c>
      <c r="C120" s="631"/>
      <c r="D120" s="82"/>
      <c r="E120" s="83"/>
      <c r="F120" s="83"/>
      <c r="G120" s="93"/>
      <c r="H120" s="83"/>
      <c r="I120" s="93"/>
      <c r="J120" s="83"/>
      <c r="K120" s="93"/>
      <c r="L120" s="83"/>
      <c r="M120" s="83"/>
      <c r="N120" s="83"/>
      <c r="O120" s="83"/>
      <c r="P120" s="83"/>
      <c r="Q120" s="629">
        <f t="shared" si="14"/>
        <v>0</v>
      </c>
      <c r="R120" s="627">
        <f t="shared" si="15"/>
        <v>0</v>
      </c>
    </row>
    <row r="121" spans="1:30" ht="40.049999999999997" customHeight="1" x14ac:dyDescent="0.3">
      <c r="A121" s="245" t="s">
        <v>306</v>
      </c>
      <c r="B121" s="95" t="s">
        <v>307</v>
      </c>
      <c r="C121" s="634"/>
      <c r="D121" s="82"/>
      <c r="E121" s="6"/>
      <c r="F121" s="83"/>
      <c r="G121" s="6"/>
      <c r="H121" s="83"/>
      <c r="I121" s="6"/>
      <c r="J121" s="83"/>
      <c r="K121" s="6"/>
      <c r="L121" s="83"/>
      <c r="M121" s="6"/>
      <c r="N121" s="83"/>
      <c r="O121" s="6"/>
      <c r="P121" s="83"/>
      <c r="Q121" s="629">
        <f t="shared" si="14"/>
        <v>0</v>
      </c>
      <c r="R121" s="627">
        <f t="shared" si="15"/>
        <v>0</v>
      </c>
    </row>
    <row r="122" spans="1:30" ht="40.049999999999997" customHeight="1" x14ac:dyDescent="0.3">
      <c r="A122" s="245" t="s">
        <v>308</v>
      </c>
      <c r="B122" s="95" t="s">
        <v>309</v>
      </c>
      <c r="C122" s="631"/>
      <c r="D122" s="82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629">
        <f t="shared" si="14"/>
        <v>0</v>
      </c>
      <c r="R122" s="627">
        <f t="shared" si="15"/>
        <v>0</v>
      </c>
    </row>
    <row r="123" spans="1:30" ht="40.049999999999997" customHeight="1" x14ac:dyDescent="0.3">
      <c r="A123" s="245" t="s">
        <v>310</v>
      </c>
      <c r="B123" s="95" t="s">
        <v>311</v>
      </c>
      <c r="C123" s="631"/>
      <c r="D123" s="89"/>
      <c r="E123" s="6"/>
      <c r="F123" s="6"/>
      <c r="G123" s="93"/>
      <c r="H123" s="6"/>
      <c r="I123" s="93"/>
      <c r="J123" s="6"/>
      <c r="K123" s="93"/>
      <c r="L123" s="6"/>
      <c r="M123" s="6"/>
      <c r="N123" s="6"/>
      <c r="O123" s="6"/>
      <c r="P123" s="6"/>
      <c r="Q123" s="629">
        <f t="shared" si="14"/>
        <v>0</v>
      </c>
      <c r="R123" s="627">
        <f t="shared" si="15"/>
        <v>0</v>
      </c>
    </row>
    <row r="124" spans="1:30" ht="40.049999999999997" customHeight="1" x14ac:dyDescent="0.3">
      <c r="A124" s="245" t="s">
        <v>312</v>
      </c>
      <c r="B124" s="95" t="s">
        <v>313</v>
      </c>
      <c r="C124" s="631"/>
      <c r="D124" s="89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29">
        <f t="shared" si="14"/>
        <v>0</v>
      </c>
      <c r="R124" s="627">
        <f t="shared" si="15"/>
        <v>0</v>
      </c>
    </row>
    <row r="125" spans="1:30" ht="40.049999999999997" customHeight="1" x14ac:dyDescent="0.3">
      <c r="A125" s="245" t="s">
        <v>314</v>
      </c>
      <c r="B125" s="95" t="s">
        <v>315</v>
      </c>
      <c r="C125" s="631"/>
      <c r="D125" s="89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29">
        <f t="shared" si="14"/>
        <v>0</v>
      </c>
      <c r="R125" s="627">
        <f t="shared" si="15"/>
        <v>0</v>
      </c>
    </row>
    <row r="126" spans="1:30" ht="40.049999999999997" customHeight="1" x14ac:dyDescent="0.3">
      <c r="A126" s="245" t="s">
        <v>316</v>
      </c>
      <c r="B126" s="95" t="s">
        <v>317</v>
      </c>
      <c r="C126" s="631"/>
      <c r="D126" s="89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29">
        <f t="shared" si="14"/>
        <v>0</v>
      </c>
      <c r="R126" s="627">
        <f t="shared" si="15"/>
        <v>0</v>
      </c>
    </row>
    <row r="127" spans="1:30" ht="40.049999999999997" customHeight="1" x14ac:dyDescent="0.3">
      <c r="A127" s="245" t="s">
        <v>318</v>
      </c>
      <c r="B127" s="95" t="s">
        <v>319</v>
      </c>
      <c r="C127" s="631"/>
      <c r="D127" s="89"/>
      <c r="E127" s="89"/>
      <c r="F127" s="6"/>
      <c r="G127" s="89"/>
      <c r="H127" s="6"/>
      <c r="I127" s="89"/>
      <c r="J127" s="6"/>
      <c r="K127" s="89"/>
      <c r="L127" s="6"/>
      <c r="M127" s="89"/>
      <c r="N127" s="6"/>
      <c r="O127" s="89"/>
      <c r="P127" s="6"/>
      <c r="Q127" s="629">
        <f t="shared" si="14"/>
        <v>0</v>
      </c>
      <c r="R127" s="627">
        <f t="shared" si="15"/>
        <v>0</v>
      </c>
    </row>
    <row r="128" spans="1:30" ht="40.049999999999997" customHeight="1" thickBot="1" x14ac:dyDescent="0.35">
      <c r="A128" s="241" t="s">
        <v>320</v>
      </c>
      <c r="B128" s="90" t="s">
        <v>321</v>
      </c>
      <c r="C128" s="633"/>
      <c r="D128" s="85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641"/>
    </row>
    <row r="129" spans="1:18" ht="40.049999999999997" customHeight="1" x14ac:dyDescent="0.3">
      <c r="A129" s="235" t="s">
        <v>322</v>
      </c>
      <c r="B129" s="96" t="s">
        <v>323</v>
      </c>
      <c r="C129" s="633"/>
      <c r="D129" s="85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641"/>
    </row>
    <row r="130" spans="1:18" ht="40.049999999999997" customHeight="1" x14ac:dyDescent="0.3">
      <c r="A130" s="243" t="s">
        <v>324</v>
      </c>
      <c r="B130" s="97" t="s">
        <v>325</v>
      </c>
      <c r="C130" s="631"/>
      <c r="D130" s="89"/>
      <c r="E130" s="81"/>
      <c r="F130" s="6"/>
      <c r="G130" s="81"/>
      <c r="H130" s="6"/>
      <c r="I130" s="81"/>
      <c r="J130" s="6"/>
      <c r="K130" s="81"/>
      <c r="L130" s="6"/>
      <c r="M130" s="81"/>
      <c r="N130" s="6"/>
      <c r="O130" s="81"/>
      <c r="P130" s="6"/>
      <c r="Q130" s="629">
        <f t="shared" ref="Q130:Q141" si="16">COUNTIF(C130:P130,"&gt;=R")</f>
        <v>0</v>
      </c>
      <c r="R130" s="627">
        <f t="shared" ref="R130:R141" si="17">Q130</f>
        <v>0</v>
      </c>
    </row>
    <row r="131" spans="1:18" ht="40.049999999999997" customHeight="1" x14ac:dyDescent="0.3">
      <c r="A131" s="246" t="s">
        <v>326</v>
      </c>
      <c r="B131" s="98" t="s">
        <v>327</v>
      </c>
      <c r="C131" s="631"/>
      <c r="D131" s="89"/>
      <c r="E131" s="81"/>
      <c r="F131" s="6"/>
      <c r="G131" s="81"/>
      <c r="H131" s="6"/>
      <c r="I131" s="81"/>
      <c r="J131" s="6"/>
      <c r="K131" s="81"/>
      <c r="L131" s="6"/>
      <c r="M131" s="81"/>
      <c r="N131" s="6"/>
      <c r="O131" s="81"/>
      <c r="P131" s="6"/>
      <c r="Q131" s="629">
        <f t="shared" si="16"/>
        <v>0</v>
      </c>
      <c r="R131" s="627">
        <f t="shared" si="17"/>
        <v>0</v>
      </c>
    </row>
    <row r="132" spans="1:18" ht="40.049999999999997" customHeight="1" x14ac:dyDescent="0.3">
      <c r="A132" s="243" t="s">
        <v>328</v>
      </c>
      <c r="B132" s="97" t="s">
        <v>329</v>
      </c>
      <c r="C132" s="631"/>
      <c r="D132" s="89"/>
      <c r="E132" s="93"/>
      <c r="F132" s="6"/>
      <c r="G132" s="6"/>
      <c r="H132" s="6"/>
      <c r="I132" s="6"/>
      <c r="J132" s="6"/>
      <c r="K132" s="6"/>
      <c r="L132" s="6"/>
      <c r="M132" s="93"/>
      <c r="N132" s="6"/>
      <c r="O132" s="83"/>
      <c r="P132" s="6"/>
      <c r="Q132" s="629">
        <f t="shared" si="16"/>
        <v>0</v>
      </c>
      <c r="R132" s="627">
        <f t="shared" si="17"/>
        <v>0</v>
      </c>
    </row>
    <row r="133" spans="1:18" ht="40.049999999999997" customHeight="1" x14ac:dyDescent="0.3">
      <c r="A133" s="243" t="s">
        <v>330</v>
      </c>
      <c r="B133" s="97" t="s">
        <v>331</v>
      </c>
      <c r="C133" s="632"/>
      <c r="D133" s="89"/>
      <c r="E133" s="83"/>
      <c r="F133" s="6"/>
      <c r="G133" s="83"/>
      <c r="H133" s="6"/>
      <c r="I133" s="83"/>
      <c r="J133" s="6"/>
      <c r="K133" s="83"/>
      <c r="L133" s="6"/>
      <c r="M133" s="83"/>
      <c r="N133" s="6"/>
      <c r="O133" s="83"/>
      <c r="P133" s="6"/>
      <c r="Q133" s="629">
        <f t="shared" si="16"/>
        <v>0</v>
      </c>
      <c r="R133" s="627">
        <f t="shared" si="17"/>
        <v>0</v>
      </c>
    </row>
    <row r="134" spans="1:18" ht="40.049999999999997" customHeight="1" x14ac:dyDescent="0.3">
      <c r="A134" s="243" t="s">
        <v>332</v>
      </c>
      <c r="B134" s="97" t="s">
        <v>333</v>
      </c>
      <c r="C134" s="631"/>
      <c r="D134" s="89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29">
        <f t="shared" si="16"/>
        <v>0</v>
      </c>
      <c r="R134" s="627">
        <f t="shared" si="17"/>
        <v>0</v>
      </c>
    </row>
    <row r="135" spans="1:18" ht="40.049999999999997" customHeight="1" x14ac:dyDescent="0.3">
      <c r="A135" s="243" t="s">
        <v>334</v>
      </c>
      <c r="B135" s="97" t="s">
        <v>335</v>
      </c>
      <c r="C135" s="631"/>
      <c r="D135" s="82"/>
      <c r="E135" s="81"/>
      <c r="F135" s="83"/>
      <c r="G135" s="81"/>
      <c r="H135" s="83"/>
      <c r="I135" s="81"/>
      <c r="J135" s="83"/>
      <c r="K135" s="81"/>
      <c r="L135" s="6"/>
      <c r="M135" s="81"/>
      <c r="N135" s="6"/>
      <c r="O135" s="81"/>
      <c r="P135" s="6"/>
      <c r="Q135" s="629">
        <f t="shared" si="16"/>
        <v>0</v>
      </c>
      <c r="R135" s="627">
        <f t="shared" si="17"/>
        <v>0</v>
      </c>
    </row>
    <row r="136" spans="1:18" ht="40.049999999999997" customHeight="1" x14ac:dyDescent="0.3">
      <c r="A136" s="243" t="s">
        <v>336</v>
      </c>
      <c r="B136" s="97" t="s">
        <v>337</v>
      </c>
      <c r="C136" s="631"/>
      <c r="D136" s="89"/>
      <c r="E136" s="81"/>
      <c r="F136" s="6"/>
      <c r="G136" s="81"/>
      <c r="H136" s="6"/>
      <c r="I136" s="81"/>
      <c r="J136" s="6"/>
      <c r="K136" s="81"/>
      <c r="L136" s="6"/>
      <c r="M136" s="81"/>
      <c r="N136" s="6"/>
      <c r="O136" s="81"/>
      <c r="P136" s="6"/>
      <c r="Q136" s="629">
        <f t="shared" si="16"/>
        <v>0</v>
      </c>
      <c r="R136" s="627">
        <f t="shared" si="17"/>
        <v>0</v>
      </c>
    </row>
    <row r="137" spans="1:18" ht="40.049999999999997" customHeight="1" x14ac:dyDescent="0.3">
      <c r="A137" s="243" t="s">
        <v>338</v>
      </c>
      <c r="B137" s="97" t="s">
        <v>339</v>
      </c>
      <c r="C137" s="631"/>
      <c r="D137" s="89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29">
        <f t="shared" si="16"/>
        <v>0</v>
      </c>
      <c r="R137" s="627">
        <f t="shared" si="17"/>
        <v>0</v>
      </c>
    </row>
    <row r="138" spans="1:18" ht="40.049999999999997" customHeight="1" x14ac:dyDescent="0.3">
      <c r="A138" s="243" t="s">
        <v>340</v>
      </c>
      <c r="B138" s="97" t="s">
        <v>341</v>
      </c>
      <c r="C138" s="631"/>
      <c r="D138" s="89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29">
        <f t="shared" si="16"/>
        <v>0</v>
      </c>
      <c r="R138" s="627">
        <f t="shared" si="17"/>
        <v>0</v>
      </c>
    </row>
    <row r="139" spans="1:18" ht="40.049999999999997" customHeight="1" x14ac:dyDescent="0.3">
      <c r="A139" s="243" t="s">
        <v>342</v>
      </c>
      <c r="B139" s="97" t="s">
        <v>343</v>
      </c>
      <c r="C139" s="631"/>
      <c r="D139" s="89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29">
        <f t="shared" si="16"/>
        <v>0</v>
      </c>
      <c r="R139" s="627">
        <f t="shared" si="17"/>
        <v>0</v>
      </c>
    </row>
    <row r="140" spans="1:18" ht="40.049999999999997" customHeight="1" x14ac:dyDescent="0.3">
      <c r="A140" s="243" t="s">
        <v>344</v>
      </c>
      <c r="B140" s="97" t="s">
        <v>345</v>
      </c>
      <c r="C140" s="631"/>
      <c r="D140" s="89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29">
        <f t="shared" si="16"/>
        <v>0</v>
      </c>
      <c r="R140" s="627">
        <f t="shared" si="17"/>
        <v>0</v>
      </c>
    </row>
    <row r="141" spans="1:18" ht="40.049999999999997" customHeight="1" x14ac:dyDescent="0.3">
      <c r="A141" s="243" t="s">
        <v>346</v>
      </c>
      <c r="B141" s="97" t="s">
        <v>347</v>
      </c>
      <c r="C141" s="631"/>
      <c r="D141" s="89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29">
        <f t="shared" si="16"/>
        <v>0</v>
      </c>
      <c r="R141" s="627">
        <f t="shared" si="17"/>
        <v>0</v>
      </c>
    </row>
    <row r="142" spans="1:18" ht="40.049999999999997" customHeight="1" x14ac:dyDescent="0.3">
      <c r="A142" s="237" t="s">
        <v>348</v>
      </c>
      <c r="B142" s="94" t="s">
        <v>349</v>
      </c>
      <c r="C142" s="633"/>
      <c r="D142" s="85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641"/>
    </row>
    <row r="143" spans="1:18" ht="40.049999999999997" customHeight="1" x14ac:dyDescent="0.3">
      <c r="A143" s="243" t="s">
        <v>350</v>
      </c>
      <c r="B143" s="92" t="s">
        <v>351</v>
      </c>
      <c r="C143" s="631"/>
      <c r="D143" s="89"/>
      <c r="E143" s="81"/>
      <c r="F143" s="6"/>
      <c r="G143" s="81"/>
      <c r="H143" s="6"/>
      <c r="I143" s="81"/>
      <c r="J143" s="6"/>
      <c r="K143" s="81"/>
      <c r="L143" s="6"/>
      <c r="M143" s="81"/>
      <c r="N143" s="6"/>
      <c r="O143" s="81"/>
      <c r="P143" s="6"/>
      <c r="Q143" s="629">
        <f>COUNTIF(C143:P143,"&gt;=R")</f>
        <v>0</v>
      </c>
      <c r="R143" s="627">
        <f>Q143</f>
        <v>0</v>
      </c>
    </row>
    <row r="144" spans="1:18" ht="40.049999999999997" customHeight="1" x14ac:dyDescent="0.3">
      <c r="A144" s="243" t="s">
        <v>352</v>
      </c>
      <c r="B144" s="92" t="s">
        <v>353</v>
      </c>
      <c r="C144" s="631"/>
      <c r="D144" s="89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29">
        <f>COUNTIF(C144:P144,"&gt;=R")</f>
        <v>0</v>
      </c>
      <c r="R144" s="627">
        <f>Q144</f>
        <v>0</v>
      </c>
    </row>
    <row r="145" spans="1:18" ht="40.049999999999997" customHeight="1" x14ac:dyDescent="0.3">
      <c r="A145" s="243" t="s">
        <v>354</v>
      </c>
      <c r="B145" s="92" t="s">
        <v>355</v>
      </c>
      <c r="C145" s="631"/>
      <c r="D145" s="89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29">
        <f>COUNTIF(C145:P145,"&gt;=R")</f>
        <v>0</v>
      </c>
      <c r="R145" s="627">
        <f>Q145</f>
        <v>0</v>
      </c>
    </row>
    <row r="146" spans="1:18" ht="40.049999999999997" customHeight="1" x14ac:dyDescent="0.3">
      <c r="A146" s="237" t="s">
        <v>356</v>
      </c>
      <c r="B146" s="94" t="s">
        <v>357</v>
      </c>
      <c r="C146" s="633"/>
      <c r="D146" s="85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641"/>
    </row>
    <row r="147" spans="1:18" ht="40.049999999999997" customHeight="1" x14ac:dyDescent="0.3">
      <c r="A147" s="243" t="s">
        <v>358</v>
      </c>
      <c r="B147" s="92" t="s">
        <v>359</v>
      </c>
      <c r="C147" s="631"/>
      <c r="D147" s="89"/>
      <c r="E147" s="81"/>
      <c r="F147" s="6"/>
      <c r="G147" s="81"/>
      <c r="H147" s="6"/>
      <c r="I147" s="81"/>
      <c r="J147" s="6"/>
      <c r="K147" s="81"/>
      <c r="L147" s="6"/>
      <c r="M147" s="81"/>
      <c r="N147" s="6"/>
      <c r="O147" s="81"/>
      <c r="P147" s="6"/>
      <c r="Q147" s="629">
        <f>COUNTIF(C147:P147,"&gt;=R")</f>
        <v>0</v>
      </c>
      <c r="R147" s="627">
        <f>Q147</f>
        <v>0</v>
      </c>
    </row>
    <row r="148" spans="1:18" ht="40.049999999999997" customHeight="1" x14ac:dyDescent="0.3">
      <c r="A148" s="243" t="s">
        <v>360</v>
      </c>
      <c r="B148" s="92" t="s">
        <v>361</v>
      </c>
      <c r="C148" s="632" t="s">
        <v>85</v>
      </c>
      <c r="D148" s="89"/>
      <c r="E148" s="83"/>
      <c r="F148" s="6"/>
      <c r="G148" s="83" t="s">
        <v>76</v>
      </c>
      <c r="H148" s="6"/>
      <c r="I148" s="83" t="s">
        <v>56</v>
      </c>
      <c r="J148" s="6"/>
      <c r="K148" s="83" t="s">
        <v>56</v>
      </c>
      <c r="L148" s="6"/>
      <c r="M148" s="83" t="s">
        <v>56</v>
      </c>
      <c r="N148" s="6"/>
      <c r="O148" s="83"/>
      <c r="P148" s="6"/>
      <c r="Q148" s="629">
        <f>COUNTIF(C148:P148,"&gt;=R")</f>
        <v>5</v>
      </c>
      <c r="R148" s="627">
        <f>Q148</f>
        <v>5</v>
      </c>
    </row>
    <row r="149" spans="1:18" ht="40.049999999999997" customHeight="1" x14ac:dyDescent="0.3">
      <c r="A149" s="243" t="s">
        <v>362</v>
      </c>
      <c r="B149" s="92" t="s">
        <v>363</v>
      </c>
      <c r="C149" s="631"/>
      <c r="D149" s="89"/>
      <c r="E149" s="81"/>
      <c r="F149" s="6"/>
      <c r="G149" s="81"/>
      <c r="H149" s="6"/>
      <c r="I149" s="81"/>
      <c r="J149" s="6"/>
      <c r="K149" s="81"/>
      <c r="L149" s="6"/>
      <c r="M149" s="81"/>
      <c r="N149" s="6"/>
      <c r="O149" s="81"/>
      <c r="P149" s="6"/>
      <c r="Q149" s="629">
        <f>COUNTIF(C149:P149,"&gt;=R")</f>
        <v>0</v>
      </c>
      <c r="R149" s="627">
        <f>Q149</f>
        <v>0</v>
      </c>
    </row>
    <row r="150" spans="1:18" ht="40.049999999999997" customHeight="1" x14ac:dyDescent="0.3">
      <c r="A150" s="237" t="s">
        <v>364</v>
      </c>
      <c r="B150" s="84" t="s">
        <v>365</v>
      </c>
      <c r="C150" s="633"/>
      <c r="D150" s="85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641"/>
    </row>
    <row r="151" spans="1:18" ht="40.049999999999997" customHeight="1" x14ac:dyDescent="0.3">
      <c r="A151" s="247" t="s">
        <v>366</v>
      </c>
      <c r="B151" s="99" t="s">
        <v>367</v>
      </c>
      <c r="C151" s="634"/>
      <c r="D151" s="89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29">
        <f t="shared" ref="Q151:Q158" si="18">COUNTIF(C151:P151,"&gt;=R")</f>
        <v>0</v>
      </c>
      <c r="R151" s="627">
        <f t="shared" ref="R151:R158" si="19">Q151</f>
        <v>0</v>
      </c>
    </row>
    <row r="152" spans="1:18" ht="40.049999999999997" customHeight="1" x14ac:dyDescent="0.3">
      <c r="A152" s="248" t="s">
        <v>368</v>
      </c>
      <c r="B152" s="100" t="s">
        <v>369</v>
      </c>
      <c r="C152" s="634"/>
      <c r="D152" s="89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29">
        <f t="shared" si="18"/>
        <v>0</v>
      </c>
      <c r="R152" s="627">
        <f t="shared" si="19"/>
        <v>0</v>
      </c>
    </row>
    <row r="153" spans="1:18" ht="40.049999999999997" customHeight="1" x14ac:dyDescent="0.3">
      <c r="A153" s="248" t="s">
        <v>370</v>
      </c>
      <c r="B153" s="100" t="s">
        <v>371</v>
      </c>
      <c r="C153" s="632"/>
      <c r="D153" s="89"/>
      <c r="E153" s="83"/>
      <c r="F153" s="6"/>
      <c r="G153" s="83"/>
      <c r="H153" s="6"/>
      <c r="I153" s="83"/>
      <c r="J153" s="6"/>
      <c r="K153" s="83"/>
      <c r="L153" s="6"/>
      <c r="M153" s="83"/>
      <c r="N153" s="6"/>
      <c r="O153" s="83"/>
      <c r="P153" s="6"/>
      <c r="Q153" s="629">
        <f t="shared" si="18"/>
        <v>0</v>
      </c>
      <c r="R153" s="627">
        <f t="shared" si="19"/>
        <v>0</v>
      </c>
    </row>
    <row r="154" spans="1:18" ht="40.049999999999997" customHeight="1" x14ac:dyDescent="0.3">
      <c r="A154" s="249" t="s">
        <v>372</v>
      </c>
      <c r="B154" s="101" t="s">
        <v>373</v>
      </c>
      <c r="C154" s="632"/>
      <c r="D154" s="89"/>
      <c r="E154" s="6"/>
      <c r="F154" s="6"/>
      <c r="G154" s="6"/>
      <c r="H154" s="6"/>
      <c r="I154" s="83"/>
      <c r="J154" s="6"/>
      <c r="K154" s="83"/>
      <c r="L154" s="6"/>
      <c r="M154" s="83"/>
      <c r="N154" s="6"/>
      <c r="O154" s="83"/>
      <c r="P154" s="6"/>
      <c r="Q154" s="629">
        <f t="shared" si="18"/>
        <v>0</v>
      </c>
      <c r="R154" s="627">
        <f t="shared" si="19"/>
        <v>0</v>
      </c>
    </row>
    <row r="155" spans="1:18" ht="40.049999999999997" customHeight="1" x14ac:dyDescent="0.3">
      <c r="A155" s="249" t="s">
        <v>374</v>
      </c>
      <c r="B155" s="101" t="s">
        <v>375</v>
      </c>
      <c r="C155" s="632"/>
      <c r="D155" s="89"/>
      <c r="E155" s="6"/>
      <c r="F155" s="6"/>
      <c r="G155" s="6"/>
      <c r="H155" s="6"/>
      <c r="I155" s="83"/>
      <c r="J155" s="6"/>
      <c r="K155" s="83"/>
      <c r="L155" s="6"/>
      <c r="M155" s="83"/>
      <c r="N155" s="6"/>
      <c r="O155" s="83"/>
      <c r="P155" s="6"/>
      <c r="Q155" s="629">
        <f t="shared" si="18"/>
        <v>0</v>
      </c>
      <c r="R155" s="627">
        <f t="shared" si="19"/>
        <v>0</v>
      </c>
    </row>
    <row r="156" spans="1:18" ht="40.049999999999997" customHeight="1" x14ac:dyDescent="0.3">
      <c r="A156" s="249" t="s">
        <v>376</v>
      </c>
      <c r="B156" s="101" t="s">
        <v>377</v>
      </c>
      <c r="C156" s="632"/>
      <c r="D156" s="89"/>
      <c r="E156" s="83"/>
      <c r="F156" s="6"/>
      <c r="G156" s="83"/>
      <c r="H156" s="6"/>
      <c r="I156" s="83"/>
      <c r="J156" s="6"/>
      <c r="K156" s="83"/>
      <c r="L156" s="6"/>
      <c r="M156" s="83"/>
      <c r="N156" s="6"/>
      <c r="O156" s="83"/>
      <c r="P156" s="6"/>
      <c r="Q156" s="629">
        <f t="shared" si="18"/>
        <v>0</v>
      </c>
      <c r="R156" s="627">
        <f t="shared" si="19"/>
        <v>0</v>
      </c>
    </row>
    <row r="157" spans="1:18" ht="40.049999999999997" customHeight="1" x14ac:dyDescent="0.3">
      <c r="A157" s="249" t="s">
        <v>374</v>
      </c>
      <c r="B157" s="102" t="s">
        <v>375</v>
      </c>
      <c r="C157" s="634"/>
      <c r="D157" s="89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29">
        <f t="shared" si="18"/>
        <v>0</v>
      </c>
      <c r="R157" s="627">
        <f t="shared" si="19"/>
        <v>0</v>
      </c>
    </row>
    <row r="158" spans="1:18" ht="40.049999999999997" customHeight="1" x14ac:dyDescent="0.45">
      <c r="A158" s="4" t="s">
        <v>378</v>
      </c>
      <c r="B158" s="892" t="s">
        <v>379</v>
      </c>
      <c r="C158" s="634"/>
      <c r="D158" s="89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29">
        <f t="shared" si="18"/>
        <v>0</v>
      </c>
      <c r="R158" s="627">
        <f t="shared" si="19"/>
        <v>0</v>
      </c>
    </row>
    <row r="159" spans="1:18" ht="40.049999999999997" customHeight="1" x14ac:dyDescent="0.3">
      <c r="A159" s="237" t="s">
        <v>380</v>
      </c>
      <c r="B159" s="84" t="s">
        <v>381</v>
      </c>
      <c r="C159" s="633"/>
      <c r="D159" s="85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641"/>
    </row>
    <row r="160" spans="1:18" ht="40.049999999999997" customHeight="1" x14ac:dyDescent="0.3">
      <c r="A160" s="243" t="s">
        <v>382</v>
      </c>
      <c r="B160" s="92" t="s">
        <v>383</v>
      </c>
      <c r="C160" s="631"/>
      <c r="D160" s="89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29">
        <f>COUNTIF(C160:P160,"&gt;=R")</f>
        <v>0</v>
      </c>
      <c r="R160" s="627">
        <f>Q160</f>
        <v>0</v>
      </c>
    </row>
    <row r="161" spans="1:50" ht="40.049999999999997" customHeight="1" x14ac:dyDescent="0.3">
      <c r="A161" s="243" t="s">
        <v>384</v>
      </c>
      <c r="B161" s="92" t="s">
        <v>385</v>
      </c>
      <c r="C161" s="631"/>
      <c r="D161" s="89"/>
      <c r="E161" s="81"/>
      <c r="F161" s="6"/>
      <c r="G161" s="81"/>
      <c r="H161" s="6"/>
      <c r="I161" s="81"/>
      <c r="J161" s="6"/>
      <c r="K161" s="81"/>
      <c r="L161" s="6"/>
      <c r="M161" s="81"/>
      <c r="N161" s="6"/>
      <c r="O161" s="81"/>
      <c r="P161" s="6"/>
      <c r="Q161" s="629">
        <f>COUNTIF(C161:P161,"&gt;=R")</f>
        <v>0</v>
      </c>
      <c r="R161" s="627">
        <f>Q161</f>
        <v>0</v>
      </c>
    </row>
    <row r="162" spans="1:50" ht="40.049999999999997" customHeight="1" x14ac:dyDescent="0.3">
      <c r="A162" s="243" t="s">
        <v>386</v>
      </c>
      <c r="B162" s="92" t="s">
        <v>387</v>
      </c>
      <c r="C162" s="631"/>
      <c r="D162" s="89"/>
      <c r="E162" s="81"/>
      <c r="F162" s="6"/>
      <c r="G162" s="81"/>
      <c r="H162" s="6"/>
      <c r="I162" s="81"/>
      <c r="J162" s="6"/>
      <c r="K162" s="81"/>
      <c r="L162" s="6"/>
      <c r="M162" s="81"/>
      <c r="N162" s="6"/>
      <c r="O162" s="81"/>
      <c r="P162" s="6"/>
      <c r="Q162" s="629">
        <f>COUNTIF(C162:P162,"&gt;=R")</f>
        <v>0</v>
      </c>
      <c r="R162" s="627">
        <f>Q162</f>
        <v>0</v>
      </c>
    </row>
    <row r="163" spans="1:50" ht="40.049999999999997" customHeight="1" x14ac:dyDescent="0.3">
      <c r="A163" s="243" t="s">
        <v>388</v>
      </c>
      <c r="B163" s="92" t="s">
        <v>389</v>
      </c>
      <c r="C163" s="635"/>
      <c r="D163" s="89"/>
      <c r="E163" s="103"/>
      <c r="F163" s="6"/>
      <c r="G163" s="103"/>
      <c r="H163" s="6"/>
      <c r="I163" s="103"/>
      <c r="J163" s="6"/>
      <c r="K163" s="103"/>
      <c r="L163" s="6"/>
      <c r="M163" s="103"/>
      <c r="N163" s="6"/>
      <c r="O163" s="103"/>
      <c r="P163" s="6"/>
      <c r="Q163" s="629">
        <f>COUNTIF(C163:P163,"&gt;=R")</f>
        <v>0</v>
      </c>
      <c r="R163" s="627">
        <f>Q163</f>
        <v>0</v>
      </c>
    </row>
    <row r="164" spans="1:50" ht="40.049999999999997" customHeight="1" x14ac:dyDescent="0.3">
      <c r="A164" s="237" t="s">
        <v>390</v>
      </c>
      <c r="B164" s="94" t="s">
        <v>391</v>
      </c>
      <c r="C164" s="633"/>
      <c r="D164" s="85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641"/>
    </row>
    <row r="165" spans="1:50" ht="40.049999999999997" customHeight="1" x14ac:dyDescent="0.3">
      <c r="A165" s="248" t="s">
        <v>392</v>
      </c>
      <c r="B165" s="100" t="s">
        <v>393</v>
      </c>
      <c r="C165" s="631"/>
      <c r="D165" s="89"/>
      <c r="E165" s="81"/>
      <c r="F165" s="6"/>
      <c r="G165" s="81"/>
      <c r="H165" s="6"/>
      <c r="I165" s="6"/>
      <c r="J165" s="6"/>
      <c r="K165" s="103"/>
      <c r="L165" s="6"/>
      <c r="M165" s="103"/>
      <c r="N165" s="6"/>
      <c r="O165" s="103"/>
      <c r="P165" s="6"/>
      <c r="Q165" s="629">
        <f>COUNTIF(C165:P165,"&gt;=R")</f>
        <v>0</v>
      </c>
      <c r="R165" s="627">
        <f>Q165</f>
        <v>0</v>
      </c>
    </row>
    <row r="166" spans="1:50" ht="40.049999999999997" customHeight="1" x14ac:dyDescent="0.45">
      <c r="A166" s="248" t="s">
        <v>394</v>
      </c>
      <c r="B166" s="100" t="s">
        <v>395</v>
      </c>
      <c r="C166" s="631"/>
      <c r="D166" s="89"/>
      <c r="E166" s="81"/>
      <c r="F166" s="6"/>
      <c r="G166" s="81"/>
      <c r="H166" s="6"/>
      <c r="I166" s="6"/>
      <c r="J166" s="6"/>
      <c r="K166" s="103"/>
      <c r="L166" s="6"/>
      <c r="M166" s="103"/>
      <c r="N166" s="6"/>
      <c r="O166" s="103"/>
      <c r="P166" s="6"/>
      <c r="Q166" s="629">
        <f>COUNTIF(C166:P166,"&gt;=R")</f>
        <v>0</v>
      </c>
      <c r="R166" s="627">
        <f>Q166</f>
        <v>0</v>
      </c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1:50" ht="40.049999999999997" customHeight="1" thickBot="1" x14ac:dyDescent="0.35">
      <c r="A167" s="893" t="s">
        <v>396</v>
      </c>
      <c r="B167" s="894" t="s">
        <v>397</v>
      </c>
      <c r="C167" s="636"/>
      <c r="D167" s="107"/>
      <c r="E167" s="106"/>
      <c r="F167" s="108"/>
      <c r="G167" s="106"/>
      <c r="H167" s="108"/>
      <c r="I167" s="108"/>
      <c r="J167" s="108"/>
      <c r="K167" s="112"/>
      <c r="L167" s="108"/>
      <c r="M167" s="112"/>
      <c r="N167" s="108"/>
      <c r="O167" s="112"/>
      <c r="P167" s="108"/>
      <c r="Q167" s="629">
        <f>COUNTIF(C167:P167,"&gt;=R")</f>
        <v>0</v>
      </c>
      <c r="R167" s="627">
        <f>Q167</f>
        <v>0</v>
      </c>
      <c r="S167" s="1"/>
      <c r="T167" s="1"/>
      <c r="U167" s="1"/>
      <c r="V167" s="1"/>
      <c r="W167" s="1"/>
      <c r="X167" s="1"/>
      <c r="Y167" s="1"/>
    </row>
    <row r="168" spans="1:50" ht="24" customHeight="1" x14ac:dyDescent="0.3">
      <c r="A168" s="109"/>
      <c r="B168" s="110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ht="24" customHeight="1" x14ac:dyDescent="0.3">
      <c r="A169" s="109"/>
      <c r="B169" s="110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ht="24" customHeight="1" x14ac:dyDescent="0.3">
      <c r="A170" s="109"/>
      <c r="B170" s="110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ht="24" customHeight="1" x14ac:dyDescent="0.3">
      <c r="A171" s="109"/>
      <c r="B171" s="110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ht="24" customHeight="1" x14ac:dyDescent="0.3">
      <c r="A172" s="109"/>
      <c r="B172" s="110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ht="24" customHeight="1" x14ac:dyDescent="0.3">
      <c r="A173" s="109"/>
      <c r="B173" s="110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ht="24" customHeight="1" x14ac:dyDescent="0.3">
      <c r="A174" s="109"/>
      <c r="B174" s="110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ht="24" customHeight="1" x14ac:dyDescent="0.3">
      <c r="A175" s="38"/>
      <c r="B175" s="110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ht="24" customHeight="1" x14ac:dyDescent="0.3">
      <c r="A176" s="38"/>
      <c r="B176" s="110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ht="24" customHeight="1" x14ac:dyDescent="0.3">
      <c r="A177" s="38"/>
      <c r="B177" s="110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ht="24" customHeight="1" x14ac:dyDescent="0.3">
      <c r="A178" s="38"/>
      <c r="B178" s="110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ht="24" customHeight="1" x14ac:dyDescent="0.3">
      <c r="A179" s="25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ht="24" customHeight="1" x14ac:dyDescent="0.3">
      <c r="A180" s="35"/>
      <c r="B180" s="36"/>
      <c r="C180" s="37"/>
      <c r="D180" s="36"/>
      <c r="E180" s="36"/>
      <c r="F180" s="8"/>
      <c r="G180" s="8"/>
      <c r="H180" s="8"/>
      <c r="I180" s="8"/>
      <c r="J180" s="1"/>
      <c r="K180" s="36"/>
      <c r="L180" s="36"/>
      <c r="M180" s="36"/>
      <c r="N180" s="36"/>
      <c r="O180" s="8"/>
      <c r="P180" s="37"/>
      <c r="V180" s="1"/>
      <c r="W180" s="1"/>
      <c r="X180" s="37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ht="24" customHeight="1" x14ac:dyDescent="0.3">
      <c r="A181" s="38"/>
      <c r="B181" s="39" t="s">
        <v>398</v>
      </c>
      <c r="C181" s="39"/>
      <c r="D181" s="995" t="s">
        <v>44</v>
      </c>
      <c r="E181" s="978"/>
      <c r="F181" s="978"/>
      <c r="G181" s="978"/>
      <c r="H181" s="978"/>
      <c r="I181" s="978"/>
      <c r="J181" s="40"/>
      <c r="K181" s="1008" t="s">
        <v>399</v>
      </c>
      <c r="L181" s="1009"/>
      <c r="M181" s="1009"/>
      <c r="N181" s="1009"/>
      <c r="O181" s="1009"/>
      <c r="P181" s="40"/>
      <c r="Q181" s="1008" t="s">
        <v>406</v>
      </c>
      <c r="R181" s="1009"/>
      <c r="S181" s="1009"/>
      <c r="T181" s="1009"/>
      <c r="U181" s="1009"/>
      <c r="V181" s="40"/>
      <c r="W181" s="40"/>
      <c r="X181" s="40"/>
      <c r="Z181" s="982"/>
      <c r="AA181" s="978"/>
      <c r="AB181" s="978"/>
      <c r="AC181" s="978"/>
      <c r="AD181" s="978"/>
      <c r="AE181" s="978"/>
      <c r="AF181" s="978"/>
      <c r="AG181" s="978"/>
      <c r="AH181" s="978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982"/>
      <c r="AT181" s="978"/>
      <c r="AU181" s="978"/>
      <c r="AV181" s="978"/>
      <c r="AW181" s="978"/>
      <c r="AX181" s="1"/>
    </row>
    <row r="182" spans="1:50" ht="24" customHeight="1" x14ac:dyDescent="0.3">
      <c r="A182" s="38"/>
      <c r="B182" s="41" t="s">
        <v>35</v>
      </c>
      <c r="C182" s="41"/>
      <c r="D182" s="1006" t="s">
        <v>54</v>
      </c>
      <c r="E182" s="978"/>
      <c r="F182" s="978"/>
      <c r="G182" s="978"/>
      <c r="H182" s="978"/>
      <c r="I182" s="978"/>
      <c r="J182" s="42"/>
      <c r="K182" s="995" t="s">
        <v>400</v>
      </c>
      <c r="L182" s="978"/>
      <c r="M182" s="978"/>
      <c r="N182" s="978"/>
      <c r="O182" s="978"/>
      <c r="P182" s="42"/>
      <c r="Q182" s="995" t="s">
        <v>74</v>
      </c>
      <c r="R182" s="978"/>
      <c r="S182" s="978"/>
      <c r="T182" s="978"/>
      <c r="U182" s="978"/>
      <c r="V182" s="40"/>
      <c r="W182" s="40"/>
      <c r="X182" s="40"/>
      <c r="Z182" s="1020"/>
      <c r="AA182" s="978"/>
      <c r="AB182" s="978"/>
      <c r="AC182" s="978"/>
      <c r="AD182" s="978"/>
      <c r="AE182" s="9"/>
      <c r="AF182" s="9"/>
      <c r="AG182" s="9"/>
      <c r="AH182" s="9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016"/>
      <c r="AT182" s="978"/>
      <c r="AU182" s="978"/>
      <c r="AV182" s="978"/>
      <c r="AW182" s="978"/>
      <c r="AX182" s="1"/>
    </row>
    <row r="183" spans="1:50" ht="18" customHeight="1" x14ac:dyDescent="0.35">
      <c r="B183" s="44"/>
      <c r="C183" s="44"/>
      <c r="D183" s="44"/>
      <c r="E183" s="44"/>
      <c r="F183" s="44"/>
      <c r="G183" s="45"/>
      <c r="H183" s="45"/>
      <c r="I183" s="1"/>
      <c r="J183" s="1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1007"/>
      <c r="W183" s="978"/>
      <c r="X183" s="978"/>
      <c r="Y183" s="978"/>
      <c r="Z183" s="9"/>
      <c r="AA183" s="9"/>
      <c r="AB183" s="9"/>
      <c r="AC183" s="9"/>
      <c r="AD183" s="9"/>
      <c r="AE183" s="9"/>
      <c r="AF183" s="9"/>
      <c r="AG183" s="9"/>
      <c r="AH183" s="9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</sheetData>
  <mergeCells count="79">
    <mergeCell ref="V183:Y183"/>
    <mergeCell ref="P13:R13"/>
    <mergeCell ref="S9:U9"/>
    <mergeCell ref="H12:J12"/>
    <mergeCell ref="K181:O181"/>
    <mergeCell ref="W11:Y11"/>
    <mergeCell ref="D182:I182"/>
    <mergeCell ref="K16:P16"/>
    <mergeCell ref="P10:R10"/>
    <mergeCell ref="A1:A3"/>
    <mergeCell ref="AS182:AW182"/>
    <mergeCell ref="S4:U4"/>
    <mergeCell ref="H8:J8"/>
    <mergeCell ref="W13:Y13"/>
    <mergeCell ref="S12:U12"/>
    <mergeCell ref="W6:Y6"/>
    <mergeCell ref="H10:J10"/>
    <mergeCell ref="Q182:U182"/>
    <mergeCell ref="P9:R9"/>
    <mergeCell ref="H9:J9"/>
    <mergeCell ref="C4:D9"/>
    <mergeCell ref="E4:F9"/>
    <mergeCell ref="Q16:R16"/>
    <mergeCell ref="S7:U7"/>
    <mergeCell ref="P11:R11"/>
    <mergeCell ref="W4:Y4"/>
    <mergeCell ref="I17:J17"/>
    <mergeCell ref="K17:L17"/>
    <mergeCell ref="W10:Y10"/>
    <mergeCell ref="H4:J4"/>
    <mergeCell ref="L12:N12"/>
    <mergeCell ref="S8:U8"/>
    <mergeCell ref="P6:R6"/>
    <mergeCell ref="H6:J6"/>
    <mergeCell ref="P8:R8"/>
    <mergeCell ref="L4:N4"/>
    <mergeCell ref="P7:R7"/>
    <mergeCell ref="H13:J13"/>
    <mergeCell ref="L5:N5"/>
    <mergeCell ref="G17:H17"/>
    <mergeCell ref="S10:U10"/>
    <mergeCell ref="AS181:AW181"/>
    <mergeCell ref="H7:J7"/>
    <mergeCell ref="W12:Y12"/>
    <mergeCell ref="L10:N10"/>
    <mergeCell ref="K182:O182"/>
    <mergeCell ref="W9:Y9"/>
    <mergeCell ref="Q181:U181"/>
    <mergeCell ref="D181:I181"/>
    <mergeCell ref="L7:N7"/>
    <mergeCell ref="Z182:AD182"/>
    <mergeCell ref="B1:B3"/>
    <mergeCell ref="C10:D13"/>
    <mergeCell ref="L13:N13"/>
    <mergeCell ref="E10:F13"/>
    <mergeCell ref="S11:U11"/>
    <mergeCell ref="L8:N8"/>
    <mergeCell ref="L6:N6"/>
    <mergeCell ref="S5:U5"/>
    <mergeCell ref="C1:Y3"/>
    <mergeCell ref="W5:Y5"/>
    <mergeCell ref="P5:R5"/>
    <mergeCell ref="H5:J5"/>
    <mergeCell ref="C17:D17"/>
    <mergeCell ref="P4:R4"/>
    <mergeCell ref="M17:N17"/>
    <mergeCell ref="O17:P17"/>
    <mergeCell ref="E17:F17"/>
    <mergeCell ref="A15:A17"/>
    <mergeCell ref="Z181:AH181"/>
    <mergeCell ref="P12:R12"/>
    <mergeCell ref="W8:Y8"/>
    <mergeCell ref="L11:N11"/>
    <mergeCell ref="B15:B17"/>
    <mergeCell ref="S13:U13"/>
    <mergeCell ref="W7:Y7"/>
    <mergeCell ref="H11:J11"/>
    <mergeCell ref="S6:U6"/>
    <mergeCell ref="L9:N9"/>
  </mergeCells>
  <conditionalFormatting sqref="C20:P167">
    <cfRule type="containsText" dxfId="517" priority="3" operator="containsText" text="R26">
      <formula>NOT(ISERROR(SEARCH("R26",C20)))</formula>
    </cfRule>
    <cfRule type="containsText" dxfId="516" priority="4" operator="containsText" text="R25">
      <formula>NOT(ISERROR(SEARCH("R25",C20)))</formula>
    </cfRule>
    <cfRule type="containsText" dxfId="515" priority="5" operator="containsText" text="R23">
      <formula>NOT(ISERROR(SEARCH("R23",C20)))</formula>
    </cfRule>
    <cfRule type="containsText" dxfId="514" priority="6" operator="containsText" text="R20">
      <formula>NOT(ISERROR(SEARCH("R20",C20)))</formula>
    </cfRule>
    <cfRule type="containsText" dxfId="513" priority="2" operator="containsText" text="R36">
      <formula>NOT(ISERROR(SEARCH("R36",C20)))</formula>
    </cfRule>
    <cfRule type="containsText" dxfId="512" priority="1" operator="containsText" text="R37">
      <formula>NOT(ISERROR(SEARCH("R37",C20)))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M180"/>
  <sheetViews>
    <sheetView topLeftCell="A96" zoomScale="30" zoomScaleNormal="30" workbookViewId="0">
      <selection activeCell="Q42" sqref="Q42"/>
    </sheetView>
  </sheetViews>
  <sheetFormatPr baseColWidth="10" defaultRowHeight="14.4" x14ac:dyDescent="0.3"/>
  <cols>
    <col min="1" max="1" width="44.33203125" bestFit="1" customWidth="1"/>
    <col min="2" max="2" width="148.21875" bestFit="1" customWidth="1"/>
    <col min="37" max="37" width="14.21875" bestFit="1" customWidth="1"/>
    <col min="38" max="38" width="14.88671875" bestFit="1" customWidth="1"/>
  </cols>
  <sheetData>
    <row r="1" spans="1:44" ht="36.6" customHeight="1" x14ac:dyDescent="0.3">
      <c r="A1" s="1075"/>
      <c r="B1" s="1049" t="s">
        <v>0</v>
      </c>
      <c r="C1" s="1077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984"/>
      <c r="AB1" s="984"/>
      <c r="AC1" s="984"/>
      <c r="AD1" s="984"/>
      <c r="AE1" s="984"/>
      <c r="AF1" s="984"/>
      <c r="AG1" s="984"/>
      <c r="AH1" s="984"/>
      <c r="AI1" s="984"/>
      <c r="AJ1" s="984"/>
      <c r="AK1" s="985"/>
      <c r="AL1" s="223"/>
      <c r="AM1" s="196"/>
      <c r="AN1" s="196"/>
      <c r="AO1" s="49"/>
      <c r="AP1" s="49"/>
    </row>
    <row r="2" spans="1:44" ht="36.6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8"/>
      <c r="AC2" s="978"/>
      <c r="AD2" s="978"/>
      <c r="AE2" s="978"/>
      <c r="AF2" s="978"/>
      <c r="AG2" s="978"/>
      <c r="AH2" s="978"/>
      <c r="AI2" s="978"/>
      <c r="AJ2" s="978"/>
      <c r="AK2" s="979"/>
      <c r="AL2" s="223"/>
      <c r="AM2" s="196"/>
      <c r="AN2" s="196"/>
      <c r="AO2" s="49"/>
      <c r="AP2" s="49"/>
    </row>
    <row r="3" spans="1:44" ht="61.2" customHeight="1" thickBot="1" x14ac:dyDescent="0.35">
      <c r="A3" s="997"/>
      <c r="B3" s="997"/>
      <c r="C3" s="987"/>
      <c r="D3" s="975"/>
      <c r="E3" s="975"/>
      <c r="F3" s="975"/>
      <c r="G3" s="975"/>
      <c r="H3" s="975"/>
      <c r="I3" s="975"/>
      <c r="J3" s="975"/>
      <c r="K3" s="975"/>
      <c r="L3" s="975"/>
      <c r="M3" s="975"/>
      <c r="N3" s="975"/>
      <c r="O3" s="975"/>
      <c r="P3" s="975"/>
      <c r="Q3" s="975"/>
      <c r="R3" s="975"/>
      <c r="S3" s="975"/>
      <c r="T3" s="975"/>
      <c r="U3" s="975"/>
      <c r="V3" s="975"/>
      <c r="W3" s="975"/>
      <c r="X3" s="975"/>
      <c r="Y3" s="975"/>
      <c r="Z3" s="975"/>
      <c r="AA3" s="975"/>
      <c r="AB3" s="975"/>
      <c r="AC3" s="975"/>
      <c r="AD3" s="975"/>
      <c r="AE3" s="975"/>
      <c r="AF3" s="975"/>
      <c r="AG3" s="975"/>
      <c r="AH3" s="975"/>
      <c r="AI3" s="975"/>
      <c r="AJ3" s="975"/>
      <c r="AK3" s="976"/>
      <c r="AL3" s="223"/>
      <c r="AM3" s="196"/>
      <c r="AN3" s="196"/>
      <c r="AO3" s="49"/>
      <c r="AP3" s="49"/>
    </row>
    <row r="4" spans="1:44" ht="34.200000000000003" customHeight="1" thickBot="1" x14ac:dyDescent="0.35">
      <c r="A4" s="337" t="s">
        <v>2</v>
      </c>
      <c r="B4" s="338" t="s">
        <v>3</v>
      </c>
      <c r="C4" s="1068" t="s">
        <v>4</v>
      </c>
      <c r="D4" s="978"/>
      <c r="E4" s="978"/>
      <c r="F4" s="979"/>
      <c r="G4" s="1065">
        <v>46037</v>
      </c>
      <c r="H4" s="984"/>
      <c r="I4" s="984"/>
      <c r="J4" s="754" t="s">
        <v>6</v>
      </c>
      <c r="K4" s="1066">
        <v>45807</v>
      </c>
      <c r="L4" s="984"/>
      <c r="M4" s="984"/>
      <c r="N4" s="755" t="s">
        <v>55</v>
      </c>
      <c r="O4" s="1039">
        <v>45870</v>
      </c>
      <c r="P4" s="984"/>
      <c r="Q4" s="985"/>
      <c r="R4" s="820" t="s">
        <v>56</v>
      </c>
      <c r="S4" s="1076">
        <v>45954</v>
      </c>
      <c r="T4" s="984"/>
      <c r="U4" s="985"/>
      <c r="V4" s="795" t="s">
        <v>48</v>
      </c>
      <c r="W4" s="1069">
        <v>46015</v>
      </c>
      <c r="X4" s="978"/>
      <c r="Y4" s="978"/>
      <c r="Z4" s="817"/>
      <c r="AA4" s="1040"/>
      <c r="AB4" s="984"/>
      <c r="AC4" s="985"/>
      <c r="AD4" s="202"/>
      <c r="AE4" s="1059"/>
      <c r="AF4" s="984"/>
      <c r="AG4" s="985"/>
      <c r="AH4" s="203"/>
      <c r="AI4" s="1059"/>
      <c r="AJ4" s="984"/>
      <c r="AK4" s="985"/>
      <c r="AL4" s="194"/>
      <c r="AM4" s="992"/>
      <c r="AN4" s="978"/>
      <c r="AO4" s="53"/>
      <c r="AP4" s="53"/>
      <c r="AQ4" s="113"/>
      <c r="AR4" s="113"/>
    </row>
    <row r="5" spans="1:44" ht="34.200000000000003" customHeight="1" x14ac:dyDescent="0.3">
      <c r="A5" s="339" t="s">
        <v>14</v>
      </c>
      <c r="B5" s="340" t="s">
        <v>15</v>
      </c>
      <c r="C5" s="986"/>
      <c r="D5" s="978"/>
      <c r="E5" s="978"/>
      <c r="F5" s="979"/>
      <c r="G5" s="986"/>
      <c r="H5" s="978"/>
      <c r="I5" s="978"/>
      <c r="J5" s="756" t="s">
        <v>407</v>
      </c>
      <c r="K5" s="1051">
        <v>45814</v>
      </c>
      <c r="L5" s="978"/>
      <c r="M5" s="978"/>
      <c r="N5" s="757" t="s">
        <v>66</v>
      </c>
      <c r="O5" s="1055">
        <v>45883</v>
      </c>
      <c r="P5" s="978"/>
      <c r="Q5" s="979"/>
      <c r="R5" s="821" t="s">
        <v>67</v>
      </c>
      <c r="S5" s="1089">
        <v>45960</v>
      </c>
      <c r="T5" s="984"/>
      <c r="U5" s="985"/>
      <c r="V5" s="824" t="s">
        <v>57</v>
      </c>
      <c r="W5" s="1093">
        <v>46022</v>
      </c>
      <c r="X5" s="978"/>
      <c r="Y5" s="978"/>
      <c r="Z5" s="205"/>
      <c r="AA5" s="1037"/>
      <c r="AB5" s="978"/>
      <c r="AC5" s="979"/>
      <c r="AD5" s="204"/>
      <c r="AE5" s="1045"/>
      <c r="AF5" s="978"/>
      <c r="AG5" s="979"/>
      <c r="AH5" s="57"/>
      <c r="AI5" s="1045"/>
      <c r="AJ5" s="978"/>
      <c r="AK5" s="979"/>
      <c r="AL5" s="194"/>
      <c r="AM5" s="992"/>
      <c r="AN5" s="978"/>
      <c r="AO5" s="57"/>
      <c r="AP5" s="57"/>
      <c r="AQ5" s="113"/>
      <c r="AR5" s="113"/>
    </row>
    <row r="6" spans="1:44" ht="34.200000000000003" customHeight="1" x14ac:dyDescent="0.3">
      <c r="A6" s="339" t="s">
        <v>24</v>
      </c>
      <c r="B6" s="340" t="s">
        <v>25</v>
      </c>
      <c r="C6" s="986"/>
      <c r="D6" s="978"/>
      <c r="E6" s="978"/>
      <c r="F6" s="979"/>
      <c r="G6" s="986"/>
      <c r="H6" s="978"/>
      <c r="I6" s="978"/>
      <c r="J6" s="758" t="s">
        <v>408</v>
      </c>
      <c r="K6" s="1090">
        <v>45821</v>
      </c>
      <c r="L6" s="978"/>
      <c r="M6" s="978"/>
      <c r="N6" s="759" t="s">
        <v>75</v>
      </c>
      <c r="O6" s="1080">
        <v>45891</v>
      </c>
      <c r="P6" s="978"/>
      <c r="Q6" s="979"/>
      <c r="R6" s="760" t="s">
        <v>76</v>
      </c>
      <c r="S6" s="1044">
        <v>45968</v>
      </c>
      <c r="T6" s="978"/>
      <c r="U6" s="979"/>
      <c r="V6" s="825" t="s">
        <v>68</v>
      </c>
      <c r="W6" s="1079">
        <v>46031</v>
      </c>
      <c r="X6" s="978"/>
      <c r="Y6" s="978"/>
      <c r="Z6" s="205"/>
      <c r="AA6" s="1037"/>
      <c r="AB6" s="978"/>
      <c r="AC6" s="979"/>
      <c r="AD6" s="204"/>
      <c r="AE6" s="1045"/>
      <c r="AF6" s="978"/>
      <c r="AG6" s="979"/>
      <c r="AH6" s="57"/>
      <c r="AI6" s="1045"/>
      <c r="AJ6" s="978"/>
      <c r="AK6" s="979"/>
      <c r="AL6" s="194"/>
      <c r="AM6" s="992"/>
      <c r="AN6" s="978"/>
      <c r="AO6" s="57"/>
      <c r="AP6" s="57"/>
      <c r="AQ6" s="113"/>
      <c r="AR6" s="113"/>
    </row>
    <row r="7" spans="1:44" ht="34.200000000000003" customHeight="1" x14ac:dyDescent="0.3">
      <c r="A7" s="339" t="s">
        <v>34</v>
      </c>
      <c r="B7" s="340" t="s">
        <v>35</v>
      </c>
      <c r="C7" s="986"/>
      <c r="D7" s="978"/>
      <c r="E7" s="978"/>
      <c r="F7" s="979"/>
      <c r="G7" s="986"/>
      <c r="H7" s="978"/>
      <c r="I7" s="978"/>
      <c r="J7" s="761" t="s">
        <v>409</v>
      </c>
      <c r="K7" s="1064">
        <v>45827</v>
      </c>
      <c r="L7" s="978"/>
      <c r="M7" s="978"/>
      <c r="N7" s="762" t="s">
        <v>91</v>
      </c>
      <c r="O7" s="1067">
        <v>45905</v>
      </c>
      <c r="P7" s="978"/>
      <c r="Q7" s="979"/>
      <c r="R7" s="763" t="s">
        <v>84</v>
      </c>
      <c r="S7" s="1082">
        <v>45975</v>
      </c>
      <c r="T7" s="978"/>
      <c r="U7" s="979"/>
      <c r="V7" s="829" t="s">
        <v>77</v>
      </c>
      <c r="W7" s="1043">
        <v>46038</v>
      </c>
      <c r="X7" s="978"/>
      <c r="Y7" s="979"/>
      <c r="Z7" s="204"/>
      <c r="AA7" s="1045"/>
      <c r="AB7" s="978"/>
      <c r="AC7" s="979"/>
      <c r="AD7" s="204"/>
      <c r="AE7" s="1045"/>
      <c r="AF7" s="978"/>
      <c r="AG7" s="979"/>
      <c r="AH7" s="57"/>
      <c r="AI7" s="1045"/>
      <c r="AJ7" s="978"/>
      <c r="AK7" s="979"/>
      <c r="AL7" s="194"/>
      <c r="AM7" s="992"/>
      <c r="AN7" s="978"/>
      <c r="AO7" s="57"/>
      <c r="AP7" s="57"/>
    </row>
    <row r="8" spans="1:44" ht="34.200000000000003" customHeight="1" thickBot="1" x14ac:dyDescent="0.35">
      <c r="A8" s="339" t="s">
        <v>44</v>
      </c>
      <c r="B8" s="340" t="s">
        <v>54</v>
      </c>
      <c r="C8" s="987"/>
      <c r="D8" s="975"/>
      <c r="E8" s="975"/>
      <c r="F8" s="976"/>
      <c r="G8" s="987"/>
      <c r="H8" s="975"/>
      <c r="I8" s="975"/>
      <c r="J8" s="764" t="s">
        <v>16</v>
      </c>
      <c r="K8" s="1060">
        <v>45835</v>
      </c>
      <c r="L8" s="978"/>
      <c r="M8" s="978"/>
      <c r="N8" s="815" t="s">
        <v>410</v>
      </c>
      <c r="O8" s="1087">
        <v>45912</v>
      </c>
      <c r="P8" s="978"/>
      <c r="Q8" s="979"/>
      <c r="R8" s="765" t="s">
        <v>92</v>
      </c>
      <c r="S8" s="1073">
        <v>45982</v>
      </c>
      <c r="T8" s="978"/>
      <c r="U8" s="979"/>
      <c r="V8" s="831" t="s">
        <v>85</v>
      </c>
      <c r="W8" s="1031">
        <v>46045</v>
      </c>
      <c r="X8" s="978"/>
      <c r="Y8" s="979"/>
      <c r="Z8" s="204"/>
      <c r="AA8" s="1045"/>
      <c r="AB8" s="978"/>
      <c r="AC8" s="979"/>
      <c r="AD8" s="204"/>
      <c r="AE8" s="1045"/>
      <c r="AF8" s="978"/>
      <c r="AG8" s="979"/>
      <c r="AH8" s="57"/>
      <c r="AI8" s="1045"/>
      <c r="AJ8" s="978"/>
      <c r="AK8" s="979"/>
      <c r="AL8" s="194"/>
      <c r="AM8" s="992"/>
      <c r="AN8" s="978"/>
      <c r="AO8" s="57"/>
      <c r="AP8" s="57"/>
      <c r="AQ8" s="113"/>
      <c r="AR8" s="113"/>
    </row>
    <row r="9" spans="1:44" ht="34.200000000000003" customHeight="1" thickBot="1" x14ac:dyDescent="0.35">
      <c r="A9" s="339" t="s">
        <v>62</v>
      </c>
      <c r="B9" s="340" t="s">
        <v>63</v>
      </c>
      <c r="C9" s="1056" t="s">
        <v>64</v>
      </c>
      <c r="D9" s="984"/>
      <c r="E9" s="984"/>
      <c r="F9" s="985"/>
      <c r="G9" s="1056" t="s">
        <v>65</v>
      </c>
      <c r="H9" s="984"/>
      <c r="I9" s="985"/>
      <c r="J9" s="766" t="s">
        <v>411</v>
      </c>
      <c r="K9" s="1050">
        <v>45842</v>
      </c>
      <c r="L9" s="978"/>
      <c r="M9" s="978"/>
      <c r="N9" s="767" t="s">
        <v>7</v>
      </c>
      <c r="O9" s="1052">
        <v>45916</v>
      </c>
      <c r="P9" s="978"/>
      <c r="Q9" s="979"/>
      <c r="R9" s="768" t="s">
        <v>8</v>
      </c>
      <c r="S9" s="1086">
        <v>45989</v>
      </c>
      <c r="T9" s="978"/>
      <c r="U9" s="979"/>
      <c r="V9" s="841" t="s">
        <v>93</v>
      </c>
      <c r="W9" s="1061">
        <v>46052</v>
      </c>
      <c r="X9" s="978"/>
      <c r="Y9" s="979"/>
      <c r="Z9" s="204"/>
      <c r="AA9" s="1045"/>
      <c r="AB9" s="978"/>
      <c r="AC9" s="979"/>
      <c r="AD9" s="204"/>
      <c r="AE9" s="1045"/>
      <c r="AF9" s="978"/>
      <c r="AG9" s="979"/>
      <c r="AH9" s="57"/>
      <c r="AI9" s="1045"/>
      <c r="AJ9" s="978"/>
      <c r="AK9" s="979"/>
      <c r="AL9" s="194"/>
      <c r="AM9" s="992"/>
      <c r="AN9" s="978"/>
      <c r="AO9" s="57"/>
      <c r="AP9" s="57"/>
      <c r="AQ9" s="113"/>
      <c r="AR9" s="113"/>
    </row>
    <row r="10" spans="1:44" ht="34.200000000000003" customHeight="1" thickBot="1" x14ac:dyDescent="0.35">
      <c r="A10" s="339" t="s">
        <v>73</v>
      </c>
      <c r="B10" s="340" t="s">
        <v>74</v>
      </c>
      <c r="C10" s="986"/>
      <c r="D10" s="978"/>
      <c r="E10" s="978"/>
      <c r="F10" s="979"/>
      <c r="G10" s="986"/>
      <c r="H10" s="978"/>
      <c r="I10" s="979"/>
      <c r="J10" s="769" t="s">
        <v>26</v>
      </c>
      <c r="K10" s="1047">
        <v>45849</v>
      </c>
      <c r="L10" s="978"/>
      <c r="M10" s="978"/>
      <c r="N10" s="770" t="s">
        <v>27</v>
      </c>
      <c r="O10" s="1048">
        <v>45933</v>
      </c>
      <c r="P10" s="978"/>
      <c r="Q10" s="979"/>
      <c r="R10" s="822" t="s">
        <v>18</v>
      </c>
      <c r="S10" s="1084">
        <v>45996</v>
      </c>
      <c r="T10" s="978"/>
      <c r="U10" s="979"/>
      <c r="V10" s="818"/>
      <c r="W10" s="981"/>
      <c r="X10" s="978"/>
      <c r="Y10" s="978"/>
      <c r="Z10" s="204"/>
      <c r="AA10" s="1045"/>
      <c r="AB10" s="978"/>
      <c r="AC10" s="979"/>
      <c r="AD10" s="204"/>
      <c r="AE10" s="1045"/>
      <c r="AF10" s="978"/>
      <c r="AG10" s="979"/>
      <c r="AH10" s="57"/>
      <c r="AI10" s="1045"/>
      <c r="AJ10" s="978"/>
      <c r="AK10" s="979"/>
      <c r="AL10" s="194"/>
      <c r="AM10" s="992"/>
      <c r="AN10" s="978"/>
      <c r="AO10" s="57"/>
      <c r="AP10" s="57"/>
      <c r="AQ10" s="113"/>
      <c r="AR10" s="113"/>
    </row>
    <row r="11" spans="1:44" ht="34.200000000000003" customHeight="1" thickBot="1" x14ac:dyDescent="0.35">
      <c r="A11" s="339" t="s">
        <v>82</v>
      </c>
      <c r="B11" s="340" t="s">
        <v>400</v>
      </c>
      <c r="C11" s="986"/>
      <c r="D11" s="978"/>
      <c r="E11" s="978"/>
      <c r="F11" s="979"/>
      <c r="G11" s="986"/>
      <c r="H11" s="978"/>
      <c r="I11" s="979"/>
      <c r="J11" s="771" t="s">
        <v>36</v>
      </c>
      <c r="K11" s="1054">
        <v>45855</v>
      </c>
      <c r="L11" s="978"/>
      <c r="M11" s="978"/>
      <c r="N11" s="772" t="s">
        <v>37</v>
      </c>
      <c r="O11" s="1088">
        <v>45940</v>
      </c>
      <c r="P11" s="978"/>
      <c r="Q11" s="979"/>
      <c r="R11" s="782" t="s">
        <v>28</v>
      </c>
      <c r="S11" s="1053">
        <v>46003</v>
      </c>
      <c r="T11" s="975"/>
      <c r="U11" s="976"/>
      <c r="V11" s="818"/>
      <c r="W11" s="991"/>
      <c r="X11" s="978"/>
      <c r="Y11" s="978"/>
      <c r="Z11" s="204"/>
      <c r="AA11" s="1045"/>
      <c r="AB11" s="978"/>
      <c r="AC11" s="979"/>
      <c r="AD11" s="204"/>
      <c r="AE11" s="1045"/>
      <c r="AF11" s="978"/>
      <c r="AG11" s="979"/>
      <c r="AH11" s="57"/>
      <c r="AI11" s="1045"/>
      <c r="AJ11" s="978"/>
      <c r="AK11" s="979"/>
      <c r="AL11" s="194"/>
      <c r="AM11" s="992"/>
      <c r="AN11" s="978"/>
      <c r="AO11" s="57"/>
      <c r="AP11" s="57"/>
      <c r="AQ11" s="113"/>
      <c r="AR11" s="113"/>
    </row>
    <row r="12" spans="1:44" ht="34.200000000000003" customHeight="1" thickBot="1" x14ac:dyDescent="0.35">
      <c r="A12" s="341" t="s">
        <v>90</v>
      </c>
      <c r="B12" s="342">
        <v>182948</v>
      </c>
      <c r="C12" s="987"/>
      <c r="D12" s="975"/>
      <c r="E12" s="975"/>
      <c r="F12" s="976"/>
      <c r="G12" s="987"/>
      <c r="H12" s="975"/>
      <c r="I12" s="976"/>
      <c r="J12" s="773" t="s">
        <v>46</v>
      </c>
      <c r="K12" s="1058">
        <v>45863</v>
      </c>
      <c r="L12" s="975"/>
      <c r="M12" s="975"/>
      <c r="N12" s="774" t="s">
        <v>47</v>
      </c>
      <c r="O12" s="1062">
        <v>45947</v>
      </c>
      <c r="P12" s="975"/>
      <c r="Q12" s="976"/>
      <c r="R12" s="823" t="s">
        <v>38</v>
      </c>
      <c r="S12" s="1078">
        <v>46010</v>
      </c>
      <c r="T12" s="1000"/>
      <c r="U12" s="1001"/>
      <c r="V12" s="819"/>
      <c r="W12" s="1002"/>
      <c r="X12" s="975"/>
      <c r="Y12" s="975"/>
      <c r="Z12" s="207"/>
      <c r="AA12" s="1063"/>
      <c r="AB12" s="975"/>
      <c r="AC12" s="976"/>
      <c r="AD12" s="207"/>
      <c r="AE12" s="1063"/>
      <c r="AF12" s="975"/>
      <c r="AG12" s="976"/>
      <c r="AH12" s="206"/>
      <c r="AI12" s="1063"/>
      <c r="AJ12" s="975"/>
      <c r="AK12" s="976"/>
      <c r="AL12" s="194"/>
      <c r="AM12" s="992"/>
      <c r="AN12" s="978"/>
      <c r="AO12" s="57"/>
      <c r="AP12" s="57"/>
      <c r="AQ12" s="113"/>
      <c r="AR12" s="113"/>
    </row>
    <row r="13" spans="1:44" ht="34.200000000000003" customHeight="1" thickBot="1" x14ac:dyDescent="0.45">
      <c r="A13" s="1074"/>
      <c r="B13" s="984"/>
      <c r="C13" s="984"/>
      <c r="D13" s="984"/>
      <c r="E13" s="984"/>
      <c r="F13" s="984"/>
      <c r="G13" s="984"/>
      <c r="H13" s="984"/>
      <c r="I13" s="984"/>
      <c r="J13" s="984"/>
      <c r="K13" s="984"/>
      <c r="L13" s="984"/>
      <c r="M13" s="984"/>
      <c r="N13" s="984"/>
      <c r="O13" s="984"/>
      <c r="P13" s="984"/>
      <c r="Q13" s="984"/>
      <c r="R13" s="984"/>
      <c r="S13" s="984"/>
      <c r="T13" s="984"/>
      <c r="U13" s="984"/>
      <c r="V13" s="984"/>
      <c r="W13" s="984"/>
      <c r="X13" s="984"/>
      <c r="Y13" s="984"/>
      <c r="Z13" s="984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5"/>
      <c r="AL13" s="114"/>
    </row>
    <row r="14" spans="1:44" ht="34.200000000000003" customHeight="1" thickBot="1" x14ac:dyDescent="0.7">
      <c r="A14" s="1057" t="s">
        <v>98</v>
      </c>
      <c r="B14" s="1072" t="s">
        <v>99</v>
      </c>
      <c r="C14" s="253" t="s">
        <v>100</v>
      </c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5"/>
      <c r="AE14" s="255"/>
      <c r="AF14" s="255"/>
      <c r="AG14" s="255"/>
      <c r="AH14" s="255"/>
      <c r="AI14" s="256"/>
      <c r="AJ14" s="257"/>
      <c r="AK14" s="258"/>
      <c r="AL14" s="259"/>
    </row>
    <row r="15" spans="1:44" ht="34.200000000000003" customHeight="1" thickBot="1" x14ac:dyDescent="0.7">
      <c r="A15" s="986"/>
      <c r="B15" s="997"/>
      <c r="C15" s="260" t="s">
        <v>101</v>
      </c>
      <c r="D15" s="261"/>
      <c r="E15" s="262"/>
      <c r="F15" s="262"/>
      <c r="G15" s="263"/>
      <c r="H15" s="264"/>
      <c r="I15" s="264"/>
      <c r="J15" s="264"/>
      <c r="K15" s="264"/>
      <c r="L15" s="264"/>
      <c r="M15" s="264"/>
      <c r="N15" s="264"/>
      <c r="O15" s="264"/>
      <c r="P15" s="264"/>
      <c r="Q15" s="264"/>
      <c r="R15" s="264"/>
      <c r="S15" s="264"/>
      <c r="T15" s="264"/>
      <c r="U15" s="264"/>
      <c r="V15" s="264"/>
      <c r="W15" s="264"/>
      <c r="X15" s="264"/>
      <c r="Y15" s="264"/>
      <c r="Z15" s="264"/>
      <c r="AA15" s="264"/>
      <c r="AB15" s="264"/>
      <c r="AC15" s="264"/>
      <c r="AD15" s="1038" t="s">
        <v>102</v>
      </c>
      <c r="AE15" s="1000"/>
      <c r="AF15" s="1000"/>
      <c r="AG15" s="1000"/>
      <c r="AH15" s="1000"/>
      <c r="AI15" s="1001"/>
      <c r="AJ15" s="1091" t="s">
        <v>412</v>
      </c>
      <c r="AK15" s="1001"/>
      <c r="AL15" s="265"/>
    </row>
    <row r="16" spans="1:44" ht="34.200000000000003" customHeight="1" thickBot="1" x14ac:dyDescent="0.35">
      <c r="A16" s="987"/>
      <c r="B16" s="1013"/>
      <c r="C16" s="1085">
        <v>1</v>
      </c>
      <c r="D16" s="994"/>
      <c r="E16" s="1046">
        <v>2</v>
      </c>
      <c r="F16" s="994"/>
      <c r="G16" s="1046">
        <v>3</v>
      </c>
      <c r="H16" s="994"/>
      <c r="I16" s="1046">
        <v>4</v>
      </c>
      <c r="J16" s="994"/>
      <c r="K16" s="1046">
        <v>5</v>
      </c>
      <c r="L16" s="994"/>
      <c r="M16" s="1046">
        <v>6</v>
      </c>
      <c r="N16" s="994"/>
      <c r="O16" s="1046">
        <v>7</v>
      </c>
      <c r="P16" s="994"/>
      <c r="Q16" s="1046">
        <v>8</v>
      </c>
      <c r="R16" s="994"/>
      <c r="S16" s="1046">
        <v>9</v>
      </c>
      <c r="T16" s="994"/>
      <c r="U16" s="1046">
        <v>10</v>
      </c>
      <c r="V16" s="994"/>
      <c r="W16" s="1046">
        <v>11</v>
      </c>
      <c r="X16" s="994"/>
      <c r="Y16" s="1046">
        <v>12</v>
      </c>
      <c r="Z16" s="994"/>
      <c r="AA16" s="1046">
        <v>13</v>
      </c>
      <c r="AB16" s="994"/>
      <c r="AC16" s="1046">
        <v>14</v>
      </c>
      <c r="AD16" s="994"/>
      <c r="AE16" s="1046">
        <v>15</v>
      </c>
      <c r="AF16" s="994"/>
      <c r="AG16" s="1046">
        <v>16</v>
      </c>
      <c r="AH16" s="994"/>
      <c r="AI16" s="1046">
        <v>17</v>
      </c>
      <c r="AJ16" s="994"/>
      <c r="AK16" s="266" t="s">
        <v>104</v>
      </c>
      <c r="AL16" s="267" t="s">
        <v>105</v>
      </c>
    </row>
    <row r="17" spans="1:38" ht="40.049999999999997" customHeight="1" thickBot="1" x14ac:dyDescent="0.35">
      <c r="A17" s="268" t="s">
        <v>106</v>
      </c>
      <c r="B17" s="269" t="s">
        <v>107</v>
      </c>
      <c r="C17" s="270" t="s">
        <v>108</v>
      </c>
      <c r="D17" s="271" t="s">
        <v>109</v>
      </c>
      <c r="E17" s="272" t="s">
        <v>108</v>
      </c>
      <c r="F17" s="271" t="s">
        <v>109</v>
      </c>
      <c r="G17" s="272" t="s">
        <v>108</v>
      </c>
      <c r="H17" s="271" t="s">
        <v>109</v>
      </c>
      <c r="I17" s="272" t="s">
        <v>108</v>
      </c>
      <c r="J17" s="271" t="s">
        <v>109</v>
      </c>
      <c r="K17" s="272" t="s">
        <v>108</v>
      </c>
      <c r="L17" s="271" t="s">
        <v>109</v>
      </c>
      <c r="M17" s="272" t="s">
        <v>108</v>
      </c>
      <c r="N17" s="271" t="s">
        <v>109</v>
      </c>
      <c r="O17" s="272" t="s">
        <v>108</v>
      </c>
      <c r="P17" s="271" t="s">
        <v>109</v>
      </c>
      <c r="Q17" s="272" t="s">
        <v>108</v>
      </c>
      <c r="R17" s="271" t="s">
        <v>109</v>
      </c>
      <c r="S17" s="272" t="s">
        <v>108</v>
      </c>
      <c r="T17" s="271" t="s">
        <v>109</v>
      </c>
      <c r="U17" s="272" t="s">
        <v>108</v>
      </c>
      <c r="V17" s="271" t="s">
        <v>109</v>
      </c>
      <c r="W17" s="272" t="s">
        <v>108</v>
      </c>
      <c r="X17" s="271" t="s">
        <v>109</v>
      </c>
      <c r="Y17" s="272" t="s">
        <v>108</v>
      </c>
      <c r="Z17" s="271" t="s">
        <v>109</v>
      </c>
      <c r="AA17" s="272" t="s">
        <v>108</v>
      </c>
      <c r="AB17" s="271" t="s">
        <v>109</v>
      </c>
      <c r="AC17" s="272" t="s">
        <v>108</v>
      </c>
      <c r="AD17" s="271" t="s">
        <v>109</v>
      </c>
      <c r="AE17" s="272" t="s">
        <v>108</v>
      </c>
      <c r="AF17" s="271" t="s">
        <v>109</v>
      </c>
      <c r="AG17" s="272" t="s">
        <v>108</v>
      </c>
      <c r="AH17" s="271" t="s">
        <v>109</v>
      </c>
      <c r="AI17" s="272" t="s">
        <v>108</v>
      </c>
      <c r="AJ17" s="271" t="s">
        <v>109</v>
      </c>
      <c r="AK17" s="271"/>
      <c r="AL17" s="273"/>
    </row>
    <row r="18" spans="1:38" ht="40.049999999999997" customHeight="1" x14ac:dyDescent="0.3">
      <c r="A18" s="274" t="s">
        <v>110</v>
      </c>
      <c r="B18" s="275" t="s">
        <v>111</v>
      </c>
      <c r="C18" s="276"/>
      <c r="D18" s="277"/>
      <c r="E18" s="278"/>
      <c r="F18" s="278"/>
      <c r="G18" s="278"/>
      <c r="H18" s="278"/>
      <c r="I18" s="278"/>
      <c r="J18" s="278"/>
      <c r="K18" s="278"/>
      <c r="L18" s="278"/>
      <c r="M18" s="278"/>
      <c r="N18" s="278"/>
      <c r="O18" s="278"/>
      <c r="P18" s="278"/>
      <c r="Q18" s="278"/>
      <c r="R18" s="278"/>
      <c r="S18" s="278"/>
      <c r="T18" s="278"/>
      <c r="U18" s="278"/>
      <c r="V18" s="278"/>
      <c r="W18" s="278"/>
      <c r="X18" s="278"/>
      <c r="Y18" s="278"/>
      <c r="Z18" s="278"/>
      <c r="AA18" s="278"/>
      <c r="AB18" s="278"/>
      <c r="AC18" s="278"/>
      <c r="AD18" s="278"/>
      <c r="AE18" s="278"/>
      <c r="AF18" s="278"/>
      <c r="AG18" s="278"/>
      <c r="AH18" s="278"/>
      <c r="AI18" s="279"/>
      <c r="AJ18" s="279"/>
      <c r="AK18" s="278"/>
      <c r="AL18" s="280"/>
    </row>
    <row r="19" spans="1:38" ht="40.049999999999997" customHeight="1" x14ac:dyDescent="0.3">
      <c r="A19" s="281" t="s">
        <v>112</v>
      </c>
      <c r="B19" s="282" t="s">
        <v>113</v>
      </c>
      <c r="C19" s="283" t="s">
        <v>6</v>
      </c>
      <c r="D19" s="284"/>
      <c r="E19" s="283" t="s">
        <v>6</v>
      </c>
      <c r="F19" s="285"/>
      <c r="G19" s="283" t="s">
        <v>6</v>
      </c>
      <c r="H19" s="285"/>
      <c r="I19" s="283" t="s">
        <v>407</v>
      </c>
      <c r="J19" s="285"/>
      <c r="K19" s="283" t="s">
        <v>407</v>
      </c>
      <c r="L19" s="285"/>
      <c r="M19" s="283" t="s">
        <v>407</v>
      </c>
      <c r="N19" s="285"/>
      <c r="O19" s="283" t="s">
        <v>407</v>
      </c>
      <c r="P19" s="285"/>
      <c r="Q19" s="674" t="s">
        <v>16</v>
      </c>
      <c r="R19" s="285"/>
      <c r="S19" s="674" t="s">
        <v>16</v>
      </c>
      <c r="T19" s="285"/>
      <c r="U19" s="674" t="s">
        <v>16</v>
      </c>
      <c r="V19" s="285"/>
      <c r="W19" s="674" t="s">
        <v>16</v>
      </c>
      <c r="X19" s="285"/>
      <c r="Y19" s="674" t="s">
        <v>16</v>
      </c>
      <c r="Z19" s="285"/>
      <c r="AA19" s="674" t="s">
        <v>16</v>
      </c>
      <c r="AB19" s="285"/>
      <c r="AC19" s="674" t="s">
        <v>16</v>
      </c>
      <c r="AD19" s="285"/>
      <c r="AE19" s="674" t="s">
        <v>16</v>
      </c>
      <c r="AF19" s="285"/>
      <c r="AG19" s="674" t="s">
        <v>16</v>
      </c>
      <c r="AH19" s="285"/>
      <c r="AI19" s="674" t="s">
        <v>16</v>
      </c>
      <c r="AJ19" s="285"/>
      <c r="AK19" s="286">
        <f t="shared" ref="AK19:AK25" si="0">COUNTIF(C19:AJ19,"&gt;=R")</f>
        <v>17</v>
      </c>
      <c r="AL19" s="287">
        <f t="shared" ref="AL19:AL25" si="1">AK19</f>
        <v>17</v>
      </c>
    </row>
    <row r="20" spans="1:38" ht="40.049999999999997" customHeight="1" x14ac:dyDescent="0.3">
      <c r="A20" s="281" t="s">
        <v>114</v>
      </c>
      <c r="B20" s="282" t="s">
        <v>115</v>
      </c>
      <c r="C20" s="283" t="s">
        <v>6</v>
      </c>
      <c r="D20" s="284"/>
      <c r="E20" s="283" t="s">
        <v>6</v>
      </c>
      <c r="F20" s="285"/>
      <c r="G20" s="283" t="s">
        <v>6</v>
      </c>
      <c r="H20" s="285"/>
      <c r="I20" s="283" t="s">
        <v>407</v>
      </c>
      <c r="J20" s="285"/>
      <c r="K20" s="283" t="s">
        <v>407</v>
      </c>
      <c r="L20" s="285"/>
      <c r="M20" s="283" t="s">
        <v>407</v>
      </c>
      <c r="N20" s="285"/>
      <c r="O20" s="283" t="s">
        <v>407</v>
      </c>
      <c r="P20" s="285"/>
      <c r="Q20" s="674" t="s">
        <v>16</v>
      </c>
      <c r="R20" s="285"/>
      <c r="S20" s="283" t="s">
        <v>411</v>
      </c>
      <c r="T20" s="285"/>
      <c r="U20" s="726" t="s">
        <v>84</v>
      </c>
      <c r="V20" s="285"/>
      <c r="W20" s="283" t="s">
        <v>411</v>
      </c>
      <c r="X20" s="285"/>
      <c r="Y20" s="283" t="s">
        <v>411</v>
      </c>
      <c r="Z20" s="285"/>
      <c r="AA20" s="283" t="s">
        <v>411</v>
      </c>
      <c r="AB20" s="285"/>
      <c r="AC20" s="283" t="s">
        <v>411</v>
      </c>
      <c r="AD20" s="285"/>
      <c r="AE20" s="283" t="s">
        <v>411</v>
      </c>
      <c r="AF20" s="285"/>
      <c r="AG20" s="283" t="s">
        <v>411</v>
      </c>
      <c r="AH20" s="285"/>
      <c r="AI20" s="283" t="s">
        <v>26</v>
      </c>
      <c r="AJ20" s="285"/>
      <c r="AK20" s="286">
        <f t="shared" si="0"/>
        <v>17</v>
      </c>
      <c r="AL20" s="287">
        <f t="shared" si="1"/>
        <v>17</v>
      </c>
    </row>
    <row r="21" spans="1:38" ht="40.049999999999997" customHeight="1" x14ac:dyDescent="0.3">
      <c r="A21" s="281" t="s">
        <v>116</v>
      </c>
      <c r="B21" s="282" t="s">
        <v>117</v>
      </c>
      <c r="C21" s="283" t="s">
        <v>6</v>
      </c>
      <c r="D21" s="284"/>
      <c r="E21" s="283" t="s">
        <v>6</v>
      </c>
      <c r="F21" s="285"/>
      <c r="G21" s="283" t="s">
        <v>6</v>
      </c>
      <c r="H21" s="285"/>
      <c r="I21" s="283" t="s">
        <v>408</v>
      </c>
      <c r="J21" s="285"/>
      <c r="K21" s="283" t="s">
        <v>408</v>
      </c>
      <c r="L21" s="285"/>
      <c r="M21" s="283" t="s">
        <v>408</v>
      </c>
      <c r="N21" s="285"/>
      <c r="O21" s="283" t="s">
        <v>408</v>
      </c>
      <c r="P21" s="285"/>
      <c r="Q21" s="674" t="s">
        <v>16</v>
      </c>
      <c r="R21" s="285"/>
      <c r="S21" s="283" t="s">
        <v>411</v>
      </c>
      <c r="T21" s="285"/>
      <c r="U21" s="283" t="s">
        <v>26</v>
      </c>
      <c r="V21" s="285"/>
      <c r="W21" s="283" t="s">
        <v>26</v>
      </c>
      <c r="X21" s="285"/>
      <c r="Y21" s="283" t="s">
        <v>411</v>
      </c>
      <c r="Z21" s="285"/>
      <c r="AA21" s="283" t="s">
        <v>411</v>
      </c>
      <c r="AB21" s="285"/>
      <c r="AC21" s="283" t="s">
        <v>411</v>
      </c>
      <c r="AD21" s="285"/>
      <c r="AE21" s="283" t="s">
        <v>411</v>
      </c>
      <c r="AF21" s="285"/>
      <c r="AG21" s="283" t="s">
        <v>411</v>
      </c>
      <c r="AH21" s="285"/>
      <c r="AI21" s="283" t="s">
        <v>26</v>
      </c>
      <c r="AJ21" s="285"/>
      <c r="AK21" s="286">
        <f t="shared" si="0"/>
        <v>17</v>
      </c>
      <c r="AL21" s="287">
        <f t="shared" si="1"/>
        <v>17</v>
      </c>
    </row>
    <row r="22" spans="1:38" ht="40.049999999999997" customHeight="1" x14ac:dyDescent="0.3">
      <c r="A22" s="281" t="s">
        <v>118</v>
      </c>
      <c r="B22" s="282" t="s">
        <v>119</v>
      </c>
      <c r="C22" s="283" t="s">
        <v>6</v>
      </c>
      <c r="D22" s="284"/>
      <c r="E22" s="283" t="s">
        <v>6</v>
      </c>
      <c r="F22" s="285"/>
      <c r="G22" s="283" t="s">
        <v>6</v>
      </c>
      <c r="H22" s="285"/>
      <c r="I22" s="283" t="s">
        <v>408</v>
      </c>
      <c r="J22" s="285"/>
      <c r="K22" s="283" t="s">
        <v>408</v>
      </c>
      <c r="L22" s="285"/>
      <c r="M22" s="283" t="s">
        <v>408</v>
      </c>
      <c r="N22" s="285"/>
      <c r="O22" s="283" t="s">
        <v>408</v>
      </c>
      <c r="P22" s="285"/>
      <c r="Q22" s="674" t="s">
        <v>16</v>
      </c>
      <c r="R22" s="285"/>
      <c r="S22" s="283" t="s">
        <v>411</v>
      </c>
      <c r="T22" s="285"/>
      <c r="U22" s="283" t="s">
        <v>26</v>
      </c>
      <c r="V22" s="285"/>
      <c r="W22" s="283" t="s">
        <v>26</v>
      </c>
      <c r="X22" s="285"/>
      <c r="Y22" s="283" t="s">
        <v>411</v>
      </c>
      <c r="Z22" s="285"/>
      <c r="AA22" s="283" t="s">
        <v>411</v>
      </c>
      <c r="AB22" s="285"/>
      <c r="AC22" s="283" t="s">
        <v>411</v>
      </c>
      <c r="AD22" s="285"/>
      <c r="AE22" s="283" t="s">
        <v>411</v>
      </c>
      <c r="AF22" s="285"/>
      <c r="AG22" s="283" t="s">
        <v>411</v>
      </c>
      <c r="AH22" s="285"/>
      <c r="AI22" s="283" t="s">
        <v>26</v>
      </c>
      <c r="AJ22" s="285"/>
      <c r="AK22" s="286">
        <f t="shared" si="0"/>
        <v>17</v>
      </c>
      <c r="AL22" s="287">
        <f t="shared" si="1"/>
        <v>17</v>
      </c>
    </row>
    <row r="23" spans="1:38" ht="40.049999999999997" customHeight="1" x14ac:dyDescent="0.3">
      <c r="A23" s="281" t="s">
        <v>120</v>
      </c>
      <c r="B23" s="282" t="s">
        <v>121</v>
      </c>
      <c r="C23" s="284" t="s">
        <v>407</v>
      </c>
      <c r="D23" s="284"/>
      <c r="E23" s="285" t="s">
        <v>407</v>
      </c>
      <c r="F23" s="285"/>
      <c r="G23" s="285" t="s">
        <v>407</v>
      </c>
      <c r="H23" s="285"/>
      <c r="I23" s="283" t="s">
        <v>408</v>
      </c>
      <c r="J23" s="285"/>
      <c r="K23" s="283" t="s">
        <v>408</v>
      </c>
      <c r="L23" s="285"/>
      <c r="M23" s="283" t="s">
        <v>408</v>
      </c>
      <c r="N23" s="285"/>
      <c r="O23" s="283" t="s">
        <v>408</v>
      </c>
      <c r="P23" s="285"/>
      <c r="Q23" s="285" t="s">
        <v>26</v>
      </c>
      <c r="R23" s="285"/>
      <c r="S23" s="285" t="s">
        <v>26</v>
      </c>
      <c r="T23" s="285"/>
      <c r="U23" s="285" t="s">
        <v>26</v>
      </c>
      <c r="V23" s="288"/>
      <c r="W23" s="285" t="s">
        <v>26</v>
      </c>
      <c r="X23" s="285"/>
      <c r="Y23" s="285" t="s">
        <v>36</v>
      </c>
      <c r="Z23" s="288"/>
      <c r="AA23" s="285" t="s">
        <v>36</v>
      </c>
      <c r="AB23" s="288"/>
      <c r="AC23" s="285" t="s">
        <v>36</v>
      </c>
      <c r="AD23" s="285"/>
      <c r="AE23" s="285" t="s">
        <v>36</v>
      </c>
      <c r="AF23" s="288"/>
      <c r="AG23" s="285" t="s">
        <v>36</v>
      </c>
      <c r="AH23" s="288"/>
      <c r="AI23" s="285" t="s">
        <v>36</v>
      </c>
      <c r="AJ23" s="288"/>
      <c r="AK23" s="286">
        <f t="shared" si="0"/>
        <v>17</v>
      </c>
      <c r="AL23" s="287">
        <f t="shared" si="1"/>
        <v>17</v>
      </c>
    </row>
    <row r="24" spans="1:38" ht="40.049999999999997" customHeight="1" x14ac:dyDescent="0.3">
      <c r="A24" s="281" t="s">
        <v>122</v>
      </c>
      <c r="B24" s="282" t="s">
        <v>123</v>
      </c>
      <c r="C24" s="284" t="s">
        <v>407</v>
      </c>
      <c r="D24" s="284"/>
      <c r="E24" s="285" t="s">
        <v>407</v>
      </c>
      <c r="F24" s="285"/>
      <c r="G24" s="285" t="s">
        <v>407</v>
      </c>
      <c r="H24" s="285"/>
      <c r="I24" s="283" t="s">
        <v>408</v>
      </c>
      <c r="J24" s="285"/>
      <c r="K24" s="283" t="s">
        <v>408</v>
      </c>
      <c r="L24" s="285"/>
      <c r="M24" s="283" t="s">
        <v>408</v>
      </c>
      <c r="N24" s="285"/>
      <c r="O24" s="283" t="s">
        <v>408</v>
      </c>
      <c r="P24" s="285"/>
      <c r="Q24" s="285" t="s">
        <v>26</v>
      </c>
      <c r="R24" s="285"/>
      <c r="S24" s="285" t="s">
        <v>26</v>
      </c>
      <c r="T24" s="285"/>
      <c r="U24" s="285" t="s">
        <v>26</v>
      </c>
      <c r="V24" s="288"/>
      <c r="W24" s="285" t="s">
        <v>26</v>
      </c>
      <c r="X24" s="285"/>
      <c r="Y24" s="285" t="s">
        <v>36</v>
      </c>
      <c r="Z24" s="288"/>
      <c r="AA24" s="285" t="s">
        <v>36</v>
      </c>
      <c r="AB24" s="285"/>
      <c r="AC24" s="285" t="s">
        <v>36</v>
      </c>
      <c r="AD24" s="285"/>
      <c r="AE24" s="285" t="s">
        <v>36</v>
      </c>
      <c r="AF24" s="288"/>
      <c r="AG24" s="285" t="s">
        <v>36</v>
      </c>
      <c r="AH24" s="288"/>
      <c r="AI24" s="285" t="s">
        <v>36</v>
      </c>
      <c r="AJ24" s="288"/>
      <c r="AK24" s="286">
        <f t="shared" si="0"/>
        <v>17</v>
      </c>
      <c r="AL24" s="287">
        <f t="shared" si="1"/>
        <v>17</v>
      </c>
    </row>
    <row r="25" spans="1:38" ht="40.049999999999997" customHeight="1" x14ac:dyDescent="0.3">
      <c r="A25" s="281" t="s">
        <v>124</v>
      </c>
      <c r="B25" s="282" t="s">
        <v>125</v>
      </c>
      <c r="C25" s="284" t="s">
        <v>407</v>
      </c>
      <c r="D25" s="284"/>
      <c r="E25" s="285" t="s">
        <v>407</v>
      </c>
      <c r="F25" s="285"/>
      <c r="G25" s="285" t="s">
        <v>407</v>
      </c>
      <c r="H25" s="285"/>
      <c r="I25" s="283" t="s">
        <v>408</v>
      </c>
      <c r="J25" s="285"/>
      <c r="K25" s="283" t="s">
        <v>408</v>
      </c>
      <c r="L25" s="285"/>
      <c r="M25" s="283" t="s">
        <v>408</v>
      </c>
      <c r="N25" s="285"/>
      <c r="O25" s="283" t="s">
        <v>408</v>
      </c>
      <c r="P25" s="285"/>
      <c r="Q25" s="285" t="s">
        <v>26</v>
      </c>
      <c r="R25" s="285"/>
      <c r="S25" s="285" t="s">
        <v>26</v>
      </c>
      <c r="T25" s="285"/>
      <c r="U25" s="285" t="s">
        <v>26</v>
      </c>
      <c r="V25" s="288"/>
      <c r="W25" s="285" t="s">
        <v>26</v>
      </c>
      <c r="X25" s="285"/>
      <c r="Y25" s="285" t="s">
        <v>36</v>
      </c>
      <c r="Z25" s="288"/>
      <c r="AA25" s="285" t="s">
        <v>36</v>
      </c>
      <c r="AB25" s="285"/>
      <c r="AC25" s="285" t="s">
        <v>36</v>
      </c>
      <c r="AD25" s="285"/>
      <c r="AE25" s="285" t="s">
        <v>36</v>
      </c>
      <c r="AF25" s="288"/>
      <c r="AG25" s="285" t="s">
        <v>36</v>
      </c>
      <c r="AH25" s="288"/>
      <c r="AI25" s="285" t="s">
        <v>36</v>
      </c>
      <c r="AJ25" s="288"/>
      <c r="AK25" s="286">
        <f t="shared" si="0"/>
        <v>17</v>
      </c>
      <c r="AL25" s="287">
        <f t="shared" si="1"/>
        <v>17</v>
      </c>
    </row>
    <row r="26" spans="1:38" ht="40.049999999999997" customHeight="1" x14ac:dyDescent="0.3">
      <c r="A26" s="289" t="s">
        <v>126</v>
      </c>
      <c r="B26" s="290" t="s">
        <v>127</v>
      </c>
      <c r="C26" s="291"/>
      <c r="D26" s="292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93"/>
      <c r="T26" s="293"/>
      <c r="U26" s="293"/>
      <c r="V26" s="293"/>
      <c r="W26" s="293"/>
      <c r="X26" s="293"/>
      <c r="Y26" s="293"/>
      <c r="Z26" s="293"/>
      <c r="AA26" s="293"/>
      <c r="AB26" s="293"/>
      <c r="AC26" s="293"/>
      <c r="AD26" s="293"/>
      <c r="AE26" s="293"/>
      <c r="AF26" s="293"/>
      <c r="AG26" s="293"/>
      <c r="AH26" s="293"/>
      <c r="AI26" s="293"/>
      <c r="AJ26" s="294"/>
      <c r="AK26" s="293"/>
      <c r="AL26" s="295"/>
    </row>
    <row r="27" spans="1:38" ht="40.049999999999997" customHeight="1" x14ac:dyDescent="0.3">
      <c r="A27" s="281" t="s">
        <v>128</v>
      </c>
      <c r="B27" s="282" t="s">
        <v>129</v>
      </c>
      <c r="C27" s="284" t="s">
        <v>407</v>
      </c>
      <c r="D27" s="284"/>
      <c r="E27" s="285" t="s">
        <v>407</v>
      </c>
      <c r="F27" s="285"/>
      <c r="G27" s="285" t="s">
        <v>407</v>
      </c>
      <c r="H27" s="285"/>
      <c r="I27" s="283" t="s">
        <v>408</v>
      </c>
      <c r="J27" s="285"/>
      <c r="K27" s="283" t="s">
        <v>408</v>
      </c>
      <c r="L27" s="285"/>
      <c r="M27" s="283" t="s">
        <v>408</v>
      </c>
      <c r="N27" s="285"/>
      <c r="O27" s="283" t="s">
        <v>408</v>
      </c>
      <c r="P27" s="285"/>
      <c r="Q27" s="285" t="s">
        <v>26</v>
      </c>
      <c r="R27" s="285"/>
      <c r="S27" s="285" t="s">
        <v>26</v>
      </c>
      <c r="T27" s="285"/>
      <c r="U27" s="285" t="s">
        <v>26</v>
      </c>
      <c r="V27" s="288"/>
      <c r="W27" s="285" t="s">
        <v>26</v>
      </c>
      <c r="X27" s="285"/>
      <c r="Y27" s="285" t="s">
        <v>36</v>
      </c>
      <c r="Z27" s="288"/>
      <c r="AA27" s="285" t="s">
        <v>36</v>
      </c>
      <c r="AB27" s="285"/>
      <c r="AC27" s="285" t="s">
        <v>36</v>
      </c>
      <c r="AD27" s="285"/>
      <c r="AE27" s="285" t="s">
        <v>36</v>
      </c>
      <c r="AF27" s="288"/>
      <c r="AG27" s="285" t="s">
        <v>36</v>
      </c>
      <c r="AH27" s="288"/>
      <c r="AI27" s="285" t="s">
        <v>36</v>
      </c>
      <c r="AJ27" s="288"/>
      <c r="AK27" s="286">
        <f>COUNTIF(C27:AJ27,"&gt;=R")</f>
        <v>17</v>
      </c>
      <c r="AL27" s="287">
        <f>AK27</f>
        <v>17</v>
      </c>
    </row>
    <row r="28" spans="1:38" ht="40.049999999999997" customHeight="1" x14ac:dyDescent="0.3">
      <c r="A28" s="281" t="s">
        <v>130</v>
      </c>
      <c r="B28" s="282" t="s">
        <v>131</v>
      </c>
      <c r="C28" s="284" t="s">
        <v>407</v>
      </c>
      <c r="D28" s="284"/>
      <c r="E28" s="285" t="s">
        <v>407</v>
      </c>
      <c r="F28" s="285"/>
      <c r="G28" s="285" t="s">
        <v>407</v>
      </c>
      <c r="H28" s="285"/>
      <c r="I28" s="283" t="s">
        <v>408</v>
      </c>
      <c r="J28" s="285"/>
      <c r="K28" s="283" t="s">
        <v>408</v>
      </c>
      <c r="L28" s="285"/>
      <c r="M28" s="283" t="s">
        <v>408</v>
      </c>
      <c r="N28" s="285"/>
      <c r="O28" s="283" t="s">
        <v>408</v>
      </c>
      <c r="P28" s="285"/>
      <c r="Q28" s="285" t="s">
        <v>26</v>
      </c>
      <c r="R28" s="285"/>
      <c r="S28" s="285" t="s">
        <v>26</v>
      </c>
      <c r="T28" s="285"/>
      <c r="U28" s="285" t="s">
        <v>26</v>
      </c>
      <c r="V28" s="288"/>
      <c r="W28" s="285" t="s">
        <v>26</v>
      </c>
      <c r="X28" s="285"/>
      <c r="Y28" s="285" t="s">
        <v>36</v>
      </c>
      <c r="Z28" s="288"/>
      <c r="AA28" s="285" t="s">
        <v>36</v>
      </c>
      <c r="AB28" s="285"/>
      <c r="AC28" s="285" t="s">
        <v>36</v>
      </c>
      <c r="AD28" s="285"/>
      <c r="AE28" s="285" t="s">
        <v>36</v>
      </c>
      <c r="AF28" s="288"/>
      <c r="AG28" s="285" t="s">
        <v>36</v>
      </c>
      <c r="AH28" s="288"/>
      <c r="AI28" s="285" t="s">
        <v>36</v>
      </c>
      <c r="AJ28" s="288"/>
      <c r="AK28" s="286">
        <f>COUNTIF(C28:AJ28,"&gt;=R")</f>
        <v>17</v>
      </c>
      <c r="AL28" s="287">
        <f>AK28</f>
        <v>17</v>
      </c>
    </row>
    <row r="29" spans="1:38" ht="40.049999999999997" customHeight="1" x14ac:dyDescent="0.3">
      <c r="A29" s="289" t="s">
        <v>132</v>
      </c>
      <c r="B29" s="290" t="s">
        <v>133</v>
      </c>
      <c r="C29" s="291"/>
      <c r="D29" s="292"/>
      <c r="E29" s="293"/>
      <c r="F29" s="293"/>
      <c r="G29" s="293"/>
      <c r="H29" s="293"/>
      <c r="I29" s="293"/>
      <c r="J29" s="293"/>
      <c r="K29" s="293"/>
      <c r="L29" s="293"/>
      <c r="M29" s="293"/>
      <c r="N29" s="293"/>
      <c r="O29" s="293"/>
      <c r="P29" s="293"/>
      <c r="Q29" s="293"/>
      <c r="R29" s="293"/>
      <c r="S29" s="293"/>
      <c r="T29" s="293"/>
      <c r="U29" s="293"/>
      <c r="V29" s="293"/>
      <c r="W29" s="293"/>
      <c r="X29" s="293"/>
      <c r="Y29" s="293"/>
      <c r="Z29" s="293"/>
      <c r="AA29" s="293"/>
      <c r="AB29" s="293"/>
      <c r="AC29" s="293"/>
      <c r="AD29" s="293"/>
      <c r="AE29" s="293"/>
      <c r="AF29" s="293"/>
      <c r="AG29" s="293"/>
      <c r="AH29" s="293"/>
      <c r="AI29" s="294"/>
      <c r="AJ29" s="294"/>
      <c r="AK29" s="293"/>
      <c r="AL29" s="295"/>
    </row>
    <row r="30" spans="1:38" ht="40.049999999999997" customHeight="1" x14ac:dyDescent="0.3">
      <c r="A30" s="298" t="s">
        <v>134</v>
      </c>
      <c r="B30" s="282" t="s">
        <v>135</v>
      </c>
      <c r="C30" s="673" t="s">
        <v>409</v>
      </c>
      <c r="D30" s="284"/>
      <c r="E30" s="673" t="s">
        <v>409</v>
      </c>
      <c r="F30" s="285"/>
      <c r="G30" s="673" t="s">
        <v>409</v>
      </c>
      <c r="H30" s="285"/>
      <c r="I30" s="673" t="s">
        <v>409</v>
      </c>
      <c r="J30" s="285"/>
      <c r="K30" s="285" t="s">
        <v>26</v>
      </c>
      <c r="L30" s="285"/>
      <c r="M30" s="285" t="s">
        <v>26</v>
      </c>
      <c r="N30" s="285"/>
      <c r="O30" s="285" t="s">
        <v>26</v>
      </c>
      <c r="P30" s="285"/>
      <c r="Q30" s="285" t="s">
        <v>55</v>
      </c>
      <c r="R30" s="285"/>
      <c r="S30" s="285" t="s">
        <v>55</v>
      </c>
      <c r="T30" s="285"/>
      <c r="U30" s="285" t="s">
        <v>55</v>
      </c>
      <c r="V30" s="285"/>
      <c r="W30" s="285" t="s">
        <v>55</v>
      </c>
      <c r="X30" s="285"/>
      <c r="Y30" s="285" t="s">
        <v>83</v>
      </c>
      <c r="Z30" s="285"/>
      <c r="AA30" s="285" t="s">
        <v>83</v>
      </c>
      <c r="AB30" s="285"/>
      <c r="AC30" s="285" t="s">
        <v>83</v>
      </c>
      <c r="AD30" s="285"/>
      <c r="AE30" s="285" t="s">
        <v>83</v>
      </c>
      <c r="AF30" s="285"/>
      <c r="AG30" s="285" t="s">
        <v>83</v>
      </c>
      <c r="AH30" s="285"/>
      <c r="AI30" s="285" t="s">
        <v>83</v>
      </c>
      <c r="AJ30" s="288"/>
      <c r="AK30" s="286">
        <f>COUNTIF(C30:AJ30,"&gt;=R")</f>
        <v>17</v>
      </c>
      <c r="AL30" s="287">
        <f>AK30</f>
        <v>17</v>
      </c>
    </row>
    <row r="31" spans="1:38" ht="40.049999999999997" customHeight="1" x14ac:dyDescent="0.3">
      <c r="A31" s="289" t="s">
        <v>136</v>
      </c>
      <c r="B31" s="290" t="s">
        <v>137</v>
      </c>
      <c r="C31" s="291"/>
      <c r="D31" s="292"/>
      <c r="E31" s="293"/>
      <c r="F31" s="293"/>
      <c r="G31" s="293"/>
      <c r="H31" s="293"/>
      <c r="I31" s="293"/>
      <c r="J31" s="293"/>
      <c r="K31" s="293"/>
      <c r="L31" s="293"/>
      <c r="M31" s="293"/>
      <c r="N31" s="293"/>
      <c r="O31" s="293"/>
      <c r="P31" s="293"/>
      <c r="Q31" s="293"/>
      <c r="R31" s="293"/>
      <c r="S31" s="293"/>
      <c r="T31" s="293"/>
      <c r="U31" s="293"/>
      <c r="V31" s="293"/>
      <c r="W31" s="293"/>
      <c r="X31" s="293"/>
      <c r="Y31" s="293"/>
      <c r="Z31" s="293"/>
      <c r="AA31" s="293"/>
      <c r="AB31" s="293"/>
      <c r="AC31" s="293"/>
      <c r="AD31" s="293"/>
      <c r="AE31" s="293"/>
      <c r="AF31" s="293"/>
      <c r="AG31" s="293"/>
      <c r="AH31" s="293"/>
      <c r="AI31" s="293"/>
      <c r="AJ31" s="294"/>
      <c r="AK31" s="293"/>
      <c r="AL31" s="295"/>
    </row>
    <row r="32" spans="1:38" ht="40.049999999999997" customHeight="1" x14ac:dyDescent="0.3">
      <c r="A32" s="281" t="s">
        <v>138</v>
      </c>
      <c r="B32" s="282" t="s">
        <v>139</v>
      </c>
      <c r="C32" s="674" t="s">
        <v>16</v>
      </c>
      <c r="D32" s="284"/>
      <c r="E32" s="674" t="s">
        <v>16</v>
      </c>
      <c r="F32" s="285"/>
      <c r="G32" s="674" t="s">
        <v>16</v>
      </c>
      <c r="H32" s="285"/>
      <c r="I32" s="674" t="s">
        <v>16</v>
      </c>
      <c r="J32" s="285"/>
      <c r="K32" s="285" t="s">
        <v>26</v>
      </c>
      <c r="L32" s="285"/>
      <c r="M32" s="285" t="s">
        <v>26</v>
      </c>
      <c r="N32" s="285"/>
      <c r="O32" s="285" t="s">
        <v>26</v>
      </c>
      <c r="P32" s="285"/>
      <c r="Q32" s="285" t="s">
        <v>55</v>
      </c>
      <c r="R32" s="285"/>
      <c r="S32" s="285" t="s">
        <v>55</v>
      </c>
      <c r="T32" s="285"/>
      <c r="U32" s="285" t="s">
        <v>55</v>
      </c>
      <c r="V32" s="285"/>
      <c r="W32" s="285" t="s">
        <v>55</v>
      </c>
      <c r="X32" s="285"/>
      <c r="Y32" s="285" t="s">
        <v>410</v>
      </c>
      <c r="Z32" s="285"/>
      <c r="AA32" s="285" t="s">
        <v>410</v>
      </c>
      <c r="AB32" s="285"/>
      <c r="AC32" s="285" t="s">
        <v>410</v>
      </c>
      <c r="AD32" s="285"/>
      <c r="AE32" s="285" t="s">
        <v>410</v>
      </c>
      <c r="AF32" s="285"/>
      <c r="AG32" s="285" t="s">
        <v>410</v>
      </c>
      <c r="AH32" s="285"/>
      <c r="AI32" s="285" t="s">
        <v>410</v>
      </c>
      <c r="AJ32" s="288"/>
      <c r="AK32" s="286">
        <f>COUNTIF(C32:AJ32,"&gt;=R")</f>
        <v>17</v>
      </c>
      <c r="AL32" s="287">
        <f>AK32</f>
        <v>17</v>
      </c>
    </row>
    <row r="33" spans="1:38" ht="40.049999999999997" customHeight="1" x14ac:dyDescent="0.65">
      <c r="A33" s="357" t="s">
        <v>140</v>
      </c>
      <c r="B33" s="890" t="s">
        <v>141</v>
      </c>
      <c r="C33" s="895" t="s">
        <v>16</v>
      </c>
      <c r="D33" s="284"/>
      <c r="E33" s="674" t="s">
        <v>16</v>
      </c>
      <c r="F33" s="285"/>
      <c r="G33" s="674" t="s">
        <v>16</v>
      </c>
      <c r="H33" s="285"/>
      <c r="I33" s="674" t="s">
        <v>16</v>
      </c>
      <c r="J33" s="285"/>
      <c r="K33" s="285" t="s">
        <v>26</v>
      </c>
      <c r="L33" s="285"/>
      <c r="M33" s="285" t="s">
        <v>26</v>
      </c>
      <c r="N33" s="285"/>
      <c r="O33" s="285" t="s">
        <v>26</v>
      </c>
      <c r="P33" s="285"/>
      <c r="Q33" s="285" t="s">
        <v>55</v>
      </c>
      <c r="R33" s="285"/>
      <c r="S33" s="285" t="s">
        <v>55</v>
      </c>
      <c r="T33" s="285"/>
      <c r="U33" s="285" t="s">
        <v>55</v>
      </c>
      <c r="V33" s="285"/>
      <c r="W33" s="285" t="s">
        <v>55</v>
      </c>
      <c r="X33" s="285"/>
      <c r="Y33" s="285" t="s">
        <v>410</v>
      </c>
      <c r="Z33" s="285"/>
      <c r="AA33" s="285" t="s">
        <v>410</v>
      </c>
      <c r="AB33" s="285"/>
      <c r="AC33" s="285" t="s">
        <v>410</v>
      </c>
      <c r="AD33" s="285"/>
      <c r="AE33" s="285" t="s">
        <v>410</v>
      </c>
      <c r="AF33" s="285"/>
      <c r="AG33" s="285" t="s">
        <v>410</v>
      </c>
      <c r="AH33" s="285"/>
      <c r="AI33" s="285" t="s">
        <v>410</v>
      </c>
      <c r="AJ33" s="288"/>
      <c r="AK33" s="286">
        <f>COUNTIF(C33:AJ33,"&gt;=R")</f>
        <v>17</v>
      </c>
      <c r="AL33" s="287">
        <f>AK33</f>
        <v>17</v>
      </c>
    </row>
    <row r="34" spans="1:38" ht="40.049999999999997" customHeight="1" x14ac:dyDescent="0.3">
      <c r="A34" s="289" t="s">
        <v>142</v>
      </c>
      <c r="B34" s="290" t="s">
        <v>143</v>
      </c>
      <c r="C34" s="291"/>
      <c r="D34" s="292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3"/>
      <c r="U34" s="293"/>
      <c r="V34" s="293"/>
      <c r="W34" s="293"/>
      <c r="X34" s="293"/>
      <c r="Y34" s="293"/>
      <c r="Z34" s="293"/>
      <c r="AA34" s="293"/>
      <c r="AB34" s="293"/>
      <c r="AC34" s="293"/>
      <c r="AD34" s="293"/>
      <c r="AE34" s="293"/>
      <c r="AF34" s="293"/>
      <c r="AG34" s="293"/>
      <c r="AH34" s="293"/>
      <c r="AI34" s="293"/>
      <c r="AJ34" s="294"/>
      <c r="AK34" s="293"/>
      <c r="AL34" s="295"/>
    </row>
    <row r="35" spans="1:38" ht="40.049999999999997" customHeight="1" x14ac:dyDescent="0.3">
      <c r="A35" s="298" t="s">
        <v>144</v>
      </c>
      <c r="B35" s="282" t="s">
        <v>145</v>
      </c>
      <c r="C35" s="674" t="s">
        <v>16</v>
      </c>
      <c r="D35" s="284"/>
      <c r="E35" s="674" t="s">
        <v>16</v>
      </c>
      <c r="F35" s="285"/>
      <c r="G35" s="674" t="s">
        <v>16</v>
      </c>
      <c r="H35" s="285"/>
      <c r="I35" s="674" t="s">
        <v>16</v>
      </c>
      <c r="J35" s="285"/>
      <c r="K35" s="285" t="s">
        <v>26</v>
      </c>
      <c r="L35" s="285"/>
      <c r="M35" s="285" t="s">
        <v>26</v>
      </c>
      <c r="N35" s="285"/>
      <c r="O35" s="285" t="s">
        <v>26</v>
      </c>
      <c r="P35" s="285"/>
      <c r="Q35" s="285" t="s">
        <v>55</v>
      </c>
      <c r="R35" s="285"/>
      <c r="S35" s="285" t="s">
        <v>55</v>
      </c>
      <c r="T35" s="285"/>
      <c r="U35" s="285" t="s">
        <v>55</v>
      </c>
      <c r="V35" s="285"/>
      <c r="W35" s="285" t="s">
        <v>55</v>
      </c>
      <c r="X35" s="285"/>
      <c r="Y35" s="285" t="s">
        <v>83</v>
      </c>
      <c r="Z35" s="285"/>
      <c r="AA35" s="285" t="s">
        <v>83</v>
      </c>
      <c r="AB35" s="285"/>
      <c r="AC35" s="285" t="s">
        <v>83</v>
      </c>
      <c r="AD35" s="285"/>
      <c r="AE35" s="285" t="s">
        <v>83</v>
      </c>
      <c r="AF35" s="285"/>
      <c r="AG35" s="285" t="s">
        <v>83</v>
      </c>
      <c r="AH35" s="285"/>
      <c r="AI35" s="285" t="s">
        <v>83</v>
      </c>
      <c r="AJ35" s="288"/>
      <c r="AK35" s="286">
        <f>COUNTIF(C35:AJ35,"&gt;=R")</f>
        <v>17</v>
      </c>
      <c r="AL35" s="287">
        <f>AK35</f>
        <v>17</v>
      </c>
    </row>
    <row r="36" spans="1:38" ht="40.049999999999997" customHeight="1" x14ac:dyDescent="0.3">
      <c r="A36" s="289" t="s">
        <v>146</v>
      </c>
      <c r="B36" s="290" t="s">
        <v>147</v>
      </c>
      <c r="C36" s="291"/>
      <c r="D36" s="292"/>
      <c r="E36" s="293"/>
      <c r="F36" s="293"/>
      <c r="G36" s="293"/>
      <c r="H36" s="293"/>
      <c r="I36" s="293"/>
      <c r="J36" s="293"/>
      <c r="K36" s="293"/>
      <c r="L36" s="293"/>
      <c r="M36" s="293"/>
      <c r="N36" s="293"/>
      <c r="O36" s="293"/>
      <c r="P36" s="293"/>
      <c r="Q36" s="293"/>
      <c r="R36" s="293"/>
      <c r="S36" s="293"/>
      <c r="T36" s="293"/>
      <c r="U36" s="293"/>
      <c r="V36" s="293"/>
      <c r="W36" s="293"/>
      <c r="X36" s="293"/>
      <c r="Y36" s="293"/>
      <c r="Z36" s="293"/>
      <c r="AA36" s="293"/>
      <c r="AB36" s="293"/>
      <c r="AC36" s="293"/>
      <c r="AD36" s="293"/>
      <c r="AE36" s="293"/>
      <c r="AF36" s="293"/>
      <c r="AG36" s="293"/>
      <c r="AH36" s="293"/>
      <c r="AI36" s="293"/>
      <c r="AJ36" s="294"/>
      <c r="AK36" s="293"/>
      <c r="AL36" s="295"/>
    </row>
    <row r="37" spans="1:38" ht="40.049999999999997" customHeight="1" x14ac:dyDescent="0.3">
      <c r="A37" s="281" t="s">
        <v>148</v>
      </c>
      <c r="B37" s="282" t="s">
        <v>139</v>
      </c>
      <c r="C37" s="284" t="s">
        <v>26</v>
      </c>
      <c r="D37" s="284"/>
      <c r="E37" s="285" t="s">
        <v>26</v>
      </c>
      <c r="F37" s="285"/>
      <c r="G37" s="299" t="s">
        <v>26</v>
      </c>
      <c r="H37" s="285"/>
      <c r="I37" s="285" t="s">
        <v>26</v>
      </c>
      <c r="J37" s="285"/>
      <c r="K37" s="285" t="s">
        <v>26</v>
      </c>
      <c r="L37" s="285"/>
      <c r="M37" s="285" t="s">
        <v>46</v>
      </c>
      <c r="N37" s="285"/>
      <c r="O37" s="285" t="s">
        <v>46</v>
      </c>
      <c r="P37" s="285"/>
      <c r="Q37" s="285" t="s">
        <v>55</v>
      </c>
      <c r="R37" s="285"/>
      <c r="S37" s="285" t="s">
        <v>55</v>
      </c>
      <c r="T37" s="285"/>
      <c r="U37" s="285" t="s">
        <v>55</v>
      </c>
      <c r="V37" s="285"/>
      <c r="W37" s="285" t="s">
        <v>55</v>
      </c>
      <c r="X37" s="285"/>
      <c r="Y37" s="285" t="s">
        <v>83</v>
      </c>
      <c r="Z37" s="285"/>
      <c r="AA37" s="285" t="s">
        <v>83</v>
      </c>
      <c r="AB37" s="285"/>
      <c r="AC37" s="285" t="s">
        <v>83</v>
      </c>
      <c r="AD37" s="285"/>
      <c r="AE37" s="285" t="s">
        <v>83</v>
      </c>
      <c r="AF37" s="285"/>
      <c r="AG37" s="285" t="s">
        <v>83</v>
      </c>
      <c r="AH37" s="285"/>
      <c r="AI37" s="285" t="s">
        <v>83</v>
      </c>
      <c r="AJ37" s="288"/>
      <c r="AK37" s="286">
        <f>COUNTIF(C37:AJ37,"&gt;=R")</f>
        <v>17</v>
      </c>
      <c r="AL37" s="287">
        <f>AK37</f>
        <v>17</v>
      </c>
    </row>
    <row r="38" spans="1:38" ht="40.049999999999997" customHeight="1" x14ac:dyDescent="0.3">
      <c r="A38" s="281" t="s">
        <v>149</v>
      </c>
      <c r="B38" s="282" t="s">
        <v>150</v>
      </c>
      <c r="C38" s="284" t="s">
        <v>26</v>
      </c>
      <c r="D38" s="284"/>
      <c r="E38" s="285" t="s">
        <v>26</v>
      </c>
      <c r="F38" s="285"/>
      <c r="G38" s="285" t="s">
        <v>36</v>
      </c>
      <c r="H38" s="285"/>
      <c r="I38" s="299" t="s">
        <v>36</v>
      </c>
      <c r="J38" s="285"/>
      <c r="K38" s="299" t="s">
        <v>36</v>
      </c>
      <c r="L38" s="285"/>
      <c r="M38" s="299" t="s">
        <v>36</v>
      </c>
      <c r="N38" s="285"/>
      <c r="O38" s="299" t="s">
        <v>36</v>
      </c>
      <c r="P38" s="285"/>
      <c r="Q38" s="285" t="s">
        <v>83</v>
      </c>
      <c r="R38" s="285"/>
      <c r="S38" s="285" t="s">
        <v>83</v>
      </c>
      <c r="T38" s="285"/>
      <c r="U38" s="288" t="s">
        <v>83</v>
      </c>
      <c r="V38" s="285"/>
      <c r="W38" s="288" t="s">
        <v>91</v>
      </c>
      <c r="X38" s="285"/>
      <c r="Y38" s="288" t="s">
        <v>91</v>
      </c>
      <c r="Z38" s="285"/>
      <c r="AA38" s="288" t="s">
        <v>91</v>
      </c>
      <c r="AB38" s="285"/>
      <c r="AC38" s="288" t="s">
        <v>91</v>
      </c>
      <c r="AD38" s="285"/>
      <c r="AE38" s="285" t="s">
        <v>91</v>
      </c>
      <c r="AF38" s="285"/>
      <c r="AG38" s="285" t="s">
        <v>91</v>
      </c>
      <c r="AH38" s="285"/>
      <c r="AI38" s="285" t="s">
        <v>91</v>
      </c>
      <c r="AJ38" s="288"/>
      <c r="AK38" s="286">
        <f>COUNTIF(C38:AJ38,"&gt;=R")</f>
        <v>17</v>
      </c>
      <c r="AL38" s="287">
        <f>AK38</f>
        <v>17</v>
      </c>
    </row>
    <row r="39" spans="1:38" ht="40.049999999999997" customHeight="1" x14ac:dyDescent="0.3">
      <c r="A39" s="300" t="s">
        <v>151</v>
      </c>
      <c r="B39" s="301" t="s">
        <v>152</v>
      </c>
      <c r="C39" s="283"/>
      <c r="D39" s="284"/>
      <c r="E39" s="285"/>
      <c r="F39" s="285"/>
      <c r="G39" s="285"/>
      <c r="H39" s="285"/>
      <c r="I39" s="285"/>
      <c r="J39" s="285"/>
      <c r="K39" s="285"/>
      <c r="L39" s="285"/>
      <c r="M39" s="299"/>
      <c r="N39" s="285"/>
      <c r="O39" s="285"/>
      <c r="P39" s="285"/>
      <c r="Q39" s="285"/>
      <c r="R39" s="285"/>
      <c r="S39" s="285"/>
      <c r="T39" s="285"/>
      <c r="U39" s="288"/>
      <c r="V39" s="285"/>
      <c r="W39" s="285"/>
      <c r="X39" s="285"/>
      <c r="Y39" s="288"/>
      <c r="Z39" s="285"/>
      <c r="AA39" s="285"/>
      <c r="AB39" s="285"/>
      <c r="AC39" s="285"/>
      <c r="AD39" s="285"/>
      <c r="AE39" s="285"/>
      <c r="AF39" s="285"/>
      <c r="AG39" s="285"/>
      <c r="AH39" s="285"/>
      <c r="AI39" s="285"/>
      <c r="AJ39" s="288"/>
      <c r="AK39" s="286"/>
      <c r="AL39" s="287"/>
    </row>
    <row r="40" spans="1:38" ht="40.049999999999997" customHeight="1" x14ac:dyDescent="0.3">
      <c r="A40" s="281" t="s">
        <v>153</v>
      </c>
      <c r="B40" s="282" t="s">
        <v>154</v>
      </c>
      <c r="C40" s="283" t="s">
        <v>85</v>
      </c>
      <c r="D40" s="284"/>
      <c r="E40" s="283" t="s">
        <v>85</v>
      </c>
      <c r="F40" s="285"/>
      <c r="G40" s="283" t="s">
        <v>85</v>
      </c>
      <c r="H40" s="285"/>
      <c r="I40" s="283" t="s">
        <v>85</v>
      </c>
      <c r="J40" s="285"/>
      <c r="K40" s="283" t="s">
        <v>85</v>
      </c>
      <c r="L40" s="285"/>
      <c r="M40" s="285" t="s">
        <v>85</v>
      </c>
      <c r="N40" s="285"/>
      <c r="O40" s="285" t="s">
        <v>85</v>
      </c>
      <c r="P40" s="285"/>
      <c r="Q40" s="285" t="s">
        <v>85</v>
      </c>
      <c r="R40" s="285"/>
      <c r="S40" s="285" t="s">
        <v>85</v>
      </c>
      <c r="T40" s="285"/>
      <c r="U40" s="285" t="s">
        <v>85</v>
      </c>
      <c r="V40" s="285"/>
      <c r="W40" s="285" t="s">
        <v>85</v>
      </c>
      <c r="X40" s="285"/>
      <c r="Y40" s="285" t="s">
        <v>85</v>
      </c>
      <c r="Z40" s="285"/>
      <c r="AA40" s="285" t="s">
        <v>85</v>
      </c>
      <c r="AB40" s="285"/>
      <c r="AC40" s="285" t="s">
        <v>85</v>
      </c>
      <c r="AD40" s="285"/>
      <c r="AE40" s="285" t="s">
        <v>85</v>
      </c>
      <c r="AF40" s="285"/>
      <c r="AG40" s="285" t="s">
        <v>85</v>
      </c>
      <c r="AH40" s="285"/>
      <c r="AI40" s="285" t="s">
        <v>85</v>
      </c>
      <c r="AJ40" s="288"/>
      <c r="AK40" s="286">
        <f>COUNTIF(C40:AJ40,"&gt;=R")</f>
        <v>17</v>
      </c>
      <c r="AL40" s="287">
        <f>AK40</f>
        <v>17</v>
      </c>
    </row>
    <row r="41" spans="1:38" ht="40.049999999999997" customHeight="1" x14ac:dyDescent="0.3">
      <c r="A41" s="281" t="s">
        <v>155</v>
      </c>
      <c r="B41" s="282" t="s">
        <v>156</v>
      </c>
      <c r="C41" s="302"/>
      <c r="D41" s="284"/>
      <c r="E41" s="288"/>
      <c r="F41" s="285"/>
      <c r="G41" s="288"/>
      <c r="H41" s="285"/>
      <c r="I41" s="288"/>
      <c r="J41" s="285"/>
      <c r="K41" s="288"/>
      <c r="L41" s="285"/>
      <c r="M41" s="288"/>
      <c r="N41" s="285"/>
      <c r="O41" s="288"/>
      <c r="P41" s="285"/>
      <c r="Q41" s="288"/>
      <c r="R41" s="285"/>
      <c r="S41" s="288"/>
      <c r="T41" s="285"/>
      <c r="U41" s="288"/>
      <c r="V41" s="285"/>
      <c r="W41" s="288"/>
      <c r="X41" s="285"/>
      <c r="Y41" s="288"/>
      <c r="Z41" s="285"/>
      <c r="AA41" s="288"/>
      <c r="AB41" s="285"/>
      <c r="AC41" s="288"/>
      <c r="AD41" s="285"/>
      <c r="AE41" s="288"/>
      <c r="AF41" s="285"/>
      <c r="AG41" s="288"/>
      <c r="AH41" s="285"/>
      <c r="AI41" s="288"/>
      <c r="AJ41" s="288"/>
      <c r="AK41" s="286"/>
      <c r="AL41" s="287"/>
    </row>
    <row r="42" spans="1:38" ht="40.049999999999997" customHeight="1" x14ac:dyDescent="0.3">
      <c r="A42" s="281" t="s">
        <v>157</v>
      </c>
      <c r="B42" s="282" t="s">
        <v>158</v>
      </c>
      <c r="C42" s="284" t="s">
        <v>36</v>
      </c>
      <c r="D42" s="284"/>
      <c r="E42" s="285" t="s">
        <v>36</v>
      </c>
      <c r="F42" s="285"/>
      <c r="G42" s="285" t="s">
        <v>36</v>
      </c>
      <c r="H42" s="285"/>
      <c r="I42" s="299" t="s">
        <v>36</v>
      </c>
      <c r="J42" s="285"/>
      <c r="K42" s="299" t="s">
        <v>36</v>
      </c>
      <c r="L42" s="285"/>
      <c r="M42" s="299" t="s">
        <v>36</v>
      </c>
      <c r="N42" s="285"/>
      <c r="O42" s="299" t="s">
        <v>36</v>
      </c>
      <c r="P42" s="285"/>
      <c r="Q42" s="285" t="s">
        <v>7</v>
      </c>
      <c r="R42" s="285"/>
      <c r="S42" s="285" t="s">
        <v>7</v>
      </c>
      <c r="T42" s="285"/>
      <c r="U42" s="288" t="s">
        <v>7</v>
      </c>
      <c r="V42" s="285"/>
      <c r="W42" s="288" t="s">
        <v>7</v>
      </c>
      <c r="X42" s="285"/>
      <c r="Y42" s="288" t="s">
        <v>7</v>
      </c>
      <c r="Z42" s="285"/>
      <c r="AA42" s="288" t="s">
        <v>7</v>
      </c>
      <c r="AB42" s="285"/>
      <c r="AC42" s="288" t="s">
        <v>7</v>
      </c>
      <c r="AD42" s="285"/>
      <c r="AE42" s="285" t="s">
        <v>7</v>
      </c>
      <c r="AF42" s="285"/>
      <c r="AG42" s="285" t="s">
        <v>7</v>
      </c>
      <c r="AH42" s="285"/>
      <c r="AI42" s="285" t="s">
        <v>7</v>
      </c>
      <c r="AJ42" s="288"/>
      <c r="AK42" s="286">
        <f>COUNTIF(C42:AJ42,"&gt;=R")</f>
        <v>17</v>
      </c>
      <c r="AL42" s="287">
        <f>AK42</f>
        <v>17</v>
      </c>
    </row>
    <row r="43" spans="1:38" ht="40.049999999999997" customHeight="1" x14ac:dyDescent="0.3">
      <c r="A43" s="281" t="s">
        <v>159</v>
      </c>
      <c r="B43" s="282" t="s">
        <v>160</v>
      </c>
      <c r="C43" s="283" t="s">
        <v>83</v>
      </c>
      <c r="D43" s="284"/>
      <c r="E43" s="285" t="s">
        <v>83</v>
      </c>
      <c r="F43" s="285"/>
      <c r="G43" s="285" t="s">
        <v>83</v>
      </c>
      <c r="H43" s="285"/>
      <c r="I43" s="285" t="s">
        <v>83</v>
      </c>
      <c r="J43" s="285"/>
      <c r="K43" s="285" t="s">
        <v>83</v>
      </c>
      <c r="L43" s="285"/>
      <c r="M43" s="285" t="s">
        <v>83</v>
      </c>
      <c r="N43" s="285"/>
      <c r="O43" s="285" t="s">
        <v>83</v>
      </c>
      <c r="P43" s="285"/>
      <c r="Q43" s="285" t="s">
        <v>7</v>
      </c>
      <c r="R43" s="285"/>
      <c r="S43" s="285" t="s">
        <v>7</v>
      </c>
      <c r="T43" s="285"/>
      <c r="U43" s="288" t="s">
        <v>7</v>
      </c>
      <c r="V43" s="285"/>
      <c r="W43" s="288" t="s">
        <v>7</v>
      </c>
      <c r="X43" s="285"/>
      <c r="Y43" s="288" t="s">
        <v>7</v>
      </c>
      <c r="Z43" s="285"/>
      <c r="AA43" s="288" t="s">
        <v>7</v>
      </c>
      <c r="AB43" s="285"/>
      <c r="AC43" s="288" t="s">
        <v>7</v>
      </c>
      <c r="AD43" s="285"/>
      <c r="AE43" s="285" t="s">
        <v>7</v>
      </c>
      <c r="AF43" s="285"/>
      <c r="AG43" s="285" t="s">
        <v>7</v>
      </c>
      <c r="AH43" s="285"/>
      <c r="AI43" s="285" t="s">
        <v>27</v>
      </c>
      <c r="AJ43" s="288"/>
      <c r="AK43" s="286">
        <f>COUNTIF(C43:AJ43,"&gt;=R")</f>
        <v>17</v>
      </c>
      <c r="AL43" s="287">
        <f>AK43</f>
        <v>17</v>
      </c>
    </row>
    <row r="44" spans="1:38" ht="40.049999999999997" customHeight="1" x14ac:dyDescent="0.3">
      <c r="A44" s="281" t="s">
        <v>161</v>
      </c>
      <c r="B44" s="282" t="s">
        <v>162</v>
      </c>
      <c r="C44" s="283" t="s">
        <v>83</v>
      </c>
      <c r="D44" s="284"/>
      <c r="E44" s="285" t="s">
        <v>83</v>
      </c>
      <c r="F44" s="285"/>
      <c r="G44" s="285" t="s">
        <v>83</v>
      </c>
      <c r="H44" s="285"/>
      <c r="I44" s="285" t="s">
        <v>83</v>
      </c>
      <c r="J44" s="285"/>
      <c r="K44" s="285" t="s">
        <v>83</v>
      </c>
      <c r="L44" s="285"/>
      <c r="M44" s="285" t="s">
        <v>83</v>
      </c>
      <c r="N44" s="285"/>
      <c r="O44" s="285" t="s">
        <v>83</v>
      </c>
      <c r="P44" s="285"/>
      <c r="Q44" s="285" t="s">
        <v>7</v>
      </c>
      <c r="R44" s="285"/>
      <c r="S44" s="285" t="s">
        <v>7</v>
      </c>
      <c r="T44" s="285"/>
      <c r="U44" s="288" t="s">
        <v>7</v>
      </c>
      <c r="V44" s="285"/>
      <c r="W44" s="288" t="s">
        <v>7</v>
      </c>
      <c r="X44" s="285"/>
      <c r="Y44" s="288" t="s">
        <v>7</v>
      </c>
      <c r="Z44" s="285"/>
      <c r="AA44" s="288" t="s">
        <v>7</v>
      </c>
      <c r="AB44" s="285"/>
      <c r="AC44" s="288" t="s">
        <v>7</v>
      </c>
      <c r="AD44" s="285"/>
      <c r="AE44" s="285" t="s">
        <v>7</v>
      </c>
      <c r="AF44" s="285"/>
      <c r="AG44" s="285" t="s">
        <v>7</v>
      </c>
      <c r="AH44" s="285"/>
      <c r="AI44" s="288" t="s">
        <v>27</v>
      </c>
      <c r="AJ44" s="288"/>
      <c r="AK44" s="286">
        <f>COUNTIF(C44:AJ44,"&gt;=R")</f>
        <v>17</v>
      </c>
      <c r="AL44" s="287">
        <f>AK44</f>
        <v>17</v>
      </c>
    </row>
    <row r="45" spans="1:38" ht="40.049999999999997" customHeight="1" x14ac:dyDescent="0.3">
      <c r="A45" s="281" t="s">
        <v>163</v>
      </c>
      <c r="B45" s="282" t="s">
        <v>164</v>
      </c>
      <c r="C45" s="283" t="s">
        <v>36</v>
      </c>
      <c r="D45" s="284"/>
      <c r="E45" s="299" t="s">
        <v>36</v>
      </c>
      <c r="F45" s="285"/>
      <c r="G45" s="285" t="s">
        <v>36</v>
      </c>
      <c r="H45" s="285"/>
      <c r="I45" s="285" t="s">
        <v>36</v>
      </c>
      <c r="J45" s="285"/>
      <c r="K45" s="285" t="s">
        <v>36</v>
      </c>
      <c r="L45" s="285"/>
      <c r="M45" s="288" t="s">
        <v>36</v>
      </c>
      <c r="N45" s="285"/>
      <c r="O45" s="285" t="s">
        <v>36</v>
      </c>
      <c r="P45" s="285"/>
      <c r="Q45" s="285" t="s">
        <v>83</v>
      </c>
      <c r="R45" s="285"/>
      <c r="S45" s="285" t="s">
        <v>83</v>
      </c>
      <c r="T45" s="285"/>
      <c r="U45" s="285" t="s">
        <v>83</v>
      </c>
      <c r="V45" s="285"/>
      <c r="W45" s="285" t="s">
        <v>83</v>
      </c>
      <c r="X45" s="285"/>
      <c r="Y45" s="285" t="s">
        <v>83</v>
      </c>
      <c r="Z45" s="285"/>
      <c r="AA45" s="285" t="s">
        <v>83</v>
      </c>
      <c r="AB45" s="285"/>
      <c r="AC45" s="285" t="s">
        <v>83</v>
      </c>
      <c r="AD45" s="285"/>
      <c r="AE45" s="285" t="s">
        <v>83</v>
      </c>
      <c r="AF45" s="285"/>
      <c r="AG45" s="285" t="s">
        <v>37</v>
      </c>
      <c r="AH45" s="285"/>
      <c r="AI45" s="285" t="s">
        <v>27</v>
      </c>
      <c r="AJ45" s="288"/>
      <c r="AK45" s="286">
        <f>COUNTIF(C45:AJ45,"&gt;=R")</f>
        <v>17</v>
      </c>
      <c r="AL45" s="287">
        <f>AK45</f>
        <v>17</v>
      </c>
    </row>
    <row r="46" spans="1:38" ht="40.049999999999997" customHeight="1" x14ac:dyDescent="0.3">
      <c r="A46" s="274" t="s">
        <v>165</v>
      </c>
      <c r="B46" s="275" t="s">
        <v>166</v>
      </c>
      <c r="C46" s="291"/>
      <c r="D46" s="292"/>
      <c r="E46" s="293"/>
      <c r="F46" s="293"/>
      <c r="G46" s="293"/>
      <c r="H46" s="293"/>
      <c r="I46" s="293"/>
      <c r="J46" s="293"/>
      <c r="K46" s="293"/>
      <c r="L46" s="293"/>
      <c r="M46" s="293"/>
      <c r="N46" s="293"/>
      <c r="O46" s="293"/>
      <c r="P46" s="293"/>
      <c r="Q46" s="293"/>
      <c r="R46" s="293"/>
      <c r="S46" s="293"/>
      <c r="T46" s="293"/>
      <c r="U46" s="293"/>
      <c r="V46" s="293"/>
      <c r="W46" s="293"/>
      <c r="X46" s="293"/>
      <c r="Y46" s="293"/>
      <c r="Z46" s="293"/>
      <c r="AA46" s="293"/>
      <c r="AB46" s="293"/>
      <c r="AC46" s="293"/>
      <c r="AD46" s="293"/>
      <c r="AE46" s="293"/>
      <c r="AF46" s="293"/>
      <c r="AG46" s="293"/>
      <c r="AH46" s="293"/>
      <c r="AI46" s="294"/>
      <c r="AJ46" s="294"/>
      <c r="AK46" s="293"/>
      <c r="AL46" s="295"/>
    </row>
    <row r="47" spans="1:38" ht="40.049999999999997" customHeight="1" x14ac:dyDescent="0.3">
      <c r="A47" s="305" t="s">
        <v>167</v>
      </c>
      <c r="B47" s="306" t="s">
        <v>168</v>
      </c>
      <c r="C47" s="283"/>
      <c r="D47" s="284"/>
      <c r="E47" s="285"/>
      <c r="F47" s="285"/>
      <c r="G47" s="288"/>
      <c r="H47" s="285"/>
      <c r="I47" s="285"/>
      <c r="J47" s="285"/>
      <c r="K47" s="285"/>
      <c r="L47" s="285"/>
      <c r="M47" s="285"/>
      <c r="N47" s="285"/>
      <c r="O47" s="285"/>
      <c r="P47" s="285"/>
      <c r="Q47" s="285"/>
      <c r="R47" s="285"/>
      <c r="S47" s="285"/>
      <c r="T47" s="285"/>
      <c r="U47" s="285"/>
      <c r="V47" s="285"/>
      <c r="W47" s="307"/>
      <c r="X47" s="285"/>
      <c r="Y47" s="307"/>
      <c r="Z47" s="285"/>
      <c r="AA47" s="307"/>
      <c r="AB47" s="285"/>
      <c r="AC47" s="307"/>
      <c r="AD47" s="285"/>
      <c r="AE47" s="288"/>
      <c r="AF47" s="285"/>
      <c r="AG47" s="285"/>
      <c r="AH47" s="285"/>
      <c r="AI47" s="285"/>
      <c r="AJ47" s="288"/>
      <c r="AK47" s="286">
        <f t="shared" ref="AK47:AK52" si="2">COUNTIF(C47:AJ47,"&gt;=R")</f>
        <v>0</v>
      </c>
      <c r="AL47" s="287">
        <f t="shared" ref="AL47:AL52" si="3">AK47</f>
        <v>0</v>
      </c>
    </row>
    <row r="48" spans="1:38" ht="40.049999999999997" customHeight="1" x14ac:dyDescent="0.3">
      <c r="A48" s="308" t="s">
        <v>169</v>
      </c>
      <c r="B48" s="309" t="s">
        <v>170</v>
      </c>
      <c r="C48" s="283" t="s">
        <v>91</v>
      </c>
      <c r="D48" s="284"/>
      <c r="E48" s="285" t="s">
        <v>91</v>
      </c>
      <c r="F48" s="285"/>
      <c r="G48" s="285" t="s">
        <v>46</v>
      </c>
      <c r="H48" s="285"/>
      <c r="I48" s="285" t="s">
        <v>46</v>
      </c>
      <c r="J48" s="285"/>
      <c r="K48" s="285" t="s">
        <v>46</v>
      </c>
      <c r="L48" s="285"/>
      <c r="M48" s="285" t="s">
        <v>55</v>
      </c>
      <c r="N48" s="285"/>
      <c r="O48" s="285" t="s">
        <v>36</v>
      </c>
      <c r="P48" s="285"/>
      <c r="Q48" s="285" t="s">
        <v>91</v>
      </c>
      <c r="R48" s="285"/>
      <c r="S48" s="285" t="s">
        <v>91</v>
      </c>
      <c r="T48" s="285"/>
      <c r="U48" s="285" t="s">
        <v>91</v>
      </c>
      <c r="V48" s="285"/>
      <c r="W48" s="285" t="s">
        <v>91</v>
      </c>
      <c r="X48" s="285"/>
      <c r="Y48" s="285" t="s">
        <v>91</v>
      </c>
      <c r="Z48" s="285"/>
      <c r="AA48" s="285" t="s">
        <v>91</v>
      </c>
      <c r="AB48" s="285"/>
      <c r="AC48" s="285" t="s">
        <v>7</v>
      </c>
      <c r="AD48" s="285"/>
      <c r="AE48" s="285" t="s">
        <v>7</v>
      </c>
      <c r="AF48" s="285"/>
      <c r="AG48" s="285" t="s">
        <v>7</v>
      </c>
      <c r="AH48" s="285"/>
      <c r="AI48" s="285" t="s">
        <v>27</v>
      </c>
      <c r="AJ48" s="288"/>
      <c r="AK48" s="286">
        <f t="shared" si="2"/>
        <v>17</v>
      </c>
      <c r="AL48" s="287">
        <f t="shared" si="3"/>
        <v>17</v>
      </c>
    </row>
    <row r="49" spans="1:38" ht="40.049999999999997" customHeight="1" x14ac:dyDescent="0.3">
      <c r="A49" s="308" t="s">
        <v>171</v>
      </c>
      <c r="B49" s="309" t="s">
        <v>172</v>
      </c>
      <c r="C49" s="283" t="s">
        <v>28</v>
      </c>
      <c r="D49" s="284"/>
      <c r="E49" s="776" t="s">
        <v>413</v>
      </c>
      <c r="F49" s="285"/>
      <c r="G49" s="283" t="s">
        <v>28</v>
      </c>
      <c r="H49" s="285"/>
      <c r="I49" s="283" t="s">
        <v>28</v>
      </c>
      <c r="J49" s="285"/>
      <c r="K49" s="283" t="s">
        <v>28</v>
      </c>
      <c r="L49" s="285"/>
      <c r="M49" s="283" t="s">
        <v>28</v>
      </c>
      <c r="N49" s="285"/>
      <c r="O49" s="283" t="s">
        <v>28</v>
      </c>
      <c r="P49" s="285"/>
      <c r="Q49" s="283" t="s">
        <v>28</v>
      </c>
      <c r="R49" s="285"/>
      <c r="S49" s="285" t="s">
        <v>28</v>
      </c>
      <c r="T49" s="285"/>
      <c r="U49" s="285" t="s">
        <v>28</v>
      </c>
      <c r="V49" s="285"/>
      <c r="W49" s="285" t="s">
        <v>28</v>
      </c>
      <c r="X49" s="285"/>
      <c r="Y49" s="285" t="s">
        <v>28</v>
      </c>
      <c r="Z49" s="285"/>
      <c r="AA49" s="285" t="s">
        <v>28</v>
      </c>
      <c r="AB49" s="285"/>
      <c r="AC49" s="285" t="s">
        <v>28</v>
      </c>
      <c r="AD49" s="285"/>
      <c r="AE49" s="285" t="s">
        <v>28</v>
      </c>
      <c r="AF49" s="285"/>
      <c r="AG49" s="285" t="s">
        <v>28</v>
      </c>
      <c r="AH49" s="285"/>
      <c r="AI49" s="285" t="s">
        <v>28</v>
      </c>
      <c r="AJ49" s="288"/>
      <c r="AK49" s="286">
        <f t="shared" si="2"/>
        <v>17</v>
      </c>
      <c r="AL49" s="287">
        <f t="shared" si="3"/>
        <v>17</v>
      </c>
    </row>
    <row r="50" spans="1:38" ht="40.049999999999997" customHeight="1" x14ac:dyDescent="0.3">
      <c r="A50" s="296" t="s">
        <v>173</v>
      </c>
      <c r="B50" s="297" t="s">
        <v>174</v>
      </c>
      <c r="C50" s="283"/>
      <c r="D50" s="284"/>
      <c r="E50" s="285"/>
      <c r="F50" s="285"/>
      <c r="G50" s="288"/>
      <c r="H50" s="285"/>
      <c r="I50" s="288"/>
      <c r="J50" s="285"/>
      <c r="K50" s="288"/>
      <c r="L50" s="285"/>
      <c r="M50" s="285"/>
      <c r="N50" s="285"/>
      <c r="O50" s="285"/>
      <c r="P50" s="285"/>
      <c r="Q50" s="285"/>
      <c r="R50" s="285"/>
      <c r="S50" s="285"/>
      <c r="T50" s="285"/>
      <c r="U50" s="285"/>
      <c r="V50" s="285"/>
      <c r="W50" s="285"/>
      <c r="X50" s="285"/>
      <c r="Y50" s="307"/>
      <c r="Z50" s="285"/>
      <c r="AA50" s="307"/>
      <c r="AB50" s="285"/>
      <c r="AC50" s="307"/>
      <c r="AD50" s="285"/>
      <c r="AE50" s="288"/>
      <c r="AF50" s="285"/>
      <c r="AG50" s="285"/>
      <c r="AH50" s="285"/>
      <c r="AI50" s="285"/>
      <c r="AJ50" s="288"/>
      <c r="AK50" s="286">
        <f t="shared" si="2"/>
        <v>0</v>
      </c>
      <c r="AL50" s="287">
        <f t="shared" si="3"/>
        <v>0</v>
      </c>
    </row>
    <row r="51" spans="1:38" ht="40.049999999999997" customHeight="1" x14ac:dyDescent="0.3">
      <c r="A51" s="308" t="s">
        <v>175</v>
      </c>
      <c r="B51" s="309" t="s">
        <v>176</v>
      </c>
      <c r="C51" s="283" t="s">
        <v>56</v>
      </c>
      <c r="D51" s="284"/>
      <c r="E51" s="285" t="s">
        <v>67</v>
      </c>
      <c r="F51" s="285"/>
      <c r="G51" s="285" t="s">
        <v>67</v>
      </c>
      <c r="H51" s="285"/>
      <c r="I51" s="285" t="s">
        <v>67</v>
      </c>
      <c r="J51" s="285"/>
      <c r="K51" s="285" t="s">
        <v>67</v>
      </c>
      <c r="L51" s="285"/>
      <c r="M51" s="285" t="s">
        <v>67</v>
      </c>
      <c r="N51" s="285"/>
      <c r="O51" s="285" t="s">
        <v>18</v>
      </c>
      <c r="P51" s="285"/>
      <c r="Q51" s="285" t="s">
        <v>18</v>
      </c>
      <c r="R51" s="285"/>
      <c r="S51" s="285" t="s">
        <v>18</v>
      </c>
      <c r="T51" s="285"/>
      <c r="U51" s="749" t="s">
        <v>8</v>
      </c>
      <c r="V51" s="285"/>
      <c r="W51" s="749" t="s">
        <v>8</v>
      </c>
      <c r="X51" s="285"/>
      <c r="Y51" s="749" t="s">
        <v>8</v>
      </c>
      <c r="Z51" s="285"/>
      <c r="AA51" s="749" t="s">
        <v>8</v>
      </c>
      <c r="AB51" s="285"/>
      <c r="AC51" s="749" t="s">
        <v>8</v>
      </c>
      <c r="AD51" s="285"/>
      <c r="AE51" s="750" t="s">
        <v>8</v>
      </c>
      <c r="AF51" s="285"/>
      <c r="AG51" s="750" t="s">
        <v>8</v>
      </c>
      <c r="AH51" s="285"/>
      <c r="AI51" s="749" t="s">
        <v>8</v>
      </c>
      <c r="AJ51" s="288"/>
      <c r="AK51" s="286">
        <f t="shared" si="2"/>
        <v>17</v>
      </c>
      <c r="AL51" s="287">
        <f t="shared" si="3"/>
        <v>17</v>
      </c>
    </row>
    <row r="52" spans="1:38" ht="40.049999999999997" customHeight="1" x14ac:dyDescent="0.3">
      <c r="A52" s="308" t="s">
        <v>177</v>
      </c>
      <c r="B52" s="309" t="s">
        <v>178</v>
      </c>
      <c r="C52" s="283" t="s">
        <v>56</v>
      </c>
      <c r="D52" s="284"/>
      <c r="E52" s="285" t="s">
        <v>67</v>
      </c>
      <c r="F52" s="285"/>
      <c r="G52" s="285" t="s">
        <v>67</v>
      </c>
      <c r="H52" s="285"/>
      <c r="I52" s="285" t="s">
        <v>67</v>
      </c>
      <c r="J52" s="285"/>
      <c r="K52" s="285" t="s">
        <v>67</v>
      </c>
      <c r="L52" s="285"/>
      <c r="M52" s="285" t="s">
        <v>67</v>
      </c>
      <c r="N52" s="285"/>
      <c r="O52" s="285" t="s">
        <v>67</v>
      </c>
      <c r="P52" s="285"/>
      <c r="Q52" s="285" t="s">
        <v>67</v>
      </c>
      <c r="R52" s="285"/>
      <c r="S52" s="285" t="s">
        <v>67</v>
      </c>
      <c r="T52" s="285"/>
      <c r="U52" s="285" t="s">
        <v>67</v>
      </c>
      <c r="V52" s="285"/>
      <c r="W52" s="285" t="s">
        <v>67</v>
      </c>
      <c r="X52" s="285"/>
      <c r="Y52" s="718" t="s">
        <v>84</v>
      </c>
      <c r="Z52" s="285"/>
      <c r="AA52" s="718" t="s">
        <v>84</v>
      </c>
      <c r="AB52" s="285"/>
      <c r="AC52" s="285" t="s">
        <v>76</v>
      </c>
      <c r="AD52" s="285"/>
      <c r="AE52" s="285" t="s">
        <v>76</v>
      </c>
      <c r="AF52" s="285"/>
      <c r="AG52" s="718" t="s">
        <v>84</v>
      </c>
      <c r="AH52" s="285"/>
      <c r="AI52" s="288" t="s">
        <v>76</v>
      </c>
      <c r="AJ52" s="288"/>
      <c r="AK52" s="286">
        <f t="shared" si="2"/>
        <v>17</v>
      </c>
      <c r="AL52" s="287">
        <f t="shared" si="3"/>
        <v>17</v>
      </c>
    </row>
    <row r="53" spans="1:38" ht="40.049999999999997" customHeight="1" x14ac:dyDescent="0.3">
      <c r="A53" s="296" t="s">
        <v>179</v>
      </c>
      <c r="B53" s="297" t="s">
        <v>180</v>
      </c>
      <c r="C53" s="283"/>
      <c r="D53" s="284"/>
      <c r="E53" s="285"/>
      <c r="F53" s="285"/>
      <c r="G53" s="285"/>
      <c r="H53" s="285"/>
      <c r="I53" s="285"/>
      <c r="J53" s="285"/>
      <c r="K53" s="285"/>
      <c r="L53" s="285"/>
      <c r="M53" s="285"/>
      <c r="N53" s="285"/>
      <c r="O53" s="285"/>
      <c r="P53" s="285"/>
      <c r="Q53" s="285"/>
      <c r="R53" s="285"/>
      <c r="S53" s="285"/>
      <c r="T53" s="285"/>
      <c r="U53" s="285"/>
      <c r="V53" s="285"/>
      <c r="W53" s="307"/>
      <c r="X53" s="285"/>
      <c r="Y53" s="307"/>
      <c r="Z53" s="285"/>
      <c r="AA53" s="307"/>
      <c r="AB53" s="285"/>
      <c r="AC53" s="307"/>
      <c r="AD53" s="285"/>
      <c r="AE53" s="285"/>
      <c r="AF53" s="285"/>
      <c r="AG53" s="288"/>
      <c r="AH53" s="285"/>
      <c r="AI53" s="288"/>
      <c r="AJ53" s="288"/>
      <c r="AK53" s="286"/>
      <c r="AL53" s="287"/>
    </row>
    <row r="54" spans="1:38" ht="40.049999999999997" customHeight="1" x14ac:dyDescent="0.65">
      <c r="A54" s="357" t="s">
        <v>181</v>
      </c>
      <c r="B54" s="890" t="s">
        <v>182</v>
      </c>
      <c r="C54" s="283" t="s">
        <v>56</v>
      </c>
      <c r="D54" s="284"/>
      <c r="E54" s="283"/>
      <c r="F54" s="285"/>
      <c r="G54" s="283"/>
      <c r="H54" s="285"/>
      <c r="I54" s="283"/>
      <c r="J54" s="285"/>
      <c r="K54" s="285"/>
      <c r="L54" s="285"/>
      <c r="M54" s="285"/>
      <c r="N54" s="285"/>
      <c r="O54" s="285"/>
      <c r="P54" s="285"/>
      <c r="Q54" s="285"/>
      <c r="R54" s="285"/>
      <c r="S54" s="283"/>
      <c r="T54" s="285"/>
      <c r="U54" s="283"/>
      <c r="V54" s="285"/>
      <c r="W54" s="726" t="s">
        <v>84</v>
      </c>
      <c r="X54" s="285"/>
      <c r="Y54" s="726" t="s">
        <v>84</v>
      </c>
      <c r="Z54" s="285"/>
      <c r="AA54" s="726" t="s">
        <v>84</v>
      </c>
      <c r="AB54" s="285"/>
      <c r="AC54" s="726" t="s">
        <v>84</v>
      </c>
      <c r="AD54" s="285"/>
      <c r="AE54" s="726" t="s">
        <v>84</v>
      </c>
      <c r="AF54" s="285"/>
      <c r="AG54" s="726" t="s">
        <v>84</v>
      </c>
      <c r="AH54" s="285"/>
      <c r="AI54" s="728" t="s">
        <v>84</v>
      </c>
      <c r="AJ54" s="288"/>
      <c r="AK54" s="286">
        <f>COUNTIF(C54:AJ54,"&gt;=R")</f>
        <v>8</v>
      </c>
      <c r="AL54" s="287">
        <f>AK54</f>
        <v>8</v>
      </c>
    </row>
    <row r="55" spans="1:38" ht="40.049999999999997" customHeight="1" x14ac:dyDescent="0.3">
      <c r="A55" s="289" t="s">
        <v>183</v>
      </c>
      <c r="B55" s="290" t="s">
        <v>184</v>
      </c>
      <c r="C55" s="291"/>
      <c r="D55" s="292"/>
      <c r="E55" s="293"/>
      <c r="F55" s="293"/>
      <c r="G55" s="293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3"/>
      <c r="S55" s="293"/>
      <c r="T55" s="293"/>
      <c r="U55" s="293"/>
      <c r="V55" s="293"/>
      <c r="W55" s="293"/>
      <c r="X55" s="293"/>
      <c r="Y55" s="293"/>
      <c r="Z55" s="293"/>
      <c r="AA55" s="293"/>
      <c r="AB55" s="293"/>
      <c r="AC55" s="293"/>
      <c r="AD55" s="293"/>
      <c r="AE55" s="293"/>
      <c r="AF55" s="293"/>
      <c r="AG55" s="293"/>
      <c r="AH55" s="293"/>
      <c r="AI55" s="294"/>
      <c r="AJ55" s="294"/>
      <c r="AK55" s="293"/>
      <c r="AL55" s="295"/>
    </row>
    <row r="56" spans="1:38" ht="40.049999999999997" customHeight="1" x14ac:dyDescent="0.3">
      <c r="A56" s="281" t="s">
        <v>185</v>
      </c>
      <c r="B56" s="282" t="s">
        <v>186</v>
      </c>
      <c r="C56" s="283" t="s">
        <v>27</v>
      </c>
      <c r="D56" s="284"/>
      <c r="E56" s="285" t="s">
        <v>27</v>
      </c>
      <c r="F56" s="285"/>
      <c r="G56" s="285" t="s">
        <v>27</v>
      </c>
      <c r="H56" s="285"/>
      <c r="I56" s="285" t="s">
        <v>27</v>
      </c>
      <c r="J56" s="285"/>
      <c r="K56" s="285" t="s">
        <v>27</v>
      </c>
      <c r="L56" s="285"/>
      <c r="M56" s="285" t="s">
        <v>27</v>
      </c>
      <c r="N56" s="285"/>
      <c r="O56" s="285" t="s">
        <v>27</v>
      </c>
      <c r="P56" s="285"/>
      <c r="Q56" s="285" t="s">
        <v>27</v>
      </c>
      <c r="R56" s="285"/>
      <c r="S56" s="285" t="s">
        <v>27</v>
      </c>
      <c r="T56" s="285"/>
      <c r="U56" s="285" t="s">
        <v>27</v>
      </c>
      <c r="V56" s="285"/>
      <c r="W56" s="285" t="s">
        <v>37</v>
      </c>
      <c r="X56" s="285"/>
      <c r="Y56" s="285" t="s">
        <v>37</v>
      </c>
      <c r="Z56" s="285"/>
      <c r="AA56" s="285" t="s">
        <v>37</v>
      </c>
      <c r="AB56" s="285"/>
      <c r="AC56" s="285" t="s">
        <v>37</v>
      </c>
      <c r="AD56" s="285"/>
      <c r="AE56" s="285" t="s">
        <v>37</v>
      </c>
      <c r="AF56" s="285"/>
      <c r="AG56" s="285" t="s">
        <v>47</v>
      </c>
      <c r="AH56" s="285"/>
      <c r="AI56" s="288" t="s">
        <v>47</v>
      </c>
      <c r="AJ56" s="288"/>
      <c r="AK56" s="286">
        <f>COUNTIF(C56:AJ56,"&gt;=R")</f>
        <v>17</v>
      </c>
      <c r="AL56" s="287">
        <f>AK56</f>
        <v>17</v>
      </c>
    </row>
    <row r="57" spans="1:38" ht="40.049999999999997" customHeight="1" x14ac:dyDescent="0.3">
      <c r="A57" s="281" t="s">
        <v>187</v>
      </c>
      <c r="B57" s="282" t="s">
        <v>188</v>
      </c>
      <c r="C57" s="283" t="s">
        <v>37</v>
      </c>
      <c r="D57" s="284"/>
      <c r="E57" s="285" t="s">
        <v>37</v>
      </c>
      <c r="F57" s="285"/>
      <c r="G57" s="285" t="s">
        <v>37</v>
      </c>
      <c r="H57" s="285"/>
      <c r="I57" s="285" t="s">
        <v>37</v>
      </c>
      <c r="J57" s="285"/>
      <c r="K57" s="285" t="s">
        <v>37</v>
      </c>
      <c r="L57" s="285"/>
      <c r="M57" s="285" t="s">
        <v>37</v>
      </c>
      <c r="N57" s="285"/>
      <c r="O57" s="285" t="s">
        <v>37</v>
      </c>
      <c r="P57" s="285"/>
      <c r="Q57" s="285" t="s">
        <v>37</v>
      </c>
      <c r="R57" s="285"/>
      <c r="S57" s="285" t="s">
        <v>37</v>
      </c>
      <c r="T57" s="285"/>
      <c r="U57" s="285" t="s">
        <v>37</v>
      </c>
      <c r="V57" s="285"/>
      <c r="W57" s="285" t="s">
        <v>47</v>
      </c>
      <c r="X57" s="285"/>
      <c r="Y57" s="285" t="s">
        <v>47</v>
      </c>
      <c r="Z57" s="285"/>
      <c r="AA57" s="285" t="s">
        <v>47</v>
      </c>
      <c r="AB57" s="285"/>
      <c r="AC57" s="285" t="s">
        <v>47</v>
      </c>
      <c r="AD57" s="285"/>
      <c r="AE57" s="285" t="s">
        <v>47</v>
      </c>
      <c r="AF57" s="285"/>
      <c r="AG57" s="285" t="s">
        <v>47</v>
      </c>
      <c r="AH57" s="285"/>
      <c r="AI57" s="288" t="s">
        <v>47</v>
      </c>
      <c r="AJ57" s="288"/>
      <c r="AK57" s="286">
        <f>COUNTIF(C57:AJ57,"&gt;=R")</f>
        <v>17</v>
      </c>
      <c r="AL57" s="287">
        <f>AK57</f>
        <v>17</v>
      </c>
    </row>
    <row r="58" spans="1:38" ht="40.049999999999997" customHeight="1" x14ac:dyDescent="0.3">
      <c r="A58" s="281" t="s">
        <v>189</v>
      </c>
      <c r="B58" s="282" t="s">
        <v>190</v>
      </c>
      <c r="C58" s="284" t="s">
        <v>47</v>
      </c>
      <c r="D58" s="284"/>
      <c r="E58" s="285" t="s">
        <v>47</v>
      </c>
      <c r="F58" s="285"/>
      <c r="G58" s="285" t="s">
        <v>47</v>
      </c>
      <c r="H58" s="285"/>
      <c r="I58" s="285" t="s">
        <v>47</v>
      </c>
      <c r="J58" s="285"/>
      <c r="K58" s="285" t="s">
        <v>47</v>
      </c>
      <c r="L58" s="285"/>
      <c r="M58" s="285" t="s">
        <v>47</v>
      </c>
      <c r="N58" s="285"/>
      <c r="O58" s="285" t="s">
        <v>47</v>
      </c>
      <c r="P58" s="285"/>
      <c r="Q58" s="285" t="s">
        <v>47</v>
      </c>
      <c r="R58" s="285"/>
      <c r="S58" s="285" t="s">
        <v>47</v>
      </c>
      <c r="T58" s="285"/>
      <c r="U58" s="285" t="s">
        <v>47</v>
      </c>
      <c r="V58" s="285"/>
      <c r="W58" s="285" t="s">
        <v>47</v>
      </c>
      <c r="X58" s="285"/>
      <c r="Y58" s="285" t="s">
        <v>47</v>
      </c>
      <c r="Z58" s="285"/>
      <c r="AA58" s="285" t="s">
        <v>47</v>
      </c>
      <c r="AB58" s="285"/>
      <c r="AC58" s="285" t="s">
        <v>47</v>
      </c>
      <c r="AD58" s="285"/>
      <c r="AE58" s="285" t="s">
        <v>47</v>
      </c>
      <c r="AF58" s="285"/>
      <c r="AG58" s="285" t="s">
        <v>47</v>
      </c>
      <c r="AH58" s="285"/>
      <c r="AI58" s="285" t="s">
        <v>47</v>
      </c>
      <c r="AJ58" s="288"/>
      <c r="AK58" s="286">
        <f>COUNTIF(C58:AJ58,"&gt;=R")</f>
        <v>17</v>
      </c>
      <c r="AL58" s="287">
        <f>AK58</f>
        <v>17</v>
      </c>
    </row>
    <row r="59" spans="1:38" ht="40.049999999999997" customHeight="1" x14ac:dyDescent="0.3">
      <c r="A59" s="281" t="s">
        <v>191</v>
      </c>
      <c r="B59" s="282" t="s">
        <v>192</v>
      </c>
      <c r="C59" s="284"/>
      <c r="D59" s="284"/>
      <c r="E59" s="285"/>
      <c r="F59" s="285"/>
      <c r="G59" s="285"/>
      <c r="H59" s="285"/>
      <c r="I59" s="285"/>
      <c r="J59" s="285"/>
      <c r="K59" s="285"/>
      <c r="L59" s="285"/>
      <c r="M59" s="285"/>
      <c r="N59" s="285"/>
      <c r="O59" s="285"/>
      <c r="P59" s="285"/>
      <c r="Q59" s="285"/>
      <c r="R59" s="285"/>
      <c r="S59" s="285"/>
      <c r="T59" s="285"/>
      <c r="U59" s="285"/>
      <c r="V59" s="285"/>
      <c r="W59" s="307"/>
      <c r="X59" s="285"/>
      <c r="Y59" s="307"/>
      <c r="Z59" s="285"/>
      <c r="AA59" s="285"/>
      <c r="AB59" s="285"/>
      <c r="AC59" s="285"/>
      <c r="AD59" s="285"/>
      <c r="AE59" s="288"/>
      <c r="AF59" s="285"/>
      <c r="AG59" s="285"/>
      <c r="AH59" s="285"/>
      <c r="AI59" s="285"/>
      <c r="AJ59" s="288"/>
      <c r="AK59" s="286">
        <f>COUNTIF(C59:AJ59,"&gt;=R")</f>
        <v>0</v>
      </c>
      <c r="AL59" s="287">
        <f>AK59</f>
        <v>0</v>
      </c>
    </row>
    <row r="60" spans="1:38" ht="40.049999999999997" customHeight="1" x14ac:dyDescent="0.3">
      <c r="A60" s="289" t="s">
        <v>193</v>
      </c>
      <c r="B60" s="290" t="s">
        <v>194</v>
      </c>
      <c r="C60" s="291"/>
      <c r="D60" s="292"/>
      <c r="E60" s="293"/>
      <c r="F60" s="293"/>
      <c r="G60" s="293"/>
      <c r="H60" s="293"/>
      <c r="I60" s="293"/>
      <c r="J60" s="293"/>
      <c r="K60" s="293"/>
      <c r="L60" s="293"/>
      <c r="M60" s="293"/>
      <c r="N60" s="293"/>
      <c r="O60" s="293"/>
      <c r="P60" s="293"/>
      <c r="Q60" s="293"/>
      <c r="R60" s="293"/>
      <c r="S60" s="293"/>
      <c r="T60" s="293"/>
      <c r="U60" s="293"/>
      <c r="V60" s="293"/>
      <c r="W60" s="293"/>
      <c r="X60" s="293"/>
      <c r="Y60" s="293"/>
      <c r="Z60" s="293"/>
      <c r="AA60" s="293"/>
      <c r="AB60" s="293"/>
      <c r="AC60" s="293"/>
      <c r="AD60" s="293"/>
      <c r="AE60" s="293"/>
      <c r="AF60" s="293"/>
      <c r="AG60" s="293"/>
      <c r="AH60" s="293"/>
      <c r="AI60" s="294"/>
      <c r="AJ60" s="294"/>
      <c r="AK60" s="293"/>
      <c r="AL60" s="295"/>
    </row>
    <row r="61" spans="1:38" ht="40.049999999999997" customHeight="1" x14ac:dyDescent="0.3">
      <c r="A61" s="296" t="s">
        <v>195</v>
      </c>
      <c r="B61" s="297" t="s">
        <v>196</v>
      </c>
      <c r="C61" s="283"/>
      <c r="D61" s="284"/>
      <c r="E61" s="285"/>
      <c r="F61" s="285"/>
      <c r="G61" s="288"/>
      <c r="H61" s="285"/>
      <c r="I61" s="288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  <c r="W61" s="307"/>
      <c r="X61" s="285"/>
      <c r="Y61" s="307"/>
      <c r="Z61" s="285"/>
      <c r="AA61" s="307"/>
      <c r="AB61" s="285"/>
      <c r="AC61" s="307"/>
      <c r="AD61" s="285"/>
      <c r="AE61" s="288"/>
      <c r="AF61" s="285"/>
      <c r="AG61" s="285"/>
      <c r="AH61" s="285"/>
      <c r="AI61" s="285"/>
      <c r="AJ61" s="288"/>
      <c r="AK61" s="286"/>
      <c r="AL61" s="287"/>
    </row>
    <row r="62" spans="1:38" ht="40.049999999999997" customHeight="1" x14ac:dyDescent="0.3">
      <c r="A62" s="308" t="s">
        <v>197</v>
      </c>
      <c r="B62" s="309" t="s">
        <v>139</v>
      </c>
      <c r="C62" s="283" t="s">
        <v>46</v>
      </c>
      <c r="D62" s="284"/>
      <c r="E62" s="285" t="s">
        <v>46</v>
      </c>
      <c r="F62" s="285"/>
      <c r="G62" s="285" t="s">
        <v>46</v>
      </c>
      <c r="H62" s="285"/>
      <c r="I62" s="285" t="s">
        <v>46</v>
      </c>
      <c r="J62" s="285"/>
      <c r="K62" s="285" t="s">
        <v>46</v>
      </c>
      <c r="L62" s="285"/>
      <c r="M62" s="285" t="s">
        <v>46</v>
      </c>
      <c r="N62" s="285"/>
      <c r="O62" s="285" t="s">
        <v>46</v>
      </c>
      <c r="P62" s="285"/>
      <c r="Q62" s="285" t="s">
        <v>7</v>
      </c>
      <c r="R62" s="285"/>
      <c r="S62" s="285" t="s">
        <v>7</v>
      </c>
      <c r="T62" s="285"/>
      <c r="U62" s="285" t="s">
        <v>7</v>
      </c>
      <c r="V62" s="285"/>
      <c r="W62" s="285" t="s">
        <v>7</v>
      </c>
      <c r="X62" s="285"/>
      <c r="Y62" s="285" t="s">
        <v>7</v>
      </c>
      <c r="Z62" s="285"/>
      <c r="AA62" s="285" t="s">
        <v>7</v>
      </c>
      <c r="AB62" s="285"/>
      <c r="AC62" s="285" t="s">
        <v>7</v>
      </c>
      <c r="AD62" s="285"/>
      <c r="AE62" s="285" t="s">
        <v>7</v>
      </c>
      <c r="AF62" s="285"/>
      <c r="AG62" s="285" t="s">
        <v>7</v>
      </c>
      <c r="AH62" s="285"/>
      <c r="AI62" s="288" t="s">
        <v>7</v>
      </c>
      <c r="AJ62" s="288"/>
      <c r="AK62" s="286">
        <f>COUNTIF(C62:AJ62,"&gt;=R")</f>
        <v>17</v>
      </c>
      <c r="AL62" s="287">
        <f>AK62</f>
        <v>17</v>
      </c>
    </row>
    <row r="63" spans="1:38" ht="40.049999999999997" customHeight="1" x14ac:dyDescent="0.3">
      <c r="A63" s="296" t="s">
        <v>198</v>
      </c>
      <c r="B63" s="297" t="s">
        <v>199</v>
      </c>
      <c r="C63" s="283"/>
      <c r="D63" s="284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285"/>
      <c r="P63" s="285"/>
      <c r="Q63" s="285"/>
      <c r="R63" s="285"/>
      <c r="S63" s="285"/>
      <c r="T63" s="285"/>
      <c r="U63" s="285"/>
      <c r="V63" s="285"/>
      <c r="W63" s="285"/>
      <c r="X63" s="285"/>
      <c r="Y63" s="285"/>
      <c r="Z63" s="285"/>
      <c r="AA63" s="285"/>
      <c r="AB63" s="285"/>
      <c r="AC63" s="285"/>
      <c r="AD63" s="285"/>
      <c r="AE63" s="285"/>
      <c r="AF63" s="285"/>
      <c r="AG63" s="285"/>
      <c r="AH63" s="285"/>
      <c r="AI63" s="288"/>
      <c r="AJ63" s="288"/>
      <c r="AK63" s="286">
        <f>COUNTIF(C63:AJ63,"&gt;=R")</f>
        <v>0</v>
      </c>
      <c r="AL63" s="287">
        <f>AK63</f>
        <v>0</v>
      </c>
    </row>
    <row r="64" spans="1:38" ht="40.049999999999997" customHeight="1" x14ac:dyDescent="0.3">
      <c r="A64" s="308" t="s">
        <v>200</v>
      </c>
      <c r="B64" s="309" t="s">
        <v>176</v>
      </c>
      <c r="C64" s="283" t="s">
        <v>56</v>
      </c>
      <c r="D64" s="284"/>
      <c r="E64" s="283" t="s">
        <v>56</v>
      </c>
      <c r="F64" s="285"/>
      <c r="G64" s="288" t="s">
        <v>67</v>
      </c>
      <c r="H64" s="285"/>
      <c r="I64" s="285" t="s">
        <v>67</v>
      </c>
      <c r="J64" s="285"/>
      <c r="K64" s="285" t="s">
        <v>67</v>
      </c>
      <c r="L64" s="285"/>
      <c r="M64" s="285" t="s">
        <v>67</v>
      </c>
      <c r="N64" s="285"/>
      <c r="O64" s="285"/>
      <c r="P64" s="285"/>
      <c r="Q64" s="285"/>
      <c r="R64" s="285"/>
      <c r="S64" s="285"/>
      <c r="T64" s="285"/>
      <c r="U64" s="288"/>
      <c r="V64" s="285"/>
      <c r="W64" s="288"/>
      <c r="X64" s="285"/>
      <c r="Y64" s="288"/>
      <c r="Z64" s="285"/>
      <c r="AA64" s="288"/>
      <c r="AB64" s="285"/>
      <c r="AC64" s="288"/>
      <c r="AD64" s="285"/>
      <c r="AE64" s="285"/>
      <c r="AF64" s="285"/>
      <c r="AG64" s="285"/>
      <c r="AH64" s="285"/>
      <c r="AI64" s="288"/>
      <c r="AJ64" s="288"/>
      <c r="AK64" s="286">
        <f>COUNTIF(C64:AJ64,"&gt;=R")</f>
        <v>6</v>
      </c>
      <c r="AL64" s="287">
        <f>AK64</f>
        <v>6</v>
      </c>
    </row>
    <row r="65" spans="1:38" ht="40.049999999999997" customHeight="1" x14ac:dyDescent="0.3">
      <c r="A65" s="296" t="s">
        <v>201</v>
      </c>
      <c r="B65" s="297" t="s">
        <v>202</v>
      </c>
      <c r="C65" s="283"/>
      <c r="D65" s="284"/>
      <c r="E65" s="285"/>
      <c r="F65" s="285"/>
      <c r="G65" s="288"/>
      <c r="H65" s="285"/>
      <c r="I65" s="288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8"/>
      <c r="AF65" s="285"/>
      <c r="AG65" s="285"/>
      <c r="AH65" s="285"/>
      <c r="AI65" s="285"/>
      <c r="AJ65" s="288"/>
      <c r="AK65" s="286">
        <f>COUNTIF(C65:AJ65,"&gt;=R")</f>
        <v>0</v>
      </c>
      <c r="AL65" s="287">
        <f>AK65</f>
        <v>0</v>
      </c>
    </row>
    <row r="66" spans="1:38" ht="40.049999999999997" customHeight="1" x14ac:dyDescent="0.3">
      <c r="A66" s="308" t="s">
        <v>203</v>
      </c>
      <c r="B66" s="309" t="s">
        <v>204</v>
      </c>
      <c r="C66" s="283" t="s">
        <v>67</v>
      </c>
      <c r="D66" s="284"/>
      <c r="E66" s="285" t="s">
        <v>67</v>
      </c>
      <c r="F66" s="285"/>
      <c r="G66" s="285" t="s">
        <v>67</v>
      </c>
      <c r="H66" s="285"/>
      <c r="I66" s="285" t="s">
        <v>67</v>
      </c>
      <c r="J66" s="285"/>
      <c r="K66" s="285" t="s">
        <v>67</v>
      </c>
      <c r="L66" s="285"/>
      <c r="M66" s="285" t="s">
        <v>67</v>
      </c>
      <c r="N66" s="285"/>
      <c r="O66" s="285"/>
      <c r="P66" s="285"/>
      <c r="Q66" s="307"/>
      <c r="R66" s="285"/>
      <c r="S66" s="307"/>
      <c r="T66" s="285"/>
      <c r="U66" s="307"/>
      <c r="V66" s="285"/>
      <c r="W66" s="307"/>
      <c r="X66" s="285"/>
      <c r="Y66" s="307"/>
      <c r="Z66" s="285"/>
      <c r="AA66" s="307"/>
      <c r="AB66" s="285"/>
      <c r="AC66" s="307"/>
      <c r="AD66" s="285"/>
      <c r="AE66" s="307"/>
      <c r="AF66" s="285"/>
      <c r="AG66" s="285"/>
      <c r="AH66" s="285"/>
      <c r="AI66" s="285"/>
      <c r="AJ66" s="288"/>
      <c r="AK66" s="286">
        <f>COUNTIF(C66:AJ66,"&gt;=R")</f>
        <v>6</v>
      </c>
      <c r="AL66" s="287">
        <f>AK66</f>
        <v>6</v>
      </c>
    </row>
    <row r="67" spans="1:38" ht="40.049999999999997" customHeight="1" x14ac:dyDescent="0.3">
      <c r="A67" s="289" t="s">
        <v>205</v>
      </c>
      <c r="B67" s="290" t="s">
        <v>206</v>
      </c>
      <c r="C67" s="291"/>
      <c r="D67" s="292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  <c r="V67" s="293"/>
      <c r="W67" s="293"/>
      <c r="X67" s="293"/>
      <c r="Y67" s="293"/>
      <c r="Z67" s="293"/>
      <c r="AA67" s="293"/>
      <c r="AB67" s="293"/>
      <c r="AC67" s="293"/>
      <c r="AD67" s="293"/>
      <c r="AE67" s="293"/>
      <c r="AF67" s="293"/>
      <c r="AG67" s="293"/>
      <c r="AH67" s="293"/>
      <c r="AI67" s="294"/>
      <c r="AJ67" s="294"/>
      <c r="AK67" s="293"/>
      <c r="AL67" s="295"/>
    </row>
    <row r="68" spans="1:38" ht="40.049999999999997" customHeight="1" x14ac:dyDescent="0.3">
      <c r="A68" s="281" t="s">
        <v>207</v>
      </c>
      <c r="B68" s="282" t="s">
        <v>208</v>
      </c>
      <c r="C68" s="284" t="s">
        <v>47</v>
      </c>
      <c r="D68" s="284"/>
      <c r="E68" s="285" t="s">
        <v>47</v>
      </c>
      <c r="F68" s="285"/>
      <c r="G68" s="285" t="s">
        <v>47</v>
      </c>
      <c r="H68" s="285"/>
      <c r="I68" s="285" t="s">
        <v>47</v>
      </c>
      <c r="J68" s="285"/>
      <c r="K68" s="285" t="s">
        <v>47</v>
      </c>
      <c r="L68" s="285"/>
      <c r="M68" s="285" t="s">
        <v>47</v>
      </c>
      <c r="N68" s="285"/>
      <c r="O68" s="285" t="s">
        <v>47</v>
      </c>
      <c r="P68" s="285"/>
      <c r="Q68" s="285" t="s">
        <v>47</v>
      </c>
      <c r="R68" s="285"/>
      <c r="S68" s="285" t="s">
        <v>47</v>
      </c>
      <c r="T68" s="285"/>
      <c r="U68" s="285" t="s">
        <v>47</v>
      </c>
      <c r="V68" s="285"/>
      <c r="W68" s="285" t="s">
        <v>47</v>
      </c>
      <c r="X68" s="285"/>
      <c r="Y68" s="285" t="s">
        <v>47</v>
      </c>
      <c r="Z68" s="285"/>
      <c r="AA68" s="285" t="s">
        <v>47</v>
      </c>
      <c r="AB68" s="285"/>
      <c r="AC68" s="285" t="s">
        <v>47</v>
      </c>
      <c r="AD68" s="285"/>
      <c r="AE68" s="285" t="s">
        <v>47</v>
      </c>
      <c r="AF68" s="285"/>
      <c r="AG68" s="285" t="s">
        <v>47</v>
      </c>
      <c r="AH68" s="285"/>
      <c r="AI68" s="288" t="s">
        <v>47</v>
      </c>
      <c r="AJ68" s="288"/>
      <c r="AK68" s="286">
        <f>COUNTIF(C68:AJ68,"&gt;=R")</f>
        <v>17</v>
      </c>
      <c r="AL68" s="287">
        <f>AK68</f>
        <v>17</v>
      </c>
    </row>
    <row r="69" spans="1:38" ht="40.049999999999997" customHeight="1" x14ac:dyDescent="0.3">
      <c r="A69" s="289" t="s">
        <v>209</v>
      </c>
      <c r="B69" s="290" t="s">
        <v>210</v>
      </c>
      <c r="C69" s="291"/>
      <c r="D69" s="292"/>
      <c r="E69" s="293"/>
      <c r="F69" s="293"/>
      <c r="G69" s="293"/>
      <c r="H69" s="293"/>
      <c r="I69" s="293"/>
      <c r="J69" s="293"/>
      <c r="K69" s="293"/>
      <c r="L69" s="293"/>
      <c r="M69" s="293"/>
      <c r="N69" s="293"/>
      <c r="O69" s="293"/>
      <c r="P69" s="293"/>
      <c r="Q69" s="293"/>
      <c r="R69" s="293"/>
      <c r="S69" s="293"/>
      <c r="T69" s="293"/>
      <c r="U69" s="293"/>
      <c r="V69" s="293"/>
      <c r="W69" s="293"/>
      <c r="X69" s="293"/>
      <c r="Y69" s="293"/>
      <c r="Z69" s="293"/>
      <c r="AA69" s="293"/>
      <c r="AB69" s="293"/>
      <c r="AC69" s="293"/>
      <c r="AD69" s="293"/>
      <c r="AE69" s="293"/>
      <c r="AF69" s="293"/>
      <c r="AG69" s="293"/>
      <c r="AH69" s="293"/>
      <c r="AI69" s="294"/>
      <c r="AJ69" s="294"/>
      <c r="AK69" s="293"/>
      <c r="AL69" s="295"/>
    </row>
    <row r="70" spans="1:38" ht="40.049999999999997" customHeight="1" x14ac:dyDescent="0.3">
      <c r="A70" s="281" t="s">
        <v>211</v>
      </c>
      <c r="B70" s="282" t="s">
        <v>212</v>
      </c>
      <c r="C70" s="283" t="s">
        <v>92</v>
      </c>
      <c r="D70" s="284"/>
      <c r="E70" s="285" t="s">
        <v>92</v>
      </c>
      <c r="F70" s="285"/>
      <c r="G70" s="750" t="s">
        <v>8</v>
      </c>
      <c r="H70" s="285"/>
      <c r="I70" s="750" t="s">
        <v>8</v>
      </c>
      <c r="J70" s="285"/>
      <c r="K70" s="750" t="s">
        <v>8</v>
      </c>
      <c r="L70" s="285"/>
      <c r="M70" s="750" t="s">
        <v>8</v>
      </c>
      <c r="N70" s="285"/>
      <c r="O70" s="285" t="s">
        <v>18</v>
      </c>
      <c r="P70" s="285"/>
      <c r="Q70" s="285" t="s">
        <v>18</v>
      </c>
      <c r="R70" s="285"/>
      <c r="S70" s="285" t="s">
        <v>18</v>
      </c>
      <c r="T70" s="285"/>
      <c r="U70" s="285" t="s">
        <v>18</v>
      </c>
      <c r="V70" s="285"/>
      <c r="W70" s="285" t="s">
        <v>18</v>
      </c>
      <c r="X70" s="285"/>
      <c r="Y70" s="285" t="s">
        <v>18</v>
      </c>
      <c r="Z70" s="285"/>
      <c r="AA70" s="285" t="s">
        <v>18</v>
      </c>
      <c r="AB70" s="285"/>
      <c r="AC70" s="285" t="s">
        <v>18</v>
      </c>
      <c r="AD70" s="285"/>
      <c r="AE70" s="285" t="s">
        <v>18</v>
      </c>
      <c r="AF70" s="285"/>
      <c r="AG70" s="285" t="s">
        <v>28</v>
      </c>
      <c r="AH70" s="285"/>
      <c r="AI70" s="288" t="s">
        <v>38</v>
      </c>
      <c r="AJ70" s="288"/>
      <c r="AK70" s="286">
        <f>COUNTIF(C70:AJ70,"&gt;=R")</f>
        <v>17</v>
      </c>
      <c r="AL70" s="287">
        <f>AK70</f>
        <v>17</v>
      </c>
    </row>
    <row r="71" spans="1:38" ht="40.049999999999997" customHeight="1" x14ac:dyDescent="0.3">
      <c r="A71" s="281" t="s">
        <v>213</v>
      </c>
      <c r="B71" s="282" t="s">
        <v>214</v>
      </c>
      <c r="C71" s="283" t="s">
        <v>38</v>
      </c>
      <c r="D71" s="284"/>
      <c r="E71" s="299" t="s">
        <v>38</v>
      </c>
      <c r="F71" s="285"/>
      <c r="G71" s="285" t="s">
        <v>18</v>
      </c>
      <c r="H71" s="285"/>
      <c r="I71" s="285" t="s">
        <v>18</v>
      </c>
      <c r="J71" s="285"/>
      <c r="K71" s="285" t="s">
        <v>18</v>
      </c>
      <c r="L71" s="285"/>
      <c r="M71" s="288" t="s">
        <v>18</v>
      </c>
      <c r="N71" s="285"/>
      <c r="O71" s="285" t="s">
        <v>18</v>
      </c>
      <c r="P71" s="285"/>
      <c r="Q71" s="285" t="s">
        <v>18</v>
      </c>
      <c r="R71" s="285"/>
      <c r="S71" s="285" t="s">
        <v>28</v>
      </c>
      <c r="T71" s="285"/>
      <c r="U71" s="285" t="s">
        <v>28</v>
      </c>
      <c r="V71" s="285"/>
      <c r="W71" s="285" t="s">
        <v>38</v>
      </c>
      <c r="X71" s="285"/>
      <c r="Y71" s="285" t="s">
        <v>38</v>
      </c>
      <c r="Z71" s="285"/>
      <c r="AA71" s="285" t="s">
        <v>38</v>
      </c>
      <c r="AB71" s="285"/>
      <c r="AC71" s="285" t="s">
        <v>38</v>
      </c>
      <c r="AD71" s="285"/>
      <c r="AE71" s="285" t="s">
        <v>38</v>
      </c>
      <c r="AF71" s="285"/>
      <c r="AG71" s="285" t="s">
        <v>48</v>
      </c>
      <c r="AH71" s="285"/>
      <c r="AI71" s="285" t="s">
        <v>48</v>
      </c>
      <c r="AJ71" s="288"/>
      <c r="AK71" s="286">
        <f>COUNTIF(C71:AJ71,"&gt;=R")</f>
        <v>17</v>
      </c>
      <c r="AL71" s="287">
        <f>AK71</f>
        <v>17</v>
      </c>
    </row>
    <row r="72" spans="1:38" ht="40.049999999999997" customHeight="1" x14ac:dyDescent="0.3">
      <c r="A72" s="289" t="s">
        <v>215</v>
      </c>
      <c r="B72" s="290" t="s">
        <v>216</v>
      </c>
      <c r="C72" s="291"/>
      <c r="D72" s="292"/>
      <c r="E72" s="293"/>
      <c r="F72" s="293"/>
      <c r="G72" s="293"/>
      <c r="H72" s="293"/>
      <c r="I72" s="293"/>
      <c r="J72" s="293"/>
      <c r="K72" s="293"/>
      <c r="L72" s="293"/>
      <c r="M72" s="293"/>
      <c r="N72" s="293"/>
      <c r="O72" s="293"/>
      <c r="P72" s="293"/>
      <c r="Q72" s="293"/>
      <c r="R72" s="293"/>
      <c r="S72" s="293"/>
      <c r="T72" s="293"/>
      <c r="U72" s="293"/>
      <c r="V72" s="293"/>
      <c r="W72" s="293"/>
      <c r="X72" s="293"/>
      <c r="Y72" s="293"/>
      <c r="Z72" s="293"/>
      <c r="AA72" s="293"/>
      <c r="AB72" s="293"/>
      <c r="AC72" s="293"/>
      <c r="AD72" s="293"/>
      <c r="AE72" s="293"/>
      <c r="AF72" s="293"/>
      <c r="AG72" s="293"/>
      <c r="AH72" s="293"/>
      <c r="AI72" s="294"/>
      <c r="AJ72" s="294"/>
      <c r="AK72" s="293"/>
      <c r="AL72" s="295"/>
    </row>
    <row r="73" spans="1:38" ht="40.049999999999997" customHeight="1" x14ac:dyDescent="0.3">
      <c r="A73" s="281" t="s">
        <v>217</v>
      </c>
      <c r="B73" s="282" t="s">
        <v>218</v>
      </c>
      <c r="C73" s="743" t="s">
        <v>8</v>
      </c>
      <c r="D73" s="284"/>
      <c r="E73" s="743" t="s">
        <v>8</v>
      </c>
      <c r="F73" s="285"/>
      <c r="G73" s="283" t="s">
        <v>18</v>
      </c>
      <c r="H73" s="285"/>
      <c r="I73" s="283" t="s">
        <v>18</v>
      </c>
      <c r="J73" s="285"/>
      <c r="K73" s="285" t="s">
        <v>85</v>
      </c>
      <c r="L73" s="285"/>
      <c r="M73" s="285" t="s">
        <v>85</v>
      </c>
      <c r="N73" s="285"/>
      <c r="O73" s="285" t="s">
        <v>85</v>
      </c>
      <c r="P73" s="285"/>
      <c r="Q73" s="285" t="s">
        <v>85</v>
      </c>
      <c r="R73" s="285"/>
      <c r="S73" s="285" t="s">
        <v>85</v>
      </c>
      <c r="T73" s="288"/>
      <c r="U73" s="285" t="s">
        <v>85</v>
      </c>
      <c r="V73" s="288"/>
      <c r="W73" s="285" t="s">
        <v>68</v>
      </c>
      <c r="X73" s="288"/>
      <c r="Y73" s="307" t="s">
        <v>57</v>
      </c>
      <c r="Z73" s="285"/>
      <c r="AA73" s="307" t="s">
        <v>57</v>
      </c>
      <c r="AB73" s="285"/>
      <c r="AC73" s="307" t="s">
        <v>57</v>
      </c>
      <c r="AD73" s="285"/>
      <c r="AE73" s="283" t="s">
        <v>57</v>
      </c>
      <c r="AF73" s="285"/>
      <c r="AG73" s="307" t="s">
        <v>48</v>
      </c>
      <c r="AH73" s="285"/>
      <c r="AI73" s="283" t="s">
        <v>48</v>
      </c>
      <c r="AJ73" s="288"/>
      <c r="AK73" s="286">
        <f>COUNTIF(C73:AJ73,"&gt;=R")</f>
        <v>17</v>
      </c>
      <c r="AL73" s="287">
        <f>AK73</f>
        <v>17</v>
      </c>
    </row>
    <row r="74" spans="1:38" ht="40.049999999999997" customHeight="1" x14ac:dyDescent="0.3">
      <c r="A74" s="289" t="s">
        <v>219</v>
      </c>
      <c r="B74" s="290" t="s">
        <v>220</v>
      </c>
      <c r="C74" s="291"/>
      <c r="D74" s="292"/>
      <c r="E74" s="293"/>
      <c r="F74" s="293"/>
      <c r="G74" s="293"/>
      <c r="H74" s="293"/>
      <c r="I74" s="293"/>
      <c r="J74" s="293"/>
      <c r="K74" s="293"/>
      <c r="L74" s="293"/>
      <c r="M74" s="293"/>
      <c r="N74" s="293"/>
      <c r="O74" s="293"/>
      <c r="P74" s="293"/>
      <c r="Q74" s="293"/>
      <c r="R74" s="293"/>
      <c r="S74" s="293"/>
      <c r="T74" s="293"/>
      <c r="U74" s="293"/>
      <c r="V74" s="293"/>
      <c r="W74" s="293"/>
      <c r="X74" s="293"/>
      <c r="Y74" s="293"/>
      <c r="Z74" s="293"/>
      <c r="AA74" s="293"/>
      <c r="AB74" s="293"/>
      <c r="AC74" s="293"/>
      <c r="AD74" s="293"/>
      <c r="AE74" s="293"/>
      <c r="AF74" s="293"/>
      <c r="AG74" s="293"/>
      <c r="AH74" s="293"/>
      <c r="AI74" s="294"/>
      <c r="AJ74" s="294"/>
      <c r="AK74" s="293"/>
      <c r="AL74" s="295"/>
    </row>
    <row r="75" spans="1:38" ht="40.049999999999997" customHeight="1" x14ac:dyDescent="0.3">
      <c r="A75" s="281" t="s">
        <v>221</v>
      </c>
      <c r="B75" s="282" t="s">
        <v>222</v>
      </c>
      <c r="C75" s="284" t="s">
        <v>7</v>
      </c>
      <c r="D75" s="284"/>
      <c r="E75" s="285" t="s">
        <v>7</v>
      </c>
      <c r="F75" s="285"/>
      <c r="G75" s="285" t="s">
        <v>7</v>
      </c>
      <c r="H75" s="285"/>
      <c r="I75" s="285" t="s">
        <v>55</v>
      </c>
      <c r="J75" s="285"/>
      <c r="K75" s="285" t="s">
        <v>55</v>
      </c>
      <c r="L75" s="285"/>
      <c r="M75" s="285" t="s">
        <v>55</v>
      </c>
      <c r="N75" s="285"/>
      <c r="O75" s="285" t="s">
        <v>55</v>
      </c>
      <c r="P75" s="285"/>
      <c r="Q75" s="285" t="s">
        <v>7</v>
      </c>
      <c r="R75" s="285"/>
      <c r="S75" s="285" t="s">
        <v>7</v>
      </c>
      <c r="T75" s="285"/>
      <c r="U75" s="285" t="s">
        <v>7</v>
      </c>
      <c r="V75" s="285"/>
      <c r="W75" s="285" t="s">
        <v>7</v>
      </c>
      <c r="X75" s="285"/>
      <c r="Y75" s="285" t="s">
        <v>7</v>
      </c>
      <c r="Z75" s="285"/>
      <c r="AA75" s="288" t="s">
        <v>7</v>
      </c>
      <c r="AB75" s="285"/>
      <c r="AC75" s="285" t="s">
        <v>7</v>
      </c>
      <c r="AD75" s="285"/>
      <c r="AE75" s="285" t="s">
        <v>7</v>
      </c>
      <c r="AF75" s="285"/>
      <c r="AG75" s="285" t="s">
        <v>7</v>
      </c>
      <c r="AH75" s="285"/>
      <c r="AI75" s="288" t="s">
        <v>27</v>
      </c>
      <c r="AJ75" s="288"/>
      <c r="AK75" s="286">
        <f>COUNTIF(C75:AJ75,"&gt;=R")</f>
        <v>17</v>
      </c>
      <c r="AL75" s="287">
        <f>AK75</f>
        <v>17</v>
      </c>
    </row>
    <row r="76" spans="1:38" ht="40.049999999999997" customHeight="1" x14ac:dyDescent="0.3">
      <c r="A76" s="300" t="s">
        <v>223</v>
      </c>
      <c r="B76" s="301" t="s">
        <v>224</v>
      </c>
      <c r="C76" s="285"/>
      <c r="D76" s="285"/>
      <c r="E76" s="285"/>
      <c r="F76" s="285"/>
      <c r="G76" s="285"/>
      <c r="H76" s="285"/>
      <c r="I76" s="285"/>
      <c r="J76" s="285"/>
      <c r="K76" s="285"/>
      <c r="L76" s="285"/>
      <c r="M76" s="285"/>
      <c r="N76" s="285"/>
      <c r="O76" s="285"/>
      <c r="P76" s="285"/>
      <c r="Q76" s="285"/>
      <c r="R76" s="285"/>
      <c r="S76" s="285"/>
      <c r="T76" s="285"/>
      <c r="U76" s="285"/>
      <c r="V76" s="285"/>
      <c r="W76" s="285"/>
      <c r="X76" s="285"/>
      <c r="Y76" s="285"/>
      <c r="Z76" s="285"/>
      <c r="AA76" s="285"/>
      <c r="AB76" s="285"/>
      <c r="AC76" s="285"/>
      <c r="AD76" s="285"/>
      <c r="AE76" s="285"/>
      <c r="AF76" s="285"/>
      <c r="AG76" s="285"/>
      <c r="AH76" s="285"/>
      <c r="AI76" s="285"/>
      <c r="AJ76" s="288"/>
      <c r="AK76" s="286"/>
      <c r="AL76" s="287"/>
    </row>
    <row r="77" spans="1:38" ht="40.049999999999997" customHeight="1" x14ac:dyDescent="0.3">
      <c r="A77" s="281" t="s">
        <v>225</v>
      </c>
      <c r="B77" s="282" t="s">
        <v>226</v>
      </c>
      <c r="C77" s="284" t="s">
        <v>7</v>
      </c>
      <c r="D77" s="284"/>
      <c r="E77" s="285" t="s">
        <v>7</v>
      </c>
      <c r="F77" s="285"/>
      <c r="G77" s="285" t="s">
        <v>7</v>
      </c>
      <c r="H77" s="285"/>
      <c r="I77" s="285" t="s">
        <v>55</v>
      </c>
      <c r="J77" s="285"/>
      <c r="K77" s="285" t="s">
        <v>55</v>
      </c>
      <c r="L77" s="285"/>
      <c r="M77" s="285" t="s">
        <v>55</v>
      </c>
      <c r="N77" s="285"/>
      <c r="O77" s="285" t="s">
        <v>55</v>
      </c>
      <c r="P77" s="285"/>
      <c r="Q77" s="285" t="s">
        <v>7</v>
      </c>
      <c r="R77" s="285"/>
      <c r="S77" s="285" t="s">
        <v>7</v>
      </c>
      <c r="T77" s="285"/>
      <c r="U77" s="285" t="s">
        <v>7</v>
      </c>
      <c r="V77" s="285"/>
      <c r="W77" s="285" t="s">
        <v>7</v>
      </c>
      <c r="X77" s="285"/>
      <c r="Y77" s="285" t="s">
        <v>7</v>
      </c>
      <c r="Z77" s="285"/>
      <c r="AA77" s="288" t="s">
        <v>7</v>
      </c>
      <c r="AB77" s="285"/>
      <c r="AC77" s="285" t="s">
        <v>7</v>
      </c>
      <c r="AD77" s="285"/>
      <c r="AE77" s="285" t="s">
        <v>7</v>
      </c>
      <c r="AF77" s="285"/>
      <c r="AG77" s="285" t="s">
        <v>7</v>
      </c>
      <c r="AH77" s="285"/>
      <c r="AI77" s="285" t="s">
        <v>27</v>
      </c>
      <c r="AJ77" s="288"/>
      <c r="AK77" s="286">
        <f>COUNTIF(C77:AJ77,"&gt;=R")</f>
        <v>17</v>
      </c>
      <c r="AL77" s="287">
        <f>AK77</f>
        <v>17</v>
      </c>
    </row>
    <row r="78" spans="1:38" ht="40.049999999999997" customHeight="1" x14ac:dyDescent="0.3">
      <c r="A78" s="281" t="s">
        <v>227</v>
      </c>
      <c r="B78" s="282" t="s">
        <v>228</v>
      </c>
      <c r="C78" s="283"/>
      <c r="D78" s="284"/>
      <c r="E78" s="283"/>
      <c r="F78" s="285"/>
      <c r="G78" s="283"/>
      <c r="H78" s="285"/>
      <c r="I78" s="283"/>
      <c r="J78" s="285"/>
      <c r="K78" s="283"/>
      <c r="L78" s="285"/>
      <c r="M78" s="283"/>
      <c r="N78" s="285"/>
      <c r="O78" s="283"/>
      <c r="P78" s="285"/>
      <c r="Q78" s="285"/>
      <c r="R78" s="285"/>
      <c r="S78" s="285"/>
      <c r="T78" s="285"/>
      <c r="U78" s="285"/>
      <c r="V78" s="285"/>
      <c r="W78" s="285"/>
      <c r="X78" s="285"/>
      <c r="Y78" s="285"/>
      <c r="Z78" s="285"/>
      <c r="AA78" s="285"/>
      <c r="AB78" s="285"/>
      <c r="AC78" s="285"/>
      <c r="AD78" s="285"/>
      <c r="AE78" s="285"/>
      <c r="AF78" s="285"/>
      <c r="AG78" s="285"/>
      <c r="AH78" s="285"/>
      <c r="AI78" s="283"/>
      <c r="AJ78" s="288"/>
      <c r="AK78" s="286">
        <f>COUNTIF(C78:AJ78,"&gt;=R")</f>
        <v>0</v>
      </c>
      <c r="AL78" s="287">
        <f>AK78</f>
        <v>0</v>
      </c>
    </row>
    <row r="79" spans="1:38" ht="40.049999999999997" customHeight="1" x14ac:dyDescent="0.3">
      <c r="A79" s="281" t="s">
        <v>229</v>
      </c>
      <c r="B79" s="282" t="s">
        <v>230</v>
      </c>
      <c r="C79" s="283"/>
      <c r="D79" s="284"/>
      <c r="E79" s="283"/>
      <c r="F79" s="285"/>
      <c r="G79" s="283"/>
      <c r="H79" s="285"/>
      <c r="I79" s="283"/>
      <c r="J79" s="285"/>
      <c r="K79" s="283"/>
      <c r="L79" s="285"/>
      <c r="M79" s="283"/>
      <c r="N79" s="285"/>
      <c r="O79" s="283"/>
      <c r="P79" s="285"/>
      <c r="Q79" s="285"/>
      <c r="R79" s="285"/>
      <c r="S79" s="285"/>
      <c r="T79" s="285"/>
      <c r="U79" s="285"/>
      <c r="V79" s="285"/>
      <c r="W79" s="285"/>
      <c r="X79" s="285"/>
      <c r="Y79" s="285"/>
      <c r="Z79" s="285"/>
      <c r="AA79" s="285"/>
      <c r="AB79" s="285"/>
      <c r="AC79" s="285"/>
      <c r="AD79" s="285"/>
      <c r="AE79" s="285"/>
      <c r="AF79" s="285"/>
      <c r="AG79" s="285"/>
      <c r="AH79" s="285"/>
      <c r="AI79" s="283"/>
      <c r="AJ79" s="288"/>
      <c r="AK79" s="286">
        <f>COUNTIF(C79:AJ79,"&gt;=R")</f>
        <v>0</v>
      </c>
      <c r="AL79" s="287">
        <f>AK79</f>
        <v>0</v>
      </c>
    </row>
    <row r="80" spans="1:38" ht="40.049999999999997" customHeight="1" x14ac:dyDescent="0.3">
      <c r="A80" s="281" t="s">
        <v>231</v>
      </c>
      <c r="B80" s="282" t="s">
        <v>232</v>
      </c>
      <c r="C80" s="283" t="s">
        <v>7</v>
      </c>
      <c r="D80" s="283"/>
      <c r="E80" s="307" t="s">
        <v>7</v>
      </c>
      <c r="F80" s="285"/>
      <c r="G80" s="285" t="s">
        <v>7</v>
      </c>
      <c r="H80" s="285"/>
      <c r="I80" s="285" t="s">
        <v>55</v>
      </c>
      <c r="J80" s="285"/>
      <c r="K80" s="285" t="s">
        <v>55</v>
      </c>
      <c r="L80" s="285"/>
      <c r="M80" s="285" t="s">
        <v>55</v>
      </c>
      <c r="N80" s="285"/>
      <c r="O80" s="285" t="s">
        <v>55</v>
      </c>
      <c r="P80" s="285"/>
      <c r="Q80" s="285" t="s">
        <v>7</v>
      </c>
      <c r="R80" s="285"/>
      <c r="S80" s="285" t="s">
        <v>7</v>
      </c>
      <c r="T80" s="285"/>
      <c r="U80" s="285" t="s">
        <v>7</v>
      </c>
      <c r="V80" s="285"/>
      <c r="W80" s="285" t="s">
        <v>7</v>
      </c>
      <c r="X80" s="285"/>
      <c r="Y80" s="285" t="s">
        <v>7</v>
      </c>
      <c r="Z80" s="285"/>
      <c r="AA80" s="288" t="s">
        <v>7</v>
      </c>
      <c r="AB80" s="285"/>
      <c r="AC80" s="285" t="s">
        <v>7</v>
      </c>
      <c r="AD80" s="285"/>
      <c r="AE80" s="285" t="s">
        <v>7</v>
      </c>
      <c r="AF80" s="285"/>
      <c r="AG80" s="285" t="s">
        <v>7</v>
      </c>
      <c r="AH80" s="285"/>
      <c r="AI80" s="285" t="s">
        <v>27</v>
      </c>
      <c r="AJ80" s="288"/>
      <c r="AK80" s="286">
        <f>COUNTIF(C80:AJ80,"&gt;=R")</f>
        <v>17</v>
      </c>
      <c r="AL80" s="287">
        <f>AK80</f>
        <v>17</v>
      </c>
    </row>
    <row r="81" spans="1:38" ht="40.049999999999997" customHeight="1" x14ac:dyDescent="0.65">
      <c r="A81" s="357" t="s">
        <v>233</v>
      </c>
      <c r="B81" s="890" t="s">
        <v>234</v>
      </c>
      <c r="C81" s="283" t="s">
        <v>7</v>
      </c>
      <c r="D81" s="283"/>
      <c r="E81" s="307" t="s">
        <v>7</v>
      </c>
      <c r="F81" s="285"/>
      <c r="G81" s="285" t="s">
        <v>7</v>
      </c>
      <c r="H81" s="285"/>
      <c r="I81" s="285" t="s">
        <v>55</v>
      </c>
      <c r="J81" s="285"/>
      <c r="K81" s="285" t="s">
        <v>55</v>
      </c>
      <c r="L81" s="285"/>
      <c r="M81" s="285" t="s">
        <v>55</v>
      </c>
      <c r="N81" s="285"/>
      <c r="O81" s="285" t="s">
        <v>55</v>
      </c>
      <c r="P81" s="285"/>
      <c r="Q81" s="285" t="s">
        <v>7</v>
      </c>
      <c r="R81" s="285"/>
      <c r="S81" s="285" t="s">
        <v>7</v>
      </c>
      <c r="T81" s="285"/>
      <c r="U81" s="285" t="s">
        <v>7</v>
      </c>
      <c r="V81" s="285"/>
      <c r="W81" s="285" t="s">
        <v>7</v>
      </c>
      <c r="X81" s="285"/>
      <c r="Y81" s="285" t="s">
        <v>7</v>
      </c>
      <c r="Z81" s="285"/>
      <c r="AA81" s="288" t="s">
        <v>7</v>
      </c>
      <c r="AB81" s="285"/>
      <c r="AC81" s="285" t="s">
        <v>7</v>
      </c>
      <c r="AD81" s="285"/>
      <c r="AE81" s="285" t="s">
        <v>7</v>
      </c>
      <c r="AF81" s="285"/>
      <c r="AG81" s="285" t="s">
        <v>7</v>
      </c>
      <c r="AH81" s="285"/>
      <c r="AI81" s="285" t="s">
        <v>27</v>
      </c>
      <c r="AJ81" s="288"/>
      <c r="AK81" s="286">
        <f>COUNTIF(C81:AJ81,"&gt;=R")</f>
        <v>17</v>
      </c>
      <c r="AL81" s="287">
        <f>AK81</f>
        <v>17</v>
      </c>
    </row>
    <row r="82" spans="1:38" ht="40.049999999999997" customHeight="1" x14ac:dyDescent="0.3">
      <c r="A82" s="289" t="s">
        <v>235</v>
      </c>
      <c r="B82" s="290" t="s">
        <v>236</v>
      </c>
      <c r="C82" s="291"/>
      <c r="D82" s="292"/>
      <c r="E82" s="293"/>
      <c r="F82" s="293"/>
      <c r="G82" s="293"/>
      <c r="H82" s="293"/>
      <c r="I82" s="293"/>
      <c r="J82" s="293"/>
      <c r="K82" s="293"/>
      <c r="L82" s="293"/>
      <c r="M82" s="293"/>
      <c r="N82" s="293"/>
      <c r="O82" s="293"/>
      <c r="P82" s="293"/>
      <c r="Q82" s="293"/>
      <c r="R82" s="293"/>
      <c r="S82" s="293"/>
      <c r="T82" s="293"/>
      <c r="U82" s="293"/>
      <c r="V82" s="293"/>
      <c r="W82" s="293"/>
      <c r="X82" s="293"/>
      <c r="Y82" s="293"/>
      <c r="Z82" s="293"/>
      <c r="AA82" s="293"/>
      <c r="AB82" s="293"/>
      <c r="AC82" s="293"/>
      <c r="AD82" s="293"/>
      <c r="AE82" s="293"/>
      <c r="AF82" s="293"/>
      <c r="AG82" s="293"/>
      <c r="AH82" s="293"/>
      <c r="AI82" s="294"/>
      <c r="AJ82" s="294"/>
      <c r="AK82" s="293"/>
      <c r="AL82" s="295"/>
    </row>
    <row r="83" spans="1:38" ht="40.049999999999997" customHeight="1" x14ac:dyDescent="0.3">
      <c r="A83" s="296" t="s">
        <v>237</v>
      </c>
      <c r="B83" s="297" t="s">
        <v>238</v>
      </c>
      <c r="C83" s="283"/>
      <c r="D83" s="283"/>
      <c r="E83" s="299"/>
      <c r="F83" s="285"/>
      <c r="G83" s="285"/>
      <c r="H83" s="285"/>
      <c r="I83" s="285"/>
      <c r="J83" s="285"/>
      <c r="K83" s="285"/>
      <c r="L83" s="285"/>
      <c r="M83" s="285"/>
      <c r="N83" s="285"/>
      <c r="O83" s="285"/>
      <c r="P83" s="285"/>
      <c r="Q83" s="285"/>
      <c r="R83" s="285"/>
      <c r="S83" s="285"/>
      <c r="T83" s="285"/>
      <c r="U83" s="285"/>
      <c r="V83" s="285"/>
      <c r="W83" s="285"/>
      <c r="X83" s="285"/>
      <c r="Y83" s="285"/>
      <c r="Z83" s="285"/>
      <c r="AA83" s="285"/>
      <c r="AB83" s="285"/>
      <c r="AC83" s="285"/>
      <c r="AD83" s="285"/>
      <c r="AE83" s="285"/>
      <c r="AF83" s="285"/>
      <c r="AG83" s="285"/>
      <c r="AH83" s="285"/>
      <c r="AI83" s="288"/>
      <c r="AJ83" s="288"/>
      <c r="AK83" s="286"/>
      <c r="AL83" s="287"/>
    </row>
    <row r="84" spans="1:38" ht="40.049999999999997" customHeight="1" x14ac:dyDescent="0.3">
      <c r="A84" s="281" t="s">
        <v>239</v>
      </c>
      <c r="B84" s="282" t="s">
        <v>139</v>
      </c>
      <c r="C84" s="284" t="s">
        <v>48</v>
      </c>
      <c r="D84" s="283"/>
      <c r="E84" s="285" t="s">
        <v>48</v>
      </c>
      <c r="F84" s="285"/>
      <c r="G84" s="285" t="s">
        <v>28</v>
      </c>
      <c r="H84" s="285"/>
      <c r="I84" s="285" t="s">
        <v>28</v>
      </c>
      <c r="J84" s="285"/>
      <c r="K84" s="285" t="s">
        <v>28</v>
      </c>
      <c r="L84" s="285"/>
      <c r="M84" s="285" t="s">
        <v>28</v>
      </c>
      <c r="N84" s="285"/>
      <c r="O84" s="285" t="s">
        <v>28</v>
      </c>
      <c r="P84" s="285"/>
      <c r="Q84" s="285" t="s">
        <v>28</v>
      </c>
      <c r="R84" s="285"/>
      <c r="S84" s="285" t="s">
        <v>28</v>
      </c>
      <c r="T84" s="285"/>
      <c r="U84" s="285" t="s">
        <v>28</v>
      </c>
      <c r="V84" s="285"/>
      <c r="W84" s="285" t="s">
        <v>48</v>
      </c>
      <c r="X84" s="285"/>
      <c r="Y84" s="283" t="s">
        <v>48</v>
      </c>
      <c r="Z84" s="285"/>
      <c r="AA84" s="283" t="s">
        <v>48</v>
      </c>
      <c r="AB84" s="285"/>
      <c r="AC84" s="283" t="s">
        <v>48</v>
      </c>
      <c r="AD84" s="285"/>
      <c r="AE84" s="283" t="s">
        <v>48</v>
      </c>
      <c r="AF84" s="285"/>
      <c r="AG84" s="283" t="s">
        <v>48</v>
      </c>
      <c r="AH84" s="285"/>
      <c r="AI84" s="283" t="s">
        <v>48</v>
      </c>
      <c r="AJ84" s="288"/>
      <c r="AK84" s="286">
        <f>COUNTIF(C84:AJ84,"&gt;=R")</f>
        <v>17</v>
      </c>
      <c r="AL84" s="287">
        <f>AK84</f>
        <v>17</v>
      </c>
    </row>
    <row r="85" spans="1:38" ht="40.049999999999997" customHeight="1" x14ac:dyDescent="0.3">
      <c r="A85" s="296" t="s">
        <v>240</v>
      </c>
      <c r="B85" s="297" t="s">
        <v>241</v>
      </c>
      <c r="C85" s="283"/>
      <c r="D85" s="283"/>
      <c r="E85" s="285"/>
      <c r="F85" s="285"/>
      <c r="G85" s="285"/>
      <c r="H85" s="285"/>
      <c r="I85" s="285"/>
      <c r="J85" s="285"/>
      <c r="K85" s="285"/>
      <c r="L85" s="285"/>
      <c r="M85" s="285"/>
      <c r="N85" s="285"/>
      <c r="O85" s="285"/>
      <c r="P85" s="285"/>
      <c r="Q85" s="285"/>
      <c r="R85" s="285"/>
      <c r="S85" s="285"/>
      <c r="T85" s="285"/>
      <c r="U85" s="285"/>
      <c r="V85" s="285"/>
      <c r="W85" s="285"/>
      <c r="X85" s="285"/>
      <c r="Y85" s="285"/>
      <c r="Z85" s="285"/>
      <c r="AA85" s="285"/>
      <c r="AB85" s="285"/>
      <c r="AC85" s="285"/>
      <c r="AD85" s="285"/>
      <c r="AE85" s="285"/>
      <c r="AF85" s="285"/>
      <c r="AG85" s="285"/>
      <c r="AH85" s="285"/>
      <c r="AI85" s="285"/>
      <c r="AJ85" s="288"/>
      <c r="AK85" s="286"/>
      <c r="AL85" s="287"/>
    </row>
    <row r="86" spans="1:38" ht="40.049999999999997" customHeight="1" x14ac:dyDescent="0.3">
      <c r="A86" s="308" t="s">
        <v>242</v>
      </c>
      <c r="B86" s="309" t="s">
        <v>243</v>
      </c>
      <c r="C86" s="284" t="s">
        <v>48</v>
      </c>
      <c r="D86" s="283"/>
      <c r="E86" s="285" t="s">
        <v>48</v>
      </c>
      <c r="F86" s="285"/>
      <c r="G86" s="285" t="s">
        <v>28</v>
      </c>
      <c r="H86" s="285"/>
      <c r="I86" s="285" t="s">
        <v>28</v>
      </c>
      <c r="J86" s="285"/>
      <c r="K86" s="285" t="s">
        <v>28</v>
      </c>
      <c r="L86" s="285"/>
      <c r="M86" s="285" t="s">
        <v>28</v>
      </c>
      <c r="N86" s="285"/>
      <c r="O86" s="285" t="s">
        <v>28</v>
      </c>
      <c r="P86" s="285"/>
      <c r="Q86" s="285" t="s">
        <v>28</v>
      </c>
      <c r="R86" s="285"/>
      <c r="S86" s="285" t="s">
        <v>28</v>
      </c>
      <c r="T86" s="285"/>
      <c r="U86" s="285" t="s">
        <v>28</v>
      </c>
      <c r="V86" s="285"/>
      <c r="W86" s="285" t="s">
        <v>48</v>
      </c>
      <c r="X86" s="285"/>
      <c r="Y86" s="283" t="s">
        <v>48</v>
      </c>
      <c r="Z86" s="285"/>
      <c r="AA86" s="283" t="s">
        <v>48</v>
      </c>
      <c r="AB86" s="285"/>
      <c r="AC86" s="283" t="s">
        <v>48</v>
      </c>
      <c r="AD86" s="285"/>
      <c r="AE86" s="283" t="s">
        <v>48</v>
      </c>
      <c r="AF86" s="285"/>
      <c r="AG86" s="283" t="s">
        <v>48</v>
      </c>
      <c r="AH86" s="285"/>
      <c r="AI86" s="283" t="s">
        <v>48</v>
      </c>
      <c r="AJ86" s="288"/>
      <c r="AK86" s="286">
        <f>COUNTIF(C86:AJ86,"&gt;=R")</f>
        <v>17</v>
      </c>
      <c r="AL86" s="287">
        <f>AK86</f>
        <v>17</v>
      </c>
    </row>
    <row r="87" spans="1:38" ht="40.049999999999997" customHeight="1" x14ac:dyDescent="0.3">
      <c r="A87" s="308" t="s">
        <v>244</v>
      </c>
      <c r="B87" s="309" t="s">
        <v>245</v>
      </c>
      <c r="C87" s="283"/>
      <c r="D87" s="283"/>
      <c r="E87" s="299"/>
      <c r="F87" s="285"/>
      <c r="G87" s="285"/>
      <c r="H87" s="285"/>
      <c r="I87" s="285"/>
      <c r="J87" s="285"/>
      <c r="K87" s="285"/>
      <c r="L87" s="285"/>
      <c r="M87" s="285"/>
      <c r="N87" s="285"/>
      <c r="O87" s="285"/>
      <c r="P87" s="285"/>
      <c r="Q87" s="285"/>
      <c r="R87" s="285"/>
      <c r="S87" s="285"/>
      <c r="T87" s="285"/>
      <c r="U87" s="285"/>
      <c r="V87" s="285"/>
      <c r="W87" s="285"/>
      <c r="X87" s="285"/>
      <c r="Y87" s="285"/>
      <c r="Z87" s="285"/>
      <c r="AA87" s="285"/>
      <c r="AB87" s="285"/>
      <c r="AC87" s="285"/>
      <c r="AD87" s="285"/>
      <c r="AE87" s="285"/>
      <c r="AF87" s="285"/>
      <c r="AG87" s="285"/>
      <c r="AH87" s="285"/>
      <c r="AI87" s="288"/>
      <c r="AJ87" s="288"/>
      <c r="AK87" s="286">
        <f>COUNTIF(C87:AJ87,"&gt;=R")</f>
        <v>0</v>
      </c>
      <c r="AL87" s="287">
        <f>AK87</f>
        <v>0</v>
      </c>
    </row>
    <row r="88" spans="1:38" ht="40.049999999999997" customHeight="1" x14ac:dyDescent="0.3">
      <c r="A88" s="296" t="s">
        <v>246</v>
      </c>
      <c r="B88" s="297" t="s">
        <v>247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307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5"/>
      <c r="Z88" s="285"/>
      <c r="AA88" s="285"/>
      <c r="AB88" s="285"/>
      <c r="AC88" s="285"/>
      <c r="AD88" s="285"/>
      <c r="AE88" s="285"/>
      <c r="AF88" s="285"/>
      <c r="AG88" s="285"/>
      <c r="AH88" s="285"/>
      <c r="AI88" s="285"/>
      <c r="AJ88" s="288"/>
      <c r="AK88" s="286"/>
      <c r="AL88" s="287"/>
    </row>
    <row r="89" spans="1:38" ht="40.049999999999997" customHeight="1" x14ac:dyDescent="0.3">
      <c r="A89" s="308" t="s">
        <v>248</v>
      </c>
      <c r="B89" s="309" t="s">
        <v>249</v>
      </c>
      <c r="C89" s="284" t="s">
        <v>18</v>
      </c>
      <c r="D89" s="283"/>
      <c r="E89" s="285" t="s">
        <v>18</v>
      </c>
      <c r="F89" s="285"/>
      <c r="G89" s="285" t="s">
        <v>18</v>
      </c>
      <c r="H89" s="285"/>
      <c r="I89" s="285" t="s">
        <v>18</v>
      </c>
      <c r="J89" s="285"/>
      <c r="K89" s="285" t="s">
        <v>18</v>
      </c>
      <c r="L89" s="285"/>
      <c r="M89" s="285" t="s">
        <v>68</v>
      </c>
      <c r="N89" s="285"/>
      <c r="O89" s="285" t="s">
        <v>18</v>
      </c>
      <c r="P89" s="285"/>
      <c r="Q89" s="285" t="s">
        <v>68</v>
      </c>
      <c r="R89" s="285"/>
      <c r="S89" s="285" t="s">
        <v>68</v>
      </c>
      <c r="T89" s="285"/>
      <c r="U89" s="285" t="s">
        <v>18</v>
      </c>
      <c r="V89" s="285"/>
      <c r="W89" s="285" t="s">
        <v>18</v>
      </c>
      <c r="X89" s="285"/>
      <c r="Y89" s="283" t="s">
        <v>68</v>
      </c>
      <c r="Z89" s="285"/>
      <c r="AA89" s="283" t="s">
        <v>68</v>
      </c>
      <c r="AB89" s="285"/>
      <c r="AC89" s="283" t="s">
        <v>18</v>
      </c>
      <c r="AD89" s="285"/>
      <c r="AE89" s="283" t="s">
        <v>18</v>
      </c>
      <c r="AF89" s="285"/>
      <c r="AG89" s="283" t="s">
        <v>68</v>
      </c>
      <c r="AH89" s="285"/>
      <c r="AI89" s="283" t="s">
        <v>18</v>
      </c>
      <c r="AJ89" s="288"/>
      <c r="AK89" s="286">
        <f>COUNTIF(C89:AJ89,"&gt;=R")</f>
        <v>17</v>
      </c>
      <c r="AL89" s="287">
        <f>AK89</f>
        <v>17</v>
      </c>
    </row>
    <row r="90" spans="1:38" ht="40.049999999999997" customHeight="1" x14ac:dyDescent="0.3">
      <c r="A90" s="308" t="s">
        <v>250</v>
      </c>
      <c r="B90" s="309" t="s">
        <v>251</v>
      </c>
      <c r="C90" s="284" t="s">
        <v>18</v>
      </c>
      <c r="D90" s="283"/>
      <c r="E90" s="285" t="s">
        <v>18</v>
      </c>
      <c r="F90" s="285"/>
      <c r="G90" s="285" t="s">
        <v>18</v>
      </c>
      <c r="H90" s="285"/>
      <c r="I90" s="285" t="s">
        <v>18</v>
      </c>
      <c r="J90" s="285"/>
      <c r="K90" s="285" t="s">
        <v>18</v>
      </c>
      <c r="L90" s="285"/>
      <c r="M90" s="285" t="s">
        <v>68</v>
      </c>
      <c r="N90" s="285"/>
      <c r="O90" s="285" t="s">
        <v>18</v>
      </c>
      <c r="P90" s="285"/>
      <c r="Q90" s="285" t="s">
        <v>68</v>
      </c>
      <c r="R90" s="285"/>
      <c r="S90" s="285" t="s">
        <v>68</v>
      </c>
      <c r="T90" s="285"/>
      <c r="U90" s="285" t="s">
        <v>18</v>
      </c>
      <c r="V90" s="285"/>
      <c r="W90" s="285" t="s">
        <v>18</v>
      </c>
      <c r="X90" s="285"/>
      <c r="Y90" s="283" t="s">
        <v>68</v>
      </c>
      <c r="Z90" s="285"/>
      <c r="AA90" s="283" t="s">
        <v>68</v>
      </c>
      <c r="AB90" s="285"/>
      <c r="AC90" s="283" t="s">
        <v>18</v>
      </c>
      <c r="AD90" s="285"/>
      <c r="AE90" s="283" t="s">
        <v>18</v>
      </c>
      <c r="AF90" s="285"/>
      <c r="AG90" s="283" t="s">
        <v>68</v>
      </c>
      <c r="AH90" s="285"/>
      <c r="AI90" s="283" t="s">
        <v>18</v>
      </c>
      <c r="AJ90" s="288"/>
      <c r="AK90" s="286">
        <f>COUNTIF(C90:AJ90,"&gt;=R")</f>
        <v>17</v>
      </c>
      <c r="AL90" s="287">
        <f>AK90</f>
        <v>17</v>
      </c>
    </row>
    <row r="91" spans="1:38" ht="40.049999999999997" customHeight="1" x14ac:dyDescent="0.3">
      <c r="A91" s="296" t="s">
        <v>252</v>
      </c>
      <c r="B91" s="297" t="s">
        <v>253</v>
      </c>
      <c r="C91" s="283"/>
      <c r="D91" s="283"/>
      <c r="E91" s="299"/>
      <c r="F91" s="285"/>
      <c r="G91" s="288"/>
      <c r="H91" s="285"/>
      <c r="I91" s="288"/>
      <c r="J91" s="285"/>
      <c r="K91" s="285"/>
      <c r="L91" s="285"/>
      <c r="M91" s="285"/>
      <c r="N91" s="285"/>
      <c r="O91" s="285"/>
      <c r="P91" s="285"/>
      <c r="Q91" s="285"/>
      <c r="R91" s="285"/>
      <c r="S91" s="285"/>
      <c r="T91" s="285"/>
      <c r="U91" s="285"/>
      <c r="V91" s="285"/>
      <c r="W91" s="285"/>
      <c r="X91" s="285"/>
      <c r="Y91" s="285"/>
      <c r="Z91" s="285"/>
      <c r="AA91" s="285"/>
      <c r="AB91" s="285"/>
      <c r="AC91" s="285"/>
      <c r="AD91" s="285"/>
      <c r="AE91" s="285"/>
      <c r="AF91" s="285"/>
      <c r="AG91" s="285"/>
      <c r="AH91" s="285"/>
      <c r="AI91" s="288"/>
      <c r="AJ91" s="288"/>
      <c r="AK91" s="286"/>
      <c r="AL91" s="287"/>
    </row>
    <row r="92" spans="1:38" ht="40.049999999999997" customHeight="1" x14ac:dyDescent="0.3">
      <c r="A92" s="281" t="s">
        <v>254</v>
      </c>
      <c r="B92" s="282" t="s">
        <v>255</v>
      </c>
      <c r="C92" s="283" t="s">
        <v>48</v>
      </c>
      <c r="D92" s="283"/>
      <c r="E92" s="283" t="s">
        <v>48</v>
      </c>
      <c r="F92" s="285"/>
      <c r="G92" s="283" t="s">
        <v>28</v>
      </c>
      <c r="H92" s="285"/>
      <c r="I92" s="283" t="s">
        <v>28</v>
      </c>
      <c r="J92" s="285"/>
      <c r="K92" s="283" t="s">
        <v>28</v>
      </c>
      <c r="L92" s="285"/>
      <c r="M92" s="283" t="s">
        <v>28</v>
      </c>
      <c r="N92" s="285"/>
      <c r="O92" s="283" t="s">
        <v>28</v>
      </c>
      <c r="P92" s="285"/>
      <c r="Q92" s="283" t="s">
        <v>28</v>
      </c>
      <c r="R92" s="285"/>
      <c r="S92" s="283" t="s">
        <v>28</v>
      </c>
      <c r="T92" s="285"/>
      <c r="U92" s="283" t="s">
        <v>28</v>
      </c>
      <c r="V92" s="285"/>
      <c r="W92" s="283" t="s">
        <v>48</v>
      </c>
      <c r="X92" s="285"/>
      <c r="Y92" s="283" t="s">
        <v>48</v>
      </c>
      <c r="Z92" s="285"/>
      <c r="AA92" s="283" t="s">
        <v>48</v>
      </c>
      <c r="AB92" s="285"/>
      <c r="AC92" s="283" t="s">
        <v>48</v>
      </c>
      <c r="AD92" s="285"/>
      <c r="AE92" s="283" t="s">
        <v>48</v>
      </c>
      <c r="AF92" s="285"/>
      <c r="AG92" s="283" t="s">
        <v>48</v>
      </c>
      <c r="AH92" s="285"/>
      <c r="AI92" s="283" t="s">
        <v>48</v>
      </c>
      <c r="AJ92" s="288"/>
      <c r="AK92" s="286">
        <f>COUNTIF(C92:AJ92,"&gt;=R")</f>
        <v>17</v>
      </c>
      <c r="AL92" s="287">
        <f>AK92</f>
        <v>17</v>
      </c>
    </row>
    <row r="93" spans="1:38" ht="40.049999999999997" customHeight="1" x14ac:dyDescent="0.3">
      <c r="A93" s="281" t="s">
        <v>256</v>
      </c>
      <c r="B93" s="282" t="s">
        <v>257</v>
      </c>
      <c r="C93" s="283" t="s">
        <v>48</v>
      </c>
      <c r="D93" s="283"/>
      <c r="E93" s="283" t="s">
        <v>48</v>
      </c>
      <c r="F93" s="285"/>
      <c r="G93" s="283" t="s">
        <v>28</v>
      </c>
      <c r="H93" s="285"/>
      <c r="I93" s="283" t="s">
        <v>28</v>
      </c>
      <c r="J93" s="285"/>
      <c r="K93" s="283" t="s">
        <v>28</v>
      </c>
      <c r="L93" s="285"/>
      <c r="M93" s="283" t="s">
        <v>28</v>
      </c>
      <c r="N93" s="285"/>
      <c r="O93" s="283" t="s">
        <v>28</v>
      </c>
      <c r="P93" s="285"/>
      <c r="Q93" s="283" t="s">
        <v>28</v>
      </c>
      <c r="R93" s="285"/>
      <c r="S93" s="283" t="s">
        <v>28</v>
      </c>
      <c r="T93" s="285"/>
      <c r="U93" s="283" t="s">
        <v>28</v>
      </c>
      <c r="V93" s="285"/>
      <c r="W93" s="283" t="s">
        <v>48</v>
      </c>
      <c r="X93" s="285"/>
      <c r="Y93" s="283" t="s">
        <v>48</v>
      </c>
      <c r="Z93" s="285"/>
      <c r="AA93" s="283" t="s">
        <v>48</v>
      </c>
      <c r="AB93" s="285"/>
      <c r="AC93" s="283" t="s">
        <v>48</v>
      </c>
      <c r="AD93" s="285"/>
      <c r="AE93" s="283" t="s">
        <v>48</v>
      </c>
      <c r="AF93" s="285"/>
      <c r="AG93" s="283" t="s">
        <v>48</v>
      </c>
      <c r="AH93" s="285"/>
      <c r="AI93" s="283" t="s">
        <v>48</v>
      </c>
      <c r="AJ93" s="288"/>
      <c r="AK93" s="286">
        <f>COUNTIF(C93:AJ93,"&gt;=R")</f>
        <v>17</v>
      </c>
      <c r="AL93" s="287">
        <f>AK93</f>
        <v>17</v>
      </c>
    </row>
    <row r="94" spans="1:38" ht="40.049999999999997" customHeight="1" x14ac:dyDescent="0.3">
      <c r="A94" s="281" t="s">
        <v>258</v>
      </c>
      <c r="B94" s="282" t="s">
        <v>259</v>
      </c>
      <c r="C94" s="283" t="s">
        <v>48</v>
      </c>
      <c r="D94" s="283"/>
      <c r="E94" s="283" t="s">
        <v>48</v>
      </c>
      <c r="F94" s="285"/>
      <c r="G94" s="283" t="s">
        <v>28</v>
      </c>
      <c r="H94" s="285"/>
      <c r="I94" s="283" t="s">
        <v>28</v>
      </c>
      <c r="J94" s="285"/>
      <c r="K94" s="283" t="s">
        <v>28</v>
      </c>
      <c r="L94" s="285"/>
      <c r="M94" s="283" t="s">
        <v>28</v>
      </c>
      <c r="N94" s="285"/>
      <c r="O94" s="283" t="s">
        <v>28</v>
      </c>
      <c r="P94" s="285"/>
      <c r="Q94" s="283" t="s">
        <v>28</v>
      </c>
      <c r="R94" s="285"/>
      <c r="S94" s="283" t="s">
        <v>28</v>
      </c>
      <c r="T94" s="285"/>
      <c r="U94" s="283" t="s">
        <v>28</v>
      </c>
      <c r="V94" s="285"/>
      <c r="W94" s="283" t="s">
        <v>48</v>
      </c>
      <c r="X94" s="285"/>
      <c r="Y94" s="283" t="s">
        <v>48</v>
      </c>
      <c r="Z94" s="285"/>
      <c r="AA94" s="283" t="s">
        <v>48</v>
      </c>
      <c r="AB94" s="285"/>
      <c r="AC94" s="283" t="s">
        <v>48</v>
      </c>
      <c r="AD94" s="285"/>
      <c r="AE94" s="283" t="s">
        <v>48</v>
      </c>
      <c r="AF94" s="285"/>
      <c r="AG94" s="283" t="s">
        <v>48</v>
      </c>
      <c r="AH94" s="285"/>
      <c r="AI94" s="283" t="s">
        <v>48</v>
      </c>
      <c r="AJ94" s="288"/>
      <c r="AK94" s="286">
        <f>COUNTIF(C94:AJ94,"&gt;=R")</f>
        <v>17</v>
      </c>
      <c r="AL94" s="287">
        <f>AK94</f>
        <v>17</v>
      </c>
    </row>
    <row r="95" spans="1:38" ht="40.049999999999997" customHeight="1" x14ac:dyDescent="0.3">
      <c r="A95" s="281" t="s">
        <v>260</v>
      </c>
      <c r="B95" s="282" t="s">
        <v>261</v>
      </c>
      <c r="C95" s="283" t="s">
        <v>48</v>
      </c>
      <c r="D95" s="283"/>
      <c r="E95" s="283" t="s">
        <v>48</v>
      </c>
      <c r="F95" s="285"/>
      <c r="G95" s="283" t="s">
        <v>28</v>
      </c>
      <c r="H95" s="285"/>
      <c r="I95" s="283" t="s">
        <v>28</v>
      </c>
      <c r="J95" s="285"/>
      <c r="K95" s="283" t="s">
        <v>28</v>
      </c>
      <c r="L95" s="285"/>
      <c r="M95" s="283" t="s">
        <v>28</v>
      </c>
      <c r="N95" s="285"/>
      <c r="O95" s="283" t="s">
        <v>28</v>
      </c>
      <c r="P95" s="285"/>
      <c r="Q95" s="283" t="s">
        <v>28</v>
      </c>
      <c r="R95" s="285"/>
      <c r="S95" s="283" t="s">
        <v>28</v>
      </c>
      <c r="T95" s="285"/>
      <c r="U95" s="283" t="s">
        <v>28</v>
      </c>
      <c r="V95" s="285"/>
      <c r="W95" s="283" t="s">
        <v>48</v>
      </c>
      <c r="X95" s="285"/>
      <c r="Y95" s="283" t="s">
        <v>48</v>
      </c>
      <c r="Z95" s="285"/>
      <c r="AA95" s="283" t="s">
        <v>48</v>
      </c>
      <c r="AB95" s="285"/>
      <c r="AC95" s="283" t="s">
        <v>48</v>
      </c>
      <c r="AD95" s="285"/>
      <c r="AE95" s="283" t="s">
        <v>48</v>
      </c>
      <c r="AF95" s="285"/>
      <c r="AG95" s="283" t="s">
        <v>48</v>
      </c>
      <c r="AH95" s="285"/>
      <c r="AI95" s="283" t="s">
        <v>48</v>
      </c>
      <c r="AJ95" s="288"/>
      <c r="AK95" s="286">
        <f>COUNTIF(C95:AJ95,"&gt;=R")</f>
        <v>17</v>
      </c>
      <c r="AL95" s="287">
        <f>AK95</f>
        <v>17</v>
      </c>
    </row>
    <row r="96" spans="1:38" ht="40.049999999999997" customHeight="1" x14ac:dyDescent="0.3">
      <c r="A96" s="296" t="s">
        <v>262</v>
      </c>
      <c r="B96" s="297" t="s">
        <v>263</v>
      </c>
      <c r="C96" s="283"/>
      <c r="D96" s="284"/>
      <c r="E96" s="285"/>
      <c r="F96" s="285"/>
      <c r="G96" s="288"/>
      <c r="H96" s="285"/>
      <c r="I96" s="288"/>
      <c r="J96" s="285"/>
      <c r="K96" s="288"/>
      <c r="L96" s="285"/>
      <c r="M96" s="285"/>
      <c r="N96" s="285"/>
      <c r="O96" s="285"/>
      <c r="P96" s="285"/>
      <c r="Q96" s="285"/>
      <c r="R96" s="285"/>
      <c r="S96" s="285"/>
      <c r="T96" s="285"/>
      <c r="U96" s="288"/>
      <c r="V96" s="285"/>
      <c r="W96" s="288"/>
      <c r="X96" s="285"/>
      <c r="Y96" s="288"/>
      <c r="Z96" s="285"/>
      <c r="AA96" s="288"/>
      <c r="AB96" s="285"/>
      <c r="AC96" s="285"/>
      <c r="AD96" s="285"/>
      <c r="AE96" s="285"/>
      <c r="AF96" s="285"/>
      <c r="AG96" s="285"/>
      <c r="AH96" s="285"/>
      <c r="AI96" s="285"/>
      <c r="AJ96" s="288"/>
      <c r="AK96" s="286"/>
      <c r="AL96" s="287"/>
    </row>
    <row r="97" spans="1:38" ht="40.049999999999997" customHeight="1" x14ac:dyDescent="0.3">
      <c r="A97" s="308" t="s">
        <v>264</v>
      </c>
      <c r="B97" s="309" t="s">
        <v>265</v>
      </c>
      <c r="C97" s="283" t="s">
        <v>26</v>
      </c>
      <c r="D97" s="284"/>
      <c r="E97" s="285" t="s">
        <v>26</v>
      </c>
      <c r="F97" s="285"/>
      <c r="G97" s="285" t="s">
        <v>26</v>
      </c>
      <c r="H97" s="285"/>
      <c r="I97" s="285" t="s">
        <v>26</v>
      </c>
      <c r="J97" s="285"/>
      <c r="K97" s="285" t="s">
        <v>26</v>
      </c>
      <c r="L97" s="285"/>
      <c r="M97" s="285" t="s">
        <v>26</v>
      </c>
      <c r="N97" s="285"/>
      <c r="O97" s="285" t="s">
        <v>26</v>
      </c>
      <c r="P97" s="285"/>
      <c r="Q97" s="285" t="s">
        <v>83</v>
      </c>
      <c r="R97" s="285"/>
      <c r="S97" s="285" t="s">
        <v>83</v>
      </c>
      <c r="T97" s="285"/>
      <c r="U97" s="285" t="s">
        <v>83</v>
      </c>
      <c r="V97" s="285"/>
      <c r="W97" s="285" t="s">
        <v>83</v>
      </c>
      <c r="X97" s="285"/>
      <c r="Y97" s="285" t="s">
        <v>83</v>
      </c>
      <c r="Z97" s="285"/>
      <c r="AA97" s="285" t="s">
        <v>27</v>
      </c>
      <c r="AB97" s="285"/>
      <c r="AC97" s="285" t="s">
        <v>27</v>
      </c>
      <c r="AD97" s="285"/>
      <c r="AE97" s="285" t="s">
        <v>27</v>
      </c>
      <c r="AF97" s="285"/>
      <c r="AG97" s="285" t="s">
        <v>27</v>
      </c>
      <c r="AH97" s="285"/>
      <c r="AI97" s="285" t="s">
        <v>27</v>
      </c>
      <c r="AJ97" s="288"/>
      <c r="AK97" s="286">
        <f>COUNTIF(C97:AJ97,"&gt;=R")</f>
        <v>17</v>
      </c>
      <c r="AL97" s="287">
        <f>AK97</f>
        <v>17</v>
      </c>
    </row>
    <row r="98" spans="1:38" ht="40.049999999999997" customHeight="1" x14ac:dyDescent="0.3">
      <c r="A98" s="310" t="s">
        <v>266</v>
      </c>
      <c r="B98" s="290" t="s">
        <v>267</v>
      </c>
      <c r="C98" s="291"/>
      <c r="D98" s="292"/>
      <c r="E98" s="293"/>
      <c r="F98" s="293"/>
      <c r="G98" s="293"/>
      <c r="H98" s="293"/>
      <c r="I98" s="293"/>
      <c r="J98" s="293"/>
      <c r="K98" s="293"/>
      <c r="L98" s="293"/>
      <c r="M98" s="293"/>
      <c r="N98" s="293"/>
      <c r="O98" s="293"/>
      <c r="P98" s="293"/>
      <c r="Q98" s="293"/>
      <c r="R98" s="293"/>
      <c r="S98" s="293"/>
      <c r="T98" s="293"/>
      <c r="U98" s="293"/>
      <c r="V98" s="293"/>
      <c r="W98" s="293"/>
      <c r="X98" s="293"/>
      <c r="Y98" s="293"/>
      <c r="Z98" s="293"/>
      <c r="AA98" s="293"/>
      <c r="AB98" s="293"/>
      <c r="AC98" s="293"/>
      <c r="AD98" s="293"/>
      <c r="AE98" s="293"/>
      <c r="AF98" s="293"/>
      <c r="AG98" s="293"/>
      <c r="AH98" s="293"/>
      <c r="AI98" s="294"/>
      <c r="AJ98" s="294"/>
      <c r="AK98" s="293"/>
      <c r="AL98" s="295"/>
    </row>
    <row r="99" spans="1:38" ht="40.049999999999997" customHeight="1" x14ac:dyDescent="0.3">
      <c r="A99" s="281" t="s">
        <v>268</v>
      </c>
      <c r="B99" s="282" t="s">
        <v>269</v>
      </c>
      <c r="C99" s="284" t="s">
        <v>48</v>
      </c>
      <c r="D99" s="284"/>
      <c r="E99" s="285" t="s">
        <v>48</v>
      </c>
      <c r="F99" s="285"/>
      <c r="G99" s="285" t="s">
        <v>57</v>
      </c>
      <c r="H99" s="285"/>
      <c r="I99" s="285" t="s">
        <v>57</v>
      </c>
      <c r="J99" s="285"/>
      <c r="K99" s="285" t="s">
        <v>48</v>
      </c>
      <c r="L99" s="285"/>
      <c r="M99" s="285" t="s">
        <v>48</v>
      </c>
      <c r="N99" s="285"/>
      <c r="O99" s="285" t="s">
        <v>68</v>
      </c>
      <c r="P99" s="285"/>
      <c r="Q99" s="285" t="s">
        <v>68</v>
      </c>
      <c r="R99" s="285"/>
      <c r="S99" s="285" t="s">
        <v>68</v>
      </c>
      <c r="T99" s="285"/>
      <c r="U99" s="285" t="s">
        <v>68</v>
      </c>
      <c r="V99" s="285"/>
      <c r="W99" s="285" t="s">
        <v>68</v>
      </c>
      <c r="X99" s="285"/>
      <c r="Y99" s="285" t="s">
        <v>68</v>
      </c>
      <c r="Z99" s="285"/>
      <c r="AA99" s="285" t="s">
        <v>68</v>
      </c>
      <c r="AB99" s="285"/>
      <c r="AC99" s="285" t="s">
        <v>57</v>
      </c>
      <c r="AD99" s="285"/>
      <c r="AE99" s="285" t="s">
        <v>57</v>
      </c>
      <c r="AF99" s="285"/>
      <c r="AG99" s="285" t="s">
        <v>57</v>
      </c>
      <c r="AH99" s="285"/>
      <c r="AI99" s="285" t="s">
        <v>57</v>
      </c>
      <c r="AJ99" s="288"/>
      <c r="AK99" s="286">
        <f>COUNTIF(C99:AJ99,"&gt;=R")</f>
        <v>17</v>
      </c>
      <c r="AL99" s="287">
        <f>AK99</f>
        <v>17</v>
      </c>
    </row>
    <row r="100" spans="1:38" ht="40.049999999999997" customHeight="1" x14ac:dyDescent="0.3">
      <c r="A100" s="281" t="s">
        <v>270</v>
      </c>
      <c r="B100" s="282" t="s">
        <v>271</v>
      </c>
      <c r="C100" s="284" t="s">
        <v>48</v>
      </c>
      <c r="D100" s="284"/>
      <c r="E100" s="285" t="s">
        <v>48</v>
      </c>
      <c r="F100" s="285"/>
      <c r="G100" s="285" t="s">
        <v>57</v>
      </c>
      <c r="H100" s="285"/>
      <c r="I100" s="285" t="s">
        <v>57</v>
      </c>
      <c r="J100" s="285"/>
      <c r="K100" s="285" t="s">
        <v>48</v>
      </c>
      <c r="L100" s="285"/>
      <c r="M100" s="285" t="s">
        <v>48</v>
      </c>
      <c r="N100" s="285"/>
      <c r="O100" s="285" t="s">
        <v>68</v>
      </c>
      <c r="P100" s="285"/>
      <c r="Q100" s="285" t="s">
        <v>68</v>
      </c>
      <c r="R100" s="285"/>
      <c r="S100" s="285" t="s">
        <v>68</v>
      </c>
      <c r="T100" s="285"/>
      <c r="U100" s="285" t="s">
        <v>68</v>
      </c>
      <c r="V100" s="285"/>
      <c r="W100" s="285" t="s">
        <v>68</v>
      </c>
      <c r="X100" s="285"/>
      <c r="Y100" s="285" t="s">
        <v>68</v>
      </c>
      <c r="Z100" s="285"/>
      <c r="AA100" s="285" t="s">
        <v>68</v>
      </c>
      <c r="AB100" s="285"/>
      <c r="AC100" s="285" t="s">
        <v>57</v>
      </c>
      <c r="AD100" s="285"/>
      <c r="AE100" s="285" t="s">
        <v>57</v>
      </c>
      <c r="AF100" s="285"/>
      <c r="AG100" s="285" t="s">
        <v>57</v>
      </c>
      <c r="AH100" s="285"/>
      <c r="AI100" s="285" t="s">
        <v>57</v>
      </c>
      <c r="AJ100" s="288"/>
      <c r="AK100" s="286">
        <f>COUNTIF(C100:AJ100,"&gt;=R")</f>
        <v>17</v>
      </c>
      <c r="AL100" s="287">
        <f>AK100</f>
        <v>17</v>
      </c>
    </row>
    <row r="101" spans="1:38" ht="40.049999999999997" customHeight="1" x14ac:dyDescent="0.3">
      <c r="A101" s="310" t="s">
        <v>272</v>
      </c>
      <c r="B101" s="290" t="s">
        <v>273</v>
      </c>
      <c r="C101" s="291"/>
      <c r="D101" s="292"/>
      <c r="E101" s="293"/>
      <c r="F101" s="293"/>
      <c r="G101" s="293"/>
      <c r="H101" s="293"/>
      <c r="I101" s="293"/>
      <c r="J101" s="293"/>
      <c r="K101" s="293"/>
      <c r="L101" s="293"/>
      <c r="M101" s="293"/>
      <c r="N101" s="293"/>
      <c r="O101" s="293"/>
      <c r="P101" s="293"/>
      <c r="Q101" s="293"/>
      <c r="R101" s="293"/>
      <c r="S101" s="293"/>
      <c r="T101" s="293"/>
      <c r="U101" s="293"/>
      <c r="V101" s="293"/>
      <c r="W101" s="293"/>
      <c r="X101" s="293"/>
      <c r="Y101" s="293"/>
      <c r="Z101" s="293"/>
      <c r="AA101" s="293"/>
      <c r="AB101" s="293"/>
      <c r="AC101" s="293"/>
      <c r="AD101" s="293"/>
      <c r="AE101" s="293"/>
      <c r="AF101" s="293"/>
      <c r="AG101" s="293"/>
      <c r="AH101" s="293"/>
      <c r="AI101" s="294"/>
      <c r="AJ101" s="294"/>
      <c r="AK101" s="293"/>
      <c r="AL101" s="295"/>
    </row>
    <row r="102" spans="1:38" ht="40.049999999999997" customHeight="1" x14ac:dyDescent="0.3">
      <c r="A102" s="281" t="s">
        <v>274</v>
      </c>
      <c r="B102" s="282" t="s">
        <v>275</v>
      </c>
      <c r="C102" s="283" t="s">
        <v>93</v>
      </c>
      <c r="D102" s="283"/>
      <c r="E102" s="283" t="s">
        <v>93</v>
      </c>
      <c r="F102" s="285"/>
      <c r="G102" s="283" t="s">
        <v>93</v>
      </c>
      <c r="H102" s="285"/>
      <c r="I102" s="283" t="s">
        <v>93</v>
      </c>
      <c r="J102" s="285"/>
      <c r="K102" s="283" t="s">
        <v>93</v>
      </c>
      <c r="L102" s="285"/>
      <c r="M102" s="283" t="s">
        <v>93</v>
      </c>
      <c r="N102" s="285"/>
      <c r="O102" s="283" t="s">
        <v>93</v>
      </c>
      <c r="P102" s="285"/>
      <c r="Q102" s="283" t="s">
        <v>93</v>
      </c>
      <c r="R102" s="285"/>
      <c r="S102" s="283" t="s">
        <v>93</v>
      </c>
      <c r="T102" s="285"/>
      <c r="U102" s="283" t="s">
        <v>93</v>
      </c>
      <c r="V102" s="285"/>
      <c r="W102" s="283" t="s">
        <v>93</v>
      </c>
      <c r="X102" s="285"/>
      <c r="Y102" s="283" t="s">
        <v>93</v>
      </c>
      <c r="Z102" s="285"/>
      <c r="AA102" s="283" t="s">
        <v>93</v>
      </c>
      <c r="AB102" s="285"/>
      <c r="AC102" s="283" t="s">
        <v>93</v>
      </c>
      <c r="AD102" s="285"/>
      <c r="AE102" s="283" t="s">
        <v>93</v>
      </c>
      <c r="AF102" s="285"/>
      <c r="AG102" s="283" t="s">
        <v>93</v>
      </c>
      <c r="AH102" s="285"/>
      <c r="AI102" s="283" t="s">
        <v>93</v>
      </c>
      <c r="AJ102" s="288"/>
      <c r="AK102" s="286">
        <f>COUNTIF(C102:AJ102,"&gt;=R")</f>
        <v>17</v>
      </c>
      <c r="AL102" s="287">
        <f>AK102</f>
        <v>17</v>
      </c>
    </row>
    <row r="103" spans="1:38" ht="40.049999999999997" customHeight="1" x14ac:dyDescent="0.3">
      <c r="A103" s="281" t="s">
        <v>276</v>
      </c>
      <c r="B103" s="282" t="s">
        <v>277</v>
      </c>
      <c r="C103" s="283" t="s">
        <v>92</v>
      </c>
      <c r="D103" s="284"/>
      <c r="E103" s="283" t="s">
        <v>92</v>
      </c>
      <c r="F103" s="285"/>
      <c r="G103" s="283" t="s">
        <v>92</v>
      </c>
      <c r="H103" s="285"/>
      <c r="I103" s="283" t="s">
        <v>92</v>
      </c>
      <c r="J103" s="285"/>
      <c r="K103" s="307" t="s">
        <v>92</v>
      </c>
      <c r="L103" s="285"/>
      <c r="M103" s="307" t="s">
        <v>92</v>
      </c>
      <c r="N103" s="285"/>
      <c r="O103" s="307" t="s">
        <v>92</v>
      </c>
      <c r="P103" s="285"/>
      <c r="Q103" s="307" t="s">
        <v>92</v>
      </c>
      <c r="R103" s="285"/>
      <c r="S103" s="285" t="s">
        <v>92</v>
      </c>
      <c r="T103" s="285"/>
      <c r="U103" s="285" t="s">
        <v>92</v>
      </c>
      <c r="V103" s="285"/>
      <c r="W103" s="285" t="s">
        <v>92</v>
      </c>
      <c r="X103" s="285"/>
      <c r="Y103" s="285" t="s">
        <v>92</v>
      </c>
      <c r="Z103" s="285"/>
      <c r="AA103" s="285" t="s">
        <v>92</v>
      </c>
      <c r="AB103" s="285"/>
      <c r="AC103" s="285" t="s">
        <v>92</v>
      </c>
      <c r="AD103" s="285"/>
      <c r="AE103" s="285" t="s">
        <v>92</v>
      </c>
      <c r="AF103" s="285"/>
      <c r="AG103" s="283" t="s">
        <v>92</v>
      </c>
      <c r="AH103" s="285"/>
      <c r="AI103" s="283" t="s">
        <v>92</v>
      </c>
      <c r="AJ103" s="288"/>
      <c r="AK103" s="286">
        <f>COUNTIF(C103:AJ103,"&gt;=R")</f>
        <v>17</v>
      </c>
      <c r="AL103" s="287">
        <f>AK103</f>
        <v>17</v>
      </c>
    </row>
    <row r="104" spans="1:38" ht="40.049999999999997" customHeight="1" x14ac:dyDescent="0.3">
      <c r="A104" s="289" t="s">
        <v>278</v>
      </c>
      <c r="B104" s="290" t="s">
        <v>279</v>
      </c>
      <c r="C104" s="291"/>
      <c r="D104" s="292"/>
      <c r="E104" s="293"/>
      <c r="F104" s="293"/>
      <c r="G104" s="293"/>
      <c r="H104" s="293"/>
      <c r="I104" s="293"/>
      <c r="J104" s="293"/>
      <c r="K104" s="293"/>
      <c r="L104" s="293"/>
      <c r="M104" s="293"/>
      <c r="N104" s="293"/>
      <c r="O104" s="293"/>
      <c r="P104" s="293"/>
      <c r="Q104" s="293"/>
      <c r="R104" s="293"/>
      <c r="S104" s="293"/>
      <c r="T104" s="293"/>
      <c r="U104" s="293"/>
      <c r="V104" s="293"/>
      <c r="W104" s="293"/>
      <c r="X104" s="293"/>
      <c r="Y104" s="293"/>
      <c r="Z104" s="293"/>
      <c r="AA104" s="293"/>
      <c r="AB104" s="293"/>
      <c r="AC104" s="293"/>
      <c r="AD104" s="293"/>
      <c r="AE104" s="293"/>
      <c r="AF104" s="293"/>
      <c r="AG104" s="293"/>
      <c r="AH104" s="293"/>
      <c r="AI104" s="294"/>
      <c r="AJ104" s="294"/>
      <c r="AK104" s="293"/>
      <c r="AL104" s="295"/>
    </row>
    <row r="105" spans="1:38" ht="40.049999999999997" customHeight="1" x14ac:dyDescent="0.3">
      <c r="A105" s="296" t="s">
        <v>280</v>
      </c>
      <c r="B105" s="297" t="s">
        <v>281</v>
      </c>
      <c r="C105" s="283"/>
      <c r="D105" s="284"/>
      <c r="E105" s="285"/>
      <c r="F105" s="285"/>
      <c r="G105" s="288"/>
      <c r="H105" s="285"/>
      <c r="I105" s="288"/>
      <c r="J105" s="285"/>
      <c r="K105" s="285"/>
      <c r="L105" s="285"/>
      <c r="M105" s="285"/>
      <c r="N105" s="285"/>
      <c r="O105" s="285"/>
      <c r="P105" s="285"/>
      <c r="Q105" s="285"/>
      <c r="R105" s="285"/>
      <c r="S105" s="285"/>
      <c r="T105" s="285"/>
      <c r="U105" s="285"/>
      <c r="V105" s="285"/>
      <c r="W105" s="285"/>
      <c r="X105" s="285"/>
      <c r="Y105" s="285"/>
      <c r="Z105" s="285"/>
      <c r="AA105" s="285"/>
      <c r="AB105" s="285"/>
      <c r="AC105" s="285"/>
      <c r="AD105" s="285"/>
      <c r="AE105" s="285"/>
      <c r="AF105" s="285"/>
      <c r="AG105" s="285"/>
      <c r="AH105" s="285"/>
      <c r="AI105" s="288"/>
      <c r="AJ105" s="288"/>
      <c r="AK105" s="286"/>
      <c r="AL105" s="287"/>
    </row>
    <row r="106" spans="1:38" ht="40.049999999999997" customHeight="1" x14ac:dyDescent="0.65">
      <c r="A106" s="357" t="s">
        <v>282</v>
      </c>
      <c r="B106" s="890" t="s">
        <v>283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  <c r="W106" s="285"/>
      <c r="X106" s="285"/>
      <c r="Y106" s="285"/>
      <c r="Z106" s="285"/>
      <c r="AA106" s="285"/>
      <c r="AB106" s="285"/>
      <c r="AC106" s="285"/>
      <c r="AD106" s="285"/>
      <c r="AE106" s="285"/>
      <c r="AF106" s="285"/>
      <c r="AG106" s="285"/>
      <c r="AH106" s="285"/>
      <c r="AI106" s="288"/>
      <c r="AJ106" s="288"/>
      <c r="AK106" s="286">
        <f>COUNTIF(C106:AJ106,"&gt;=R")</f>
        <v>0</v>
      </c>
      <c r="AL106" s="287">
        <f>AK106</f>
        <v>0</v>
      </c>
    </row>
    <row r="107" spans="1:38" ht="40.049999999999997" customHeight="1" x14ac:dyDescent="0.3">
      <c r="A107" s="308" t="s">
        <v>284</v>
      </c>
      <c r="B107" s="309" t="s">
        <v>285</v>
      </c>
      <c r="C107" s="283"/>
      <c r="D107" s="284"/>
      <c r="E107" s="285"/>
      <c r="F107" s="285"/>
      <c r="G107" s="285"/>
      <c r="H107" s="285"/>
      <c r="I107" s="285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  <c r="W107" s="285"/>
      <c r="X107" s="285"/>
      <c r="Y107" s="285"/>
      <c r="Z107" s="285"/>
      <c r="AA107" s="285"/>
      <c r="AB107" s="285"/>
      <c r="AC107" s="285"/>
      <c r="AD107" s="285"/>
      <c r="AE107" s="285"/>
      <c r="AF107" s="285"/>
      <c r="AG107" s="285"/>
      <c r="AH107" s="285"/>
      <c r="AI107" s="288"/>
      <c r="AJ107" s="288"/>
      <c r="AK107" s="286">
        <f>COUNTIF(C107:AJ107,"&gt;=R")</f>
        <v>0</v>
      </c>
      <c r="AL107" s="287">
        <f>AK107</f>
        <v>0</v>
      </c>
    </row>
    <row r="108" spans="1:38" ht="40.049999999999997" customHeight="1" x14ac:dyDescent="0.3">
      <c r="A108" s="296" t="s">
        <v>286</v>
      </c>
      <c r="B108" s="297" t="s">
        <v>287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  <c r="W108" s="285"/>
      <c r="X108" s="285"/>
      <c r="Y108" s="285"/>
      <c r="Z108" s="285"/>
      <c r="AA108" s="285"/>
      <c r="AB108" s="285"/>
      <c r="AC108" s="285"/>
      <c r="AD108" s="285"/>
      <c r="AE108" s="285"/>
      <c r="AF108" s="285"/>
      <c r="AG108" s="285"/>
      <c r="AH108" s="285"/>
      <c r="AI108" s="288"/>
      <c r="AJ108" s="288"/>
      <c r="AK108" s="286"/>
      <c r="AL108" s="287"/>
    </row>
    <row r="109" spans="1:38" ht="40.049999999999997" customHeight="1" x14ac:dyDescent="0.3">
      <c r="A109" s="281" t="s">
        <v>288</v>
      </c>
      <c r="B109" s="282" t="s">
        <v>289</v>
      </c>
      <c r="C109" s="284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5"/>
      <c r="AB109" s="285"/>
      <c r="AC109" s="285"/>
      <c r="AD109" s="285"/>
      <c r="AE109" s="285"/>
      <c r="AF109" s="285"/>
      <c r="AG109" s="285"/>
      <c r="AH109" s="285"/>
      <c r="AI109" s="285"/>
      <c r="AJ109" s="288"/>
      <c r="AK109" s="286">
        <f>COUNTIF(C109:AJ109,"&gt;=R")</f>
        <v>0</v>
      </c>
      <c r="AL109" s="287">
        <f>AK109</f>
        <v>0</v>
      </c>
    </row>
    <row r="110" spans="1:38" ht="40.049999999999997" customHeight="1" x14ac:dyDescent="0.3">
      <c r="A110" s="281" t="s">
        <v>290</v>
      </c>
      <c r="B110" s="282" t="s">
        <v>291</v>
      </c>
      <c r="C110" s="283"/>
      <c r="D110" s="284"/>
      <c r="E110" s="283"/>
      <c r="F110" s="285"/>
      <c r="G110" s="283"/>
      <c r="H110" s="285"/>
      <c r="I110" s="283"/>
      <c r="J110" s="285"/>
      <c r="K110" s="283"/>
      <c r="L110" s="285"/>
      <c r="M110" s="283"/>
      <c r="N110" s="285"/>
      <c r="O110" s="283"/>
      <c r="P110" s="285"/>
      <c r="Q110" s="283"/>
      <c r="R110" s="285"/>
      <c r="S110" s="283"/>
      <c r="T110" s="285"/>
      <c r="U110" s="283"/>
      <c r="V110" s="285"/>
      <c r="W110" s="283"/>
      <c r="X110" s="285"/>
      <c r="Y110" s="283"/>
      <c r="Z110" s="285"/>
      <c r="AA110" s="283"/>
      <c r="AB110" s="285"/>
      <c r="AC110" s="283"/>
      <c r="AD110" s="285"/>
      <c r="AE110" s="283"/>
      <c r="AF110" s="285"/>
      <c r="AG110" s="283"/>
      <c r="AH110" s="285"/>
      <c r="AI110" s="283"/>
      <c r="AJ110" s="288"/>
      <c r="AK110" s="286">
        <f>COUNTIF(C110:AJ110,"&gt;=R")</f>
        <v>0</v>
      </c>
      <c r="AL110" s="287">
        <f>AK110</f>
        <v>0</v>
      </c>
    </row>
    <row r="111" spans="1:38" ht="40.049999999999997" customHeight="1" x14ac:dyDescent="0.65">
      <c r="A111" s="357" t="s">
        <v>292</v>
      </c>
      <c r="B111" s="890" t="s">
        <v>293</v>
      </c>
      <c r="C111" s="283"/>
      <c r="D111" s="284"/>
      <c r="E111" s="283"/>
      <c r="F111" s="285"/>
      <c r="G111" s="283"/>
      <c r="H111" s="285"/>
      <c r="I111" s="283"/>
      <c r="J111" s="285"/>
      <c r="K111" s="283"/>
      <c r="L111" s="285"/>
      <c r="M111" s="283"/>
      <c r="N111" s="285"/>
      <c r="O111" s="283"/>
      <c r="P111" s="285"/>
      <c r="Q111" s="283"/>
      <c r="R111" s="285"/>
      <c r="S111" s="283"/>
      <c r="T111" s="285"/>
      <c r="U111" s="283"/>
      <c r="V111" s="285"/>
      <c r="W111" s="283"/>
      <c r="X111" s="285"/>
      <c r="Y111" s="283"/>
      <c r="Z111" s="285"/>
      <c r="AA111" s="283"/>
      <c r="AB111" s="285"/>
      <c r="AC111" s="283"/>
      <c r="AD111" s="285"/>
      <c r="AE111" s="283"/>
      <c r="AF111" s="285"/>
      <c r="AG111" s="283"/>
      <c r="AH111" s="285"/>
      <c r="AI111" s="283"/>
      <c r="AJ111" s="288"/>
      <c r="AK111" s="286">
        <f>COUNTIF(C111:AJ111,"&gt;=R")</f>
        <v>0</v>
      </c>
      <c r="AL111" s="287">
        <f>AK111</f>
        <v>0</v>
      </c>
    </row>
    <row r="112" spans="1:38" ht="40.049999999999997" customHeight="1" x14ac:dyDescent="0.3">
      <c r="A112" s="289" t="s">
        <v>294</v>
      </c>
      <c r="B112" s="311" t="s">
        <v>295</v>
      </c>
      <c r="C112" s="291"/>
      <c r="D112" s="292"/>
      <c r="E112" s="293"/>
      <c r="F112" s="293"/>
      <c r="G112" s="293"/>
      <c r="H112" s="293"/>
      <c r="I112" s="293"/>
      <c r="J112" s="293"/>
      <c r="K112" s="293"/>
      <c r="L112" s="293"/>
      <c r="M112" s="293"/>
      <c r="N112" s="293"/>
      <c r="O112" s="293"/>
      <c r="P112" s="293"/>
      <c r="Q112" s="293"/>
      <c r="R112" s="293"/>
      <c r="S112" s="293"/>
      <c r="T112" s="293"/>
      <c r="U112" s="293"/>
      <c r="V112" s="293"/>
      <c r="W112" s="293"/>
      <c r="X112" s="293"/>
      <c r="Y112" s="293"/>
      <c r="Z112" s="293"/>
      <c r="AA112" s="293"/>
      <c r="AB112" s="293"/>
      <c r="AC112" s="293"/>
      <c r="AD112" s="293"/>
      <c r="AE112" s="293"/>
      <c r="AF112" s="293"/>
      <c r="AG112" s="293"/>
      <c r="AH112" s="293"/>
      <c r="AI112" s="294"/>
      <c r="AJ112" s="294"/>
      <c r="AK112" s="293"/>
      <c r="AL112" s="295"/>
    </row>
    <row r="113" spans="1:38" ht="40.049999999999997" customHeight="1" x14ac:dyDescent="0.3">
      <c r="A113" s="312" t="s">
        <v>296</v>
      </c>
      <c r="B113" s="313" t="s">
        <v>297</v>
      </c>
      <c r="C113" s="283" t="s">
        <v>47</v>
      </c>
      <c r="D113" s="284"/>
      <c r="E113" s="285" t="s">
        <v>47</v>
      </c>
      <c r="F113" s="285"/>
      <c r="G113" s="285" t="s">
        <v>47</v>
      </c>
      <c r="H113" s="285"/>
      <c r="I113" s="285" t="s">
        <v>47</v>
      </c>
      <c r="J113" s="285"/>
      <c r="K113" s="285" t="s">
        <v>47</v>
      </c>
      <c r="L113" s="285"/>
      <c r="M113" s="285" t="s">
        <v>47</v>
      </c>
      <c r="N113" s="285"/>
      <c r="O113" s="285" t="s">
        <v>47</v>
      </c>
      <c r="P113" s="285"/>
      <c r="Q113" s="285" t="s">
        <v>56</v>
      </c>
      <c r="R113" s="285"/>
      <c r="S113" s="285" t="s">
        <v>56</v>
      </c>
      <c r="T113" s="285"/>
      <c r="U113" s="718" t="s">
        <v>84</v>
      </c>
      <c r="V113" s="285"/>
      <c r="W113" s="718" t="s">
        <v>84</v>
      </c>
      <c r="X113" s="285"/>
      <c r="Y113" s="718" t="s">
        <v>84</v>
      </c>
      <c r="Z113" s="285"/>
      <c r="AA113" s="718" t="s">
        <v>84</v>
      </c>
      <c r="AB113" s="285"/>
      <c r="AC113" s="285" t="s">
        <v>56</v>
      </c>
      <c r="AD113" s="285"/>
      <c r="AE113" s="285" t="s">
        <v>56</v>
      </c>
      <c r="AF113" s="285"/>
      <c r="AG113" s="285" t="s">
        <v>56</v>
      </c>
      <c r="AH113" s="285"/>
      <c r="AI113" s="285" t="s">
        <v>56</v>
      </c>
      <c r="AJ113" s="288"/>
      <c r="AK113" s="286">
        <f t="shared" ref="AK113:AK124" si="4">COUNTIF(C113:AJ113,"&gt;=R")</f>
        <v>17</v>
      </c>
      <c r="AL113" s="287">
        <f t="shared" ref="AL113:AL124" si="5">AK113</f>
        <v>17</v>
      </c>
    </row>
    <row r="114" spans="1:38" ht="40.049999999999997" customHeight="1" x14ac:dyDescent="0.3">
      <c r="A114" s="312" t="s">
        <v>298</v>
      </c>
      <c r="B114" s="313" t="s">
        <v>299</v>
      </c>
      <c r="C114" s="283" t="s">
        <v>91</v>
      </c>
      <c r="D114" s="284"/>
      <c r="E114" s="285" t="s">
        <v>91</v>
      </c>
      <c r="F114" s="285"/>
      <c r="G114" s="307" t="s">
        <v>91</v>
      </c>
      <c r="H114" s="285"/>
      <c r="I114" s="307" t="s">
        <v>91</v>
      </c>
      <c r="J114" s="285"/>
      <c r="K114" s="307" t="s">
        <v>91</v>
      </c>
      <c r="L114" s="285"/>
      <c r="M114" s="285" t="s">
        <v>91</v>
      </c>
      <c r="N114" s="285"/>
      <c r="O114" s="285" t="s">
        <v>91</v>
      </c>
      <c r="P114" s="285"/>
      <c r="Q114" s="307" t="s">
        <v>91</v>
      </c>
      <c r="R114" s="285"/>
      <c r="S114" s="307" t="s">
        <v>91</v>
      </c>
      <c r="T114" s="285"/>
      <c r="U114" s="307" t="s">
        <v>410</v>
      </c>
      <c r="V114" s="285"/>
      <c r="W114" s="307" t="s">
        <v>410</v>
      </c>
      <c r="X114" s="285"/>
      <c r="Y114" s="307" t="s">
        <v>410</v>
      </c>
      <c r="Z114" s="285"/>
      <c r="AA114" s="307" t="s">
        <v>410</v>
      </c>
      <c r="AB114" s="285"/>
      <c r="AC114" s="307" t="s">
        <v>410</v>
      </c>
      <c r="AD114" s="285"/>
      <c r="AE114" s="307" t="s">
        <v>410</v>
      </c>
      <c r="AF114" s="285"/>
      <c r="AG114" s="285" t="s">
        <v>410</v>
      </c>
      <c r="AH114" s="285"/>
      <c r="AI114" s="285" t="s">
        <v>27</v>
      </c>
      <c r="AJ114" s="288"/>
      <c r="AK114" s="286">
        <f t="shared" si="4"/>
        <v>17</v>
      </c>
      <c r="AL114" s="287">
        <f t="shared" si="5"/>
        <v>17</v>
      </c>
    </row>
    <row r="115" spans="1:38" ht="40.049999999999997" customHeight="1" x14ac:dyDescent="0.3">
      <c r="A115" s="312" t="s">
        <v>300</v>
      </c>
      <c r="B115" s="313" t="s">
        <v>301</v>
      </c>
      <c r="C115" s="283"/>
      <c r="D115" s="284"/>
      <c r="E115" s="283"/>
      <c r="F115" s="285"/>
      <c r="G115" s="283"/>
      <c r="H115" s="285"/>
      <c r="I115" s="283"/>
      <c r="J115" s="285"/>
      <c r="K115" s="283"/>
      <c r="L115" s="285"/>
      <c r="M115" s="283"/>
      <c r="N115" s="285"/>
      <c r="O115" s="283"/>
      <c r="P115" s="285"/>
      <c r="Q115" s="283"/>
      <c r="R115" s="285"/>
      <c r="S115" s="283"/>
      <c r="T115" s="285"/>
      <c r="U115" s="283"/>
      <c r="V115" s="285"/>
      <c r="W115" s="283"/>
      <c r="X115" s="285"/>
      <c r="Y115" s="283"/>
      <c r="Z115" s="285"/>
      <c r="AA115" s="283"/>
      <c r="AB115" s="285"/>
      <c r="AC115" s="283"/>
      <c r="AD115" s="285"/>
      <c r="AE115" s="283"/>
      <c r="AF115" s="285"/>
      <c r="AG115" s="283"/>
      <c r="AH115" s="285"/>
      <c r="AI115" s="283"/>
      <c r="AJ115" s="285"/>
      <c r="AK115" s="286">
        <f t="shared" si="4"/>
        <v>0</v>
      </c>
      <c r="AL115" s="287">
        <f t="shared" si="5"/>
        <v>0</v>
      </c>
    </row>
    <row r="116" spans="1:38" ht="40.049999999999997" customHeight="1" x14ac:dyDescent="0.3">
      <c r="A116" s="312" t="s">
        <v>302</v>
      </c>
      <c r="B116" s="313" t="s">
        <v>303</v>
      </c>
      <c r="C116" s="284"/>
      <c r="D116" s="284"/>
      <c r="E116" s="285"/>
      <c r="F116" s="285"/>
      <c r="G116" s="285"/>
      <c r="H116" s="285"/>
      <c r="I116" s="285"/>
      <c r="J116" s="285"/>
      <c r="K116" s="285"/>
      <c r="L116" s="285"/>
      <c r="M116" s="285"/>
      <c r="N116" s="285"/>
      <c r="O116" s="285"/>
      <c r="P116" s="285"/>
      <c r="Q116" s="285"/>
      <c r="R116" s="285"/>
      <c r="S116" s="285"/>
      <c r="T116" s="285"/>
      <c r="U116" s="285"/>
      <c r="V116" s="285"/>
      <c r="W116" s="285"/>
      <c r="X116" s="285"/>
      <c r="Y116" s="283"/>
      <c r="Z116" s="285"/>
      <c r="AA116" s="283"/>
      <c r="AB116" s="285"/>
      <c r="AC116" s="283"/>
      <c r="AD116" s="285"/>
      <c r="AE116" s="283"/>
      <c r="AF116" s="285"/>
      <c r="AG116" s="283"/>
      <c r="AH116" s="285"/>
      <c r="AI116" s="283"/>
      <c r="AJ116" s="288"/>
      <c r="AK116" s="286">
        <f t="shared" si="4"/>
        <v>0</v>
      </c>
      <c r="AL116" s="287">
        <f t="shared" si="5"/>
        <v>0</v>
      </c>
    </row>
    <row r="117" spans="1:38" ht="40.049999999999997" customHeight="1" x14ac:dyDescent="0.3">
      <c r="A117" s="312" t="s">
        <v>304</v>
      </c>
      <c r="B117" s="313" t="s">
        <v>305</v>
      </c>
      <c r="C117" s="283" t="s">
        <v>93</v>
      </c>
      <c r="D117" s="284"/>
      <c r="E117" s="285" t="s">
        <v>93</v>
      </c>
      <c r="F117" s="285"/>
      <c r="G117" s="307" t="s">
        <v>93</v>
      </c>
      <c r="H117" s="285"/>
      <c r="I117" s="307" t="s">
        <v>93</v>
      </c>
      <c r="J117" s="285"/>
      <c r="K117" s="307" t="s">
        <v>93</v>
      </c>
      <c r="L117" s="285"/>
      <c r="M117" s="285" t="s">
        <v>93</v>
      </c>
      <c r="N117" s="285"/>
      <c r="O117" s="285" t="s">
        <v>93</v>
      </c>
      <c r="P117" s="285"/>
      <c r="Q117" s="307" t="s">
        <v>93</v>
      </c>
      <c r="R117" s="285"/>
      <c r="S117" s="307" t="s">
        <v>93</v>
      </c>
      <c r="T117" s="285"/>
      <c r="U117" s="285" t="s">
        <v>93</v>
      </c>
      <c r="V117" s="285"/>
      <c r="W117" s="285" t="s">
        <v>93</v>
      </c>
      <c r="X117" s="285"/>
      <c r="Y117" s="285" t="s">
        <v>93</v>
      </c>
      <c r="Z117" s="285"/>
      <c r="AA117" s="285" t="s">
        <v>93</v>
      </c>
      <c r="AB117" s="285"/>
      <c r="AC117" s="285" t="s">
        <v>93</v>
      </c>
      <c r="AD117" s="285"/>
      <c r="AE117" s="285" t="s">
        <v>93</v>
      </c>
      <c r="AF117" s="285"/>
      <c r="AG117" s="285" t="s">
        <v>93</v>
      </c>
      <c r="AH117" s="285"/>
      <c r="AI117" s="285" t="s">
        <v>93</v>
      </c>
      <c r="AJ117" s="288"/>
      <c r="AK117" s="286">
        <f t="shared" si="4"/>
        <v>17</v>
      </c>
      <c r="AL117" s="287">
        <f t="shared" si="5"/>
        <v>17</v>
      </c>
    </row>
    <row r="118" spans="1:38" ht="40.049999999999997" customHeight="1" x14ac:dyDescent="0.3">
      <c r="A118" s="312" t="s">
        <v>306</v>
      </c>
      <c r="B118" s="313" t="s">
        <v>307</v>
      </c>
      <c r="C118" s="302" t="s">
        <v>57</v>
      </c>
      <c r="D118" s="284"/>
      <c r="E118" s="288" t="s">
        <v>57</v>
      </c>
      <c r="F118" s="285"/>
      <c r="G118" s="288" t="s">
        <v>57</v>
      </c>
      <c r="H118" s="285"/>
      <c r="I118" s="288" t="s">
        <v>57</v>
      </c>
      <c r="J118" s="285"/>
      <c r="K118" s="288" t="s">
        <v>57</v>
      </c>
      <c r="L118" s="285"/>
      <c r="M118" s="288" t="s">
        <v>57</v>
      </c>
      <c r="N118" s="285"/>
      <c r="O118" s="288" t="s">
        <v>57</v>
      </c>
      <c r="P118" s="285"/>
      <c r="Q118" s="288" t="s">
        <v>57</v>
      </c>
      <c r="R118" s="285"/>
      <c r="S118" s="288" t="s">
        <v>57</v>
      </c>
      <c r="T118" s="285"/>
      <c r="U118" s="288" t="s">
        <v>68</v>
      </c>
      <c r="V118" s="288"/>
      <c r="W118" s="288" t="s">
        <v>68</v>
      </c>
      <c r="X118" s="288"/>
      <c r="Y118" s="288" t="s">
        <v>68</v>
      </c>
      <c r="Z118" s="288"/>
      <c r="AA118" s="288" t="s">
        <v>68</v>
      </c>
      <c r="AB118" s="288"/>
      <c r="AC118" s="288" t="s">
        <v>57</v>
      </c>
      <c r="AD118" s="288"/>
      <c r="AE118" s="288" t="s">
        <v>57</v>
      </c>
      <c r="AF118" s="288"/>
      <c r="AG118" s="288" t="s">
        <v>57</v>
      </c>
      <c r="AH118" s="288"/>
      <c r="AI118" s="288" t="s">
        <v>57</v>
      </c>
      <c r="AJ118" s="288"/>
      <c r="AK118" s="286">
        <f t="shared" si="4"/>
        <v>17</v>
      </c>
      <c r="AL118" s="287">
        <f t="shared" si="5"/>
        <v>17</v>
      </c>
    </row>
    <row r="119" spans="1:38" ht="40.049999999999997" customHeight="1" x14ac:dyDescent="0.3">
      <c r="A119" s="312" t="s">
        <v>308</v>
      </c>
      <c r="B119" s="313" t="s">
        <v>309</v>
      </c>
      <c r="C119" s="283"/>
      <c r="D119" s="284"/>
      <c r="E119" s="285"/>
      <c r="F119" s="285"/>
      <c r="G119" s="285"/>
      <c r="H119" s="285"/>
      <c r="I119" s="285"/>
      <c r="J119" s="285"/>
      <c r="K119" s="285"/>
      <c r="L119" s="285"/>
      <c r="M119" s="285"/>
      <c r="N119" s="285"/>
      <c r="O119" s="285"/>
      <c r="P119" s="285"/>
      <c r="Q119" s="285"/>
      <c r="R119" s="285"/>
      <c r="S119" s="285"/>
      <c r="T119" s="285"/>
      <c r="U119" s="288"/>
      <c r="V119" s="288"/>
      <c r="W119" s="288"/>
      <c r="X119" s="288"/>
      <c r="Y119" s="288"/>
      <c r="Z119" s="288"/>
      <c r="AA119" s="288"/>
      <c r="AB119" s="288"/>
      <c r="AC119" s="288"/>
      <c r="AD119" s="288"/>
      <c r="AE119" s="288"/>
      <c r="AF119" s="288"/>
      <c r="AG119" s="288"/>
      <c r="AH119" s="288"/>
      <c r="AI119" s="288"/>
      <c r="AJ119" s="288"/>
      <c r="AK119" s="286">
        <f t="shared" si="4"/>
        <v>0</v>
      </c>
      <c r="AL119" s="287">
        <f t="shared" si="5"/>
        <v>0</v>
      </c>
    </row>
    <row r="120" spans="1:38" ht="40.049999999999997" customHeight="1" x14ac:dyDescent="0.3">
      <c r="A120" s="312" t="s">
        <v>310</v>
      </c>
      <c r="B120" s="313" t="s">
        <v>311</v>
      </c>
      <c r="C120" s="283"/>
      <c r="D120" s="302"/>
      <c r="E120" s="288"/>
      <c r="F120" s="288"/>
      <c r="G120" s="307"/>
      <c r="H120" s="288"/>
      <c r="I120" s="307"/>
      <c r="J120" s="288"/>
      <c r="K120" s="307"/>
      <c r="L120" s="288"/>
      <c r="M120" s="288"/>
      <c r="N120" s="288"/>
      <c r="O120" s="288"/>
      <c r="P120" s="288"/>
      <c r="Q120" s="307"/>
      <c r="R120" s="288"/>
      <c r="S120" s="307"/>
      <c r="T120" s="288"/>
      <c r="U120" s="307"/>
      <c r="V120" s="288"/>
      <c r="W120" s="307"/>
      <c r="X120" s="288"/>
      <c r="Y120" s="307"/>
      <c r="Z120" s="288"/>
      <c r="AA120" s="307"/>
      <c r="AB120" s="288"/>
      <c r="AC120" s="307"/>
      <c r="AD120" s="288"/>
      <c r="AE120" s="307"/>
      <c r="AF120" s="288"/>
      <c r="AG120" s="307"/>
      <c r="AH120" s="288"/>
      <c r="AI120" s="307"/>
      <c r="AJ120" s="288"/>
      <c r="AK120" s="286">
        <f t="shared" si="4"/>
        <v>0</v>
      </c>
      <c r="AL120" s="287">
        <f t="shared" si="5"/>
        <v>0</v>
      </c>
    </row>
    <row r="121" spans="1:38" ht="40.049999999999997" customHeight="1" x14ac:dyDescent="0.3">
      <c r="A121" s="312" t="s">
        <v>312</v>
      </c>
      <c r="B121" s="313" t="s">
        <v>313</v>
      </c>
      <c r="C121" s="283"/>
      <c r="D121" s="302"/>
      <c r="E121" s="288"/>
      <c r="F121" s="288"/>
      <c r="G121" s="288"/>
      <c r="H121" s="288"/>
      <c r="I121" s="288"/>
      <c r="J121" s="288"/>
      <c r="K121" s="288"/>
      <c r="L121" s="288"/>
      <c r="M121" s="288"/>
      <c r="N121" s="288"/>
      <c r="O121" s="288"/>
      <c r="P121" s="288"/>
      <c r="Q121" s="288"/>
      <c r="R121" s="288"/>
      <c r="S121" s="288"/>
      <c r="T121" s="288"/>
      <c r="U121" s="288"/>
      <c r="V121" s="288"/>
      <c r="W121" s="288"/>
      <c r="X121" s="288"/>
      <c r="Y121" s="288"/>
      <c r="Z121" s="288"/>
      <c r="AA121" s="288"/>
      <c r="AB121" s="288"/>
      <c r="AC121" s="288"/>
      <c r="AD121" s="288"/>
      <c r="AE121" s="288"/>
      <c r="AF121" s="288"/>
      <c r="AG121" s="288"/>
      <c r="AH121" s="288"/>
      <c r="AI121" s="288"/>
      <c r="AJ121" s="288"/>
      <c r="AK121" s="286">
        <f t="shared" si="4"/>
        <v>0</v>
      </c>
      <c r="AL121" s="287">
        <f t="shared" si="5"/>
        <v>0</v>
      </c>
    </row>
    <row r="122" spans="1:38" ht="40.049999999999997" customHeight="1" x14ac:dyDescent="0.3">
      <c r="A122" s="312" t="s">
        <v>314</v>
      </c>
      <c r="B122" s="313" t="s">
        <v>315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6">
        <f t="shared" si="4"/>
        <v>0</v>
      </c>
      <c r="AL122" s="287">
        <f t="shared" si="5"/>
        <v>0</v>
      </c>
    </row>
    <row r="123" spans="1:38" ht="40.049999999999997" customHeight="1" x14ac:dyDescent="0.3">
      <c r="A123" s="312" t="s">
        <v>316</v>
      </c>
      <c r="B123" s="313" t="s">
        <v>317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8"/>
      <c r="Z123" s="288"/>
      <c r="AA123" s="288"/>
      <c r="AB123" s="288"/>
      <c r="AC123" s="288"/>
      <c r="AD123" s="288"/>
      <c r="AE123" s="288"/>
      <c r="AF123" s="288"/>
      <c r="AG123" s="288"/>
      <c r="AH123" s="288"/>
      <c r="AI123" s="288"/>
      <c r="AJ123" s="288"/>
      <c r="AK123" s="286">
        <f t="shared" si="4"/>
        <v>0</v>
      </c>
      <c r="AL123" s="287">
        <f t="shared" si="5"/>
        <v>0</v>
      </c>
    </row>
    <row r="124" spans="1:38" ht="40.049999999999997" customHeight="1" x14ac:dyDescent="0.3">
      <c r="A124" s="312" t="s">
        <v>318</v>
      </c>
      <c r="B124" s="313" t="s">
        <v>319</v>
      </c>
      <c r="C124" s="283"/>
      <c r="D124" s="302"/>
      <c r="E124" s="302"/>
      <c r="F124" s="288"/>
      <c r="G124" s="302"/>
      <c r="H124" s="288"/>
      <c r="I124" s="302"/>
      <c r="J124" s="288"/>
      <c r="K124" s="302"/>
      <c r="L124" s="288"/>
      <c r="M124" s="302"/>
      <c r="N124" s="288"/>
      <c r="O124" s="302"/>
      <c r="P124" s="288"/>
      <c r="Q124" s="302"/>
      <c r="R124" s="288"/>
      <c r="S124" s="302"/>
      <c r="T124" s="288"/>
      <c r="U124" s="302"/>
      <c r="V124" s="288"/>
      <c r="W124" s="302"/>
      <c r="X124" s="288"/>
      <c r="Y124" s="302"/>
      <c r="Z124" s="288"/>
      <c r="AA124" s="302"/>
      <c r="AB124" s="288"/>
      <c r="AC124" s="302"/>
      <c r="AD124" s="288"/>
      <c r="AE124" s="302"/>
      <c r="AF124" s="288"/>
      <c r="AG124" s="302"/>
      <c r="AH124" s="288"/>
      <c r="AI124" s="302"/>
      <c r="AJ124" s="288"/>
      <c r="AK124" s="286">
        <f t="shared" si="4"/>
        <v>0</v>
      </c>
      <c r="AL124" s="287">
        <f t="shared" si="5"/>
        <v>0</v>
      </c>
    </row>
    <row r="125" spans="1:38" ht="40.049999999999997" customHeight="1" x14ac:dyDescent="0.3">
      <c r="A125" s="303" t="s">
        <v>320</v>
      </c>
      <c r="B125" s="304" t="s">
        <v>321</v>
      </c>
      <c r="C125" s="291"/>
      <c r="D125" s="292"/>
      <c r="E125" s="293"/>
      <c r="F125" s="293"/>
      <c r="G125" s="293"/>
      <c r="H125" s="293"/>
      <c r="I125" s="293"/>
      <c r="J125" s="293"/>
      <c r="K125" s="293"/>
      <c r="L125" s="293"/>
      <c r="M125" s="293"/>
      <c r="N125" s="293"/>
      <c r="O125" s="293"/>
      <c r="P125" s="293"/>
      <c r="Q125" s="293"/>
      <c r="R125" s="293"/>
      <c r="S125" s="293"/>
      <c r="T125" s="293"/>
      <c r="U125" s="293"/>
      <c r="V125" s="293"/>
      <c r="W125" s="293"/>
      <c r="X125" s="293"/>
      <c r="Y125" s="293"/>
      <c r="Z125" s="293"/>
      <c r="AA125" s="293"/>
      <c r="AB125" s="293"/>
      <c r="AC125" s="293"/>
      <c r="AD125" s="293"/>
      <c r="AE125" s="293"/>
      <c r="AF125" s="293"/>
      <c r="AG125" s="293"/>
      <c r="AH125" s="293"/>
      <c r="AI125" s="294"/>
      <c r="AJ125" s="294"/>
      <c r="AK125" s="293"/>
      <c r="AL125" s="295"/>
    </row>
    <row r="126" spans="1:38" ht="40.049999999999997" customHeight="1" x14ac:dyDescent="0.3">
      <c r="A126" s="274" t="s">
        <v>322</v>
      </c>
      <c r="B126" s="314" t="s">
        <v>323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3"/>
      <c r="AA126" s="293"/>
      <c r="AB126" s="293"/>
      <c r="AC126" s="293"/>
      <c r="AD126" s="293"/>
      <c r="AE126" s="293"/>
      <c r="AF126" s="293"/>
      <c r="AG126" s="293"/>
      <c r="AH126" s="293"/>
      <c r="AI126" s="294"/>
      <c r="AJ126" s="294"/>
      <c r="AK126" s="293"/>
      <c r="AL126" s="295"/>
    </row>
    <row r="127" spans="1:38" ht="40.049999999999997" customHeight="1" x14ac:dyDescent="0.3">
      <c r="A127" s="308" t="s">
        <v>324</v>
      </c>
      <c r="B127" s="315" t="s">
        <v>325</v>
      </c>
      <c r="C127" s="283" t="s">
        <v>85</v>
      </c>
      <c r="D127" s="302"/>
      <c r="E127" s="283" t="s">
        <v>85</v>
      </c>
      <c r="F127" s="288"/>
      <c r="G127" s="283" t="s">
        <v>85</v>
      </c>
      <c r="H127" s="288"/>
      <c r="I127" s="283" t="s">
        <v>85</v>
      </c>
      <c r="J127" s="288"/>
      <c r="K127" s="283" t="s">
        <v>85</v>
      </c>
      <c r="L127" s="288"/>
      <c r="M127" s="283" t="s">
        <v>85</v>
      </c>
      <c r="N127" s="288"/>
      <c r="O127" s="283" t="s">
        <v>85</v>
      </c>
      <c r="P127" s="288"/>
      <c r="Q127" s="283" t="s">
        <v>85</v>
      </c>
      <c r="R127" s="288"/>
      <c r="S127" s="283" t="s">
        <v>85</v>
      </c>
      <c r="T127" s="288"/>
      <c r="U127" s="283" t="s">
        <v>85</v>
      </c>
      <c r="V127" s="288"/>
      <c r="W127" s="283" t="s">
        <v>85</v>
      </c>
      <c r="X127" s="288"/>
      <c r="Y127" s="283" t="s">
        <v>85</v>
      </c>
      <c r="Z127" s="288"/>
      <c r="AA127" s="283" t="s">
        <v>85</v>
      </c>
      <c r="AB127" s="288"/>
      <c r="AC127" s="283" t="s">
        <v>85</v>
      </c>
      <c r="AD127" s="288"/>
      <c r="AE127" s="283" t="s">
        <v>85</v>
      </c>
      <c r="AF127" s="288"/>
      <c r="AG127" s="283" t="s">
        <v>85</v>
      </c>
      <c r="AH127" s="288"/>
      <c r="AI127" s="283" t="s">
        <v>85</v>
      </c>
      <c r="AJ127" s="288"/>
      <c r="AK127" s="286">
        <f t="shared" ref="AK127:AK138" si="6">COUNTIF(C127:AJ127,"&gt;=R")</f>
        <v>17</v>
      </c>
      <c r="AL127" s="287">
        <f t="shared" ref="AL127:AL138" si="7">AK127</f>
        <v>17</v>
      </c>
    </row>
    <row r="128" spans="1:38" ht="40.049999999999997" customHeight="1" x14ac:dyDescent="0.3">
      <c r="A128" s="316" t="s">
        <v>326</v>
      </c>
      <c r="B128" s="317" t="s">
        <v>327</v>
      </c>
      <c r="C128" s="283" t="s">
        <v>85</v>
      </c>
      <c r="D128" s="302"/>
      <c r="E128" s="283" t="s">
        <v>85</v>
      </c>
      <c r="F128" s="288"/>
      <c r="G128" s="283" t="s">
        <v>85</v>
      </c>
      <c r="H128" s="288"/>
      <c r="I128" s="283" t="s">
        <v>85</v>
      </c>
      <c r="J128" s="288"/>
      <c r="K128" s="283" t="s">
        <v>85</v>
      </c>
      <c r="L128" s="288"/>
      <c r="M128" s="283" t="s">
        <v>85</v>
      </c>
      <c r="N128" s="288"/>
      <c r="O128" s="283" t="s">
        <v>85</v>
      </c>
      <c r="P128" s="288"/>
      <c r="Q128" s="283" t="s">
        <v>85</v>
      </c>
      <c r="R128" s="288"/>
      <c r="S128" s="283" t="s">
        <v>85</v>
      </c>
      <c r="T128" s="288"/>
      <c r="U128" s="283" t="s">
        <v>85</v>
      </c>
      <c r="V128" s="288"/>
      <c r="W128" s="283" t="s">
        <v>85</v>
      </c>
      <c r="X128" s="288"/>
      <c r="Y128" s="283" t="s">
        <v>85</v>
      </c>
      <c r="Z128" s="288"/>
      <c r="AA128" s="283" t="s">
        <v>85</v>
      </c>
      <c r="AB128" s="288"/>
      <c r="AC128" s="283" t="s">
        <v>85</v>
      </c>
      <c r="AD128" s="288"/>
      <c r="AE128" s="283" t="s">
        <v>85</v>
      </c>
      <c r="AF128" s="288"/>
      <c r="AG128" s="283" t="s">
        <v>85</v>
      </c>
      <c r="AH128" s="288"/>
      <c r="AI128" s="283" t="s">
        <v>85</v>
      </c>
      <c r="AJ128" s="288"/>
      <c r="AK128" s="286">
        <f t="shared" si="6"/>
        <v>17</v>
      </c>
      <c r="AL128" s="287">
        <f t="shared" si="7"/>
        <v>17</v>
      </c>
    </row>
    <row r="129" spans="1:38" ht="40.049999999999997" customHeight="1" x14ac:dyDescent="0.3">
      <c r="A129" s="308" t="s">
        <v>328</v>
      </c>
      <c r="B129" s="315" t="s">
        <v>329</v>
      </c>
      <c r="C129" s="283"/>
      <c r="D129" s="302"/>
      <c r="E129" s="307"/>
      <c r="F129" s="288"/>
      <c r="G129" s="288"/>
      <c r="H129" s="288"/>
      <c r="I129" s="288"/>
      <c r="J129" s="288"/>
      <c r="K129" s="288"/>
      <c r="L129" s="288"/>
      <c r="M129" s="307"/>
      <c r="N129" s="288"/>
      <c r="O129" s="285"/>
      <c r="P129" s="288"/>
      <c r="Q129" s="285"/>
      <c r="R129" s="288"/>
      <c r="S129" s="285"/>
      <c r="T129" s="288"/>
      <c r="U129" s="285"/>
      <c r="V129" s="288"/>
      <c r="W129" s="285"/>
      <c r="X129" s="288"/>
      <c r="Y129" s="285"/>
      <c r="Z129" s="288"/>
      <c r="AA129" s="285"/>
      <c r="AB129" s="288"/>
      <c r="AC129" s="285"/>
      <c r="AD129" s="288"/>
      <c r="AE129" s="285"/>
      <c r="AF129" s="288"/>
      <c r="AG129" s="285"/>
      <c r="AH129" s="288"/>
      <c r="AI129" s="285"/>
      <c r="AJ129" s="288"/>
      <c r="AK129" s="286">
        <f t="shared" si="6"/>
        <v>0</v>
      </c>
      <c r="AL129" s="287">
        <f t="shared" si="7"/>
        <v>0</v>
      </c>
    </row>
    <row r="130" spans="1:38" ht="40.049999999999997" customHeight="1" x14ac:dyDescent="0.3">
      <c r="A130" s="308" t="s">
        <v>330</v>
      </c>
      <c r="B130" s="315" t="s">
        <v>331</v>
      </c>
      <c r="C130" s="284" t="s">
        <v>76</v>
      </c>
      <c r="D130" s="302"/>
      <c r="E130" s="285" t="s">
        <v>76</v>
      </c>
      <c r="F130" s="288"/>
      <c r="G130" s="285" t="s">
        <v>76</v>
      </c>
      <c r="H130" s="288"/>
      <c r="I130" s="285" t="s">
        <v>76</v>
      </c>
      <c r="J130" s="288"/>
      <c r="K130" s="285" t="s">
        <v>76</v>
      </c>
      <c r="L130" s="288"/>
      <c r="M130" s="285" t="s">
        <v>28</v>
      </c>
      <c r="N130" s="288"/>
      <c r="O130" s="285" t="s">
        <v>28</v>
      </c>
      <c r="P130" s="288"/>
      <c r="Q130" s="285" t="s">
        <v>28</v>
      </c>
      <c r="R130" s="288"/>
      <c r="S130" s="285" t="s">
        <v>28</v>
      </c>
      <c r="T130" s="288"/>
      <c r="U130" s="285" t="s">
        <v>28</v>
      </c>
      <c r="V130" s="288"/>
      <c r="W130" s="285" t="s">
        <v>28</v>
      </c>
      <c r="X130" s="288"/>
      <c r="Y130" s="285" t="s">
        <v>28</v>
      </c>
      <c r="Z130" s="288"/>
      <c r="AA130" s="285" t="s">
        <v>28</v>
      </c>
      <c r="AB130" s="288"/>
      <c r="AC130" s="285" t="s">
        <v>28</v>
      </c>
      <c r="AD130" s="288"/>
      <c r="AE130" s="285" t="s">
        <v>28</v>
      </c>
      <c r="AF130" s="288"/>
      <c r="AG130" s="285" t="s">
        <v>28</v>
      </c>
      <c r="AH130" s="288"/>
      <c r="AI130" s="285" t="s">
        <v>28</v>
      </c>
      <c r="AJ130" s="288"/>
      <c r="AK130" s="286">
        <f t="shared" si="6"/>
        <v>17</v>
      </c>
      <c r="AL130" s="287">
        <f t="shared" si="7"/>
        <v>17</v>
      </c>
    </row>
    <row r="131" spans="1:38" ht="40.049999999999997" customHeight="1" x14ac:dyDescent="0.3">
      <c r="A131" s="308" t="s">
        <v>332</v>
      </c>
      <c r="B131" s="315" t="s">
        <v>333</v>
      </c>
      <c r="C131" s="283"/>
      <c r="D131" s="302"/>
      <c r="E131" s="288"/>
      <c r="F131" s="288"/>
      <c r="G131" s="288"/>
      <c r="H131" s="288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8"/>
      <c r="T131" s="288"/>
      <c r="U131" s="288"/>
      <c r="V131" s="288"/>
      <c r="W131" s="288"/>
      <c r="X131" s="288"/>
      <c r="Y131" s="288"/>
      <c r="Z131" s="288"/>
      <c r="AA131" s="288"/>
      <c r="AB131" s="288"/>
      <c r="AC131" s="288"/>
      <c r="AD131" s="288"/>
      <c r="AE131" s="288"/>
      <c r="AF131" s="288"/>
      <c r="AG131" s="288"/>
      <c r="AH131" s="288"/>
      <c r="AI131" s="288"/>
      <c r="AJ131" s="288"/>
      <c r="AK131" s="286">
        <f t="shared" si="6"/>
        <v>0</v>
      </c>
      <c r="AL131" s="287">
        <f t="shared" si="7"/>
        <v>0</v>
      </c>
    </row>
    <row r="132" spans="1:38" ht="40.049999999999997" customHeight="1" x14ac:dyDescent="0.3">
      <c r="A132" s="308" t="s">
        <v>334</v>
      </c>
      <c r="B132" s="315" t="s">
        <v>335</v>
      </c>
      <c r="C132" s="283"/>
      <c r="D132" s="284"/>
      <c r="E132" s="283"/>
      <c r="F132" s="285"/>
      <c r="G132" s="283"/>
      <c r="H132" s="285"/>
      <c r="I132" s="283"/>
      <c r="J132" s="285"/>
      <c r="K132" s="283"/>
      <c r="L132" s="288"/>
      <c r="M132" s="283"/>
      <c r="N132" s="288"/>
      <c r="O132" s="283"/>
      <c r="P132" s="288"/>
      <c r="Q132" s="283"/>
      <c r="R132" s="288"/>
      <c r="S132" s="283"/>
      <c r="T132" s="288"/>
      <c r="U132" s="283"/>
      <c r="V132" s="288"/>
      <c r="W132" s="283"/>
      <c r="X132" s="288"/>
      <c r="Y132" s="283"/>
      <c r="Z132" s="288"/>
      <c r="AA132" s="283"/>
      <c r="AB132" s="288"/>
      <c r="AC132" s="283"/>
      <c r="AD132" s="288"/>
      <c r="AE132" s="283"/>
      <c r="AF132" s="288"/>
      <c r="AG132" s="283"/>
      <c r="AH132" s="288"/>
      <c r="AI132" s="283"/>
      <c r="AJ132" s="288"/>
      <c r="AK132" s="286">
        <f t="shared" si="6"/>
        <v>0</v>
      </c>
      <c r="AL132" s="287">
        <f t="shared" si="7"/>
        <v>0</v>
      </c>
    </row>
    <row r="133" spans="1:38" ht="40.049999999999997" customHeight="1" x14ac:dyDescent="0.3">
      <c r="A133" s="308" t="s">
        <v>336</v>
      </c>
      <c r="B133" s="315" t="s">
        <v>337</v>
      </c>
      <c r="C133" s="283"/>
      <c r="D133" s="302"/>
      <c r="E133" s="283"/>
      <c r="F133" s="288"/>
      <c r="G133" s="283"/>
      <c r="H133" s="288"/>
      <c r="I133" s="283"/>
      <c r="J133" s="288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3"/>
      <c r="V133" s="288"/>
      <c r="W133" s="283"/>
      <c r="X133" s="288"/>
      <c r="Y133" s="283"/>
      <c r="Z133" s="288"/>
      <c r="AA133" s="283"/>
      <c r="AB133" s="288"/>
      <c r="AC133" s="283"/>
      <c r="AD133" s="288"/>
      <c r="AE133" s="283"/>
      <c r="AF133" s="288"/>
      <c r="AG133" s="283"/>
      <c r="AH133" s="288"/>
      <c r="AI133" s="283"/>
      <c r="AJ133" s="288"/>
      <c r="AK133" s="286">
        <f t="shared" si="6"/>
        <v>0</v>
      </c>
      <c r="AL133" s="287">
        <f t="shared" si="7"/>
        <v>0</v>
      </c>
    </row>
    <row r="134" spans="1:38" ht="40.049999999999997" customHeight="1" x14ac:dyDescent="0.3">
      <c r="A134" s="308" t="s">
        <v>338</v>
      </c>
      <c r="B134" s="315" t="s">
        <v>339</v>
      </c>
      <c r="C134" s="283"/>
      <c r="D134" s="302"/>
      <c r="E134" s="288"/>
      <c r="F134" s="288"/>
      <c r="G134" s="288"/>
      <c r="H134" s="288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8"/>
      <c r="T134" s="288"/>
      <c r="U134" s="288"/>
      <c r="V134" s="288"/>
      <c r="W134" s="288"/>
      <c r="X134" s="288"/>
      <c r="Y134" s="288"/>
      <c r="Z134" s="288"/>
      <c r="AA134" s="288"/>
      <c r="AB134" s="288"/>
      <c r="AC134" s="288"/>
      <c r="AD134" s="288"/>
      <c r="AE134" s="288"/>
      <c r="AF134" s="288"/>
      <c r="AG134" s="288"/>
      <c r="AH134" s="288"/>
      <c r="AI134" s="288"/>
      <c r="AJ134" s="288"/>
      <c r="AK134" s="286">
        <f t="shared" si="6"/>
        <v>0</v>
      </c>
      <c r="AL134" s="287">
        <f t="shared" si="7"/>
        <v>0</v>
      </c>
    </row>
    <row r="135" spans="1:38" ht="40.049999999999997" customHeight="1" x14ac:dyDescent="0.3">
      <c r="A135" s="308" t="s">
        <v>340</v>
      </c>
      <c r="B135" s="315" t="s">
        <v>341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8"/>
      <c r="AB135" s="288"/>
      <c r="AC135" s="288"/>
      <c r="AD135" s="288"/>
      <c r="AE135" s="288"/>
      <c r="AF135" s="288"/>
      <c r="AG135" s="288"/>
      <c r="AH135" s="288"/>
      <c r="AI135" s="288"/>
      <c r="AJ135" s="288"/>
      <c r="AK135" s="286">
        <f t="shared" si="6"/>
        <v>0</v>
      </c>
      <c r="AL135" s="287">
        <f t="shared" si="7"/>
        <v>0</v>
      </c>
    </row>
    <row r="136" spans="1:38" ht="40.049999999999997" customHeight="1" x14ac:dyDescent="0.3">
      <c r="A136" s="308" t="s">
        <v>342</v>
      </c>
      <c r="B136" s="315" t="s">
        <v>343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8"/>
      <c r="AB136" s="288"/>
      <c r="AC136" s="288"/>
      <c r="AD136" s="288"/>
      <c r="AE136" s="288"/>
      <c r="AF136" s="288"/>
      <c r="AG136" s="288"/>
      <c r="AH136" s="288"/>
      <c r="AI136" s="288"/>
      <c r="AJ136" s="288"/>
      <c r="AK136" s="286">
        <f t="shared" si="6"/>
        <v>0</v>
      </c>
      <c r="AL136" s="287">
        <f t="shared" si="7"/>
        <v>0</v>
      </c>
    </row>
    <row r="137" spans="1:38" ht="40.049999999999997" customHeight="1" x14ac:dyDescent="0.3">
      <c r="A137" s="308" t="s">
        <v>344</v>
      </c>
      <c r="B137" s="315" t="s">
        <v>345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86">
        <f t="shared" si="6"/>
        <v>0</v>
      </c>
      <c r="AL137" s="287">
        <f t="shared" si="7"/>
        <v>0</v>
      </c>
    </row>
    <row r="138" spans="1:38" ht="40.049999999999997" customHeight="1" x14ac:dyDescent="0.3">
      <c r="A138" s="308" t="s">
        <v>346</v>
      </c>
      <c r="B138" s="315" t="s">
        <v>347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  <c r="AC138" s="288"/>
      <c r="AD138" s="288"/>
      <c r="AE138" s="288"/>
      <c r="AF138" s="288"/>
      <c r="AG138" s="288"/>
      <c r="AH138" s="288"/>
      <c r="AI138" s="288"/>
      <c r="AJ138" s="288"/>
      <c r="AK138" s="286">
        <f t="shared" si="6"/>
        <v>0</v>
      </c>
      <c r="AL138" s="287">
        <f t="shared" si="7"/>
        <v>0</v>
      </c>
    </row>
    <row r="139" spans="1:38" ht="40.049999999999997" customHeight="1" x14ac:dyDescent="0.3">
      <c r="A139" s="289" t="s">
        <v>348</v>
      </c>
      <c r="B139" s="311" t="s">
        <v>349</v>
      </c>
      <c r="C139" s="291"/>
      <c r="D139" s="292"/>
      <c r="E139" s="293"/>
      <c r="F139" s="293"/>
      <c r="G139" s="293"/>
      <c r="H139" s="293"/>
      <c r="I139" s="293"/>
      <c r="J139" s="293"/>
      <c r="K139" s="293"/>
      <c r="L139" s="293"/>
      <c r="M139" s="293"/>
      <c r="N139" s="293"/>
      <c r="O139" s="293"/>
      <c r="P139" s="293"/>
      <c r="Q139" s="293"/>
      <c r="R139" s="293"/>
      <c r="S139" s="293"/>
      <c r="T139" s="293"/>
      <c r="U139" s="293"/>
      <c r="V139" s="293"/>
      <c r="W139" s="293"/>
      <c r="X139" s="293"/>
      <c r="Y139" s="293"/>
      <c r="Z139" s="293"/>
      <c r="AA139" s="293"/>
      <c r="AB139" s="293"/>
      <c r="AC139" s="293"/>
      <c r="AD139" s="293"/>
      <c r="AE139" s="293"/>
      <c r="AF139" s="293"/>
      <c r="AG139" s="293"/>
      <c r="AH139" s="293"/>
      <c r="AI139" s="294"/>
      <c r="AJ139" s="294"/>
      <c r="AK139" s="293"/>
      <c r="AL139" s="295"/>
    </row>
    <row r="140" spans="1:38" ht="40.049999999999997" customHeight="1" x14ac:dyDescent="0.3">
      <c r="A140" s="308" t="s">
        <v>350</v>
      </c>
      <c r="B140" s="309" t="s">
        <v>351</v>
      </c>
      <c r="C140" s="283"/>
      <c r="D140" s="302"/>
      <c r="E140" s="283"/>
      <c r="F140" s="288"/>
      <c r="G140" s="283"/>
      <c r="H140" s="288"/>
      <c r="I140" s="283"/>
      <c r="J140" s="288"/>
      <c r="K140" s="283"/>
      <c r="L140" s="288"/>
      <c r="M140" s="283"/>
      <c r="N140" s="288"/>
      <c r="O140" s="283"/>
      <c r="P140" s="288"/>
      <c r="Q140" s="283"/>
      <c r="R140" s="288"/>
      <c r="S140" s="283"/>
      <c r="T140" s="288"/>
      <c r="U140" s="283"/>
      <c r="V140" s="288"/>
      <c r="W140" s="283"/>
      <c r="X140" s="288"/>
      <c r="Y140" s="283"/>
      <c r="Z140" s="288"/>
      <c r="AA140" s="283"/>
      <c r="AB140" s="288"/>
      <c r="AC140" s="283"/>
      <c r="AD140" s="288"/>
      <c r="AE140" s="283"/>
      <c r="AF140" s="288"/>
      <c r="AG140" s="283"/>
      <c r="AH140" s="288"/>
      <c r="AI140" s="283"/>
      <c r="AJ140" s="288"/>
      <c r="AK140" s="286">
        <f>COUNTIF(C140:AJ140,"&gt;=R")</f>
        <v>0</v>
      </c>
      <c r="AL140" s="287">
        <f>AK140</f>
        <v>0</v>
      </c>
    </row>
    <row r="141" spans="1:38" ht="40.049999999999997" customHeight="1" x14ac:dyDescent="0.3">
      <c r="A141" s="308" t="s">
        <v>352</v>
      </c>
      <c r="B141" s="309" t="s">
        <v>353</v>
      </c>
      <c r="C141" s="283" t="s">
        <v>410</v>
      </c>
      <c r="D141" s="302"/>
      <c r="E141" s="288" t="s">
        <v>410</v>
      </c>
      <c r="F141" s="288"/>
      <c r="G141" s="288" t="s">
        <v>410</v>
      </c>
      <c r="H141" s="288"/>
      <c r="I141" s="288" t="s">
        <v>410</v>
      </c>
      <c r="J141" s="288"/>
      <c r="K141" s="288" t="s">
        <v>410</v>
      </c>
      <c r="L141" s="288"/>
      <c r="M141" s="288" t="s">
        <v>410</v>
      </c>
      <c r="N141" s="288"/>
      <c r="O141" s="288" t="s">
        <v>410</v>
      </c>
      <c r="P141" s="288"/>
      <c r="Q141" s="288" t="s">
        <v>410</v>
      </c>
      <c r="R141" s="288"/>
      <c r="S141" s="288" t="s">
        <v>410</v>
      </c>
      <c r="T141" s="288"/>
      <c r="U141" s="285" t="s">
        <v>410</v>
      </c>
      <c r="V141" s="288"/>
      <c r="W141" s="285" t="s">
        <v>91</v>
      </c>
      <c r="X141" s="288"/>
      <c r="Y141" s="285" t="s">
        <v>91</v>
      </c>
      <c r="Z141" s="288"/>
      <c r="AA141" s="288" t="s">
        <v>410</v>
      </c>
      <c r="AB141" s="288"/>
      <c r="AC141" s="285" t="s">
        <v>410</v>
      </c>
      <c r="AD141" s="288"/>
      <c r="AE141" s="285" t="s">
        <v>410</v>
      </c>
      <c r="AF141" s="288"/>
      <c r="AG141" s="285" t="s">
        <v>92</v>
      </c>
      <c r="AH141" s="288"/>
      <c r="AI141" s="285" t="s">
        <v>92</v>
      </c>
      <c r="AJ141" s="288"/>
      <c r="AK141" s="286">
        <f>COUNTIF(C141:AJ141,"&gt;=R")</f>
        <v>17</v>
      </c>
      <c r="AL141" s="287">
        <f>AK141</f>
        <v>17</v>
      </c>
    </row>
    <row r="142" spans="1:38" ht="40.049999999999997" customHeight="1" x14ac:dyDescent="0.3">
      <c r="A142" s="308" t="s">
        <v>354</v>
      </c>
      <c r="B142" s="309" t="s">
        <v>355</v>
      </c>
      <c r="C142" s="283" t="s">
        <v>410</v>
      </c>
      <c r="D142" s="302"/>
      <c r="E142" s="288" t="s">
        <v>410</v>
      </c>
      <c r="F142" s="288"/>
      <c r="G142" s="288" t="s">
        <v>410</v>
      </c>
      <c r="H142" s="288"/>
      <c r="I142" s="288" t="s">
        <v>410</v>
      </c>
      <c r="J142" s="288"/>
      <c r="K142" s="288" t="s">
        <v>410</v>
      </c>
      <c r="L142" s="288"/>
      <c r="M142" s="288" t="s">
        <v>410</v>
      </c>
      <c r="N142" s="288"/>
      <c r="O142" s="288" t="s">
        <v>410</v>
      </c>
      <c r="P142" s="288"/>
      <c r="Q142" s="288" t="s">
        <v>410</v>
      </c>
      <c r="R142" s="288"/>
      <c r="S142" s="288" t="s">
        <v>410</v>
      </c>
      <c r="T142" s="288"/>
      <c r="U142" s="285" t="s">
        <v>410</v>
      </c>
      <c r="V142" s="288"/>
      <c r="W142" s="285" t="s">
        <v>91</v>
      </c>
      <c r="X142" s="288"/>
      <c r="Y142" s="285" t="s">
        <v>91</v>
      </c>
      <c r="Z142" s="288"/>
      <c r="AA142" s="288" t="s">
        <v>410</v>
      </c>
      <c r="AB142" s="288"/>
      <c r="AC142" s="285" t="s">
        <v>410</v>
      </c>
      <c r="AD142" s="288"/>
      <c r="AE142" s="285" t="s">
        <v>410</v>
      </c>
      <c r="AF142" s="288"/>
      <c r="AG142" s="285" t="s">
        <v>92</v>
      </c>
      <c r="AH142" s="288"/>
      <c r="AI142" s="285" t="s">
        <v>92</v>
      </c>
      <c r="AJ142" s="288"/>
      <c r="AK142" s="286">
        <f>COUNTIF(C142:AJ142,"&gt;=R")</f>
        <v>17</v>
      </c>
      <c r="AL142" s="287">
        <f>AK142</f>
        <v>17</v>
      </c>
    </row>
    <row r="143" spans="1:38" ht="40.049999999999997" customHeight="1" x14ac:dyDescent="0.3">
      <c r="A143" s="289" t="s">
        <v>356</v>
      </c>
      <c r="B143" s="311" t="s">
        <v>357</v>
      </c>
      <c r="C143" s="291"/>
      <c r="D143" s="292"/>
      <c r="E143" s="293"/>
      <c r="F143" s="293"/>
      <c r="G143" s="293"/>
      <c r="H143" s="293"/>
      <c r="I143" s="293"/>
      <c r="J143" s="293"/>
      <c r="K143" s="293"/>
      <c r="L143" s="293"/>
      <c r="M143" s="293"/>
      <c r="N143" s="293"/>
      <c r="O143" s="293"/>
      <c r="P143" s="293"/>
      <c r="Q143" s="293"/>
      <c r="R143" s="293"/>
      <c r="S143" s="293"/>
      <c r="T143" s="293"/>
      <c r="U143" s="293"/>
      <c r="V143" s="293"/>
      <c r="W143" s="293"/>
      <c r="X143" s="293"/>
      <c r="Y143" s="293"/>
      <c r="Z143" s="293"/>
      <c r="AA143" s="293"/>
      <c r="AB143" s="293"/>
      <c r="AC143" s="293"/>
      <c r="AD143" s="293"/>
      <c r="AE143" s="293"/>
      <c r="AF143" s="293"/>
      <c r="AG143" s="293"/>
      <c r="AH143" s="293"/>
      <c r="AI143" s="294"/>
      <c r="AJ143" s="294"/>
      <c r="AK143" s="293"/>
      <c r="AL143" s="295"/>
    </row>
    <row r="144" spans="1:38" ht="40.049999999999997" customHeight="1" x14ac:dyDescent="0.3">
      <c r="A144" s="308" t="s">
        <v>358</v>
      </c>
      <c r="B144" s="309" t="s">
        <v>359</v>
      </c>
      <c r="C144" s="283" t="s">
        <v>76</v>
      </c>
      <c r="D144" s="302"/>
      <c r="E144" s="283" t="s">
        <v>76</v>
      </c>
      <c r="F144" s="288"/>
      <c r="G144" s="283" t="s">
        <v>76</v>
      </c>
      <c r="H144" s="288"/>
      <c r="I144" s="283" t="s">
        <v>76</v>
      </c>
      <c r="J144" s="288"/>
      <c r="K144" s="283" t="s">
        <v>76</v>
      </c>
      <c r="L144" s="288"/>
      <c r="M144" s="283" t="s">
        <v>76</v>
      </c>
      <c r="N144" s="288"/>
      <c r="O144" s="283" t="s">
        <v>76</v>
      </c>
      <c r="P144" s="288"/>
      <c r="Q144" s="283" t="s">
        <v>76</v>
      </c>
      <c r="R144" s="288"/>
      <c r="S144" s="283" t="s">
        <v>76</v>
      </c>
      <c r="T144" s="288"/>
      <c r="U144" s="283" t="s">
        <v>76</v>
      </c>
      <c r="V144" s="288"/>
      <c r="W144" s="286" t="s">
        <v>76</v>
      </c>
      <c r="X144" s="288"/>
      <c r="Y144" s="286" t="s">
        <v>76</v>
      </c>
      <c r="Z144" s="288"/>
      <c r="AA144" s="286" t="s">
        <v>76</v>
      </c>
      <c r="AB144" s="288"/>
      <c r="AC144" s="286" t="s">
        <v>76</v>
      </c>
      <c r="AD144" s="288"/>
      <c r="AE144" s="286" t="s">
        <v>76</v>
      </c>
      <c r="AF144" s="288"/>
      <c r="AG144" s="286" t="s">
        <v>76</v>
      </c>
      <c r="AH144" s="288"/>
      <c r="AI144" s="286" t="s">
        <v>76</v>
      </c>
      <c r="AJ144" s="288"/>
      <c r="AK144" s="286">
        <f>COUNTIF(C144:AJ144,"&gt;=R")</f>
        <v>17</v>
      </c>
      <c r="AL144" s="287">
        <f>AK144</f>
        <v>17</v>
      </c>
    </row>
    <row r="145" spans="1:38" ht="40.049999999999997" customHeight="1" x14ac:dyDescent="0.3">
      <c r="A145" s="308" t="s">
        <v>360</v>
      </c>
      <c r="B145" s="309" t="s">
        <v>361</v>
      </c>
      <c r="C145" s="283" t="s">
        <v>6</v>
      </c>
      <c r="D145" s="284"/>
      <c r="E145" s="283" t="s">
        <v>6</v>
      </c>
      <c r="F145" s="285"/>
      <c r="G145" s="283" t="s">
        <v>6</v>
      </c>
      <c r="H145" s="288"/>
      <c r="I145" s="285" t="s">
        <v>407</v>
      </c>
      <c r="J145" s="288"/>
      <c r="K145" s="285" t="s">
        <v>407</v>
      </c>
      <c r="L145" s="288"/>
      <c r="M145" s="285" t="s">
        <v>407</v>
      </c>
      <c r="N145" s="288"/>
      <c r="O145" s="285" t="s">
        <v>407</v>
      </c>
      <c r="P145" s="288"/>
      <c r="Q145" s="285" t="s">
        <v>26</v>
      </c>
      <c r="R145" s="288"/>
      <c r="S145" s="285" t="s">
        <v>26</v>
      </c>
      <c r="T145" s="288"/>
      <c r="U145" s="285" t="s">
        <v>26</v>
      </c>
      <c r="V145" s="288"/>
      <c r="W145" s="285" t="s">
        <v>26</v>
      </c>
      <c r="X145" s="288"/>
      <c r="Y145" s="285" t="s">
        <v>26</v>
      </c>
      <c r="Z145" s="288"/>
      <c r="AA145" s="285" t="s">
        <v>26</v>
      </c>
      <c r="AB145" s="288"/>
      <c r="AC145" s="285" t="s">
        <v>26</v>
      </c>
      <c r="AD145" s="288"/>
      <c r="AE145" s="285" t="s">
        <v>26</v>
      </c>
      <c r="AF145" s="288"/>
      <c r="AG145" s="285" t="s">
        <v>26</v>
      </c>
      <c r="AH145" s="288"/>
      <c r="AI145" s="285" t="s">
        <v>26</v>
      </c>
      <c r="AJ145" s="288"/>
      <c r="AK145" s="286">
        <f>COUNTIF(C145:AJ145,"&gt;=R")</f>
        <v>17</v>
      </c>
      <c r="AL145" s="287">
        <f>AK145</f>
        <v>17</v>
      </c>
    </row>
    <row r="146" spans="1:38" ht="40.049999999999997" customHeight="1" x14ac:dyDescent="0.3">
      <c r="A146" s="308" t="s">
        <v>362</v>
      </c>
      <c r="B146" s="309" t="s">
        <v>363</v>
      </c>
      <c r="C146" s="743" t="s">
        <v>8</v>
      </c>
      <c r="D146" s="302"/>
      <c r="E146" s="743" t="s">
        <v>8</v>
      </c>
      <c r="F146" s="288"/>
      <c r="G146" s="743" t="s">
        <v>8</v>
      </c>
      <c r="H146" s="288"/>
      <c r="I146" s="743" t="s">
        <v>8</v>
      </c>
      <c r="J146" s="288"/>
      <c r="K146" s="743" t="s">
        <v>8</v>
      </c>
      <c r="L146" s="288"/>
      <c r="M146" s="743" t="s">
        <v>8</v>
      </c>
      <c r="N146" s="288"/>
      <c r="O146" s="743" t="s">
        <v>8</v>
      </c>
      <c r="P146" s="288"/>
      <c r="Q146" s="743" t="s">
        <v>8</v>
      </c>
      <c r="R146" s="288"/>
      <c r="S146" s="743" t="s">
        <v>8</v>
      </c>
      <c r="T146" s="288"/>
      <c r="U146" s="743" t="s">
        <v>8</v>
      </c>
      <c r="V146" s="288"/>
      <c r="W146" s="743" t="s">
        <v>8</v>
      </c>
      <c r="X146" s="288"/>
      <c r="Y146" s="743" t="s">
        <v>8</v>
      </c>
      <c r="Z146" s="288"/>
      <c r="AA146" s="743" t="s">
        <v>8</v>
      </c>
      <c r="AB146" s="288"/>
      <c r="AC146" s="743" t="s">
        <v>8</v>
      </c>
      <c r="AD146" s="288"/>
      <c r="AE146" s="743" t="s">
        <v>8</v>
      </c>
      <c r="AF146" s="288"/>
      <c r="AG146" s="743" t="s">
        <v>8</v>
      </c>
      <c r="AH146" s="288"/>
      <c r="AI146" s="743" t="s">
        <v>8</v>
      </c>
      <c r="AJ146" s="288"/>
      <c r="AK146" s="286">
        <f>COUNTIF(C146:AJ146,"&gt;=R")</f>
        <v>17</v>
      </c>
      <c r="AL146" s="287">
        <f>AK146</f>
        <v>17</v>
      </c>
    </row>
    <row r="147" spans="1:38" ht="40.049999999999997" customHeight="1" x14ac:dyDescent="0.3">
      <c r="A147" s="289" t="s">
        <v>364</v>
      </c>
      <c r="B147" s="290" t="s">
        <v>365</v>
      </c>
      <c r="C147" s="291"/>
      <c r="D147" s="292"/>
      <c r="E147" s="293"/>
      <c r="F147" s="293"/>
      <c r="G147" s="293"/>
      <c r="H147" s="293"/>
      <c r="I147" s="293"/>
      <c r="J147" s="293"/>
      <c r="K147" s="293"/>
      <c r="L147" s="293"/>
      <c r="M147" s="293"/>
      <c r="N147" s="293"/>
      <c r="O147" s="293"/>
      <c r="P147" s="293"/>
      <c r="Q147" s="293"/>
      <c r="R147" s="293"/>
      <c r="S147" s="293"/>
      <c r="T147" s="293"/>
      <c r="U147" s="293"/>
      <c r="V147" s="293"/>
      <c r="W147" s="293"/>
      <c r="X147" s="293"/>
      <c r="Y147" s="293"/>
      <c r="Z147" s="293"/>
      <c r="AA147" s="293"/>
      <c r="AB147" s="293"/>
      <c r="AC147" s="293"/>
      <c r="AD147" s="293"/>
      <c r="AE147" s="293"/>
      <c r="AF147" s="293"/>
      <c r="AG147" s="293"/>
      <c r="AH147" s="293"/>
      <c r="AI147" s="294"/>
      <c r="AJ147" s="294"/>
      <c r="AK147" s="293"/>
      <c r="AL147" s="295"/>
    </row>
    <row r="148" spans="1:38" ht="40.049999999999997" customHeight="1" x14ac:dyDescent="0.3">
      <c r="A148" s="318" t="s">
        <v>366</v>
      </c>
      <c r="B148" s="319" t="s">
        <v>367</v>
      </c>
      <c r="C148" s="302"/>
      <c r="D148" s="302"/>
      <c r="E148" s="288"/>
      <c r="F148" s="288"/>
      <c r="G148" s="288"/>
      <c r="H148" s="288"/>
      <c r="I148" s="288"/>
      <c r="J148" s="288"/>
      <c r="K148" s="288"/>
      <c r="L148" s="288"/>
      <c r="M148" s="288"/>
      <c r="N148" s="288"/>
      <c r="O148" s="288"/>
      <c r="P148" s="288"/>
      <c r="Q148" s="288"/>
      <c r="R148" s="288"/>
      <c r="S148" s="288"/>
      <c r="T148" s="288"/>
      <c r="U148" s="288"/>
      <c r="V148" s="288"/>
      <c r="W148" s="288"/>
      <c r="X148" s="288"/>
      <c r="Y148" s="288"/>
      <c r="Z148" s="288"/>
      <c r="AA148" s="288"/>
      <c r="AB148" s="288"/>
      <c r="AC148" s="288"/>
      <c r="AD148" s="288"/>
      <c r="AE148" s="288"/>
      <c r="AF148" s="288"/>
      <c r="AG148" s="288"/>
      <c r="AH148" s="288"/>
      <c r="AI148" s="288"/>
      <c r="AJ148" s="288"/>
      <c r="AK148" s="286">
        <f t="shared" ref="AK148:AK155" si="8">COUNTIF(C148:AJ148,"&gt;=R")</f>
        <v>0</v>
      </c>
      <c r="AL148" s="287">
        <f t="shared" ref="AL148:AL155" si="9">AK148</f>
        <v>0</v>
      </c>
    </row>
    <row r="149" spans="1:38" ht="40.049999999999997" customHeight="1" x14ac:dyDescent="0.3">
      <c r="A149" s="320" t="s">
        <v>368</v>
      </c>
      <c r="B149" s="321" t="s">
        <v>369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8"/>
      <c r="Z149" s="288"/>
      <c r="AA149" s="288"/>
      <c r="AB149" s="288"/>
      <c r="AC149" s="288"/>
      <c r="AD149" s="288"/>
      <c r="AE149" s="288"/>
      <c r="AF149" s="288"/>
      <c r="AG149" s="288"/>
      <c r="AH149" s="288"/>
      <c r="AI149" s="288"/>
      <c r="AJ149" s="288"/>
      <c r="AK149" s="286">
        <f t="shared" si="8"/>
        <v>0</v>
      </c>
      <c r="AL149" s="287">
        <f t="shared" si="9"/>
        <v>0</v>
      </c>
    </row>
    <row r="150" spans="1:38" ht="40.049999999999997" customHeight="1" x14ac:dyDescent="0.3">
      <c r="A150" s="320" t="s">
        <v>370</v>
      </c>
      <c r="B150" s="321" t="s">
        <v>371</v>
      </c>
      <c r="C150" s="284"/>
      <c r="D150" s="302"/>
      <c r="E150" s="285"/>
      <c r="F150" s="288"/>
      <c r="G150" s="285"/>
      <c r="H150" s="288"/>
      <c r="I150" s="285"/>
      <c r="J150" s="288"/>
      <c r="K150" s="285"/>
      <c r="L150" s="288"/>
      <c r="M150" s="285"/>
      <c r="N150" s="288"/>
      <c r="O150" s="285"/>
      <c r="P150" s="288"/>
      <c r="Q150" s="285"/>
      <c r="R150" s="288"/>
      <c r="S150" s="285"/>
      <c r="T150" s="288"/>
      <c r="U150" s="285"/>
      <c r="V150" s="288"/>
      <c r="W150" s="285"/>
      <c r="X150" s="288"/>
      <c r="Y150" s="285"/>
      <c r="Z150" s="288"/>
      <c r="AA150" s="285"/>
      <c r="AB150" s="288"/>
      <c r="AC150" s="285"/>
      <c r="AD150" s="288"/>
      <c r="AE150" s="285"/>
      <c r="AF150" s="288"/>
      <c r="AG150" s="285"/>
      <c r="AH150" s="288"/>
      <c r="AI150" s="285"/>
      <c r="AJ150" s="288"/>
      <c r="AK150" s="286">
        <f t="shared" si="8"/>
        <v>0</v>
      </c>
      <c r="AL150" s="287">
        <f t="shared" si="9"/>
        <v>0</v>
      </c>
    </row>
    <row r="151" spans="1:38" ht="40.049999999999997" customHeight="1" x14ac:dyDescent="0.3">
      <c r="A151" s="322" t="s">
        <v>372</v>
      </c>
      <c r="B151" s="323" t="s">
        <v>373</v>
      </c>
      <c r="C151" s="284" t="s">
        <v>66</v>
      </c>
      <c r="D151" s="302"/>
      <c r="E151" s="288" t="s">
        <v>66</v>
      </c>
      <c r="F151" s="288"/>
      <c r="G151" s="288" t="s">
        <v>66</v>
      </c>
      <c r="H151" s="288"/>
      <c r="I151" s="285" t="s">
        <v>66</v>
      </c>
      <c r="J151" s="288"/>
      <c r="K151" s="285" t="s">
        <v>66</v>
      </c>
      <c r="L151" s="288"/>
      <c r="M151" s="285" t="s">
        <v>66</v>
      </c>
      <c r="N151" s="288"/>
      <c r="O151" s="285" t="s">
        <v>66</v>
      </c>
      <c r="P151" s="288"/>
      <c r="Q151" s="285" t="s">
        <v>27</v>
      </c>
      <c r="R151" s="288"/>
      <c r="S151" s="285" t="s">
        <v>27</v>
      </c>
      <c r="T151" s="288"/>
      <c r="U151" s="285" t="s">
        <v>27</v>
      </c>
      <c r="V151" s="288"/>
      <c r="W151" s="288" t="s">
        <v>27</v>
      </c>
      <c r="X151" s="288"/>
      <c r="Y151" s="288" t="s">
        <v>27</v>
      </c>
      <c r="Z151" s="288"/>
      <c r="AA151" s="288" t="s">
        <v>27</v>
      </c>
      <c r="AB151" s="288"/>
      <c r="AC151" s="288" t="s">
        <v>27</v>
      </c>
      <c r="AD151" s="288"/>
      <c r="AE151" s="288" t="s">
        <v>27</v>
      </c>
      <c r="AF151" s="288"/>
      <c r="AG151" s="288" t="s">
        <v>27</v>
      </c>
      <c r="AH151" s="288"/>
      <c r="AI151" s="288" t="s">
        <v>27</v>
      </c>
      <c r="AJ151" s="288"/>
      <c r="AK151" s="286">
        <f t="shared" si="8"/>
        <v>17</v>
      </c>
      <c r="AL151" s="287">
        <f t="shared" si="9"/>
        <v>17</v>
      </c>
    </row>
    <row r="152" spans="1:38" ht="40.049999999999997" customHeight="1" x14ac:dyDescent="0.3">
      <c r="A152" s="322" t="s">
        <v>374</v>
      </c>
      <c r="B152" s="323" t="s">
        <v>375</v>
      </c>
      <c r="C152" s="284" t="s">
        <v>57</v>
      </c>
      <c r="D152" s="302"/>
      <c r="E152" s="288" t="s">
        <v>57</v>
      </c>
      <c r="F152" s="288"/>
      <c r="G152" s="288" t="s">
        <v>57</v>
      </c>
      <c r="H152" s="288"/>
      <c r="I152" s="285" t="s">
        <v>57</v>
      </c>
      <c r="J152" s="288"/>
      <c r="K152" s="285" t="s">
        <v>57</v>
      </c>
      <c r="L152" s="288"/>
      <c r="M152" s="285" t="s">
        <v>57</v>
      </c>
      <c r="N152" s="288"/>
      <c r="O152" s="285" t="s">
        <v>57</v>
      </c>
      <c r="P152" s="288"/>
      <c r="Q152" s="285" t="s">
        <v>57</v>
      </c>
      <c r="R152" s="288"/>
      <c r="S152" s="285" t="s">
        <v>57</v>
      </c>
      <c r="T152" s="288"/>
      <c r="U152" s="285" t="s">
        <v>57</v>
      </c>
      <c r="V152" s="288"/>
      <c r="W152" s="288" t="s">
        <v>57</v>
      </c>
      <c r="X152" s="288"/>
      <c r="Y152" s="288" t="s">
        <v>57</v>
      </c>
      <c r="Z152" s="288"/>
      <c r="AA152" s="288" t="s">
        <v>57</v>
      </c>
      <c r="AB152" s="288"/>
      <c r="AC152" s="288" t="s">
        <v>57</v>
      </c>
      <c r="AD152" s="288"/>
      <c r="AE152" s="288" t="s">
        <v>57</v>
      </c>
      <c r="AF152" s="288"/>
      <c r="AG152" s="288" t="s">
        <v>57</v>
      </c>
      <c r="AH152" s="288"/>
      <c r="AI152" s="288" t="s">
        <v>57</v>
      </c>
      <c r="AJ152" s="288"/>
      <c r="AK152" s="286">
        <f t="shared" si="8"/>
        <v>17</v>
      </c>
      <c r="AL152" s="287">
        <f t="shared" si="9"/>
        <v>17</v>
      </c>
    </row>
    <row r="153" spans="1:38" ht="40.049999999999997" customHeight="1" x14ac:dyDescent="0.3">
      <c r="A153" s="322" t="s">
        <v>376</v>
      </c>
      <c r="B153" s="323" t="s">
        <v>377</v>
      </c>
      <c r="C153" s="284"/>
      <c r="D153" s="302"/>
      <c r="E153" s="285" t="s">
        <v>77</v>
      </c>
      <c r="F153" s="288"/>
      <c r="G153" s="285"/>
      <c r="H153" s="288"/>
      <c r="I153" s="285"/>
      <c r="J153" s="288"/>
      <c r="K153" s="285"/>
      <c r="L153" s="288"/>
      <c r="M153" s="285" t="s">
        <v>77</v>
      </c>
      <c r="N153" s="288"/>
      <c r="O153" s="285" t="s">
        <v>77</v>
      </c>
      <c r="P153" s="288"/>
      <c r="Q153" s="285" t="s">
        <v>77</v>
      </c>
      <c r="R153" s="288"/>
      <c r="S153" s="285" t="s">
        <v>77</v>
      </c>
      <c r="T153" s="288"/>
      <c r="U153" s="285"/>
      <c r="V153" s="288"/>
      <c r="W153" s="285"/>
      <c r="X153" s="288"/>
      <c r="Y153" s="285"/>
      <c r="Z153" s="288"/>
      <c r="AA153" s="285" t="s">
        <v>77</v>
      </c>
      <c r="AB153" s="288"/>
      <c r="AC153" s="285" t="s">
        <v>77</v>
      </c>
      <c r="AD153" s="288"/>
      <c r="AE153" s="285"/>
      <c r="AF153" s="288"/>
      <c r="AG153" s="285"/>
      <c r="AH153" s="288"/>
      <c r="AI153" s="285"/>
      <c r="AJ153" s="288"/>
      <c r="AK153" s="286">
        <f t="shared" si="8"/>
        <v>7</v>
      </c>
      <c r="AL153" s="287">
        <f t="shared" si="9"/>
        <v>7</v>
      </c>
    </row>
    <row r="154" spans="1:38" ht="40.049999999999997" customHeight="1" x14ac:dyDescent="0.3">
      <c r="A154" s="322" t="s">
        <v>374</v>
      </c>
      <c r="B154" s="324" t="s">
        <v>375</v>
      </c>
      <c r="C154" s="302" t="s">
        <v>57</v>
      </c>
      <c r="D154" s="302"/>
      <c r="E154" s="288" t="s">
        <v>57</v>
      </c>
      <c r="F154" s="288"/>
      <c r="G154" s="288" t="s">
        <v>57</v>
      </c>
      <c r="H154" s="288"/>
      <c r="I154" s="288" t="s">
        <v>57</v>
      </c>
      <c r="J154" s="288"/>
      <c r="K154" s="288" t="s">
        <v>57</v>
      </c>
      <c r="L154" s="288"/>
      <c r="M154" s="288" t="s">
        <v>57</v>
      </c>
      <c r="N154" s="288"/>
      <c r="O154" s="288" t="s">
        <v>57</v>
      </c>
      <c r="P154" s="288"/>
      <c r="Q154" s="288" t="s">
        <v>57</v>
      </c>
      <c r="R154" s="288"/>
      <c r="S154" s="288" t="s">
        <v>57</v>
      </c>
      <c r="T154" s="288"/>
      <c r="U154" s="288" t="s">
        <v>57</v>
      </c>
      <c r="V154" s="288"/>
      <c r="W154" s="288" t="s">
        <v>57</v>
      </c>
      <c r="X154" s="288"/>
      <c r="Y154" s="288" t="s">
        <v>57</v>
      </c>
      <c r="Z154" s="288"/>
      <c r="AA154" s="288" t="s">
        <v>57</v>
      </c>
      <c r="AB154" s="288"/>
      <c r="AC154" s="288" t="s">
        <v>57</v>
      </c>
      <c r="AD154" s="288"/>
      <c r="AE154" s="288" t="s">
        <v>57</v>
      </c>
      <c r="AF154" s="288"/>
      <c r="AG154" s="288" t="s">
        <v>57</v>
      </c>
      <c r="AH154" s="288"/>
      <c r="AI154" s="288" t="s">
        <v>57</v>
      </c>
      <c r="AJ154" s="288"/>
      <c r="AK154" s="286">
        <f t="shared" si="8"/>
        <v>17</v>
      </c>
      <c r="AL154" s="287">
        <f t="shared" si="9"/>
        <v>17</v>
      </c>
    </row>
    <row r="155" spans="1:38" ht="40.049999999999997" customHeight="1" x14ac:dyDescent="0.65">
      <c r="A155" s="357" t="s">
        <v>378</v>
      </c>
      <c r="B155" s="896" t="s">
        <v>379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8"/>
      <c r="Z155" s="288"/>
      <c r="AA155" s="288"/>
      <c r="AB155" s="288"/>
      <c r="AC155" s="288"/>
      <c r="AD155" s="288"/>
      <c r="AE155" s="288"/>
      <c r="AF155" s="288"/>
      <c r="AG155" s="288"/>
      <c r="AH155" s="288"/>
      <c r="AI155" s="288"/>
      <c r="AJ155" s="288"/>
      <c r="AK155" s="286">
        <f t="shared" si="8"/>
        <v>0</v>
      </c>
      <c r="AL155" s="287">
        <f t="shared" si="9"/>
        <v>0</v>
      </c>
    </row>
    <row r="156" spans="1:38" ht="40.049999999999997" customHeight="1" x14ac:dyDescent="0.3">
      <c r="A156" s="289" t="s">
        <v>380</v>
      </c>
      <c r="B156" s="290" t="s">
        <v>381</v>
      </c>
      <c r="C156" s="291"/>
      <c r="D156" s="292"/>
      <c r="E156" s="293"/>
      <c r="F156" s="293"/>
      <c r="G156" s="293"/>
      <c r="H156" s="293"/>
      <c r="I156" s="293"/>
      <c r="J156" s="293"/>
      <c r="K156" s="293"/>
      <c r="L156" s="293"/>
      <c r="M156" s="293"/>
      <c r="N156" s="293"/>
      <c r="O156" s="293"/>
      <c r="P156" s="293"/>
      <c r="Q156" s="293"/>
      <c r="R156" s="293"/>
      <c r="S156" s="293"/>
      <c r="T156" s="293"/>
      <c r="U156" s="293"/>
      <c r="V156" s="293"/>
      <c r="W156" s="293"/>
      <c r="X156" s="293"/>
      <c r="Y156" s="293"/>
      <c r="Z156" s="293"/>
      <c r="AA156" s="293"/>
      <c r="AB156" s="293"/>
      <c r="AC156" s="293"/>
      <c r="AD156" s="293"/>
      <c r="AE156" s="293"/>
      <c r="AF156" s="293"/>
      <c r="AG156" s="293"/>
      <c r="AH156" s="293"/>
      <c r="AI156" s="294"/>
      <c r="AJ156" s="294"/>
      <c r="AK156" s="293"/>
      <c r="AL156" s="295"/>
    </row>
    <row r="157" spans="1:38" ht="40.049999999999997" customHeight="1" x14ac:dyDescent="0.3">
      <c r="A157" s="308" t="s">
        <v>382</v>
      </c>
      <c r="B157" s="309" t="s">
        <v>383</v>
      </c>
      <c r="C157" s="283" t="s">
        <v>93</v>
      </c>
      <c r="D157" s="302"/>
      <c r="E157" s="288" t="s">
        <v>93</v>
      </c>
      <c r="F157" s="288"/>
      <c r="G157" s="288" t="s">
        <v>93</v>
      </c>
      <c r="H157" s="288"/>
      <c r="I157" s="288" t="s">
        <v>93</v>
      </c>
      <c r="J157" s="288"/>
      <c r="K157" s="288" t="s">
        <v>93</v>
      </c>
      <c r="L157" s="288"/>
      <c r="M157" s="288" t="s">
        <v>93</v>
      </c>
      <c r="N157" s="288"/>
      <c r="O157" s="288" t="s">
        <v>93</v>
      </c>
      <c r="P157" s="288"/>
      <c r="Q157" s="288" t="s">
        <v>93</v>
      </c>
      <c r="R157" s="288"/>
      <c r="S157" s="288" t="s">
        <v>93</v>
      </c>
      <c r="T157" s="288"/>
      <c r="U157" s="288" t="s">
        <v>93</v>
      </c>
      <c r="V157" s="288"/>
      <c r="W157" s="288" t="s">
        <v>93</v>
      </c>
      <c r="X157" s="288"/>
      <c r="Y157" s="288" t="s">
        <v>93</v>
      </c>
      <c r="Z157" s="288"/>
      <c r="AA157" s="288" t="s">
        <v>93</v>
      </c>
      <c r="AB157" s="288"/>
      <c r="AC157" s="288" t="s">
        <v>93</v>
      </c>
      <c r="AD157" s="288"/>
      <c r="AE157" s="288" t="s">
        <v>93</v>
      </c>
      <c r="AF157" s="288"/>
      <c r="AG157" s="288" t="s">
        <v>93</v>
      </c>
      <c r="AH157" s="288"/>
      <c r="AI157" s="288" t="s">
        <v>93</v>
      </c>
      <c r="AJ157" s="288"/>
      <c r="AK157" s="286">
        <f>COUNTIF(C157:AJ157,"&gt;=R")</f>
        <v>17</v>
      </c>
      <c r="AL157" s="287">
        <f>AK157</f>
        <v>17</v>
      </c>
    </row>
    <row r="158" spans="1:38" ht="40.049999999999997" customHeight="1" x14ac:dyDescent="0.3">
      <c r="A158" s="308" t="s">
        <v>384</v>
      </c>
      <c r="B158" s="309" t="s">
        <v>385</v>
      </c>
      <c r="C158" s="283"/>
      <c r="D158" s="302"/>
      <c r="E158" s="283"/>
      <c r="F158" s="288"/>
      <c r="G158" s="283"/>
      <c r="H158" s="288"/>
      <c r="I158" s="283"/>
      <c r="J158" s="288"/>
      <c r="K158" s="283"/>
      <c r="L158" s="288"/>
      <c r="M158" s="283"/>
      <c r="N158" s="288"/>
      <c r="O158" s="283"/>
      <c r="P158" s="288"/>
      <c r="Q158" s="283"/>
      <c r="R158" s="288"/>
      <c r="S158" s="283"/>
      <c r="T158" s="288"/>
      <c r="U158" s="283"/>
      <c r="V158" s="288"/>
      <c r="W158" s="283"/>
      <c r="X158" s="288"/>
      <c r="Y158" s="283"/>
      <c r="Z158" s="288"/>
      <c r="AA158" s="283"/>
      <c r="AB158" s="288"/>
      <c r="AC158" s="283"/>
      <c r="AD158" s="288"/>
      <c r="AE158" s="283"/>
      <c r="AF158" s="288"/>
      <c r="AG158" s="283"/>
      <c r="AH158" s="288"/>
      <c r="AI158" s="283"/>
      <c r="AJ158" s="288"/>
      <c r="AK158" s="286">
        <f>COUNTIF(C158:AJ158,"&gt;=R")</f>
        <v>0</v>
      </c>
      <c r="AL158" s="287">
        <f>AK158</f>
        <v>0</v>
      </c>
    </row>
    <row r="159" spans="1:38" ht="40.049999999999997" customHeight="1" x14ac:dyDescent="0.3">
      <c r="A159" s="308" t="s">
        <v>386</v>
      </c>
      <c r="B159" s="309" t="s">
        <v>387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3"/>
      <c r="V159" s="288"/>
      <c r="W159" s="283"/>
      <c r="X159" s="288"/>
      <c r="Y159" s="283"/>
      <c r="Z159" s="288"/>
      <c r="AA159" s="283"/>
      <c r="AB159" s="288"/>
      <c r="AC159" s="283"/>
      <c r="AD159" s="288"/>
      <c r="AE159" s="283"/>
      <c r="AF159" s="288"/>
      <c r="AG159" s="283"/>
      <c r="AH159" s="288"/>
      <c r="AI159" s="283"/>
      <c r="AJ159" s="288"/>
      <c r="AK159" s="286">
        <f>COUNTIF(C159:AJ159,"&gt;=R")</f>
        <v>0</v>
      </c>
      <c r="AL159" s="287">
        <f>AK159</f>
        <v>0</v>
      </c>
    </row>
    <row r="160" spans="1:38" ht="40.049999999999997" customHeight="1" x14ac:dyDescent="0.3">
      <c r="A160" s="308" t="s">
        <v>388</v>
      </c>
      <c r="B160" s="309" t="s">
        <v>389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3"/>
      <c r="V160" s="288"/>
      <c r="W160" s="283"/>
      <c r="X160" s="288"/>
      <c r="Y160" s="283"/>
      <c r="Z160" s="288"/>
      <c r="AA160" s="283"/>
      <c r="AB160" s="288"/>
      <c r="AC160" s="283"/>
      <c r="AD160" s="288"/>
      <c r="AE160" s="283"/>
      <c r="AF160" s="288"/>
      <c r="AG160" s="283"/>
      <c r="AH160" s="288"/>
      <c r="AI160" s="283"/>
      <c r="AJ160" s="288"/>
      <c r="AK160" s="286">
        <f>COUNTIF(C160:AJ160,"&gt;=R")</f>
        <v>0</v>
      </c>
      <c r="AL160" s="287">
        <f>AK160</f>
        <v>0</v>
      </c>
    </row>
    <row r="161" spans="1:65" ht="40.049999999999997" customHeight="1" x14ac:dyDescent="0.3">
      <c r="A161" s="289" t="s">
        <v>390</v>
      </c>
      <c r="B161" s="311" t="s">
        <v>391</v>
      </c>
      <c r="C161" s="291"/>
      <c r="D161" s="292"/>
      <c r="E161" s="293"/>
      <c r="F161" s="293"/>
      <c r="G161" s="293"/>
      <c r="H161" s="293"/>
      <c r="I161" s="293"/>
      <c r="J161" s="293"/>
      <c r="K161" s="293"/>
      <c r="L161" s="293"/>
      <c r="M161" s="293"/>
      <c r="N161" s="293"/>
      <c r="O161" s="293"/>
      <c r="P161" s="293"/>
      <c r="Q161" s="293"/>
      <c r="R161" s="293"/>
      <c r="S161" s="293"/>
      <c r="T161" s="293"/>
      <c r="U161" s="293"/>
      <c r="V161" s="293"/>
      <c r="W161" s="293"/>
      <c r="X161" s="293"/>
      <c r="Y161" s="293"/>
      <c r="Z161" s="293"/>
      <c r="AA161" s="293"/>
      <c r="AB161" s="293"/>
      <c r="AC161" s="293"/>
      <c r="AD161" s="293"/>
      <c r="AE161" s="293"/>
      <c r="AF161" s="293"/>
      <c r="AG161" s="293"/>
      <c r="AH161" s="293"/>
      <c r="AI161" s="294"/>
      <c r="AJ161" s="294"/>
      <c r="AK161" s="293"/>
      <c r="AL161" s="295"/>
    </row>
    <row r="162" spans="1:65" ht="40.049999999999997" customHeight="1" x14ac:dyDescent="0.3">
      <c r="A162" s="320" t="s">
        <v>392</v>
      </c>
      <c r="B162" s="321" t="s">
        <v>393</v>
      </c>
      <c r="C162" s="283"/>
      <c r="D162" s="302"/>
      <c r="E162" s="283"/>
      <c r="F162" s="288"/>
      <c r="G162" s="283"/>
      <c r="H162" s="288"/>
      <c r="I162" s="288"/>
      <c r="J162" s="288"/>
      <c r="K162" s="283"/>
      <c r="L162" s="288"/>
      <c r="M162" s="283"/>
      <c r="N162" s="288"/>
      <c r="O162" s="283"/>
      <c r="P162" s="288"/>
      <c r="Q162" s="283"/>
      <c r="R162" s="288"/>
      <c r="S162" s="283"/>
      <c r="T162" s="288"/>
      <c r="U162" s="283"/>
      <c r="V162" s="288"/>
      <c r="W162" s="283"/>
      <c r="X162" s="288"/>
      <c r="Y162" s="283"/>
      <c r="Z162" s="288"/>
      <c r="AA162" s="283"/>
      <c r="AB162" s="288"/>
      <c r="AC162" s="283"/>
      <c r="AD162" s="288"/>
      <c r="AE162" s="283"/>
      <c r="AF162" s="288"/>
      <c r="AG162" s="283"/>
      <c r="AH162" s="288"/>
      <c r="AI162" s="283"/>
      <c r="AJ162" s="288"/>
      <c r="AK162" s="286">
        <f>COUNTIF(C162:AJ162,"&gt;=R")</f>
        <v>0</v>
      </c>
      <c r="AL162" s="287">
        <f>AK162</f>
        <v>0</v>
      </c>
    </row>
    <row r="163" spans="1:65" ht="40.049999999999997" customHeight="1" x14ac:dyDescent="0.45">
      <c r="A163" s="320" t="s">
        <v>394</v>
      </c>
      <c r="B163" s="321" t="s">
        <v>395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3"/>
      <c r="Z163" s="288"/>
      <c r="AA163" s="283"/>
      <c r="AB163" s="288"/>
      <c r="AC163" s="283"/>
      <c r="AD163" s="288"/>
      <c r="AE163" s="283"/>
      <c r="AF163" s="288"/>
      <c r="AG163" s="283"/>
      <c r="AH163" s="288"/>
      <c r="AI163" s="283"/>
      <c r="AJ163" s="288"/>
      <c r="AK163" s="286">
        <f>COUNTIF(C163:AJ163,"&gt;=R")</f>
        <v>0</v>
      </c>
      <c r="AL163" s="287">
        <f>AK163</f>
        <v>0</v>
      </c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65" ht="40.049999999999997" customHeight="1" thickBot="1" x14ac:dyDescent="0.35">
      <c r="A164" s="325" t="s">
        <v>396</v>
      </c>
      <c r="B164" s="326" t="s">
        <v>397</v>
      </c>
      <c r="C164" s="327"/>
      <c r="D164" s="328"/>
      <c r="E164" s="327"/>
      <c r="F164" s="329"/>
      <c r="G164" s="327"/>
      <c r="H164" s="329"/>
      <c r="I164" s="329"/>
      <c r="J164" s="329"/>
      <c r="K164" s="327"/>
      <c r="L164" s="329"/>
      <c r="M164" s="327"/>
      <c r="N164" s="329"/>
      <c r="O164" s="327"/>
      <c r="P164" s="329"/>
      <c r="Q164" s="327"/>
      <c r="R164" s="329"/>
      <c r="S164" s="327"/>
      <c r="T164" s="329"/>
      <c r="U164" s="327"/>
      <c r="V164" s="329"/>
      <c r="W164" s="327"/>
      <c r="X164" s="329"/>
      <c r="Y164" s="327"/>
      <c r="Z164" s="329"/>
      <c r="AA164" s="327"/>
      <c r="AB164" s="329"/>
      <c r="AC164" s="327"/>
      <c r="AD164" s="329"/>
      <c r="AE164" s="327"/>
      <c r="AF164" s="329"/>
      <c r="AG164" s="327"/>
      <c r="AH164" s="329"/>
      <c r="AI164" s="327"/>
      <c r="AJ164" s="329"/>
      <c r="AK164" s="286">
        <f>COUNTIF(C164:AJ164,"&gt;=R")</f>
        <v>0</v>
      </c>
      <c r="AL164" s="287">
        <f>AK164</f>
        <v>0</v>
      </c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</row>
    <row r="165" spans="1:65" ht="25.2" customHeight="1" x14ac:dyDescent="0.4">
      <c r="A165" s="214"/>
      <c r="B165" s="2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</row>
    <row r="166" spans="1:65" ht="25.2" customHeight="1" x14ac:dyDescent="0.4">
      <c r="A166" s="214"/>
      <c r="B166" s="2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</row>
    <row r="167" spans="1:65" ht="25.2" customHeight="1" x14ac:dyDescent="0.4">
      <c r="A167" s="214"/>
      <c r="B167" s="2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</row>
    <row r="168" spans="1:65" ht="25.2" customHeight="1" x14ac:dyDescent="0.4">
      <c r="A168" s="214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</row>
    <row r="169" spans="1:65" ht="25.2" customHeight="1" x14ac:dyDescent="0.4">
      <c r="A169" s="214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</row>
    <row r="170" spans="1:65" ht="25.2" customHeight="1" x14ac:dyDescent="0.4">
      <c r="A170" s="214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</row>
    <row r="171" spans="1:65" ht="25.2" customHeight="1" x14ac:dyDescent="0.4">
      <c r="A171" s="214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</row>
    <row r="172" spans="1:65" ht="25.2" customHeight="1" x14ac:dyDescent="0.4">
      <c r="A172" s="216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</row>
    <row r="173" spans="1:65" ht="25.2" customHeight="1" x14ac:dyDescent="0.4">
      <c r="A173" s="216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</row>
    <row r="174" spans="1:65" ht="25.2" customHeight="1" x14ac:dyDescent="0.4">
      <c r="A174" s="21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</row>
    <row r="175" spans="1:65" ht="25.2" customHeight="1" x14ac:dyDescent="0.4">
      <c r="A175" s="21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</row>
    <row r="176" spans="1:65" ht="25.2" customHeight="1" x14ac:dyDescent="0.4">
      <c r="A176" s="217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</row>
    <row r="177" spans="1:65" ht="24.6" customHeight="1" x14ac:dyDescent="0.4">
      <c r="A177" s="218"/>
      <c r="B177" s="219"/>
      <c r="C177" s="220"/>
      <c r="D177" s="220"/>
      <c r="E177" s="220"/>
      <c r="F177" s="219"/>
      <c r="G177" s="219"/>
      <c r="H177" s="219"/>
      <c r="I177" s="221"/>
      <c r="J177" s="221"/>
      <c r="K177" s="221"/>
      <c r="L177" s="221"/>
      <c r="M177" s="221"/>
      <c r="N177" s="221"/>
      <c r="O177" s="115"/>
      <c r="P177" s="220"/>
      <c r="Q177" s="220"/>
      <c r="R177" s="220"/>
      <c r="S177" s="220"/>
      <c r="T177" s="219"/>
      <c r="U177" s="219"/>
      <c r="V177" s="219"/>
      <c r="W177" s="219"/>
      <c r="X177" s="221"/>
      <c r="Y177" s="221"/>
      <c r="Z177" s="221"/>
      <c r="AA177" s="219"/>
      <c r="AB177" s="114"/>
      <c r="AC177" s="114"/>
      <c r="AD177" s="220"/>
      <c r="AE177" s="223"/>
      <c r="AF177" s="223"/>
      <c r="AG177" s="221"/>
      <c r="AH177" s="221"/>
      <c r="AI177" s="221"/>
      <c r="AJ177" s="221"/>
      <c r="AK177" s="221"/>
      <c r="AL177" s="221"/>
      <c r="AM177" s="1"/>
      <c r="AN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</row>
    <row r="178" spans="1:65" s="357" customFormat="1" ht="25.2" customHeight="1" x14ac:dyDescent="0.65">
      <c r="A178" s="480"/>
      <c r="B178" s="330" t="s">
        <v>398</v>
      </c>
      <c r="C178" s="330"/>
      <c r="D178" s="330"/>
      <c r="E178" s="330"/>
      <c r="F178" s="1070" t="s">
        <v>44</v>
      </c>
      <c r="G178" s="1009"/>
      <c r="H178" s="1009"/>
      <c r="I178" s="1009"/>
      <c r="J178" s="1009"/>
      <c r="K178" s="1009"/>
      <c r="L178" s="1009"/>
      <c r="M178" s="1009"/>
      <c r="N178" s="1009"/>
      <c r="O178" s="393"/>
      <c r="P178" s="474"/>
      <c r="Q178" s="474"/>
      <c r="R178" s="474"/>
      <c r="S178" s="474"/>
      <c r="T178" s="1070" t="s">
        <v>399</v>
      </c>
      <c r="U178" s="1009"/>
      <c r="V178" s="1009"/>
      <c r="W178" s="1009"/>
      <c r="X178" s="1009"/>
      <c r="Y178" s="1009"/>
      <c r="Z178" s="1009"/>
      <c r="AA178" s="1009"/>
      <c r="AD178" s="393"/>
      <c r="AE178" s="393"/>
      <c r="AF178" s="393"/>
      <c r="AG178" s="1094" t="s">
        <v>73</v>
      </c>
      <c r="AH178" s="1009"/>
      <c r="AI178" s="1009"/>
      <c r="AJ178" s="1009"/>
      <c r="AK178" s="1009"/>
      <c r="AL178" s="1009"/>
      <c r="AM178" s="475"/>
      <c r="AN178" s="475"/>
      <c r="AO178" s="475"/>
      <c r="AP178" s="475"/>
      <c r="AQ178" s="475"/>
      <c r="AR178" s="475"/>
      <c r="AS178" s="475"/>
      <c r="AT178" s="475"/>
      <c r="AU178" s="475"/>
      <c r="AV178" s="475"/>
      <c r="AW178" s="475"/>
      <c r="AX178" s="393"/>
      <c r="AY178" s="393"/>
      <c r="AZ178" s="393"/>
      <c r="BA178" s="393"/>
      <c r="BB178" s="393"/>
      <c r="BC178" s="393"/>
      <c r="BD178" s="393"/>
      <c r="BE178" s="393"/>
      <c r="BF178" s="393"/>
      <c r="BG178" s="393"/>
      <c r="BH178" s="1083"/>
      <c r="BI178" s="1042"/>
      <c r="BJ178" s="1042"/>
      <c r="BK178" s="1042"/>
      <c r="BL178" s="1042"/>
      <c r="BM178" s="393"/>
    </row>
    <row r="179" spans="1:65" s="357" customFormat="1" ht="25.2" customHeight="1" x14ac:dyDescent="0.65">
      <c r="A179" s="480"/>
      <c r="B179" s="476" t="s">
        <v>35</v>
      </c>
      <c r="C179" s="476"/>
      <c r="D179" s="476"/>
      <c r="E179" s="476"/>
      <c r="F179" s="1092" t="s">
        <v>54</v>
      </c>
      <c r="G179" s="1042"/>
      <c r="H179" s="1042"/>
      <c r="I179" s="1042"/>
      <c r="J179" s="1042"/>
      <c r="K179" s="1042"/>
      <c r="L179" s="1042"/>
      <c r="M179" s="1042"/>
      <c r="N179" s="1042"/>
      <c r="O179" s="477"/>
      <c r="P179" s="477"/>
      <c r="Q179" s="477"/>
      <c r="R179" s="477"/>
      <c r="S179" s="477"/>
      <c r="T179" s="1041" t="s">
        <v>400</v>
      </c>
      <c r="U179" s="1042"/>
      <c r="V179" s="1042"/>
      <c r="W179" s="1042"/>
      <c r="X179" s="1042"/>
      <c r="Y179" s="1042"/>
      <c r="Z179" s="1042"/>
      <c r="AA179" s="1042"/>
      <c r="AD179" s="393"/>
      <c r="AE179" s="393"/>
      <c r="AF179" s="393"/>
      <c r="AG179" s="1041" t="s">
        <v>74</v>
      </c>
      <c r="AH179" s="1042"/>
      <c r="AI179" s="1042"/>
      <c r="AJ179" s="1042"/>
      <c r="AK179" s="1042"/>
      <c r="AL179" s="1042"/>
      <c r="AM179" s="477"/>
      <c r="AO179" s="481"/>
      <c r="AP179" s="481"/>
      <c r="AQ179" s="481"/>
      <c r="AR179" s="481"/>
      <c r="AS179" s="481"/>
      <c r="AT179" s="477"/>
      <c r="AU179" s="479"/>
      <c r="AV179" s="479"/>
      <c r="AW179" s="479"/>
      <c r="AX179" s="393"/>
      <c r="AY179" s="393"/>
      <c r="AZ179" s="393"/>
      <c r="BA179" s="393"/>
      <c r="BB179" s="393"/>
      <c r="BC179" s="393"/>
      <c r="BD179" s="393"/>
      <c r="BE179" s="393"/>
      <c r="BF179" s="393"/>
      <c r="BG179" s="393"/>
      <c r="BH179" s="1071"/>
      <c r="BI179" s="1042"/>
      <c r="BJ179" s="1042"/>
      <c r="BK179" s="1042"/>
      <c r="BL179" s="1042"/>
      <c r="BM179" s="393"/>
    </row>
    <row r="180" spans="1:65" ht="18" customHeight="1" x14ac:dyDescent="0.4">
      <c r="A180" s="897"/>
      <c r="B180" s="116"/>
      <c r="C180" s="116"/>
      <c r="D180" s="116"/>
      <c r="E180" s="116"/>
      <c r="F180" s="116"/>
      <c r="G180" s="224"/>
      <c r="H180" s="224"/>
      <c r="I180" s="115"/>
      <c r="J180" s="115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081"/>
      <c r="W180" s="978"/>
      <c r="X180" s="978"/>
      <c r="Y180" s="978"/>
      <c r="Z180" s="978"/>
      <c r="AA180" s="978"/>
      <c r="AB180" s="115"/>
      <c r="AC180" s="224"/>
      <c r="AD180" s="115"/>
      <c r="AE180" s="115"/>
      <c r="AF180" s="115"/>
      <c r="AG180" s="115"/>
      <c r="AH180" s="115"/>
      <c r="AI180" s="116"/>
      <c r="AJ180" s="116"/>
      <c r="AK180" s="116"/>
      <c r="AL180" s="116"/>
      <c r="AM180" s="42"/>
      <c r="AN180" s="42"/>
      <c r="AO180" s="42"/>
      <c r="AP180" s="42"/>
      <c r="AQ180" s="42"/>
      <c r="AR180" s="42"/>
      <c r="AS180" s="42"/>
      <c r="AT180" s="42"/>
      <c r="AU180" s="9"/>
      <c r="AV180" s="9"/>
      <c r="AW180" s="9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</row>
  </sheetData>
  <mergeCells count="110">
    <mergeCell ref="V180:AA180"/>
    <mergeCell ref="Q16:R16"/>
    <mergeCell ref="S7:U7"/>
    <mergeCell ref="S16:T16"/>
    <mergeCell ref="AC16:AD16"/>
    <mergeCell ref="AE16:AF16"/>
    <mergeCell ref="BH178:BL178"/>
    <mergeCell ref="AE8:AG8"/>
    <mergeCell ref="S10:U10"/>
    <mergeCell ref="AA7:AC7"/>
    <mergeCell ref="AE10:AG10"/>
    <mergeCell ref="S9:U9"/>
    <mergeCell ref="O8:Q8"/>
    <mergeCell ref="AM9:AN9"/>
    <mergeCell ref="W11:Y11"/>
    <mergeCell ref="O11:Q11"/>
    <mergeCell ref="AJ15:AK15"/>
    <mergeCell ref="AM11:AN11"/>
    <mergeCell ref="AA9:AC9"/>
    <mergeCell ref="AG178:AL178"/>
    <mergeCell ref="AE12:AG12"/>
    <mergeCell ref="A1:A3"/>
    <mergeCell ref="AE5:AG5"/>
    <mergeCell ref="AE11:AG11"/>
    <mergeCell ref="AI5:AK5"/>
    <mergeCell ref="S4:U4"/>
    <mergeCell ref="AE4:AG4"/>
    <mergeCell ref="AM4:AN4"/>
    <mergeCell ref="C1:AK3"/>
    <mergeCell ref="S12:U12"/>
    <mergeCell ref="W6:Y6"/>
    <mergeCell ref="O6:Q6"/>
    <mergeCell ref="AM12:AN12"/>
    <mergeCell ref="AA6:AC6"/>
    <mergeCell ref="AM5:AN5"/>
    <mergeCell ref="S5:U5"/>
    <mergeCell ref="K6:M6"/>
    <mergeCell ref="AM6:AN6"/>
    <mergeCell ref="W5:Y5"/>
    <mergeCell ref="AI6:AK6"/>
    <mergeCell ref="BH179:BL179"/>
    <mergeCell ref="B14:B16"/>
    <mergeCell ref="S8:U8"/>
    <mergeCell ref="K16:L16"/>
    <mergeCell ref="AM8:AN8"/>
    <mergeCell ref="AE9:AG9"/>
    <mergeCell ref="A13:AK13"/>
    <mergeCell ref="AI12:AK12"/>
    <mergeCell ref="AA11:AC11"/>
    <mergeCell ref="C16:D16"/>
    <mergeCell ref="F179:N179"/>
    <mergeCell ref="AM10:AN10"/>
    <mergeCell ref="C4:F8"/>
    <mergeCell ref="W4:Y4"/>
    <mergeCell ref="AI8:AK8"/>
    <mergeCell ref="F178:N178"/>
    <mergeCell ref="W10:Y10"/>
    <mergeCell ref="AM7:AN7"/>
    <mergeCell ref="AE7:AG7"/>
    <mergeCell ref="E16:F16"/>
    <mergeCell ref="T178:AA178"/>
    <mergeCell ref="G16:H16"/>
    <mergeCell ref="AI10:AK10"/>
    <mergeCell ref="A14:A16"/>
    <mergeCell ref="K12:M12"/>
    <mergeCell ref="AI4:AK4"/>
    <mergeCell ref="W12:Y12"/>
    <mergeCell ref="K8:M8"/>
    <mergeCell ref="C9:F12"/>
    <mergeCell ref="W9:Y9"/>
    <mergeCell ref="O12:Q12"/>
    <mergeCell ref="AA12:AC12"/>
    <mergeCell ref="K7:M7"/>
    <mergeCell ref="AE6:AG6"/>
    <mergeCell ref="G4:I8"/>
    <mergeCell ref="W16:X16"/>
    <mergeCell ref="K4:M4"/>
    <mergeCell ref="AG16:AH16"/>
    <mergeCell ref="AI16:AJ16"/>
    <mergeCell ref="O7:Q7"/>
    <mergeCell ref="B1:B3"/>
    <mergeCell ref="AA10:AC10"/>
    <mergeCell ref="K9:M9"/>
    <mergeCell ref="K5:M5"/>
    <mergeCell ref="O9:Q9"/>
    <mergeCell ref="AI9:AK9"/>
    <mergeCell ref="S11:U11"/>
    <mergeCell ref="K11:M11"/>
    <mergeCell ref="O5:Q5"/>
    <mergeCell ref="AI11:AK11"/>
    <mergeCell ref="G9:I12"/>
    <mergeCell ref="AA5:AC5"/>
    <mergeCell ref="AD15:AI15"/>
    <mergeCell ref="O4:Q4"/>
    <mergeCell ref="AA4:AC4"/>
    <mergeCell ref="AG179:AL179"/>
    <mergeCell ref="W7:Y7"/>
    <mergeCell ref="S6:U6"/>
    <mergeCell ref="AI7:AK7"/>
    <mergeCell ref="I16:J16"/>
    <mergeCell ref="U16:V16"/>
    <mergeCell ref="W8:Y8"/>
    <mergeCell ref="M16:N16"/>
    <mergeCell ref="O16:P16"/>
    <mergeCell ref="K10:M10"/>
    <mergeCell ref="Y16:Z16"/>
    <mergeCell ref="AA16:AB16"/>
    <mergeCell ref="AA8:AC8"/>
    <mergeCell ref="O10:Q10"/>
    <mergeCell ref="T179:AA179"/>
  </mergeCells>
  <conditionalFormatting sqref="C33 E33 G33 I33">
    <cfRule type="cellIs" dxfId="427" priority="201" stopIfTrue="1" operator="notEqual">
      <formula>0</formula>
    </cfRule>
    <cfRule type="containsText" dxfId="426" priority="200" operator="containsText" text="R4">
      <formula>NOT(ISERROR(SEARCH("R4",C33)))</formula>
    </cfRule>
    <cfRule type="containsText" dxfId="425" priority="199" operator="containsText" text="R5">
      <formula>NOT(ISERROR(SEARCH("R5",C33)))</formula>
    </cfRule>
    <cfRule type="containsText" dxfId="424" priority="198" operator="containsText" text="R6">
      <formula>NOT(ISERROR(SEARCH("R6",C33)))</formula>
    </cfRule>
    <cfRule type="containsText" dxfId="423" priority="197" operator="containsText" text="R7">
      <formula>NOT(ISERROR(SEARCH("R7",C33)))</formula>
    </cfRule>
    <cfRule type="containsText" dxfId="422" priority="196" operator="containsText" text="R8">
      <formula>NOT(ISERROR(SEARCH("R8",C33)))</formula>
    </cfRule>
    <cfRule type="containsText" dxfId="421" priority="195" operator="containsText" text="R9">
      <formula>NOT(ISERROR(SEARCH("R9",C33)))</formula>
    </cfRule>
    <cfRule type="containsText" dxfId="420" priority="194" operator="containsText" text="R10">
      <formula>NOT(ISERROR(SEARCH("R10",C33)))</formula>
    </cfRule>
    <cfRule type="containsText" dxfId="419" priority="193" operator="containsText" text="R11">
      <formula>NOT(ISERROR(SEARCH("R11",C33)))</formula>
    </cfRule>
    <cfRule type="containsText" dxfId="418" priority="192" operator="containsText" text="R12">
      <formula>NOT(ISERROR(SEARCH("R12",C33)))</formula>
    </cfRule>
    <cfRule type="containsText" dxfId="417" priority="191" operator="containsText" text="R14">
      <formula>NOT(ISERROR(SEARCH("R14",C33)))</formula>
    </cfRule>
    <cfRule type="cellIs" dxfId="416" priority="202" stopIfTrue="1" operator="equal">
      <formula>0</formula>
    </cfRule>
    <cfRule type="containsText" dxfId="415" priority="189" operator="containsText" text="R16">
      <formula>NOT(ISERROR(SEARCH("R16",C33)))</formula>
    </cfRule>
    <cfRule type="containsText" dxfId="414" priority="188" operator="containsText" text="R20">
      <formula>NOT(ISERROR(SEARCH("R20",C33)))</formula>
    </cfRule>
    <cfRule type="containsText" dxfId="413" priority="187" operator="containsText" text="R21">
      <formula>NOT(ISERROR(SEARCH("R21",C33)))</formula>
    </cfRule>
    <cfRule type="cellIs" dxfId="412" priority="184" stopIfTrue="1" operator="equal">
      <formula>0</formula>
    </cfRule>
    <cfRule type="cellIs" dxfId="411" priority="183" stopIfTrue="1" operator="notEqual">
      <formula>0</formula>
    </cfRule>
    <cfRule type="containsText" dxfId="410" priority="190" operator="containsText" text="R15">
      <formula>NOT(ISERROR(SEARCH("R15",C33)))</formula>
    </cfRule>
  </conditionalFormatting>
  <conditionalFormatting sqref="C33:AJ33">
    <cfRule type="containsText" dxfId="409" priority="174" operator="containsText" text="R33">
      <formula>NOT(ISERROR(SEARCH("R33",C33)))</formula>
    </cfRule>
    <cfRule type="containsText" dxfId="408" priority="173" operator="containsText" text="R34">
      <formula>NOT(ISERROR(SEARCH("R34",C33)))</formula>
    </cfRule>
    <cfRule type="containsText" dxfId="407" priority="172" operator="containsText" text="R35">
      <formula>NOT(ISERROR(SEARCH("R35",C33)))</formula>
    </cfRule>
    <cfRule type="containsText" dxfId="406" priority="186" operator="containsText" text="R23">
      <formula>NOT(ISERROR(SEARCH("R23",C33)))</formula>
    </cfRule>
    <cfRule type="containsText" dxfId="405" priority="179" operator="containsText" text="R29">
      <formula>NOT(ISERROR(SEARCH("R29",C33)))</formula>
    </cfRule>
    <cfRule type="containsText" dxfId="404" priority="185" operator="containsText" text="R24">
      <formula>NOT(ISERROR(SEARCH("R24",C33)))</formula>
    </cfRule>
    <cfRule type="containsText" dxfId="403" priority="181" operator="containsText" text="R25">
      <formula>NOT(ISERROR(SEARCH("R25",C33)))</formula>
    </cfRule>
    <cfRule type="containsText" dxfId="402" priority="180" operator="containsText" text="R27">
      <formula>NOT(ISERROR(SEARCH("R27",C33)))</formula>
    </cfRule>
    <cfRule type="containsText" priority="178" operator="containsText" text="R30">
      <formula>NOT(ISERROR(SEARCH("R30",C33)))</formula>
    </cfRule>
    <cfRule type="containsText" dxfId="401" priority="171" operator="containsText" text="R36">
      <formula>NOT(ISERROR(SEARCH("R36",C33)))</formula>
    </cfRule>
    <cfRule type="containsText" dxfId="400" priority="170" operator="containsText" text="R37">
      <formula>NOT(ISERROR(SEARCH("R37",C33)))</formula>
    </cfRule>
    <cfRule type="containsText" dxfId="399" priority="176" operator="containsText" text="R31">
      <formula>NOT(ISERROR(SEARCH("R31",C33)))</formula>
    </cfRule>
    <cfRule type="containsText" dxfId="398" priority="175" operator="containsText" text="R32">
      <formula>NOT(ISERROR(SEARCH("R32",C33)))</formula>
    </cfRule>
    <cfRule type="containsText" dxfId="397" priority="177" operator="containsText" text="R30">
      <formula>NOT(ISERROR(SEARCH("R30",C33)))</formula>
    </cfRule>
  </conditionalFormatting>
  <conditionalFormatting sqref="C54:AJ54">
    <cfRule type="containsText" dxfId="396" priority="145" operator="containsText" text="R27">
      <formula>NOT(ISERROR(SEARCH("R27",C54)))</formula>
    </cfRule>
    <cfRule type="containsText" dxfId="395" priority="147" operator="containsText" text="R24">
      <formula>NOT(ISERROR(SEARCH("R24",C54)))</formula>
    </cfRule>
    <cfRule type="containsText" dxfId="394" priority="164" operator="containsText" text="R8">
      <formula>NOT(ISERROR(SEARCH("R8",C54)))</formula>
    </cfRule>
    <cfRule type="containsText" dxfId="393" priority="135" operator="containsText" text="R37">
      <formula>NOT(ISERROR(SEARCH("R37",C54)))</formula>
    </cfRule>
    <cfRule type="containsText" dxfId="392" priority="136" operator="containsText" text="R36">
      <formula>NOT(ISERROR(SEARCH("R36",C54)))</formula>
    </cfRule>
    <cfRule type="containsText" dxfId="391" priority="137" operator="containsText" text="R35">
      <formula>NOT(ISERROR(SEARCH("R35",C54)))</formula>
    </cfRule>
    <cfRule type="containsText" dxfId="390" priority="138" operator="containsText" text="R34">
      <formula>NOT(ISERROR(SEARCH("R34",C54)))</formula>
    </cfRule>
    <cfRule type="containsText" dxfId="389" priority="139" operator="containsText" text="R33">
      <formula>NOT(ISERROR(SEARCH("R33",C54)))</formula>
    </cfRule>
    <cfRule type="containsText" dxfId="388" priority="140" operator="containsText" text="R32">
      <formula>NOT(ISERROR(SEARCH("R32",C54)))</formula>
    </cfRule>
    <cfRule type="containsText" dxfId="387" priority="141" operator="containsText" text="R31">
      <formula>NOT(ISERROR(SEARCH("R31",C54)))</formula>
    </cfRule>
    <cfRule type="containsText" dxfId="386" priority="142" operator="containsText" text="R30">
      <formula>NOT(ISERROR(SEARCH("R30",C54)))</formula>
    </cfRule>
    <cfRule type="containsText" priority="143" operator="containsText" text="R30">
      <formula>NOT(ISERROR(SEARCH("R30",C54)))</formula>
    </cfRule>
    <cfRule type="containsText" dxfId="385" priority="152" operator="containsText" text="R21">
      <formula>NOT(ISERROR(SEARCH("R21",C54)))</formula>
    </cfRule>
    <cfRule type="containsText" dxfId="384" priority="144" operator="containsText" text="R29">
      <formula>NOT(ISERROR(SEARCH("R29",C54)))</formula>
    </cfRule>
    <cfRule type="containsText" dxfId="383" priority="148" operator="containsText" text="R23">
      <formula>NOT(ISERROR(SEARCH("R23",C54)))</formula>
    </cfRule>
    <cfRule type="containsText" dxfId="382" priority="149" operator="containsText" text="R22">
      <formula>NOT(ISERROR(SEARCH("R22",C54)))</formula>
    </cfRule>
    <cfRule type="containsText" dxfId="381" priority="151" operator="containsText" text="R21">
      <formula>NOT(ISERROR(SEARCH("R21",C54)))</formula>
    </cfRule>
    <cfRule type="containsText" dxfId="380" priority="165" operator="containsText" text="R7">
      <formula>NOT(ISERROR(SEARCH("R7",C54)))</formula>
    </cfRule>
    <cfRule type="containsText" dxfId="379" priority="154" operator="containsText" text="R20">
      <formula>NOT(ISERROR(SEARCH("R20",C54)))</formula>
    </cfRule>
    <cfRule type="containsText" dxfId="378" priority="155" operator="containsText" text="R18">
      <formula>NOT(ISERROR(SEARCH("R18",C54)))</formula>
    </cfRule>
    <cfRule type="containsText" dxfId="377" priority="156" operator="containsText" text="R17">
      <formula>NOT(ISERROR(SEARCH("R17",C54)))</formula>
    </cfRule>
    <cfRule type="containsText" dxfId="376" priority="157" operator="containsText" text="R16">
      <formula>NOT(ISERROR(SEARCH("R16",C54)))</formula>
    </cfRule>
    <cfRule type="containsText" dxfId="375" priority="158" operator="containsText" text="R15">
      <formula>NOT(ISERROR(SEARCH("R15",C54)))</formula>
    </cfRule>
    <cfRule type="containsText" dxfId="374" priority="159" operator="containsText" text="R13">
      <formula>NOT(ISERROR(SEARCH("R13",C54)))</formula>
    </cfRule>
    <cfRule type="containsText" dxfId="373" priority="160" operator="containsText" text="R12">
      <formula>NOT(ISERROR(SEARCH("R12",C54)))</formula>
    </cfRule>
    <cfRule type="containsText" dxfId="372" priority="161" operator="containsText" text="R11">
      <formula>NOT(ISERROR(SEARCH("R11",C54)))</formula>
    </cfRule>
    <cfRule type="containsText" dxfId="371" priority="162" operator="containsText" text="R10">
      <formula>NOT(ISERROR(SEARCH("R10",C54)))</formula>
    </cfRule>
    <cfRule type="containsText" dxfId="370" priority="163" operator="containsText" text="R9">
      <formula>NOT(ISERROR(SEARCH("R9",C54)))</formula>
    </cfRule>
    <cfRule type="containsText" dxfId="369" priority="166" operator="containsText" text="R6">
      <formula>NOT(ISERROR(SEARCH("R6",C54)))</formula>
    </cfRule>
    <cfRule type="containsText" dxfId="368" priority="167" operator="containsText" text="R5">
      <formula>NOT(ISERROR(SEARCH("R5",C54)))</formula>
    </cfRule>
    <cfRule type="containsText" dxfId="367" priority="168" operator="containsText" text="R4">
      <formula>NOT(ISERROR(SEARCH("R4",C54)))</formula>
    </cfRule>
    <cfRule type="containsText" dxfId="366" priority="169" operator="containsText" text="R3">
      <formula>NOT(ISERROR(SEARCH("R3",C54)))</formula>
    </cfRule>
    <cfRule type="containsText" dxfId="365" priority="146" operator="containsText" text="R25">
      <formula>NOT(ISERROR(SEARCH("R25",C54)))</formula>
    </cfRule>
  </conditionalFormatting>
  <conditionalFormatting sqref="C81:AJ81">
    <cfRule type="containsText" dxfId="364" priority="104" operator="containsText" text="R34">
      <formula>NOT(ISERROR(SEARCH("R34",C81)))</formula>
    </cfRule>
    <cfRule type="containsText" dxfId="363" priority="112" operator="containsText" text="R25">
      <formula>NOT(ISERROR(SEARCH("R25",C81)))</formula>
    </cfRule>
    <cfRule type="containsText" dxfId="362" priority="111" operator="containsText" text="R27">
      <formula>NOT(ISERROR(SEARCH("R27",C81)))</formula>
    </cfRule>
    <cfRule type="containsText" dxfId="361" priority="110" operator="containsText" text="R29">
      <formula>NOT(ISERROR(SEARCH("R29",C81)))</formula>
    </cfRule>
    <cfRule type="containsText" priority="109" operator="containsText" text="R30">
      <formula>NOT(ISERROR(SEARCH("R30",C81)))</formula>
    </cfRule>
    <cfRule type="containsText" dxfId="360" priority="108" operator="containsText" text="R30">
      <formula>NOT(ISERROR(SEARCH("R30",C81)))</formula>
    </cfRule>
    <cfRule type="containsText" dxfId="359" priority="107" operator="containsText" text="R31">
      <formula>NOT(ISERROR(SEARCH("R31",C81)))</formula>
    </cfRule>
    <cfRule type="containsText" dxfId="358" priority="106" operator="containsText" text="R32">
      <formula>NOT(ISERROR(SEARCH("R32",C81)))</formula>
    </cfRule>
    <cfRule type="containsText" dxfId="357" priority="103" operator="containsText" text="R35">
      <formula>NOT(ISERROR(SEARCH("R35",C81)))</formula>
    </cfRule>
    <cfRule type="containsText" dxfId="356" priority="102" operator="containsText" text="R36">
      <formula>NOT(ISERROR(SEARCH("R36",C81)))</formula>
    </cfRule>
    <cfRule type="containsText" dxfId="355" priority="101" operator="containsText" text="R37">
      <formula>NOT(ISERROR(SEARCH("R37",C81)))</formula>
    </cfRule>
    <cfRule type="containsText" dxfId="354" priority="134" operator="containsText" text="R3">
      <formula>NOT(ISERROR(SEARCH("R3",C81)))</formula>
    </cfRule>
    <cfRule type="containsText" dxfId="353" priority="133" operator="containsText" text="R4">
      <formula>NOT(ISERROR(SEARCH("R4",C81)))</formula>
    </cfRule>
    <cfRule type="containsText" dxfId="352" priority="132" operator="containsText" text="R5">
      <formula>NOT(ISERROR(SEARCH("R5",C81)))</formula>
    </cfRule>
    <cfRule type="containsText" dxfId="351" priority="131" operator="containsText" text="R6">
      <formula>NOT(ISERROR(SEARCH("R6",C81)))</formula>
    </cfRule>
    <cfRule type="containsText" dxfId="350" priority="130" operator="containsText" text="R7">
      <formula>NOT(ISERROR(SEARCH("R7",C81)))</formula>
    </cfRule>
    <cfRule type="containsText" dxfId="349" priority="129" operator="containsText" text="R8">
      <formula>NOT(ISERROR(SEARCH("R8",C81)))</formula>
    </cfRule>
    <cfRule type="containsText" dxfId="348" priority="128" operator="containsText" text="R9">
      <formula>NOT(ISERROR(SEARCH("R9",C81)))</formula>
    </cfRule>
    <cfRule type="containsText" dxfId="347" priority="127" operator="containsText" text="R10">
      <formula>NOT(ISERROR(SEARCH("R10",C81)))</formula>
    </cfRule>
    <cfRule type="containsText" dxfId="346" priority="125" operator="containsText" text="R12">
      <formula>NOT(ISERROR(SEARCH("R12",C81)))</formula>
    </cfRule>
    <cfRule type="containsText" dxfId="345" priority="124" operator="containsText" text="R13">
      <formula>NOT(ISERROR(SEARCH("R13",C81)))</formula>
    </cfRule>
    <cfRule type="containsText" dxfId="344" priority="123" operator="containsText" text="R15">
      <formula>NOT(ISERROR(SEARCH("R15",C81)))</formula>
    </cfRule>
    <cfRule type="containsText" dxfId="343" priority="122" operator="containsText" text="R16">
      <formula>NOT(ISERROR(SEARCH("R16",C81)))</formula>
    </cfRule>
    <cfRule type="containsText" dxfId="342" priority="121" operator="containsText" text="R17">
      <formula>NOT(ISERROR(SEARCH("R17",C81)))</formula>
    </cfRule>
    <cfRule type="containsText" dxfId="341" priority="120" operator="containsText" text="R18">
      <formula>NOT(ISERROR(SEARCH("R18",C81)))</formula>
    </cfRule>
    <cfRule type="containsText" dxfId="340" priority="119" operator="containsText" text="R20">
      <formula>NOT(ISERROR(SEARCH("R20",C81)))</formula>
    </cfRule>
    <cfRule type="containsText" dxfId="339" priority="118" operator="containsText" text="R21">
      <formula>NOT(ISERROR(SEARCH("R21",C81)))</formula>
    </cfRule>
    <cfRule type="containsText" dxfId="338" priority="117" operator="containsText" text="R21">
      <formula>NOT(ISERROR(SEARCH("R21",C81)))</formula>
    </cfRule>
    <cfRule type="containsText" dxfId="337" priority="115" operator="containsText" text="R22">
      <formula>NOT(ISERROR(SEARCH("R22",C81)))</formula>
    </cfRule>
    <cfRule type="containsText" dxfId="336" priority="114" operator="containsText" text="R23">
      <formula>NOT(ISERROR(SEARCH("R23",C81)))</formula>
    </cfRule>
    <cfRule type="containsText" dxfId="335" priority="113" operator="containsText" text="R24">
      <formula>NOT(ISERROR(SEARCH("R24",C81)))</formula>
    </cfRule>
    <cfRule type="containsText" dxfId="334" priority="105" operator="containsText" text="R33">
      <formula>NOT(ISERROR(SEARCH("R33",C81)))</formula>
    </cfRule>
    <cfRule type="containsText" dxfId="333" priority="126" operator="containsText" text="R11">
      <formula>NOT(ISERROR(SEARCH("R11",C81)))</formula>
    </cfRule>
  </conditionalFormatting>
  <conditionalFormatting sqref="C117:AJ117">
    <cfRule type="containsText" dxfId="332" priority="89" operator="containsText" text="R15">
      <formula>NOT(ISERROR(SEARCH("R15",C117)))</formula>
    </cfRule>
    <cfRule type="containsText" dxfId="331" priority="90" operator="containsText" text="R13">
      <formula>NOT(ISERROR(SEARCH("R13",C117)))</formula>
    </cfRule>
    <cfRule type="containsText" dxfId="330" priority="91" operator="containsText" text="R12">
      <formula>NOT(ISERROR(SEARCH("R12",C117)))</formula>
    </cfRule>
    <cfRule type="containsText" dxfId="329" priority="92" operator="containsText" text="R11">
      <formula>NOT(ISERROR(SEARCH("R11",C117)))</formula>
    </cfRule>
    <cfRule type="containsText" dxfId="328" priority="93" operator="containsText" text="R10">
      <formula>NOT(ISERROR(SEARCH("R10",C117)))</formula>
    </cfRule>
    <cfRule type="containsText" dxfId="327" priority="94" operator="containsText" text="R9">
      <formula>NOT(ISERROR(SEARCH("R9",C117)))</formula>
    </cfRule>
    <cfRule type="containsText" dxfId="326" priority="95" operator="containsText" text="R8">
      <formula>NOT(ISERROR(SEARCH("R8",C117)))</formula>
    </cfRule>
    <cfRule type="containsText" dxfId="325" priority="96" operator="containsText" text="R7">
      <formula>NOT(ISERROR(SEARCH("R7",C117)))</formula>
    </cfRule>
    <cfRule type="containsText" dxfId="324" priority="97" operator="containsText" text="R6">
      <formula>NOT(ISERROR(SEARCH("R6",C117)))</formula>
    </cfRule>
    <cfRule type="containsText" dxfId="323" priority="98" operator="containsText" text="R5">
      <formula>NOT(ISERROR(SEARCH("R5",C117)))</formula>
    </cfRule>
    <cfRule type="containsText" dxfId="322" priority="99" operator="containsText" text="R4">
      <formula>NOT(ISERROR(SEARCH("R4",C117)))</formula>
    </cfRule>
    <cfRule type="containsText" dxfId="321" priority="100" operator="containsText" text="R3">
      <formula>NOT(ISERROR(SEARCH("R3",C117)))</formula>
    </cfRule>
    <cfRule type="containsText" dxfId="320" priority="86" operator="containsText" text="R18">
      <formula>NOT(ISERROR(SEARCH("R18",C117)))</formula>
    </cfRule>
    <cfRule type="containsText" dxfId="319" priority="67" operator="containsText" text="R37">
      <formula>NOT(ISERROR(SEARCH("R37",C117)))</formula>
    </cfRule>
    <cfRule type="containsText" dxfId="318" priority="68" operator="containsText" text="R36">
      <formula>NOT(ISERROR(SEARCH("R36",C117)))</formula>
    </cfRule>
    <cfRule type="containsText" dxfId="317" priority="69" operator="containsText" text="R35">
      <formula>NOT(ISERROR(SEARCH("R35",C117)))</formula>
    </cfRule>
    <cfRule type="containsText" dxfId="316" priority="70" operator="containsText" text="R34">
      <formula>NOT(ISERROR(SEARCH("R34",C117)))</formula>
    </cfRule>
    <cfRule type="containsText" dxfId="315" priority="71" operator="containsText" text="R33">
      <formula>NOT(ISERROR(SEARCH("R33",C117)))</formula>
    </cfRule>
    <cfRule type="containsText" dxfId="314" priority="72" operator="containsText" text="R32">
      <formula>NOT(ISERROR(SEARCH("R32",C117)))</formula>
    </cfRule>
    <cfRule type="containsText" dxfId="313" priority="73" operator="containsText" text="R31">
      <formula>NOT(ISERROR(SEARCH("R31",C117)))</formula>
    </cfRule>
    <cfRule type="containsText" dxfId="312" priority="74" operator="containsText" text="R30">
      <formula>NOT(ISERROR(SEARCH("R30",C117)))</formula>
    </cfRule>
    <cfRule type="containsText" priority="75" operator="containsText" text="R30">
      <formula>NOT(ISERROR(SEARCH("R30",C117)))</formula>
    </cfRule>
    <cfRule type="containsText" dxfId="311" priority="76" operator="containsText" text="R29">
      <formula>NOT(ISERROR(SEARCH("R29",C117)))</formula>
    </cfRule>
    <cfRule type="containsText" dxfId="310" priority="77" operator="containsText" text="R27">
      <formula>NOT(ISERROR(SEARCH("R27",C117)))</formula>
    </cfRule>
    <cfRule type="containsText" dxfId="309" priority="78" operator="containsText" text="R25">
      <formula>NOT(ISERROR(SEARCH("R25",C117)))</formula>
    </cfRule>
    <cfRule type="containsText" dxfId="308" priority="79" operator="containsText" text="R24">
      <formula>NOT(ISERROR(SEARCH("R24",C117)))</formula>
    </cfRule>
    <cfRule type="containsText" dxfId="307" priority="80" operator="containsText" text="R23">
      <formula>NOT(ISERROR(SEARCH("R23",C117)))</formula>
    </cfRule>
    <cfRule type="containsText" dxfId="306" priority="81" operator="containsText" text="R22">
      <formula>NOT(ISERROR(SEARCH("R22",C117)))</formula>
    </cfRule>
    <cfRule type="containsText" dxfId="305" priority="83" operator="containsText" text="R21">
      <formula>NOT(ISERROR(SEARCH("R21",C117)))</formula>
    </cfRule>
    <cfRule type="containsText" dxfId="304" priority="84" operator="containsText" text="R21">
      <formula>NOT(ISERROR(SEARCH("R21",C117)))</formula>
    </cfRule>
    <cfRule type="containsText" dxfId="303" priority="85" operator="containsText" text="R20">
      <formula>NOT(ISERROR(SEARCH("R20",C117)))</formula>
    </cfRule>
    <cfRule type="containsText" dxfId="302" priority="87" operator="containsText" text="R17">
      <formula>NOT(ISERROR(SEARCH("R17",C117)))</formula>
    </cfRule>
    <cfRule type="containsText" dxfId="301" priority="88" operator="containsText" text="R16">
      <formula>NOT(ISERROR(SEARCH("R16",C117)))</formula>
    </cfRule>
  </conditionalFormatting>
  <conditionalFormatting sqref="D33 F33 H33 J33:AJ33">
    <cfRule type="containsText" dxfId="300" priority="227" operator="containsText" text="R3">
      <formula>NOT(ISERROR(SEARCH("R3",D33)))</formula>
    </cfRule>
    <cfRule type="containsText" dxfId="299" priority="205" operator="containsText" text="R22">
      <formula>NOT(ISERROR(SEARCH("R22",D33)))</formula>
    </cfRule>
    <cfRule type="containsText" dxfId="298" priority="208" operator="containsText" text="R21">
      <formula>NOT(ISERROR(SEARCH("R21",D33)))</formula>
    </cfRule>
    <cfRule type="containsText" dxfId="297" priority="209" operator="containsText" text="R20">
      <formula>NOT(ISERROR(SEARCH("R20",D33)))</formula>
    </cfRule>
    <cfRule type="containsText" dxfId="296" priority="210" operator="containsText" text="R17">
      <formula>NOT(ISERROR(SEARCH("R17",D33)))</formula>
    </cfRule>
    <cfRule type="containsText" dxfId="295" priority="211" operator="containsText" text="R16">
      <formula>NOT(ISERROR(SEARCH("R16",D33)))</formula>
    </cfRule>
    <cfRule type="containsText" dxfId="294" priority="212" operator="containsText" text="R15">
      <formula>NOT(ISERROR(SEARCH("R15",D33)))</formula>
    </cfRule>
    <cfRule type="containsText" dxfId="293" priority="213" operator="containsText" text="R13">
      <formula>NOT(ISERROR(SEARCH("R13",D33)))</formula>
    </cfRule>
    <cfRule type="containsText" dxfId="292" priority="214" operator="containsText" text="R12">
      <formula>NOT(ISERROR(SEARCH("R12",D33)))</formula>
    </cfRule>
    <cfRule type="containsText" dxfId="291" priority="215" operator="containsText" text="R11">
      <formula>NOT(ISERROR(SEARCH("R11",D33)))</formula>
    </cfRule>
    <cfRule type="containsText" dxfId="290" priority="216" operator="containsText" text="R10">
      <formula>NOT(ISERROR(SEARCH("R10",D33)))</formula>
    </cfRule>
    <cfRule type="containsText" dxfId="289" priority="217" operator="containsText" text="R9">
      <formula>NOT(ISERROR(SEARCH("R9",D33)))</formula>
    </cfRule>
    <cfRule type="containsText" dxfId="288" priority="222" operator="containsText" text="R8">
      <formula>NOT(ISERROR(SEARCH("R8",D33)))</formula>
    </cfRule>
    <cfRule type="containsText" dxfId="287" priority="223" operator="containsText" text="R7">
      <formula>NOT(ISERROR(SEARCH("R7",D33)))</formula>
    </cfRule>
    <cfRule type="containsText" dxfId="286" priority="224" operator="containsText" text="R6">
      <formula>NOT(ISERROR(SEARCH("R6",D33)))</formula>
    </cfRule>
    <cfRule type="containsText" dxfId="285" priority="225" operator="containsText" text="R5">
      <formula>NOT(ISERROR(SEARCH("R5",D33)))</formula>
    </cfRule>
    <cfRule type="containsText" dxfId="284" priority="226" operator="containsText" text="R4">
      <formula>NOT(ISERROR(SEARCH("R4",D33)))</formula>
    </cfRule>
  </conditionalFormatting>
  <conditionalFormatting sqref="F33 H33 J33:AJ33 D33">
    <cfRule type="containsText" dxfId="283" priority="207" operator="containsText" text="R21">
      <formula>NOT(ISERROR(SEARCH("R21",D33)))</formula>
    </cfRule>
  </conditionalFormatting>
  <conditionalFormatting sqref="F33 H33 J33:AJ33">
    <cfRule type="containsText" dxfId="282" priority="206" operator="containsText" text="R22">
      <formula>NOT(ISERROR(SEARCH("R22",F33)))</formula>
    </cfRule>
  </conditionalFormatting>
  <conditionalFormatting sqref="F54:AJ54">
    <cfRule type="containsText" dxfId="281" priority="150" operator="containsText" text="R22">
      <formula>NOT(ISERROR(SEARCH("R22",F54)))</formula>
    </cfRule>
  </conditionalFormatting>
  <conditionalFormatting sqref="F81:AJ81">
    <cfRule type="containsText" dxfId="280" priority="116" operator="containsText" text="R22">
      <formula>NOT(ISERROR(SEARCH("R22",F81)))</formula>
    </cfRule>
  </conditionalFormatting>
  <conditionalFormatting sqref="F117:AJ117">
    <cfRule type="containsText" dxfId="279" priority="82" operator="containsText" text="R22">
      <formula>NOT(ISERROR(SEARCH("R22",F117)))</formula>
    </cfRule>
  </conditionalFormatting>
  <conditionalFormatting sqref="P33:X33">
    <cfRule type="containsText" dxfId="278" priority="182" operator="containsText" text="R24">
      <formula>NOT(ISERROR(SEARCH("R24",P33)))</formula>
    </cfRule>
  </conditionalFormatting>
  <conditionalFormatting sqref="C19:AJ41 C43:AJ164 C42:P42 R42:AJ42">
    <cfRule type="containsText" dxfId="277" priority="35" operator="containsText" text="R37">
      <formula>NOT(ISERROR(SEARCH("R37",C19)))</formula>
    </cfRule>
    <cfRule type="containsText" dxfId="276" priority="36" operator="containsText" text="R36">
      <formula>NOT(ISERROR(SEARCH("R36",C19)))</formula>
    </cfRule>
    <cfRule type="containsText" dxfId="275" priority="37" operator="containsText" text="R35">
      <formula>NOT(ISERROR(SEARCH("R35",C19)))</formula>
    </cfRule>
    <cfRule type="containsText" dxfId="274" priority="38" operator="containsText" text="R34">
      <formula>NOT(ISERROR(SEARCH("R34",C19)))</formula>
    </cfRule>
    <cfRule type="containsText" dxfId="273" priority="39" operator="containsText" text="R33">
      <formula>NOT(ISERROR(SEARCH("R33",C19)))</formula>
    </cfRule>
    <cfRule type="containsText" dxfId="272" priority="40" operator="containsText" text="R32">
      <formula>NOT(ISERROR(SEARCH("R32",C19)))</formula>
    </cfRule>
    <cfRule type="containsText" dxfId="271" priority="41" operator="containsText" text="R31">
      <formula>NOT(ISERROR(SEARCH("R31",C19)))</formula>
    </cfRule>
    <cfRule type="containsText" dxfId="270" priority="42" operator="containsText" text="R30">
      <formula>NOT(ISERROR(SEARCH("R30",C19)))</formula>
    </cfRule>
    <cfRule type="containsText" priority="43" operator="containsText" text="R30">
      <formula>NOT(ISERROR(SEARCH("R30",C19)))</formula>
    </cfRule>
    <cfRule type="containsText" dxfId="269" priority="44" operator="containsText" text="R29">
      <formula>NOT(ISERROR(SEARCH("R29",C19)))</formula>
    </cfRule>
    <cfRule type="containsText" dxfId="268" priority="45" operator="containsText" text="R27">
      <formula>NOT(ISERROR(SEARCH("R27",C19)))</formula>
    </cfRule>
    <cfRule type="containsText" dxfId="267" priority="46" operator="containsText" text="R25">
      <formula>NOT(ISERROR(SEARCH("R25",C19)))</formula>
    </cfRule>
    <cfRule type="containsText" dxfId="266" priority="47" operator="containsText" text="R24">
      <formula>NOT(ISERROR(SEARCH("R24",C19)))</formula>
    </cfRule>
    <cfRule type="containsText" dxfId="265" priority="48" operator="containsText" text="R23">
      <formula>NOT(ISERROR(SEARCH("R23",C19)))</formula>
    </cfRule>
    <cfRule type="containsText" dxfId="264" priority="49" operator="containsText" text="R22">
      <formula>NOT(ISERROR(SEARCH("R22",C19)))</formula>
    </cfRule>
    <cfRule type="containsText" dxfId="263" priority="50" operator="containsText" text="R21">
      <formula>NOT(ISERROR(SEARCH("R21",C19)))</formula>
    </cfRule>
    <cfRule type="containsText" dxfId="262" priority="51" operator="containsText" text="R21">
      <formula>NOT(ISERROR(SEARCH("R21",C19)))</formula>
    </cfRule>
    <cfRule type="containsText" dxfId="261" priority="52" operator="containsText" text="R20">
      <formula>NOT(ISERROR(SEARCH("R20",C19)))</formula>
    </cfRule>
    <cfRule type="containsText" dxfId="260" priority="53" operator="containsText" text="R17">
      <formula>NOT(ISERROR(SEARCH("R17",C19)))</formula>
    </cfRule>
    <cfRule type="containsText" dxfId="259" priority="54" operator="containsText" text="R16">
      <formula>NOT(ISERROR(SEARCH("R16",C19)))</formula>
    </cfRule>
    <cfRule type="containsText" dxfId="258" priority="55" operator="containsText" text="R15">
      <formula>NOT(ISERROR(SEARCH("R15",C19)))</formula>
    </cfRule>
    <cfRule type="containsText" dxfId="257" priority="56" operator="containsText" text="R13">
      <formula>NOT(ISERROR(SEARCH("R13",C19)))</formula>
    </cfRule>
    <cfRule type="containsText" dxfId="256" priority="57" operator="containsText" text="R12">
      <formula>NOT(ISERROR(SEARCH("R12",C19)))</formula>
    </cfRule>
    <cfRule type="containsText" dxfId="255" priority="58" operator="containsText" text="R11">
      <formula>NOT(ISERROR(SEARCH("R11",C19)))</formula>
    </cfRule>
    <cfRule type="containsText" dxfId="254" priority="59" operator="containsText" text="R10">
      <formula>NOT(ISERROR(SEARCH("R10",C19)))</formula>
    </cfRule>
    <cfRule type="containsText" dxfId="253" priority="60" operator="containsText" text="R9">
      <formula>NOT(ISERROR(SEARCH("R9",C19)))</formula>
    </cfRule>
    <cfRule type="containsText" dxfId="252" priority="61" operator="containsText" text="R8">
      <formula>NOT(ISERROR(SEARCH("R8",C19)))</formula>
    </cfRule>
    <cfRule type="containsText" dxfId="251" priority="62" operator="containsText" text="R7">
      <formula>NOT(ISERROR(SEARCH("R7",C19)))</formula>
    </cfRule>
    <cfRule type="containsText" dxfId="250" priority="63" operator="containsText" text="R6">
      <formula>NOT(ISERROR(SEARCH("R6",C19)))</formula>
    </cfRule>
    <cfRule type="containsText" dxfId="249" priority="64" operator="containsText" text="R5">
      <formula>NOT(ISERROR(SEARCH("R5",C19)))</formula>
    </cfRule>
    <cfRule type="containsText" dxfId="248" priority="65" operator="containsText" text="R4">
      <formula>NOT(ISERROR(SEARCH("R4",C19)))</formula>
    </cfRule>
    <cfRule type="containsText" dxfId="247" priority="66" operator="containsText" text="R3">
      <formula>NOT(ISERROR(SEARCH("R3",C19)))</formula>
    </cfRule>
    <cfRule type="containsText" dxfId="246" priority="1" operator="containsText" text="R37">
      <formula>NOT(ISERROR(SEARCH("R37",C19)))</formula>
    </cfRule>
    <cfRule type="containsText" dxfId="245" priority="2" operator="containsText" text="R36">
      <formula>NOT(ISERROR(SEARCH("R36",C19)))</formula>
    </cfRule>
    <cfRule type="containsText" dxfId="244" priority="3" operator="containsText" text="R35">
      <formula>NOT(ISERROR(SEARCH("R35",C19)))</formula>
    </cfRule>
    <cfRule type="containsText" dxfId="243" priority="4" operator="containsText" text="R34">
      <formula>NOT(ISERROR(SEARCH("R34",C19)))</formula>
    </cfRule>
    <cfRule type="containsText" dxfId="242" priority="5" operator="containsText" text="R33">
      <formula>NOT(ISERROR(SEARCH("R33",C19)))</formula>
    </cfRule>
    <cfRule type="containsText" dxfId="241" priority="6" operator="containsText" text="R32">
      <formula>NOT(ISERROR(SEARCH("R32",C19)))</formula>
    </cfRule>
    <cfRule type="containsText" dxfId="240" priority="7" operator="containsText" text="R31">
      <formula>NOT(ISERROR(SEARCH("R31",C19)))</formula>
    </cfRule>
    <cfRule type="containsText" dxfId="239" priority="8" operator="containsText" text="R30">
      <formula>NOT(ISERROR(SEARCH("R30",C19)))</formula>
    </cfRule>
    <cfRule type="containsText" priority="9" operator="containsText" text="R30">
      <formula>NOT(ISERROR(SEARCH("R30",C19)))</formula>
    </cfRule>
    <cfRule type="containsText" dxfId="238" priority="10" operator="containsText" text="R29">
      <formula>NOT(ISERROR(SEARCH("R29",C19)))</formula>
    </cfRule>
    <cfRule type="containsText" dxfId="237" priority="11" operator="containsText" text="R27">
      <formula>NOT(ISERROR(SEARCH("R27",C19)))</formula>
    </cfRule>
    <cfRule type="containsText" dxfId="236" priority="12" operator="containsText" text="R25">
      <formula>NOT(ISERROR(SEARCH("R25",C19)))</formula>
    </cfRule>
    <cfRule type="containsText" dxfId="235" priority="13" operator="containsText" text="R24">
      <formula>NOT(ISERROR(SEARCH("R24",C19)))</formula>
    </cfRule>
    <cfRule type="containsText" dxfId="234" priority="14" operator="containsText" text="R23">
      <formula>NOT(ISERROR(SEARCH("R23",C19)))</formula>
    </cfRule>
    <cfRule type="containsText" dxfId="233" priority="15" operator="containsText" text="R22">
      <formula>NOT(ISERROR(SEARCH("R22",C19)))</formula>
    </cfRule>
    <cfRule type="containsText" dxfId="232" priority="16" operator="containsText" text="R22">
      <formula>NOT(ISERROR(SEARCH("R22",C19)))</formula>
    </cfRule>
    <cfRule type="containsText" dxfId="231" priority="17" operator="containsText" text="R21">
      <formula>NOT(ISERROR(SEARCH("R21",C19)))</formula>
    </cfRule>
    <cfRule type="containsText" dxfId="230" priority="18" operator="containsText" text="R21">
      <formula>NOT(ISERROR(SEARCH("R21",C19)))</formula>
    </cfRule>
    <cfRule type="containsText" dxfId="229" priority="19" operator="containsText" text="R20">
      <formula>NOT(ISERROR(SEARCH("R20",C19)))</formula>
    </cfRule>
    <cfRule type="containsText" dxfId="228" priority="20" operator="containsText" text="R18">
      <formula>NOT(ISERROR(SEARCH("R18",C19)))</formula>
    </cfRule>
    <cfRule type="containsText" dxfId="227" priority="21" operator="containsText" text="R17">
      <formula>NOT(ISERROR(SEARCH("R17",C19)))</formula>
    </cfRule>
    <cfRule type="containsText" dxfId="226" priority="22" operator="containsText" text="R16">
      <formula>NOT(ISERROR(SEARCH("R16",C19)))</formula>
    </cfRule>
    <cfRule type="containsText" dxfId="225" priority="23" operator="containsText" text="R15">
      <formula>NOT(ISERROR(SEARCH("R15",C19)))</formula>
    </cfRule>
    <cfRule type="containsText" dxfId="224" priority="24" operator="containsText" text="R13">
      <formula>NOT(ISERROR(SEARCH("R13",C19)))</formula>
    </cfRule>
    <cfRule type="containsText" dxfId="223" priority="25" operator="containsText" text="R12">
      <formula>NOT(ISERROR(SEARCH("R12",C19)))</formula>
    </cfRule>
    <cfRule type="containsText" dxfId="222" priority="26" operator="containsText" text="R11">
      <formula>NOT(ISERROR(SEARCH("R11",C19)))</formula>
    </cfRule>
    <cfRule type="containsText" dxfId="221" priority="27" operator="containsText" text="R10">
      <formula>NOT(ISERROR(SEARCH("R10",C19)))</formula>
    </cfRule>
    <cfRule type="containsText" dxfId="220" priority="28" operator="containsText" text="R9">
      <formula>NOT(ISERROR(SEARCH("R9",C19)))</formula>
    </cfRule>
    <cfRule type="containsText" dxfId="219" priority="29" operator="containsText" text="R8">
      <formula>NOT(ISERROR(SEARCH("R8",C19)))</formula>
    </cfRule>
    <cfRule type="containsText" dxfId="218" priority="30" operator="containsText" text="R7">
      <formula>NOT(ISERROR(SEARCH("R7",C19)))</formula>
    </cfRule>
    <cfRule type="containsText" dxfId="217" priority="31" operator="containsText" text="R6">
      <formula>NOT(ISERROR(SEARCH("R6",C19)))</formula>
    </cfRule>
    <cfRule type="containsText" dxfId="216" priority="32" operator="containsText" text="R5">
      <formula>NOT(ISERROR(SEARCH("R5",C19)))</formula>
    </cfRule>
    <cfRule type="containsText" dxfId="215" priority="33" operator="containsText" text="R4">
      <formula>NOT(ISERROR(SEARCH("R4",C19)))</formula>
    </cfRule>
    <cfRule type="containsText" dxfId="214" priority="34" operator="containsText" text="R3">
      <formula>NOT(ISERROR(SEARCH("R3",C19)))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AY180"/>
  <sheetViews>
    <sheetView tabSelected="1" zoomScale="40" zoomScaleNormal="40" workbookViewId="0">
      <selection activeCell="Y19" sqref="Y19"/>
    </sheetView>
  </sheetViews>
  <sheetFormatPr baseColWidth="10" defaultRowHeight="14.4" x14ac:dyDescent="0.3"/>
  <cols>
    <col min="1" max="1" width="44.33203125" bestFit="1" customWidth="1"/>
    <col min="2" max="2" width="148.21875" bestFit="1" customWidth="1"/>
    <col min="25" max="26" width="15.109375" bestFit="1" customWidth="1"/>
  </cols>
  <sheetData>
    <row r="1" spans="1:30" ht="20.399999999999999" customHeight="1" x14ac:dyDescent="0.3">
      <c r="A1" s="1075"/>
      <c r="B1" s="1049" t="s">
        <v>0</v>
      </c>
      <c r="C1" s="1104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213"/>
      <c r="AB1" s="213"/>
    </row>
    <row r="2" spans="1:30" ht="83.4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213"/>
      <c r="AB2" s="213"/>
    </row>
    <row r="3" spans="1:30" ht="40.950000000000003" customHeight="1" thickBot="1" x14ac:dyDescent="0.3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978"/>
      <c r="AA3" s="213"/>
      <c r="AB3" s="213"/>
    </row>
    <row r="4" spans="1:30" s="357" customFormat="1" ht="34.200000000000003" customHeight="1" x14ac:dyDescent="0.65">
      <c r="A4" s="337" t="s">
        <v>2</v>
      </c>
      <c r="B4" s="338" t="s">
        <v>3</v>
      </c>
      <c r="C4" s="1056" t="s">
        <v>4</v>
      </c>
      <c r="D4" s="984"/>
      <c r="E4" s="984"/>
      <c r="F4" s="985"/>
      <c r="G4" s="1108">
        <v>46037</v>
      </c>
      <c r="H4" s="984"/>
      <c r="I4" s="985"/>
      <c r="J4" s="351" t="s">
        <v>36</v>
      </c>
      <c r="K4" s="1113">
        <v>45855</v>
      </c>
      <c r="L4" s="984"/>
      <c r="M4" s="984"/>
      <c r="N4" s="811" t="s">
        <v>37</v>
      </c>
      <c r="O4" s="1098">
        <v>45940</v>
      </c>
      <c r="P4" s="984"/>
      <c r="Q4" s="985"/>
      <c r="R4" s="792" t="s">
        <v>38</v>
      </c>
      <c r="S4" s="1114">
        <v>46010</v>
      </c>
      <c r="T4" s="984"/>
      <c r="U4" s="984"/>
      <c r="V4" s="352"/>
      <c r="W4" s="1116"/>
      <c r="X4" s="984"/>
      <c r="Y4" s="985"/>
      <c r="Z4" s="354"/>
      <c r="AA4" s="355"/>
      <c r="AB4" s="355"/>
      <c r="AC4" s="356"/>
      <c r="AD4" s="356"/>
    </row>
    <row r="5" spans="1:30" s="357" customFormat="1" ht="34.200000000000003" customHeight="1" x14ac:dyDescent="0.65">
      <c r="A5" s="339" t="s">
        <v>14</v>
      </c>
      <c r="B5" s="340" t="s">
        <v>15</v>
      </c>
      <c r="C5" s="986"/>
      <c r="D5" s="1042"/>
      <c r="E5" s="1042"/>
      <c r="F5" s="979"/>
      <c r="G5" s="986"/>
      <c r="H5" s="1042"/>
      <c r="I5" s="979"/>
      <c r="J5" s="358" t="s">
        <v>46</v>
      </c>
      <c r="K5" s="1121">
        <v>45863</v>
      </c>
      <c r="L5" s="1042"/>
      <c r="M5" s="1042"/>
      <c r="N5" s="665" t="s">
        <v>56</v>
      </c>
      <c r="O5" s="1095">
        <v>45954</v>
      </c>
      <c r="P5" s="1042"/>
      <c r="Q5" s="979"/>
      <c r="R5" s="795" t="s">
        <v>48</v>
      </c>
      <c r="S5" s="1069">
        <v>46015</v>
      </c>
      <c r="T5" s="1042"/>
      <c r="U5" s="1042"/>
      <c r="V5" s="359"/>
      <c r="W5" s="1101"/>
      <c r="X5" s="1042"/>
      <c r="Y5" s="979"/>
      <c r="Z5" s="361"/>
      <c r="AA5" s="362"/>
      <c r="AB5" s="362"/>
      <c r="AC5" s="356"/>
      <c r="AD5" s="356"/>
    </row>
    <row r="6" spans="1:30" s="357" customFormat="1" ht="34.200000000000003" customHeight="1" x14ac:dyDescent="0.65">
      <c r="A6" s="339" t="s">
        <v>24</v>
      </c>
      <c r="B6" s="340" t="s">
        <v>25</v>
      </c>
      <c r="C6" s="986"/>
      <c r="D6" s="1042"/>
      <c r="E6" s="1042"/>
      <c r="F6" s="979"/>
      <c r="G6" s="986"/>
      <c r="H6" s="1042"/>
      <c r="I6" s="979"/>
      <c r="J6" s="363" t="s">
        <v>55</v>
      </c>
      <c r="K6" s="1112">
        <v>45870</v>
      </c>
      <c r="L6" s="1042"/>
      <c r="M6" s="1042"/>
      <c r="N6" s="667" t="s">
        <v>67</v>
      </c>
      <c r="O6" s="1119">
        <v>45960</v>
      </c>
      <c r="P6" s="1042"/>
      <c r="Q6" s="979"/>
      <c r="R6" s="824" t="s">
        <v>57</v>
      </c>
      <c r="S6" s="1093">
        <v>46022</v>
      </c>
      <c r="T6" s="1042"/>
      <c r="U6" s="1042"/>
      <c r="V6" s="396"/>
      <c r="W6" s="1101"/>
      <c r="X6" s="1042"/>
      <c r="Y6" s="979"/>
      <c r="Z6" s="365"/>
      <c r="AA6" s="362"/>
      <c r="AB6" s="362"/>
      <c r="AC6" s="356"/>
      <c r="AD6" s="356"/>
    </row>
    <row r="7" spans="1:30" s="357" customFormat="1" ht="34.200000000000003" customHeight="1" x14ac:dyDescent="0.65">
      <c r="A7" s="339" t="s">
        <v>34</v>
      </c>
      <c r="B7" s="340" t="s">
        <v>35</v>
      </c>
      <c r="C7" s="986"/>
      <c r="D7" s="1042"/>
      <c r="E7" s="1042"/>
      <c r="F7" s="979"/>
      <c r="G7" s="986"/>
      <c r="H7" s="1042"/>
      <c r="I7" s="979"/>
      <c r="J7" s="331" t="s">
        <v>66</v>
      </c>
      <c r="K7" s="1110">
        <v>45883</v>
      </c>
      <c r="L7" s="1042"/>
      <c r="M7" s="1042"/>
      <c r="N7" s="720" t="s">
        <v>76</v>
      </c>
      <c r="O7" s="1115">
        <v>45968</v>
      </c>
      <c r="P7" s="1042"/>
      <c r="Q7" s="979"/>
      <c r="R7" s="825" t="s">
        <v>68</v>
      </c>
      <c r="S7" s="1079">
        <v>46031</v>
      </c>
      <c r="T7" s="1042"/>
      <c r="U7" s="1042"/>
      <c r="V7" s="396"/>
      <c r="W7" s="1101"/>
      <c r="X7" s="1042"/>
      <c r="Y7" s="979"/>
      <c r="Z7" s="365"/>
      <c r="AA7" s="362"/>
      <c r="AB7" s="362"/>
    </row>
    <row r="8" spans="1:30" s="357" customFormat="1" ht="34.200000000000003" customHeight="1" thickBot="1" x14ac:dyDescent="0.7">
      <c r="A8" s="339" t="s">
        <v>44</v>
      </c>
      <c r="B8" s="340" t="s">
        <v>54</v>
      </c>
      <c r="C8" s="987"/>
      <c r="D8" s="975"/>
      <c r="E8" s="975"/>
      <c r="F8" s="976"/>
      <c r="G8" s="987"/>
      <c r="H8" s="975"/>
      <c r="I8" s="976"/>
      <c r="J8" s="485" t="s">
        <v>75</v>
      </c>
      <c r="K8" s="1103">
        <v>45891</v>
      </c>
      <c r="L8" s="1042"/>
      <c r="M8" s="1042"/>
      <c r="N8" s="721" t="s">
        <v>84</v>
      </c>
      <c r="O8" s="1106">
        <v>45975</v>
      </c>
      <c r="P8" s="1042"/>
      <c r="Q8" s="979"/>
      <c r="R8" s="829" t="s">
        <v>77</v>
      </c>
      <c r="S8" s="1043">
        <v>46038</v>
      </c>
      <c r="T8" s="1042"/>
      <c r="U8" s="979"/>
      <c r="V8" s="396"/>
      <c r="W8" s="1101"/>
      <c r="X8" s="1042"/>
      <c r="Y8" s="979"/>
      <c r="Z8" s="365"/>
      <c r="AA8" s="362"/>
      <c r="AB8" s="362"/>
      <c r="AC8" s="356"/>
      <c r="AD8" s="356"/>
    </row>
    <row r="9" spans="1:30" s="357" customFormat="1" ht="34.200000000000003" customHeight="1" thickBot="1" x14ac:dyDescent="0.7">
      <c r="A9" s="339" t="s">
        <v>62</v>
      </c>
      <c r="B9" s="340" t="s">
        <v>63</v>
      </c>
      <c r="C9" s="1056" t="s">
        <v>64</v>
      </c>
      <c r="D9" s="984"/>
      <c r="E9" s="984"/>
      <c r="F9" s="985"/>
      <c r="G9" s="1056" t="s">
        <v>65</v>
      </c>
      <c r="H9" s="984"/>
      <c r="I9" s="985"/>
      <c r="J9" s="523" t="s">
        <v>83</v>
      </c>
      <c r="K9" s="1120">
        <v>45898</v>
      </c>
      <c r="L9" s="1042"/>
      <c r="M9" s="1042"/>
      <c r="N9" s="740" t="s">
        <v>92</v>
      </c>
      <c r="O9" s="1122">
        <v>45982</v>
      </c>
      <c r="P9" s="1042"/>
      <c r="Q9" s="979"/>
      <c r="R9" s="831" t="s">
        <v>85</v>
      </c>
      <c r="S9" s="1031">
        <v>46045</v>
      </c>
      <c r="T9" s="1042"/>
      <c r="U9" s="979"/>
      <c r="V9" s="396"/>
      <c r="W9" s="1101"/>
      <c r="X9" s="1042"/>
      <c r="Y9" s="979"/>
      <c r="Z9" s="365"/>
      <c r="AA9" s="362"/>
      <c r="AB9" s="362"/>
      <c r="AC9" s="356"/>
      <c r="AD9" s="356"/>
    </row>
    <row r="10" spans="1:30" s="357" customFormat="1" ht="34.200000000000003" customHeight="1" thickBot="1" x14ac:dyDescent="0.7">
      <c r="A10" s="339" t="s">
        <v>73</v>
      </c>
      <c r="B10" s="340" t="s">
        <v>74</v>
      </c>
      <c r="C10" s="986"/>
      <c r="D10" s="1042"/>
      <c r="E10" s="1042"/>
      <c r="F10" s="979"/>
      <c r="G10" s="986"/>
      <c r="H10" s="1042"/>
      <c r="I10" s="979"/>
      <c r="J10" s="793" t="s">
        <v>410</v>
      </c>
      <c r="K10" s="1111">
        <v>45912</v>
      </c>
      <c r="L10" s="1042"/>
      <c r="M10" s="1042"/>
      <c r="N10" s="775" t="s">
        <v>8</v>
      </c>
      <c r="O10" s="1117">
        <v>45989</v>
      </c>
      <c r="P10" s="1042"/>
      <c r="Q10" s="979"/>
      <c r="R10" s="841" t="s">
        <v>93</v>
      </c>
      <c r="S10" s="1061">
        <v>46052</v>
      </c>
      <c r="T10" s="1042"/>
      <c r="U10" s="979"/>
      <c r="V10" s="396"/>
      <c r="W10" s="1101"/>
      <c r="X10" s="1042"/>
      <c r="Y10" s="979"/>
      <c r="Z10" s="365"/>
      <c r="AA10" s="362"/>
      <c r="AB10" s="362"/>
      <c r="AC10" s="356"/>
      <c r="AD10" s="356"/>
    </row>
    <row r="11" spans="1:30" s="357" customFormat="1" ht="34.200000000000003" customHeight="1" thickBot="1" x14ac:dyDescent="0.7">
      <c r="A11" s="339" t="s">
        <v>82</v>
      </c>
      <c r="B11" s="340" t="s">
        <v>400</v>
      </c>
      <c r="C11" s="986"/>
      <c r="D11" s="1042"/>
      <c r="E11" s="1042"/>
      <c r="F11" s="979"/>
      <c r="G11" s="986"/>
      <c r="H11" s="1042"/>
      <c r="I11" s="979"/>
      <c r="J11" s="794" t="s">
        <v>17</v>
      </c>
      <c r="K11" s="1123">
        <v>45926</v>
      </c>
      <c r="L11" s="1042"/>
      <c r="M11" s="1042"/>
      <c r="N11" s="791" t="s">
        <v>18</v>
      </c>
      <c r="O11" s="1109">
        <v>45996</v>
      </c>
      <c r="P11" s="1042"/>
      <c r="Q11" s="979"/>
      <c r="R11" s="779"/>
      <c r="S11" s="1101"/>
      <c r="T11" s="1042"/>
      <c r="U11" s="979"/>
      <c r="V11" s="396"/>
      <c r="W11" s="1107"/>
      <c r="X11" s="1042"/>
      <c r="Y11" s="979"/>
      <c r="Z11" s="365"/>
      <c r="AA11" s="362"/>
      <c r="AB11" s="362"/>
      <c r="AC11" s="356"/>
      <c r="AD11" s="356"/>
    </row>
    <row r="12" spans="1:30" s="357" customFormat="1" ht="34.200000000000003" customHeight="1" thickBot="1" x14ac:dyDescent="0.7">
      <c r="A12" s="341" t="s">
        <v>90</v>
      </c>
      <c r="B12" s="342">
        <v>182948</v>
      </c>
      <c r="C12" s="987"/>
      <c r="D12" s="975"/>
      <c r="E12" s="975"/>
      <c r="F12" s="976"/>
      <c r="G12" s="987"/>
      <c r="H12" s="975"/>
      <c r="I12" s="976"/>
      <c r="J12" s="812" t="s">
        <v>27</v>
      </c>
      <c r="K12" s="1099">
        <v>45933</v>
      </c>
      <c r="L12" s="975"/>
      <c r="M12" s="975"/>
      <c r="N12" s="789" t="s">
        <v>28</v>
      </c>
      <c r="O12" s="1105">
        <v>46003</v>
      </c>
      <c r="P12" s="975"/>
      <c r="Q12" s="976"/>
      <c r="R12" s="780"/>
      <c r="S12" s="1118"/>
      <c r="T12" s="975"/>
      <c r="U12" s="976"/>
      <c r="V12" s="397"/>
      <c r="W12" s="1102"/>
      <c r="X12" s="975"/>
      <c r="Y12" s="976"/>
      <c r="Z12" s="369"/>
      <c r="AA12" s="362"/>
      <c r="AB12" s="362"/>
      <c r="AC12" s="356"/>
      <c r="AD12" s="356"/>
    </row>
    <row r="13" spans="1:30" ht="34.200000000000003" customHeight="1" thickBot="1" x14ac:dyDescent="0.45">
      <c r="A13" s="1096"/>
      <c r="B13" s="1000"/>
      <c r="C13" s="1000"/>
      <c r="D13" s="1000"/>
      <c r="E13" s="1000"/>
      <c r="F13" s="1000"/>
      <c r="G13" s="1000"/>
      <c r="H13" s="1000"/>
      <c r="I13" s="1000"/>
      <c r="J13" s="1000"/>
      <c r="K13" s="1000"/>
      <c r="L13" s="1000"/>
      <c r="M13" s="1000"/>
      <c r="N13" s="1000"/>
      <c r="O13" s="1000"/>
      <c r="P13" s="1000"/>
      <c r="Q13" s="1000"/>
      <c r="R13" s="1000"/>
      <c r="S13" s="1000"/>
      <c r="T13" s="1000"/>
      <c r="U13" s="1000"/>
      <c r="V13" s="1000"/>
      <c r="W13" s="1000"/>
      <c r="X13" s="1000"/>
      <c r="Y13" s="1000"/>
      <c r="Z13" s="1000"/>
      <c r="AA13" s="114"/>
      <c r="AB13" s="114"/>
    </row>
    <row r="14" spans="1:30" ht="34.200000000000003" customHeight="1" thickBot="1" x14ac:dyDescent="0.7">
      <c r="A14" s="1100" t="s">
        <v>98</v>
      </c>
      <c r="B14" s="1072" t="s">
        <v>99</v>
      </c>
      <c r="C14" s="343" t="s">
        <v>100</v>
      </c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344"/>
      <c r="AA14" s="114"/>
      <c r="AB14" s="114"/>
    </row>
    <row r="15" spans="1:30" ht="34.200000000000003" customHeight="1" thickBot="1" x14ac:dyDescent="0.7">
      <c r="A15" s="986"/>
      <c r="B15" s="997"/>
      <c r="C15" s="345" t="s">
        <v>101</v>
      </c>
      <c r="D15" s="346"/>
      <c r="E15" s="347"/>
      <c r="F15" s="347"/>
      <c r="G15" s="348"/>
      <c r="H15" s="264"/>
      <c r="I15" s="264"/>
      <c r="J15" s="264"/>
      <c r="K15" s="264"/>
      <c r="L15" s="264"/>
      <c r="M15" s="264"/>
      <c r="N15" s="264"/>
      <c r="O15" s="264"/>
      <c r="P15" s="264"/>
      <c r="Q15" s="264"/>
      <c r="R15" s="264"/>
      <c r="S15" s="1038" t="s">
        <v>102</v>
      </c>
      <c r="T15" s="1000"/>
      <c r="U15" s="1000"/>
      <c r="V15" s="1000"/>
      <c r="W15" s="1000"/>
      <c r="X15" s="1001"/>
      <c r="Y15" s="1091" t="s">
        <v>320</v>
      </c>
      <c r="Z15" s="1001"/>
      <c r="AA15" s="114"/>
      <c r="AB15" s="114"/>
    </row>
    <row r="16" spans="1:30" ht="34.200000000000003" customHeight="1" thickBot="1" x14ac:dyDescent="0.45">
      <c r="A16" s="987"/>
      <c r="B16" s="1013"/>
      <c r="C16" s="1085">
        <v>1</v>
      </c>
      <c r="D16" s="994"/>
      <c r="E16" s="1046">
        <v>2</v>
      </c>
      <c r="F16" s="994"/>
      <c r="G16" s="1046">
        <v>3</v>
      </c>
      <c r="H16" s="994"/>
      <c r="I16" s="1046">
        <v>4</v>
      </c>
      <c r="J16" s="994"/>
      <c r="K16" s="1046">
        <v>5</v>
      </c>
      <c r="L16" s="994"/>
      <c r="M16" s="1046">
        <v>6</v>
      </c>
      <c r="N16" s="994"/>
      <c r="O16" s="1046">
        <v>7</v>
      </c>
      <c r="P16" s="994"/>
      <c r="Q16" s="1046">
        <v>8</v>
      </c>
      <c r="R16" s="994"/>
      <c r="S16" s="1046">
        <v>9</v>
      </c>
      <c r="T16" s="994"/>
      <c r="U16" s="1046">
        <v>10</v>
      </c>
      <c r="V16" s="994"/>
      <c r="W16" s="1046">
        <v>11</v>
      </c>
      <c r="X16" s="994"/>
      <c r="Y16" s="266" t="s">
        <v>104</v>
      </c>
      <c r="Z16" s="267" t="s">
        <v>105</v>
      </c>
      <c r="AA16" s="114"/>
      <c r="AB16" s="114"/>
    </row>
    <row r="17" spans="1:28" ht="34.200000000000003" customHeight="1" thickBot="1" x14ac:dyDescent="0.35">
      <c r="A17" s="268" t="s">
        <v>106</v>
      </c>
      <c r="B17" s="269" t="s">
        <v>107</v>
      </c>
      <c r="C17" s="270" t="s">
        <v>108</v>
      </c>
      <c r="D17" s="271" t="s">
        <v>109</v>
      </c>
      <c r="E17" s="272" t="s">
        <v>108</v>
      </c>
      <c r="F17" s="271" t="s">
        <v>109</v>
      </c>
      <c r="G17" s="272" t="s">
        <v>108</v>
      </c>
      <c r="H17" s="271" t="s">
        <v>109</v>
      </c>
      <c r="I17" s="272" t="s">
        <v>108</v>
      </c>
      <c r="J17" s="271" t="s">
        <v>109</v>
      </c>
      <c r="K17" s="272" t="s">
        <v>108</v>
      </c>
      <c r="L17" s="271" t="s">
        <v>109</v>
      </c>
      <c r="M17" s="272" t="s">
        <v>108</v>
      </c>
      <c r="N17" s="271" t="s">
        <v>109</v>
      </c>
      <c r="O17" s="272" t="s">
        <v>108</v>
      </c>
      <c r="P17" s="271" t="s">
        <v>109</v>
      </c>
      <c r="Q17" s="272" t="s">
        <v>108</v>
      </c>
      <c r="R17" s="271" t="s">
        <v>109</v>
      </c>
      <c r="S17" s="272" t="s">
        <v>108</v>
      </c>
      <c r="T17" s="271" t="s">
        <v>109</v>
      </c>
      <c r="U17" s="272" t="s">
        <v>108</v>
      </c>
      <c r="V17" s="271" t="s">
        <v>109</v>
      </c>
      <c r="W17" s="272" t="s">
        <v>108</v>
      </c>
      <c r="X17" s="271" t="s">
        <v>109</v>
      </c>
      <c r="Y17" s="271"/>
      <c r="Z17" s="273"/>
    </row>
    <row r="18" spans="1:28" ht="40.049999999999997" customHeight="1" x14ac:dyDescent="0.4">
      <c r="A18" s="274" t="s">
        <v>110</v>
      </c>
      <c r="B18" s="275" t="s">
        <v>111</v>
      </c>
      <c r="C18" s="276"/>
      <c r="D18" s="277"/>
      <c r="E18" s="278"/>
      <c r="F18" s="278"/>
      <c r="G18" s="278"/>
      <c r="H18" s="278"/>
      <c r="I18" s="278"/>
      <c r="J18" s="278"/>
      <c r="K18" s="278"/>
      <c r="L18" s="278"/>
      <c r="M18" s="278"/>
      <c r="N18" s="278"/>
      <c r="O18" s="278"/>
      <c r="P18" s="278"/>
      <c r="Q18" s="278"/>
      <c r="R18" s="278"/>
      <c r="S18" s="278"/>
      <c r="T18" s="278"/>
      <c r="U18" s="278"/>
      <c r="V18" s="278"/>
      <c r="W18" s="278"/>
      <c r="X18" s="278"/>
      <c r="Y18" s="278"/>
      <c r="Z18" s="280"/>
      <c r="AA18" s="114"/>
      <c r="AB18" s="114"/>
    </row>
    <row r="19" spans="1:28" ht="40.049999999999997" customHeight="1" x14ac:dyDescent="0.3">
      <c r="A19" s="281" t="s">
        <v>112</v>
      </c>
      <c r="B19" s="282" t="s">
        <v>113</v>
      </c>
      <c r="C19" s="283" t="s">
        <v>36</v>
      </c>
      <c r="D19" s="284"/>
      <c r="E19" s="283" t="s">
        <v>36</v>
      </c>
      <c r="F19" s="285"/>
      <c r="G19" s="283" t="s">
        <v>36</v>
      </c>
      <c r="H19" s="285"/>
      <c r="I19" s="283" t="s">
        <v>36</v>
      </c>
      <c r="J19" s="285"/>
      <c r="K19" s="283" t="s">
        <v>36</v>
      </c>
      <c r="L19" s="285"/>
      <c r="M19" s="283" t="s">
        <v>36</v>
      </c>
      <c r="N19" s="285"/>
      <c r="O19" s="283" t="s">
        <v>36</v>
      </c>
      <c r="P19" s="285"/>
      <c r="Q19" s="283" t="s">
        <v>36</v>
      </c>
      <c r="R19" s="285"/>
      <c r="S19" s="283" t="s">
        <v>55</v>
      </c>
      <c r="T19" s="285"/>
      <c r="U19" s="283" t="s">
        <v>55</v>
      </c>
      <c r="V19" s="285"/>
      <c r="W19" s="283" t="s">
        <v>55</v>
      </c>
      <c r="X19" s="285"/>
      <c r="Y19" s="286">
        <f t="shared" ref="Y19:Y25" si="0">COUNTIF(C19:X19,"&gt;=R")</f>
        <v>11</v>
      </c>
      <c r="Z19" s="287">
        <f t="shared" ref="Z19:Z25" si="1">Y19</f>
        <v>11</v>
      </c>
    </row>
    <row r="20" spans="1:28" ht="40.049999999999997" customHeight="1" x14ac:dyDescent="0.3">
      <c r="A20" s="281" t="s">
        <v>114</v>
      </c>
      <c r="B20" s="282" t="s">
        <v>115</v>
      </c>
      <c r="C20" s="283" t="s">
        <v>36</v>
      </c>
      <c r="D20" s="284"/>
      <c r="E20" s="283" t="s">
        <v>36</v>
      </c>
      <c r="F20" s="285"/>
      <c r="G20" s="283" t="s">
        <v>36</v>
      </c>
      <c r="H20" s="285"/>
      <c r="I20" s="283" t="s">
        <v>36</v>
      </c>
      <c r="J20" s="285"/>
      <c r="K20" s="283" t="s">
        <v>46</v>
      </c>
      <c r="L20" s="285"/>
      <c r="M20" s="283" t="s">
        <v>46</v>
      </c>
      <c r="N20" s="285"/>
      <c r="O20" s="283" t="s">
        <v>46</v>
      </c>
      <c r="P20" s="285"/>
      <c r="Q20" s="283" t="s">
        <v>46</v>
      </c>
      <c r="R20" s="285"/>
      <c r="S20" s="283" t="s">
        <v>55</v>
      </c>
      <c r="T20" s="285"/>
      <c r="U20" s="283" t="s">
        <v>55</v>
      </c>
      <c r="V20" s="285"/>
      <c r="W20" s="283" t="s">
        <v>66</v>
      </c>
      <c r="X20" s="285"/>
      <c r="Y20" s="286">
        <f t="shared" si="0"/>
        <v>11</v>
      </c>
      <c r="Z20" s="287">
        <f t="shared" si="1"/>
        <v>11</v>
      </c>
    </row>
    <row r="21" spans="1:28" ht="40.049999999999997" customHeight="1" x14ac:dyDescent="0.3">
      <c r="A21" s="281" t="s">
        <v>116</v>
      </c>
      <c r="B21" s="282" t="s">
        <v>117</v>
      </c>
      <c r="C21" s="283" t="s">
        <v>46</v>
      </c>
      <c r="D21" s="284"/>
      <c r="E21" s="283" t="s">
        <v>46</v>
      </c>
      <c r="F21" s="285"/>
      <c r="G21" s="283" t="s">
        <v>46</v>
      </c>
      <c r="H21" s="285"/>
      <c r="I21" s="283" t="s">
        <v>46</v>
      </c>
      <c r="J21" s="285"/>
      <c r="K21" s="283" t="s">
        <v>55</v>
      </c>
      <c r="L21" s="285"/>
      <c r="M21" s="283" t="s">
        <v>55</v>
      </c>
      <c r="N21" s="285"/>
      <c r="O21" s="283" t="s">
        <v>55</v>
      </c>
      <c r="P21" s="285"/>
      <c r="Q21" s="283" t="s">
        <v>55</v>
      </c>
      <c r="R21" s="285"/>
      <c r="S21" s="283" t="s">
        <v>75</v>
      </c>
      <c r="T21" s="285"/>
      <c r="U21" s="283" t="s">
        <v>75</v>
      </c>
      <c r="V21" s="285"/>
      <c r="W21" s="283" t="s">
        <v>75</v>
      </c>
      <c r="X21" s="285"/>
      <c r="Y21" s="286">
        <f t="shared" si="0"/>
        <v>11</v>
      </c>
      <c r="Z21" s="287">
        <f t="shared" si="1"/>
        <v>11</v>
      </c>
    </row>
    <row r="22" spans="1:28" ht="40.049999999999997" customHeight="1" x14ac:dyDescent="0.3">
      <c r="A22" s="281" t="s">
        <v>118</v>
      </c>
      <c r="B22" s="282" t="s">
        <v>119</v>
      </c>
      <c r="C22" s="283" t="s">
        <v>46</v>
      </c>
      <c r="D22" s="284"/>
      <c r="E22" s="283" t="s">
        <v>46</v>
      </c>
      <c r="F22" s="285"/>
      <c r="G22" s="283" t="s">
        <v>46</v>
      </c>
      <c r="H22" s="285"/>
      <c r="I22" s="283" t="s">
        <v>46</v>
      </c>
      <c r="J22" s="285"/>
      <c r="K22" s="283" t="s">
        <v>55</v>
      </c>
      <c r="L22" s="285"/>
      <c r="M22" s="283" t="s">
        <v>55</v>
      </c>
      <c r="N22" s="285"/>
      <c r="O22" s="283" t="s">
        <v>55</v>
      </c>
      <c r="P22" s="285"/>
      <c r="Q22" s="283" t="s">
        <v>55</v>
      </c>
      <c r="R22" s="285"/>
      <c r="S22" s="283" t="s">
        <v>75</v>
      </c>
      <c r="T22" s="285"/>
      <c r="U22" s="283" t="s">
        <v>75</v>
      </c>
      <c r="V22" s="285"/>
      <c r="W22" s="283" t="s">
        <v>75</v>
      </c>
      <c r="X22" s="285"/>
      <c r="Y22" s="286">
        <f t="shared" si="0"/>
        <v>11</v>
      </c>
      <c r="Z22" s="287">
        <f t="shared" si="1"/>
        <v>11</v>
      </c>
    </row>
    <row r="23" spans="1:28" ht="40.049999999999997" customHeight="1" x14ac:dyDescent="0.3">
      <c r="A23" s="281" t="s">
        <v>120</v>
      </c>
      <c r="B23" s="282" t="s">
        <v>121</v>
      </c>
      <c r="C23" s="284" t="s">
        <v>66</v>
      </c>
      <c r="D23" s="284"/>
      <c r="E23" s="285" t="s">
        <v>66</v>
      </c>
      <c r="F23" s="285"/>
      <c r="G23" s="285" t="s">
        <v>66</v>
      </c>
      <c r="H23" s="285"/>
      <c r="I23" s="285" t="s">
        <v>66</v>
      </c>
      <c r="J23" s="285"/>
      <c r="K23" s="285" t="s">
        <v>83</v>
      </c>
      <c r="L23" s="285"/>
      <c r="M23" s="283" t="s">
        <v>75</v>
      </c>
      <c r="N23" s="285"/>
      <c r="O23" s="283" t="s">
        <v>75</v>
      </c>
      <c r="P23" s="285"/>
      <c r="Q23" s="285" t="s">
        <v>75</v>
      </c>
      <c r="R23" s="285"/>
      <c r="S23" s="283" t="s">
        <v>75</v>
      </c>
      <c r="T23" s="285"/>
      <c r="U23" s="283" t="s">
        <v>75</v>
      </c>
      <c r="V23" s="288"/>
      <c r="W23" s="285" t="s">
        <v>83</v>
      </c>
      <c r="X23" s="285"/>
      <c r="Y23" s="286">
        <f t="shared" si="0"/>
        <v>11</v>
      </c>
      <c r="Z23" s="287">
        <f t="shared" si="1"/>
        <v>11</v>
      </c>
    </row>
    <row r="24" spans="1:28" ht="40.049999999999997" customHeight="1" x14ac:dyDescent="0.3">
      <c r="A24" s="281" t="s">
        <v>122</v>
      </c>
      <c r="B24" s="282" t="s">
        <v>123</v>
      </c>
      <c r="C24" s="284" t="s">
        <v>66</v>
      </c>
      <c r="D24" s="284"/>
      <c r="E24" s="285" t="s">
        <v>66</v>
      </c>
      <c r="F24" s="285"/>
      <c r="G24" s="285" t="s">
        <v>66</v>
      </c>
      <c r="H24" s="285"/>
      <c r="I24" s="285" t="s">
        <v>66</v>
      </c>
      <c r="J24" s="285"/>
      <c r="K24" s="285" t="s">
        <v>83</v>
      </c>
      <c r="L24" s="285"/>
      <c r="M24" s="283" t="s">
        <v>75</v>
      </c>
      <c r="N24" s="285"/>
      <c r="O24" s="283" t="s">
        <v>75</v>
      </c>
      <c r="P24" s="285"/>
      <c r="Q24" s="285" t="s">
        <v>75</v>
      </c>
      <c r="R24" s="285"/>
      <c r="S24" s="283" t="s">
        <v>75</v>
      </c>
      <c r="T24" s="285"/>
      <c r="U24" s="283" t="s">
        <v>75</v>
      </c>
      <c r="V24" s="288"/>
      <c r="W24" s="285" t="s">
        <v>83</v>
      </c>
      <c r="X24" s="285"/>
      <c r="Y24" s="286">
        <f t="shared" si="0"/>
        <v>11</v>
      </c>
      <c r="Z24" s="287">
        <f t="shared" si="1"/>
        <v>11</v>
      </c>
    </row>
    <row r="25" spans="1:28" ht="40.049999999999997" customHeight="1" x14ac:dyDescent="0.3">
      <c r="A25" s="281" t="s">
        <v>124</v>
      </c>
      <c r="B25" s="282" t="s">
        <v>125</v>
      </c>
      <c r="C25" s="284" t="s">
        <v>66</v>
      </c>
      <c r="D25" s="284"/>
      <c r="E25" s="285" t="s">
        <v>66</v>
      </c>
      <c r="F25" s="285"/>
      <c r="G25" s="285" t="s">
        <v>66</v>
      </c>
      <c r="H25" s="285"/>
      <c r="I25" s="285" t="s">
        <v>66</v>
      </c>
      <c r="J25" s="285"/>
      <c r="K25" s="285" t="s">
        <v>83</v>
      </c>
      <c r="L25" s="285"/>
      <c r="M25" s="283" t="s">
        <v>75</v>
      </c>
      <c r="N25" s="285"/>
      <c r="O25" s="283" t="s">
        <v>75</v>
      </c>
      <c r="P25" s="285"/>
      <c r="Q25" s="285" t="s">
        <v>75</v>
      </c>
      <c r="R25" s="285"/>
      <c r="S25" s="283" t="s">
        <v>75</v>
      </c>
      <c r="T25" s="285"/>
      <c r="U25" s="283" t="s">
        <v>75</v>
      </c>
      <c r="V25" s="288"/>
      <c r="W25" s="285" t="s">
        <v>83</v>
      </c>
      <c r="X25" s="285"/>
      <c r="Y25" s="286">
        <f t="shared" si="0"/>
        <v>11</v>
      </c>
      <c r="Z25" s="287">
        <f t="shared" si="1"/>
        <v>11</v>
      </c>
    </row>
    <row r="26" spans="1:28" ht="40.049999999999997" customHeight="1" x14ac:dyDescent="0.4">
      <c r="A26" s="289" t="s">
        <v>126</v>
      </c>
      <c r="B26" s="290" t="s">
        <v>127</v>
      </c>
      <c r="C26" s="291"/>
      <c r="D26" s="292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93"/>
      <c r="T26" s="293"/>
      <c r="U26" s="293"/>
      <c r="V26" s="293"/>
      <c r="W26" s="293"/>
      <c r="X26" s="293"/>
      <c r="Y26" s="349"/>
      <c r="Z26" s="350"/>
      <c r="AA26" s="114"/>
      <c r="AB26" s="114"/>
    </row>
    <row r="27" spans="1:28" ht="40.049999999999997" customHeight="1" x14ac:dyDescent="0.3">
      <c r="A27" s="281" t="s">
        <v>128</v>
      </c>
      <c r="B27" s="282" t="s">
        <v>129</v>
      </c>
      <c r="C27" s="730" t="s">
        <v>66</v>
      </c>
      <c r="D27" s="284"/>
      <c r="E27" s="731" t="s">
        <v>66</v>
      </c>
      <c r="F27" s="285"/>
      <c r="G27" s="731" t="s">
        <v>66</v>
      </c>
      <c r="H27" s="285"/>
      <c r="I27" s="731" t="s">
        <v>66</v>
      </c>
      <c r="J27" s="285"/>
      <c r="K27" s="285" t="s">
        <v>83</v>
      </c>
      <c r="L27" s="285"/>
      <c r="M27" s="283" t="s">
        <v>75</v>
      </c>
      <c r="N27" s="285"/>
      <c r="O27" s="283" t="s">
        <v>75</v>
      </c>
      <c r="P27" s="285"/>
      <c r="Q27" s="285" t="s">
        <v>75</v>
      </c>
      <c r="R27" s="285"/>
      <c r="S27" s="283" t="s">
        <v>75</v>
      </c>
      <c r="T27" s="285"/>
      <c r="U27" s="283" t="s">
        <v>75</v>
      </c>
      <c r="V27" s="288"/>
      <c r="W27" s="285" t="s">
        <v>83</v>
      </c>
      <c r="X27" s="285"/>
      <c r="Y27" s="286">
        <f>COUNTIF(C27:X27,"&gt;=R")</f>
        <v>11</v>
      </c>
      <c r="Z27" s="287">
        <f>Y27</f>
        <v>11</v>
      </c>
    </row>
    <row r="28" spans="1:28" ht="40.049999999999997" customHeight="1" x14ac:dyDescent="0.4">
      <c r="A28" s="281" t="s">
        <v>130</v>
      </c>
      <c r="B28" s="282" t="s">
        <v>131</v>
      </c>
      <c r="C28" s="730" t="s">
        <v>66</v>
      </c>
      <c r="D28" s="284"/>
      <c r="E28" s="731" t="s">
        <v>66</v>
      </c>
      <c r="F28" s="285"/>
      <c r="G28" s="731" t="s">
        <v>66</v>
      </c>
      <c r="H28" s="285"/>
      <c r="I28" s="731" t="s">
        <v>66</v>
      </c>
      <c r="J28" s="285"/>
      <c r="K28" s="285" t="s">
        <v>83</v>
      </c>
      <c r="L28" s="285"/>
      <c r="M28" s="283" t="s">
        <v>75</v>
      </c>
      <c r="N28" s="285"/>
      <c r="O28" s="283" t="s">
        <v>75</v>
      </c>
      <c r="P28" s="285"/>
      <c r="Q28" s="285" t="s">
        <v>75</v>
      </c>
      <c r="R28" s="285"/>
      <c r="S28" s="283" t="s">
        <v>75</v>
      </c>
      <c r="T28" s="285"/>
      <c r="U28" s="283" t="s">
        <v>75</v>
      </c>
      <c r="V28" s="288"/>
      <c r="W28" s="285" t="s">
        <v>83</v>
      </c>
      <c r="X28" s="285"/>
      <c r="Y28" s="286">
        <f>COUNTIF(C28:X28,"&gt;=R")</f>
        <v>11</v>
      </c>
      <c r="Z28" s="287">
        <f>Y28</f>
        <v>11</v>
      </c>
      <c r="AA28" s="114"/>
      <c r="AB28" s="114"/>
    </row>
    <row r="29" spans="1:28" ht="40.049999999999997" customHeight="1" x14ac:dyDescent="0.4">
      <c r="A29" s="289" t="s">
        <v>132</v>
      </c>
      <c r="B29" s="290" t="s">
        <v>133</v>
      </c>
      <c r="C29" s="291"/>
      <c r="D29" s="292"/>
      <c r="E29" s="293"/>
      <c r="F29" s="293"/>
      <c r="G29" s="293"/>
      <c r="H29" s="293"/>
      <c r="I29" s="293"/>
      <c r="J29" s="293"/>
      <c r="K29" s="293"/>
      <c r="L29" s="293"/>
      <c r="M29" s="293"/>
      <c r="N29" s="293"/>
      <c r="O29" s="293"/>
      <c r="P29" s="293"/>
      <c r="Q29" s="293"/>
      <c r="R29" s="293"/>
      <c r="S29" s="293"/>
      <c r="T29" s="293"/>
      <c r="U29" s="293"/>
      <c r="V29" s="293"/>
      <c r="W29" s="293"/>
      <c r="X29" s="293"/>
      <c r="Y29" s="349"/>
      <c r="Z29" s="350"/>
      <c r="AA29" s="114"/>
      <c r="AB29" s="114"/>
    </row>
    <row r="30" spans="1:28" ht="40.049999999999997" customHeight="1" x14ac:dyDescent="0.4">
      <c r="A30" s="298" t="s">
        <v>134</v>
      </c>
      <c r="B30" s="282" t="s">
        <v>135</v>
      </c>
      <c r="C30" s="283" t="s">
        <v>76</v>
      </c>
      <c r="D30" s="284"/>
      <c r="E30" s="283" t="s">
        <v>37</v>
      </c>
      <c r="F30" s="285"/>
      <c r="G30" s="283" t="s">
        <v>27</v>
      </c>
      <c r="H30" s="285"/>
      <c r="I30" s="285" t="s">
        <v>27</v>
      </c>
      <c r="J30" s="285"/>
      <c r="K30" s="285" t="s">
        <v>27</v>
      </c>
      <c r="L30" s="285"/>
      <c r="M30" s="285" t="s">
        <v>27</v>
      </c>
      <c r="N30" s="285"/>
      <c r="O30" s="285" t="s">
        <v>27</v>
      </c>
      <c r="P30" s="285"/>
      <c r="Q30" s="285" t="s">
        <v>27</v>
      </c>
      <c r="R30" s="285"/>
      <c r="S30" s="285" t="s">
        <v>27</v>
      </c>
      <c r="T30" s="285"/>
      <c r="U30" s="285" t="s">
        <v>37</v>
      </c>
      <c r="V30" s="285"/>
      <c r="W30" s="285" t="s">
        <v>37</v>
      </c>
      <c r="X30" s="285"/>
      <c r="Y30" s="286">
        <f>COUNTIF(C30:X30,"&gt;=R")</f>
        <v>11</v>
      </c>
      <c r="Z30" s="287">
        <f>Y30</f>
        <v>11</v>
      </c>
      <c r="AA30" s="114"/>
      <c r="AB30" s="114"/>
    </row>
    <row r="31" spans="1:28" ht="40.049999999999997" customHeight="1" x14ac:dyDescent="0.4">
      <c r="A31" s="289" t="s">
        <v>136</v>
      </c>
      <c r="B31" s="290" t="s">
        <v>137</v>
      </c>
      <c r="C31" s="291"/>
      <c r="D31" s="292"/>
      <c r="E31" s="293"/>
      <c r="F31" s="293"/>
      <c r="G31" s="293"/>
      <c r="H31" s="293"/>
      <c r="I31" s="293"/>
      <c r="J31" s="293"/>
      <c r="K31" s="293"/>
      <c r="L31" s="293"/>
      <c r="M31" s="293"/>
      <c r="N31" s="293"/>
      <c r="O31" s="293"/>
      <c r="P31" s="293"/>
      <c r="Q31" s="293"/>
      <c r="R31" s="293"/>
      <c r="S31" s="293"/>
      <c r="T31" s="293"/>
      <c r="U31" s="293"/>
      <c r="V31" s="293"/>
      <c r="W31" s="293"/>
      <c r="X31" s="293"/>
      <c r="Y31" s="349"/>
      <c r="Z31" s="350"/>
      <c r="AA31" s="114"/>
      <c r="AB31" s="114"/>
    </row>
    <row r="32" spans="1:28" ht="40.049999999999997" customHeight="1" x14ac:dyDescent="0.3">
      <c r="A32" s="281" t="s">
        <v>138</v>
      </c>
      <c r="B32" s="282" t="s">
        <v>139</v>
      </c>
      <c r="C32" s="283"/>
      <c r="D32" s="284"/>
      <c r="E32" s="299" t="s">
        <v>37</v>
      </c>
      <c r="F32" s="285"/>
      <c r="G32" s="283" t="s">
        <v>27</v>
      </c>
      <c r="H32" s="285"/>
      <c r="I32" s="285" t="s">
        <v>27</v>
      </c>
      <c r="J32" s="285"/>
      <c r="K32" s="285" t="s">
        <v>27</v>
      </c>
      <c r="L32" s="285"/>
      <c r="M32" s="285" t="s">
        <v>27</v>
      </c>
      <c r="N32" s="285"/>
      <c r="O32" s="285" t="s">
        <v>27</v>
      </c>
      <c r="P32" s="285"/>
      <c r="Q32" s="285" t="s">
        <v>27</v>
      </c>
      <c r="R32" s="285"/>
      <c r="S32" s="285" t="s">
        <v>27</v>
      </c>
      <c r="T32" s="299"/>
      <c r="U32" s="285" t="s">
        <v>37</v>
      </c>
      <c r="V32" s="299"/>
      <c r="W32" s="285" t="s">
        <v>37</v>
      </c>
      <c r="X32" s="299"/>
      <c r="Y32" s="286">
        <f>COUNTIF(C32:X32,"&gt;=R")</f>
        <v>10</v>
      </c>
      <c r="Z32" s="287">
        <f>Y32</f>
        <v>10</v>
      </c>
    </row>
    <row r="33" spans="1:28" ht="40.049999999999997" customHeight="1" x14ac:dyDescent="0.65">
      <c r="A33" s="357" t="s">
        <v>140</v>
      </c>
      <c r="B33" s="890" t="s">
        <v>141</v>
      </c>
      <c r="C33" s="283"/>
      <c r="D33" s="284"/>
      <c r="E33" s="283" t="s">
        <v>37</v>
      </c>
      <c r="F33" s="285"/>
      <c r="G33" s="283" t="s">
        <v>27</v>
      </c>
      <c r="H33" s="285"/>
      <c r="I33" s="285" t="s">
        <v>27</v>
      </c>
      <c r="J33" s="285"/>
      <c r="K33" s="285" t="s">
        <v>27</v>
      </c>
      <c r="L33" s="285"/>
      <c r="M33" s="285" t="s">
        <v>27</v>
      </c>
      <c r="N33" s="285"/>
      <c r="O33" s="285" t="s">
        <v>27</v>
      </c>
      <c r="P33" s="285"/>
      <c r="Q33" s="285" t="s">
        <v>27</v>
      </c>
      <c r="R33" s="285"/>
      <c r="S33" s="285" t="s">
        <v>27</v>
      </c>
      <c r="T33" s="285"/>
      <c r="U33" s="285" t="s">
        <v>37</v>
      </c>
      <c r="V33" s="285"/>
      <c r="W33" s="285" t="s">
        <v>37</v>
      </c>
      <c r="X33" s="285"/>
      <c r="Y33" s="286">
        <f>COUNTIF(C33:X33,"&gt;=R")</f>
        <v>10</v>
      </c>
      <c r="Z33" s="287">
        <f>Y33</f>
        <v>10</v>
      </c>
    </row>
    <row r="34" spans="1:28" ht="40.049999999999997" customHeight="1" x14ac:dyDescent="0.3">
      <c r="A34" s="289" t="s">
        <v>142</v>
      </c>
      <c r="B34" s="290" t="s">
        <v>143</v>
      </c>
      <c r="C34" s="291"/>
      <c r="D34" s="292"/>
      <c r="E34" s="293"/>
      <c r="F34" s="293"/>
      <c r="G34" s="293"/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3"/>
      <c r="U34" s="293"/>
      <c r="V34" s="293"/>
      <c r="W34" s="293"/>
      <c r="X34" s="293"/>
      <c r="Y34" s="349"/>
      <c r="Z34" s="350"/>
    </row>
    <row r="35" spans="1:28" ht="40.049999999999997" customHeight="1" x14ac:dyDescent="0.3">
      <c r="A35" s="298" t="s">
        <v>144</v>
      </c>
      <c r="B35" s="282" t="s">
        <v>145</v>
      </c>
      <c r="C35" s="284"/>
      <c r="D35" s="284"/>
      <c r="E35" s="285" t="s">
        <v>37</v>
      </c>
      <c r="F35" s="285"/>
      <c r="G35" s="677" t="s">
        <v>27</v>
      </c>
      <c r="H35" s="285"/>
      <c r="I35" s="678" t="s">
        <v>27</v>
      </c>
      <c r="J35" s="285"/>
      <c r="K35" s="678" t="s">
        <v>27</v>
      </c>
      <c r="L35" s="285"/>
      <c r="M35" s="678" t="s">
        <v>27</v>
      </c>
      <c r="N35" s="285"/>
      <c r="O35" s="678" t="s">
        <v>27</v>
      </c>
      <c r="P35" s="285"/>
      <c r="Q35" s="678" t="s">
        <v>27</v>
      </c>
      <c r="R35" s="285"/>
      <c r="S35" s="678" t="s">
        <v>27</v>
      </c>
      <c r="T35" s="285"/>
      <c r="U35" s="285" t="s">
        <v>37</v>
      </c>
      <c r="V35" s="285"/>
      <c r="W35" s="285" t="s">
        <v>37</v>
      </c>
      <c r="X35" s="285"/>
      <c r="Y35" s="286">
        <f>COUNTIF(C35:X35,"&gt;=R")</f>
        <v>10</v>
      </c>
      <c r="Z35" s="287">
        <f>Y35</f>
        <v>10</v>
      </c>
    </row>
    <row r="36" spans="1:28" ht="40.049999999999997" customHeight="1" x14ac:dyDescent="0.3">
      <c r="A36" s="289" t="s">
        <v>146</v>
      </c>
      <c r="B36" s="290" t="s">
        <v>147</v>
      </c>
      <c r="C36" s="291"/>
      <c r="D36" s="292"/>
      <c r="E36" s="293"/>
      <c r="F36" s="293"/>
      <c r="G36" s="293"/>
      <c r="H36" s="293"/>
      <c r="I36" s="293"/>
      <c r="J36" s="293"/>
      <c r="K36" s="293"/>
      <c r="L36" s="293"/>
      <c r="M36" s="293"/>
      <c r="N36" s="293"/>
      <c r="O36" s="293"/>
      <c r="P36" s="293"/>
      <c r="Q36" s="293"/>
      <c r="R36" s="293"/>
      <c r="S36" s="293"/>
      <c r="T36" s="293"/>
      <c r="U36" s="293"/>
      <c r="V36" s="293"/>
      <c r="W36" s="293"/>
      <c r="X36" s="293"/>
      <c r="Y36" s="349"/>
      <c r="Z36" s="350"/>
    </row>
    <row r="37" spans="1:28" ht="40.049999999999997" customHeight="1" x14ac:dyDescent="0.3">
      <c r="A37" s="281" t="s">
        <v>148</v>
      </c>
      <c r="B37" s="282" t="s">
        <v>139</v>
      </c>
      <c r="C37" s="741" t="s">
        <v>92</v>
      </c>
      <c r="D37" s="284"/>
      <c r="E37" s="285" t="s">
        <v>37</v>
      </c>
      <c r="F37" s="285"/>
      <c r="G37" s="299" t="s">
        <v>17</v>
      </c>
      <c r="H37" s="285"/>
      <c r="I37" s="285" t="s">
        <v>17</v>
      </c>
      <c r="J37" s="285"/>
      <c r="K37" s="285" t="s">
        <v>27</v>
      </c>
      <c r="L37" s="285"/>
      <c r="M37" s="285" t="s">
        <v>17</v>
      </c>
      <c r="N37" s="285"/>
      <c r="O37" s="285" t="s">
        <v>17</v>
      </c>
      <c r="P37" s="285"/>
      <c r="Q37" s="285" t="s">
        <v>27</v>
      </c>
      <c r="R37" s="285"/>
      <c r="S37" s="285" t="s">
        <v>27</v>
      </c>
      <c r="T37" s="285"/>
      <c r="U37" s="285" t="s">
        <v>27</v>
      </c>
      <c r="V37" s="285"/>
      <c r="W37" s="285" t="s">
        <v>37</v>
      </c>
      <c r="X37" s="285"/>
      <c r="Y37" s="286">
        <f>COUNTIF(C37:X37,"&gt;=R")</f>
        <v>11</v>
      </c>
      <c r="Z37" s="287">
        <f>Y37</f>
        <v>11</v>
      </c>
    </row>
    <row r="38" spans="1:28" ht="40.049999999999997" customHeight="1" x14ac:dyDescent="0.4">
      <c r="A38" s="281" t="s">
        <v>149</v>
      </c>
      <c r="B38" s="282" t="s">
        <v>150</v>
      </c>
      <c r="C38" s="741" t="s">
        <v>92</v>
      </c>
      <c r="D38" s="284"/>
      <c r="E38" s="285" t="s">
        <v>56</v>
      </c>
      <c r="F38" s="285"/>
      <c r="G38" s="299" t="s">
        <v>17</v>
      </c>
      <c r="H38" s="285"/>
      <c r="I38" s="285" t="s">
        <v>17</v>
      </c>
      <c r="J38" s="285"/>
      <c r="K38" s="285" t="s">
        <v>56</v>
      </c>
      <c r="L38" s="285"/>
      <c r="M38" s="285" t="s">
        <v>17</v>
      </c>
      <c r="N38" s="285"/>
      <c r="O38" s="285" t="s">
        <v>17</v>
      </c>
      <c r="P38" s="285"/>
      <c r="Q38" s="285" t="s">
        <v>56</v>
      </c>
      <c r="R38" s="285"/>
      <c r="S38" s="285" t="s">
        <v>37</v>
      </c>
      <c r="T38" s="285"/>
      <c r="U38" s="288" t="s">
        <v>37</v>
      </c>
      <c r="V38" s="285"/>
      <c r="W38" s="288" t="s">
        <v>56</v>
      </c>
      <c r="X38" s="285"/>
      <c r="Y38" s="286">
        <f>COUNTIF(C38:X38,"&gt;=R")</f>
        <v>11</v>
      </c>
      <c r="Z38" s="287">
        <f>Y38</f>
        <v>11</v>
      </c>
      <c r="AA38" s="114"/>
      <c r="AB38" s="114"/>
    </row>
    <row r="39" spans="1:28" ht="40.049999999999997" customHeight="1" x14ac:dyDescent="0.3">
      <c r="A39" s="300" t="s">
        <v>151</v>
      </c>
      <c r="B39" s="301" t="s">
        <v>152</v>
      </c>
      <c r="C39" s="283"/>
      <c r="D39" s="284"/>
      <c r="E39" s="285"/>
      <c r="F39" s="285"/>
      <c r="G39" s="285"/>
      <c r="H39" s="285"/>
      <c r="I39" s="285"/>
      <c r="J39" s="285"/>
      <c r="K39" s="285"/>
      <c r="L39" s="285"/>
      <c r="M39" s="299"/>
      <c r="N39" s="285"/>
      <c r="O39" s="285"/>
      <c r="P39" s="285"/>
      <c r="Q39" s="285"/>
      <c r="R39" s="285"/>
      <c r="S39" s="285"/>
      <c r="T39" s="285"/>
      <c r="U39" s="288"/>
      <c r="V39" s="285"/>
      <c r="W39" s="285"/>
      <c r="X39" s="285"/>
      <c r="Y39" s="286"/>
      <c r="Z39" s="287"/>
    </row>
    <row r="40" spans="1:28" ht="40.049999999999997" customHeight="1" x14ac:dyDescent="0.3">
      <c r="A40" s="281" t="s">
        <v>153</v>
      </c>
      <c r="B40" s="282" t="s">
        <v>154</v>
      </c>
      <c r="C40" s="283" t="s">
        <v>85</v>
      </c>
      <c r="D40" s="284"/>
      <c r="E40" s="283" t="s">
        <v>85</v>
      </c>
      <c r="F40" s="285"/>
      <c r="G40" s="283" t="s">
        <v>85</v>
      </c>
      <c r="H40" s="285"/>
      <c r="I40" s="283" t="s">
        <v>85</v>
      </c>
      <c r="J40" s="285"/>
      <c r="K40" s="283" t="s">
        <v>85</v>
      </c>
      <c r="L40" s="285"/>
      <c r="M40" s="285" t="s">
        <v>85</v>
      </c>
      <c r="N40" s="285"/>
      <c r="O40" s="285" t="s">
        <v>85</v>
      </c>
      <c r="P40" s="285"/>
      <c r="Q40" s="285" t="s">
        <v>85</v>
      </c>
      <c r="R40" s="285"/>
      <c r="S40" s="285" t="s">
        <v>85</v>
      </c>
      <c r="T40" s="285"/>
      <c r="U40" s="285" t="s">
        <v>85</v>
      </c>
      <c r="V40" s="285"/>
      <c r="W40" s="285" t="s">
        <v>85</v>
      </c>
      <c r="X40" s="285"/>
      <c r="Y40" s="286">
        <f t="shared" ref="Y40:Y45" si="2">COUNTIF(C40:X40,"&gt;=R")</f>
        <v>11</v>
      </c>
      <c r="Z40" s="287">
        <f t="shared" ref="Z40:Z45" si="3">Y40</f>
        <v>11</v>
      </c>
    </row>
    <row r="41" spans="1:28" ht="40.049999999999997" customHeight="1" x14ac:dyDescent="0.4">
      <c r="A41" s="281" t="s">
        <v>155</v>
      </c>
      <c r="B41" s="282" t="s">
        <v>156</v>
      </c>
      <c r="C41" s="302"/>
      <c r="D41" s="284"/>
      <c r="E41" s="288"/>
      <c r="F41" s="285"/>
      <c r="G41" s="288"/>
      <c r="H41" s="285"/>
      <c r="I41" s="288"/>
      <c r="J41" s="285"/>
      <c r="K41" s="288"/>
      <c r="L41" s="285"/>
      <c r="M41" s="288"/>
      <c r="N41" s="285"/>
      <c r="O41" s="288"/>
      <c r="P41" s="285"/>
      <c r="Q41" s="288"/>
      <c r="R41" s="285"/>
      <c r="S41" s="288"/>
      <c r="T41" s="285"/>
      <c r="U41" s="288"/>
      <c r="V41" s="285"/>
      <c r="W41" s="288"/>
      <c r="X41" s="285"/>
      <c r="Y41" s="286">
        <f t="shared" si="2"/>
        <v>0</v>
      </c>
      <c r="Z41" s="287">
        <f t="shared" si="3"/>
        <v>0</v>
      </c>
      <c r="AA41" s="114"/>
      <c r="AB41" s="114"/>
    </row>
    <row r="42" spans="1:28" ht="40.049999999999997" customHeight="1" x14ac:dyDescent="0.3">
      <c r="A42" s="281" t="s">
        <v>157</v>
      </c>
      <c r="B42" s="282" t="s">
        <v>158</v>
      </c>
      <c r="C42" s="284" t="s">
        <v>84</v>
      </c>
      <c r="D42" s="284"/>
      <c r="E42" s="718" t="s">
        <v>84</v>
      </c>
      <c r="F42" s="285"/>
      <c r="G42" s="299" t="s">
        <v>17</v>
      </c>
      <c r="H42" s="285"/>
      <c r="I42" s="285" t="s">
        <v>17</v>
      </c>
      <c r="J42" s="285"/>
      <c r="K42" s="718" t="s">
        <v>84</v>
      </c>
      <c r="L42" s="285"/>
      <c r="M42" s="285" t="s">
        <v>17</v>
      </c>
      <c r="N42" s="285"/>
      <c r="O42" s="285" t="s">
        <v>17</v>
      </c>
      <c r="P42" s="285"/>
      <c r="Q42" s="718" t="s">
        <v>84</v>
      </c>
      <c r="R42" s="285"/>
      <c r="S42" s="718" t="s">
        <v>84</v>
      </c>
      <c r="T42" s="285"/>
      <c r="U42" s="728" t="s">
        <v>84</v>
      </c>
      <c r="V42" s="285"/>
      <c r="W42" s="728" t="s">
        <v>84</v>
      </c>
      <c r="X42" s="285"/>
      <c r="Y42" s="286">
        <f t="shared" si="2"/>
        <v>11</v>
      </c>
      <c r="Z42" s="287">
        <f t="shared" si="3"/>
        <v>11</v>
      </c>
    </row>
    <row r="43" spans="1:28" ht="40.049999999999997" customHeight="1" x14ac:dyDescent="0.4">
      <c r="A43" s="281" t="s">
        <v>159</v>
      </c>
      <c r="B43" s="282" t="s">
        <v>160</v>
      </c>
      <c r="C43" s="283"/>
      <c r="D43" s="284"/>
      <c r="E43" s="718" t="s">
        <v>84</v>
      </c>
      <c r="F43" s="285"/>
      <c r="G43" s="285" t="s">
        <v>27</v>
      </c>
      <c r="H43" s="285"/>
      <c r="I43" s="285" t="s">
        <v>17</v>
      </c>
      <c r="J43" s="285"/>
      <c r="K43" s="718" t="s">
        <v>84</v>
      </c>
      <c r="L43" s="285"/>
      <c r="M43" s="285" t="s">
        <v>27</v>
      </c>
      <c r="N43" s="285"/>
      <c r="O43" s="285" t="s">
        <v>27</v>
      </c>
      <c r="P43" s="285"/>
      <c r="Q43" s="718" t="s">
        <v>84</v>
      </c>
      <c r="R43" s="285"/>
      <c r="S43" s="718" t="s">
        <v>84</v>
      </c>
      <c r="T43" s="285"/>
      <c r="U43" s="728" t="s">
        <v>84</v>
      </c>
      <c r="V43" s="285"/>
      <c r="W43" s="728" t="s">
        <v>84</v>
      </c>
      <c r="X43" s="285"/>
      <c r="Y43" s="286">
        <f t="shared" si="2"/>
        <v>10</v>
      </c>
      <c r="Z43" s="287">
        <f t="shared" si="3"/>
        <v>10</v>
      </c>
      <c r="AA43" s="114"/>
      <c r="AB43" s="114"/>
    </row>
    <row r="44" spans="1:28" ht="40.049999999999997" customHeight="1" x14ac:dyDescent="0.3">
      <c r="A44" s="281" t="s">
        <v>161</v>
      </c>
      <c r="B44" s="282" t="s">
        <v>162</v>
      </c>
      <c r="C44" s="283" t="s">
        <v>18</v>
      </c>
      <c r="D44" s="284"/>
      <c r="E44" s="718" t="s">
        <v>84</v>
      </c>
      <c r="F44" s="285"/>
      <c r="G44" s="285" t="s">
        <v>27</v>
      </c>
      <c r="H44" s="285"/>
      <c r="I44" s="285" t="s">
        <v>17</v>
      </c>
      <c r="J44" s="285"/>
      <c r="K44" s="718" t="s">
        <v>84</v>
      </c>
      <c r="L44" s="285"/>
      <c r="M44" s="285" t="s">
        <v>27</v>
      </c>
      <c r="N44" s="285"/>
      <c r="O44" s="285" t="s">
        <v>27</v>
      </c>
      <c r="P44" s="285"/>
      <c r="Q44" s="718" t="s">
        <v>84</v>
      </c>
      <c r="R44" s="285"/>
      <c r="S44" s="718" t="s">
        <v>84</v>
      </c>
      <c r="T44" s="285"/>
      <c r="U44" s="728" t="s">
        <v>84</v>
      </c>
      <c r="V44" s="285"/>
      <c r="W44" s="728" t="s">
        <v>84</v>
      </c>
      <c r="X44" s="285"/>
      <c r="Y44" s="286">
        <f t="shared" si="2"/>
        <v>11</v>
      </c>
      <c r="Z44" s="287">
        <f t="shared" si="3"/>
        <v>11</v>
      </c>
    </row>
    <row r="45" spans="1:28" ht="40.049999999999997" customHeight="1" x14ac:dyDescent="0.4">
      <c r="A45" s="281" t="s">
        <v>163</v>
      </c>
      <c r="B45" s="282" t="s">
        <v>164</v>
      </c>
      <c r="C45" s="743" t="s">
        <v>8</v>
      </c>
      <c r="D45" s="284"/>
      <c r="E45" s="718" t="s">
        <v>84</v>
      </c>
      <c r="F45" s="285"/>
      <c r="G45" s="285" t="s">
        <v>27</v>
      </c>
      <c r="H45" s="285"/>
      <c r="I45" s="285" t="s">
        <v>17</v>
      </c>
      <c r="J45" s="285"/>
      <c r="K45" s="718" t="s">
        <v>84</v>
      </c>
      <c r="L45" s="285"/>
      <c r="M45" s="285" t="s">
        <v>27</v>
      </c>
      <c r="N45" s="285"/>
      <c r="O45" s="285" t="s">
        <v>27</v>
      </c>
      <c r="P45" s="285"/>
      <c r="Q45" s="285" t="s">
        <v>37</v>
      </c>
      <c r="R45" s="285"/>
      <c r="S45" s="285" t="s">
        <v>37</v>
      </c>
      <c r="T45" s="285"/>
      <c r="U45" s="728" t="s">
        <v>84</v>
      </c>
      <c r="V45" s="285"/>
      <c r="W45" s="728" t="s">
        <v>84</v>
      </c>
      <c r="X45" s="285"/>
      <c r="Y45" s="286">
        <f t="shared" si="2"/>
        <v>11</v>
      </c>
      <c r="Z45" s="287">
        <f t="shared" si="3"/>
        <v>11</v>
      </c>
      <c r="AA45" s="114"/>
      <c r="AB45" s="114"/>
    </row>
    <row r="46" spans="1:28" ht="40.049999999999997" customHeight="1" x14ac:dyDescent="0.4">
      <c r="A46" s="274" t="s">
        <v>165</v>
      </c>
      <c r="B46" s="275" t="s">
        <v>166</v>
      </c>
      <c r="C46" s="291"/>
      <c r="D46" s="292"/>
      <c r="E46" s="293"/>
      <c r="F46" s="293"/>
      <c r="G46" s="293"/>
      <c r="H46" s="293"/>
      <c r="I46" s="293"/>
      <c r="J46" s="293"/>
      <c r="K46" s="293"/>
      <c r="L46" s="293"/>
      <c r="M46" s="293"/>
      <c r="N46" s="293"/>
      <c r="O46" s="293"/>
      <c r="P46" s="293"/>
      <c r="Q46" s="293"/>
      <c r="R46" s="293"/>
      <c r="S46" s="293"/>
      <c r="T46" s="293"/>
      <c r="U46" s="293"/>
      <c r="V46" s="293"/>
      <c r="W46" s="293"/>
      <c r="X46" s="293"/>
      <c r="Y46" s="349"/>
      <c r="Z46" s="350"/>
      <c r="AA46" s="114"/>
      <c r="AB46" s="114"/>
    </row>
    <row r="47" spans="1:28" ht="40.049999999999997" customHeight="1" x14ac:dyDescent="0.3">
      <c r="A47" s="305" t="s">
        <v>167</v>
      </c>
      <c r="B47" s="306" t="s">
        <v>168</v>
      </c>
      <c r="C47" s="283"/>
      <c r="D47" s="284"/>
      <c r="E47" s="285"/>
      <c r="F47" s="285"/>
      <c r="G47" s="285"/>
      <c r="H47" s="285"/>
      <c r="I47" s="285"/>
      <c r="J47" s="285"/>
      <c r="K47" s="285"/>
      <c r="L47" s="285"/>
      <c r="M47" s="285"/>
      <c r="N47" s="285"/>
      <c r="O47" s="285"/>
      <c r="P47" s="285"/>
      <c r="Q47" s="285"/>
      <c r="R47" s="285"/>
      <c r="S47" s="285"/>
      <c r="T47" s="285"/>
      <c r="U47" s="285"/>
      <c r="V47" s="285"/>
      <c r="W47" s="307"/>
      <c r="X47" s="285"/>
      <c r="Y47" s="286">
        <f t="shared" ref="Y47:Y54" si="4">COUNTIF(C47:X47,"&gt;=R")</f>
        <v>0</v>
      </c>
      <c r="Z47" s="287">
        <f t="shared" ref="Z47:Z54" si="5">Y47</f>
        <v>0</v>
      </c>
    </row>
    <row r="48" spans="1:28" ht="40.049999999999997" customHeight="1" x14ac:dyDescent="0.4">
      <c r="A48" s="308" t="s">
        <v>169</v>
      </c>
      <c r="B48" s="309" t="s">
        <v>170</v>
      </c>
      <c r="C48" s="283" t="s">
        <v>18</v>
      </c>
      <c r="D48" s="284"/>
      <c r="E48" s="285" t="s">
        <v>76</v>
      </c>
      <c r="F48" s="285"/>
      <c r="G48" s="285" t="s">
        <v>27</v>
      </c>
      <c r="H48" s="285"/>
      <c r="I48" s="285" t="s">
        <v>17</v>
      </c>
      <c r="J48" s="285"/>
      <c r="K48" s="285" t="s">
        <v>76</v>
      </c>
      <c r="L48" s="285"/>
      <c r="M48" s="285" t="s">
        <v>27</v>
      </c>
      <c r="N48" s="285"/>
      <c r="O48" s="285" t="s">
        <v>27</v>
      </c>
      <c r="P48" s="285"/>
      <c r="Q48" s="285" t="s">
        <v>37</v>
      </c>
      <c r="R48" s="285"/>
      <c r="S48" s="285" t="s">
        <v>37</v>
      </c>
      <c r="T48" s="285"/>
      <c r="U48" s="285" t="s">
        <v>37</v>
      </c>
      <c r="V48" s="285"/>
      <c r="W48" s="285" t="s">
        <v>76</v>
      </c>
      <c r="X48" s="285"/>
      <c r="Y48" s="286">
        <f t="shared" si="4"/>
        <v>11</v>
      </c>
      <c r="Z48" s="287">
        <f t="shared" si="5"/>
        <v>11</v>
      </c>
      <c r="AA48" s="114"/>
      <c r="AB48" s="114"/>
    </row>
    <row r="49" spans="1:28" ht="40.049999999999997" customHeight="1" x14ac:dyDescent="0.4">
      <c r="A49" s="308" t="s">
        <v>171</v>
      </c>
      <c r="B49" s="309" t="s">
        <v>172</v>
      </c>
      <c r="C49" s="283"/>
      <c r="D49" s="284"/>
      <c r="E49" s="283"/>
      <c r="F49" s="285"/>
      <c r="G49" s="776" t="s">
        <v>28</v>
      </c>
      <c r="H49" s="285"/>
      <c r="I49" s="776" t="s">
        <v>28</v>
      </c>
      <c r="J49" s="285"/>
      <c r="K49" s="776" t="s">
        <v>28</v>
      </c>
      <c r="L49" s="285"/>
      <c r="M49" s="776" t="s">
        <v>28</v>
      </c>
      <c r="N49" s="285"/>
      <c r="O49" s="776" t="s">
        <v>28</v>
      </c>
      <c r="P49" s="285"/>
      <c r="Q49" s="776" t="s">
        <v>28</v>
      </c>
      <c r="R49" s="285"/>
      <c r="S49" s="776" t="s">
        <v>28</v>
      </c>
      <c r="T49" s="285"/>
      <c r="U49" s="285"/>
      <c r="V49" s="285"/>
      <c r="W49" s="285"/>
      <c r="X49" s="285"/>
      <c r="Y49" s="286">
        <f t="shared" si="4"/>
        <v>7</v>
      </c>
      <c r="Z49" s="287">
        <f t="shared" si="5"/>
        <v>7</v>
      </c>
      <c r="AA49" s="114"/>
      <c r="AB49" s="114"/>
    </row>
    <row r="50" spans="1:28" ht="40.049999999999997" customHeight="1" x14ac:dyDescent="0.3">
      <c r="A50" s="296" t="s">
        <v>173</v>
      </c>
      <c r="B50" s="297" t="s">
        <v>174</v>
      </c>
      <c r="C50" s="283"/>
      <c r="D50" s="284"/>
      <c r="E50" s="285"/>
      <c r="F50" s="285"/>
      <c r="G50" s="288"/>
      <c r="H50" s="285"/>
      <c r="I50" s="288"/>
      <c r="J50" s="285"/>
      <c r="K50" s="288"/>
      <c r="L50" s="285"/>
      <c r="M50" s="285"/>
      <c r="N50" s="285"/>
      <c r="O50" s="285"/>
      <c r="P50" s="285"/>
      <c r="Q50" s="285"/>
      <c r="R50" s="285"/>
      <c r="S50" s="285"/>
      <c r="T50" s="285"/>
      <c r="U50" s="285"/>
      <c r="V50" s="285"/>
      <c r="W50" s="285"/>
      <c r="X50" s="285"/>
      <c r="Y50" s="286">
        <f t="shared" si="4"/>
        <v>0</v>
      </c>
      <c r="Z50" s="287">
        <f t="shared" si="5"/>
        <v>0</v>
      </c>
    </row>
    <row r="51" spans="1:28" ht="40.049999999999997" customHeight="1" x14ac:dyDescent="0.3">
      <c r="A51" s="308" t="s">
        <v>175</v>
      </c>
      <c r="B51" s="309" t="s">
        <v>176</v>
      </c>
      <c r="C51" s="283"/>
      <c r="D51" s="284"/>
      <c r="E51" s="283"/>
      <c r="F51" s="285"/>
      <c r="G51" s="285" t="s">
        <v>48</v>
      </c>
      <c r="H51" s="285"/>
      <c r="I51" s="750" t="s">
        <v>8</v>
      </c>
      <c r="J51" s="285"/>
      <c r="K51" s="750" t="s">
        <v>8</v>
      </c>
      <c r="L51" s="285"/>
      <c r="M51" s="750" t="s">
        <v>8</v>
      </c>
      <c r="N51" s="285"/>
      <c r="O51" s="750" t="s">
        <v>8</v>
      </c>
      <c r="P51" s="285"/>
      <c r="Q51" s="750" t="s">
        <v>8</v>
      </c>
      <c r="R51" s="285"/>
      <c r="S51" s="285" t="s">
        <v>93</v>
      </c>
      <c r="T51" s="285"/>
      <c r="U51" s="288"/>
      <c r="V51" s="285"/>
      <c r="W51" s="288"/>
      <c r="X51" s="285"/>
      <c r="Y51" s="286">
        <f t="shared" si="4"/>
        <v>7</v>
      </c>
      <c r="Z51" s="287">
        <f t="shared" si="5"/>
        <v>7</v>
      </c>
    </row>
    <row r="52" spans="1:28" ht="40.049999999999997" customHeight="1" x14ac:dyDescent="0.4">
      <c r="A52" s="308" t="s">
        <v>177</v>
      </c>
      <c r="B52" s="309" t="s">
        <v>178</v>
      </c>
      <c r="C52" s="283"/>
      <c r="D52" s="284"/>
      <c r="E52" s="285"/>
      <c r="F52" s="285"/>
      <c r="G52" s="285" t="s">
        <v>57</v>
      </c>
      <c r="H52" s="285"/>
      <c r="I52" s="285" t="s">
        <v>57</v>
      </c>
      <c r="J52" s="285"/>
      <c r="K52" s="285" t="s">
        <v>57</v>
      </c>
      <c r="L52" s="285"/>
      <c r="M52" s="285" t="s">
        <v>57</v>
      </c>
      <c r="N52" s="285"/>
      <c r="O52" s="285" t="s">
        <v>57</v>
      </c>
      <c r="P52" s="285"/>
      <c r="Q52" s="285" t="s">
        <v>57</v>
      </c>
      <c r="R52" s="285"/>
      <c r="S52" s="285" t="s">
        <v>93</v>
      </c>
      <c r="T52" s="285"/>
      <c r="U52" s="285"/>
      <c r="V52" s="285"/>
      <c r="W52" s="285"/>
      <c r="X52" s="285"/>
      <c r="Y52" s="286">
        <f t="shared" si="4"/>
        <v>7</v>
      </c>
      <c r="Z52" s="287">
        <f t="shared" si="5"/>
        <v>7</v>
      </c>
      <c r="AA52" s="114"/>
      <c r="AB52" s="114"/>
    </row>
    <row r="53" spans="1:28" ht="40.049999999999997" customHeight="1" x14ac:dyDescent="0.3">
      <c r="A53" s="296" t="s">
        <v>179</v>
      </c>
      <c r="B53" s="297" t="s">
        <v>180</v>
      </c>
      <c r="C53" s="283"/>
      <c r="D53" s="284"/>
      <c r="E53" s="285"/>
      <c r="F53" s="285"/>
      <c r="G53" s="285"/>
      <c r="H53" s="285"/>
      <c r="I53" s="285"/>
      <c r="J53" s="285"/>
      <c r="K53" s="285"/>
      <c r="L53" s="285"/>
      <c r="M53" s="285"/>
      <c r="N53" s="285"/>
      <c r="O53" s="285"/>
      <c r="P53" s="285"/>
      <c r="Q53" s="285"/>
      <c r="R53" s="285"/>
      <c r="S53" s="285"/>
      <c r="T53" s="285"/>
      <c r="U53" s="285"/>
      <c r="V53" s="285"/>
      <c r="W53" s="307"/>
      <c r="X53" s="285"/>
      <c r="Y53" s="286">
        <f t="shared" si="4"/>
        <v>0</v>
      </c>
      <c r="Z53" s="287">
        <f t="shared" si="5"/>
        <v>0</v>
      </c>
    </row>
    <row r="54" spans="1:28" ht="40.049999999999997" customHeight="1" x14ac:dyDescent="0.65">
      <c r="A54" s="357" t="s">
        <v>181</v>
      </c>
      <c r="B54" s="890" t="s">
        <v>182</v>
      </c>
      <c r="C54" s="283"/>
      <c r="D54" s="284"/>
      <c r="E54" s="283"/>
      <c r="F54" s="285"/>
      <c r="G54" s="283" t="s">
        <v>57</v>
      </c>
      <c r="H54" s="285"/>
      <c r="I54" s="283"/>
      <c r="J54" s="285"/>
      <c r="K54" s="285" t="s">
        <v>18</v>
      </c>
      <c r="L54" s="285"/>
      <c r="M54" s="285" t="s">
        <v>18</v>
      </c>
      <c r="N54" s="285"/>
      <c r="O54" s="285" t="s">
        <v>18</v>
      </c>
      <c r="P54" s="285"/>
      <c r="Q54" s="285" t="s">
        <v>18</v>
      </c>
      <c r="R54" s="285"/>
      <c r="S54" s="283" t="s">
        <v>18</v>
      </c>
      <c r="T54" s="285"/>
      <c r="U54" s="283"/>
      <c r="V54" s="285"/>
      <c r="W54" s="283"/>
      <c r="X54" s="285"/>
      <c r="Y54" s="286">
        <f t="shared" si="4"/>
        <v>6</v>
      </c>
      <c r="Z54" s="287">
        <f t="shared" si="5"/>
        <v>6</v>
      </c>
    </row>
    <row r="55" spans="1:28" ht="40.049999999999997" customHeight="1" x14ac:dyDescent="0.4">
      <c r="A55" s="289" t="s">
        <v>183</v>
      </c>
      <c r="B55" s="290" t="s">
        <v>184</v>
      </c>
      <c r="C55" s="291"/>
      <c r="D55" s="292"/>
      <c r="E55" s="293"/>
      <c r="F55" s="293"/>
      <c r="G55" s="293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3"/>
      <c r="S55" s="293"/>
      <c r="T55" s="293"/>
      <c r="U55" s="293"/>
      <c r="V55" s="293"/>
      <c r="W55" s="293"/>
      <c r="X55" s="293"/>
      <c r="Y55" s="349"/>
      <c r="Z55" s="350"/>
      <c r="AA55" s="114"/>
      <c r="AB55" s="114"/>
    </row>
    <row r="56" spans="1:28" ht="40.049999999999997" customHeight="1" x14ac:dyDescent="0.4">
      <c r="A56" s="281" t="s">
        <v>185</v>
      </c>
      <c r="B56" s="282" t="s">
        <v>186</v>
      </c>
      <c r="C56" s="283"/>
      <c r="D56" s="284"/>
      <c r="E56" s="285"/>
      <c r="F56" s="285"/>
      <c r="G56" s="285"/>
      <c r="H56" s="285"/>
      <c r="I56" s="285"/>
      <c r="J56" s="285"/>
      <c r="K56" s="285" t="s">
        <v>18</v>
      </c>
      <c r="L56" s="285"/>
      <c r="M56" s="285" t="s">
        <v>18</v>
      </c>
      <c r="N56" s="285"/>
      <c r="O56" s="285" t="s">
        <v>18</v>
      </c>
      <c r="P56" s="285"/>
      <c r="Q56" s="285" t="s">
        <v>18</v>
      </c>
      <c r="R56" s="285"/>
      <c r="S56" s="285" t="s">
        <v>18</v>
      </c>
      <c r="T56" s="285"/>
      <c r="U56" s="285" t="s">
        <v>18</v>
      </c>
      <c r="V56" s="285"/>
      <c r="W56" s="285" t="s">
        <v>18</v>
      </c>
      <c r="X56" s="285"/>
      <c r="Y56" s="286">
        <f>COUNTIF(C56:X56,"&gt;=R")</f>
        <v>7</v>
      </c>
      <c r="Z56" s="287">
        <f>Y56</f>
        <v>7</v>
      </c>
      <c r="AA56" s="114"/>
      <c r="AB56" s="114"/>
    </row>
    <row r="57" spans="1:28" ht="40.049999999999997" customHeight="1" x14ac:dyDescent="0.4">
      <c r="A57" s="281" t="s">
        <v>187</v>
      </c>
      <c r="B57" s="282" t="s">
        <v>188</v>
      </c>
      <c r="C57" s="283"/>
      <c r="D57" s="284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285"/>
      <c r="P57" s="285"/>
      <c r="Q57" s="285"/>
      <c r="R57" s="285"/>
      <c r="S57" s="285"/>
      <c r="T57" s="285"/>
      <c r="U57" s="285"/>
      <c r="V57" s="285"/>
      <c r="W57" s="285"/>
      <c r="X57" s="285"/>
      <c r="Y57" s="286">
        <f>COUNTIF(C57:X57,"&gt;=R")</f>
        <v>0</v>
      </c>
      <c r="Z57" s="287">
        <f>Y57</f>
        <v>0</v>
      </c>
      <c r="AA57" s="114"/>
      <c r="AB57" s="114"/>
    </row>
    <row r="58" spans="1:28" ht="40.049999999999997" customHeight="1" x14ac:dyDescent="0.3">
      <c r="A58" s="281" t="s">
        <v>189</v>
      </c>
      <c r="B58" s="282" t="s">
        <v>190</v>
      </c>
      <c r="C58" s="284"/>
      <c r="D58" s="284"/>
      <c r="E58" s="285"/>
      <c r="F58" s="285"/>
      <c r="G58" s="750" t="s">
        <v>8</v>
      </c>
      <c r="H58" s="285"/>
      <c r="I58" s="285" t="s">
        <v>84</v>
      </c>
      <c r="J58" s="285"/>
      <c r="K58" s="285" t="s">
        <v>84</v>
      </c>
      <c r="L58" s="285"/>
      <c r="M58" s="285" t="s">
        <v>84</v>
      </c>
      <c r="N58" s="285"/>
      <c r="O58" s="285" t="s">
        <v>84</v>
      </c>
      <c r="P58" s="285"/>
      <c r="Q58" s="285" t="s">
        <v>84</v>
      </c>
      <c r="R58" s="285"/>
      <c r="S58" s="285" t="s">
        <v>84</v>
      </c>
      <c r="T58" s="285"/>
      <c r="U58" s="285"/>
      <c r="V58" s="285"/>
      <c r="W58" s="285"/>
      <c r="X58" s="285"/>
      <c r="Y58" s="286">
        <f>COUNTIF(C58:X58,"&gt;=R")</f>
        <v>7</v>
      </c>
      <c r="Z58" s="287">
        <f>Y58</f>
        <v>7</v>
      </c>
    </row>
    <row r="59" spans="1:28" ht="40.049999999999997" customHeight="1" x14ac:dyDescent="0.4">
      <c r="A59" s="281" t="s">
        <v>191</v>
      </c>
      <c r="B59" s="282" t="s">
        <v>192</v>
      </c>
      <c r="C59" s="284"/>
      <c r="D59" s="284"/>
      <c r="E59" s="285"/>
      <c r="F59" s="285"/>
      <c r="G59" s="285"/>
      <c r="H59" s="285"/>
      <c r="I59" s="285"/>
      <c r="J59" s="285"/>
      <c r="K59" s="285"/>
      <c r="L59" s="285"/>
      <c r="M59" s="285"/>
      <c r="N59" s="285"/>
      <c r="O59" s="285"/>
      <c r="P59" s="285"/>
      <c r="Q59" s="285"/>
      <c r="R59" s="285"/>
      <c r="S59" s="285"/>
      <c r="T59" s="285"/>
      <c r="U59" s="285"/>
      <c r="V59" s="285"/>
      <c r="W59" s="307"/>
      <c r="X59" s="285"/>
      <c r="Y59" s="286">
        <f>COUNTIF(C59:X59,"&gt;=R")</f>
        <v>0</v>
      </c>
      <c r="Z59" s="287">
        <f>Y59</f>
        <v>0</v>
      </c>
      <c r="AA59" s="114"/>
      <c r="AB59" s="114"/>
    </row>
    <row r="60" spans="1:28" ht="40.049999999999997" customHeight="1" x14ac:dyDescent="0.4">
      <c r="A60" s="289" t="s">
        <v>193</v>
      </c>
      <c r="B60" s="290" t="s">
        <v>194</v>
      </c>
      <c r="C60" s="291"/>
      <c r="D60" s="292"/>
      <c r="E60" s="293"/>
      <c r="F60" s="293"/>
      <c r="G60" s="293"/>
      <c r="H60" s="293"/>
      <c r="I60" s="293"/>
      <c r="J60" s="293"/>
      <c r="K60" s="293"/>
      <c r="L60" s="293"/>
      <c r="M60" s="293"/>
      <c r="N60" s="293"/>
      <c r="O60" s="293"/>
      <c r="P60" s="293"/>
      <c r="Q60" s="293"/>
      <c r="R60" s="293"/>
      <c r="S60" s="293"/>
      <c r="T60" s="293"/>
      <c r="U60" s="293"/>
      <c r="V60" s="293"/>
      <c r="W60" s="293"/>
      <c r="X60" s="293"/>
      <c r="Y60" s="349"/>
      <c r="Z60" s="350"/>
      <c r="AA60" s="114"/>
      <c r="AB60" s="114"/>
    </row>
    <row r="61" spans="1:28" ht="40.049999999999997" customHeight="1" x14ac:dyDescent="0.3">
      <c r="A61" s="296" t="s">
        <v>195</v>
      </c>
      <c r="B61" s="297" t="s">
        <v>196</v>
      </c>
      <c r="C61" s="283"/>
      <c r="D61" s="284"/>
      <c r="E61" s="285"/>
      <c r="F61" s="285"/>
      <c r="G61" s="288"/>
      <c r="H61" s="285"/>
      <c r="I61" s="288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  <c r="W61" s="307"/>
      <c r="X61" s="285"/>
      <c r="Y61" s="286">
        <f>COUNTIF(C61:X61,"&gt;=R")</f>
        <v>0</v>
      </c>
      <c r="Z61" s="287">
        <f>Y61</f>
        <v>0</v>
      </c>
    </row>
    <row r="62" spans="1:28" ht="40.049999999999997" customHeight="1" x14ac:dyDescent="0.4">
      <c r="A62" s="308" t="s">
        <v>197</v>
      </c>
      <c r="B62" s="309" t="s">
        <v>139</v>
      </c>
      <c r="C62" s="283"/>
      <c r="D62" s="284"/>
      <c r="E62" s="285" t="s">
        <v>56</v>
      </c>
      <c r="F62" s="285"/>
      <c r="G62" s="285" t="s">
        <v>56</v>
      </c>
      <c r="H62" s="285"/>
      <c r="I62" s="285" t="s">
        <v>56</v>
      </c>
      <c r="J62" s="285"/>
      <c r="K62" s="285" t="s">
        <v>56</v>
      </c>
      <c r="L62" s="285"/>
      <c r="M62" s="285" t="s">
        <v>56</v>
      </c>
      <c r="N62" s="285"/>
      <c r="O62" s="285" t="s">
        <v>56</v>
      </c>
      <c r="P62" s="285"/>
      <c r="Q62" s="285" t="s">
        <v>56</v>
      </c>
      <c r="R62" s="285"/>
      <c r="S62" s="285" t="s">
        <v>56</v>
      </c>
      <c r="T62" s="285"/>
      <c r="U62" s="285" t="s">
        <v>56</v>
      </c>
      <c r="V62" s="285"/>
      <c r="W62" s="285" t="s">
        <v>56</v>
      </c>
      <c r="X62" s="285"/>
      <c r="Y62" s="286">
        <f>COUNTIF(C62:X62,"&gt;=R")</f>
        <v>10</v>
      </c>
      <c r="Z62" s="287">
        <f>Y62</f>
        <v>10</v>
      </c>
      <c r="AA62" s="114"/>
      <c r="AB62" s="114"/>
    </row>
    <row r="63" spans="1:28" ht="40.049999999999997" customHeight="1" x14ac:dyDescent="0.4">
      <c r="A63" s="296" t="s">
        <v>198</v>
      </c>
      <c r="B63" s="297" t="s">
        <v>199</v>
      </c>
      <c r="C63" s="283"/>
      <c r="D63" s="284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285"/>
      <c r="P63" s="285"/>
      <c r="Q63" s="285"/>
      <c r="R63" s="285"/>
      <c r="S63" s="285"/>
      <c r="T63" s="285"/>
      <c r="U63" s="285"/>
      <c r="V63" s="285"/>
      <c r="W63" s="285"/>
      <c r="X63" s="285"/>
      <c r="Y63" s="286"/>
      <c r="Z63" s="287"/>
      <c r="AA63" s="114"/>
      <c r="AB63" s="114"/>
    </row>
    <row r="64" spans="1:28" ht="40.049999999999997" customHeight="1" x14ac:dyDescent="0.3">
      <c r="A64" s="308" t="s">
        <v>200</v>
      </c>
      <c r="B64" s="309" t="s">
        <v>176</v>
      </c>
      <c r="C64" s="283"/>
      <c r="D64" s="284"/>
      <c r="E64" s="283"/>
      <c r="F64" s="285"/>
      <c r="G64" s="288" t="s">
        <v>93</v>
      </c>
      <c r="H64" s="285"/>
      <c r="I64" s="285" t="s">
        <v>93</v>
      </c>
      <c r="J64" s="285"/>
      <c r="K64" s="285" t="s">
        <v>93</v>
      </c>
      <c r="L64" s="285"/>
      <c r="M64" s="285" t="s">
        <v>93</v>
      </c>
      <c r="N64" s="285"/>
      <c r="O64" s="285" t="s">
        <v>93</v>
      </c>
      <c r="P64" s="285"/>
      <c r="Q64" s="285" t="s">
        <v>93</v>
      </c>
      <c r="R64" s="285"/>
      <c r="S64" s="285" t="s">
        <v>93</v>
      </c>
      <c r="T64" s="285"/>
      <c r="U64" s="288"/>
      <c r="V64" s="285"/>
      <c r="W64" s="288"/>
      <c r="X64" s="285"/>
      <c r="Y64" s="286">
        <f>COUNTIF(C64:X64,"&gt;=R")</f>
        <v>7</v>
      </c>
      <c r="Z64" s="287">
        <f>Y64</f>
        <v>7</v>
      </c>
    </row>
    <row r="65" spans="1:28" ht="40.049999999999997" customHeight="1" x14ac:dyDescent="0.3">
      <c r="A65" s="296" t="s">
        <v>201</v>
      </c>
      <c r="B65" s="297" t="s">
        <v>202</v>
      </c>
      <c r="C65" s="283"/>
      <c r="D65" s="284"/>
      <c r="E65" s="285"/>
      <c r="F65" s="285"/>
      <c r="G65" s="288"/>
      <c r="H65" s="285"/>
      <c r="I65" s="288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6"/>
      <c r="Z65" s="287"/>
    </row>
    <row r="66" spans="1:28" ht="40.049999999999997" customHeight="1" x14ac:dyDescent="0.3">
      <c r="A66" s="308" t="s">
        <v>203</v>
      </c>
      <c r="B66" s="309" t="s">
        <v>204</v>
      </c>
      <c r="C66" s="283"/>
      <c r="D66" s="284"/>
      <c r="E66" s="285"/>
      <c r="F66" s="285"/>
      <c r="G66" s="285" t="s">
        <v>93</v>
      </c>
      <c r="H66" s="285"/>
      <c r="I66" s="285" t="s">
        <v>93</v>
      </c>
      <c r="J66" s="285"/>
      <c r="K66" s="285" t="s">
        <v>93</v>
      </c>
      <c r="L66" s="285"/>
      <c r="M66" s="285" t="s">
        <v>93</v>
      </c>
      <c r="N66" s="285"/>
      <c r="O66" s="285" t="s">
        <v>93</v>
      </c>
      <c r="P66" s="285"/>
      <c r="Q66" s="307" t="s">
        <v>93</v>
      </c>
      <c r="R66" s="285"/>
      <c r="S66" s="307" t="s">
        <v>93</v>
      </c>
      <c r="T66" s="285"/>
      <c r="U66" s="307"/>
      <c r="V66" s="285"/>
      <c r="W66" s="307"/>
      <c r="X66" s="285"/>
      <c r="Y66" s="286">
        <f>COUNTIF(C66:X66,"&gt;=R")</f>
        <v>7</v>
      </c>
      <c r="Z66" s="287">
        <f>Y66</f>
        <v>7</v>
      </c>
    </row>
    <row r="67" spans="1:28" ht="40.049999999999997" customHeight="1" x14ac:dyDescent="0.4">
      <c r="A67" s="289" t="s">
        <v>205</v>
      </c>
      <c r="B67" s="290" t="s">
        <v>206</v>
      </c>
      <c r="C67" s="291"/>
      <c r="D67" s="292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  <c r="V67" s="293"/>
      <c r="W67" s="293"/>
      <c r="X67" s="293"/>
      <c r="Y67" s="349"/>
      <c r="Z67" s="350"/>
      <c r="AA67" s="114"/>
      <c r="AB67" s="114"/>
    </row>
    <row r="68" spans="1:28" ht="40.049999999999997" customHeight="1" x14ac:dyDescent="0.3">
      <c r="A68" s="281" t="s">
        <v>207</v>
      </c>
      <c r="B68" s="282" t="s">
        <v>208</v>
      </c>
      <c r="C68" s="284"/>
      <c r="D68" s="284"/>
      <c r="E68" s="285"/>
      <c r="F68" s="285"/>
      <c r="G68" s="750" t="s">
        <v>8</v>
      </c>
      <c r="H68" s="285"/>
      <c r="I68" s="285" t="s">
        <v>84</v>
      </c>
      <c r="J68" s="285"/>
      <c r="K68" s="285" t="s">
        <v>84</v>
      </c>
      <c r="L68" s="285"/>
      <c r="M68" s="285" t="s">
        <v>84</v>
      </c>
      <c r="N68" s="285"/>
      <c r="O68" s="285" t="s">
        <v>84</v>
      </c>
      <c r="P68" s="285"/>
      <c r="Q68" s="285" t="s">
        <v>84</v>
      </c>
      <c r="R68" s="285"/>
      <c r="S68" s="285" t="s">
        <v>84</v>
      </c>
      <c r="T68" s="285"/>
      <c r="U68" s="285"/>
      <c r="V68" s="285"/>
      <c r="W68" s="285"/>
      <c r="X68" s="285"/>
      <c r="Y68" s="286">
        <f>COUNTIF(C68:X68,"&gt;=R")</f>
        <v>7</v>
      </c>
      <c r="Z68" s="287">
        <f>Y68</f>
        <v>7</v>
      </c>
    </row>
    <row r="69" spans="1:28" ht="40.049999999999997" customHeight="1" x14ac:dyDescent="0.3">
      <c r="A69" s="289" t="s">
        <v>209</v>
      </c>
      <c r="B69" s="290" t="s">
        <v>210</v>
      </c>
      <c r="C69" s="291"/>
      <c r="D69" s="292"/>
      <c r="E69" s="293"/>
      <c r="F69" s="293"/>
      <c r="G69" s="293"/>
      <c r="H69" s="293"/>
      <c r="I69" s="293"/>
      <c r="J69" s="293"/>
      <c r="K69" s="293"/>
      <c r="L69" s="293"/>
      <c r="M69" s="293"/>
      <c r="N69" s="293"/>
      <c r="O69" s="293"/>
      <c r="P69" s="293"/>
      <c r="Q69" s="293"/>
      <c r="R69" s="293"/>
      <c r="S69" s="293"/>
      <c r="T69" s="293"/>
      <c r="U69" s="293"/>
      <c r="V69" s="293"/>
      <c r="W69" s="293"/>
      <c r="X69" s="293"/>
      <c r="Y69" s="349"/>
      <c r="Z69" s="350"/>
    </row>
    <row r="70" spans="1:28" ht="40.049999999999997" customHeight="1" x14ac:dyDescent="0.3">
      <c r="A70" s="281" t="s">
        <v>211</v>
      </c>
      <c r="B70" s="282" t="s">
        <v>212</v>
      </c>
      <c r="C70" s="283"/>
      <c r="D70" s="284"/>
      <c r="E70" s="285"/>
      <c r="F70" s="285"/>
      <c r="G70" s="285"/>
      <c r="H70" s="285"/>
      <c r="I70" s="285"/>
      <c r="J70" s="285"/>
      <c r="K70" s="285" t="s">
        <v>48</v>
      </c>
      <c r="L70" s="285"/>
      <c r="M70" s="285" t="s">
        <v>48</v>
      </c>
      <c r="N70" s="285"/>
      <c r="O70" s="285" t="s">
        <v>48</v>
      </c>
      <c r="P70" s="285"/>
      <c r="Q70" s="285"/>
      <c r="R70" s="285"/>
      <c r="S70" s="285"/>
      <c r="T70" s="285"/>
      <c r="U70" s="285"/>
      <c r="V70" s="285"/>
      <c r="W70" s="285"/>
      <c r="X70" s="285"/>
      <c r="Y70" s="286">
        <f>COUNTIF(C70:X70,"&gt;=R")</f>
        <v>3</v>
      </c>
      <c r="Z70" s="287">
        <f>Y70</f>
        <v>3</v>
      </c>
    </row>
    <row r="71" spans="1:28" ht="40.049999999999997" customHeight="1" x14ac:dyDescent="0.3">
      <c r="A71" s="281" t="s">
        <v>213</v>
      </c>
      <c r="B71" s="282" t="s">
        <v>214</v>
      </c>
      <c r="C71" s="283"/>
      <c r="D71" s="284"/>
      <c r="E71" s="299"/>
      <c r="F71" s="285"/>
      <c r="G71" s="285" t="s">
        <v>85</v>
      </c>
      <c r="H71" s="285"/>
      <c r="I71" s="285"/>
      <c r="J71" s="285"/>
      <c r="K71" s="285" t="s">
        <v>85</v>
      </c>
      <c r="L71" s="285"/>
      <c r="M71" s="288" t="s">
        <v>85</v>
      </c>
      <c r="N71" s="285"/>
      <c r="O71" s="285"/>
      <c r="P71" s="285"/>
      <c r="Q71" s="285"/>
      <c r="R71" s="285"/>
      <c r="S71" s="285"/>
      <c r="T71" s="285"/>
      <c r="U71" s="285"/>
      <c r="V71" s="285"/>
      <c r="W71" s="285"/>
      <c r="X71" s="285"/>
      <c r="Y71" s="286">
        <f>COUNTIF(C71:X71,"&gt;=R")</f>
        <v>3</v>
      </c>
      <c r="Z71" s="287">
        <f>Y71</f>
        <v>3</v>
      </c>
    </row>
    <row r="72" spans="1:28" ht="40.049999999999997" customHeight="1" x14ac:dyDescent="0.4">
      <c r="A72" s="289" t="s">
        <v>215</v>
      </c>
      <c r="B72" s="290" t="s">
        <v>216</v>
      </c>
      <c r="C72" s="291"/>
      <c r="D72" s="292"/>
      <c r="E72" s="293"/>
      <c r="F72" s="293"/>
      <c r="G72" s="293"/>
      <c r="H72" s="293"/>
      <c r="I72" s="293"/>
      <c r="J72" s="293"/>
      <c r="K72" s="293"/>
      <c r="L72" s="293"/>
      <c r="M72" s="293"/>
      <c r="N72" s="293"/>
      <c r="O72" s="293"/>
      <c r="P72" s="293"/>
      <c r="Q72" s="293"/>
      <c r="R72" s="293"/>
      <c r="S72" s="293"/>
      <c r="T72" s="293"/>
      <c r="U72" s="293"/>
      <c r="V72" s="293"/>
      <c r="W72" s="293"/>
      <c r="X72" s="293"/>
      <c r="Y72" s="349"/>
      <c r="Z72" s="350"/>
      <c r="AA72" s="114"/>
      <c r="AB72" s="114"/>
    </row>
    <row r="73" spans="1:28" ht="40.049999999999997" customHeight="1" x14ac:dyDescent="0.3">
      <c r="A73" s="281" t="s">
        <v>217</v>
      </c>
      <c r="B73" s="282" t="s">
        <v>218</v>
      </c>
      <c r="C73" s="283"/>
      <c r="D73" s="284"/>
      <c r="E73" s="283"/>
      <c r="F73" s="285"/>
      <c r="G73" s="283"/>
      <c r="H73" s="285"/>
      <c r="I73" s="283"/>
      <c r="J73" s="285"/>
      <c r="K73" s="285" t="s">
        <v>93</v>
      </c>
      <c r="L73" s="285"/>
      <c r="M73" s="285" t="s">
        <v>93</v>
      </c>
      <c r="N73" s="285"/>
      <c r="O73" s="285" t="s">
        <v>93</v>
      </c>
      <c r="P73" s="285"/>
      <c r="Q73" s="285"/>
      <c r="R73" s="285"/>
      <c r="S73" s="285"/>
      <c r="T73" s="288"/>
      <c r="U73" s="285"/>
      <c r="V73" s="288"/>
      <c r="W73" s="285"/>
      <c r="X73" s="288"/>
      <c r="Y73" s="286">
        <f>COUNTIF(C73:X73,"&gt;=R")</f>
        <v>3</v>
      </c>
      <c r="Z73" s="287">
        <f>Y73</f>
        <v>3</v>
      </c>
    </row>
    <row r="74" spans="1:28" ht="40.049999999999997" customHeight="1" x14ac:dyDescent="0.4">
      <c r="A74" s="289" t="s">
        <v>219</v>
      </c>
      <c r="B74" s="290" t="s">
        <v>220</v>
      </c>
      <c r="C74" s="291"/>
      <c r="D74" s="292"/>
      <c r="E74" s="293"/>
      <c r="F74" s="293"/>
      <c r="G74" s="293"/>
      <c r="H74" s="293"/>
      <c r="I74" s="293"/>
      <c r="J74" s="293"/>
      <c r="K74" s="293"/>
      <c r="L74" s="293"/>
      <c r="M74" s="293"/>
      <c r="N74" s="293"/>
      <c r="O74" s="293"/>
      <c r="P74" s="293"/>
      <c r="Q74" s="293"/>
      <c r="R74" s="293"/>
      <c r="S74" s="293"/>
      <c r="T74" s="293"/>
      <c r="U74" s="293"/>
      <c r="V74" s="293"/>
      <c r="W74" s="293"/>
      <c r="X74" s="293"/>
      <c r="Y74" s="349"/>
      <c r="Z74" s="350"/>
      <c r="AA74" s="114"/>
      <c r="AB74" s="114"/>
    </row>
    <row r="75" spans="1:28" ht="40.049999999999997" customHeight="1" x14ac:dyDescent="0.3">
      <c r="A75" s="281" t="s">
        <v>221</v>
      </c>
      <c r="B75" s="282" t="s">
        <v>222</v>
      </c>
      <c r="C75" s="284" t="s">
        <v>18</v>
      </c>
      <c r="D75" s="284"/>
      <c r="E75" s="285" t="s">
        <v>76</v>
      </c>
      <c r="F75" s="285"/>
      <c r="G75" s="285" t="s">
        <v>27</v>
      </c>
      <c r="H75" s="285"/>
      <c r="I75" s="285" t="s">
        <v>17</v>
      </c>
      <c r="J75" s="285"/>
      <c r="K75" s="285" t="s">
        <v>76</v>
      </c>
      <c r="L75" s="285"/>
      <c r="M75" s="285" t="s">
        <v>27</v>
      </c>
      <c r="N75" s="285"/>
      <c r="O75" s="285" t="s">
        <v>27</v>
      </c>
      <c r="P75" s="285"/>
      <c r="Q75" s="285" t="s">
        <v>76</v>
      </c>
      <c r="R75" s="285"/>
      <c r="S75" s="285" t="s">
        <v>76</v>
      </c>
      <c r="T75" s="285"/>
      <c r="U75" s="285" t="s">
        <v>76</v>
      </c>
      <c r="V75" s="285"/>
      <c r="W75" s="285" t="s">
        <v>76</v>
      </c>
      <c r="X75" s="285"/>
      <c r="Y75" s="286">
        <f>COUNTIF(C75:X75,"&gt;=R")</f>
        <v>11</v>
      </c>
      <c r="Z75" s="287">
        <f>Y75</f>
        <v>11</v>
      </c>
    </row>
    <row r="76" spans="1:28" ht="40.049999999999997" customHeight="1" x14ac:dyDescent="0.3">
      <c r="A76" s="300" t="s">
        <v>223</v>
      </c>
      <c r="B76" s="301" t="s">
        <v>224</v>
      </c>
      <c r="C76" s="283"/>
      <c r="D76" s="284"/>
      <c r="E76" s="285"/>
      <c r="F76" s="285"/>
      <c r="G76" s="285"/>
      <c r="H76" s="285"/>
      <c r="I76" s="285"/>
      <c r="J76" s="285"/>
      <c r="K76" s="285"/>
      <c r="L76" s="285"/>
      <c r="M76" s="285"/>
      <c r="N76" s="285"/>
      <c r="O76" s="285"/>
      <c r="P76" s="285"/>
      <c r="Q76" s="285"/>
      <c r="R76" s="285"/>
      <c r="S76" s="285"/>
      <c r="T76" s="285"/>
      <c r="U76" s="285"/>
      <c r="V76" s="285"/>
      <c r="W76" s="285"/>
      <c r="X76" s="285"/>
      <c r="Y76" s="286"/>
      <c r="Z76" s="287"/>
    </row>
    <row r="77" spans="1:28" ht="40.049999999999997" customHeight="1" x14ac:dyDescent="0.3">
      <c r="A77" s="281" t="s">
        <v>225</v>
      </c>
      <c r="B77" s="282" t="s">
        <v>226</v>
      </c>
      <c r="C77" s="283" t="s">
        <v>18</v>
      </c>
      <c r="D77" s="284"/>
      <c r="E77" s="285" t="s">
        <v>76</v>
      </c>
      <c r="F77" s="285"/>
      <c r="G77" s="285" t="s">
        <v>27</v>
      </c>
      <c r="H77" s="285"/>
      <c r="I77" s="750" t="s">
        <v>8</v>
      </c>
      <c r="J77" s="285"/>
      <c r="K77" s="285" t="s">
        <v>76</v>
      </c>
      <c r="L77" s="285"/>
      <c r="M77" s="285" t="s">
        <v>27</v>
      </c>
      <c r="N77" s="285"/>
      <c r="O77" s="285" t="s">
        <v>27</v>
      </c>
      <c r="P77" s="285"/>
      <c r="Q77" s="285" t="s">
        <v>37</v>
      </c>
      <c r="R77" s="285"/>
      <c r="S77" s="285" t="s">
        <v>37</v>
      </c>
      <c r="T77" s="285"/>
      <c r="U77" s="285" t="s">
        <v>37</v>
      </c>
      <c r="V77" s="285"/>
      <c r="W77" s="285" t="s">
        <v>76</v>
      </c>
      <c r="X77" s="285"/>
      <c r="Y77" s="286">
        <f>COUNTIF(C77:X77,"&gt;=R")</f>
        <v>11</v>
      </c>
      <c r="Z77" s="287">
        <f>Y77</f>
        <v>11</v>
      </c>
    </row>
    <row r="78" spans="1:28" ht="40.049999999999997" customHeight="1" x14ac:dyDescent="0.4">
      <c r="A78" s="281" t="s">
        <v>227</v>
      </c>
      <c r="B78" s="282" t="s">
        <v>228</v>
      </c>
      <c r="C78" s="283"/>
      <c r="D78" s="284"/>
      <c r="E78" s="283"/>
      <c r="F78" s="285"/>
      <c r="G78" s="283"/>
      <c r="H78" s="285"/>
      <c r="I78" s="283"/>
      <c r="J78" s="285"/>
      <c r="K78" s="283"/>
      <c r="L78" s="285"/>
      <c r="M78" s="283"/>
      <c r="N78" s="285"/>
      <c r="O78" s="283"/>
      <c r="P78" s="285"/>
      <c r="Q78" s="283"/>
      <c r="R78" s="285"/>
      <c r="S78" s="283"/>
      <c r="T78" s="285"/>
      <c r="U78" s="283"/>
      <c r="V78" s="285"/>
      <c r="W78" s="283"/>
      <c r="X78" s="285"/>
      <c r="Y78" s="286">
        <f>COUNTIF(C78:X78,"&gt;=R")</f>
        <v>0</v>
      </c>
      <c r="Z78" s="287">
        <f>Y78</f>
        <v>0</v>
      </c>
      <c r="AA78" s="114"/>
      <c r="AB78" s="114"/>
    </row>
    <row r="79" spans="1:28" ht="40.049999999999997" customHeight="1" x14ac:dyDescent="0.3">
      <c r="A79" s="281" t="s">
        <v>229</v>
      </c>
      <c r="B79" s="282" t="s">
        <v>230</v>
      </c>
      <c r="C79" s="283"/>
      <c r="D79" s="284"/>
      <c r="E79" s="283"/>
      <c r="F79" s="285"/>
      <c r="G79" s="283"/>
      <c r="H79" s="285"/>
      <c r="I79" s="283"/>
      <c r="J79" s="285"/>
      <c r="K79" s="283"/>
      <c r="L79" s="285"/>
      <c r="M79" s="283"/>
      <c r="N79" s="285"/>
      <c r="O79" s="283"/>
      <c r="P79" s="285"/>
      <c r="Q79" s="283"/>
      <c r="R79" s="285"/>
      <c r="S79" s="283"/>
      <c r="T79" s="285"/>
      <c r="U79" s="283"/>
      <c r="V79" s="285"/>
      <c r="W79" s="283"/>
      <c r="X79" s="285"/>
      <c r="Y79" s="286">
        <f>COUNTIF(C79:X79,"&gt;=R")</f>
        <v>0</v>
      </c>
      <c r="Z79" s="287">
        <f>Y79</f>
        <v>0</v>
      </c>
    </row>
    <row r="80" spans="1:28" ht="40.049999999999997" customHeight="1" x14ac:dyDescent="0.4">
      <c r="A80" s="281" t="s">
        <v>231</v>
      </c>
      <c r="B80" s="282" t="s">
        <v>232</v>
      </c>
      <c r="C80" s="283" t="s">
        <v>18</v>
      </c>
      <c r="D80" s="283"/>
      <c r="E80" s="307" t="s">
        <v>76</v>
      </c>
      <c r="F80" s="285"/>
      <c r="G80" s="285" t="s">
        <v>27</v>
      </c>
      <c r="H80" s="285"/>
      <c r="I80" s="285" t="s">
        <v>17</v>
      </c>
      <c r="J80" s="285"/>
      <c r="K80" s="285" t="s">
        <v>76</v>
      </c>
      <c r="L80" s="285"/>
      <c r="M80" s="285" t="s">
        <v>27</v>
      </c>
      <c r="N80" s="285"/>
      <c r="O80" s="285" t="s">
        <v>27</v>
      </c>
      <c r="P80" s="285"/>
      <c r="Q80" s="285" t="s">
        <v>37</v>
      </c>
      <c r="R80" s="285"/>
      <c r="S80" s="285" t="s">
        <v>37</v>
      </c>
      <c r="T80" s="285"/>
      <c r="U80" s="285" t="s">
        <v>76</v>
      </c>
      <c r="V80" s="285"/>
      <c r="W80" s="285" t="s">
        <v>76</v>
      </c>
      <c r="X80" s="285"/>
      <c r="Y80" s="286">
        <f>COUNTIF(C80:X80,"&gt;=R")</f>
        <v>11</v>
      </c>
      <c r="Z80" s="287">
        <f>Y80</f>
        <v>11</v>
      </c>
      <c r="AA80" s="114"/>
      <c r="AB80" s="114"/>
    </row>
    <row r="81" spans="1:28" ht="40.049999999999997" customHeight="1" x14ac:dyDescent="0.65">
      <c r="A81" s="357" t="s">
        <v>233</v>
      </c>
      <c r="B81" s="890" t="s">
        <v>234</v>
      </c>
      <c r="C81" s="283" t="s">
        <v>18</v>
      </c>
      <c r="D81" s="284"/>
      <c r="E81" s="285" t="s">
        <v>76</v>
      </c>
      <c r="F81" s="285"/>
      <c r="G81" s="285" t="s">
        <v>27</v>
      </c>
      <c r="H81" s="285"/>
      <c r="I81" s="285" t="s">
        <v>17</v>
      </c>
      <c r="J81" s="285"/>
      <c r="K81" s="285" t="s">
        <v>76</v>
      </c>
      <c r="L81" s="285"/>
      <c r="M81" s="285" t="s">
        <v>27</v>
      </c>
      <c r="N81" s="285"/>
      <c r="O81" s="285" t="s">
        <v>27</v>
      </c>
      <c r="P81" s="285"/>
      <c r="Q81" s="285" t="s">
        <v>76</v>
      </c>
      <c r="R81" s="285"/>
      <c r="S81" s="285" t="s">
        <v>37</v>
      </c>
      <c r="T81" s="285"/>
      <c r="U81" s="285" t="s">
        <v>76</v>
      </c>
      <c r="V81" s="285"/>
      <c r="W81" s="285" t="s">
        <v>76</v>
      </c>
      <c r="X81" s="285"/>
      <c r="Y81" s="286">
        <f>COUNTIF(C81:X81,"&gt;=R")</f>
        <v>11</v>
      </c>
      <c r="Z81" s="287">
        <f>Y81</f>
        <v>11</v>
      </c>
    </row>
    <row r="82" spans="1:28" ht="40.049999999999997" customHeight="1" x14ac:dyDescent="0.3">
      <c r="A82" s="289" t="s">
        <v>235</v>
      </c>
      <c r="B82" s="290" t="s">
        <v>236</v>
      </c>
      <c r="C82" s="291"/>
      <c r="D82" s="292"/>
      <c r="E82" s="293"/>
      <c r="F82" s="293"/>
      <c r="G82" s="293"/>
      <c r="H82" s="293"/>
      <c r="I82" s="293"/>
      <c r="J82" s="293"/>
      <c r="K82" s="293"/>
      <c r="L82" s="293"/>
      <c r="M82" s="293"/>
      <c r="N82" s="293"/>
      <c r="O82" s="293"/>
      <c r="P82" s="293"/>
      <c r="Q82" s="293"/>
      <c r="R82" s="293"/>
      <c r="S82" s="293"/>
      <c r="T82" s="293"/>
      <c r="U82" s="293"/>
      <c r="V82" s="293"/>
      <c r="W82" s="293"/>
      <c r="X82" s="293"/>
      <c r="Y82" s="349"/>
      <c r="Z82" s="350"/>
    </row>
    <row r="83" spans="1:28" ht="40.049999999999997" customHeight="1" x14ac:dyDescent="0.3">
      <c r="A83" s="296" t="s">
        <v>237</v>
      </c>
      <c r="B83" s="297" t="s">
        <v>238</v>
      </c>
      <c r="C83" s="283"/>
      <c r="D83" s="283"/>
      <c r="E83" s="299"/>
      <c r="F83" s="285"/>
      <c r="G83" s="285"/>
      <c r="H83" s="285"/>
      <c r="I83" s="285"/>
      <c r="J83" s="285"/>
      <c r="K83" s="285"/>
      <c r="L83" s="285"/>
      <c r="M83" s="285"/>
      <c r="N83" s="285"/>
      <c r="O83" s="285"/>
      <c r="P83" s="285"/>
      <c r="Q83" s="285"/>
      <c r="R83" s="285"/>
      <c r="S83" s="285"/>
      <c r="T83" s="285"/>
      <c r="U83" s="285"/>
      <c r="V83" s="285"/>
      <c r="W83" s="285"/>
      <c r="X83" s="285"/>
      <c r="Y83" s="286">
        <f>COUNTIF(C83:X83,"&gt;=R")</f>
        <v>0</v>
      </c>
      <c r="Z83" s="287">
        <f>Y83</f>
        <v>0</v>
      </c>
    </row>
    <row r="84" spans="1:28" ht="40.049999999999997" customHeight="1" x14ac:dyDescent="0.4">
      <c r="A84" s="281" t="s">
        <v>239</v>
      </c>
      <c r="B84" s="282" t="s">
        <v>139</v>
      </c>
      <c r="C84" s="284"/>
      <c r="D84" s="283"/>
      <c r="E84" s="285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5"/>
      <c r="V84" s="285"/>
      <c r="W84" s="285"/>
      <c r="X84" s="285"/>
      <c r="Y84" s="286">
        <f>COUNTIF(C84:X84,"&gt;=R")</f>
        <v>0</v>
      </c>
      <c r="Z84" s="287">
        <f>Y84</f>
        <v>0</v>
      </c>
      <c r="AA84" s="114"/>
      <c r="AB84" s="114"/>
    </row>
    <row r="85" spans="1:28" ht="40.049999999999997" customHeight="1" x14ac:dyDescent="0.3">
      <c r="A85" s="296" t="s">
        <v>240</v>
      </c>
      <c r="B85" s="297" t="s">
        <v>241</v>
      </c>
      <c r="C85" s="283"/>
      <c r="D85" s="283"/>
      <c r="E85" s="285"/>
      <c r="F85" s="285"/>
      <c r="G85" s="285"/>
      <c r="H85" s="285"/>
      <c r="I85" s="285"/>
      <c r="J85" s="285"/>
      <c r="K85" s="285"/>
      <c r="L85" s="285"/>
      <c r="M85" s="285"/>
      <c r="N85" s="285"/>
      <c r="O85" s="285"/>
      <c r="P85" s="285"/>
      <c r="Q85" s="285"/>
      <c r="R85" s="285"/>
      <c r="S85" s="285"/>
      <c r="T85" s="285"/>
      <c r="U85" s="285"/>
      <c r="V85" s="285"/>
      <c r="W85" s="285"/>
      <c r="X85" s="285"/>
      <c r="Y85" s="286"/>
      <c r="Z85" s="287"/>
    </row>
    <row r="86" spans="1:28" ht="40.049999999999997" customHeight="1" x14ac:dyDescent="0.3">
      <c r="A86" s="308" t="s">
        <v>242</v>
      </c>
      <c r="B86" s="309" t="s">
        <v>243</v>
      </c>
      <c r="C86" s="284"/>
      <c r="D86" s="283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5"/>
      <c r="V86" s="285"/>
      <c r="W86" s="285"/>
      <c r="X86" s="285"/>
      <c r="Y86" s="286">
        <f>COUNTIF(C86:X86,"&gt;=R")</f>
        <v>0</v>
      </c>
      <c r="Z86" s="287">
        <f>Y86</f>
        <v>0</v>
      </c>
    </row>
    <row r="87" spans="1:28" ht="40.049999999999997" customHeight="1" x14ac:dyDescent="0.3">
      <c r="A87" s="308" t="s">
        <v>244</v>
      </c>
      <c r="B87" s="309" t="s">
        <v>245</v>
      </c>
      <c r="C87" s="283"/>
      <c r="D87" s="283"/>
      <c r="E87" s="299"/>
      <c r="F87" s="285"/>
      <c r="G87" s="285"/>
      <c r="H87" s="285"/>
      <c r="I87" s="285"/>
      <c r="J87" s="285"/>
      <c r="K87" s="285"/>
      <c r="L87" s="285"/>
      <c r="M87" s="285"/>
      <c r="N87" s="285"/>
      <c r="O87" s="285"/>
      <c r="P87" s="285"/>
      <c r="Q87" s="285"/>
      <c r="R87" s="285"/>
      <c r="S87" s="285"/>
      <c r="T87" s="285"/>
      <c r="U87" s="285"/>
      <c r="V87" s="285"/>
      <c r="W87" s="285"/>
      <c r="X87" s="285"/>
      <c r="Y87" s="286">
        <f>COUNTIF(C87:X87,"&gt;=R")</f>
        <v>0</v>
      </c>
      <c r="Z87" s="287">
        <f>Y87</f>
        <v>0</v>
      </c>
    </row>
    <row r="88" spans="1:28" ht="40.049999999999997" customHeight="1" x14ac:dyDescent="0.3">
      <c r="A88" s="296" t="s">
        <v>246</v>
      </c>
      <c r="B88" s="297" t="s">
        <v>247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307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6"/>
      <c r="Z88" s="287"/>
    </row>
    <row r="89" spans="1:28" ht="40.049999999999997" customHeight="1" x14ac:dyDescent="0.3">
      <c r="A89" s="308" t="s">
        <v>248</v>
      </c>
      <c r="B89" s="309" t="s">
        <v>249</v>
      </c>
      <c r="C89" s="284"/>
      <c r="D89" s="283"/>
      <c r="E89" s="285" t="s">
        <v>68</v>
      </c>
      <c r="F89" s="285"/>
      <c r="G89" s="285" t="s">
        <v>68</v>
      </c>
      <c r="H89" s="285"/>
      <c r="I89" s="285" t="s">
        <v>18</v>
      </c>
      <c r="J89" s="285"/>
      <c r="K89" s="285" t="s">
        <v>18</v>
      </c>
      <c r="L89" s="285"/>
      <c r="M89" s="285" t="s">
        <v>68</v>
      </c>
      <c r="N89" s="285"/>
      <c r="O89" s="285" t="s">
        <v>18</v>
      </c>
      <c r="P89" s="285"/>
      <c r="Q89" s="285" t="s">
        <v>68</v>
      </c>
      <c r="R89" s="285"/>
      <c r="S89" s="285" t="s">
        <v>68</v>
      </c>
      <c r="T89" s="285"/>
      <c r="U89" s="285" t="s">
        <v>68</v>
      </c>
      <c r="V89" s="285"/>
      <c r="W89" s="285" t="s">
        <v>68</v>
      </c>
      <c r="X89" s="285"/>
      <c r="Y89" s="286">
        <f>COUNTIF(C89:X89,"&gt;=R")</f>
        <v>10</v>
      </c>
      <c r="Z89" s="287">
        <f>Y89</f>
        <v>10</v>
      </c>
    </row>
    <row r="90" spans="1:28" ht="40.049999999999997" customHeight="1" x14ac:dyDescent="0.3">
      <c r="A90" s="308" t="s">
        <v>250</v>
      </c>
      <c r="B90" s="309" t="s">
        <v>251</v>
      </c>
      <c r="C90" s="284"/>
      <c r="D90" s="283"/>
      <c r="E90" s="285" t="s">
        <v>68</v>
      </c>
      <c r="F90" s="285"/>
      <c r="G90" s="285" t="s">
        <v>68</v>
      </c>
      <c r="H90" s="285"/>
      <c r="I90" s="285" t="s">
        <v>18</v>
      </c>
      <c r="J90" s="285"/>
      <c r="K90" s="285" t="s">
        <v>18</v>
      </c>
      <c r="L90" s="285"/>
      <c r="M90" s="285" t="s">
        <v>68</v>
      </c>
      <c r="N90" s="285"/>
      <c r="O90" s="285" t="s">
        <v>18</v>
      </c>
      <c r="P90" s="285"/>
      <c r="Q90" s="285" t="s">
        <v>68</v>
      </c>
      <c r="R90" s="285"/>
      <c r="S90" s="285" t="s">
        <v>68</v>
      </c>
      <c r="T90" s="285"/>
      <c r="U90" s="285" t="s">
        <v>68</v>
      </c>
      <c r="V90" s="285"/>
      <c r="W90" s="285" t="s">
        <v>68</v>
      </c>
      <c r="X90" s="285"/>
      <c r="Y90" s="286">
        <f>COUNTIF(C90:X90,"&gt;=R")</f>
        <v>10</v>
      </c>
      <c r="Z90" s="287">
        <f>Y90</f>
        <v>10</v>
      </c>
    </row>
    <row r="91" spans="1:28" ht="40.049999999999997" customHeight="1" x14ac:dyDescent="0.4">
      <c r="A91" s="296" t="s">
        <v>252</v>
      </c>
      <c r="B91" s="297" t="s">
        <v>253</v>
      </c>
      <c r="C91" s="283"/>
      <c r="D91" s="283"/>
      <c r="E91" s="299"/>
      <c r="F91" s="285"/>
      <c r="G91" s="288"/>
      <c r="H91" s="285"/>
      <c r="I91" s="288"/>
      <c r="J91" s="285"/>
      <c r="K91" s="285"/>
      <c r="L91" s="285"/>
      <c r="M91" s="285"/>
      <c r="N91" s="285"/>
      <c r="O91" s="285"/>
      <c r="P91" s="285"/>
      <c r="Q91" s="285"/>
      <c r="R91" s="285"/>
      <c r="S91" s="285"/>
      <c r="T91" s="285"/>
      <c r="U91" s="285"/>
      <c r="V91" s="285"/>
      <c r="W91" s="285"/>
      <c r="X91" s="285"/>
      <c r="Y91" s="286"/>
      <c r="Z91" s="287"/>
      <c r="AA91" s="114"/>
      <c r="AB91" s="114"/>
    </row>
    <row r="92" spans="1:28" ht="40.049999999999997" customHeight="1" x14ac:dyDescent="0.4">
      <c r="A92" s="281" t="s">
        <v>254</v>
      </c>
      <c r="B92" s="282" t="s">
        <v>255</v>
      </c>
      <c r="C92" s="283"/>
      <c r="D92" s="283"/>
      <c r="E92" s="283" t="s">
        <v>68</v>
      </c>
      <c r="F92" s="285"/>
      <c r="G92" s="283" t="s">
        <v>68</v>
      </c>
      <c r="H92" s="285"/>
      <c r="I92" s="283"/>
      <c r="J92" s="285"/>
      <c r="K92" s="283"/>
      <c r="L92" s="285"/>
      <c r="M92" s="283" t="s">
        <v>68</v>
      </c>
      <c r="N92" s="285"/>
      <c r="O92" s="283"/>
      <c r="P92" s="285"/>
      <c r="Q92" s="283" t="s">
        <v>68</v>
      </c>
      <c r="R92" s="285"/>
      <c r="S92" s="283" t="s">
        <v>68</v>
      </c>
      <c r="T92" s="285"/>
      <c r="U92" s="283" t="s">
        <v>68</v>
      </c>
      <c r="V92" s="285"/>
      <c r="W92" s="283" t="s">
        <v>68</v>
      </c>
      <c r="X92" s="285"/>
      <c r="Y92" s="286">
        <f>COUNTIF(C92:X92,"&gt;=R")</f>
        <v>7</v>
      </c>
      <c r="Z92" s="287">
        <f>Y92</f>
        <v>7</v>
      </c>
      <c r="AA92" s="114"/>
      <c r="AB92" s="114"/>
    </row>
    <row r="93" spans="1:28" ht="40.049999999999997" customHeight="1" x14ac:dyDescent="0.3">
      <c r="A93" s="281" t="s">
        <v>256</v>
      </c>
      <c r="B93" s="282" t="s">
        <v>257</v>
      </c>
      <c r="C93" s="283"/>
      <c r="D93" s="284"/>
      <c r="E93" s="283"/>
      <c r="F93" s="285"/>
      <c r="G93" s="283"/>
      <c r="H93" s="285"/>
      <c r="I93" s="283"/>
      <c r="J93" s="285"/>
      <c r="K93" s="283"/>
      <c r="L93" s="285"/>
      <c r="M93" s="283"/>
      <c r="N93" s="285"/>
      <c r="O93" s="283"/>
      <c r="P93" s="285"/>
      <c r="Q93" s="283"/>
      <c r="R93" s="285"/>
      <c r="S93" s="283"/>
      <c r="T93" s="285"/>
      <c r="U93" s="283"/>
      <c r="V93" s="285"/>
      <c r="W93" s="283"/>
      <c r="X93" s="285"/>
      <c r="Y93" s="286">
        <f>COUNTIF(C93:X93,"&gt;=R")</f>
        <v>0</v>
      </c>
      <c r="Z93" s="287">
        <f>Y93</f>
        <v>0</v>
      </c>
    </row>
    <row r="94" spans="1:28" ht="40.049999999999997" customHeight="1" x14ac:dyDescent="0.4">
      <c r="A94" s="281" t="s">
        <v>258</v>
      </c>
      <c r="B94" s="282" t="s">
        <v>259</v>
      </c>
      <c r="C94" s="283"/>
      <c r="D94" s="284"/>
      <c r="E94" s="283"/>
      <c r="F94" s="285"/>
      <c r="G94" s="283"/>
      <c r="H94" s="285"/>
      <c r="I94" s="283"/>
      <c r="J94" s="285"/>
      <c r="K94" s="283"/>
      <c r="L94" s="285"/>
      <c r="M94" s="283"/>
      <c r="N94" s="285"/>
      <c r="O94" s="283"/>
      <c r="P94" s="285"/>
      <c r="Q94" s="283"/>
      <c r="R94" s="285"/>
      <c r="S94" s="283"/>
      <c r="T94" s="285"/>
      <c r="U94" s="283"/>
      <c r="V94" s="285"/>
      <c r="W94" s="283"/>
      <c r="X94" s="285"/>
      <c r="Y94" s="286">
        <f>COUNTIF(C94:X94,"&gt;=R")</f>
        <v>0</v>
      </c>
      <c r="Z94" s="287">
        <f>Y94</f>
        <v>0</v>
      </c>
      <c r="AA94" s="114"/>
      <c r="AB94" s="114"/>
    </row>
    <row r="95" spans="1:28" ht="40.049999999999997" customHeight="1" x14ac:dyDescent="0.4">
      <c r="A95" s="281" t="s">
        <v>260</v>
      </c>
      <c r="B95" s="282" t="s">
        <v>261</v>
      </c>
      <c r="C95" s="283"/>
      <c r="D95" s="284"/>
      <c r="E95" s="283" t="s">
        <v>68</v>
      </c>
      <c r="F95" s="285"/>
      <c r="G95" s="283" t="s">
        <v>68</v>
      </c>
      <c r="H95" s="285"/>
      <c r="I95" s="283"/>
      <c r="J95" s="285"/>
      <c r="K95" s="283"/>
      <c r="L95" s="285"/>
      <c r="M95" s="283" t="s">
        <v>68</v>
      </c>
      <c r="N95" s="285"/>
      <c r="O95" s="283"/>
      <c r="P95" s="285"/>
      <c r="Q95" s="283" t="s">
        <v>68</v>
      </c>
      <c r="R95" s="285"/>
      <c r="S95" s="283" t="s">
        <v>68</v>
      </c>
      <c r="T95" s="285"/>
      <c r="U95" s="283" t="s">
        <v>68</v>
      </c>
      <c r="V95" s="285"/>
      <c r="W95" s="283" t="s">
        <v>68</v>
      </c>
      <c r="X95" s="285"/>
      <c r="Y95" s="286">
        <f>COUNTIF(C95:X95,"&gt;=R")</f>
        <v>7</v>
      </c>
      <c r="Z95" s="287">
        <f>Y95</f>
        <v>7</v>
      </c>
      <c r="AA95" s="114"/>
      <c r="AB95" s="114"/>
    </row>
    <row r="96" spans="1:28" ht="40.049999999999997" customHeight="1" x14ac:dyDescent="0.3">
      <c r="A96" s="296" t="s">
        <v>262</v>
      </c>
      <c r="B96" s="297" t="s">
        <v>263</v>
      </c>
      <c r="C96" s="283"/>
      <c r="D96" s="284"/>
      <c r="E96" s="285"/>
      <c r="F96" s="285"/>
      <c r="G96" s="288"/>
      <c r="H96" s="285"/>
      <c r="I96" s="288"/>
      <c r="J96" s="285"/>
      <c r="K96" s="288"/>
      <c r="L96" s="285"/>
      <c r="M96" s="285"/>
      <c r="N96" s="285"/>
      <c r="O96" s="285"/>
      <c r="P96" s="285"/>
      <c r="Q96" s="285"/>
      <c r="R96" s="285"/>
      <c r="S96" s="285"/>
      <c r="T96" s="285"/>
      <c r="U96" s="288"/>
      <c r="V96" s="285"/>
      <c r="W96" s="288"/>
      <c r="X96" s="285"/>
      <c r="Y96" s="286"/>
      <c r="Z96" s="287"/>
    </row>
    <row r="97" spans="1:28" ht="40.049999999999997" customHeight="1" x14ac:dyDescent="0.3">
      <c r="A97" s="308" t="s">
        <v>264</v>
      </c>
      <c r="B97" s="309" t="s">
        <v>265</v>
      </c>
      <c r="C97" s="283"/>
      <c r="D97" s="284"/>
      <c r="E97" s="285" t="s">
        <v>76</v>
      </c>
      <c r="F97" s="285"/>
      <c r="G97" s="285" t="s">
        <v>27</v>
      </c>
      <c r="H97" s="285"/>
      <c r="I97" s="285" t="s">
        <v>27</v>
      </c>
      <c r="J97" s="285"/>
      <c r="K97" s="285" t="s">
        <v>76</v>
      </c>
      <c r="L97" s="285"/>
      <c r="M97" s="285" t="s">
        <v>27</v>
      </c>
      <c r="N97" s="285"/>
      <c r="O97" s="285" t="s">
        <v>76</v>
      </c>
      <c r="P97" s="285"/>
      <c r="Q97" s="285" t="s">
        <v>76</v>
      </c>
      <c r="R97" s="285"/>
      <c r="S97" s="285" t="s">
        <v>76</v>
      </c>
      <c r="T97" s="285"/>
      <c r="U97" s="285" t="s">
        <v>76</v>
      </c>
      <c r="V97" s="285"/>
      <c r="W97" s="285" t="s">
        <v>76</v>
      </c>
      <c r="X97" s="285"/>
      <c r="Y97" s="286">
        <f>COUNTIF(C97:X97,"&gt;=R")</f>
        <v>10</v>
      </c>
      <c r="Z97" s="287">
        <f>Y97</f>
        <v>10</v>
      </c>
    </row>
    <row r="98" spans="1:28" ht="40.049999999999997" customHeight="1" x14ac:dyDescent="0.3">
      <c r="A98" s="310" t="s">
        <v>266</v>
      </c>
      <c r="B98" s="290" t="s">
        <v>267</v>
      </c>
      <c r="C98" s="291"/>
      <c r="D98" s="292"/>
      <c r="E98" s="293"/>
      <c r="F98" s="293"/>
      <c r="G98" s="293"/>
      <c r="H98" s="293"/>
      <c r="I98" s="293"/>
      <c r="J98" s="293"/>
      <c r="K98" s="293"/>
      <c r="L98" s="293"/>
      <c r="M98" s="293"/>
      <c r="N98" s="293"/>
      <c r="O98" s="293"/>
      <c r="P98" s="293"/>
      <c r="Q98" s="293"/>
      <c r="R98" s="293"/>
      <c r="S98" s="293"/>
      <c r="T98" s="293"/>
      <c r="U98" s="293"/>
      <c r="V98" s="293"/>
      <c r="W98" s="293"/>
      <c r="X98" s="293"/>
      <c r="Y98" s="349"/>
      <c r="Z98" s="350"/>
    </row>
    <row r="99" spans="1:28" ht="40.049999999999997" customHeight="1" x14ac:dyDescent="0.3">
      <c r="A99" s="281" t="s">
        <v>268</v>
      </c>
      <c r="B99" s="282" t="s">
        <v>269</v>
      </c>
      <c r="C99" s="284"/>
      <c r="D99" s="284"/>
      <c r="E99" s="285"/>
      <c r="F99" s="285"/>
      <c r="G99" s="285"/>
      <c r="H99" s="285"/>
      <c r="I99" s="285"/>
      <c r="J99" s="285"/>
      <c r="K99" s="285"/>
      <c r="L99" s="285"/>
      <c r="M99" s="285"/>
      <c r="N99" s="285"/>
      <c r="O99" s="285"/>
      <c r="P99" s="285"/>
      <c r="Q99" s="285"/>
      <c r="R99" s="285"/>
      <c r="S99" s="285"/>
      <c r="T99" s="285"/>
      <c r="U99" s="285"/>
      <c r="V99" s="285"/>
      <c r="W99" s="285"/>
      <c r="X99" s="285"/>
      <c r="Y99" s="286">
        <f>COUNTIF(C99:X99,"&gt;=R")</f>
        <v>0</v>
      </c>
      <c r="Z99" s="287">
        <f>Y99</f>
        <v>0</v>
      </c>
    </row>
    <row r="100" spans="1:28" ht="40.049999999999997" customHeight="1" x14ac:dyDescent="0.3">
      <c r="A100" s="281" t="s">
        <v>270</v>
      </c>
      <c r="B100" s="282" t="s">
        <v>271</v>
      </c>
      <c r="C100" s="284"/>
      <c r="D100" s="284"/>
      <c r="E100" s="285"/>
      <c r="F100" s="285"/>
      <c r="G100" s="285"/>
      <c r="H100" s="285"/>
      <c r="I100" s="285"/>
      <c r="J100" s="285"/>
      <c r="K100" s="285"/>
      <c r="L100" s="285"/>
      <c r="M100" s="285"/>
      <c r="N100" s="285"/>
      <c r="O100" s="285"/>
      <c r="P100" s="285"/>
      <c r="Q100" s="285"/>
      <c r="R100" s="285"/>
      <c r="S100" s="285"/>
      <c r="T100" s="285"/>
      <c r="U100" s="285"/>
      <c r="V100" s="285"/>
      <c r="W100" s="285"/>
      <c r="X100" s="285"/>
      <c r="Y100" s="286">
        <f>COUNTIF(C100:X100,"&gt;=R")</f>
        <v>0</v>
      </c>
      <c r="Z100" s="287">
        <f>Y100</f>
        <v>0</v>
      </c>
    </row>
    <row r="101" spans="1:28" ht="40.049999999999997" customHeight="1" x14ac:dyDescent="0.4">
      <c r="A101" s="310" t="s">
        <v>272</v>
      </c>
      <c r="B101" s="290" t="s">
        <v>273</v>
      </c>
      <c r="C101" s="291"/>
      <c r="D101" s="292"/>
      <c r="E101" s="293"/>
      <c r="F101" s="293"/>
      <c r="G101" s="293"/>
      <c r="H101" s="293"/>
      <c r="I101" s="293"/>
      <c r="J101" s="293"/>
      <c r="K101" s="293"/>
      <c r="L101" s="293"/>
      <c r="M101" s="293"/>
      <c r="N101" s="293"/>
      <c r="O101" s="293"/>
      <c r="P101" s="293"/>
      <c r="Q101" s="293"/>
      <c r="R101" s="293"/>
      <c r="S101" s="293"/>
      <c r="T101" s="293"/>
      <c r="U101" s="293"/>
      <c r="V101" s="293"/>
      <c r="W101" s="293"/>
      <c r="X101" s="293"/>
      <c r="Y101" s="349"/>
      <c r="Z101" s="350"/>
      <c r="AA101" s="114"/>
      <c r="AB101" s="114"/>
    </row>
    <row r="102" spans="1:28" ht="40.049999999999997" customHeight="1" x14ac:dyDescent="0.3">
      <c r="A102" s="281" t="s">
        <v>274</v>
      </c>
      <c r="B102" s="282" t="s">
        <v>275</v>
      </c>
      <c r="C102" s="283"/>
      <c r="D102" s="283"/>
      <c r="E102" s="283"/>
      <c r="F102" s="285"/>
      <c r="G102" s="283"/>
      <c r="H102" s="285"/>
      <c r="I102" s="283"/>
      <c r="J102" s="285"/>
      <c r="K102" s="283"/>
      <c r="L102" s="285"/>
      <c r="M102" s="283"/>
      <c r="N102" s="285"/>
      <c r="O102" s="283"/>
      <c r="P102" s="285"/>
      <c r="Q102" s="283"/>
      <c r="R102" s="285"/>
      <c r="S102" s="283"/>
      <c r="T102" s="285"/>
      <c r="U102" s="283"/>
      <c r="V102" s="285"/>
      <c r="W102" s="283"/>
      <c r="X102" s="285"/>
      <c r="Y102" s="286">
        <f>COUNTIF(C102:X102,"&gt;=R")</f>
        <v>0</v>
      </c>
      <c r="Z102" s="287">
        <f>Y102</f>
        <v>0</v>
      </c>
    </row>
    <row r="103" spans="1:28" ht="40.049999999999997" customHeight="1" x14ac:dyDescent="0.4">
      <c r="A103" s="281" t="s">
        <v>276</v>
      </c>
      <c r="B103" s="282" t="s">
        <v>277</v>
      </c>
      <c r="C103" s="283" t="s">
        <v>57</v>
      </c>
      <c r="D103" s="284"/>
      <c r="E103" s="283" t="s">
        <v>18</v>
      </c>
      <c r="F103" s="285"/>
      <c r="G103" s="283" t="s">
        <v>18</v>
      </c>
      <c r="H103" s="285"/>
      <c r="I103" s="283" t="s">
        <v>18</v>
      </c>
      <c r="J103" s="285"/>
      <c r="K103" s="307" t="s">
        <v>18</v>
      </c>
      <c r="L103" s="285"/>
      <c r="M103" s="307" t="s">
        <v>18</v>
      </c>
      <c r="N103" s="285"/>
      <c r="O103" s="307" t="s">
        <v>18</v>
      </c>
      <c r="P103" s="285"/>
      <c r="Q103" s="307" t="s">
        <v>18</v>
      </c>
      <c r="R103" s="285"/>
      <c r="S103" s="285" t="s">
        <v>18</v>
      </c>
      <c r="T103" s="285"/>
      <c r="U103" s="285" t="s">
        <v>18</v>
      </c>
      <c r="V103" s="285"/>
      <c r="W103" s="285" t="s">
        <v>18</v>
      </c>
      <c r="X103" s="285"/>
      <c r="Y103" s="286">
        <f>COUNTIF(C103:X103,"&gt;=R")</f>
        <v>11</v>
      </c>
      <c r="Z103" s="287">
        <f>Y103</f>
        <v>11</v>
      </c>
      <c r="AA103" s="114"/>
      <c r="AB103" s="114"/>
    </row>
    <row r="104" spans="1:28" ht="40.049999999999997" customHeight="1" x14ac:dyDescent="0.4">
      <c r="A104" s="289" t="s">
        <v>278</v>
      </c>
      <c r="B104" s="290" t="s">
        <v>279</v>
      </c>
      <c r="C104" s="291"/>
      <c r="D104" s="292"/>
      <c r="E104" s="293"/>
      <c r="F104" s="293"/>
      <c r="G104" s="293"/>
      <c r="H104" s="293"/>
      <c r="I104" s="293"/>
      <c r="J104" s="293"/>
      <c r="K104" s="293"/>
      <c r="L104" s="293"/>
      <c r="M104" s="293"/>
      <c r="N104" s="293"/>
      <c r="O104" s="293"/>
      <c r="P104" s="293"/>
      <c r="Q104" s="293"/>
      <c r="R104" s="293"/>
      <c r="S104" s="293"/>
      <c r="T104" s="293"/>
      <c r="U104" s="293"/>
      <c r="V104" s="293"/>
      <c r="W104" s="293"/>
      <c r="X104" s="293"/>
      <c r="Y104" s="349"/>
      <c r="Z104" s="350"/>
      <c r="AA104" s="114"/>
      <c r="AB104" s="114"/>
    </row>
    <row r="105" spans="1:28" ht="40.049999999999997" customHeight="1" x14ac:dyDescent="0.3">
      <c r="A105" s="296" t="s">
        <v>280</v>
      </c>
      <c r="B105" s="297" t="s">
        <v>281</v>
      </c>
      <c r="C105" s="283"/>
      <c r="D105" s="284"/>
      <c r="E105" s="285"/>
      <c r="F105" s="285"/>
      <c r="G105" s="288"/>
      <c r="H105" s="285"/>
      <c r="I105" s="288"/>
      <c r="J105" s="285"/>
      <c r="K105" s="285"/>
      <c r="L105" s="285"/>
      <c r="M105" s="285"/>
      <c r="N105" s="285"/>
      <c r="O105" s="285"/>
      <c r="P105" s="285"/>
      <c r="Q105" s="285"/>
      <c r="R105" s="285"/>
      <c r="S105" s="285"/>
      <c r="T105" s="285"/>
      <c r="U105" s="285"/>
      <c r="V105" s="285"/>
      <c r="W105" s="285"/>
      <c r="X105" s="285"/>
      <c r="Y105" s="286">
        <f>COUNTIF(C105:X105,"&gt;=R")</f>
        <v>0</v>
      </c>
      <c r="Z105" s="287">
        <f>Y105</f>
        <v>0</v>
      </c>
    </row>
    <row r="106" spans="1:28" ht="40.049999999999997" customHeight="1" x14ac:dyDescent="0.65">
      <c r="A106" s="357" t="s">
        <v>282</v>
      </c>
      <c r="B106" s="890" t="s">
        <v>283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  <c r="W106" s="285"/>
      <c r="X106" s="285"/>
      <c r="Y106" s="286">
        <f>COUNTIF(C106:X106,"&gt;=R")</f>
        <v>0</v>
      </c>
      <c r="Z106" s="287">
        <f>Y106</f>
        <v>0</v>
      </c>
    </row>
    <row r="107" spans="1:28" ht="40.049999999999997" customHeight="1" x14ac:dyDescent="0.4">
      <c r="A107" s="308" t="s">
        <v>284</v>
      </c>
      <c r="B107" s="309" t="s">
        <v>285</v>
      </c>
      <c r="C107" s="283"/>
      <c r="D107" s="284"/>
      <c r="E107" s="285"/>
      <c r="F107" s="285"/>
      <c r="G107" s="285"/>
      <c r="H107" s="285"/>
      <c r="I107" s="285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  <c r="W107" s="285"/>
      <c r="X107" s="285"/>
      <c r="Y107" s="286">
        <f>COUNTIF(C107:X107,"&gt;=R")</f>
        <v>0</v>
      </c>
      <c r="Z107" s="287">
        <f>Y107</f>
        <v>0</v>
      </c>
      <c r="AA107" s="114"/>
      <c r="AB107" s="114"/>
    </row>
    <row r="108" spans="1:28" ht="40.049999999999997" customHeight="1" x14ac:dyDescent="0.3">
      <c r="A108" s="296" t="s">
        <v>286</v>
      </c>
      <c r="B108" s="297" t="s">
        <v>287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  <c r="W108" s="285"/>
      <c r="X108" s="285"/>
      <c r="Y108" s="286"/>
      <c r="Z108" s="287"/>
    </row>
    <row r="109" spans="1:28" ht="40.049999999999997" customHeight="1" x14ac:dyDescent="0.4">
      <c r="A109" s="281" t="s">
        <v>288</v>
      </c>
      <c r="B109" s="282" t="s">
        <v>289</v>
      </c>
      <c r="C109" s="284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6">
        <f>COUNTIF(C109:X109,"&gt;=R")</f>
        <v>0</v>
      </c>
      <c r="Z109" s="287">
        <f>Y109</f>
        <v>0</v>
      </c>
      <c r="AA109" s="114"/>
      <c r="AB109" s="114"/>
    </row>
    <row r="110" spans="1:28" ht="40.049999999999997" customHeight="1" x14ac:dyDescent="0.3">
      <c r="A110" s="281" t="s">
        <v>290</v>
      </c>
      <c r="B110" s="282" t="s">
        <v>291</v>
      </c>
      <c r="C110" s="283"/>
      <c r="D110" s="284"/>
      <c r="E110" s="283"/>
      <c r="F110" s="285"/>
      <c r="G110" s="283"/>
      <c r="H110" s="285"/>
      <c r="I110" s="283"/>
      <c r="J110" s="285"/>
      <c r="K110" s="283"/>
      <c r="L110" s="285"/>
      <c r="M110" s="283"/>
      <c r="N110" s="285"/>
      <c r="O110" s="283"/>
      <c r="P110" s="285"/>
      <c r="Q110" s="283"/>
      <c r="R110" s="285"/>
      <c r="S110" s="283"/>
      <c r="T110" s="285"/>
      <c r="U110" s="283"/>
      <c r="V110" s="285"/>
      <c r="W110" s="283"/>
      <c r="X110" s="285"/>
      <c r="Y110" s="286">
        <f>COUNTIF(C110:X110,"&gt;=R")</f>
        <v>0</v>
      </c>
      <c r="Z110" s="287">
        <f>Y110</f>
        <v>0</v>
      </c>
    </row>
    <row r="111" spans="1:28" ht="40.049999999999997" customHeight="1" x14ac:dyDescent="0.65">
      <c r="A111" s="357" t="s">
        <v>292</v>
      </c>
      <c r="B111" s="890" t="s">
        <v>293</v>
      </c>
      <c r="C111" s="283"/>
      <c r="D111" s="284"/>
      <c r="E111" s="285"/>
      <c r="F111" s="285"/>
      <c r="G111" s="288"/>
      <c r="H111" s="285"/>
      <c r="I111" s="288"/>
      <c r="J111" s="285"/>
      <c r="K111" s="285"/>
      <c r="L111" s="285"/>
      <c r="M111" s="285"/>
      <c r="N111" s="285"/>
      <c r="O111" s="285"/>
      <c r="P111" s="285"/>
      <c r="Q111" s="285"/>
      <c r="R111" s="285"/>
      <c r="S111" s="285"/>
      <c r="T111" s="285"/>
      <c r="U111" s="285"/>
      <c r="V111" s="285"/>
      <c r="W111" s="285"/>
      <c r="X111" s="285"/>
      <c r="Y111" s="286">
        <f>COUNTIF(C111:X111,"&gt;=R")</f>
        <v>0</v>
      </c>
      <c r="Z111" s="287">
        <f>Y111</f>
        <v>0</v>
      </c>
    </row>
    <row r="112" spans="1:28" ht="40.049999999999997" customHeight="1" x14ac:dyDescent="0.4">
      <c r="A112" s="289" t="s">
        <v>294</v>
      </c>
      <c r="B112" s="311" t="s">
        <v>295</v>
      </c>
      <c r="C112" s="291"/>
      <c r="D112" s="292"/>
      <c r="E112" s="293"/>
      <c r="F112" s="293"/>
      <c r="G112" s="293"/>
      <c r="H112" s="293"/>
      <c r="I112" s="293"/>
      <c r="J112" s="293"/>
      <c r="K112" s="293"/>
      <c r="L112" s="293"/>
      <c r="M112" s="293"/>
      <c r="N112" s="293"/>
      <c r="O112" s="293"/>
      <c r="P112" s="293"/>
      <c r="Q112" s="293"/>
      <c r="R112" s="293"/>
      <c r="S112" s="293"/>
      <c r="T112" s="293"/>
      <c r="U112" s="293"/>
      <c r="V112" s="293"/>
      <c r="W112" s="293"/>
      <c r="X112" s="293"/>
      <c r="Y112" s="349"/>
      <c r="Z112" s="350"/>
      <c r="AA112" s="114"/>
      <c r="AB112" s="114"/>
    </row>
    <row r="113" spans="1:28" ht="40.049999999999997" customHeight="1" x14ac:dyDescent="0.4">
      <c r="A113" s="312" t="s">
        <v>296</v>
      </c>
      <c r="B113" s="313" t="s">
        <v>297</v>
      </c>
      <c r="C113" s="283"/>
      <c r="D113" s="284"/>
      <c r="E113" s="285"/>
      <c r="F113" s="285"/>
      <c r="G113" s="285" t="s">
        <v>18</v>
      </c>
      <c r="H113" s="285"/>
      <c r="I113" s="285" t="s">
        <v>84</v>
      </c>
      <c r="J113" s="285"/>
      <c r="K113" s="750" t="s">
        <v>8</v>
      </c>
      <c r="L113" s="285"/>
      <c r="M113" s="285" t="s">
        <v>84</v>
      </c>
      <c r="N113" s="285"/>
      <c r="O113" s="285" t="s">
        <v>84</v>
      </c>
      <c r="P113" s="285"/>
      <c r="Q113" s="750" t="s">
        <v>8</v>
      </c>
      <c r="R113" s="285"/>
      <c r="S113" s="285" t="s">
        <v>84</v>
      </c>
      <c r="T113" s="285"/>
      <c r="U113" s="285"/>
      <c r="V113" s="285"/>
      <c r="W113" s="285"/>
      <c r="X113" s="285"/>
      <c r="Y113" s="286">
        <f t="shared" ref="Y113:Y124" si="6">COUNTIF(C113:X113,"&gt;=R")</f>
        <v>7</v>
      </c>
      <c r="Z113" s="287">
        <f t="shared" ref="Z113:Z124" si="7">Y113</f>
        <v>7</v>
      </c>
      <c r="AA113" s="114"/>
      <c r="AB113" s="114"/>
    </row>
    <row r="114" spans="1:28" ht="40.049999999999997" customHeight="1" x14ac:dyDescent="0.3">
      <c r="A114" s="312" t="s">
        <v>298</v>
      </c>
      <c r="B114" s="313" t="s">
        <v>299</v>
      </c>
      <c r="C114" s="283"/>
      <c r="D114" s="284"/>
      <c r="E114" s="285"/>
      <c r="F114" s="285"/>
      <c r="G114" s="307" t="s">
        <v>27</v>
      </c>
      <c r="H114" s="285"/>
      <c r="I114" s="307" t="s">
        <v>27</v>
      </c>
      <c r="J114" s="285"/>
      <c r="K114" s="307" t="s">
        <v>84</v>
      </c>
      <c r="L114" s="285"/>
      <c r="M114" s="285" t="s">
        <v>27</v>
      </c>
      <c r="N114" s="285"/>
      <c r="O114" s="285" t="s">
        <v>27</v>
      </c>
      <c r="P114" s="285"/>
      <c r="Q114" s="307" t="s">
        <v>67</v>
      </c>
      <c r="R114" s="285"/>
      <c r="S114" s="307" t="s">
        <v>67</v>
      </c>
      <c r="T114" s="285"/>
      <c r="U114" s="307"/>
      <c r="V114" s="285"/>
      <c r="W114" s="307"/>
      <c r="X114" s="285"/>
      <c r="Y114" s="286">
        <f t="shared" si="6"/>
        <v>7</v>
      </c>
      <c r="Z114" s="287">
        <f t="shared" si="7"/>
        <v>7</v>
      </c>
    </row>
    <row r="115" spans="1:28" ht="40.049999999999997" customHeight="1" x14ac:dyDescent="0.3">
      <c r="A115" s="312" t="s">
        <v>300</v>
      </c>
      <c r="B115" s="313" t="s">
        <v>301</v>
      </c>
      <c r="C115" s="283"/>
      <c r="D115" s="284"/>
      <c r="E115" s="283"/>
      <c r="F115" s="285"/>
      <c r="G115" s="283"/>
      <c r="H115" s="285"/>
      <c r="I115" s="283"/>
      <c r="J115" s="285"/>
      <c r="K115" s="283"/>
      <c r="L115" s="285"/>
      <c r="M115" s="283"/>
      <c r="N115" s="285"/>
      <c r="O115" s="283"/>
      <c r="P115" s="285"/>
      <c r="Q115" s="283"/>
      <c r="R115" s="285"/>
      <c r="S115" s="283"/>
      <c r="T115" s="285"/>
      <c r="U115" s="283"/>
      <c r="V115" s="285"/>
      <c r="W115" s="283"/>
      <c r="X115" s="285"/>
      <c r="Y115" s="286">
        <f t="shared" si="6"/>
        <v>0</v>
      </c>
      <c r="Z115" s="287">
        <f t="shared" si="7"/>
        <v>0</v>
      </c>
    </row>
    <row r="116" spans="1:28" ht="40.049999999999997" customHeight="1" x14ac:dyDescent="0.4">
      <c r="A116" s="312" t="s">
        <v>302</v>
      </c>
      <c r="B116" s="313" t="s">
        <v>303</v>
      </c>
      <c r="C116" s="284"/>
      <c r="D116" s="284"/>
      <c r="E116" s="285"/>
      <c r="F116" s="285"/>
      <c r="G116" s="285"/>
      <c r="H116" s="285"/>
      <c r="I116" s="285"/>
      <c r="J116" s="285"/>
      <c r="K116" s="285"/>
      <c r="L116" s="285"/>
      <c r="M116" s="285"/>
      <c r="N116" s="285"/>
      <c r="O116" s="285"/>
      <c r="P116" s="285"/>
      <c r="Q116" s="285"/>
      <c r="R116" s="285"/>
      <c r="S116" s="285"/>
      <c r="T116" s="285"/>
      <c r="U116" s="285"/>
      <c r="V116" s="285"/>
      <c r="W116" s="285"/>
      <c r="X116" s="285"/>
      <c r="Y116" s="286">
        <f t="shared" si="6"/>
        <v>0</v>
      </c>
      <c r="Z116" s="287">
        <f t="shared" si="7"/>
        <v>0</v>
      </c>
      <c r="AA116" s="114"/>
      <c r="AB116" s="114"/>
    </row>
    <row r="117" spans="1:28" ht="40.049999999999997" customHeight="1" x14ac:dyDescent="0.3">
      <c r="A117" s="312" t="s">
        <v>304</v>
      </c>
      <c r="B117" s="313" t="s">
        <v>305</v>
      </c>
      <c r="C117" s="283"/>
      <c r="D117" s="284"/>
      <c r="E117" s="285"/>
      <c r="F117" s="285"/>
      <c r="G117" s="307"/>
      <c r="H117" s="285"/>
      <c r="I117" s="307"/>
      <c r="J117" s="285"/>
      <c r="K117" s="307"/>
      <c r="L117" s="285"/>
      <c r="M117" s="285"/>
      <c r="N117" s="285"/>
      <c r="O117" s="285"/>
      <c r="P117" s="285"/>
      <c r="Q117" s="307"/>
      <c r="R117" s="285"/>
      <c r="S117" s="307"/>
      <c r="T117" s="285"/>
      <c r="U117" s="285"/>
      <c r="V117" s="285"/>
      <c r="W117" s="285"/>
      <c r="X117" s="285"/>
      <c r="Y117" s="286">
        <f t="shared" si="6"/>
        <v>0</v>
      </c>
      <c r="Z117" s="287">
        <f t="shared" si="7"/>
        <v>0</v>
      </c>
    </row>
    <row r="118" spans="1:28" ht="40.049999999999997" customHeight="1" x14ac:dyDescent="0.3">
      <c r="A118" s="312" t="s">
        <v>306</v>
      </c>
      <c r="B118" s="313" t="s">
        <v>307</v>
      </c>
      <c r="C118" s="302"/>
      <c r="D118" s="284"/>
      <c r="E118" s="288"/>
      <c r="F118" s="285"/>
      <c r="G118" s="288"/>
      <c r="H118" s="285"/>
      <c r="I118" s="288"/>
      <c r="J118" s="285"/>
      <c r="K118" s="288"/>
      <c r="L118" s="285"/>
      <c r="M118" s="288"/>
      <c r="N118" s="285"/>
      <c r="O118" s="288"/>
      <c r="P118" s="285"/>
      <c r="Q118" s="288"/>
      <c r="R118" s="285"/>
      <c r="S118" s="288"/>
      <c r="T118" s="285"/>
      <c r="U118" s="288"/>
      <c r="V118" s="288"/>
      <c r="W118" s="288"/>
      <c r="X118" s="288"/>
      <c r="Y118" s="286">
        <f t="shared" si="6"/>
        <v>0</v>
      </c>
      <c r="Z118" s="287">
        <f t="shared" si="7"/>
        <v>0</v>
      </c>
    </row>
    <row r="119" spans="1:28" ht="40.049999999999997" customHeight="1" x14ac:dyDescent="0.3">
      <c r="A119" s="312" t="s">
        <v>308</v>
      </c>
      <c r="B119" s="313" t="s">
        <v>309</v>
      </c>
      <c r="C119" s="283"/>
      <c r="D119" s="284"/>
      <c r="E119" s="285"/>
      <c r="F119" s="285"/>
      <c r="G119" s="285"/>
      <c r="H119" s="285"/>
      <c r="I119" s="285"/>
      <c r="J119" s="285"/>
      <c r="K119" s="285"/>
      <c r="L119" s="285"/>
      <c r="M119" s="285"/>
      <c r="N119" s="285"/>
      <c r="O119" s="285"/>
      <c r="P119" s="285"/>
      <c r="Q119" s="285"/>
      <c r="R119" s="285"/>
      <c r="S119" s="285"/>
      <c r="T119" s="285"/>
      <c r="U119" s="288"/>
      <c r="V119" s="288"/>
      <c r="W119" s="288"/>
      <c r="X119" s="288"/>
      <c r="Y119" s="286">
        <f t="shared" si="6"/>
        <v>0</v>
      </c>
      <c r="Z119" s="287">
        <f t="shared" si="7"/>
        <v>0</v>
      </c>
    </row>
    <row r="120" spans="1:28" ht="40.049999999999997" customHeight="1" x14ac:dyDescent="0.3">
      <c r="A120" s="312" t="s">
        <v>310</v>
      </c>
      <c r="B120" s="313" t="s">
        <v>311</v>
      </c>
      <c r="C120" s="283"/>
      <c r="D120" s="302"/>
      <c r="E120" s="288"/>
      <c r="F120" s="288"/>
      <c r="G120" s="307"/>
      <c r="H120" s="288"/>
      <c r="I120" s="307"/>
      <c r="J120" s="288"/>
      <c r="K120" s="307"/>
      <c r="L120" s="288"/>
      <c r="M120" s="288"/>
      <c r="N120" s="288"/>
      <c r="O120" s="288"/>
      <c r="P120" s="288"/>
      <c r="Q120" s="307"/>
      <c r="R120" s="288"/>
      <c r="S120" s="307"/>
      <c r="T120" s="288"/>
      <c r="U120" s="307"/>
      <c r="V120" s="288"/>
      <c r="W120" s="307"/>
      <c r="X120" s="288"/>
      <c r="Y120" s="286">
        <f t="shared" si="6"/>
        <v>0</v>
      </c>
      <c r="Z120" s="287">
        <f t="shared" si="7"/>
        <v>0</v>
      </c>
    </row>
    <row r="121" spans="1:28" ht="40.049999999999997" customHeight="1" x14ac:dyDescent="0.3">
      <c r="A121" s="312" t="s">
        <v>312</v>
      </c>
      <c r="B121" s="313" t="s">
        <v>313</v>
      </c>
      <c r="C121" s="283"/>
      <c r="D121" s="302"/>
      <c r="E121" s="288"/>
      <c r="F121" s="288"/>
      <c r="G121" s="288"/>
      <c r="H121" s="288"/>
      <c r="I121" s="288"/>
      <c r="J121" s="288"/>
      <c r="K121" s="288"/>
      <c r="L121" s="288"/>
      <c r="M121" s="288"/>
      <c r="N121" s="288"/>
      <c r="O121" s="288"/>
      <c r="P121" s="288"/>
      <c r="Q121" s="288"/>
      <c r="R121" s="288"/>
      <c r="S121" s="288"/>
      <c r="T121" s="288"/>
      <c r="U121" s="288"/>
      <c r="V121" s="288"/>
      <c r="W121" s="288"/>
      <c r="X121" s="288"/>
      <c r="Y121" s="286">
        <f t="shared" si="6"/>
        <v>0</v>
      </c>
      <c r="Z121" s="287">
        <f t="shared" si="7"/>
        <v>0</v>
      </c>
    </row>
    <row r="122" spans="1:28" ht="40.049999999999997" customHeight="1" x14ac:dyDescent="0.3">
      <c r="A122" s="312" t="s">
        <v>314</v>
      </c>
      <c r="B122" s="313" t="s">
        <v>315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6">
        <f t="shared" si="6"/>
        <v>0</v>
      </c>
      <c r="Z122" s="287">
        <f t="shared" si="7"/>
        <v>0</v>
      </c>
    </row>
    <row r="123" spans="1:28" ht="40.049999999999997" customHeight="1" x14ac:dyDescent="0.3">
      <c r="A123" s="312" t="s">
        <v>316</v>
      </c>
      <c r="B123" s="313" t="s">
        <v>317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6">
        <f t="shared" si="6"/>
        <v>0</v>
      </c>
      <c r="Z123" s="287">
        <f t="shared" si="7"/>
        <v>0</v>
      </c>
    </row>
    <row r="124" spans="1:28" ht="40.049999999999997" customHeight="1" x14ac:dyDescent="0.3">
      <c r="A124" s="312" t="s">
        <v>318</v>
      </c>
      <c r="B124" s="313" t="s">
        <v>319</v>
      </c>
      <c r="C124" s="283"/>
      <c r="D124" s="302"/>
      <c r="E124" s="302"/>
      <c r="F124" s="288"/>
      <c r="G124" s="302"/>
      <c r="H124" s="288"/>
      <c r="I124" s="302"/>
      <c r="J124" s="288"/>
      <c r="K124" s="302"/>
      <c r="L124" s="288"/>
      <c r="M124" s="302"/>
      <c r="N124" s="288"/>
      <c r="O124" s="302"/>
      <c r="P124" s="288"/>
      <c r="Q124" s="302"/>
      <c r="R124" s="288"/>
      <c r="S124" s="302"/>
      <c r="T124" s="288"/>
      <c r="U124" s="302"/>
      <c r="V124" s="288"/>
      <c r="W124" s="302"/>
      <c r="X124" s="288"/>
      <c r="Y124" s="286">
        <f t="shared" si="6"/>
        <v>0</v>
      </c>
      <c r="Z124" s="287">
        <f t="shared" si="7"/>
        <v>0</v>
      </c>
    </row>
    <row r="125" spans="1:28" ht="40.049999999999997" customHeight="1" x14ac:dyDescent="0.3">
      <c r="A125" s="303" t="s">
        <v>320</v>
      </c>
      <c r="B125" s="304" t="s">
        <v>321</v>
      </c>
      <c r="C125" s="291"/>
      <c r="D125" s="292"/>
      <c r="E125" s="293"/>
      <c r="F125" s="293"/>
      <c r="G125" s="293"/>
      <c r="H125" s="293"/>
      <c r="I125" s="293"/>
      <c r="J125" s="293"/>
      <c r="K125" s="293"/>
      <c r="L125" s="293"/>
      <c r="M125" s="293"/>
      <c r="N125" s="293"/>
      <c r="O125" s="293"/>
      <c r="P125" s="293"/>
      <c r="Q125" s="293"/>
      <c r="R125" s="293"/>
      <c r="S125" s="293"/>
      <c r="T125" s="293"/>
      <c r="U125" s="293"/>
      <c r="V125" s="293"/>
      <c r="W125" s="293"/>
      <c r="X125" s="293"/>
      <c r="Y125" s="349"/>
      <c r="Z125" s="350"/>
    </row>
    <row r="126" spans="1:28" ht="40.049999999999997" customHeight="1" x14ac:dyDescent="0.3">
      <c r="A126" s="274" t="s">
        <v>322</v>
      </c>
      <c r="B126" s="314" t="s">
        <v>323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349"/>
      <c r="Z126" s="350"/>
    </row>
    <row r="127" spans="1:28" ht="40.049999999999997" customHeight="1" x14ac:dyDescent="0.3">
      <c r="A127" s="308" t="s">
        <v>324</v>
      </c>
      <c r="B127" s="315" t="s">
        <v>325</v>
      </c>
      <c r="C127" s="283"/>
      <c r="D127" s="302"/>
      <c r="E127" s="283"/>
      <c r="F127" s="288"/>
      <c r="G127" s="283"/>
      <c r="H127" s="288"/>
      <c r="I127" s="283"/>
      <c r="J127" s="288"/>
      <c r="K127" s="283"/>
      <c r="L127" s="288"/>
      <c r="M127" s="283"/>
      <c r="N127" s="288"/>
      <c r="O127" s="283"/>
      <c r="P127" s="288"/>
      <c r="Q127" s="283"/>
      <c r="R127" s="288"/>
      <c r="S127" s="283"/>
      <c r="T127" s="288"/>
      <c r="U127" s="283"/>
      <c r="V127" s="288"/>
      <c r="W127" s="283"/>
      <c r="X127" s="288"/>
      <c r="Y127" s="286">
        <f t="shared" ref="Y127:Y138" si="8">COUNTIF(C127:X127,"&gt;=R")</f>
        <v>0</v>
      </c>
      <c r="Z127" s="287">
        <f t="shared" ref="Z127:Z138" si="9">Y127</f>
        <v>0</v>
      </c>
    </row>
    <row r="128" spans="1:28" ht="40.049999999999997" customHeight="1" x14ac:dyDescent="0.3">
      <c r="A128" s="316" t="s">
        <v>326</v>
      </c>
      <c r="B128" s="317" t="s">
        <v>327</v>
      </c>
      <c r="C128" s="283"/>
      <c r="D128" s="302"/>
      <c r="E128" s="283"/>
      <c r="F128" s="288"/>
      <c r="G128" s="283"/>
      <c r="H128" s="288"/>
      <c r="I128" s="283"/>
      <c r="J128" s="288"/>
      <c r="K128" s="283"/>
      <c r="L128" s="288"/>
      <c r="M128" s="283"/>
      <c r="N128" s="288"/>
      <c r="O128" s="283"/>
      <c r="P128" s="288"/>
      <c r="Q128" s="283"/>
      <c r="R128" s="288"/>
      <c r="S128" s="283"/>
      <c r="T128" s="288"/>
      <c r="U128" s="283"/>
      <c r="V128" s="288"/>
      <c r="W128" s="283"/>
      <c r="X128" s="288"/>
      <c r="Y128" s="286">
        <f t="shared" si="8"/>
        <v>0</v>
      </c>
      <c r="Z128" s="287">
        <f t="shared" si="9"/>
        <v>0</v>
      </c>
    </row>
    <row r="129" spans="1:26" ht="40.049999999999997" customHeight="1" x14ac:dyDescent="0.3">
      <c r="A129" s="308" t="s">
        <v>328</v>
      </c>
      <c r="B129" s="315" t="s">
        <v>329</v>
      </c>
      <c r="C129" s="283"/>
      <c r="D129" s="302"/>
      <c r="E129" s="307"/>
      <c r="F129" s="288"/>
      <c r="G129" s="288"/>
      <c r="H129" s="288"/>
      <c r="I129" s="288"/>
      <c r="J129" s="288"/>
      <c r="K129" s="288"/>
      <c r="L129" s="288"/>
      <c r="M129" s="307"/>
      <c r="N129" s="288"/>
      <c r="O129" s="285"/>
      <c r="P129" s="288"/>
      <c r="Q129" s="285"/>
      <c r="R129" s="288"/>
      <c r="S129" s="285"/>
      <c r="T129" s="288"/>
      <c r="U129" s="285"/>
      <c r="V129" s="288"/>
      <c r="W129" s="285"/>
      <c r="X129" s="288"/>
      <c r="Y129" s="286">
        <f t="shared" si="8"/>
        <v>0</v>
      </c>
      <c r="Z129" s="287">
        <f t="shared" si="9"/>
        <v>0</v>
      </c>
    </row>
    <row r="130" spans="1:26" ht="40.049999999999997" customHeight="1" x14ac:dyDescent="0.3">
      <c r="A130" s="308" t="s">
        <v>330</v>
      </c>
      <c r="B130" s="315" t="s">
        <v>331</v>
      </c>
      <c r="C130" s="284"/>
      <c r="D130" s="302"/>
      <c r="E130" s="285"/>
      <c r="F130" s="288"/>
      <c r="G130" s="285"/>
      <c r="H130" s="288"/>
      <c r="I130" s="285"/>
      <c r="J130" s="288"/>
      <c r="K130" s="285"/>
      <c r="L130" s="288"/>
      <c r="M130" s="285"/>
      <c r="N130" s="288"/>
      <c r="O130" s="285"/>
      <c r="P130" s="288"/>
      <c r="Q130" s="285"/>
      <c r="R130" s="288"/>
      <c r="S130" s="285"/>
      <c r="T130" s="288"/>
      <c r="U130" s="285"/>
      <c r="V130" s="288"/>
      <c r="W130" s="285"/>
      <c r="X130" s="288"/>
      <c r="Y130" s="286">
        <f t="shared" si="8"/>
        <v>0</v>
      </c>
      <c r="Z130" s="287">
        <f t="shared" si="9"/>
        <v>0</v>
      </c>
    </row>
    <row r="131" spans="1:26" ht="40.049999999999997" customHeight="1" x14ac:dyDescent="0.3">
      <c r="A131" s="308" t="s">
        <v>332</v>
      </c>
      <c r="B131" s="315" t="s">
        <v>333</v>
      </c>
      <c r="C131" s="283"/>
      <c r="D131" s="302"/>
      <c r="E131" s="288"/>
      <c r="F131" s="288"/>
      <c r="G131" s="288"/>
      <c r="H131" s="288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8"/>
      <c r="T131" s="288"/>
      <c r="U131" s="288"/>
      <c r="V131" s="288"/>
      <c r="W131" s="288"/>
      <c r="X131" s="288"/>
      <c r="Y131" s="286">
        <f t="shared" si="8"/>
        <v>0</v>
      </c>
      <c r="Z131" s="287">
        <f t="shared" si="9"/>
        <v>0</v>
      </c>
    </row>
    <row r="132" spans="1:26" ht="40.049999999999997" customHeight="1" x14ac:dyDescent="0.3">
      <c r="A132" s="308" t="s">
        <v>334</v>
      </c>
      <c r="B132" s="315" t="s">
        <v>335</v>
      </c>
      <c r="C132" s="283"/>
      <c r="D132" s="284"/>
      <c r="E132" s="283"/>
      <c r="F132" s="285"/>
      <c r="G132" s="283"/>
      <c r="H132" s="285"/>
      <c r="I132" s="283"/>
      <c r="J132" s="285"/>
      <c r="K132" s="283"/>
      <c r="L132" s="288"/>
      <c r="M132" s="283"/>
      <c r="N132" s="288"/>
      <c r="O132" s="283"/>
      <c r="P132" s="288"/>
      <c r="Q132" s="283"/>
      <c r="R132" s="288"/>
      <c r="S132" s="283"/>
      <c r="T132" s="288"/>
      <c r="U132" s="283"/>
      <c r="V132" s="288"/>
      <c r="W132" s="283"/>
      <c r="X132" s="288"/>
      <c r="Y132" s="286">
        <f t="shared" si="8"/>
        <v>0</v>
      </c>
      <c r="Z132" s="287">
        <f t="shared" si="9"/>
        <v>0</v>
      </c>
    </row>
    <row r="133" spans="1:26" ht="40.049999999999997" customHeight="1" x14ac:dyDescent="0.3">
      <c r="A133" s="308" t="s">
        <v>336</v>
      </c>
      <c r="B133" s="315" t="s">
        <v>337</v>
      </c>
      <c r="C133" s="283"/>
      <c r="D133" s="302"/>
      <c r="E133" s="283"/>
      <c r="F133" s="288"/>
      <c r="G133" s="283"/>
      <c r="H133" s="288"/>
      <c r="I133" s="283"/>
      <c r="J133" s="288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3"/>
      <c r="V133" s="288"/>
      <c r="W133" s="283"/>
      <c r="X133" s="288"/>
      <c r="Y133" s="286">
        <f t="shared" si="8"/>
        <v>0</v>
      </c>
      <c r="Z133" s="287">
        <f t="shared" si="9"/>
        <v>0</v>
      </c>
    </row>
    <row r="134" spans="1:26" ht="40.049999999999997" customHeight="1" x14ac:dyDescent="0.3">
      <c r="A134" s="308" t="s">
        <v>338</v>
      </c>
      <c r="B134" s="315" t="s">
        <v>339</v>
      </c>
      <c r="C134" s="283"/>
      <c r="D134" s="302"/>
      <c r="E134" s="288"/>
      <c r="F134" s="288"/>
      <c r="G134" s="288"/>
      <c r="H134" s="288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8"/>
      <c r="T134" s="288"/>
      <c r="U134" s="288"/>
      <c r="V134" s="288"/>
      <c r="W134" s="288"/>
      <c r="X134" s="288"/>
      <c r="Y134" s="286">
        <f t="shared" si="8"/>
        <v>0</v>
      </c>
      <c r="Z134" s="287">
        <f t="shared" si="9"/>
        <v>0</v>
      </c>
    </row>
    <row r="135" spans="1:26" ht="40.049999999999997" customHeight="1" x14ac:dyDescent="0.3">
      <c r="A135" s="308" t="s">
        <v>340</v>
      </c>
      <c r="B135" s="315" t="s">
        <v>341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6">
        <f t="shared" si="8"/>
        <v>0</v>
      </c>
      <c r="Z135" s="287">
        <f t="shared" si="9"/>
        <v>0</v>
      </c>
    </row>
    <row r="136" spans="1:26" ht="40.049999999999997" customHeight="1" x14ac:dyDescent="0.3">
      <c r="A136" s="308" t="s">
        <v>342</v>
      </c>
      <c r="B136" s="315" t="s">
        <v>343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6">
        <f t="shared" si="8"/>
        <v>0</v>
      </c>
      <c r="Z136" s="287">
        <f t="shared" si="9"/>
        <v>0</v>
      </c>
    </row>
    <row r="137" spans="1:26" ht="40.049999999999997" customHeight="1" x14ac:dyDescent="0.3">
      <c r="A137" s="308" t="s">
        <v>344</v>
      </c>
      <c r="B137" s="315" t="s">
        <v>345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6">
        <f t="shared" si="8"/>
        <v>0</v>
      </c>
      <c r="Z137" s="287">
        <f t="shared" si="9"/>
        <v>0</v>
      </c>
    </row>
    <row r="138" spans="1:26" ht="40.049999999999997" customHeight="1" x14ac:dyDescent="0.3">
      <c r="A138" s="308" t="s">
        <v>346</v>
      </c>
      <c r="B138" s="315" t="s">
        <v>347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6">
        <f t="shared" si="8"/>
        <v>0</v>
      </c>
      <c r="Z138" s="287">
        <f t="shared" si="9"/>
        <v>0</v>
      </c>
    </row>
    <row r="139" spans="1:26" ht="40.049999999999997" customHeight="1" x14ac:dyDescent="0.3">
      <c r="A139" s="289" t="s">
        <v>348</v>
      </c>
      <c r="B139" s="311" t="s">
        <v>349</v>
      </c>
      <c r="C139" s="291"/>
      <c r="D139" s="292"/>
      <c r="E139" s="293"/>
      <c r="F139" s="293"/>
      <c r="G139" s="293"/>
      <c r="H139" s="293"/>
      <c r="I139" s="293"/>
      <c r="J139" s="293"/>
      <c r="K139" s="293"/>
      <c r="L139" s="293"/>
      <c r="M139" s="293"/>
      <c r="N139" s="293"/>
      <c r="O139" s="293"/>
      <c r="P139" s="293"/>
      <c r="Q139" s="293"/>
      <c r="R139" s="293"/>
      <c r="S139" s="293"/>
      <c r="T139" s="293"/>
      <c r="U139" s="293"/>
      <c r="V139" s="293"/>
      <c r="W139" s="293"/>
      <c r="X139" s="293"/>
      <c r="Y139" s="349"/>
      <c r="Z139" s="350"/>
    </row>
    <row r="140" spans="1:26" ht="40.049999999999997" customHeight="1" x14ac:dyDescent="0.3">
      <c r="A140" s="308" t="s">
        <v>350</v>
      </c>
      <c r="B140" s="309" t="s">
        <v>351</v>
      </c>
      <c r="C140" s="283"/>
      <c r="D140" s="302"/>
      <c r="E140" s="283"/>
      <c r="F140" s="288"/>
      <c r="G140" s="283"/>
      <c r="H140" s="288"/>
      <c r="I140" s="283"/>
      <c r="J140" s="288"/>
      <c r="K140" s="283"/>
      <c r="L140" s="288"/>
      <c r="M140" s="283"/>
      <c r="N140" s="288"/>
      <c r="O140" s="283"/>
      <c r="P140" s="288"/>
      <c r="Q140" s="283"/>
      <c r="R140" s="288"/>
      <c r="S140" s="283"/>
      <c r="T140" s="288"/>
      <c r="U140" s="283"/>
      <c r="V140" s="288"/>
      <c r="W140" s="283"/>
      <c r="X140" s="288"/>
      <c r="Y140" s="286">
        <f>COUNTIF(C140:X140,"&gt;=R")</f>
        <v>0</v>
      </c>
      <c r="Z140" s="287">
        <f>Y140</f>
        <v>0</v>
      </c>
    </row>
    <row r="141" spans="1:26" ht="40.049999999999997" customHeight="1" x14ac:dyDescent="0.3">
      <c r="A141" s="308" t="s">
        <v>352</v>
      </c>
      <c r="B141" s="309" t="s">
        <v>353</v>
      </c>
      <c r="C141" s="743" t="s">
        <v>8</v>
      </c>
      <c r="D141" s="302"/>
      <c r="E141" s="288"/>
      <c r="F141" s="288"/>
      <c r="G141" s="749" t="s">
        <v>8</v>
      </c>
      <c r="H141" s="288"/>
      <c r="I141" s="749" t="s">
        <v>8</v>
      </c>
      <c r="J141" s="288"/>
      <c r="K141" s="288" t="s">
        <v>84</v>
      </c>
      <c r="L141" s="288"/>
      <c r="M141" s="288" t="s">
        <v>84</v>
      </c>
      <c r="N141" s="288"/>
      <c r="O141" s="288" t="s">
        <v>84</v>
      </c>
      <c r="P141" s="288"/>
      <c r="Q141" s="288" t="s">
        <v>84</v>
      </c>
      <c r="R141" s="288"/>
      <c r="S141" s="288" t="s">
        <v>84</v>
      </c>
      <c r="T141" s="288"/>
      <c r="U141" s="285"/>
      <c r="V141" s="288"/>
      <c r="W141" s="285"/>
      <c r="X141" s="288"/>
      <c r="Y141" s="286">
        <f>COUNTIF(C141:X141,"&gt;=R")</f>
        <v>8</v>
      </c>
      <c r="Z141" s="287">
        <f>Y141</f>
        <v>8</v>
      </c>
    </row>
    <row r="142" spans="1:26" ht="40.049999999999997" customHeight="1" x14ac:dyDescent="0.3">
      <c r="A142" s="308" t="s">
        <v>354</v>
      </c>
      <c r="B142" s="309" t="s">
        <v>355</v>
      </c>
      <c r="C142" s="743" t="s">
        <v>8</v>
      </c>
      <c r="D142" s="302"/>
      <c r="E142" s="288"/>
      <c r="F142" s="288"/>
      <c r="G142" s="749" t="s">
        <v>8</v>
      </c>
      <c r="H142" s="288"/>
      <c r="I142" s="749" t="s">
        <v>8</v>
      </c>
      <c r="J142" s="288"/>
      <c r="K142" s="288" t="s">
        <v>84</v>
      </c>
      <c r="L142" s="288"/>
      <c r="M142" s="288" t="s">
        <v>84</v>
      </c>
      <c r="N142" s="288"/>
      <c r="O142" s="288" t="s">
        <v>84</v>
      </c>
      <c r="P142" s="288"/>
      <c r="Q142" s="288" t="s">
        <v>84</v>
      </c>
      <c r="R142" s="288"/>
      <c r="S142" s="288" t="s">
        <v>84</v>
      </c>
      <c r="T142" s="288"/>
      <c r="U142" s="285"/>
      <c r="V142" s="288"/>
      <c r="W142" s="285"/>
      <c r="X142" s="288"/>
      <c r="Y142" s="286">
        <f>COUNTIF(C142:X142,"&gt;=R")</f>
        <v>8</v>
      </c>
      <c r="Z142" s="287">
        <f>Y142</f>
        <v>8</v>
      </c>
    </row>
    <row r="143" spans="1:26" ht="40.049999999999997" customHeight="1" x14ac:dyDescent="0.3">
      <c r="A143" s="289" t="s">
        <v>356</v>
      </c>
      <c r="B143" s="311" t="s">
        <v>357</v>
      </c>
      <c r="C143" s="291"/>
      <c r="D143" s="292"/>
      <c r="E143" s="293"/>
      <c r="F143" s="293"/>
      <c r="G143" s="293"/>
      <c r="H143" s="293"/>
      <c r="I143" s="293"/>
      <c r="J143" s="293"/>
      <c r="K143" s="293"/>
      <c r="L143" s="293"/>
      <c r="M143" s="293"/>
      <c r="N143" s="293"/>
      <c r="O143" s="293"/>
      <c r="P143" s="293"/>
      <c r="Q143" s="293"/>
      <c r="R143" s="293"/>
      <c r="S143" s="293"/>
      <c r="T143" s="293"/>
      <c r="U143" s="293"/>
      <c r="V143" s="293"/>
      <c r="W143" s="293"/>
      <c r="X143" s="293"/>
      <c r="Y143" s="349"/>
      <c r="Z143" s="350"/>
    </row>
    <row r="144" spans="1:26" ht="40.049999999999997" customHeight="1" x14ac:dyDescent="0.3">
      <c r="A144" s="308" t="s">
        <v>358</v>
      </c>
      <c r="B144" s="309" t="s">
        <v>359</v>
      </c>
      <c r="C144" s="743" t="s">
        <v>8</v>
      </c>
      <c r="D144" s="302"/>
      <c r="E144" s="743" t="s">
        <v>8</v>
      </c>
      <c r="F144" s="288"/>
      <c r="G144" s="283" t="s">
        <v>76</v>
      </c>
      <c r="H144" s="288"/>
      <c r="I144" s="283" t="s">
        <v>76</v>
      </c>
      <c r="J144" s="288"/>
      <c r="K144" s="283" t="s">
        <v>76</v>
      </c>
      <c r="L144" s="288"/>
      <c r="M144" s="283" t="s">
        <v>76</v>
      </c>
      <c r="N144" s="288"/>
      <c r="O144" s="283"/>
      <c r="P144" s="288"/>
      <c r="Q144" s="283"/>
      <c r="R144" s="288"/>
      <c r="S144" s="283"/>
      <c r="T144" s="288"/>
      <c r="U144" s="283"/>
      <c r="V144" s="288"/>
      <c r="W144" s="286"/>
      <c r="X144" s="288"/>
      <c r="Y144" s="286">
        <f>COUNTIF(C144:X144,"&gt;=R")</f>
        <v>6</v>
      </c>
      <c r="Z144" s="287">
        <f>Y144</f>
        <v>6</v>
      </c>
    </row>
    <row r="145" spans="1:26" ht="40.049999999999997" customHeight="1" x14ac:dyDescent="0.3">
      <c r="A145" s="308" t="s">
        <v>360</v>
      </c>
      <c r="B145" s="309" t="s">
        <v>361</v>
      </c>
      <c r="C145" s="284" t="s">
        <v>55</v>
      </c>
      <c r="D145" s="302"/>
      <c r="E145" s="285" t="s">
        <v>55</v>
      </c>
      <c r="F145" s="288"/>
      <c r="G145" s="285" t="s">
        <v>55</v>
      </c>
      <c r="H145" s="288"/>
      <c r="I145" s="285" t="s">
        <v>55</v>
      </c>
      <c r="J145" s="288"/>
      <c r="K145" s="285" t="s">
        <v>55</v>
      </c>
      <c r="L145" s="288"/>
      <c r="M145" s="285" t="s">
        <v>55</v>
      </c>
      <c r="N145" s="288"/>
      <c r="O145" s="285" t="s">
        <v>55</v>
      </c>
      <c r="P145" s="288"/>
      <c r="Q145" s="285" t="s">
        <v>55</v>
      </c>
      <c r="R145" s="288"/>
      <c r="S145" s="285" t="s">
        <v>75</v>
      </c>
      <c r="T145" s="288"/>
      <c r="U145" s="285" t="s">
        <v>75</v>
      </c>
      <c r="V145" s="288"/>
      <c r="W145" s="285" t="s">
        <v>75</v>
      </c>
      <c r="X145" s="288"/>
      <c r="Y145" s="286">
        <f>COUNTIF(C145:X145,"&gt;=R")</f>
        <v>11</v>
      </c>
      <c r="Z145" s="287">
        <f>Y145</f>
        <v>11</v>
      </c>
    </row>
    <row r="146" spans="1:26" ht="40.049999999999997" customHeight="1" x14ac:dyDescent="0.3">
      <c r="A146" s="308" t="s">
        <v>362</v>
      </c>
      <c r="B146" s="309" t="s">
        <v>363</v>
      </c>
      <c r="C146" s="283" t="s">
        <v>85</v>
      </c>
      <c r="D146" s="302"/>
      <c r="E146" s="283" t="s">
        <v>85</v>
      </c>
      <c r="F146" s="288"/>
      <c r="G146" s="283" t="s">
        <v>85</v>
      </c>
      <c r="H146" s="288"/>
      <c r="I146" s="283" t="s">
        <v>85</v>
      </c>
      <c r="J146" s="288"/>
      <c r="K146" s="283" t="s">
        <v>85</v>
      </c>
      <c r="L146" s="288"/>
      <c r="M146" s="283" t="s">
        <v>85</v>
      </c>
      <c r="N146" s="288"/>
      <c r="O146" s="283" t="s">
        <v>85</v>
      </c>
      <c r="P146" s="288"/>
      <c r="Q146" s="283" t="s">
        <v>85</v>
      </c>
      <c r="R146" s="288"/>
      <c r="S146" s="283" t="s">
        <v>85</v>
      </c>
      <c r="T146" s="288"/>
      <c r="U146" s="283" t="s">
        <v>85</v>
      </c>
      <c r="V146" s="288"/>
      <c r="W146" s="283" t="s">
        <v>85</v>
      </c>
      <c r="X146" s="288"/>
      <c r="Y146" s="286">
        <f>COUNTIF(C146:X146,"&gt;=R")</f>
        <v>11</v>
      </c>
      <c r="Z146" s="287">
        <f>Y146</f>
        <v>11</v>
      </c>
    </row>
    <row r="147" spans="1:26" ht="40.049999999999997" customHeight="1" x14ac:dyDescent="0.3">
      <c r="A147" s="289" t="s">
        <v>364</v>
      </c>
      <c r="B147" s="290" t="s">
        <v>365</v>
      </c>
      <c r="C147" s="291"/>
      <c r="D147" s="292"/>
      <c r="E147" s="293"/>
      <c r="F147" s="293"/>
      <c r="G147" s="293"/>
      <c r="H147" s="293"/>
      <c r="I147" s="293"/>
      <c r="J147" s="293"/>
      <c r="K147" s="293"/>
      <c r="L147" s="293"/>
      <c r="M147" s="293"/>
      <c r="N147" s="293"/>
      <c r="O147" s="293"/>
      <c r="P147" s="293"/>
      <c r="Q147" s="293"/>
      <c r="R147" s="293"/>
      <c r="S147" s="293"/>
      <c r="T147" s="293"/>
      <c r="U147" s="293"/>
      <c r="V147" s="293"/>
      <c r="W147" s="293"/>
      <c r="X147" s="293"/>
      <c r="Y147" s="349"/>
      <c r="Z147" s="350"/>
    </row>
    <row r="148" spans="1:26" ht="40.049999999999997" customHeight="1" x14ac:dyDescent="0.3">
      <c r="A148" s="318" t="s">
        <v>366</v>
      </c>
      <c r="B148" s="319" t="s">
        <v>367</v>
      </c>
      <c r="C148" s="302"/>
      <c r="D148" s="302"/>
      <c r="E148" s="288"/>
      <c r="F148" s="288"/>
      <c r="G148" s="288"/>
      <c r="H148" s="288"/>
      <c r="I148" s="288"/>
      <c r="J148" s="288"/>
      <c r="K148" s="288"/>
      <c r="L148" s="288"/>
      <c r="M148" s="288"/>
      <c r="N148" s="288"/>
      <c r="O148" s="288"/>
      <c r="P148" s="288"/>
      <c r="Q148" s="288"/>
      <c r="R148" s="288"/>
      <c r="S148" s="288"/>
      <c r="T148" s="288"/>
      <c r="U148" s="288"/>
      <c r="V148" s="288"/>
      <c r="W148" s="288"/>
      <c r="X148" s="288"/>
      <c r="Y148" s="286">
        <f t="shared" ref="Y148:Y155" si="10">COUNTIF(C148:X148,"&gt;=R")</f>
        <v>0</v>
      </c>
      <c r="Z148" s="287">
        <f t="shared" ref="Z148:Z155" si="11">Y148</f>
        <v>0</v>
      </c>
    </row>
    <row r="149" spans="1:26" ht="40.049999999999997" customHeight="1" x14ac:dyDescent="0.3">
      <c r="A149" s="320" t="s">
        <v>368</v>
      </c>
      <c r="B149" s="321" t="s">
        <v>369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6">
        <f t="shared" si="10"/>
        <v>0</v>
      </c>
      <c r="Z149" s="287">
        <f t="shared" si="11"/>
        <v>0</v>
      </c>
    </row>
    <row r="150" spans="1:26" ht="40.049999999999997" customHeight="1" x14ac:dyDescent="0.3">
      <c r="A150" s="320" t="s">
        <v>370</v>
      </c>
      <c r="B150" s="321" t="s">
        <v>371</v>
      </c>
      <c r="C150" s="284"/>
      <c r="D150" s="302"/>
      <c r="E150" s="285"/>
      <c r="F150" s="288"/>
      <c r="G150" s="285"/>
      <c r="H150" s="288"/>
      <c r="I150" s="285"/>
      <c r="J150" s="288"/>
      <c r="K150" s="285"/>
      <c r="L150" s="288"/>
      <c r="M150" s="285"/>
      <c r="N150" s="288"/>
      <c r="O150" s="285"/>
      <c r="P150" s="288"/>
      <c r="Q150" s="285"/>
      <c r="R150" s="288"/>
      <c r="S150" s="285"/>
      <c r="T150" s="288"/>
      <c r="U150" s="285"/>
      <c r="V150" s="288"/>
      <c r="W150" s="285"/>
      <c r="X150" s="288"/>
      <c r="Y150" s="286">
        <f t="shared" si="10"/>
        <v>0</v>
      </c>
      <c r="Z150" s="287">
        <f t="shared" si="11"/>
        <v>0</v>
      </c>
    </row>
    <row r="151" spans="1:26" ht="40.049999999999997" customHeight="1" x14ac:dyDescent="0.3">
      <c r="A151" s="322" t="s">
        <v>372</v>
      </c>
      <c r="B151" s="323" t="s">
        <v>373</v>
      </c>
      <c r="C151" s="284"/>
      <c r="D151" s="302"/>
      <c r="E151" s="288"/>
      <c r="F151" s="288"/>
      <c r="G151" s="288" t="s">
        <v>76</v>
      </c>
      <c r="H151" s="288"/>
      <c r="I151" s="285" t="s">
        <v>76</v>
      </c>
      <c r="J151" s="288"/>
      <c r="K151" s="285" t="s">
        <v>76</v>
      </c>
      <c r="L151" s="288"/>
      <c r="M151" s="285" t="s">
        <v>76</v>
      </c>
      <c r="N151" s="288"/>
      <c r="O151" s="285" t="s">
        <v>76</v>
      </c>
      <c r="P151" s="288"/>
      <c r="Q151" s="285" t="s">
        <v>67</v>
      </c>
      <c r="R151" s="288"/>
      <c r="S151" s="285" t="s">
        <v>67</v>
      </c>
      <c r="T151" s="288"/>
      <c r="U151" s="285" t="s">
        <v>67</v>
      </c>
      <c r="V151" s="288"/>
      <c r="W151" s="288" t="s">
        <v>67</v>
      </c>
      <c r="X151" s="288"/>
      <c r="Y151" s="286">
        <f t="shared" si="10"/>
        <v>9</v>
      </c>
      <c r="Z151" s="287">
        <f t="shared" si="11"/>
        <v>9</v>
      </c>
    </row>
    <row r="152" spans="1:26" ht="40.049999999999997" customHeight="1" x14ac:dyDescent="0.3">
      <c r="A152" s="322" t="s">
        <v>374</v>
      </c>
      <c r="B152" s="323" t="s">
        <v>375</v>
      </c>
      <c r="C152" s="284"/>
      <c r="D152" s="302"/>
      <c r="E152" s="288"/>
      <c r="F152" s="288"/>
      <c r="G152" s="288"/>
      <c r="H152" s="288"/>
      <c r="I152" s="285"/>
      <c r="J152" s="288"/>
      <c r="K152" s="285"/>
      <c r="L152" s="288"/>
      <c r="M152" s="285"/>
      <c r="N152" s="288"/>
      <c r="O152" s="285"/>
      <c r="P152" s="288"/>
      <c r="Q152" s="285"/>
      <c r="R152" s="288"/>
      <c r="S152" s="285"/>
      <c r="T152" s="288"/>
      <c r="U152" s="285"/>
      <c r="V152" s="288"/>
      <c r="W152" s="288"/>
      <c r="X152" s="288"/>
      <c r="Y152" s="286">
        <f t="shared" si="10"/>
        <v>0</v>
      </c>
      <c r="Z152" s="287">
        <f t="shared" si="11"/>
        <v>0</v>
      </c>
    </row>
    <row r="153" spans="1:26" ht="40.049999999999997" customHeight="1" x14ac:dyDescent="0.3">
      <c r="A153" s="322" t="s">
        <v>376</v>
      </c>
      <c r="B153" s="323" t="s">
        <v>377</v>
      </c>
      <c r="C153" s="284"/>
      <c r="D153" s="302"/>
      <c r="E153" s="285"/>
      <c r="F153" s="288"/>
      <c r="G153" s="285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5"/>
      <c r="V153" s="288"/>
      <c r="W153" s="285"/>
      <c r="X153" s="288"/>
      <c r="Y153" s="286">
        <f t="shared" si="10"/>
        <v>0</v>
      </c>
      <c r="Z153" s="287">
        <f t="shared" si="11"/>
        <v>0</v>
      </c>
    </row>
    <row r="154" spans="1:26" ht="40.049999999999997" customHeight="1" x14ac:dyDescent="0.3">
      <c r="A154" s="322" t="s">
        <v>374</v>
      </c>
      <c r="B154" s="324" t="s">
        <v>375</v>
      </c>
      <c r="C154" s="302"/>
      <c r="D154" s="302"/>
      <c r="E154" s="288"/>
      <c r="F154" s="288"/>
      <c r="G154" s="288"/>
      <c r="H154" s="288"/>
      <c r="I154" s="288"/>
      <c r="J154" s="288"/>
      <c r="K154" s="288"/>
      <c r="L154" s="288"/>
      <c r="M154" s="288"/>
      <c r="N154" s="288"/>
      <c r="O154" s="288"/>
      <c r="P154" s="288"/>
      <c r="Q154" s="288"/>
      <c r="R154" s="288"/>
      <c r="S154" s="288"/>
      <c r="T154" s="288"/>
      <c r="U154" s="288"/>
      <c r="V154" s="288"/>
      <c r="W154" s="288"/>
      <c r="X154" s="288"/>
      <c r="Y154" s="286">
        <f t="shared" si="10"/>
        <v>0</v>
      </c>
      <c r="Z154" s="287">
        <f t="shared" si="11"/>
        <v>0</v>
      </c>
    </row>
    <row r="155" spans="1:26" ht="40.049999999999997" customHeight="1" x14ac:dyDescent="0.65">
      <c r="A155" s="357" t="s">
        <v>378</v>
      </c>
      <c r="B155" s="896" t="s">
        <v>379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6">
        <f t="shared" si="10"/>
        <v>0</v>
      </c>
      <c r="Z155" s="287">
        <f t="shared" si="11"/>
        <v>0</v>
      </c>
    </row>
    <row r="156" spans="1:26" ht="40.049999999999997" customHeight="1" x14ac:dyDescent="0.3">
      <c r="A156" s="289" t="s">
        <v>380</v>
      </c>
      <c r="B156" s="290" t="s">
        <v>381</v>
      </c>
      <c r="C156" s="291"/>
      <c r="D156" s="292"/>
      <c r="E156" s="293"/>
      <c r="F156" s="293"/>
      <c r="G156" s="293"/>
      <c r="H156" s="293"/>
      <c r="I156" s="293"/>
      <c r="J156" s="293"/>
      <c r="K156" s="293"/>
      <c r="L156" s="293"/>
      <c r="M156" s="293"/>
      <c r="N156" s="293"/>
      <c r="O156" s="293"/>
      <c r="P156" s="293"/>
      <c r="Q156" s="293"/>
      <c r="R156" s="293"/>
      <c r="S156" s="293"/>
      <c r="T156" s="293"/>
      <c r="U156" s="293"/>
      <c r="V156" s="293"/>
      <c r="W156" s="293"/>
      <c r="X156" s="293"/>
      <c r="Y156" s="349"/>
      <c r="Z156" s="350"/>
    </row>
    <row r="157" spans="1:26" ht="40.049999999999997" customHeight="1" x14ac:dyDescent="0.3">
      <c r="A157" s="308" t="s">
        <v>382</v>
      </c>
      <c r="B157" s="309" t="s">
        <v>383</v>
      </c>
      <c r="C157" s="283"/>
      <c r="D157" s="302"/>
      <c r="E157" s="288"/>
      <c r="F157" s="288"/>
      <c r="G157" s="288"/>
      <c r="H157" s="288"/>
      <c r="I157" s="288"/>
      <c r="J157" s="288"/>
      <c r="K157" s="288"/>
      <c r="L157" s="288"/>
      <c r="M157" s="288"/>
      <c r="N157" s="288"/>
      <c r="O157" s="288"/>
      <c r="P157" s="288"/>
      <c r="Q157" s="288"/>
      <c r="R157" s="288"/>
      <c r="S157" s="288"/>
      <c r="T157" s="288"/>
      <c r="U157" s="288"/>
      <c r="V157" s="288"/>
      <c r="W157" s="288"/>
      <c r="X157" s="288"/>
      <c r="Y157" s="286">
        <f>COUNTIF(C157:X157,"&gt;=R")</f>
        <v>0</v>
      </c>
      <c r="Z157" s="287">
        <f>Y157</f>
        <v>0</v>
      </c>
    </row>
    <row r="158" spans="1:26" ht="40.049999999999997" customHeight="1" x14ac:dyDescent="0.3">
      <c r="A158" s="308" t="s">
        <v>384</v>
      </c>
      <c r="B158" s="309" t="s">
        <v>385</v>
      </c>
      <c r="C158" s="283"/>
      <c r="D158" s="302"/>
      <c r="E158" s="283"/>
      <c r="F158" s="288"/>
      <c r="G158" s="283"/>
      <c r="H158" s="288"/>
      <c r="I158" s="283"/>
      <c r="J158" s="288"/>
      <c r="K158" s="283"/>
      <c r="L158" s="288"/>
      <c r="M158" s="283"/>
      <c r="N158" s="288"/>
      <c r="O158" s="283"/>
      <c r="P158" s="288"/>
      <c r="Q158" s="283"/>
      <c r="R158" s="288"/>
      <c r="S158" s="283"/>
      <c r="T158" s="288"/>
      <c r="U158" s="283"/>
      <c r="V158" s="288"/>
      <c r="W158" s="283"/>
      <c r="X158" s="288"/>
      <c r="Y158" s="286">
        <f>COUNTIF(C158:X158,"&gt;=R")</f>
        <v>0</v>
      </c>
      <c r="Z158" s="287">
        <f>Y158</f>
        <v>0</v>
      </c>
    </row>
    <row r="159" spans="1:26" ht="40.049999999999997" customHeight="1" x14ac:dyDescent="0.3">
      <c r="A159" s="308" t="s">
        <v>386</v>
      </c>
      <c r="B159" s="309" t="s">
        <v>387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3"/>
      <c r="V159" s="288"/>
      <c r="W159" s="283"/>
      <c r="X159" s="288"/>
      <c r="Y159" s="286">
        <f>COUNTIF(C159:X159,"&gt;=R")</f>
        <v>0</v>
      </c>
      <c r="Z159" s="287">
        <f>Y159</f>
        <v>0</v>
      </c>
    </row>
    <row r="160" spans="1:26" ht="40.049999999999997" customHeight="1" x14ac:dyDescent="0.3">
      <c r="A160" s="308" t="s">
        <v>388</v>
      </c>
      <c r="B160" s="309" t="s">
        <v>389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3"/>
      <c r="V160" s="288"/>
      <c r="W160" s="283"/>
      <c r="X160" s="288"/>
      <c r="Y160" s="286">
        <f>COUNTIF(C160:X160,"&gt;=R")</f>
        <v>0</v>
      </c>
      <c r="Z160" s="287">
        <f>Y160</f>
        <v>0</v>
      </c>
    </row>
    <row r="161" spans="1:51" ht="40.049999999999997" customHeight="1" x14ac:dyDescent="0.3">
      <c r="A161" s="289" t="s">
        <v>390</v>
      </c>
      <c r="B161" s="311" t="s">
        <v>391</v>
      </c>
      <c r="C161" s="291"/>
      <c r="D161" s="292"/>
      <c r="E161" s="293"/>
      <c r="F161" s="293"/>
      <c r="G161" s="293"/>
      <c r="H161" s="293"/>
      <c r="I161" s="293"/>
      <c r="J161" s="293"/>
      <c r="K161" s="293"/>
      <c r="L161" s="293"/>
      <c r="M161" s="293"/>
      <c r="N161" s="293"/>
      <c r="O161" s="293"/>
      <c r="P161" s="293"/>
      <c r="Q161" s="293"/>
      <c r="R161" s="293"/>
      <c r="S161" s="293"/>
      <c r="T161" s="293"/>
      <c r="U161" s="293"/>
      <c r="V161" s="293"/>
      <c r="W161" s="293"/>
      <c r="X161" s="293"/>
      <c r="Y161" s="349"/>
      <c r="Z161" s="350"/>
    </row>
    <row r="162" spans="1:51" ht="40.049999999999997" customHeight="1" x14ac:dyDescent="0.3">
      <c r="A162" s="320" t="s">
        <v>392</v>
      </c>
      <c r="B162" s="321" t="s">
        <v>393</v>
      </c>
      <c r="C162" s="283"/>
      <c r="D162" s="302"/>
      <c r="E162" s="283"/>
      <c r="F162" s="288"/>
      <c r="G162" s="283"/>
      <c r="H162" s="288"/>
      <c r="I162" s="288"/>
      <c r="J162" s="288"/>
      <c r="K162" s="283"/>
      <c r="L162" s="288"/>
      <c r="M162" s="283"/>
      <c r="N162" s="288"/>
      <c r="O162" s="283"/>
      <c r="P162" s="288"/>
      <c r="Q162" s="283"/>
      <c r="R162" s="288"/>
      <c r="S162" s="283"/>
      <c r="T162" s="288"/>
      <c r="U162" s="283"/>
      <c r="V162" s="288"/>
      <c r="W162" s="283"/>
      <c r="X162" s="288"/>
      <c r="Y162" s="286">
        <f>COUNTIF(C162:X162,"&gt;=R")</f>
        <v>0</v>
      </c>
      <c r="Z162" s="287">
        <f>Y162</f>
        <v>0</v>
      </c>
    </row>
    <row r="163" spans="1:51" ht="40.049999999999997" customHeight="1" x14ac:dyDescent="0.45">
      <c r="A163" s="320" t="s">
        <v>394</v>
      </c>
      <c r="B163" s="321" t="s">
        <v>395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6">
        <f>COUNTIF(C163:X163,"&gt;=R")</f>
        <v>0</v>
      </c>
      <c r="Z163" s="287">
        <f>Y163</f>
        <v>0</v>
      </c>
      <c r="AA163" s="115"/>
      <c r="AB163" s="115"/>
      <c r="AC163" s="3"/>
      <c r="AD163" s="3"/>
      <c r="AE163" s="3"/>
    </row>
    <row r="164" spans="1:51" ht="40.049999999999997" customHeight="1" thickBot="1" x14ac:dyDescent="0.45">
      <c r="A164" s="325" t="s">
        <v>396</v>
      </c>
      <c r="B164" s="326" t="s">
        <v>397</v>
      </c>
      <c r="C164" s="327"/>
      <c r="D164" s="328"/>
      <c r="E164" s="327"/>
      <c r="F164" s="329"/>
      <c r="G164" s="327"/>
      <c r="H164" s="329"/>
      <c r="I164" s="329"/>
      <c r="J164" s="329"/>
      <c r="K164" s="327"/>
      <c r="L164" s="329"/>
      <c r="M164" s="327"/>
      <c r="N164" s="329"/>
      <c r="O164" s="327"/>
      <c r="P164" s="329"/>
      <c r="Q164" s="327"/>
      <c r="R164" s="329"/>
      <c r="S164" s="327"/>
      <c r="T164" s="329"/>
      <c r="U164" s="327"/>
      <c r="V164" s="329"/>
      <c r="W164" s="327"/>
      <c r="X164" s="329"/>
      <c r="Y164" s="286">
        <f>COUNTIF(C164:X164,"&gt;=R")</f>
        <v>0</v>
      </c>
      <c r="Z164" s="287">
        <f>Y164</f>
        <v>0</v>
      </c>
      <c r="AA164" s="115"/>
      <c r="AB164" s="115"/>
      <c r="AC164" s="1"/>
      <c r="AD164" s="1"/>
      <c r="AE164" s="1"/>
    </row>
    <row r="165" spans="1:51" ht="25.2" customHeight="1" x14ac:dyDescent="0.4">
      <c r="A165" s="214"/>
      <c r="B165" s="2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"/>
      <c r="AD165" s="1"/>
      <c r="AE165" s="1"/>
    </row>
    <row r="166" spans="1:51" ht="25.2" customHeight="1" x14ac:dyDescent="0.4">
      <c r="A166" s="214"/>
      <c r="B166" s="2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ht="25.2" customHeight="1" x14ac:dyDescent="0.4">
      <c r="A167" s="214"/>
      <c r="B167" s="2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ht="25.2" customHeight="1" x14ac:dyDescent="0.4">
      <c r="A168" s="214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ht="25.2" customHeight="1" x14ac:dyDescent="0.4">
      <c r="A169" s="214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ht="25.2" customHeight="1" x14ac:dyDescent="0.4">
      <c r="A170" s="214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ht="25.2" customHeight="1" x14ac:dyDescent="0.4">
      <c r="A171" s="214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ht="25.2" customHeight="1" x14ac:dyDescent="0.4">
      <c r="A172" s="216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ht="25.2" customHeight="1" x14ac:dyDescent="0.4">
      <c r="A173" s="216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ht="25.2" customHeight="1" x14ac:dyDescent="0.4">
      <c r="A174" s="21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ht="25.2" customHeight="1" x14ac:dyDescent="0.4">
      <c r="A175" s="21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ht="25.2" customHeight="1" x14ac:dyDescent="0.4">
      <c r="A176" s="217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ht="25.2" customHeight="1" x14ac:dyDescent="0.4">
      <c r="A177" s="218"/>
      <c r="B177" s="219"/>
      <c r="C177" s="220"/>
      <c r="D177" s="219"/>
      <c r="E177" s="219"/>
      <c r="F177" s="219"/>
      <c r="G177" s="219"/>
      <c r="H177" s="219"/>
      <c r="I177" s="221"/>
      <c r="J177" s="221"/>
      <c r="K177" s="221"/>
      <c r="L177" s="115"/>
      <c r="M177" s="115"/>
      <c r="N177" s="222"/>
      <c r="O177" s="222"/>
      <c r="P177" s="222"/>
      <c r="Q177" s="222"/>
      <c r="R177" s="222"/>
      <c r="S177" s="222"/>
      <c r="T177" s="222"/>
      <c r="U177" s="114"/>
      <c r="V177" s="227"/>
      <c r="W177" s="227"/>
      <c r="X177" s="221"/>
      <c r="Y177" s="221"/>
      <c r="Z177" s="221"/>
      <c r="AA177" s="115"/>
      <c r="AB177" s="115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s="357" customFormat="1" ht="25.2" customHeight="1" x14ac:dyDescent="0.65">
      <c r="A178" s="480"/>
      <c r="B178" s="330" t="s">
        <v>398</v>
      </c>
      <c r="C178" s="330"/>
      <c r="D178" s="1097" t="s">
        <v>44</v>
      </c>
      <c r="E178" s="1042"/>
      <c r="F178" s="1042"/>
      <c r="G178" s="1042"/>
      <c r="H178" s="1042"/>
      <c r="I178" s="1042"/>
      <c r="J178" s="1042"/>
      <c r="K178" s="1042"/>
      <c r="L178" s="474"/>
      <c r="M178" s="474"/>
      <c r="N178" s="1070" t="s">
        <v>399</v>
      </c>
      <c r="O178" s="1009"/>
      <c r="P178" s="1009"/>
      <c r="Q178" s="1009"/>
      <c r="R178" s="1009"/>
      <c r="S178" s="1009"/>
      <c r="T178" s="1009"/>
      <c r="V178" s="1070" t="s">
        <v>406</v>
      </c>
      <c r="W178" s="1009"/>
      <c r="X178" s="1009"/>
      <c r="Y178" s="1009"/>
      <c r="Z178" s="1009"/>
      <c r="AA178" s="475"/>
      <c r="AB178" s="475"/>
      <c r="AC178" s="475"/>
      <c r="AD178" s="475"/>
      <c r="AE178" s="475"/>
      <c r="AF178" s="475"/>
      <c r="AG178" s="475"/>
      <c r="AH178" s="475"/>
      <c r="AI178" s="475"/>
      <c r="AJ178" s="393"/>
      <c r="AK178" s="393"/>
      <c r="AL178" s="393"/>
      <c r="AM178" s="393"/>
      <c r="AN178" s="393"/>
      <c r="AO178" s="393"/>
      <c r="AP178" s="393"/>
      <c r="AQ178" s="393"/>
      <c r="AR178" s="393"/>
      <c r="AS178" s="393"/>
      <c r="AT178" s="1083"/>
      <c r="AU178" s="1042"/>
      <c r="AV178" s="1042"/>
      <c r="AW178" s="1042"/>
      <c r="AX178" s="1042"/>
      <c r="AY178" s="393"/>
    </row>
    <row r="179" spans="1:51" s="357" customFormat="1" ht="25.2" customHeight="1" x14ac:dyDescent="0.65">
      <c r="A179" s="480"/>
      <c r="B179" s="476" t="s">
        <v>35</v>
      </c>
      <c r="C179" s="476"/>
      <c r="D179" s="1092" t="s">
        <v>54</v>
      </c>
      <c r="E179" s="1042"/>
      <c r="F179" s="1042"/>
      <c r="G179" s="1042"/>
      <c r="H179" s="1042"/>
      <c r="I179" s="1042"/>
      <c r="J179" s="1042"/>
      <c r="K179" s="1042"/>
      <c r="L179" s="477"/>
      <c r="M179" s="477"/>
      <c r="N179" s="1041" t="s">
        <v>400</v>
      </c>
      <c r="O179" s="1042"/>
      <c r="P179" s="1042"/>
      <c r="Q179" s="1042"/>
      <c r="R179" s="1042"/>
      <c r="S179" s="1042"/>
      <c r="T179" s="1042"/>
      <c r="V179" s="1041" t="s">
        <v>74</v>
      </c>
      <c r="W179" s="1042"/>
      <c r="X179" s="1042"/>
      <c r="Y179" s="1042"/>
      <c r="Z179" s="1042"/>
      <c r="AA179" s="482"/>
      <c r="AB179" s="482"/>
      <c r="AC179" s="482"/>
      <c r="AD179" s="482"/>
      <c r="AE179" s="482"/>
      <c r="AF179" s="479"/>
      <c r="AG179" s="479"/>
      <c r="AH179" s="479"/>
      <c r="AI179" s="479"/>
      <c r="AJ179" s="393"/>
      <c r="AK179" s="393"/>
      <c r="AL179" s="393"/>
      <c r="AM179" s="393"/>
      <c r="AN179" s="393"/>
      <c r="AO179" s="393"/>
      <c r="AP179" s="393"/>
      <c r="AQ179" s="393"/>
      <c r="AR179" s="393"/>
      <c r="AS179" s="393"/>
      <c r="AT179" s="1071"/>
      <c r="AU179" s="1042"/>
      <c r="AV179" s="1042"/>
      <c r="AW179" s="1042"/>
      <c r="AX179" s="1042"/>
      <c r="AY179" s="393"/>
    </row>
    <row r="180" spans="1:51" ht="18" customHeight="1" x14ac:dyDescent="0.4">
      <c r="A180" s="897"/>
      <c r="B180" s="116"/>
      <c r="C180" s="116"/>
      <c r="D180" s="116"/>
      <c r="E180" s="116"/>
      <c r="F180" s="116"/>
      <c r="G180" s="224"/>
      <c r="H180" s="224"/>
      <c r="I180" s="115"/>
      <c r="J180" s="115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081"/>
      <c r="W180" s="978"/>
      <c r="X180" s="978"/>
      <c r="Y180" s="978"/>
      <c r="Z180" s="978"/>
      <c r="AA180" s="228"/>
      <c r="AB180" s="228"/>
      <c r="AC180" s="9"/>
      <c r="AD180" s="9"/>
      <c r="AE180" s="9"/>
      <c r="AF180" s="9"/>
      <c r="AG180" s="9"/>
      <c r="AH180" s="9"/>
      <c r="AI180" s="9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</sheetData>
  <mergeCells count="68">
    <mergeCell ref="A1:A3"/>
    <mergeCell ref="W16:X16"/>
    <mergeCell ref="K10:M10"/>
    <mergeCell ref="S11:U11"/>
    <mergeCell ref="K6:M6"/>
    <mergeCell ref="K4:M4"/>
    <mergeCell ref="S4:U4"/>
    <mergeCell ref="O7:Q7"/>
    <mergeCell ref="W4:Y4"/>
    <mergeCell ref="C4:F8"/>
    <mergeCell ref="O10:Q10"/>
    <mergeCell ref="S12:U12"/>
    <mergeCell ref="W10:Y10"/>
    <mergeCell ref="W6:Y6"/>
    <mergeCell ref="B1:B3"/>
    <mergeCell ref="E16:F16"/>
    <mergeCell ref="C1:Z3"/>
    <mergeCell ref="C9:F12"/>
    <mergeCell ref="O12:Q12"/>
    <mergeCell ref="W9:Y9"/>
    <mergeCell ref="U16:V16"/>
    <mergeCell ref="S9:U9"/>
    <mergeCell ref="O8:Q8"/>
    <mergeCell ref="W11:Y11"/>
    <mergeCell ref="W8:Y8"/>
    <mergeCell ref="G4:I8"/>
    <mergeCell ref="M16:N16"/>
    <mergeCell ref="O11:Q11"/>
    <mergeCell ref="O16:P16"/>
    <mergeCell ref="K7:M7"/>
    <mergeCell ref="S5:U5"/>
    <mergeCell ref="O6:Q6"/>
    <mergeCell ref="V180:Z180"/>
    <mergeCell ref="C16:D16"/>
    <mergeCell ref="AT179:AX179"/>
    <mergeCell ref="I16:J16"/>
    <mergeCell ref="S15:X15"/>
    <mergeCell ref="D179:K179"/>
    <mergeCell ref="V178:Z178"/>
    <mergeCell ref="G16:H16"/>
    <mergeCell ref="N179:T179"/>
    <mergeCell ref="V179:Z179"/>
    <mergeCell ref="AT178:AX178"/>
    <mergeCell ref="D178:K178"/>
    <mergeCell ref="O4:Q4"/>
    <mergeCell ref="N178:T178"/>
    <mergeCell ref="Y15:Z15"/>
    <mergeCell ref="G9:I12"/>
    <mergeCell ref="K12:M12"/>
    <mergeCell ref="W7:Y7"/>
    <mergeCell ref="S10:U10"/>
    <mergeCell ref="W12:Y12"/>
    <mergeCell ref="K8:M8"/>
    <mergeCell ref="S6:U6"/>
    <mergeCell ref="K9:M9"/>
    <mergeCell ref="K5:M5"/>
    <mergeCell ref="W5:Y5"/>
    <mergeCell ref="O9:Q9"/>
    <mergeCell ref="K16:L16"/>
    <mergeCell ref="Q16:R16"/>
    <mergeCell ref="O5:Q5"/>
    <mergeCell ref="S7:U7"/>
    <mergeCell ref="S16:T16"/>
    <mergeCell ref="A13:Z13"/>
    <mergeCell ref="A14:A16"/>
    <mergeCell ref="B14:B16"/>
    <mergeCell ref="S8:U8"/>
    <mergeCell ref="K11:M11"/>
  </mergeCells>
  <conditionalFormatting sqref="C33:X33">
    <cfRule type="containsText" dxfId="1472" priority="66" operator="containsText" text="R34">
      <formula>NOT(ISERROR(SEARCH("R34",C33)))</formula>
    </cfRule>
    <cfRule type="containsText" priority="65" operator="containsText" text="R36">
      <formula>NOT(ISERROR(SEARCH("R36",C33)))</formula>
    </cfRule>
    <cfRule type="containsText" dxfId="1471" priority="64" operator="containsText" text="R36">
      <formula>NOT(ISERROR(SEARCH("R36",C33)))</formula>
    </cfRule>
    <cfRule type="containsText" dxfId="1470" priority="63" operator="containsText" text="R37">
      <formula>NOT(ISERROR(SEARCH("R37",C33)))</formula>
    </cfRule>
    <cfRule type="cellIs" dxfId="1469" priority="93" stopIfTrue="1" operator="equal">
      <formula>0</formula>
    </cfRule>
    <cfRule type="cellIs" dxfId="1468" priority="92" stopIfTrue="1" operator="notEqual">
      <formula>0</formula>
    </cfRule>
    <cfRule type="containsText" dxfId="1467" priority="89" operator="containsText" text="R3">
      <formula>NOT(ISERROR(SEARCH("R3",C33)))</formula>
    </cfRule>
    <cfRule type="containsText" dxfId="1466" priority="88" operator="containsText" text="R4">
      <formula>NOT(ISERROR(SEARCH("R4",C33)))</formula>
    </cfRule>
    <cfRule type="containsText" dxfId="1465" priority="87" operator="containsText" text="R5">
      <formula>NOT(ISERROR(SEARCH("R5",C33)))</formula>
    </cfRule>
    <cfRule type="containsText" dxfId="1464" priority="86" operator="containsText" text="R7">
      <formula>NOT(ISERROR(SEARCH("R7",C33)))</formula>
    </cfRule>
    <cfRule type="containsText" dxfId="1463" priority="85" operator="containsText" text="R10">
      <formula>NOT(ISERROR(SEARCH("R10",C33)))</formula>
    </cfRule>
    <cfRule type="containsText" dxfId="1462" priority="84" operator="containsText" text="R11">
      <formula>NOT(ISERROR(SEARCH("R11",C33)))</formula>
    </cfRule>
    <cfRule type="containsText" dxfId="1461" priority="83" operator="containsText" text="R12">
      <formula>NOT(ISERROR(SEARCH("R12",C33)))</formula>
    </cfRule>
    <cfRule type="containsText" dxfId="1460" priority="82" operator="containsText" text="R14">
      <formula>NOT(ISERROR(SEARCH("R14",C33)))</formula>
    </cfRule>
    <cfRule type="containsText" dxfId="1459" priority="81" operator="containsText" text="R13">
      <formula>NOT(ISERROR(SEARCH("R13",C33)))</formula>
    </cfRule>
    <cfRule type="containsText" dxfId="1458" priority="80" operator="containsText" text="R15">
      <formula>NOT(ISERROR(SEARCH("R15",C33)))</formula>
    </cfRule>
    <cfRule type="containsText" dxfId="1457" priority="79" operator="containsText" text="R17">
      <formula>NOT(ISERROR(SEARCH("R17",C33)))</formula>
    </cfRule>
    <cfRule type="containsText" dxfId="1456" priority="78" operator="containsText" text="R19">
      <formula>NOT(ISERROR(SEARCH("R19",C33)))</formula>
    </cfRule>
    <cfRule type="containsText" dxfId="1455" priority="77" operator="containsText" text="R20">
      <formula>NOT(ISERROR(SEARCH("R20",C33)))</formula>
    </cfRule>
    <cfRule type="containsText" dxfId="1454" priority="76" operator="containsText" text="R21">
      <formula>NOT(ISERROR(SEARCH("R21",C33)))</formula>
    </cfRule>
    <cfRule type="containsText" dxfId="1453" priority="75" operator="containsText" text="R23">
      <formula>NOT(ISERROR(SEARCH("R23",C33)))</formula>
    </cfRule>
    <cfRule type="containsText" dxfId="1452" priority="74" operator="containsText" text="R24">
      <formula>NOT(ISERROR(SEARCH("R24",C33)))</formula>
    </cfRule>
    <cfRule type="containsText" dxfId="1451" priority="73" operator="containsText" text="R13">
      <formula>NOT(ISERROR(SEARCH("R13",C33)))</formula>
    </cfRule>
    <cfRule type="containsText" dxfId="1450" priority="72" operator="containsText" text="R25">
      <formula>NOT(ISERROR(SEARCH("R25",C33)))</formula>
    </cfRule>
    <cfRule type="containsText" dxfId="1449" priority="71" operator="containsText" text="R26">
      <formula>NOT(ISERROR(SEARCH("R26",C33)))</formula>
    </cfRule>
    <cfRule type="containsText" dxfId="1448" priority="70" operator="containsText" text="R29">
      <formula>NOT(ISERROR(SEARCH("R29",C33)))</formula>
    </cfRule>
    <cfRule type="containsText" dxfId="1447" priority="69" operator="containsText" text="R32">
      <formula>NOT(ISERROR(SEARCH("R32",C33)))</formula>
    </cfRule>
    <cfRule type="containsText" dxfId="1446" priority="68" operator="containsText" text="R30">
      <formula>NOT(ISERROR(SEARCH("R30",C33)))</formula>
    </cfRule>
    <cfRule type="containsText" dxfId="1445" priority="67" operator="containsText" text="R33">
      <formula>NOT(ISERROR(SEARCH("R33",C33)))</formula>
    </cfRule>
  </conditionalFormatting>
  <conditionalFormatting sqref="C54:X54">
    <cfRule type="containsText" dxfId="1444" priority="59" operator="containsText" text="R4">
      <formula>NOT(ISERROR(SEARCH("R4",C54)))</formula>
    </cfRule>
    <cfRule type="containsText" dxfId="1443" priority="60" operator="containsText" text="R3">
      <formula>NOT(ISERROR(SEARCH("R3",C54)))</formula>
    </cfRule>
    <cfRule type="cellIs" dxfId="1442" priority="61" stopIfTrue="1" operator="notEqual">
      <formula>0</formula>
    </cfRule>
    <cfRule type="cellIs" dxfId="1441" priority="62" stopIfTrue="1" operator="equal">
      <formula>0</formula>
    </cfRule>
    <cfRule type="containsText" dxfId="1440" priority="34" operator="containsText" text="R37">
      <formula>NOT(ISERROR(SEARCH("R37",C54)))</formula>
    </cfRule>
    <cfRule type="containsText" dxfId="1439" priority="35" operator="containsText" text="R36">
      <formula>NOT(ISERROR(SEARCH("R36",C54)))</formula>
    </cfRule>
    <cfRule type="containsText" priority="36" operator="containsText" text="R36">
      <formula>NOT(ISERROR(SEARCH("R36",C54)))</formula>
    </cfRule>
    <cfRule type="containsText" dxfId="1438" priority="37" operator="containsText" text="R34">
      <formula>NOT(ISERROR(SEARCH("R34",C54)))</formula>
    </cfRule>
    <cfRule type="containsText" dxfId="1437" priority="38" operator="containsText" text="R33">
      <formula>NOT(ISERROR(SEARCH("R33",C54)))</formula>
    </cfRule>
    <cfRule type="containsText" dxfId="1436" priority="39" operator="containsText" text="R30">
      <formula>NOT(ISERROR(SEARCH("R30",C54)))</formula>
    </cfRule>
    <cfRule type="containsText" dxfId="1435" priority="40" operator="containsText" text="R32">
      <formula>NOT(ISERROR(SEARCH("R32",C54)))</formula>
    </cfRule>
    <cfRule type="containsText" dxfId="1434" priority="41" operator="containsText" text="R29">
      <formula>NOT(ISERROR(SEARCH("R29",C54)))</formula>
    </cfRule>
    <cfRule type="containsText" dxfId="1433" priority="42" operator="containsText" text="R26">
      <formula>NOT(ISERROR(SEARCH("R26",C54)))</formula>
    </cfRule>
    <cfRule type="containsText" dxfId="1432" priority="43" operator="containsText" text="R25">
      <formula>NOT(ISERROR(SEARCH("R25",C54)))</formula>
    </cfRule>
    <cfRule type="containsText" dxfId="1431" priority="44" operator="containsText" text="R13">
      <formula>NOT(ISERROR(SEARCH("R13",C54)))</formula>
    </cfRule>
    <cfRule type="containsText" dxfId="1430" priority="45" operator="containsText" text="R24">
      <formula>NOT(ISERROR(SEARCH("R24",C54)))</formula>
    </cfRule>
    <cfRule type="containsText" dxfId="1429" priority="46" operator="containsText" text="R23">
      <formula>NOT(ISERROR(SEARCH("R23",C54)))</formula>
    </cfRule>
    <cfRule type="containsText" dxfId="1428" priority="47" operator="containsText" text="R21">
      <formula>NOT(ISERROR(SEARCH("R21",C54)))</formula>
    </cfRule>
    <cfRule type="containsText" dxfId="1427" priority="48" operator="containsText" text="R20">
      <formula>NOT(ISERROR(SEARCH("R20",C54)))</formula>
    </cfRule>
    <cfRule type="containsText" dxfId="1426" priority="49" operator="containsText" text="R19">
      <formula>NOT(ISERROR(SEARCH("R19",C54)))</formula>
    </cfRule>
    <cfRule type="containsText" dxfId="1425" priority="50" operator="containsText" text="R17">
      <formula>NOT(ISERROR(SEARCH("R17",C54)))</formula>
    </cfRule>
    <cfRule type="containsText" dxfId="1424" priority="51" operator="containsText" text="R15">
      <formula>NOT(ISERROR(SEARCH("R15",C54)))</formula>
    </cfRule>
    <cfRule type="containsText" dxfId="1423" priority="52" operator="containsText" text="R13">
      <formula>NOT(ISERROR(SEARCH("R13",C54)))</formula>
    </cfRule>
    <cfRule type="containsText" dxfId="1422" priority="53" operator="containsText" text="R14">
      <formula>NOT(ISERROR(SEARCH("R14",C54)))</formula>
    </cfRule>
    <cfRule type="containsText" dxfId="1421" priority="54" operator="containsText" text="R12">
      <formula>NOT(ISERROR(SEARCH("R12",C54)))</formula>
    </cfRule>
    <cfRule type="containsText" dxfId="1420" priority="55" operator="containsText" text="R11">
      <formula>NOT(ISERROR(SEARCH("R11",C54)))</formula>
    </cfRule>
    <cfRule type="containsText" dxfId="1419" priority="56" operator="containsText" text="R10">
      <formula>NOT(ISERROR(SEARCH("R10",C54)))</formula>
    </cfRule>
    <cfRule type="containsText" dxfId="1418" priority="57" operator="containsText" text="R7">
      <formula>NOT(ISERROR(SEARCH("R7",C54)))</formula>
    </cfRule>
    <cfRule type="containsText" dxfId="1417" priority="58" operator="containsText" text="R5">
      <formula>NOT(ISERROR(SEARCH("R5",C54)))</formula>
    </cfRule>
  </conditionalFormatting>
  <conditionalFormatting sqref="C81:X81">
    <cfRule type="containsText" dxfId="1416" priority="1" operator="containsText" text="R37">
      <formula>NOT(ISERROR(SEARCH("R37",C81)))</formula>
    </cfRule>
    <cfRule type="containsText" dxfId="1415" priority="2" operator="containsText" text="R36">
      <formula>NOT(ISERROR(SEARCH("R36",C81)))</formula>
    </cfRule>
    <cfRule type="containsText" priority="3" operator="containsText" text="R36">
      <formula>NOT(ISERROR(SEARCH("R36",C81)))</formula>
    </cfRule>
    <cfRule type="containsText" dxfId="1414" priority="4" operator="containsText" text="R34">
      <formula>NOT(ISERROR(SEARCH("R34",C81)))</formula>
    </cfRule>
    <cfRule type="containsText" dxfId="1413" priority="10" operator="containsText" text="R25">
      <formula>NOT(ISERROR(SEARCH("R25",C81)))</formula>
    </cfRule>
    <cfRule type="containsText" dxfId="1412" priority="9" operator="containsText" text="R26">
      <formula>NOT(ISERROR(SEARCH("R26",C81)))</formula>
    </cfRule>
    <cfRule type="containsText" dxfId="1411" priority="8" operator="containsText" text="R29">
      <formula>NOT(ISERROR(SEARCH("R29",C81)))</formula>
    </cfRule>
    <cfRule type="containsText" dxfId="1410" priority="7" operator="containsText" text="R32">
      <formula>NOT(ISERROR(SEARCH("R32",C81)))</formula>
    </cfRule>
    <cfRule type="containsText" dxfId="1409" priority="6" operator="containsText" text="R30">
      <formula>NOT(ISERROR(SEARCH("R30",C81)))</formula>
    </cfRule>
    <cfRule type="containsText" dxfId="1408" priority="5" operator="containsText" text="R33">
      <formula>NOT(ISERROR(SEARCH("R33",C81)))</formula>
    </cfRule>
    <cfRule type="containsText" dxfId="1407" priority="27" operator="containsText" text="R3">
      <formula>NOT(ISERROR(SEARCH("R3",C81)))</formula>
    </cfRule>
    <cfRule type="containsText" dxfId="1406" priority="26" operator="containsText" text="R4">
      <formula>NOT(ISERROR(SEARCH("R4",C81)))</formula>
    </cfRule>
    <cfRule type="containsText" dxfId="1405" priority="25" operator="containsText" text="R5">
      <formula>NOT(ISERROR(SEARCH("R5",C81)))</formula>
    </cfRule>
    <cfRule type="containsText" dxfId="1404" priority="24" operator="containsText" text="R7">
      <formula>NOT(ISERROR(SEARCH("R7",C81)))</formula>
    </cfRule>
    <cfRule type="containsText" dxfId="1403" priority="23" operator="containsText" text="R10">
      <formula>NOT(ISERROR(SEARCH("R10",C81)))</formula>
    </cfRule>
    <cfRule type="containsText" dxfId="1402" priority="22" operator="containsText" text="R11">
      <formula>NOT(ISERROR(SEARCH("R11",C81)))</formula>
    </cfRule>
    <cfRule type="containsText" dxfId="1401" priority="21" operator="containsText" text="R12">
      <formula>NOT(ISERROR(SEARCH("R12",C81)))</formula>
    </cfRule>
    <cfRule type="containsText" dxfId="1400" priority="20" operator="containsText" text="R14">
      <formula>NOT(ISERROR(SEARCH("R14",C81)))</formula>
    </cfRule>
    <cfRule type="containsText" dxfId="1399" priority="19" operator="containsText" text="R13">
      <formula>NOT(ISERROR(SEARCH("R13",C81)))</formula>
    </cfRule>
    <cfRule type="containsText" dxfId="1398" priority="18" operator="containsText" text="R15">
      <formula>NOT(ISERROR(SEARCH("R15",C81)))</formula>
    </cfRule>
    <cfRule type="containsText" dxfId="1397" priority="17" operator="containsText" text="R17">
      <formula>NOT(ISERROR(SEARCH("R17",C81)))</formula>
    </cfRule>
    <cfRule type="containsText" dxfId="1396" priority="16" operator="containsText" text="R19">
      <formula>NOT(ISERROR(SEARCH("R19",C81)))</formula>
    </cfRule>
    <cfRule type="containsText" dxfId="1395" priority="15" operator="containsText" text="R20">
      <formula>NOT(ISERROR(SEARCH("R20",C81)))</formula>
    </cfRule>
    <cfRule type="containsText" dxfId="1394" priority="14" operator="containsText" text="R21">
      <formula>NOT(ISERROR(SEARCH("R21",C81)))</formula>
    </cfRule>
    <cfRule type="containsText" dxfId="1393" priority="13" operator="containsText" text="R23">
      <formula>NOT(ISERROR(SEARCH("R23",C81)))</formula>
    </cfRule>
    <cfRule type="containsText" dxfId="1392" priority="12" operator="containsText" text="R24">
      <formula>NOT(ISERROR(SEARCH("R24",C81)))</formula>
    </cfRule>
    <cfRule type="containsText" dxfId="1391" priority="11" operator="containsText" text="R13">
      <formula>NOT(ISERROR(SEARCH("R13",C81)))</formula>
    </cfRule>
  </conditionalFormatting>
  <conditionalFormatting sqref="G81">
    <cfRule type="cellIs" dxfId="1390" priority="33" stopIfTrue="1" operator="equal">
      <formula>0</formula>
    </cfRule>
    <cfRule type="cellIs" dxfId="1389" priority="32" stopIfTrue="1" operator="notEqual">
      <formula>0</formula>
    </cfRule>
    <cfRule type="cellIs" dxfId="1388" priority="29" stopIfTrue="1" operator="equal">
      <formula>0</formula>
    </cfRule>
    <cfRule type="cellIs" dxfId="1387" priority="28" stopIfTrue="1" operator="notEqual">
      <formula>0</formula>
    </cfRule>
  </conditionalFormatting>
  <conditionalFormatting sqref="G33:S33">
    <cfRule type="cellIs" dxfId="1386" priority="90" stopIfTrue="1" operator="notEqual">
      <formula>0</formula>
    </cfRule>
    <cfRule type="cellIs" dxfId="1385" priority="91" stopIfTrue="1" operator="equal">
      <formula>0</formula>
    </cfRule>
  </conditionalFormatting>
  <conditionalFormatting sqref="I81 K81 M81 O81 U81 W81">
    <cfRule type="cellIs" dxfId="1384" priority="31" stopIfTrue="1" operator="equal">
      <formula>0</formula>
    </cfRule>
    <cfRule type="cellIs" dxfId="1383" priority="30" stopIfTrue="1" operator="not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BN181"/>
  <sheetViews>
    <sheetView topLeftCell="A3" zoomScale="30" zoomScaleNormal="30" workbookViewId="0">
      <selection activeCell="AK20" sqref="AK20"/>
    </sheetView>
  </sheetViews>
  <sheetFormatPr baseColWidth="10" defaultRowHeight="14.4" x14ac:dyDescent="0.3"/>
  <cols>
    <col min="1" max="1" width="44.33203125" bestFit="1" customWidth="1"/>
    <col min="2" max="2" width="149.88671875" bestFit="1" customWidth="1"/>
    <col min="37" max="38" width="14.88671875" bestFit="1" customWidth="1"/>
  </cols>
  <sheetData>
    <row r="1" spans="1:45" ht="34.950000000000003" customHeight="1" x14ac:dyDescent="0.3">
      <c r="A1" s="1075"/>
      <c r="B1" s="1049" t="s">
        <v>0</v>
      </c>
      <c r="C1" s="1077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984"/>
      <c r="AB1" s="984"/>
      <c r="AC1" s="984"/>
      <c r="AD1" s="984"/>
      <c r="AE1" s="984"/>
      <c r="AF1" s="984"/>
      <c r="AG1" s="984"/>
      <c r="AH1" s="984"/>
      <c r="AI1" s="984"/>
      <c r="AJ1" s="984"/>
      <c r="AK1" s="985"/>
      <c r="AL1" s="394"/>
      <c r="AM1" s="394"/>
      <c r="AN1" s="394"/>
      <c r="AO1" s="395"/>
      <c r="AP1" s="15"/>
      <c r="AQ1" s="15"/>
    </row>
    <row r="2" spans="1:45" ht="34.950000000000003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8"/>
      <c r="AC2" s="978"/>
      <c r="AD2" s="978"/>
      <c r="AE2" s="978"/>
      <c r="AF2" s="978"/>
      <c r="AG2" s="978"/>
      <c r="AH2" s="978"/>
      <c r="AI2" s="978"/>
      <c r="AJ2" s="978"/>
      <c r="AK2" s="979"/>
      <c r="AL2" s="395"/>
      <c r="AM2" s="395"/>
      <c r="AN2" s="395"/>
      <c r="AO2" s="395"/>
      <c r="AP2" s="15"/>
      <c r="AQ2" s="15"/>
    </row>
    <row r="3" spans="1:45" ht="62.4" customHeight="1" thickBot="1" x14ac:dyDescent="0.35">
      <c r="A3" s="997"/>
      <c r="B3" s="997"/>
      <c r="C3" s="987"/>
      <c r="D3" s="975"/>
      <c r="E3" s="975"/>
      <c r="F3" s="975"/>
      <c r="G3" s="975"/>
      <c r="H3" s="975"/>
      <c r="I3" s="975"/>
      <c r="J3" s="975"/>
      <c r="K3" s="975"/>
      <c r="L3" s="975"/>
      <c r="M3" s="975"/>
      <c r="N3" s="975"/>
      <c r="O3" s="975"/>
      <c r="P3" s="975"/>
      <c r="Q3" s="975"/>
      <c r="R3" s="975"/>
      <c r="S3" s="975"/>
      <c r="T3" s="975"/>
      <c r="U3" s="975"/>
      <c r="V3" s="975"/>
      <c r="W3" s="975"/>
      <c r="X3" s="975"/>
      <c r="Y3" s="975"/>
      <c r="Z3" s="975"/>
      <c r="AA3" s="975"/>
      <c r="AB3" s="975"/>
      <c r="AC3" s="975"/>
      <c r="AD3" s="975"/>
      <c r="AE3" s="975"/>
      <c r="AF3" s="975"/>
      <c r="AG3" s="975"/>
      <c r="AH3" s="975"/>
      <c r="AI3" s="975"/>
      <c r="AJ3" s="975"/>
      <c r="AK3" s="976"/>
      <c r="AL3" s="395"/>
      <c r="AM3" s="395"/>
      <c r="AN3" s="395"/>
      <c r="AO3" s="395"/>
      <c r="AP3" s="15"/>
      <c r="AQ3" s="15"/>
    </row>
    <row r="4" spans="1:45" s="357" customFormat="1" ht="34.200000000000003" customHeight="1" x14ac:dyDescent="0.65">
      <c r="A4" s="337" t="s">
        <v>2</v>
      </c>
      <c r="B4" s="338" t="s">
        <v>3</v>
      </c>
      <c r="C4" s="1056" t="s">
        <v>4</v>
      </c>
      <c r="D4" s="984"/>
      <c r="E4" s="984"/>
      <c r="F4" s="985"/>
      <c r="G4" s="1065">
        <v>46037</v>
      </c>
      <c r="H4" s="984"/>
      <c r="I4" s="984"/>
      <c r="J4" s="783" t="s">
        <v>26</v>
      </c>
      <c r="K4" s="1138">
        <v>45849</v>
      </c>
      <c r="L4" s="984"/>
      <c r="M4" s="985"/>
      <c r="N4" s="809" t="s">
        <v>47</v>
      </c>
      <c r="O4" s="1124">
        <v>45947</v>
      </c>
      <c r="P4" s="984"/>
      <c r="Q4" s="985"/>
      <c r="R4" s="792" t="s">
        <v>38</v>
      </c>
      <c r="S4" s="1114">
        <v>46010</v>
      </c>
      <c r="T4" s="984"/>
      <c r="U4" s="984"/>
      <c r="V4" s="353"/>
      <c r="W4" s="1139"/>
      <c r="X4" s="984"/>
      <c r="Y4" s="984"/>
      <c r="Z4" s="352"/>
      <c r="AA4" s="1116"/>
      <c r="AB4" s="984"/>
      <c r="AC4" s="985"/>
      <c r="AD4" s="371"/>
      <c r="AE4" s="1145"/>
      <c r="AF4" s="984"/>
      <c r="AG4" s="984"/>
      <c r="AH4" s="352"/>
      <c r="AI4" s="1116"/>
      <c r="AJ4" s="984"/>
      <c r="AK4" s="985"/>
      <c r="AL4" s="373"/>
      <c r="AM4" s="1126"/>
      <c r="AN4" s="1042"/>
      <c r="AO4" s="1042"/>
      <c r="AP4" s="355"/>
      <c r="AQ4" s="355"/>
      <c r="AR4" s="356"/>
      <c r="AS4" s="356"/>
    </row>
    <row r="5" spans="1:45" s="357" customFormat="1" ht="34.200000000000003" customHeight="1" thickBot="1" x14ac:dyDescent="0.7">
      <c r="A5" s="339" t="s">
        <v>14</v>
      </c>
      <c r="B5" s="340" t="s">
        <v>15</v>
      </c>
      <c r="C5" s="986"/>
      <c r="D5" s="1042"/>
      <c r="E5" s="1042"/>
      <c r="F5" s="979"/>
      <c r="G5" s="986"/>
      <c r="H5" s="1042"/>
      <c r="I5" s="1042"/>
      <c r="J5" s="336" t="s">
        <v>36</v>
      </c>
      <c r="K5" s="1129">
        <v>45855</v>
      </c>
      <c r="L5" s="1042"/>
      <c r="M5" s="979"/>
      <c r="N5" s="662" t="s">
        <v>56</v>
      </c>
      <c r="O5" s="1131">
        <v>45954</v>
      </c>
      <c r="P5" s="1042"/>
      <c r="Q5" s="1042"/>
      <c r="R5" s="795" t="s">
        <v>48</v>
      </c>
      <c r="S5" s="1069">
        <v>46015</v>
      </c>
      <c r="T5" s="1042"/>
      <c r="U5" s="1042"/>
      <c r="V5" s="360"/>
      <c r="W5" s="1125"/>
      <c r="X5" s="1042"/>
      <c r="Y5" s="1042"/>
      <c r="Z5" s="359"/>
      <c r="AA5" s="1101"/>
      <c r="AB5" s="1042"/>
      <c r="AC5" s="979"/>
      <c r="AD5" s="373"/>
      <c r="AE5" s="1126"/>
      <c r="AF5" s="1042"/>
      <c r="AG5" s="1042"/>
      <c r="AH5" s="359"/>
      <c r="AI5" s="1101"/>
      <c r="AJ5" s="1042"/>
      <c r="AK5" s="979"/>
      <c r="AL5" s="373"/>
      <c r="AM5" s="1126"/>
      <c r="AN5" s="1042"/>
      <c r="AO5" s="1042"/>
      <c r="AP5" s="362"/>
      <c r="AQ5" s="362"/>
      <c r="AR5" s="356"/>
      <c r="AS5" s="356"/>
    </row>
    <row r="6" spans="1:45" s="357" customFormat="1" ht="34.200000000000003" customHeight="1" x14ac:dyDescent="0.65">
      <c r="A6" s="339" t="s">
        <v>24</v>
      </c>
      <c r="B6" s="340" t="s">
        <v>25</v>
      </c>
      <c r="C6" s="986"/>
      <c r="D6" s="1042"/>
      <c r="E6" s="1042"/>
      <c r="F6" s="979"/>
      <c r="G6" s="986"/>
      <c r="H6" s="1042"/>
      <c r="I6" s="1042"/>
      <c r="J6" s="375" t="s">
        <v>46</v>
      </c>
      <c r="K6" s="1148">
        <v>45863</v>
      </c>
      <c r="L6" s="1042"/>
      <c r="M6" s="979"/>
      <c r="N6" s="663" t="s">
        <v>67</v>
      </c>
      <c r="O6" s="1146">
        <v>45960</v>
      </c>
      <c r="P6" s="984"/>
      <c r="Q6" s="985"/>
      <c r="R6" s="824" t="s">
        <v>57</v>
      </c>
      <c r="S6" s="1093">
        <v>46022</v>
      </c>
      <c r="T6" s="1042"/>
      <c r="U6" s="1042"/>
      <c r="V6" s="364"/>
      <c r="W6" s="1125"/>
      <c r="X6" s="1042"/>
      <c r="Y6" s="1042"/>
      <c r="Z6" s="359"/>
      <c r="AA6" s="1101"/>
      <c r="AB6" s="1042"/>
      <c r="AC6" s="979"/>
      <c r="AD6" s="373"/>
      <c r="AE6" s="1126"/>
      <c r="AF6" s="1042"/>
      <c r="AG6" s="1042"/>
      <c r="AH6" s="359"/>
      <c r="AI6" s="1101"/>
      <c r="AJ6" s="1042"/>
      <c r="AK6" s="979"/>
      <c r="AL6" s="373"/>
      <c r="AM6" s="1126"/>
      <c r="AN6" s="1042"/>
      <c r="AO6" s="1042"/>
      <c r="AP6" s="362"/>
      <c r="AQ6" s="362"/>
      <c r="AR6" s="356"/>
      <c r="AS6" s="356"/>
    </row>
    <row r="7" spans="1:45" s="357" customFormat="1" ht="34.200000000000003" customHeight="1" x14ac:dyDescent="0.65">
      <c r="A7" s="339" t="s">
        <v>34</v>
      </c>
      <c r="B7" s="340" t="s">
        <v>35</v>
      </c>
      <c r="C7" s="986"/>
      <c r="D7" s="1042"/>
      <c r="E7" s="1042"/>
      <c r="F7" s="979"/>
      <c r="G7" s="986"/>
      <c r="H7" s="1042"/>
      <c r="I7" s="1042"/>
      <c r="J7" s="376" t="s">
        <v>55</v>
      </c>
      <c r="K7" s="1137">
        <v>45870</v>
      </c>
      <c r="L7" s="1042"/>
      <c r="M7" s="979"/>
      <c r="N7" s="720" t="s">
        <v>76</v>
      </c>
      <c r="O7" s="1115">
        <v>45968</v>
      </c>
      <c r="P7" s="1042"/>
      <c r="Q7" s="979"/>
      <c r="R7" s="825" t="s">
        <v>68</v>
      </c>
      <c r="S7" s="1079">
        <v>46031</v>
      </c>
      <c r="T7" s="1042"/>
      <c r="U7" s="1042"/>
      <c r="V7" s="364"/>
      <c r="W7" s="1125"/>
      <c r="X7" s="1042"/>
      <c r="Y7" s="1042"/>
      <c r="Z7" s="359"/>
      <c r="AA7" s="1101"/>
      <c r="AB7" s="1042"/>
      <c r="AC7" s="979"/>
      <c r="AD7" s="373"/>
      <c r="AE7" s="1126"/>
      <c r="AF7" s="1042"/>
      <c r="AG7" s="1042"/>
      <c r="AH7" s="359"/>
      <c r="AI7" s="1101"/>
      <c r="AJ7" s="1042"/>
      <c r="AK7" s="979"/>
      <c r="AL7" s="373"/>
      <c r="AM7" s="1126"/>
      <c r="AN7" s="1042"/>
      <c r="AO7" s="1042"/>
      <c r="AP7" s="362"/>
      <c r="AQ7" s="362"/>
    </row>
    <row r="8" spans="1:45" s="357" customFormat="1" ht="34.200000000000003" customHeight="1" x14ac:dyDescent="0.65">
      <c r="A8" s="339" t="s">
        <v>44</v>
      </c>
      <c r="B8" s="340" t="s">
        <v>54</v>
      </c>
      <c r="C8" s="986"/>
      <c r="D8" s="1042"/>
      <c r="E8" s="1042"/>
      <c r="F8" s="979"/>
      <c r="G8" s="986"/>
      <c r="H8" s="1042"/>
      <c r="I8" s="1042"/>
      <c r="J8" s="331" t="s">
        <v>66</v>
      </c>
      <c r="K8" s="1135">
        <v>45883</v>
      </c>
      <c r="L8" s="1042"/>
      <c r="M8" s="979"/>
      <c r="N8" s="721" t="s">
        <v>84</v>
      </c>
      <c r="O8" s="1106">
        <v>45975</v>
      </c>
      <c r="P8" s="1042"/>
      <c r="Q8" s="979"/>
      <c r="R8" s="828" t="s">
        <v>77</v>
      </c>
      <c r="S8" s="1140">
        <v>46038</v>
      </c>
      <c r="T8" s="1042"/>
      <c r="U8" s="979"/>
      <c r="V8" s="364"/>
      <c r="W8" s="1125"/>
      <c r="X8" s="1042"/>
      <c r="Y8" s="1042"/>
      <c r="Z8" s="359"/>
      <c r="AA8" s="1101"/>
      <c r="AB8" s="1042"/>
      <c r="AC8" s="979"/>
      <c r="AD8" s="373"/>
      <c r="AE8" s="1126"/>
      <c r="AF8" s="1042"/>
      <c r="AG8" s="1042"/>
      <c r="AH8" s="359"/>
      <c r="AI8" s="1101"/>
      <c r="AJ8" s="1042"/>
      <c r="AK8" s="979"/>
      <c r="AL8" s="373"/>
      <c r="AM8" s="1126"/>
      <c r="AN8" s="1042"/>
      <c r="AO8" s="1042"/>
      <c r="AP8" s="362"/>
      <c r="AQ8" s="362"/>
      <c r="AR8" s="356"/>
      <c r="AS8" s="356"/>
    </row>
    <row r="9" spans="1:45" s="357" customFormat="1" ht="34.200000000000003" customHeight="1" thickBot="1" x14ac:dyDescent="0.7">
      <c r="A9" s="339" t="s">
        <v>62</v>
      </c>
      <c r="B9" s="340" t="s">
        <v>63</v>
      </c>
      <c r="C9" s="987"/>
      <c r="D9" s="975"/>
      <c r="E9" s="975"/>
      <c r="F9" s="976"/>
      <c r="G9" s="987"/>
      <c r="H9" s="975"/>
      <c r="I9" s="975"/>
      <c r="J9" s="485" t="s">
        <v>75</v>
      </c>
      <c r="K9" s="1128">
        <v>45891</v>
      </c>
      <c r="L9" s="1042"/>
      <c r="M9" s="979"/>
      <c r="N9" s="740" t="s">
        <v>92</v>
      </c>
      <c r="O9" s="1122">
        <v>45982</v>
      </c>
      <c r="P9" s="1042"/>
      <c r="Q9" s="979"/>
      <c r="R9" s="831" t="s">
        <v>85</v>
      </c>
      <c r="S9" s="1031">
        <v>46045</v>
      </c>
      <c r="T9" s="1042"/>
      <c r="U9" s="979"/>
      <c r="V9" s="364"/>
      <c r="W9" s="1125"/>
      <c r="X9" s="1042"/>
      <c r="Y9" s="1042"/>
      <c r="Z9" s="359"/>
      <c r="AA9" s="1101"/>
      <c r="AB9" s="1042"/>
      <c r="AC9" s="979"/>
      <c r="AD9" s="373"/>
      <c r="AE9" s="1126"/>
      <c r="AF9" s="1042"/>
      <c r="AG9" s="1042"/>
      <c r="AH9" s="359"/>
      <c r="AI9" s="1101"/>
      <c r="AJ9" s="1042"/>
      <c r="AK9" s="979"/>
      <c r="AL9" s="373"/>
      <c r="AM9" s="1126"/>
      <c r="AN9" s="1042"/>
      <c r="AO9" s="1042"/>
      <c r="AP9" s="362"/>
      <c r="AQ9" s="362"/>
      <c r="AR9" s="356"/>
      <c r="AS9" s="356"/>
    </row>
    <row r="10" spans="1:45" s="357" customFormat="1" ht="34.200000000000003" customHeight="1" x14ac:dyDescent="0.65">
      <c r="A10" s="339" t="s">
        <v>73</v>
      </c>
      <c r="B10" s="340" t="s">
        <v>74</v>
      </c>
      <c r="C10" s="1056" t="s">
        <v>64</v>
      </c>
      <c r="D10" s="984"/>
      <c r="E10" s="984"/>
      <c r="F10" s="985"/>
      <c r="G10" s="1149" t="s">
        <v>65</v>
      </c>
      <c r="H10" s="984"/>
      <c r="I10" s="984"/>
      <c r="J10" s="799" t="s">
        <v>7</v>
      </c>
      <c r="K10" s="1127">
        <v>45916</v>
      </c>
      <c r="L10" s="1042"/>
      <c r="M10" s="979"/>
      <c r="N10" s="775" t="s">
        <v>8</v>
      </c>
      <c r="O10" s="1117">
        <v>45989</v>
      </c>
      <c r="P10" s="1042"/>
      <c r="Q10" s="979"/>
      <c r="R10" s="841" t="s">
        <v>93</v>
      </c>
      <c r="S10" s="1061">
        <v>46052</v>
      </c>
      <c r="T10" s="1042"/>
      <c r="U10" s="979"/>
      <c r="V10" s="364"/>
      <c r="W10" s="1125"/>
      <c r="X10" s="1042"/>
      <c r="Y10" s="1042"/>
      <c r="Z10" s="359"/>
      <c r="AA10" s="1101"/>
      <c r="AB10" s="1042"/>
      <c r="AC10" s="979"/>
      <c r="AD10" s="373"/>
      <c r="AE10" s="1126"/>
      <c r="AF10" s="1042"/>
      <c r="AG10" s="1042"/>
      <c r="AH10" s="359"/>
      <c r="AI10" s="1101"/>
      <c r="AJ10" s="1042"/>
      <c r="AK10" s="979"/>
      <c r="AL10" s="373"/>
      <c r="AM10" s="1126"/>
      <c r="AN10" s="1042"/>
      <c r="AO10" s="1042"/>
      <c r="AP10" s="362"/>
      <c r="AQ10" s="362"/>
      <c r="AR10" s="356"/>
      <c r="AS10" s="356"/>
    </row>
    <row r="11" spans="1:45" s="357" customFormat="1" ht="34.200000000000003" customHeight="1" x14ac:dyDescent="0.65">
      <c r="A11" s="339" t="s">
        <v>82</v>
      </c>
      <c r="B11" s="340" t="s">
        <v>400</v>
      </c>
      <c r="C11" s="986"/>
      <c r="D11" s="1042"/>
      <c r="E11" s="1042"/>
      <c r="F11" s="979"/>
      <c r="G11" s="986"/>
      <c r="H11" s="1042"/>
      <c r="I11" s="1042"/>
      <c r="J11" s="794" t="s">
        <v>17</v>
      </c>
      <c r="K11" s="1130">
        <v>45926</v>
      </c>
      <c r="L11" s="1042"/>
      <c r="M11" s="979"/>
      <c r="N11" s="791" t="s">
        <v>18</v>
      </c>
      <c r="O11" s="1109">
        <v>45996</v>
      </c>
      <c r="P11" s="1042"/>
      <c r="Q11" s="979"/>
      <c r="R11" s="778"/>
      <c r="S11" s="1101"/>
      <c r="T11" s="1042"/>
      <c r="U11" s="979"/>
      <c r="V11" s="364"/>
      <c r="W11" s="1125"/>
      <c r="X11" s="1042"/>
      <c r="Y11" s="1042"/>
      <c r="Z11" s="359"/>
      <c r="AA11" s="1101"/>
      <c r="AB11" s="1042"/>
      <c r="AC11" s="979"/>
      <c r="AD11" s="373"/>
      <c r="AE11" s="1126"/>
      <c r="AF11" s="1042"/>
      <c r="AG11" s="1042"/>
      <c r="AH11" s="359"/>
      <c r="AI11" s="1101"/>
      <c r="AJ11" s="1042"/>
      <c r="AK11" s="979"/>
      <c r="AL11" s="373"/>
      <c r="AM11" s="1126"/>
      <c r="AN11" s="1042"/>
      <c r="AO11" s="1042"/>
      <c r="AP11" s="362"/>
      <c r="AQ11" s="362"/>
      <c r="AR11" s="356"/>
      <c r="AS11" s="356"/>
    </row>
    <row r="12" spans="1:45" s="357" customFormat="1" ht="34.200000000000003" customHeight="1" thickBot="1" x14ac:dyDescent="0.7">
      <c r="A12" s="377" t="s">
        <v>90</v>
      </c>
      <c r="B12" s="378">
        <v>182948</v>
      </c>
      <c r="C12" s="986"/>
      <c r="D12" s="1042"/>
      <c r="E12" s="1042"/>
      <c r="F12" s="979"/>
      <c r="G12" s="986"/>
      <c r="H12" s="1042"/>
      <c r="I12" s="1042"/>
      <c r="J12" s="797" t="s">
        <v>27</v>
      </c>
      <c r="K12" s="1133">
        <v>45933</v>
      </c>
      <c r="L12" s="1042"/>
      <c r="M12" s="979"/>
      <c r="N12" s="789" t="s">
        <v>28</v>
      </c>
      <c r="O12" s="1105">
        <v>46003</v>
      </c>
      <c r="P12" s="975"/>
      <c r="Q12" s="976"/>
      <c r="R12" s="778"/>
      <c r="S12" s="1101"/>
      <c r="T12" s="1042"/>
      <c r="U12" s="979"/>
      <c r="V12" s="364"/>
      <c r="W12" s="1134"/>
      <c r="X12" s="1042"/>
      <c r="Y12" s="1042"/>
      <c r="Z12" s="359"/>
      <c r="AA12" s="1101"/>
      <c r="AB12" s="1042"/>
      <c r="AC12" s="979"/>
      <c r="AD12" s="373"/>
      <c r="AE12" s="1126"/>
      <c r="AF12" s="1042"/>
      <c r="AG12" s="1042"/>
      <c r="AH12" s="359"/>
      <c r="AI12" s="1101"/>
      <c r="AJ12" s="1042"/>
      <c r="AK12" s="979"/>
      <c r="AL12" s="373"/>
      <c r="AM12" s="1126"/>
      <c r="AN12" s="1042"/>
      <c r="AO12" s="1042"/>
      <c r="AP12" s="362"/>
      <c r="AQ12" s="362"/>
      <c r="AR12" s="356"/>
      <c r="AS12" s="356"/>
    </row>
    <row r="13" spans="1:45" s="357" customFormat="1" ht="34.200000000000003" customHeight="1" thickBot="1" x14ac:dyDescent="0.7">
      <c r="A13" s="379"/>
      <c r="C13" s="987"/>
      <c r="D13" s="975"/>
      <c r="E13" s="975"/>
      <c r="F13" s="976"/>
      <c r="G13" s="987"/>
      <c r="H13" s="975"/>
      <c r="I13" s="975"/>
      <c r="J13" s="810" t="s">
        <v>37</v>
      </c>
      <c r="K13" s="1141">
        <v>45940</v>
      </c>
      <c r="L13" s="975"/>
      <c r="M13" s="976"/>
      <c r="N13" s="739"/>
      <c r="O13" s="1102"/>
      <c r="P13" s="975"/>
      <c r="Q13" s="976"/>
      <c r="R13" s="739"/>
      <c r="S13" s="1118"/>
      <c r="T13" s="975"/>
      <c r="U13" s="976"/>
      <c r="V13" s="368"/>
      <c r="W13" s="1144"/>
      <c r="X13" s="975"/>
      <c r="Y13" s="975"/>
      <c r="Z13" s="366"/>
      <c r="AA13" s="1118"/>
      <c r="AB13" s="975"/>
      <c r="AC13" s="976"/>
      <c r="AD13" s="380"/>
      <c r="AE13" s="1136"/>
      <c r="AF13" s="975"/>
      <c r="AG13" s="975"/>
      <c r="AH13" s="366"/>
      <c r="AI13" s="1118"/>
      <c r="AJ13" s="975"/>
      <c r="AK13" s="976"/>
      <c r="AL13" s="373"/>
      <c r="AM13" s="1126"/>
      <c r="AN13" s="1042"/>
      <c r="AO13" s="1042"/>
      <c r="AP13" s="362"/>
      <c r="AQ13" s="362"/>
      <c r="AR13" s="356"/>
      <c r="AS13" s="356"/>
    </row>
    <row r="14" spans="1:45" ht="34.200000000000003" customHeight="1" thickBot="1" x14ac:dyDescent="0.45">
      <c r="A14" s="1132"/>
      <c r="B14" s="1000"/>
      <c r="C14" s="1000"/>
      <c r="D14" s="1000"/>
      <c r="E14" s="1000"/>
      <c r="F14" s="1000"/>
      <c r="G14" s="1000"/>
      <c r="H14" s="1000"/>
      <c r="I14" s="1000"/>
      <c r="J14" s="1000"/>
      <c r="K14" s="1000"/>
      <c r="L14" s="1000"/>
      <c r="M14" s="1000"/>
      <c r="N14" s="1000"/>
      <c r="O14" s="1000"/>
      <c r="P14" s="1000"/>
      <c r="Q14" s="1000"/>
      <c r="R14" s="1000"/>
      <c r="S14" s="1000"/>
      <c r="T14" s="1000"/>
      <c r="U14" s="1000"/>
      <c r="V14" s="1000"/>
      <c r="W14" s="1000"/>
      <c r="X14" s="1000"/>
      <c r="Y14" s="1000"/>
      <c r="Z14" s="1000"/>
      <c r="AA14" s="1000"/>
      <c r="AB14" s="1000"/>
      <c r="AC14" s="1000"/>
      <c r="AD14" s="1000"/>
      <c r="AE14" s="1000"/>
      <c r="AF14" s="1000"/>
      <c r="AG14" s="1000"/>
      <c r="AH14" s="1000"/>
      <c r="AI14" s="1000"/>
      <c r="AJ14" s="1000"/>
      <c r="AK14" s="1001"/>
      <c r="AL14" s="114"/>
      <c r="AM14" s="114"/>
      <c r="AN14" s="114"/>
    </row>
    <row r="15" spans="1:45" s="357" customFormat="1" ht="34.200000000000003" customHeight="1" thickBot="1" x14ac:dyDescent="0.7">
      <c r="A15" s="1057" t="s">
        <v>98</v>
      </c>
      <c r="B15" s="1072" t="s">
        <v>99</v>
      </c>
      <c r="C15" s="381" t="s">
        <v>100</v>
      </c>
      <c r="D15" s="382"/>
      <c r="E15" s="382"/>
      <c r="F15" s="382"/>
      <c r="G15" s="382"/>
      <c r="H15" s="382"/>
      <c r="I15" s="382"/>
      <c r="J15" s="382"/>
      <c r="K15" s="382"/>
      <c r="L15" s="382"/>
      <c r="M15" s="382"/>
      <c r="N15" s="382"/>
      <c r="O15" s="382"/>
      <c r="P15" s="382"/>
      <c r="Q15" s="382"/>
      <c r="R15" s="382"/>
      <c r="S15" s="382"/>
      <c r="T15" s="382"/>
      <c r="U15" s="382"/>
      <c r="V15" s="382"/>
      <c r="W15" s="382"/>
      <c r="X15" s="382"/>
      <c r="Y15" s="382"/>
      <c r="Z15" s="382"/>
      <c r="AA15" s="382"/>
      <c r="AB15" s="382"/>
      <c r="AC15" s="382"/>
      <c r="AD15" s="383"/>
      <c r="AE15" s="383"/>
      <c r="AF15" s="383"/>
      <c r="AG15" s="383"/>
      <c r="AH15" s="383"/>
      <c r="AI15" s="384"/>
      <c r="AJ15" s="385"/>
      <c r="AK15" s="386"/>
    </row>
    <row r="16" spans="1:45" s="357" customFormat="1" ht="34.200000000000003" customHeight="1" thickBot="1" x14ac:dyDescent="0.7">
      <c r="A16" s="986"/>
      <c r="B16" s="997"/>
      <c r="C16" s="260" t="s">
        <v>101</v>
      </c>
      <c r="D16" s="261"/>
      <c r="E16" s="262"/>
      <c r="F16" s="262"/>
      <c r="G16" s="263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1038" t="s">
        <v>102</v>
      </c>
      <c r="AE16" s="1000"/>
      <c r="AF16" s="1000"/>
      <c r="AG16" s="1000"/>
      <c r="AH16" s="1000"/>
      <c r="AI16" s="1001"/>
      <c r="AJ16" s="1091" t="s">
        <v>414</v>
      </c>
      <c r="AK16" s="1001"/>
    </row>
    <row r="17" spans="1:58" s="357" customFormat="1" ht="34.200000000000003" customHeight="1" thickBot="1" x14ac:dyDescent="0.7">
      <c r="A17" s="987"/>
      <c r="B17" s="1013"/>
      <c r="C17" s="1085">
        <v>1</v>
      </c>
      <c r="D17" s="994"/>
      <c r="E17" s="1046">
        <v>2</v>
      </c>
      <c r="F17" s="994"/>
      <c r="G17" s="1046">
        <v>3</v>
      </c>
      <c r="H17" s="994"/>
      <c r="I17" s="1046">
        <v>4</v>
      </c>
      <c r="J17" s="994"/>
      <c r="K17" s="1046">
        <v>5</v>
      </c>
      <c r="L17" s="994"/>
      <c r="M17" s="1046">
        <v>6</v>
      </c>
      <c r="N17" s="994"/>
      <c r="O17" s="1046">
        <v>7</v>
      </c>
      <c r="P17" s="994"/>
      <c r="Q17" s="1046">
        <v>8</v>
      </c>
      <c r="R17" s="994"/>
      <c r="S17" s="1046">
        <v>9</v>
      </c>
      <c r="T17" s="994"/>
      <c r="U17" s="1046">
        <v>10</v>
      </c>
      <c r="V17" s="994"/>
      <c r="W17" s="1046">
        <v>11</v>
      </c>
      <c r="X17" s="994"/>
      <c r="Y17" s="1046">
        <v>12</v>
      </c>
      <c r="Z17" s="994"/>
      <c r="AA17" s="1046">
        <v>13</v>
      </c>
      <c r="AB17" s="994"/>
      <c r="AC17" s="1046">
        <v>14</v>
      </c>
      <c r="AD17" s="994"/>
      <c r="AE17" s="1046">
        <v>15</v>
      </c>
      <c r="AF17" s="994"/>
      <c r="AG17" s="1046">
        <v>16</v>
      </c>
      <c r="AH17" s="994"/>
      <c r="AI17" s="1046">
        <v>17</v>
      </c>
      <c r="AJ17" s="994"/>
      <c r="AK17" s="266" t="s">
        <v>104</v>
      </c>
      <c r="AL17" s="267" t="s">
        <v>105</v>
      </c>
    </row>
    <row r="18" spans="1:58" ht="40.049999999999997" customHeight="1" thickBot="1" x14ac:dyDescent="0.35">
      <c r="A18" s="387" t="s">
        <v>106</v>
      </c>
      <c r="B18" s="388" t="s">
        <v>107</v>
      </c>
      <c r="C18" s="389" t="s">
        <v>108</v>
      </c>
      <c r="D18" s="390" t="s">
        <v>109</v>
      </c>
      <c r="E18" s="391" t="s">
        <v>108</v>
      </c>
      <c r="F18" s="390" t="s">
        <v>109</v>
      </c>
      <c r="G18" s="391" t="s">
        <v>108</v>
      </c>
      <c r="H18" s="390" t="s">
        <v>109</v>
      </c>
      <c r="I18" s="391" t="s">
        <v>108</v>
      </c>
      <c r="J18" s="390" t="s">
        <v>109</v>
      </c>
      <c r="K18" s="391" t="s">
        <v>108</v>
      </c>
      <c r="L18" s="390" t="s">
        <v>109</v>
      </c>
      <c r="M18" s="391" t="s">
        <v>108</v>
      </c>
      <c r="N18" s="390" t="s">
        <v>109</v>
      </c>
      <c r="O18" s="391" t="s">
        <v>108</v>
      </c>
      <c r="P18" s="390" t="s">
        <v>109</v>
      </c>
      <c r="Q18" s="391" t="s">
        <v>108</v>
      </c>
      <c r="R18" s="390" t="s">
        <v>109</v>
      </c>
      <c r="S18" s="391" t="s">
        <v>108</v>
      </c>
      <c r="T18" s="390" t="s">
        <v>109</v>
      </c>
      <c r="U18" s="391" t="s">
        <v>108</v>
      </c>
      <c r="V18" s="390" t="s">
        <v>109</v>
      </c>
      <c r="W18" s="391" t="s">
        <v>108</v>
      </c>
      <c r="X18" s="390" t="s">
        <v>109</v>
      </c>
      <c r="Y18" s="391" t="s">
        <v>108</v>
      </c>
      <c r="Z18" s="390" t="s">
        <v>109</v>
      </c>
      <c r="AA18" s="391" t="s">
        <v>108</v>
      </c>
      <c r="AB18" s="390" t="s">
        <v>109</v>
      </c>
      <c r="AC18" s="391" t="s">
        <v>108</v>
      </c>
      <c r="AD18" s="390" t="s">
        <v>109</v>
      </c>
      <c r="AE18" s="391" t="s">
        <v>108</v>
      </c>
      <c r="AF18" s="390" t="s">
        <v>109</v>
      </c>
      <c r="AG18" s="391" t="s">
        <v>108</v>
      </c>
      <c r="AH18" s="390" t="s">
        <v>109</v>
      </c>
      <c r="AI18" s="391" t="s">
        <v>108</v>
      </c>
      <c r="AJ18" s="390" t="s">
        <v>109</v>
      </c>
      <c r="AK18" s="390"/>
      <c r="AL18" s="392"/>
    </row>
    <row r="19" spans="1:58" ht="40.049999999999997" customHeight="1" x14ac:dyDescent="0.65">
      <c r="A19" s="274" t="s">
        <v>110</v>
      </c>
      <c r="B19" s="275" t="s">
        <v>111</v>
      </c>
      <c r="C19" s="276"/>
      <c r="D19" s="277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78"/>
      <c r="AC19" s="278"/>
      <c r="AD19" s="278"/>
      <c r="AE19" s="278"/>
      <c r="AF19" s="278"/>
      <c r="AG19" s="278"/>
      <c r="AH19" s="278"/>
      <c r="AI19" s="279"/>
      <c r="AJ19" s="279"/>
      <c r="AK19" s="278"/>
      <c r="AL19" s="280"/>
      <c r="AM19" s="357"/>
      <c r="AN19" s="357"/>
      <c r="AO19" s="357"/>
      <c r="AP19" s="357"/>
      <c r="AQ19" s="357"/>
      <c r="AR19" s="357"/>
      <c r="AS19" s="357"/>
      <c r="AT19" s="357"/>
      <c r="AU19" s="357"/>
      <c r="AV19" s="357"/>
      <c r="AW19" s="357"/>
      <c r="AX19" s="357"/>
      <c r="AY19" s="357"/>
      <c r="AZ19" s="357"/>
      <c r="BA19" s="357"/>
      <c r="BB19" s="357"/>
      <c r="BC19" s="357"/>
      <c r="BD19" s="357"/>
      <c r="BE19" s="357"/>
      <c r="BF19" s="357"/>
    </row>
    <row r="20" spans="1:58" ht="40.049999999999997" customHeight="1" x14ac:dyDescent="0.3">
      <c r="A20" s="281" t="s">
        <v>112</v>
      </c>
      <c r="B20" s="282" t="s">
        <v>113</v>
      </c>
      <c r="C20" s="283" t="s">
        <v>37</v>
      </c>
      <c r="D20" s="284"/>
      <c r="E20" s="283" t="s">
        <v>37</v>
      </c>
      <c r="F20" s="285"/>
      <c r="G20" s="283" t="s">
        <v>37</v>
      </c>
      <c r="H20" s="285"/>
      <c r="I20" s="283" t="s">
        <v>37</v>
      </c>
      <c r="J20" s="285"/>
      <c r="K20" s="283" t="s">
        <v>27</v>
      </c>
      <c r="L20" s="285"/>
      <c r="M20" s="283" t="s">
        <v>27</v>
      </c>
      <c r="N20" s="285"/>
      <c r="O20" s="283" t="s">
        <v>27</v>
      </c>
      <c r="P20" s="285"/>
      <c r="Q20" s="283" t="s">
        <v>27</v>
      </c>
      <c r="R20" s="285"/>
      <c r="S20" s="283" t="s">
        <v>26</v>
      </c>
      <c r="T20" s="285"/>
      <c r="U20" s="283" t="s">
        <v>26</v>
      </c>
      <c r="V20" s="285"/>
      <c r="W20" s="283" t="s">
        <v>26</v>
      </c>
      <c r="X20" s="285"/>
      <c r="Y20" s="283" t="s">
        <v>26</v>
      </c>
      <c r="Z20" s="285"/>
      <c r="AA20" s="283" t="s">
        <v>26</v>
      </c>
      <c r="AB20" s="285"/>
      <c r="AC20" s="283" t="s">
        <v>26</v>
      </c>
      <c r="AD20" s="285"/>
      <c r="AE20" s="283" t="s">
        <v>26</v>
      </c>
      <c r="AF20" s="285"/>
      <c r="AG20" s="283" t="s">
        <v>26</v>
      </c>
      <c r="AH20" s="285"/>
      <c r="AI20" s="283" t="s">
        <v>26</v>
      </c>
      <c r="AJ20" s="285"/>
      <c r="AK20" s="286">
        <f t="shared" ref="AK20:AK26" si="0">COUNTIF(C20:AJ20,"&gt;=R")</f>
        <v>17</v>
      </c>
      <c r="AL20" s="287">
        <f t="shared" ref="AL20:AL26" si="1">AK20</f>
        <v>17</v>
      </c>
    </row>
    <row r="21" spans="1:58" ht="40.049999999999997" customHeight="1" x14ac:dyDescent="0.3">
      <c r="A21" s="281" t="s">
        <v>114</v>
      </c>
      <c r="B21" s="282" t="s">
        <v>115</v>
      </c>
      <c r="C21" s="283" t="s">
        <v>47</v>
      </c>
      <c r="D21" s="284"/>
      <c r="E21" s="283" t="s">
        <v>47</v>
      </c>
      <c r="F21" s="285"/>
      <c r="G21" s="283" t="s">
        <v>37</v>
      </c>
      <c r="H21" s="285"/>
      <c r="I21" s="283" t="s">
        <v>37</v>
      </c>
      <c r="J21" s="285"/>
      <c r="K21" s="283" t="s">
        <v>37</v>
      </c>
      <c r="L21" s="285"/>
      <c r="M21" s="283" t="s">
        <v>37</v>
      </c>
      <c r="N21" s="285"/>
      <c r="O21" s="283" t="s">
        <v>37</v>
      </c>
      <c r="P21" s="285"/>
      <c r="Q21" s="283" t="s">
        <v>37</v>
      </c>
      <c r="R21" s="285"/>
      <c r="S21" s="283" t="s">
        <v>26</v>
      </c>
      <c r="T21" s="285"/>
      <c r="U21" s="283" t="s">
        <v>26</v>
      </c>
      <c r="V21" s="285"/>
      <c r="W21" s="283" t="s">
        <v>26</v>
      </c>
      <c r="X21" s="285"/>
      <c r="Y21" s="283" t="s">
        <v>26</v>
      </c>
      <c r="Z21" s="285"/>
      <c r="AA21" s="283" t="s">
        <v>26</v>
      </c>
      <c r="AB21" s="285"/>
      <c r="AC21" s="283" t="s">
        <v>26</v>
      </c>
      <c r="AD21" s="285"/>
      <c r="AE21" s="283" t="s">
        <v>26</v>
      </c>
      <c r="AF21" s="285"/>
      <c r="AG21" s="283" t="s">
        <v>26</v>
      </c>
      <c r="AH21" s="285"/>
      <c r="AI21" s="283" t="s">
        <v>26</v>
      </c>
      <c r="AJ21" s="285"/>
      <c r="AK21" s="286">
        <f t="shared" si="0"/>
        <v>17</v>
      </c>
      <c r="AL21" s="287">
        <f t="shared" si="1"/>
        <v>17</v>
      </c>
    </row>
    <row r="22" spans="1:58" ht="40.049999999999997" customHeight="1" x14ac:dyDescent="0.3">
      <c r="A22" s="281" t="s">
        <v>116</v>
      </c>
      <c r="B22" s="282" t="s">
        <v>117</v>
      </c>
      <c r="C22" s="283" t="s">
        <v>47</v>
      </c>
      <c r="D22" s="284"/>
      <c r="E22" s="283" t="s">
        <v>47</v>
      </c>
      <c r="F22" s="285"/>
      <c r="G22" s="283" t="s">
        <v>37</v>
      </c>
      <c r="H22" s="285"/>
      <c r="I22" s="283" t="s">
        <v>37</v>
      </c>
      <c r="J22" s="285"/>
      <c r="K22" s="283" t="s">
        <v>37</v>
      </c>
      <c r="L22" s="285"/>
      <c r="M22" s="726" t="s">
        <v>84</v>
      </c>
      <c r="N22" s="285"/>
      <c r="O22" s="283" t="s">
        <v>37</v>
      </c>
      <c r="P22" s="285"/>
      <c r="Q22" s="283" t="s">
        <v>37</v>
      </c>
      <c r="R22" s="285"/>
      <c r="S22" s="283" t="s">
        <v>36</v>
      </c>
      <c r="T22" s="285"/>
      <c r="U22" s="283" t="s">
        <v>36</v>
      </c>
      <c r="V22" s="285"/>
      <c r="W22" s="283" t="s">
        <v>36</v>
      </c>
      <c r="X22" s="285"/>
      <c r="Y22" s="283" t="s">
        <v>26</v>
      </c>
      <c r="Z22" s="285"/>
      <c r="AA22" s="283" t="s">
        <v>26</v>
      </c>
      <c r="AB22" s="285"/>
      <c r="AC22" s="283" t="s">
        <v>26</v>
      </c>
      <c r="AD22" s="285"/>
      <c r="AE22" s="283" t="s">
        <v>26</v>
      </c>
      <c r="AF22" s="285"/>
      <c r="AG22" s="283" t="s">
        <v>26</v>
      </c>
      <c r="AH22" s="285"/>
      <c r="AI22" s="283" t="s">
        <v>26</v>
      </c>
      <c r="AJ22" s="285"/>
      <c r="AK22" s="286">
        <f t="shared" si="0"/>
        <v>17</v>
      </c>
      <c r="AL22" s="287">
        <f t="shared" si="1"/>
        <v>17</v>
      </c>
    </row>
    <row r="23" spans="1:58" ht="40.049999999999997" customHeight="1" x14ac:dyDescent="0.3">
      <c r="A23" s="281" t="s">
        <v>118</v>
      </c>
      <c r="B23" s="282" t="s">
        <v>119</v>
      </c>
      <c r="C23" s="283" t="s">
        <v>47</v>
      </c>
      <c r="D23" s="284"/>
      <c r="E23" s="283" t="s">
        <v>47</v>
      </c>
      <c r="F23" s="285"/>
      <c r="G23" s="283" t="s">
        <v>37</v>
      </c>
      <c r="H23" s="285"/>
      <c r="I23" s="283" t="s">
        <v>37</v>
      </c>
      <c r="J23" s="285"/>
      <c r="K23" s="283" t="s">
        <v>37</v>
      </c>
      <c r="L23" s="285"/>
      <c r="M23" s="726" t="s">
        <v>84</v>
      </c>
      <c r="N23" s="285"/>
      <c r="O23" s="283" t="s">
        <v>37</v>
      </c>
      <c r="P23" s="285"/>
      <c r="Q23" s="283" t="s">
        <v>37</v>
      </c>
      <c r="R23" s="285"/>
      <c r="S23" s="283" t="s">
        <v>36</v>
      </c>
      <c r="T23" s="285"/>
      <c r="U23" s="283" t="s">
        <v>36</v>
      </c>
      <c r="V23" s="285"/>
      <c r="W23" s="283" t="s">
        <v>36</v>
      </c>
      <c r="X23" s="285"/>
      <c r="Y23" s="283" t="s">
        <v>26</v>
      </c>
      <c r="Z23" s="285"/>
      <c r="AA23" s="283" t="s">
        <v>26</v>
      </c>
      <c r="AB23" s="285"/>
      <c r="AC23" s="283" t="s">
        <v>26</v>
      </c>
      <c r="AD23" s="285"/>
      <c r="AE23" s="283" t="s">
        <v>26</v>
      </c>
      <c r="AF23" s="285"/>
      <c r="AG23" s="283" t="s">
        <v>26</v>
      </c>
      <c r="AH23" s="285"/>
      <c r="AI23" s="283" t="s">
        <v>26</v>
      </c>
      <c r="AJ23" s="285"/>
      <c r="AK23" s="286">
        <f t="shared" si="0"/>
        <v>17</v>
      </c>
      <c r="AL23" s="287">
        <f t="shared" si="1"/>
        <v>17</v>
      </c>
    </row>
    <row r="24" spans="1:58" ht="40.049999999999997" customHeight="1" x14ac:dyDescent="0.3">
      <c r="A24" s="281" t="s">
        <v>120</v>
      </c>
      <c r="B24" s="282" t="s">
        <v>121</v>
      </c>
      <c r="C24" s="284" t="s">
        <v>56</v>
      </c>
      <c r="D24" s="284"/>
      <c r="E24" s="285" t="s">
        <v>56</v>
      </c>
      <c r="F24" s="285"/>
      <c r="G24" s="285" t="s">
        <v>56</v>
      </c>
      <c r="H24" s="285"/>
      <c r="I24" s="285" t="s">
        <v>56</v>
      </c>
      <c r="J24" s="285"/>
      <c r="K24" s="285" t="s">
        <v>47</v>
      </c>
      <c r="L24" s="285"/>
      <c r="M24" s="285" t="s">
        <v>47</v>
      </c>
      <c r="N24" s="285"/>
      <c r="O24" s="285" t="s">
        <v>47</v>
      </c>
      <c r="P24" s="285"/>
      <c r="Q24" s="285" t="s">
        <v>47</v>
      </c>
      <c r="R24" s="285"/>
      <c r="S24" s="285" t="s">
        <v>66</v>
      </c>
      <c r="T24" s="285"/>
      <c r="U24" s="285" t="s">
        <v>66</v>
      </c>
      <c r="V24" s="288"/>
      <c r="W24" s="285" t="s">
        <v>66</v>
      </c>
      <c r="X24" s="285"/>
      <c r="Y24" s="285" t="s">
        <v>66</v>
      </c>
      <c r="Z24" s="288"/>
      <c r="AA24" s="285" t="s">
        <v>66</v>
      </c>
      <c r="AB24" s="288"/>
      <c r="AC24" s="285" t="s">
        <v>66</v>
      </c>
      <c r="AD24" s="285"/>
      <c r="AE24" s="285" t="s">
        <v>66</v>
      </c>
      <c r="AF24" s="288"/>
      <c r="AG24" s="285" t="s">
        <v>66</v>
      </c>
      <c r="AH24" s="288"/>
      <c r="AI24" s="285" t="s">
        <v>66</v>
      </c>
      <c r="AJ24" s="288"/>
      <c r="AK24" s="286">
        <f t="shared" si="0"/>
        <v>17</v>
      </c>
      <c r="AL24" s="287">
        <f t="shared" si="1"/>
        <v>17</v>
      </c>
    </row>
    <row r="25" spans="1:58" ht="40.049999999999997" customHeight="1" x14ac:dyDescent="0.3">
      <c r="A25" s="281" t="s">
        <v>122</v>
      </c>
      <c r="B25" s="282" t="s">
        <v>123</v>
      </c>
      <c r="C25" s="284" t="s">
        <v>56</v>
      </c>
      <c r="D25" s="284"/>
      <c r="E25" s="285" t="s">
        <v>56</v>
      </c>
      <c r="F25" s="285"/>
      <c r="G25" s="285" t="s">
        <v>56</v>
      </c>
      <c r="H25" s="285"/>
      <c r="I25" s="285" t="s">
        <v>56</v>
      </c>
      <c r="J25" s="285"/>
      <c r="K25" s="285" t="s">
        <v>47</v>
      </c>
      <c r="L25" s="285"/>
      <c r="M25" s="285" t="s">
        <v>47</v>
      </c>
      <c r="N25" s="285"/>
      <c r="O25" s="285" t="s">
        <v>47</v>
      </c>
      <c r="P25" s="285"/>
      <c r="Q25" s="285" t="s">
        <v>47</v>
      </c>
      <c r="R25" s="285"/>
      <c r="S25" s="285" t="s">
        <v>66</v>
      </c>
      <c r="T25" s="285"/>
      <c r="U25" s="285" t="s">
        <v>66</v>
      </c>
      <c r="V25" s="288"/>
      <c r="W25" s="285" t="s">
        <v>66</v>
      </c>
      <c r="X25" s="285"/>
      <c r="Y25" s="285" t="s">
        <v>66</v>
      </c>
      <c r="Z25" s="288"/>
      <c r="AA25" s="285" t="s">
        <v>66</v>
      </c>
      <c r="AB25" s="288"/>
      <c r="AC25" s="285" t="s">
        <v>66</v>
      </c>
      <c r="AD25" s="285"/>
      <c r="AE25" s="285" t="s">
        <v>66</v>
      </c>
      <c r="AF25" s="288"/>
      <c r="AG25" s="285" t="s">
        <v>66</v>
      </c>
      <c r="AH25" s="288"/>
      <c r="AI25" s="285" t="s">
        <v>66</v>
      </c>
      <c r="AJ25" s="288"/>
      <c r="AK25" s="286">
        <f t="shared" si="0"/>
        <v>17</v>
      </c>
      <c r="AL25" s="287">
        <f t="shared" si="1"/>
        <v>17</v>
      </c>
    </row>
    <row r="26" spans="1:58" ht="40.049999999999997" customHeight="1" x14ac:dyDescent="0.3">
      <c r="A26" s="281" t="s">
        <v>124</v>
      </c>
      <c r="B26" s="282" t="s">
        <v>125</v>
      </c>
      <c r="C26" s="284" t="s">
        <v>56</v>
      </c>
      <c r="D26" s="284"/>
      <c r="E26" s="285" t="s">
        <v>56</v>
      </c>
      <c r="F26" s="285"/>
      <c r="G26" s="285" t="s">
        <v>56</v>
      </c>
      <c r="H26" s="285"/>
      <c r="I26" s="285" t="s">
        <v>56</v>
      </c>
      <c r="J26" s="285"/>
      <c r="K26" s="285" t="s">
        <v>47</v>
      </c>
      <c r="L26" s="285"/>
      <c r="M26" s="285" t="s">
        <v>47</v>
      </c>
      <c r="N26" s="285"/>
      <c r="O26" s="285" t="s">
        <v>47</v>
      </c>
      <c r="P26" s="285"/>
      <c r="Q26" s="285" t="s">
        <v>47</v>
      </c>
      <c r="R26" s="285"/>
      <c r="S26" s="285" t="s">
        <v>66</v>
      </c>
      <c r="T26" s="285"/>
      <c r="U26" s="285" t="s">
        <v>66</v>
      </c>
      <c r="V26" s="288"/>
      <c r="W26" s="285" t="s">
        <v>66</v>
      </c>
      <c r="X26" s="285"/>
      <c r="Y26" s="285" t="s">
        <v>66</v>
      </c>
      <c r="Z26" s="288"/>
      <c r="AA26" s="285" t="s">
        <v>66</v>
      </c>
      <c r="AB26" s="288"/>
      <c r="AC26" s="285" t="s">
        <v>66</v>
      </c>
      <c r="AD26" s="285"/>
      <c r="AE26" s="285" t="s">
        <v>66</v>
      </c>
      <c r="AF26" s="288"/>
      <c r="AG26" s="285" t="s">
        <v>66</v>
      </c>
      <c r="AH26" s="288"/>
      <c r="AI26" s="285" t="s">
        <v>66</v>
      </c>
      <c r="AJ26" s="288"/>
      <c r="AK26" s="286">
        <f t="shared" si="0"/>
        <v>17</v>
      </c>
      <c r="AL26" s="287">
        <f t="shared" si="1"/>
        <v>17</v>
      </c>
    </row>
    <row r="27" spans="1:58" ht="40.049999999999997" customHeight="1" x14ac:dyDescent="0.65">
      <c r="A27" s="289" t="s">
        <v>126</v>
      </c>
      <c r="B27" s="290" t="s">
        <v>127</v>
      </c>
      <c r="C27" s="291"/>
      <c r="D27" s="292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  <c r="U27" s="293"/>
      <c r="V27" s="293"/>
      <c r="W27" s="293"/>
      <c r="X27" s="293"/>
      <c r="Y27" s="293"/>
      <c r="Z27" s="293"/>
      <c r="AA27" s="293"/>
      <c r="AB27" s="293"/>
      <c r="AC27" s="293"/>
      <c r="AD27" s="293"/>
      <c r="AE27" s="293"/>
      <c r="AF27" s="293"/>
      <c r="AG27" s="293"/>
      <c r="AH27" s="293"/>
      <c r="AI27" s="294"/>
      <c r="AJ27" s="294"/>
      <c r="AK27" s="349"/>
      <c r="AL27" s="350"/>
      <c r="AM27" s="357"/>
      <c r="AN27" s="357"/>
      <c r="AO27" s="357"/>
      <c r="AP27" s="357"/>
      <c r="AQ27" s="357"/>
      <c r="AR27" s="357"/>
      <c r="AS27" s="357"/>
      <c r="AT27" s="357"/>
      <c r="AU27" s="357"/>
      <c r="AV27" s="357"/>
      <c r="AW27" s="357"/>
      <c r="AX27" s="357"/>
      <c r="AY27" s="357"/>
      <c r="AZ27" s="357"/>
      <c r="BA27" s="357"/>
      <c r="BB27" s="357"/>
      <c r="BC27" s="357"/>
      <c r="BD27" s="357"/>
      <c r="BE27" s="357"/>
      <c r="BF27" s="357"/>
    </row>
    <row r="28" spans="1:58" ht="40.049999999999997" customHeight="1" x14ac:dyDescent="0.3">
      <c r="A28" s="281" t="s">
        <v>128</v>
      </c>
      <c r="B28" s="282" t="s">
        <v>129</v>
      </c>
      <c r="C28" s="284" t="s">
        <v>56</v>
      </c>
      <c r="D28" s="284"/>
      <c r="E28" s="285" t="s">
        <v>56</v>
      </c>
      <c r="F28" s="285"/>
      <c r="G28" s="285" t="s">
        <v>56</v>
      </c>
      <c r="H28" s="285"/>
      <c r="I28" s="285" t="s">
        <v>56</v>
      </c>
      <c r="J28" s="285"/>
      <c r="K28" s="285" t="s">
        <v>47</v>
      </c>
      <c r="L28" s="285"/>
      <c r="M28" s="285" t="s">
        <v>47</v>
      </c>
      <c r="N28" s="285"/>
      <c r="O28" s="285" t="s">
        <v>47</v>
      </c>
      <c r="P28" s="285"/>
      <c r="Q28" s="285" t="s">
        <v>47</v>
      </c>
      <c r="R28" s="285"/>
      <c r="S28" s="285" t="s">
        <v>66</v>
      </c>
      <c r="T28" s="285"/>
      <c r="U28" s="285" t="s">
        <v>66</v>
      </c>
      <c r="V28" s="288"/>
      <c r="W28" s="285" t="s">
        <v>66</v>
      </c>
      <c r="X28" s="285"/>
      <c r="Y28" s="285" t="s">
        <v>66</v>
      </c>
      <c r="Z28" s="288"/>
      <c r="AA28" s="285" t="s">
        <v>66</v>
      </c>
      <c r="AB28" s="288"/>
      <c r="AC28" s="285" t="s">
        <v>66</v>
      </c>
      <c r="AD28" s="285"/>
      <c r="AE28" s="285" t="s">
        <v>66</v>
      </c>
      <c r="AF28" s="288"/>
      <c r="AG28" s="285" t="s">
        <v>66</v>
      </c>
      <c r="AH28" s="288"/>
      <c r="AI28" s="285" t="s">
        <v>66</v>
      </c>
      <c r="AJ28" s="288"/>
      <c r="AK28" s="286">
        <f>COUNTIF(B28:AJ28,"&gt;=R")</f>
        <v>17</v>
      </c>
      <c r="AL28" s="287">
        <f>AK28</f>
        <v>17</v>
      </c>
    </row>
    <row r="29" spans="1:58" ht="40.049999999999997" customHeight="1" x14ac:dyDescent="0.65">
      <c r="A29" s="281" t="s">
        <v>130</v>
      </c>
      <c r="B29" s="282" t="s">
        <v>131</v>
      </c>
      <c r="C29" s="284" t="s">
        <v>56</v>
      </c>
      <c r="D29" s="284"/>
      <c r="E29" s="285" t="s">
        <v>56</v>
      </c>
      <c r="F29" s="285"/>
      <c r="G29" s="285" t="s">
        <v>56</v>
      </c>
      <c r="H29" s="285"/>
      <c r="I29" s="285" t="s">
        <v>56</v>
      </c>
      <c r="J29" s="285"/>
      <c r="K29" s="285" t="s">
        <v>47</v>
      </c>
      <c r="L29" s="285"/>
      <c r="M29" s="285" t="s">
        <v>47</v>
      </c>
      <c r="N29" s="285"/>
      <c r="O29" s="285" t="s">
        <v>47</v>
      </c>
      <c r="P29" s="285"/>
      <c r="Q29" s="285" t="s">
        <v>47</v>
      </c>
      <c r="R29" s="285"/>
      <c r="S29" s="285" t="s">
        <v>66</v>
      </c>
      <c r="T29" s="285"/>
      <c r="U29" s="285" t="s">
        <v>66</v>
      </c>
      <c r="V29" s="288"/>
      <c r="W29" s="285" t="s">
        <v>66</v>
      </c>
      <c r="X29" s="285"/>
      <c r="Y29" s="285" t="s">
        <v>66</v>
      </c>
      <c r="Z29" s="288"/>
      <c r="AA29" s="285" t="s">
        <v>66</v>
      </c>
      <c r="AB29" s="288"/>
      <c r="AC29" s="285" t="s">
        <v>66</v>
      </c>
      <c r="AD29" s="285"/>
      <c r="AE29" s="285" t="s">
        <v>66</v>
      </c>
      <c r="AF29" s="288"/>
      <c r="AG29" s="285" t="s">
        <v>66</v>
      </c>
      <c r="AH29" s="288"/>
      <c r="AI29" s="285" t="s">
        <v>66</v>
      </c>
      <c r="AJ29" s="288"/>
      <c r="AK29" s="286">
        <f>COUNTIF(B29:AJ29,"&gt;=R")</f>
        <v>17</v>
      </c>
      <c r="AL29" s="287">
        <f>AK29</f>
        <v>17</v>
      </c>
      <c r="AM29" s="357"/>
      <c r="AN29" s="357"/>
      <c r="AO29" s="357"/>
      <c r="AP29" s="357"/>
      <c r="AQ29" s="357"/>
      <c r="AR29" s="357"/>
      <c r="AS29" s="357"/>
      <c r="AT29" s="357"/>
      <c r="AU29" s="357"/>
      <c r="AV29" s="357"/>
      <c r="AW29" s="357"/>
      <c r="AX29" s="357"/>
      <c r="AY29" s="357"/>
      <c r="AZ29" s="357"/>
      <c r="BA29" s="357"/>
      <c r="BB29" s="357"/>
      <c r="BC29" s="357"/>
      <c r="BD29" s="357"/>
      <c r="BE29" s="357"/>
      <c r="BF29" s="357"/>
    </row>
    <row r="30" spans="1:58" ht="40.049999999999997" customHeight="1" x14ac:dyDescent="0.65">
      <c r="A30" s="289" t="s">
        <v>132</v>
      </c>
      <c r="B30" s="290" t="s">
        <v>133</v>
      </c>
      <c r="C30" s="291"/>
      <c r="D30" s="292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  <c r="U30" s="293"/>
      <c r="V30" s="293"/>
      <c r="W30" s="293"/>
      <c r="X30" s="293"/>
      <c r="Y30" s="293"/>
      <c r="Z30" s="293"/>
      <c r="AA30" s="293"/>
      <c r="AB30" s="293"/>
      <c r="AC30" s="293"/>
      <c r="AD30" s="293"/>
      <c r="AE30" s="293"/>
      <c r="AF30" s="293"/>
      <c r="AG30" s="293"/>
      <c r="AH30" s="293"/>
      <c r="AI30" s="294"/>
      <c r="AJ30" s="294"/>
      <c r="AK30" s="349"/>
      <c r="AL30" s="350"/>
      <c r="AM30" s="357"/>
      <c r="AN30" s="357"/>
      <c r="AO30" s="357"/>
      <c r="AP30" s="357"/>
      <c r="AQ30" s="357"/>
      <c r="AR30" s="357"/>
      <c r="AS30" s="357"/>
      <c r="AT30" s="357"/>
      <c r="AU30" s="357"/>
      <c r="AV30" s="357"/>
      <c r="AW30" s="357"/>
      <c r="AX30" s="357"/>
      <c r="AY30" s="357"/>
      <c r="AZ30" s="357"/>
      <c r="BA30" s="357"/>
      <c r="BB30" s="357"/>
      <c r="BC30" s="357"/>
      <c r="BD30" s="357"/>
      <c r="BE30" s="357"/>
      <c r="BF30" s="357"/>
    </row>
    <row r="31" spans="1:58" ht="40.049999999999997" customHeight="1" x14ac:dyDescent="0.65">
      <c r="A31" s="298" t="s">
        <v>134</v>
      </c>
      <c r="B31" s="282" t="s">
        <v>135</v>
      </c>
      <c r="C31" s="283" t="s">
        <v>76</v>
      </c>
      <c r="D31" s="284"/>
      <c r="E31" s="283" t="s">
        <v>76</v>
      </c>
      <c r="F31" s="285"/>
      <c r="G31" s="283" t="s">
        <v>76</v>
      </c>
      <c r="H31" s="285"/>
      <c r="I31" s="285" t="s">
        <v>76</v>
      </c>
      <c r="J31" s="285"/>
      <c r="K31" s="285" t="s">
        <v>76</v>
      </c>
      <c r="L31" s="285"/>
      <c r="M31" s="285" t="s">
        <v>76</v>
      </c>
      <c r="N31" s="285"/>
      <c r="O31" s="285" t="s">
        <v>76</v>
      </c>
      <c r="P31" s="285"/>
      <c r="Q31" s="285" t="s">
        <v>76</v>
      </c>
      <c r="R31" s="285"/>
      <c r="S31" s="285" t="s">
        <v>37</v>
      </c>
      <c r="T31" s="285"/>
      <c r="U31" s="285" t="s">
        <v>37</v>
      </c>
      <c r="V31" s="285"/>
      <c r="W31" s="285" t="s">
        <v>37</v>
      </c>
      <c r="X31" s="285"/>
      <c r="Y31" s="285" t="s">
        <v>37</v>
      </c>
      <c r="Z31" s="285"/>
      <c r="AA31" s="285" t="s">
        <v>37</v>
      </c>
      <c r="AB31" s="285"/>
      <c r="AC31" s="285" t="s">
        <v>37</v>
      </c>
      <c r="AD31" s="285"/>
      <c r="AE31" s="285" t="s">
        <v>37</v>
      </c>
      <c r="AF31" s="285"/>
      <c r="AG31" s="285"/>
      <c r="AH31" s="285"/>
      <c r="AI31" s="285"/>
      <c r="AJ31" s="288"/>
      <c r="AK31" s="286">
        <f>COUNTIF(C31:AJ31,"&gt;=R")</f>
        <v>15</v>
      </c>
      <c r="AL31" s="287">
        <f>AK31</f>
        <v>15</v>
      </c>
      <c r="AM31" s="357"/>
      <c r="AN31" s="357"/>
      <c r="AO31" s="357"/>
      <c r="AP31" s="357"/>
      <c r="AQ31" s="357"/>
      <c r="AR31" s="357"/>
      <c r="AS31" s="357"/>
      <c r="AT31" s="357"/>
      <c r="AU31" s="357"/>
      <c r="AV31" s="357"/>
      <c r="AW31" s="357"/>
      <c r="AX31" s="357"/>
      <c r="AY31" s="357"/>
      <c r="AZ31" s="357"/>
      <c r="BA31" s="357"/>
      <c r="BB31" s="357"/>
      <c r="BC31" s="357"/>
      <c r="BD31" s="357"/>
      <c r="BE31" s="357"/>
      <c r="BF31" s="357"/>
    </row>
    <row r="32" spans="1:58" ht="40.049999999999997" customHeight="1" x14ac:dyDescent="0.65">
      <c r="A32" s="289" t="s">
        <v>136</v>
      </c>
      <c r="B32" s="290" t="s">
        <v>137</v>
      </c>
      <c r="C32" s="291"/>
      <c r="D32" s="292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3"/>
      <c r="AI32" s="294"/>
      <c r="AJ32" s="294"/>
      <c r="AK32" s="349"/>
      <c r="AL32" s="350"/>
      <c r="AM32" s="357"/>
      <c r="AN32" s="357"/>
      <c r="AO32" s="357"/>
      <c r="AP32" s="357"/>
      <c r="AQ32" s="357"/>
      <c r="AR32" s="357"/>
      <c r="AS32" s="357"/>
      <c r="AT32" s="357"/>
      <c r="AU32" s="357"/>
      <c r="AV32" s="357"/>
      <c r="AW32" s="357"/>
      <c r="AX32" s="357"/>
      <c r="AY32" s="357"/>
      <c r="AZ32" s="357"/>
      <c r="BA32" s="357"/>
      <c r="BB32" s="357"/>
      <c r="BC32" s="357"/>
      <c r="BD32" s="357"/>
      <c r="BE32" s="357"/>
      <c r="BF32" s="357"/>
    </row>
    <row r="33" spans="1:58" ht="40.049999999999997" customHeight="1" x14ac:dyDescent="0.3">
      <c r="A33" s="281" t="s">
        <v>138</v>
      </c>
      <c r="B33" s="282" t="s">
        <v>139</v>
      </c>
      <c r="C33" s="283" t="s">
        <v>76</v>
      </c>
      <c r="D33" s="284"/>
      <c r="E33" s="299" t="s">
        <v>76</v>
      </c>
      <c r="F33" s="285"/>
      <c r="G33" s="299" t="s">
        <v>76</v>
      </c>
      <c r="H33" s="285"/>
      <c r="I33" s="285" t="s">
        <v>76</v>
      </c>
      <c r="J33" s="285"/>
      <c r="K33" s="285" t="s">
        <v>76</v>
      </c>
      <c r="L33" s="285"/>
      <c r="M33" s="285" t="s">
        <v>76</v>
      </c>
      <c r="N33" s="285"/>
      <c r="O33" s="285" t="s">
        <v>76</v>
      </c>
      <c r="P33" s="285"/>
      <c r="Q33" s="285" t="s">
        <v>76</v>
      </c>
      <c r="R33" s="285"/>
      <c r="S33" s="285" t="s">
        <v>37</v>
      </c>
      <c r="T33" s="285"/>
      <c r="U33" s="285" t="s">
        <v>37</v>
      </c>
      <c r="V33" s="285"/>
      <c r="W33" s="285" t="s">
        <v>37</v>
      </c>
      <c r="X33" s="285"/>
      <c r="Y33" s="285" t="s">
        <v>37</v>
      </c>
      <c r="Z33" s="285"/>
      <c r="AA33" s="285" t="s">
        <v>37</v>
      </c>
      <c r="AB33" s="285"/>
      <c r="AC33" s="285" t="s">
        <v>37</v>
      </c>
      <c r="AD33" s="285"/>
      <c r="AE33" s="285" t="s">
        <v>37</v>
      </c>
      <c r="AF33" s="285"/>
      <c r="AG33" s="299"/>
      <c r="AH33" s="299"/>
      <c r="AI33" s="299"/>
      <c r="AJ33" s="288"/>
      <c r="AK33" s="286">
        <f>COUNTIF(C33:AJ33,"&gt;=R")</f>
        <v>15</v>
      </c>
      <c r="AL33" s="287">
        <f>AK33</f>
        <v>15</v>
      </c>
    </row>
    <row r="34" spans="1:58" ht="40.049999999999997" customHeight="1" x14ac:dyDescent="0.65">
      <c r="A34" s="357" t="s">
        <v>140</v>
      </c>
      <c r="B34" s="890" t="s">
        <v>141</v>
      </c>
      <c r="C34" s="283" t="s">
        <v>92</v>
      </c>
      <c r="D34" s="284"/>
      <c r="E34" s="283" t="s">
        <v>92</v>
      </c>
      <c r="F34" s="285"/>
      <c r="G34" s="283" t="s">
        <v>92</v>
      </c>
      <c r="H34" s="285"/>
      <c r="I34" s="285" t="s">
        <v>92</v>
      </c>
      <c r="J34" s="285"/>
      <c r="K34" s="285" t="s">
        <v>76</v>
      </c>
      <c r="L34" s="285"/>
      <c r="M34" s="285" t="s">
        <v>76</v>
      </c>
      <c r="N34" s="285"/>
      <c r="O34" s="285" t="s">
        <v>76</v>
      </c>
      <c r="P34" s="285"/>
      <c r="Q34" s="285" t="s">
        <v>76</v>
      </c>
      <c r="R34" s="285"/>
      <c r="S34" s="285" t="s">
        <v>37</v>
      </c>
      <c r="T34" s="285"/>
      <c r="U34" s="285" t="s">
        <v>37</v>
      </c>
      <c r="V34" s="285"/>
      <c r="W34" s="285" t="s">
        <v>37</v>
      </c>
      <c r="X34" s="285"/>
      <c r="Y34" s="285" t="s">
        <v>37</v>
      </c>
      <c r="Z34" s="285"/>
      <c r="AA34" s="285" t="s">
        <v>37</v>
      </c>
      <c r="AB34" s="285"/>
      <c r="AC34" s="285" t="s">
        <v>37</v>
      </c>
      <c r="AD34" s="285"/>
      <c r="AE34" s="285" t="s">
        <v>37</v>
      </c>
      <c r="AF34" s="285"/>
      <c r="AG34" s="299"/>
      <c r="AH34" s="299"/>
      <c r="AI34" s="299"/>
      <c r="AJ34" s="288"/>
      <c r="AK34" s="286">
        <f>COUNTIF(C34:AJ34,"&gt;=R")</f>
        <v>15</v>
      </c>
      <c r="AL34" s="287">
        <f>AK34</f>
        <v>15</v>
      </c>
    </row>
    <row r="35" spans="1:58" ht="40.049999999999997" customHeight="1" x14ac:dyDescent="0.3">
      <c r="A35" s="289" t="s">
        <v>142</v>
      </c>
      <c r="B35" s="290" t="s">
        <v>143</v>
      </c>
      <c r="C35" s="291"/>
      <c r="D35" s="292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93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3"/>
      <c r="AE35" s="293"/>
      <c r="AF35" s="293"/>
      <c r="AG35" s="293"/>
      <c r="AH35" s="293"/>
      <c r="AI35" s="294"/>
      <c r="AJ35" s="294"/>
      <c r="AK35" s="349"/>
      <c r="AL35" s="350"/>
    </row>
    <row r="36" spans="1:58" ht="40.049999999999997" customHeight="1" x14ac:dyDescent="0.3">
      <c r="A36" s="298" t="s">
        <v>144</v>
      </c>
      <c r="B36" s="282" t="s">
        <v>145</v>
      </c>
      <c r="C36" s="284" t="s">
        <v>38</v>
      </c>
      <c r="D36" s="284"/>
      <c r="E36" s="285" t="s">
        <v>38</v>
      </c>
      <c r="F36" s="285"/>
      <c r="G36" s="285" t="s">
        <v>38</v>
      </c>
      <c r="H36" s="285"/>
      <c r="I36" s="285" t="s">
        <v>38</v>
      </c>
      <c r="J36" s="285"/>
      <c r="K36" s="285" t="s">
        <v>38</v>
      </c>
      <c r="L36" s="285"/>
      <c r="M36" s="285" t="s">
        <v>76</v>
      </c>
      <c r="N36" s="285"/>
      <c r="O36" s="285" t="s">
        <v>38</v>
      </c>
      <c r="P36" s="285"/>
      <c r="Q36" s="285" t="s">
        <v>76</v>
      </c>
      <c r="R36" s="285"/>
      <c r="S36" s="285" t="s">
        <v>37</v>
      </c>
      <c r="T36" s="285"/>
      <c r="U36" s="285" t="s">
        <v>37</v>
      </c>
      <c r="V36" s="285"/>
      <c r="W36" s="285" t="s">
        <v>37</v>
      </c>
      <c r="X36" s="285"/>
      <c r="Y36" s="285" t="s">
        <v>37</v>
      </c>
      <c r="Z36" s="285"/>
      <c r="AA36" s="285" t="s">
        <v>37</v>
      </c>
      <c r="AB36" s="285"/>
      <c r="AC36" s="285" t="s">
        <v>37</v>
      </c>
      <c r="AD36" s="285"/>
      <c r="AE36" s="285" t="s">
        <v>37</v>
      </c>
      <c r="AF36" s="285"/>
      <c r="AG36" s="299"/>
      <c r="AH36" s="285"/>
      <c r="AI36" s="285"/>
      <c r="AJ36" s="288"/>
      <c r="AK36" s="286">
        <f>COUNTIF(C36:AJ36,"&gt;=R")</f>
        <v>15</v>
      </c>
      <c r="AL36" s="287">
        <f>AK36</f>
        <v>15</v>
      </c>
    </row>
    <row r="37" spans="1:58" ht="40.049999999999997" customHeight="1" x14ac:dyDescent="0.3">
      <c r="A37" s="289" t="s">
        <v>146</v>
      </c>
      <c r="B37" s="290" t="s">
        <v>147</v>
      </c>
      <c r="C37" s="291"/>
      <c r="D37" s="292"/>
      <c r="E37" s="293"/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3"/>
      <c r="V37" s="293"/>
      <c r="W37" s="293"/>
      <c r="X37" s="293"/>
      <c r="Y37" s="293"/>
      <c r="Z37" s="293"/>
      <c r="AA37" s="293"/>
      <c r="AB37" s="293"/>
      <c r="AC37" s="293"/>
      <c r="AD37" s="293"/>
      <c r="AE37" s="293"/>
      <c r="AF37" s="293"/>
      <c r="AG37" s="293"/>
      <c r="AH37" s="293"/>
      <c r="AI37" s="294"/>
      <c r="AJ37" s="294"/>
      <c r="AK37" s="349"/>
      <c r="AL37" s="350"/>
    </row>
    <row r="38" spans="1:58" ht="40.049999999999997" customHeight="1" x14ac:dyDescent="0.3">
      <c r="A38" s="281" t="s">
        <v>148</v>
      </c>
      <c r="B38" s="282" t="s">
        <v>139</v>
      </c>
      <c r="C38" s="284" t="s">
        <v>38</v>
      </c>
      <c r="D38" s="284"/>
      <c r="E38" s="285" t="s">
        <v>38</v>
      </c>
      <c r="F38" s="285"/>
      <c r="G38" s="299" t="s">
        <v>38</v>
      </c>
      <c r="H38" s="285"/>
      <c r="I38" s="285" t="s">
        <v>38</v>
      </c>
      <c r="J38" s="285"/>
      <c r="K38" s="285" t="s">
        <v>38</v>
      </c>
      <c r="L38" s="285"/>
      <c r="M38" s="285" t="s">
        <v>76</v>
      </c>
      <c r="N38" s="285"/>
      <c r="O38" s="285" t="s">
        <v>38</v>
      </c>
      <c r="P38" s="285"/>
      <c r="Q38" s="285" t="s">
        <v>76</v>
      </c>
      <c r="R38" s="285"/>
      <c r="S38" s="285" t="s">
        <v>27</v>
      </c>
      <c r="T38" s="285"/>
      <c r="U38" s="285" t="s">
        <v>27</v>
      </c>
      <c r="V38" s="285"/>
      <c r="W38" s="285" t="s">
        <v>27</v>
      </c>
      <c r="X38" s="285"/>
      <c r="Y38" s="285" t="s">
        <v>27</v>
      </c>
      <c r="Z38" s="285"/>
      <c r="AA38" s="288" t="s">
        <v>27</v>
      </c>
      <c r="AB38" s="285"/>
      <c r="AC38" s="285" t="s">
        <v>27</v>
      </c>
      <c r="AD38" s="285"/>
      <c r="AE38" s="285" t="s">
        <v>27</v>
      </c>
      <c r="AF38" s="285"/>
      <c r="AG38" s="285"/>
      <c r="AH38" s="285"/>
      <c r="AI38" s="288"/>
      <c r="AJ38" s="288"/>
      <c r="AK38" s="286">
        <f t="shared" ref="AK38:AK46" si="2">COUNTIF(C38:AJ38,"&gt;=R")</f>
        <v>15</v>
      </c>
      <c r="AL38" s="287">
        <f t="shared" ref="AL38:AL46" si="3">AK38</f>
        <v>15</v>
      </c>
    </row>
    <row r="39" spans="1:58" ht="40.049999999999997" customHeight="1" x14ac:dyDescent="0.65">
      <c r="A39" s="281" t="s">
        <v>149</v>
      </c>
      <c r="B39" s="282" t="s">
        <v>150</v>
      </c>
      <c r="C39" s="284" t="s">
        <v>48</v>
      </c>
      <c r="D39" s="284"/>
      <c r="E39" s="285" t="s">
        <v>48</v>
      </c>
      <c r="F39" s="285"/>
      <c r="G39" s="285" t="s">
        <v>48</v>
      </c>
      <c r="H39" s="285"/>
      <c r="I39" s="299" t="s">
        <v>38</v>
      </c>
      <c r="J39" s="285"/>
      <c r="K39" s="299" t="s">
        <v>38</v>
      </c>
      <c r="L39" s="285"/>
      <c r="M39" s="299" t="s">
        <v>76</v>
      </c>
      <c r="N39" s="285"/>
      <c r="O39" s="299" t="s">
        <v>38</v>
      </c>
      <c r="P39" s="285"/>
      <c r="Q39" s="285" t="s">
        <v>76</v>
      </c>
      <c r="R39" s="285"/>
      <c r="S39" s="285" t="s">
        <v>7</v>
      </c>
      <c r="T39" s="285"/>
      <c r="U39" s="285" t="s">
        <v>7</v>
      </c>
      <c r="V39" s="285"/>
      <c r="W39" s="285" t="s">
        <v>7</v>
      </c>
      <c r="X39" s="285"/>
      <c r="Y39" s="285" t="s">
        <v>7</v>
      </c>
      <c r="Z39" s="285"/>
      <c r="AA39" s="285" t="s">
        <v>7</v>
      </c>
      <c r="AB39" s="285"/>
      <c r="AC39" s="285" t="s">
        <v>7</v>
      </c>
      <c r="AD39" s="285"/>
      <c r="AE39" s="285" t="s">
        <v>7</v>
      </c>
      <c r="AF39" s="285"/>
      <c r="AG39" s="285"/>
      <c r="AH39" s="285"/>
      <c r="AI39" s="285"/>
      <c r="AJ39" s="288"/>
      <c r="AK39" s="286">
        <f t="shared" si="2"/>
        <v>15</v>
      </c>
      <c r="AL39" s="287">
        <f t="shared" si="3"/>
        <v>15</v>
      </c>
      <c r="AM39" s="357"/>
      <c r="AN39" s="357"/>
      <c r="AO39" s="357"/>
      <c r="AP39" s="357"/>
      <c r="AQ39" s="357"/>
      <c r="AR39" s="357"/>
      <c r="AS39" s="357"/>
      <c r="AT39" s="357"/>
      <c r="AU39" s="357"/>
      <c r="AV39" s="357"/>
      <c r="AW39" s="357"/>
      <c r="AX39" s="357"/>
      <c r="AY39" s="357"/>
      <c r="AZ39" s="357"/>
      <c r="BA39" s="357"/>
      <c r="BB39" s="357"/>
      <c r="BC39" s="357"/>
      <c r="BD39" s="357"/>
      <c r="BE39" s="357"/>
      <c r="BF39" s="357"/>
    </row>
    <row r="40" spans="1:58" ht="40.049999999999997" customHeight="1" x14ac:dyDescent="0.3">
      <c r="A40" s="300" t="s">
        <v>151</v>
      </c>
      <c r="B40" s="301" t="s">
        <v>152</v>
      </c>
      <c r="C40" s="283"/>
      <c r="D40" s="284"/>
      <c r="E40" s="285"/>
      <c r="F40" s="285"/>
      <c r="G40" s="285"/>
      <c r="H40" s="285"/>
      <c r="I40" s="285"/>
      <c r="J40" s="285"/>
      <c r="K40" s="285"/>
      <c r="L40" s="285"/>
      <c r="M40" s="299"/>
      <c r="N40" s="285"/>
      <c r="O40" s="285"/>
      <c r="P40" s="285"/>
      <c r="Q40" s="285"/>
      <c r="R40" s="285"/>
      <c r="S40" s="285"/>
      <c r="T40" s="285"/>
      <c r="U40" s="285"/>
      <c r="V40" s="285"/>
      <c r="W40" s="285"/>
      <c r="X40" s="285"/>
      <c r="Y40" s="285"/>
      <c r="Z40" s="285"/>
      <c r="AA40" s="285"/>
      <c r="AB40" s="285"/>
      <c r="AC40" s="285"/>
      <c r="AD40" s="285"/>
      <c r="AE40" s="285"/>
      <c r="AF40" s="285"/>
      <c r="AG40" s="285"/>
      <c r="AH40" s="285"/>
      <c r="AI40" s="285"/>
      <c r="AJ40" s="288"/>
      <c r="AK40" s="286">
        <f t="shared" si="2"/>
        <v>0</v>
      </c>
      <c r="AL40" s="287">
        <f t="shared" si="3"/>
        <v>0</v>
      </c>
    </row>
    <row r="41" spans="1:58" ht="40.049999999999997" customHeight="1" x14ac:dyDescent="0.3">
      <c r="A41" s="281" t="s">
        <v>153</v>
      </c>
      <c r="B41" s="282" t="s">
        <v>154</v>
      </c>
      <c r="C41" s="283" t="s">
        <v>93</v>
      </c>
      <c r="D41" s="284"/>
      <c r="E41" s="283" t="s">
        <v>93</v>
      </c>
      <c r="F41" s="285"/>
      <c r="G41" s="283" t="s">
        <v>93</v>
      </c>
      <c r="H41" s="285"/>
      <c r="I41" s="283" t="s">
        <v>93</v>
      </c>
      <c r="J41" s="285"/>
      <c r="K41" s="283" t="s">
        <v>93</v>
      </c>
      <c r="L41" s="285"/>
      <c r="M41" s="285" t="s">
        <v>93</v>
      </c>
      <c r="N41" s="285"/>
      <c r="O41" s="285" t="s">
        <v>93</v>
      </c>
      <c r="P41" s="285"/>
      <c r="Q41" s="285" t="s">
        <v>93</v>
      </c>
      <c r="R41" s="285"/>
      <c r="S41" s="285" t="s">
        <v>93</v>
      </c>
      <c r="T41" s="285"/>
      <c r="U41" s="285" t="s">
        <v>93</v>
      </c>
      <c r="V41" s="285"/>
      <c r="W41" s="285" t="s">
        <v>93</v>
      </c>
      <c r="X41" s="285"/>
      <c r="Y41" s="285" t="s">
        <v>93</v>
      </c>
      <c r="Z41" s="285"/>
      <c r="AA41" s="285" t="s">
        <v>93</v>
      </c>
      <c r="AB41" s="285"/>
      <c r="AC41" s="285" t="s">
        <v>93</v>
      </c>
      <c r="AD41" s="285"/>
      <c r="AE41" s="285" t="s">
        <v>93</v>
      </c>
      <c r="AF41" s="285"/>
      <c r="AG41" s="285"/>
      <c r="AH41" s="285"/>
      <c r="AI41" s="285"/>
      <c r="AJ41" s="288"/>
      <c r="AK41" s="286">
        <f t="shared" si="2"/>
        <v>15</v>
      </c>
      <c r="AL41" s="287">
        <f t="shared" si="3"/>
        <v>15</v>
      </c>
    </row>
    <row r="42" spans="1:58" ht="40.049999999999997" customHeight="1" x14ac:dyDescent="0.65">
      <c r="A42" s="281" t="s">
        <v>155</v>
      </c>
      <c r="B42" s="282" t="s">
        <v>156</v>
      </c>
      <c r="C42" s="302"/>
      <c r="D42" s="284"/>
      <c r="E42" s="288"/>
      <c r="F42" s="285"/>
      <c r="G42" s="288"/>
      <c r="H42" s="285"/>
      <c r="I42" s="288"/>
      <c r="J42" s="285"/>
      <c r="K42" s="288"/>
      <c r="L42" s="285"/>
      <c r="M42" s="288"/>
      <c r="N42" s="285"/>
      <c r="O42" s="288"/>
      <c r="P42" s="285"/>
      <c r="Q42" s="288"/>
      <c r="R42" s="285"/>
      <c r="S42" s="285"/>
      <c r="T42" s="285"/>
      <c r="U42" s="285"/>
      <c r="V42" s="285"/>
      <c r="W42" s="285"/>
      <c r="X42" s="285"/>
      <c r="Y42" s="285"/>
      <c r="Z42" s="285"/>
      <c r="AA42" s="285"/>
      <c r="AB42" s="285"/>
      <c r="AC42" s="285"/>
      <c r="AD42" s="285"/>
      <c r="AE42" s="285"/>
      <c r="AF42" s="285"/>
      <c r="AG42" s="288"/>
      <c r="AH42" s="285"/>
      <c r="AI42" s="288"/>
      <c r="AJ42" s="288"/>
      <c r="AK42" s="286">
        <f t="shared" si="2"/>
        <v>0</v>
      </c>
      <c r="AL42" s="287">
        <f t="shared" si="3"/>
        <v>0</v>
      </c>
      <c r="AM42" s="357"/>
      <c r="AN42" s="357"/>
      <c r="AO42" s="357"/>
      <c r="AP42" s="357"/>
      <c r="AQ42" s="357"/>
      <c r="AR42" s="357"/>
      <c r="AS42" s="357"/>
      <c r="AT42" s="357"/>
      <c r="AU42" s="357"/>
      <c r="AV42" s="357"/>
      <c r="AW42" s="357"/>
      <c r="AX42" s="357"/>
      <c r="AY42" s="357"/>
      <c r="AZ42" s="357"/>
      <c r="BA42" s="357"/>
      <c r="BB42" s="357"/>
      <c r="BC42" s="357"/>
      <c r="BD42" s="357"/>
      <c r="BE42" s="357"/>
      <c r="BF42" s="357"/>
    </row>
    <row r="43" spans="1:58" ht="40.049999999999997" customHeight="1" x14ac:dyDescent="0.3">
      <c r="A43" s="281" t="s">
        <v>157</v>
      </c>
      <c r="B43" s="282" t="s">
        <v>158</v>
      </c>
      <c r="C43" s="284" t="s">
        <v>48</v>
      </c>
      <c r="D43" s="284"/>
      <c r="E43" s="285" t="s">
        <v>48</v>
      </c>
      <c r="F43" s="285"/>
      <c r="G43" s="285" t="s">
        <v>48</v>
      </c>
      <c r="H43" s="285"/>
      <c r="I43" s="299" t="s">
        <v>48</v>
      </c>
      <c r="J43" s="285"/>
      <c r="K43" s="299" t="s">
        <v>48</v>
      </c>
      <c r="L43" s="285"/>
      <c r="M43" s="717" t="s">
        <v>84</v>
      </c>
      <c r="N43" s="285"/>
      <c r="O43" s="299" t="s">
        <v>48</v>
      </c>
      <c r="P43" s="285"/>
      <c r="Q43" s="285" t="s">
        <v>7</v>
      </c>
      <c r="R43" s="285"/>
      <c r="S43" s="285" t="s">
        <v>7</v>
      </c>
      <c r="T43" s="285"/>
      <c r="U43" s="285" t="s">
        <v>7</v>
      </c>
      <c r="V43" s="285"/>
      <c r="W43" s="285" t="s">
        <v>7</v>
      </c>
      <c r="X43" s="285"/>
      <c r="Y43" s="285" t="s">
        <v>7</v>
      </c>
      <c r="Z43" s="285"/>
      <c r="AA43" s="285" t="s">
        <v>7</v>
      </c>
      <c r="AB43" s="285"/>
      <c r="AC43" s="285" t="s">
        <v>7</v>
      </c>
      <c r="AD43" s="285"/>
      <c r="AE43" s="285" t="s">
        <v>7</v>
      </c>
      <c r="AF43" s="285"/>
      <c r="AG43" s="285"/>
      <c r="AH43" s="285"/>
      <c r="AI43" s="285"/>
      <c r="AJ43" s="288"/>
      <c r="AK43" s="286">
        <f t="shared" si="2"/>
        <v>15</v>
      </c>
      <c r="AL43" s="287">
        <f t="shared" si="3"/>
        <v>15</v>
      </c>
    </row>
    <row r="44" spans="1:58" ht="40.049999999999997" customHeight="1" x14ac:dyDescent="0.65">
      <c r="A44" s="281" t="s">
        <v>159</v>
      </c>
      <c r="B44" s="282" t="s">
        <v>160</v>
      </c>
      <c r="C44" s="283" t="s">
        <v>93</v>
      </c>
      <c r="D44" s="284"/>
      <c r="E44" s="285" t="s">
        <v>93</v>
      </c>
      <c r="F44" s="285"/>
      <c r="G44" s="285" t="s">
        <v>85</v>
      </c>
      <c r="H44" s="285"/>
      <c r="I44" s="285" t="s">
        <v>93</v>
      </c>
      <c r="J44" s="285"/>
      <c r="K44" s="285" t="s">
        <v>93</v>
      </c>
      <c r="L44" s="285"/>
      <c r="M44" s="285" t="s">
        <v>92</v>
      </c>
      <c r="N44" s="285"/>
      <c r="O44" s="285" t="s">
        <v>93</v>
      </c>
      <c r="P44" s="285"/>
      <c r="Q44" s="285" t="s">
        <v>93</v>
      </c>
      <c r="R44" s="285"/>
      <c r="S44" s="679" t="s">
        <v>37</v>
      </c>
      <c r="T44" s="285"/>
      <c r="U44" s="285" t="s">
        <v>93</v>
      </c>
      <c r="V44" s="285"/>
      <c r="W44" s="285" t="s">
        <v>93</v>
      </c>
      <c r="X44" s="285"/>
      <c r="Y44" s="285" t="s">
        <v>93</v>
      </c>
      <c r="Z44" s="285"/>
      <c r="AA44" s="285" t="s">
        <v>93</v>
      </c>
      <c r="AB44" s="285"/>
      <c r="AC44" s="679" t="s">
        <v>37</v>
      </c>
      <c r="AD44" s="285"/>
      <c r="AE44" s="679" t="s">
        <v>37</v>
      </c>
      <c r="AF44" s="285"/>
      <c r="AG44" s="285"/>
      <c r="AH44" s="285"/>
      <c r="AI44" s="285"/>
      <c r="AJ44" s="288"/>
      <c r="AK44" s="286">
        <f t="shared" si="2"/>
        <v>15</v>
      </c>
      <c r="AL44" s="287">
        <f t="shared" si="3"/>
        <v>15</v>
      </c>
      <c r="AM44" s="357"/>
      <c r="AN44" s="357"/>
      <c r="AO44" s="357"/>
      <c r="AP44" s="357"/>
      <c r="AQ44" s="357"/>
      <c r="AR44" s="357"/>
      <c r="AS44" s="357"/>
      <c r="AT44" s="357"/>
      <c r="AU44" s="357"/>
      <c r="AV44" s="357"/>
      <c r="AW44" s="357"/>
      <c r="AX44" s="357"/>
      <c r="AY44" s="357"/>
      <c r="AZ44" s="357"/>
      <c r="BA44" s="357"/>
      <c r="BB44" s="357"/>
      <c r="BC44" s="357"/>
      <c r="BD44" s="357"/>
      <c r="BE44" s="357"/>
      <c r="BF44" s="357"/>
    </row>
    <row r="45" spans="1:58" ht="40.049999999999997" customHeight="1" x14ac:dyDescent="0.3">
      <c r="A45" s="281" t="s">
        <v>161</v>
      </c>
      <c r="B45" s="282" t="s">
        <v>162</v>
      </c>
      <c r="C45" s="283" t="s">
        <v>85</v>
      </c>
      <c r="D45" s="284"/>
      <c r="E45" s="285" t="s">
        <v>93</v>
      </c>
      <c r="F45" s="285"/>
      <c r="G45" s="285" t="s">
        <v>85</v>
      </c>
      <c r="H45" s="285"/>
      <c r="I45" s="285" t="s">
        <v>93</v>
      </c>
      <c r="J45" s="285"/>
      <c r="K45" s="285" t="s">
        <v>93</v>
      </c>
      <c r="L45" s="285"/>
      <c r="M45" s="285" t="s">
        <v>92</v>
      </c>
      <c r="N45" s="285"/>
      <c r="O45" s="285" t="s">
        <v>85</v>
      </c>
      <c r="P45" s="285"/>
      <c r="Q45" s="285" t="s">
        <v>93</v>
      </c>
      <c r="R45" s="285"/>
      <c r="S45" s="285" t="s">
        <v>37</v>
      </c>
      <c r="T45" s="285"/>
      <c r="U45" s="285" t="s">
        <v>93</v>
      </c>
      <c r="V45" s="285"/>
      <c r="W45" s="285" t="s">
        <v>93</v>
      </c>
      <c r="X45" s="285"/>
      <c r="Y45" s="285" t="s">
        <v>93</v>
      </c>
      <c r="Z45" s="285"/>
      <c r="AA45" s="285" t="s">
        <v>93</v>
      </c>
      <c r="AB45" s="285"/>
      <c r="AC45" s="285" t="s">
        <v>37</v>
      </c>
      <c r="AD45" s="285"/>
      <c r="AE45" s="285" t="s">
        <v>37</v>
      </c>
      <c r="AF45" s="285"/>
      <c r="AG45" s="285"/>
      <c r="AH45" s="285"/>
      <c r="AI45" s="288"/>
      <c r="AJ45" s="288"/>
      <c r="AK45" s="286">
        <f t="shared" si="2"/>
        <v>15</v>
      </c>
      <c r="AL45" s="287">
        <f t="shared" si="3"/>
        <v>15</v>
      </c>
    </row>
    <row r="46" spans="1:58" ht="40.049999999999997" customHeight="1" x14ac:dyDescent="0.65">
      <c r="A46" s="281" t="s">
        <v>163</v>
      </c>
      <c r="B46" s="282" t="s">
        <v>164</v>
      </c>
      <c r="C46" s="283" t="s">
        <v>85</v>
      </c>
      <c r="D46" s="284"/>
      <c r="E46" s="299" t="s">
        <v>93</v>
      </c>
      <c r="F46" s="285"/>
      <c r="G46" s="285" t="s">
        <v>85</v>
      </c>
      <c r="H46" s="285"/>
      <c r="I46" s="285" t="s">
        <v>93</v>
      </c>
      <c r="J46" s="285"/>
      <c r="K46" s="285" t="s">
        <v>93</v>
      </c>
      <c r="L46" s="285"/>
      <c r="M46" s="288" t="s">
        <v>92</v>
      </c>
      <c r="N46" s="285"/>
      <c r="O46" s="285" t="s">
        <v>85</v>
      </c>
      <c r="P46" s="285"/>
      <c r="Q46" s="285" t="s">
        <v>93</v>
      </c>
      <c r="R46" s="285"/>
      <c r="S46" s="718" t="s">
        <v>84</v>
      </c>
      <c r="T46" s="285"/>
      <c r="U46" s="718" t="s">
        <v>84</v>
      </c>
      <c r="V46" s="285"/>
      <c r="W46" s="718" t="s">
        <v>84</v>
      </c>
      <c r="X46" s="285"/>
      <c r="Y46" s="718" t="s">
        <v>84</v>
      </c>
      <c r="Z46" s="285"/>
      <c r="AA46" s="285" t="s">
        <v>17</v>
      </c>
      <c r="AB46" s="285"/>
      <c r="AC46" s="285" t="s">
        <v>17</v>
      </c>
      <c r="AD46" s="285"/>
      <c r="AE46" s="285" t="s">
        <v>17</v>
      </c>
      <c r="AF46" s="285"/>
      <c r="AG46" s="285"/>
      <c r="AH46" s="285"/>
      <c r="AI46" s="285"/>
      <c r="AJ46" s="288"/>
      <c r="AK46" s="286">
        <f t="shared" si="2"/>
        <v>15</v>
      </c>
      <c r="AL46" s="287">
        <f t="shared" si="3"/>
        <v>15</v>
      </c>
      <c r="AM46" s="357"/>
      <c r="AN46" s="357"/>
      <c r="AO46" s="357"/>
      <c r="AP46" s="357"/>
      <c r="AQ46" s="357"/>
      <c r="AR46" s="357"/>
      <c r="AS46" s="357"/>
      <c r="AT46" s="357"/>
      <c r="AU46" s="357"/>
      <c r="AV46" s="357"/>
      <c r="AW46" s="357"/>
      <c r="AX46" s="357"/>
      <c r="AY46" s="357"/>
      <c r="AZ46" s="357"/>
      <c r="BA46" s="357"/>
      <c r="BB46" s="357"/>
      <c r="BC46" s="357"/>
      <c r="BD46" s="357"/>
      <c r="BE46" s="357"/>
      <c r="BF46" s="357"/>
    </row>
    <row r="47" spans="1:58" ht="40.049999999999997" customHeight="1" x14ac:dyDescent="0.65">
      <c r="A47" s="274" t="s">
        <v>165</v>
      </c>
      <c r="B47" s="275" t="s">
        <v>166</v>
      </c>
      <c r="C47" s="291"/>
      <c r="D47" s="292"/>
      <c r="E47" s="293"/>
      <c r="F47" s="293"/>
      <c r="G47" s="293"/>
      <c r="H47" s="293"/>
      <c r="I47" s="293"/>
      <c r="J47" s="293"/>
      <c r="K47" s="293"/>
      <c r="L47" s="293"/>
      <c r="M47" s="293"/>
      <c r="N47" s="293"/>
      <c r="O47" s="293"/>
      <c r="P47" s="293"/>
      <c r="Q47" s="293"/>
      <c r="R47" s="293"/>
      <c r="S47" s="293"/>
      <c r="T47" s="293"/>
      <c r="U47" s="293"/>
      <c r="V47" s="293"/>
      <c r="W47" s="293"/>
      <c r="X47" s="293"/>
      <c r="Y47" s="293"/>
      <c r="Z47" s="293"/>
      <c r="AA47" s="293"/>
      <c r="AB47" s="293"/>
      <c r="AC47" s="293"/>
      <c r="AD47" s="293"/>
      <c r="AE47" s="293"/>
      <c r="AF47" s="293"/>
      <c r="AG47" s="293"/>
      <c r="AH47" s="293"/>
      <c r="AI47" s="294"/>
      <c r="AJ47" s="294"/>
      <c r="AK47" s="349"/>
      <c r="AL47" s="350"/>
      <c r="AM47" s="357"/>
      <c r="AN47" s="357"/>
      <c r="AO47" s="357"/>
      <c r="AP47" s="357"/>
      <c r="AQ47" s="357"/>
      <c r="AR47" s="357"/>
      <c r="AS47" s="357"/>
      <c r="AT47" s="357"/>
      <c r="AU47" s="357"/>
      <c r="AV47" s="357"/>
      <c r="AW47" s="357"/>
      <c r="AX47" s="357"/>
      <c r="AY47" s="357"/>
      <c r="AZ47" s="357"/>
      <c r="BA47" s="357"/>
      <c r="BB47" s="357"/>
      <c r="BC47" s="357"/>
      <c r="BD47" s="357"/>
      <c r="BE47" s="357"/>
      <c r="BF47" s="357"/>
    </row>
    <row r="48" spans="1:58" ht="40.049999999999997" customHeight="1" x14ac:dyDescent="0.3">
      <c r="A48" s="305" t="s">
        <v>167</v>
      </c>
      <c r="B48" s="306" t="s">
        <v>168</v>
      </c>
      <c r="C48" s="283"/>
      <c r="D48" s="284"/>
      <c r="E48" s="285"/>
      <c r="F48" s="285"/>
      <c r="G48" s="288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  <c r="W48" s="307"/>
      <c r="X48" s="285"/>
      <c r="Y48" s="307"/>
      <c r="Z48" s="285"/>
      <c r="AA48" s="307"/>
      <c r="AB48" s="285"/>
      <c r="AC48" s="307"/>
      <c r="AD48" s="285"/>
      <c r="AE48" s="288"/>
      <c r="AF48" s="285"/>
      <c r="AG48" s="285"/>
      <c r="AH48" s="285"/>
      <c r="AI48" s="285"/>
      <c r="AJ48" s="288"/>
      <c r="AK48" s="286">
        <f>COUNTIF(C48:AJ48,"&gt;=R")</f>
        <v>0</v>
      </c>
      <c r="AL48" s="287">
        <f>AK48</f>
        <v>0</v>
      </c>
    </row>
    <row r="49" spans="1:58" ht="40.049999999999997" customHeight="1" x14ac:dyDescent="0.65">
      <c r="A49" s="308" t="s">
        <v>169</v>
      </c>
      <c r="B49" s="309" t="s">
        <v>170</v>
      </c>
      <c r="C49" s="283" t="s">
        <v>85</v>
      </c>
      <c r="D49" s="284"/>
      <c r="E49" s="285" t="s">
        <v>85</v>
      </c>
      <c r="F49" s="285"/>
      <c r="G49" s="285" t="s">
        <v>85</v>
      </c>
      <c r="H49" s="285"/>
      <c r="I49" s="285"/>
      <c r="J49" s="285"/>
      <c r="K49" s="285"/>
      <c r="L49" s="285"/>
      <c r="M49" s="285" t="s">
        <v>92</v>
      </c>
      <c r="N49" s="285"/>
      <c r="O49" s="285" t="s">
        <v>85</v>
      </c>
      <c r="P49" s="285"/>
      <c r="Q49" s="285"/>
      <c r="R49" s="285"/>
      <c r="S49" s="285" t="s">
        <v>37</v>
      </c>
      <c r="T49" s="285"/>
      <c r="U49" s="285" t="s">
        <v>17</v>
      </c>
      <c r="V49" s="285"/>
      <c r="W49" s="285" t="s">
        <v>17</v>
      </c>
      <c r="X49" s="285"/>
      <c r="Y49" s="285" t="s">
        <v>17</v>
      </c>
      <c r="Z49" s="285"/>
      <c r="AA49" s="285" t="s">
        <v>7</v>
      </c>
      <c r="AB49" s="285"/>
      <c r="AC49" s="285" t="s">
        <v>7</v>
      </c>
      <c r="AD49" s="285"/>
      <c r="AE49" s="285" t="s">
        <v>7</v>
      </c>
      <c r="AF49" s="285"/>
      <c r="AG49" s="285"/>
      <c r="AH49" s="285"/>
      <c r="AI49" s="285"/>
      <c r="AJ49" s="288"/>
      <c r="AK49" s="286">
        <f>COUNTIF(C49:AJ49,"&gt;=R")</f>
        <v>12</v>
      </c>
      <c r="AL49" s="287">
        <f>AK49</f>
        <v>12</v>
      </c>
      <c r="AM49" s="357"/>
      <c r="AN49" s="357"/>
      <c r="AO49" s="357"/>
      <c r="AP49" s="357"/>
      <c r="AQ49" s="357"/>
      <c r="AR49" s="357"/>
      <c r="AS49" s="357"/>
      <c r="AT49" s="357"/>
      <c r="AU49" s="357"/>
      <c r="AV49" s="357"/>
      <c r="AW49" s="357"/>
      <c r="AX49" s="357"/>
      <c r="AY49" s="357"/>
      <c r="AZ49" s="357"/>
      <c r="BA49" s="357"/>
      <c r="BB49" s="357"/>
      <c r="BC49" s="357"/>
      <c r="BD49" s="357"/>
      <c r="BE49" s="357"/>
      <c r="BF49" s="357"/>
    </row>
    <row r="50" spans="1:58" ht="40.049999999999997" customHeight="1" x14ac:dyDescent="0.65">
      <c r="A50" s="308" t="s">
        <v>171</v>
      </c>
      <c r="B50" s="309" t="s">
        <v>172</v>
      </c>
      <c r="C50" s="283"/>
      <c r="D50" s="284"/>
      <c r="E50" s="283"/>
      <c r="F50" s="285"/>
      <c r="G50" s="283"/>
      <c r="H50" s="285"/>
      <c r="I50" s="283"/>
      <c r="J50" s="285"/>
      <c r="K50" s="283"/>
      <c r="L50" s="285"/>
      <c r="M50" s="283" t="s">
        <v>68</v>
      </c>
      <c r="N50" s="285"/>
      <c r="O50" s="283"/>
      <c r="P50" s="285"/>
      <c r="Q50" s="283" t="s">
        <v>68</v>
      </c>
      <c r="R50" s="285"/>
      <c r="S50" s="285" t="s">
        <v>68</v>
      </c>
      <c r="T50" s="285"/>
      <c r="U50" s="285" t="s">
        <v>68</v>
      </c>
      <c r="V50" s="285"/>
      <c r="W50" s="285" t="s">
        <v>68</v>
      </c>
      <c r="X50" s="285"/>
      <c r="Y50" s="285" t="s">
        <v>68</v>
      </c>
      <c r="Z50" s="285"/>
      <c r="AA50" s="285" t="s">
        <v>68</v>
      </c>
      <c r="AB50" s="285"/>
      <c r="AC50" s="285" t="s">
        <v>68</v>
      </c>
      <c r="AD50" s="285"/>
      <c r="AE50" s="285" t="s">
        <v>68</v>
      </c>
      <c r="AF50" s="285"/>
      <c r="AG50" s="285"/>
      <c r="AH50" s="285"/>
      <c r="AI50" s="285"/>
      <c r="AJ50" s="288"/>
      <c r="AK50" s="286">
        <f>COUNTIF(C50:AJ50,"&gt;=R")</f>
        <v>9</v>
      </c>
      <c r="AL50" s="287">
        <f>AK50</f>
        <v>9</v>
      </c>
      <c r="AM50" s="357"/>
      <c r="AN50" s="357"/>
      <c r="AO50" s="357"/>
      <c r="AP50" s="357"/>
      <c r="AQ50" s="357"/>
      <c r="AR50" s="357"/>
      <c r="AS50" s="357"/>
      <c r="AT50" s="357"/>
      <c r="AU50" s="357"/>
      <c r="AV50" s="357"/>
      <c r="AW50" s="357"/>
      <c r="AX50" s="357"/>
      <c r="AY50" s="357"/>
      <c r="AZ50" s="357"/>
      <c r="BA50" s="357"/>
      <c r="BB50" s="357"/>
      <c r="BC50" s="357"/>
      <c r="BD50" s="357"/>
      <c r="BE50" s="357"/>
      <c r="BF50" s="357"/>
    </row>
    <row r="51" spans="1:58" ht="40.049999999999997" customHeight="1" x14ac:dyDescent="0.3">
      <c r="A51" s="296" t="s">
        <v>173</v>
      </c>
      <c r="B51" s="297" t="s">
        <v>174</v>
      </c>
      <c r="C51" s="283"/>
      <c r="D51" s="284"/>
      <c r="E51" s="285"/>
      <c r="F51" s="285"/>
      <c r="G51" s="288"/>
      <c r="H51" s="285"/>
      <c r="I51" s="288"/>
      <c r="J51" s="285"/>
      <c r="K51" s="288"/>
      <c r="L51" s="285"/>
      <c r="M51" s="285"/>
      <c r="N51" s="285"/>
      <c r="O51" s="285"/>
      <c r="P51" s="285"/>
      <c r="Q51" s="285"/>
      <c r="R51" s="285"/>
      <c r="S51" s="285"/>
      <c r="T51" s="285"/>
      <c r="U51" s="285"/>
      <c r="V51" s="285"/>
      <c r="W51" s="285"/>
      <c r="X51" s="285"/>
      <c r="Y51" s="307"/>
      <c r="Z51" s="285"/>
      <c r="AA51" s="307"/>
      <c r="AB51" s="285"/>
      <c r="AC51" s="307"/>
      <c r="AD51" s="285"/>
      <c r="AE51" s="288"/>
      <c r="AF51" s="285"/>
      <c r="AG51" s="285"/>
      <c r="AH51" s="285"/>
      <c r="AI51" s="285"/>
      <c r="AJ51" s="288"/>
      <c r="AK51" s="286"/>
      <c r="AL51" s="287"/>
    </row>
    <row r="52" spans="1:58" ht="40.049999999999997" customHeight="1" x14ac:dyDescent="0.3">
      <c r="A52" s="308" t="s">
        <v>175</v>
      </c>
      <c r="B52" s="309" t="s">
        <v>176</v>
      </c>
      <c r="C52" s="283" t="s">
        <v>93</v>
      </c>
      <c r="D52" s="284"/>
      <c r="E52" s="283" t="s">
        <v>93</v>
      </c>
      <c r="F52" s="285"/>
      <c r="G52" s="285" t="s">
        <v>93</v>
      </c>
      <c r="H52" s="285"/>
      <c r="I52" s="285"/>
      <c r="J52" s="285"/>
      <c r="K52" s="285"/>
      <c r="L52" s="285"/>
      <c r="M52" s="285" t="s">
        <v>48</v>
      </c>
      <c r="N52" s="285"/>
      <c r="O52" s="285"/>
      <c r="P52" s="285"/>
      <c r="Q52" s="285"/>
      <c r="R52" s="285"/>
      <c r="S52" s="285" t="s">
        <v>38</v>
      </c>
      <c r="T52" s="285"/>
      <c r="U52" s="288"/>
      <c r="V52" s="285"/>
      <c r="W52" s="288"/>
      <c r="X52" s="285"/>
      <c r="Y52" s="288" t="s">
        <v>85</v>
      </c>
      <c r="Z52" s="285"/>
      <c r="AA52" s="288" t="s">
        <v>38</v>
      </c>
      <c r="AB52" s="285"/>
      <c r="AC52" s="288" t="s">
        <v>38</v>
      </c>
      <c r="AD52" s="285"/>
      <c r="AE52" s="285" t="s">
        <v>38</v>
      </c>
      <c r="AF52" s="285"/>
      <c r="AG52" s="285"/>
      <c r="AH52" s="285"/>
      <c r="AI52" s="288"/>
      <c r="AJ52" s="288"/>
      <c r="AK52" s="286">
        <f>COUNTIF(C52:AJ52,"&gt;=R")</f>
        <v>9</v>
      </c>
      <c r="AL52" s="287">
        <f>AK52</f>
        <v>9</v>
      </c>
    </row>
    <row r="53" spans="1:58" ht="40.049999999999997" customHeight="1" x14ac:dyDescent="0.65">
      <c r="A53" s="308" t="s">
        <v>177</v>
      </c>
      <c r="B53" s="309" t="s">
        <v>178</v>
      </c>
      <c r="C53" s="283"/>
      <c r="D53" s="284"/>
      <c r="E53" s="285"/>
      <c r="F53" s="285"/>
      <c r="G53" s="285"/>
      <c r="H53" s="285"/>
      <c r="I53" s="285"/>
      <c r="J53" s="285"/>
      <c r="K53" s="285"/>
      <c r="L53" s="285"/>
      <c r="M53" s="285" t="s">
        <v>57</v>
      </c>
      <c r="N53" s="285"/>
      <c r="O53" s="285"/>
      <c r="P53" s="285"/>
      <c r="Q53" s="285"/>
      <c r="R53" s="285"/>
      <c r="S53" s="285" t="s">
        <v>38</v>
      </c>
      <c r="T53" s="285"/>
      <c r="U53" s="285"/>
      <c r="V53" s="285"/>
      <c r="W53" s="285"/>
      <c r="X53" s="285"/>
      <c r="Y53" s="285" t="s">
        <v>85</v>
      </c>
      <c r="Z53" s="285"/>
      <c r="AA53" s="285" t="s">
        <v>48</v>
      </c>
      <c r="AB53" s="285"/>
      <c r="AC53" s="285" t="s">
        <v>48</v>
      </c>
      <c r="AD53" s="285"/>
      <c r="AE53" s="285" t="s">
        <v>48</v>
      </c>
      <c r="AF53" s="285"/>
      <c r="AG53" s="285"/>
      <c r="AH53" s="285"/>
      <c r="AI53" s="288"/>
      <c r="AJ53" s="288"/>
      <c r="AK53" s="286">
        <f>COUNTIF(C53:AJ53,"&gt;=R")</f>
        <v>6</v>
      </c>
      <c r="AL53" s="287">
        <f>AK53</f>
        <v>6</v>
      </c>
      <c r="AM53" s="357"/>
      <c r="AN53" s="357"/>
      <c r="AO53" s="357"/>
      <c r="AP53" s="357"/>
      <c r="AQ53" s="357"/>
      <c r="AR53" s="357"/>
      <c r="AS53" s="357"/>
      <c r="AT53" s="357"/>
      <c r="AU53" s="357"/>
      <c r="AV53" s="357"/>
      <c r="AW53" s="357"/>
      <c r="AX53" s="357"/>
      <c r="AY53" s="357"/>
      <c r="AZ53" s="357"/>
      <c r="BA53" s="357"/>
      <c r="BB53" s="357"/>
      <c r="BC53" s="357"/>
      <c r="BD53" s="357"/>
      <c r="BE53" s="357"/>
      <c r="BF53" s="357"/>
    </row>
    <row r="54" spans="1:58" ht="40.049999999999997" customHeight="1" x14ac:dyDescent="0.3">
      <c r="A54" s="296" t="s">
        <v>179</v>
      </c>
      <c r="B54" s="297" t="s">
        <v>180</v>
      </c>
      <c r="C54" s="283"/>
      <c r="D54" s="284"/>
      <c r="E54" s="285"/>
      <c r="F54" s="285"/>
      <c r="G54" s="285"/>
      <c r="H54" s="285"/>
      <c r="I54" s="285"/>
      <c r="J54" s="285"/>
      <c r="K54" s="285"/>
      <c r="L54" s="285"/>
      <c r="M54" s="285"/>
      <c r="N54" s="285"/>
      <c r="O54" s="285"/>
      <c r="P54" s="285"/>
      <c r="Q54" s="285"/>
      <c r="R54" s="285"/>
      <c r="S54" s="285"/>
      <c r="T54" s="285"/>
      <c r="U54" s="285"/>
      <c r="V54" s="285"/>
      <c r="W54" s="307"/>
      <c r="X54" s="285"/>
      <c r="Y54" s="307"/>
      <c r="Z54" s="285"/>
      <c r="AA54" s="307"/>
      <c r="AB54" s="285"/>
      <c r="AC54" s="307"/>
      <c r="AD54" s="285"/>
      <c r="AE54" s="285"/>
      <c r="AF54" s="285"/>
      <c r="AG54" s="288"/>
      <c r="AH54" s="285"/>
      <c r="AI54" s="288"/>
      <c r="AJ54" s="288"/>
      <c r="AK54" s="286"/>
      <c r="AL54" s="287"/>
    </row>
    <row r="55" spans="1:58" ht="40.049999999999997" customHeight="1" x14ac:dyDescent="0.65">
      <c r="A55" s="357" t="s">
        <v>181</v>
      </c>
      <c r="B55" s="890" t="s">
        <v>182</v>
      </c>
      <c r="C55" s="283"/>
      <c r="D55" s="284"/>
      <c r="E55" s="285"/>
      <c r="F55" s="285"/>
      <c r="G55" s="285"/>
      <c r="H55" s="285"/>
      <c r="I55" s="285"/>
      <c r="J55" s="285"/>
      <c r="K55" s="285"/>
      <c r="L55" s="285"/>
      <c r="M55" s="285"/>
      <c r="N55" s="285"/>
      <c r="O55" s="285"/>
      <c r="P55" s="285"/>
      <c r="Q55" s="285"/>
      <c r="R55" s="285"/>
      <c r="S55" s="285"/>
      <c r="T55" s="285"/>
      <c r="U55" s="285"/>
      <c r="V55" s="285"/>
      <c r="W55" s="307"/>
      <c r="X55" s="285"/>
      <c r="Y55" s="307"/>
      <c r="Z55" s="285"/>
      <c r="AA55" s="307"/>
      <c r="AB55" s="285"/>
      <c r="AC55" s="307"/>
      <c r="AD55" s="285"/>
      <c r="AE55" s="285"/>
      <c r="AF55" s="285"/>
      <c r="AG55" s="288"/>
      <c r="AH55" s="285"/>
      <c r="AI55" s="288"/>
      <c r="AJ55" s="288"/>
      <c r="AK55" s="286">
        <f>COUNTIF(C55:AJ55,"&gt;=R")</f>
        <v>0</v>
      </c>
      <c r="AL55" s="287">
        <f>AK55</f>
        <v>0</v>
      </c>
    </row>
    <row r="56" spans="1:58" ht="40.049999999999997" customHeight="1" x14ac:dyDescent="0.65">
      <c r="A56" s="289" t="s">
        <v>183</v>
      </c>
      <c r="B56" s="290" t="s">
        <v>184</v>
      </c>
      <c r="C56" s="291"/>
      <c r="D56" s="292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3"/>
      <c r="W56" s="293"/>
      <c r="X56" s="293"/>
      <c r="Y56" s="293"/>
      <c r="Z56" s="293"/>
      <c r="AA56" s="293"/>
      <c r="AB56" s="293"/>
      <c r="AC56" s="293"/>
      <c r="AD56" s="293"/>
      <c r="AE56" s="293"/>
      <c r="AF56" s="293"/>
      <c r="AG56" s="293"/>
      <c r="AH56" s="293"/>
      <c r="AI56" s="294"/>
      <c r="AJ56" s="294"/>
      <c r="AK56" s="349"/>
      <c r="AL56" s="350"/>
      <c r="AM56" s="357"/>
      <c r="AN56" s="357"/>
      <c r="AO56" s="357"/>
      <c r="AP56" s="357"/>
      <c r="AQ56" s="357"/>
      <c r="AR56" s="357"/>
      <c r="AS56" s="357"/>
      <c r="AT56" s="357"/>
      <c r="AU56" s="357"/>
      <c r="AV56" s="357"/>
      <c r="AW56" s="357"/>
      <c r="AX56" s="357"/>
      <c r="AY56" s="357"/>
      <c r="AZ56" s="357"/>
      <c r="BA56" s="357"/>
      <c r="BB56" s="357"/>
      <c r="BC56" s="357"/>
      <c r="BD56" s="357"/>
      <c r="BE56" s="357"/>
      <c r="BF56" s="357"/>
    </row>
    <row r="57" spans="1:58" ht="40.049999999999997" customHeight="1" x14ac:dyDescent="0.65">
      <c r="A57" s="281" t="s">
        <v>185</v>
      </c>
      <c r="B57" s="282" t="s">
        <v>186</v>
      </c>
      <c r="C57" s="283" t="s">
        <v>85</v>
      </c>
      <c r="D57" s="284"/>
      <c r="E57" s="285" t="s">
        <v>85</v>
      </c>
      <c r="F57" s="285"/>
      <c r="G57" s="285" t="s">
        <v>85</v>
      </c>
      <c r="H57" s="285"/>
      <c r="I57" s="285" t="s">
        <v>85</v>
      </c>
      <c r="J57" s="285"/>
      <c r="K57" s="285" t="s">
        <v>85</v>
      </c>
      <c r="L57" s="285"/>
      <c r="M57" s="285" t="s">
        <v>93</v>
      </c>
      <c r="N57" s="285"/>
      <c r="O57" s="285" t="s">
        <v>93</v>
      </c>
      <c r="P57" s="285"/>
      <c r="Q57" s="285" t="s">
        <v>93</v>
      </c>
      <c r="R57" s="285"/>
      <c r="S57" s="285" t="s">
        <v>85</v>
      </c>
      <c r="T57" s="285"/>
      <c r="U57" s="285" t="s">
        <v>85</v>
      </c>
      <c r="V57" s="285"/>
      <c r="W57" s="285" t="s">
        <v>85</v>
      </c>
      <c r="X57" s="285"/>
      <c r="Y57" s="285" t="s">
        <v>77</v>
      </c>
      <c r="Z57" s="285"/>
      <c r="AA57" s="285" t="s">
        <v>85</v>
      </c>
      <c r="AB57" s="285"/>
      <c r="AC57" s="285" t="s">
        <v>85</v>
      </c>
      <c r="AD57" s="285"/>
      <c r="AE57" s="285" t="s">
        <v>85</v>
      </c>
      <c r="AF57" s="285"/>
      <c r="AG57" s="285"/>
      <c r="AH57" s="285"/>
      <c r="AI57" s="288"/>
      <c r="AJ57" s="288"/>
      <c r="AK57" s="286">
        <f>COUNTIF(C57:AJ57,"&gt;=R")</f>
        <v>15</v>
      </c>
      <c r="AL57" s="287">
        <f>AK57</f>
        <v>15</v>
      </c>
      <c r="AM57" s="357"/>
      <c r="AN57" s="357"/>
      <c r="AO57" s="357"/>
      <c r="AP57" s="357"/>
      <c r="AQ57" s="357"/>
      <c r="AR57" s="357"/>
      <c r="AS57" s="357"/>
      <c r="AT57" s="357"/>
      <c r="AU57" s="357"/>
      <c r="AV57" s="357"/>
      <c r="AW57" s="357"/>
      <c r="AX57" s="357"/>
      <c r="AY57" s="357"/>
      <c r="AZ57" s="357"/>
      <c r="BA57" s="357"/>
      <c r="BB57" s="357"/>
      <c r="BC57" s="357"/>
      <c r="BD57" s="357"/>
      <c r="BE57" s="357"/>
      <c r="BF57" s="357"/>
    </row>
    <row r="58" spans="1:58" ht="40.049999999999997" customHeight="1" x14ac:dyDescent="0.65">
      <c r="A58" s="281" t="s">
        <v>187</v>
      </c>
      <c r="B58" s="282" t="s">
        <v>188</v>
      </c>
      <c r="C58" s="283"/>
      <c r="D58" s="284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5"/>
      <c r="V58" s="285"/>
      <c r="W58" s="285"/>
      <c r="X58" s="285"/>
      <c r="Y58" s="285"/>
      <c r="Z58" s="285"/>
      <c r="AA58" s="285"/>
      <c r="AB58" s="285"/>
      <c r="AC58" s="285"/>
      <c r="AD58" s="285"/>
      <c r="AE58" s="285"/>
      <c r="AF58" s="285"/>
      <c r="AG58" s="285"/>
      <c r="AH58" s="285"/>
      <c r="AI58" s="288"/>
      <c r="AJ58" s="288"/>
      <c r="AK58" s="286">
        <f>COUNTIF(C58:AJ58,"&gt;=R")</f>
        <v>0</v>
      </c>
      <c r="AL58" s="287">
        <f>AK58</f>
        <v>0</v>
      </c>
      <c r="AM58" s="357"/>
      <c r="AN58" s="357"/>
      <c r="AO58" s="357"/>
      <c r="AP58" s="357"/>
      <c r="AQ58" s="357"/>
      <c r="AR58" s="357"/>
      <c r="AS58" s="357"/>
      <c r="AT58" s="357"/>
      <c r="AU58" s="357"/>
      <c r="AV58" s="357"/>
      <c r="AW58" s="357"/>
      <c r="AX58" s="357"/>
      <c r="AY58" s="357"/>
      <c r="AZ58" s="357"/>
      <c r="BA58" s="357"/>
      <c r="BB58" s="357"/>
      <c r="BC58" s="357"/>
      <c r="BD58" s="357"/>
      <c r="BE58" s="357"/>
      <c r="BF58" s="357"/>
    </row>
    <row r="59" spans="1:58" ht="40.049999999999997" customHeight="1" x14ac:dyDescent="0.3">
      <c r="A59" s="281" t="s">
        <v>189</v>
      </c>
      <c r="B59" s="282" t="s">
        <v>190</v>
      </c>
      <c r="C59" s="284" t="s">
        <v>85</v>
      </c>
      <c r="D59" s="284"/>
      <c r="E59" s="285" t="s">
        <v>85</v>
      </c>
      <c r="F59" s="285"/>
      <c r="G59" s="285" t="s">
        <v>85</v>
      </c>
      <c r="H59" s="285"/>
      <c r="I59" s="285"/>
      <c r="J59" s="285"/>
      <c r="K59" s="285"/>
      <c r="L59" s="285"/>
      <c r="M59" s="750" t="s">
        <v>8</v>
      </c>
      <c r="N59" s="285"/>
      <c r="O59" s="285" t="s">
        <v>85</v>
      </c>
      <c r="P59" s="285"/>
      <c r="Q59" s="285"/>
      <c r="R59" s="285"/>
      <c r="S59" s="285" t="s">
        <v>92</v>
      </c>
      <c r="T59" s="285"/>
      <c r="U59" s="285"/>
      <c r="V59" s="285"/>
      <c r="W59" s="285"/>
      <c r="X59" s="285"/>
      <c r="Y59" s="285" t="s">
        <v>77</v>
      </c>
      <c r="Z59" s="285"/>
      <c r="AA59" s="285" t="s">
        <v>92</v>
      </c>
      <c r="AB59" s="285"/>
      <c r="AC59" s="285" t="s">
        <v>92</v>
      </c>
      <c r="AD59" s="285"/>
      <c r="AE59" s="285" t="s">
        <v>415</v>
      </c>
      <c r="AF59" s="285"/>
      <c r="AG59" s="285"/>
      <c r="AH59" s="285"/>
      <c r="AI59" s="285"/>
      <c r="AJ59" s="288"/>
      <c r="AK59" s="286">
        <f>COUNTIF(C59:AJ59,"&gt;=R")</f>
        <v>10</v>
      </c>
      <c r="AL59" s="287">
        <f>AK59</f>
        <v>10</v>
      </c>
    </row>
    <row r="60" spans="1:58" ht="40.049999999999997" customHeight="1" x14ac:dyDescent="0.65">
      <c r="A60" s="281" t="s">
        <v>191</v>
      </c>
      <c r="B60" s="282" t="s">
        <v>192</v>
      </c>
      <c r="C60" s="284"/>
      <c r="D60" s="284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307"/>
      <c r="X60" s="285"/>
      <c r="Y60" s="307"/>
      <c r="Z60" s="285"/>
      <c r="AA60" s="285"/>
      <c r="AB60" s="285"/>
      <c r="AC60" s="285"/>
      <c r="AD60" s="285"/>
      <c r="AE60" s="288"/>
      <c r="AF60" s="285"/>
      <c r="AG60" s="285"/>
      <c r="AH60" s="285"/>
      <c r="AI60" s="285"/>
      <c r="AJ60" s="288"/>
      <c r="AK60" s="286">
        <f>COUNTIF(C60:AJ60,"&gt;=R")</f>
        <v>0</v>
      </c>
      <c r="AL60" s="287">
        <f>AK60</f>
        <v>0</v>
      </c>
      <c r="AM60" s="357"/>
      <c r="AN60" s="357"/>
      <c r="AO60" s="357"/>
      <c r="AP60" s="357"/>
      <c r="AQ60" s="357"/>
      <c r="AR60" s="357"/>
      <c r="AS60" s="357"/>
      <c r="AT60" s="357"/>
      <c r="AU60" s="357"/>
      <c r="AV60" s="357"/>
      <c r="AW60" s="357"/>
      <c r="AX60" s="357"/>
      <c r="AY60" s="357"/>
      <c r="AZ60" s="357"/>
      <c r="BA60" s="357"/>
      <c r="BB60" s="357"/>
      <c r="BC60" s="357"/>
      <c r="BD60" s="357"/>
      <c r="BE60" s="357"/>
      <c r="BF60" s="357"/>
    </row>
    <row r="61" spans="1:58" ht="40.049999999999997" customHeight="1" x14ac:dyDescent="0.65">
      <c r="A61" s="289" t="s">
        <v>193</v>
      </c>
      <c r="B61" s="290" t="s">
        <v>194</v>
      </c>
      <c r="C61" s="291"/>
      <c r="D61" s="292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3"/>
      <c r="AA61" s="293"/>
      <c r="AB61" s="293"/>
      <c r="AC61" s="293"/>
      <c r="AD61" s="293"/>
      <c r="AE61" s="293"/>
      <c r="AF61" s="293"/>
      <c r="AG61" s="293"/>
      <c r="AH61" s="293"/>
      <c r="AI61" s="294"/>
      <c r="AJ61" s="294"/>
      <c r="AK61" s="349"/>
      <c r="AL61" s="350"/>
      <c r="AM61" s="357"/>
      <c r="AN61" s="357"/>
      <c r="AO61" s="357"/>
      <c r="AP61" s="357"/>
      <c r="AQ61" s="357"/>
      <c r="AR61" s="357"/>
      <c r="AS61" s="357"/>
      <c r="AT61" s="357"/>
      <c r="AU61" s="357"/>
      <c r="AV61" s="357"/>
      <c r="AW61" s="357"/>
      <c r="AX61" s="357"/>
      <c r="AY61" s="357"/>
      <c r="AZ61" s="357"/>
      <c r="BA61" s="357"/>
      <c r="BB61" s="357"/>
      <c r="BC61" s="357"/>
      <c r="BD61" s="357"/>
      <c r="BE61" s="357"/>
      <c r="BF61" s="357"/>
    </row>
    <row r="62" spans="1:58" ht="40.049999999999997" customHeight="1" x14ac:dyDescent="0.3">
      <c r="A62" s="296" t="s">
        <v>195</v>
      </c>
      <c r="B62" s="297" t="s">
        <v>196</v>
      </c>
      <c r="C62" s="283"/>
      <c r="D62" s="284"/>
      <c r="E62" s="285"/>
      <c r="F62" s="285"/>
      <c r="G62" s="288"/>
      <c r="H62" s="285"/>
      <c r="I62" s="288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307"/>
      <c r="X62" s="285"/>
      <c r="Y62" s="307"/>
      <c r="Z62" s="285"/>
      <c r="AA62" s="307"/>
      <c r="AB62" s="285"/>
      <c r="AC62" s="307"/>
      <c r="AD62" s="285"/>
      <c r="AE62" s="288"/>
      <c r="AF62" s="285"/>
      <c r="AG62" s="285"/>
      <c r="AH62" s="285"/>
      <c r="AI62" s="285"/>
      <c r="AJ62" s="288"/>
      <c r="AK62" s="286">
        <f t="shared" ref="AK62:AK67" si="4">COUNTIF(C62:AJ62,"&gt;=R")</f>
        <v>0</v>
      </c>
      <c r="AL62" s="287">
        <f t="shared" ref="AL62:AL67" si="5">AK62</f>
        <v>0</v>
      </c>
    </row>
    <row r="63" spans="1:58" ht="40.049999999999997" customHeight="1" x14ac:dyDescent="0.65">
      <c r="A63" s="308" t="s">
        <v>197</v>
      </c>
      <c r="B63" s="309" t="s">
        <v>139</v>
      </c>
      <c r="C63" s="283" t="s">
        <v>77</v>
      </c>
      <c r="D63" s="284"/>
      <c r="E63" s="285" t="s">
        <v>77</v>
      </c>
      <c r="F63" s="285"/>
      <c r="G63" s="285" t="s">
        <v>68</v>
      </c>
      <c r="H63" s="285"/>
      <c r="I63" s="285" t="s">
        <v>68</v>
      </c>
      <c r="J63" s="285"/>
      <c r="K63" s="285" t="s">
        <v>68</v>
      </c>
      <c r="L63" s="285"/>
      <c r="M63" s="285" t="s">
        <v>92</v>
      </c>
      <c r="N63" s="285"/>
      <c r="O63" s="285" t="s">
        <v>68</v>
      </c>
      <c r="P63" s="285"/>
      <c r="Q63" s="285" t="s">
        <v>92</v>
      </c>
      <c r="R63" s="285"/>
      <c r="S63" s="285" t="s">
        <v>47</v>
      </c>
      <c r="T63" s="285"/>
      <c r="U63" s="285" t="s">
        <v>47</v>
      </c>
      <c r="V63" s="285"/>
      <c r="W63" s="718" t="s">
        <v>84</v>
      </c>
      <c r="X63" s="285"/>
      <c r="Y63" s="750" t="s">
        <v>8</v>
      </c>
      <c r="Z63" s="285"/>
      <c r="AA63" s="718" t="s">
        <v>84</v>
      </c>
      <c r="AB63" s="285"/>
      <c r="AC63" s="718" t="s">
        <v>84</v>
      </c>
      <c r="AD63" s="285"/>
      <c r="AE63" s="718" t="s">
        <v>84</v>
      </c>
      <c r="AF63" s="285"/>
      <c r="AG63" s="285"/>
      <c r="AH63" s="285"/>
      <c r="AI63" s="288"/>
      <c r="AJ63" s="288"/>
      <c r="AK63" s="286">
        <f t="shared" si="4"/>
        <v>15</v>
      </c>
      <c r="AL63" s="287">
        <f t="shared" si="5"/>
        <v>15</v>
      </c>
      <c r="AM63" s="357"/>
      <c r="AN63" s="357"/>
      <c r="AO63" s="357"/>
      <c r="AP63" s="357"/>
      <c r="AQ63" s="357"/>
      <c r="AR63" s="357"/>
      <c r="AS63" s="357"/>
      <c r="AT63" s="357"/>
      <c r="AU63" s="357"/>
      <c r="AV63" s="357"/>
      <c r="AW63" s="357"/>
      <c r="AX63" s="357"/>
      <c r="AY63" s="357"/>
      <c r="AZ63" s="357"/>
      <c r="BA63" s="357"/>
      <c r="BB63" s="357"/>
      <c r="BC63" s="357"/>
      <c r="BD63" s="357"/>
      <c r="BE63" s="357"/>
      <c r="BF63" s="357"/>
    </row>
    <row r="64" spans="1:58" ht="40.049999999999997" customHeight="1" x14ac:dyDescent="0.65">
      <c r="A64" s="296" t="s">
        <v>198</v>
      </c>
      <c r="B64" s="297" t="s">
        <v>199</v>
      </c>
      <c r="C64" s="283"/>
      <c r="D64" s="284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  <c r="W64" s="285"/>
      <c r="X64" s="285"/>
      <c r="Y64" s="285"/>
      <c r="Z64" s="285"/>
      <c r="AA64" s="285"/>
      <c r="AB64" s="285"/>
      <c r="AC64" s="285"/>
      <c r="AD64" s="285"/>
      <c r="AE64" s="285"/>
      <c r="AF64" s="285"/>
      <c r="AG64" s="285"/>
      <c r="AH64" s="285"/>
      <c r="AI64" s="288"/>
      <c r="AJ64" s="288"/>
      <c r="AK64" s="286">
        <f t="shared" si="4"/>
        <v>0</v>
      </c>
      <c r="AL64" s="287">
        <f t="shared" si="5"/>
        <v>0</v>
      </c>
      <c r="AM64" s="357"/>
      <c r="AN64" s="357"/>
      <c r="AO64" s="357"/>
      <c r="AP64" s="357"/>
      <c r="AQ64" s="357"/>
      <c r="AR64" s="357"/>
      <c r="AS64" s="357"/>
      <c r="AT64" s="357"/>
      <c r="AU64" s="357"/>
      <c r="AV64" s="357"/>
      <c r="AW64" s="357"/>
      <c r="AX64" s="357"/>
      <c r="AY64" s="357"/>
      <c r="AZ64" s="357"/>
      <c r="BA64" s="357"/>
      <c r="BB64" s="357"/>
      <c r="BC64" s="357"/>
      <c r="BD64" s="357"/>
      <c r="BE64" s="357"/>
      <c r="BF64" s="357"/>
    </row>
    <row r="65" spans="1:58" ht="40.049999999999997" customHeight="1" x14ac:dyDescent="0.3">
      <c r="A65" s="308" t="s">
        <v>200</v>
      </c>
      <c r="B65" s="309" t="s">
        <v>176</v>
      </c>
      <c r="C65" s="283" t="s">
        <v>93</v>
      </c>
      <c r="D65" s="284"/>
      <c r="E65" s="283" t="s">
        <v>93</v>
      </c>
      <c r="F65" s="285"/>
      <c r="G65" s="288" t="s">
        <v>93</v>
      </c>
      <c r="H65" s="285"/>
      <c r="I65" s="285"/>
      <c r="J65" s="285"/>
      <c r="K65" s="285"/>
      <c r="L65" s="285"/>
      <c r="M65" s="285" t="s">
        <v>57</v>
      </c>
      <c r="N65" s="285"/>
      <c r="O65" s="285"/>
      <c r="P65" s="285"/>
      <c r="Q65" s="285"/>
      <c r="R65" s="285"/>
      <c r="S65" s="285" t="s">
        <v>38</v>
      </c>
      <c r="T65" s="285"/>
      <c r="U65" s="288"/>
      <c r="V65" s="285"/>
      <c r="W65" s="288"/>
      <c r="X65" s="285"/>
      <c r="Y65" s="288" t="s">
        <v>85</v>
      </c>
      <c r="Z65" s="285"/>
      <c r="AA65" s="288" t="s">
        <v>57</v>
      </c>
      <c r="AB65" s="285"/>
      <c r="AC65" s="288" t="s">
        <v>57</v>
      </c>
      <c r="AD65" s="285"/>
      <c r="AE65" s="285" t="s">
        <v>57</v>
      </c>
      <c r="AF65" s="285"/>
      <c r="AG65" s="285"/>
      <c r="AH65" s="285"/>
      <c r="AI65" s="288"/>
      <c r="AJ65" s="288"/>
      <c r="AK65" s="286">
        <f t="shared" si="4"/>
        <v>9</v>
      </c>
      <c r="AL65" s="287">
        <f t="shared" si="5"/>
        <v>9</v>
      </c>
    </row>
    <row r="66" spans="1:58" ht="40.049999999999997" customHeight="1" x14ac:dyDescent="0.3">
      <c r="A66" s="296" t="s">
        <v>201</v>
      </c>
      <c r="B66" s="297" t="s">
        <v>202</v>
      </c>
      <c r="C66" s="283"/>
      <c r="D66" s="284"/>
      <c r="E66" s="285"/>
      <c r="F66" s="285"/>
      <c r="G66" s="288"/>
      <c r="H66" s="285"/>
      <c r="I66" s="288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  <c r="W66" s="285"/>
      <c r="X66" s="285"/>
      <c r="Y66" s="285"/>
      <c r="Z66" s="285"/>
      <c r="AA66" s="285"/>
      <c r="AB66" s="285"/>
      <c r="AC66" s="285"/>
      <c r="AD66" s="285"/>
      <c r="AE66" s="288"/>
      <c r="AF66" s="285"/>
      <c r="AG66" s="285"/>
      <c r="AH66" s="285"/>
      <c r="AI66" s="285"/>
      <c r="AJ66" s="288"/>
      <c r="AK66" s="286">
        <f t="shared" si="4"/>
        <v>0</v>
      </c>
      <c r="AL66" s="287">
        <f t="shared" si="5"/>
        <v>0</v>
      </c>
    </row>
    <row r="67" spans="1:58" ht="40.049999999999997" customHeight="1" x14ac:dyDescent="0.3">
      <c r="A67" s="308" t="s">
        <v>203</v>
      </c>
      <c r="B67" s="309" t="s">
        <v>204</v>
      </c>
      <c r="C67" s="283"/>
      <c r="D67" s="284"/>
      <c r="E67" s="285"/>
      <c r="F67" s="285"/>
      <c r="G67" s="285"/>
      <c r="H67" s="285"/>
      <c r="I67" s="285"/>
      <c r="J67" s="285"/>
      <c r="K67" s="285"/>
      <c r="L67" s="285"/>
      <c r="M67" s="285" t="s">
        <v>57</v>
      </c>
      <c r="N67" s="285"/>
      <c r="O67" s="285"/>
      <c r="P67" s="285"/>
      <c r="Q67" s="307"/>
      <c r="R67" s="285"/>
      <c r="S67" s="307" t="s">
        <v>38</v>
      </c>
      <c r="T67" s="285"/>
      <c r="U67" s="307"/>
      <c r="V67" s="285"/>
      <c r="W67" s="307"/>
      <c r="X67" s="285"/>
      <c r="Y67" s="307"/>
      <c r="Z67" s="285"/>
      <c r="AA67" s="307" t="s">
        <v>57</v>
      </c>
      <c r="AB67" s="285"/>
      <c r="AC67" s="307" t="s">
        <v>57</v>
      </c>
      <c r="AD67" s="285"/>
      <c r="AE67" s="307" t="s">
        <v>57</v>
      </c>
      <c r="AF67" s="285"/>
      <c r="AG67" s="285"/>
      <c r="AH67" s="285"/>
      <c r="AI67" s="285"/>
      <c r="AJ67" s="288"/>
      <c r="AK67" s="286">
        <f t="shared" si="4"/>
        <v>5</v>
      </c>
      <c r="AL67" s="287">
        <f t="shared" si="5"/>
        <v>5</v>
      </c>
    </row>
    <row r="68" spans="1:58" ht="40.049999999999997" customHeight="1" x14ac:dyDescent="0.65">
      <c r="A68" s="289" t="s">
        <v>205</v>
      </c>
      <c r="B68" s="290" t="s">
        <v>206</v>
      </c>
      <c r="C68" s="291"/>
      <c r="D68" s="292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3"/>
      <c r="AC68" s="293"/>
      <c r="AD68" s="293"/>
      <c r="AE68" s="293"/>
      <c r="AF68" s="293"/>
      <c r="AG68" s="293"/>
      <c r="AH68" s="293"/>
      <c r="AI68" s="294"/>
      <c r="AJ68" s="294"/>
      <c r="AK68" s="349"/>
      <c r="AL68" s="350"/>
      <c r="AM68" s="357"/>
      <c r="AN68" s="357"/>
      <c r="AO68" s="357"/>
      <c r="AP68" s="357"/>
      <c r="AQ68" s="357"/>
      <c r="AR68" s="357"/>
      <c r="AS68" s="357"/>
      <c r="AT68" s="357"/>
      <c r="AU68" s="357"/>
      <c r="AV68" s="357"/>
      <c r="AW68" s="357"/>
      <c r="AX68" s="357"/>
      <c r="AY68" s="357"/>
      <c r="AZ68" s="357"/>
      <c r="BA68" s="357"/>
      <c r="BB68" s="357"/>
      <c r="BC68" s="357"/>
      <c r="BD68" s="357"/>
      <c r="BE68" s="357"/>
      <c r="BF68" s="357"/>
    </row>
    <row r="69" spans="1:58" ht="40.049999999999997" customHeight="1" x14ac:dyDescent="0.3">
      <c r="A69" s="281" t="s">
        <v>207</v>
      </c>
      <c r="B69" s="282" t="s">
        <v>208</v>
      </c>
      <c r="C69" s="284" t="s">
        <v>85</v>
      </c>
      <c r="D69" s="284"/>
      <c r="E69" s="285" t="s">
        <v>85</v>
      </c>
      <c r="F69" s="285"/>
      <c r="G69" s="285" t="s">
        <v>85</v>
      </c>
      <c r="H69" s="285"/>
      <c r="I69" s="285"/>
      <c r="J69" s="285"/>
      <c r="K69" s="285"/>
      <c r="L69" s="285"/>
      <c r="M69" s="750" t="s">
        <v>8</v>
      </c>
      <c r="N69" s="285"/>
      <c r="O69" s="285" t="s">
        <v>85</v>
      </c>
      <c r="P69" s="285"/>
      <c r="Q69" s="285"/>
      <c r="R69" s="285"/>
      <c r="S69" s="285" t="s">
        <v>92</v>
      </c>
      <c r="T69" s="285"/>
      <c r="U69" s="285"/>
      <c r="V69" s="285"/>
      <c r="W69" s="285"/>
      <c r="X69" s="285"/>
      <c r="Y69" s="285" t="s">
        <v>77</v>
      </c>
      <c r="Z69" s="285"/>
      <c r="AA69" s="285" t="s">
        <v>92</v>
      </c>
      <c r="AB69" s="285"/>
      <c r="AC69" s="285" t="s">
        <v>92</v>
      </c>
      <c r="AD69" s="285"/>
      <c r="AE69" s="285" t="s">
        <v>92</v>
      </c>
      <c r="AF69" s="285"/>
      <c r="AG69" s="285"/>
      <c r="AH69" s="285"/>
      <c r="AI69" s="288"/>
      <c r="AJ69" s="288"/>
      <c r="AK69" s="286">
        <f>COUNTIF(C69:AJ69,"&gt;=R")</f>
        <v>10</v>
      </c>
      <c r="AL69" s="287">
        <f>AK69</f>
        <v>10</v>
      </c>
    </row>
    <row r="70" spans="1:58" ht="40.049999999999997" customHeight="1" x14ac:dyDescent="0.3">
      <c r="A70" s="289" t="s">
        <v>209</v>
      </c>
      <c r="B70" s="290" t="s">
        <v>210</v>
      </c>
      <c r="C70" s="291"/>
      <c r="D70" s="292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4"/>
      <c r="AJ70" s="294"/>
      <c r="AK70" s="349"/>
      <c r="AL70" s="350"/>
    </row>
    <row r="71" spans="1:58" ht="40.049999999999997" customHeight="1" x14ac:dyDescent="0.3">
      <c r="A71" s="281" t="s">
        <v>211</v>
      </c>
      <c r="B71" s="282" t="s">
        <v>212</v>
      </c>
      <c r="C71" s="283"/>
      <c r="D71" s="284"/>
      <c r="E71" s="285"/>
      <c r="F71" s="285"/>
      <c r="G71" s="285"/>
      <c r="H71" s="285"/>
      <c r="I71" s="285"/>
      <c r="J71" s="285"/>
      <c r="K71" s="285"/>
      <c r="L71" s="285"/>
      <c r="M71" s="285"/>
      <c r="N71" s="285"/>
      <c r="O71" s="285"/>
      <c r="P71" s="285"/>
      <c r="Q71" s="285"/>
      <c r="R71" s="285"/>
      <c r="S71" s="285"/>
      <c r="T71" s="285"/>
      <c r="U71" s="285"/>
      <c r="V71" s="285"/>
      <c r="W71" s="285"/>
      <c r="X71" s="285"/>
      <c r="Y71" s="285"/>
      <c r="Z71" s="285"/>
      <c r="AA71" s="285"/>
      <c r="AB71" s="285"/>
      <c r="AC71" s="285" t="s">
        <v>77</v>
      </c>
      <c r="AD71" s="285"/>
      <c r="AE71" s="285"/>
      <c r="AF71" s="285"/>
      <c r="AG71" s="285"/>
      <c r="AH71" s="285"/>
      <c r="AI71" s="288"/>
      <c r="AJ71" s="288"/>
      <c r="AK71" s="286">
        <f>COUNTIF(C71:AJ71,"&gt;=R")</f>
        <v>1</v>
      </c>
      <c r="AL71" s="287">
        <f>AK71</f>
        <v>1</v>
      </c>
    </row>
    <row r="72" spans="1:58" ht="40.049999999999997" customHeight="1" x14ac:dyDescent="0.3">
      <c r="A72" s="281" t="s">
        <v>213</v>
      </c>
      <c r="B72" s="282" t="s">
        <v>214</v>
      </c>
      <c r="C72" s="283"/>
      <c r="D72" s="284"/>
      <c r="E72" s="299" t="s">
        <v>93</v>
      </c>
      <c r="F72" s="285"/>
      <c r="G72" s="285"/>
      <c r="H72" s="285"/>
      <c r="I72" s="285"/>
      <c r="J72" s="285"/>
      <c r="K72" s="285"/>
      <c r="L72" s="285"/>
      <c r="M72" s="288" t="s">
        <v>93</v>
      </c>
      <c r="N72" s="285"/>
      <c r="O72" s="285"/>
      <c r="P72" s="285"/>
      <c r="Q72" s="285" t="s">
        <v>93</v>
      </c>
      <c r="R72" s="285"/>
      <c r="S72" s="285"/>
      <c r="T72" s="285"/>
      <c r="U72" s="285"/>
      <c r="V72" s="285"/>
      <c r="W72" s="285" t="s">
        <v>93</v>
      </c>
      <c r="X72" s="285"/>
      <c r="Y72" s="285" t="s">
        <v>93</v>
      </c>
      <c r="Z72" s="285"/>
      <c r="AA72" s="285" t="s">
        <v>93</v>
      </c>
      <c r="AB72" s="285"/>
      <c r="AC72" s="285" t="s">
        <v>93</v>
      </c>
      <c r="AD72" s="285"/>
      <c r="AE72" s="285" t="s">
        <v>93</v>
      </c>
      <c r="AF72" s="285"/>
      <c r="AG72" s="285"/>
      <c r="AH72" s="285"/>
      <c r="AI72" s="285"/>
      <c r="AJ72" s="288"/>
      <c r="AK72" s="286">
        <f>COUNTIF(C72:AJ72,"&gt;=R")</f>
        <v>8</v>
      </c>
      <c r="AL72" s="287">
        <f>AK72</f>
        <v>8</v>
      </c>
    </row>
    <row r="73" spans="1:58" ht="40.049999999999997" customHeight="1" x14ac:dyDescent="0.65">
      <c r="A73" s="289" t="s">
        <v>215</v>
      </c>
      <c r="B73" s="290" t="s">
        <v>216</v>
      </c>
      <c r="C73" s="291"/>
      <c r="D73" s="292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3"/>
      <c r="AC73" s="293"/>
      <c r="AD73" s="293"/>
      <c r="AE73" s="293"/>
      <c r="AF73" s="293"/>
      <c r="AG73" s="293"/>
      <c r="AH73" s="293"/>
      <c r="AI73" s="294"/>
      <c r="AJ73" s="294"/>
      <c r="AK73" s="349"/>
      <c r="AL73" s="350"/>
      <c r="AM73" s="357"/>
      <c r="AN73" s="357"/>
      <c r="AO73" s="357"/>
      <c r="AP73" s="357"/>
      <c r="AQ73" s="357"/>
      <c r="AR73" s="357"/>
      <c r="AS73" s="357"/>
      <c r="AT73" s="357"/>
      <c r="AU73" s="357"/>
      <c r="AV73" s="357"/>
      <c r="AW73" s="357"/>
      <c r="AX73" s="357"/>
      <c r="AY73" s="357"/>
      <c r="AZ73" s="357"/>
      <c r="BA73" s="357"/>
      <c r="BB73" s="357"/>
      <c r="BC73" s="357"/>
      <c r="BD73" s="357"/>
      <c r="BE73" s="357"/>
      <c r="BF73" s="357"/>
    </row>
    <row r="74" spans="1:58" ht="40.049999999999997" customHeight="1" x14ac:dyDescent="0.3">
      <c r="A74" s="281" t="s">
        <v>217</v>
      </c>
      <c r="B74" s="282" t="s">
        <v>218</v>
      </c>
      <c r="C74" s="283"/>
      <c r="D74" s="284"/>
      <c r="E74" s="283"/>
      <c r="F74" s="285"/>
      <c r="G74" s="283"/>
      <c r="H74" s="285"/>
      <c r="I74" s="283" t="s">
        <v>93</v>
      </c>
      <c r="J74" s="285"/>
      <c r="K74" s="285" t="s">
        <v>93</v>
      </c>
      <c r="L74" s="285"/>
      <c r="M74" s="285"/>
      <c r="N74" s="285"/>
      <c r="O74" s="285"/>
      <c r="P74" s="285"/>
      <c r="Q74" s="285" t="s">
        <v>93</v>
      </c>
      <c r="R74" s="285"/>
      <c r="S74" s="285"/>
      <c r="T74" s="288"/>
      <c r="U74" s="285"/>
      <c r="V74" s="288"/>
      <c r="W74" s="285" t="s">
        <v>93</v>
      </c>
      <c r="X74" s="288"/>
      <c r="Y74" s="307" t="s">
        <v>93</v>
      </c>
      <c r="Z74" s="285"/>
      <c r="AA74" s="307" t="s">
        <v>85</v>
      </c>
      <c r="AB74" s="285"/>
      <c r="AC74" s="307" t="s">
        <v>85</v>
      </c>
      <c r="AD74" s="285"/>
      <c r="AE74" s="283" t="s">
        <v>85</v>
      </c>
      <c r="AF74" s="285"/>
      <c r="AG74" s="307"/>
      <c r="AH74" s="285"/>
      <c r="AI74" s="283"/>
      <c r="AJ74" s="288"/>
      <c r="AK74" s="286">
        <f>COUNTIF(C74:AJ74,"&gt;=R")</f>
        <v>8</v>
      </c>
      <c r="AL74" s="287">
        <f>AK74</f>
        <v>8</v>
      </c>
    </row>
    <row r="75" spans="1:58" ht="40.049999999999997" customHeight="1" x14ac:dyDescent="0.65">
      <c r="A75" s="289" t="s">
        <v>219</v>
      </c>
      <c r="B75" s="290" t="s">
        <v>220</v>
      </c>
      <c r="C75" s="291"/>
      <c r="D75" s="292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3"/>
      <c r="W75" s="293"/>
      <c r="X75" s="293"/>
      <c r="Y75" s="293"/>
      <c r="Z75" s="293"/>
      <c r="AA75" s="293"/>
      <c r="AB75" s="293"/>
      <c r="AC75" s="293"/>
      <c r="AD75" s="293"/>
      <c r="AE75" s="293"/>
      <c r="AF75" s="293"/>
      <c r="AG75" s="293"/>
      <c r="AH75" s="293"/>
      <c r="AI75" s="294"/>
      <c r="AJ75" s="294"/>
      <c r="AK75" s="349"/>
      <c r="AL75" s="350"/>
      <c r="AM75" s="357"/>
      <c r="AN75" s="357"/>
      <c r="AO75" s="357"/>
      <c r="AP75" s="357"/>
      <c r="AQ75" s="357"/>
      <c r="AR75" s="357"/>
      <c r="AS75" s="357"/>
      <c r="AT75" s="357"/>
      <c r="AU75" s="357"/>
      <c r="AV75" s="357"/>
      <c r="AW75" s="357"/>
      <c r="AX75" s="357"/>
      <c r="AY75" s="357"/>
      <c r="AZ75" s="357"/>
      <c r="BA75" s="357"/>
      <c r="BB75" s="357"/>
      <c r="BC75" s="357"/>
      <c r="BD75" s="357"/>
      <c r="BE75" s="357"/>
      <c r="BF75" s="357"/>
    </row>
    <row r="76" spans="1:58" ht="40.049999999999997" customHeight="1" x14ac:dyDescent="0.3">
      <c r="A76" s="281" t="s">
        <v>221</v>
      </c>
      <c r="B76" s="282" t="s">
        <v>222</v>
      </c>
      <c r="C76" s="284" t="s">
        <v>85</v>
      </c>
      <c r="D76" s="284"/>
      <c r="E76" s="285" t="s">
        <v>85</v>
      </c>
      <c r="F76" s="285"/>
      <c r="G76" s="285" t="s">
        <v>85</v>
      </c>
      <c r="H76" s="285"/>
      <c r="I76" s="285" t="s">
        <v>93</v>
      </c>
      <c r="J76" s="285"/>
      <c r="K76" s="285" t="s">
        <v>93</v>
      </c>
      <c r="L76" s="285"/>
      <c r="M76" s="285" t="s">
        <v>92</v>
      </c>
      <c r="N76" s="285"/>
      <c r="O76" s="285" t="s">
        <v>85</v>
      </c>
      <c r="P76" s="285"/>
      <c r="Q76" s="285" t="s">
        <v>93</v>
      </c>
      <c r="R76" s="285"/>
      <c r="S76" s="285" t="s">
        <v>37</v>
      </c>
      <c r="T76" s="285"/>
      <c r="U76" s="285" t="s">
        <v>17</v>
      </c>
      <c r="V76" s="285"/>
      <c r="W76" s="285" t="s">
        <v>17</v>
      </c>
      <c r="X76" s="285"/>
      <c r="Y76" s="285" t="s">
        <v>17</v>
      </c>
      <c r="Z76" s="285"/>
      <c r="AA76" s="288" t="s">
        <v>7</v>
      </c>
      <c r="AB76" s="285"/>
      <c r="AC76" s="285" t="s">
        <v>7</v>
      </c>
      <c r="AD76" s="285"/>
      <c r="AE76" s="285" t="s">
        <v>7</v>
      </c>
      <c r="AF76" s="285"/>
      <c r="AG76" s="285"/>
      <c r="AH76" s="285"/>
      <c r="AI76" s="288"/>
      <c r="AJ76" s="288"/>
      <c r="AK76" s="286">
        <f>COUNTIF(C76:AJ76,"&gt;=R")</f>
        <v>15</v>
      </c>
      <c r="AL76" s="287">
        <f>AK76</f>
        <v>15</v>
      </c>
    </row>
    <row r="77" spans="1:58" ht="40.049999999999997" customHeight="1" x14ac:dyDescent="0.3">
      <c r="A77" s="300" t="s">
        <v>223</v>
      </c>
      <c r="B77" s="301" t="s">
        <v>224</v>
      </c>
      <c r="C77" s="283"/>
      <c r="D77" s="284"/>
      <c r="E77" s="285"/>
      <c r="F77" s="285"/>
      <c r="G77" s="285"/>
      <c r="H77" s="285"/>
      <c r="I77" s="285"/>
      <c r="J77" s="285"/>
      <c r="K77" s="285"/>
      <c r="L77" s="285"/>
      <c r="M77" s="285"/>
      <c r="N77" s="285"/>
      <c r="O77" s="285"/>
      <c r="P77" s="285"/>
      <c r="Q77" s="285"/>
      <c r="R77" s="285"/>
      <c r="S77" s="285"/>
      <c r="T77" s="285"/>
      <c r="U77" s="285"/>
      <c r="V77" s="285"/>
      <c r="W77" s="285"/>
      <c r="X77" s="285"/>
      <c r="Y77" s="285"/>
      <c r="Z77" s="285"/>
      <c r="AA77" s="285"/>
      <c r="AB77" s="285"/>
      <c r="AC77" s="285"/>
      <c r="AD77" s="285"/>
      <c r="AE77" s="285"/>
      <c r="AF77" s="285"/>
      <c r="AG77" s="285"/>
      <c r="AH77" s="285"/>
      <c r="AI77" s="285"/>
      <c r="AJ77" s="288"/>
      <c r="AK77" s="286"/>
      <c r="AL77" s="287"/>
    </row>
    <row r="78" spans="1:58" ht="40.049999999999997" customHeight="1" x14ac:dyDescent="0.3">
      <c r="A78" s="281" t="s">
        <v>225</v>
      </c>
      <c r="B78" s="282" t="s">
        <v>226</v>
      </c>
      <c r="C78" s="283" t="s">
        <v>85</v>
      </c>
      <c r="D78" s="284"/>
      <c r="E78" s="285" t="s">
        <v>85</v>
      </c>
      <c r="F78" s="285"/>
      <c r="G78" s="285" t="s">
        <v>85</v>
      </c>
      <c r="H78" s="285"/>
      <c r="I78" s="285"/>
      <c r="J78" s="285"/>
      <c r="K78" s="285"/>
      <c r="L78" s="285"/>
      <c r="M78" s="285" t="s">
        <v>92</v>
      </c>
      <c r="N78" s="285"/>
      <c r="O78" s="285" t="s">
        <v>85</v>
      </c>
      <c r="P78" s="285"/>
      <c r="Q78" s="285"/>
      <c r="R78" s="285"/>
      <c r="S78" s="285" t="s">
        <v>37</v>
      </c>
      <c r="T78" s="285"/>
      <c r="U78" s="285" t="s">
        <v>17</v>
      </c>
      <c r="V78" s="285"/>
      <c r="W78" s="285" t="s">
        <v>17</v>
      </c>
      <c r="X78" s="285"/>
      <c r="Y78" s="285" t="s">
        <v>17</v>
      </c>
      <c r="Z78" s="285"/>
      <c r="AA78" s="288" t="s">
        <v>7</v>
      </c>
      <c r="AB78" s="285"/>
      <c r="AC78" s="285" t="s">
        <v>7</v>
      </c>
      <c r="AD78" s="285"/>
      <c r="AE78" s="285" t="s">
        <v>7</v>
      </c>
      <c r="AF78" s="285"/>
      <c r="AG78" s="285"/>
      <c r="AH78" s="285"/>
      <c r="AI78" s="285"/>
      <c r="AJ78" s="288"/>
      <c r="AK78" s="286">
        <f>COUNTIF(C78:AJ78,"&gt;=R")</f>
        <v>12</v>
      </c>
      <c r="AL78" s="287">
        <f>AK78</f>
        <v>12</v>
      </c>
    </row>
    <row r="79" spans="1:58" ht="40.049999999999997" customHeight="1" x14ac:dyDescent="0.65">
      <c r="A79" s="281" t="s">
        <v>227</v>
      </c>
      <c r="B79" s="282" t="s">
        <v>228</v>
      </c>
      <c r="C79" s="283"/>
      <c r="D79" s="284"/>
      <c r="E79" s="283"/>
      <c r="F79" s="285"/>
      <c r="G79" s="283"/>
      <c r="H79" s="285"/>
      <c r="I79" s="283"/>
      <c r="J79" s="285"/>
      <c r="K79" s="283"/>
      <c r="L79" s="285"/>
      <c r="M79" s="283"/>
      <c r="N79" s="285"/>
      <c r="O79" s="283"/>
      <c r="P79" s="285"/>
      <c r="Q79" s="283"/>
      <c r="R79" s="285"/>
      <c r="S79" s="283"/>
      <c r="T79" s="285"/>
      <c r="U79" s="283"/>
      <c r="V79" s="285"/>
      <c r="W79" s="283"/>
      <c r="X79" s="285"/>
      <c r="Y79" s="283"/>
      <c r="Z79" s="285"/>
      <c r="AA79" s="283"/>
      <c r="AB79" s="285"/>
      <c r="AC79" s="283"/>
      <c r="AD79" s="285"/>
      <c r="AE79" s="283"/>
      <c r="AF79" s="285"/>
      <c r="AG79" s="283"/>
      <c r="AH79" s="285"/>
      <c r="AI79" s="283"/>
      <c r="AJ79" s="288"/>
      <c r="AK79" s="286">
        <f>COUNTIF(C79:AJ79,"&gt;=R")</f>
        <v>0</v>
      </c>
      <c r="AL79" s="287">
        <f>AK79</f>
        <v>0</v>
      </c>
      <c r="AM79" s="357"/>
      <c r="AN79" s="357"/>
      <c r="AO79" s="357"/>
      <c r="AP79" s="357"/>
      <c r="AQ79" s="357"/>
      <c r="AR79" s="357"/>
      <c r="AS79" s="357"/>
      <c r="AT79" s="357"/>
      <c r="AU79" s="357"/>
      <c r="AV79" s="357"/>
      <c r="AW79" s="357"/>
      <c r="AX79" s="357"/>
      <c r="AY79" s="357"/>
      <c r="AZ79" s="357"/>
      <c r="BA79" s="357"/>
      <c r="BB79" s="357"/>
      <c r="BC79" s="357"/>
      <c r="BD79" s="357"/>
      <c r="BE79" s="357"/>
      <c r="BF79" s="357"/>
    </row>
    <row r="80" spans="1:58" ht="40.049999999999997" customHeight="1" x14ac:dyDescent="0.3">
      <c r="A80" s="281" t="s">
        <v>229</v>
      </c>
      <c r="B80" s="282" t="s">
        <v>230</v>
      </c>
      <c r="C80" s="283"/>
      <c r="D80" s="284"/>
      <c r="E80" s="283"/>
      <c r="F80" s="285"/>
      <c r="G80" s="283"/>
      <c r="H80" s="285"/>
      <c r="I80" s="283"/>
      <c r="J80" s="285"/>
      <c r="K80" s="283"/>
      <c r="L80" s="285"/>
      <c r="M80" s="283"/>
      <c r="N80" s="285"/>
      <c r="O80" s="283"/>
      <c r="P80" s="285"/>
      <c r="Q80" s="283"/>
      <c r="R80" s="285"/>
      <c r="S80" s="283"/>
      <c r="T80" s="285"/>
      <c r="U80" s="283"/>
      <c r="V80" s="285"/>
      <c r="W80" s="283"/>
      <c r="X80" s="285"/>
      <c r="Y80" s="283"/>
      <c r="Z80" s="285"/>
      <c r="AA80" s="283"/>
      <c r="AB80" s="285"/>
      <c r="AC80" s="283"/>
      <c r="AD80" s="285"/>
      <c r="AE80" s="283"/>
      <c r="AF80" s="285"/>
      <c r="AG80" s="283"/>
      <c r="AH80" s="285"/>
      <c r="AI80" s="283"/>
      <c r="AJ80" s="288"/>
      <c r="AK80" s="286">
        <f>COUNTIF(C80:AJ80,"&gt;=R")</f>
        <v>0</v>
      </c>
      <c r="AL80" s="287">
        <f>AK80</f>
        <v>0</v>
      </c>
    </row>
    <row r="81" spans="1:58" ht="40.049999999999997" customHeight="1" x14ac:dyDescent="0.65">
      <c r="A81" s="281" t="s">
        <v>231</v>
      </c>
      <c r="B81" s="282" t="s">
        <v>232</v>
      </c>
      <c r="C81" s="283" t="s">
        <v>85</v>
      </c>
      <c r="D81" s="283"/>
      <c r="E81" s="307" t="s">
        <v>93</v>
      </c>
      <c r="F81" s="285"/>
      <c r="G81" s="285" t="s">
        <v>85</v>
      </c>
      <c r="H81" s="285"/>
      <c r="I81" s="285"/>
      <c r="J81" s="285"/>
      <c r="K81" s="285"/>
      <c r="L81" s="285"/>
      <c r="M81" s="285" t="s">
        <v>92</v>
      </c>
      <c r="N81" s="285"/>
      <c r="O81" s="285" t="s">
        <v>85</v>
      </c>
      <c r="P81" s="285"/>
      <c r="Q81" s="285"/>
      <c r="R81" s="285"/>
      <c r="S81" s="285" t="s">
        <v>37</v>
      </c>
      <c r="T81" s="285"/>
      <c r="U81" s="285" t="s">
        <v>76</v>
      </c>
      <c r="V81" s="285"/>
      <c r="W81" s="285" t="s">
        <v>76</v>
      </c>
      <c r="X81" s="285"/>
      <c r="Y81" s="285" t="s">
        <v>76</v>
      </c>
      <c r="Z81" s="285"/>
      <c r="AA81" s="285" t="s">
        <v>17</v>
      </c>
      <c r="AB81" s="285"/>
      <c r="AC81" s="285" t="s">
        <v>17</v>
      </c>
      <c r="AD81" s="285"/>
      <c r="AE81" s="285" t="s">
        <v>17</v>
      </c>
      <c r="AF81" s="285"/>
      <c r="AG81" s="285"/>
      <c r="AH81" s="285"/>
      <c r="AI81" s="285"/>
      <c r="AJ81" s="288"/>
      <c r="AK81" s="286">
        <f>COUNTIF(C81:AJ81,"&gt;=R")</f>
        <v>12</v>
      </c>
      <c r="AL81" s="287">
        <f>AK81</f>
        <v>12</v>
      </c>
      <c r="AM81" s="357"/>
      <c r="AN81" s="357"/>
      <c r="AO81" s="357"/>
      <c r="AP81" s="357"/>
      <c r="AQ81" s="357"/>
      <c r="AR81" s="357"/>
      <c r="AS81" s="357"/>
      <c r="AT81" s="357"/>
      <c r="AU81" s="357"/>
      <c r="AV81" s="357"/>
      <c r="AW81" s="357"/>
      <c r="AX81" s="357"/>
      <c r="AY81" s="357"/>
      <c r="AZ81" s="357"/>
      <c r="BA81" s="357"/>
      <c r="BB81" s="357"/>
      <c r="BC81" s="357"/>
      <c r="BD81" s="357"/>
      <c r="BE81" s="357"/>
      <c r="BF81" s="357"/>
    </row>
    <row r="82" spans="1:58" ht="40.049999999999997" customHeight="1" x14ac:dyDescent="0.65">
      <c r="A82" s="357" t="s">
        <v>233</v>
      </c>
      <c r="B82" s="890" t="s">
        <v>234</v>
      </c>
      <c r="C82" s="283" t="s">
        <v>85</v>
      </c>
      <c r="D82" s="283"/>
      <c r="E82" s="307" t="s">
        <v>93</v>
      </c>
      <c r="F82" s="285"/>
      <c r="G82" s="285" t="s">
        <v>85</v>
      </c>
      <c r="H82" s="285"/>
      <c r="I82" s="285"/>
      <c r="J82" s="285"/>
      <c r="K82" s="285"/>
      <c r="L82" s="285"/>
      <c r="M82" s="285" t="s">
        <v>92</v>
      </c>
      <c r="N82" s="285"/>
      <c r="O82" s="285" t="s">
        <v>85</v>
      </c>
      <c r="P82" s="285"/>
      <c r="Q82" s="285"/>
      <c r="R82" s="285"/>
      <c r="S82" s="285" t="s">
        <v>37</v>
      </c>
      <c r="T82" s="285"/>
      <c r="U82" s="285" t="s">
        <v>76</v>
      </c>
      <c r="V82" s="285"/>
      <c r="W82" s="285" t="s">
        <v>76</v>
      </c>
      <c r="X82" s="285"/>
      <c r="Y82" s="285" t="s">
        <v>76</v>
      </c>
      <c r="Z82" s="285"/>
      <c r="AA82" s="285" t="s">
        <v>17</v>
      </c>
      <c r="AB82" s="285"/>
      <c r="AC82" s="285" t="s">
        <v>17</v>
      </c>
      <c r="AD82" s="285"/>
      <c r="AE82" s="285" t="s">
        <v>17</v>
      </c>
      <c r="AF82" s="285"/>
      <c r="AG82" s="285"/>
      <c r="AH82" s="285"/>
      <c r="AI82" s="285"/>
      <c r="AJ82" s="288"/>
      <c r="AK82" s="286">
        <f>COUNTIF(C82:AJ82,"&gt;=R")</f>
        <v>12</v>
      </c>
      <c r="AL82" s="287">
        <f>AK82</f>
        <v>12</v>
      </c>
    </row>
    <row r="83" spans="1:58" ht="40.049999999999997" customHeight="1" x14ac:dyDescent="0.3">
      <c r="A83" s="289" t="s">
        <v>235</v>
      </c>
      <c r="B83" s="290" t="s">
        <v>236</v>
      </c>
      <c r="C83" s="291"/>
      <c r="D83" s="292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/>
      <c r="W83" s="293"/>
      <c r="X83" s="293"/>
      <c r="Y83" s="293"/>
      <c r="Z83" s="293"/>
      <c r="AA83" s="293"/>
      <c r="AB83" s="293"/>
      <c r="AC83" s="293"/>
      <c r="AD83" s="293"/>
      <c r="AE83" s="293"/>
      <c r="AF83" s="293"/>
      <c r="AG83" s="293"/>
      <c r="AH83" s="293"/>
      <c r="AI83" s="294"/>
      <c r="AJ83" s="294"/>
      <c r="AK83" s="349"/>
      <c r="AL83" s="350"/>
    </row>
    <row r="84" spans="1:58" ht="40.049999999999997" customHeight="1" x14ac:dyDescent="0.3">
      <c r="A84" s="296" t="s">
        <v>237</v>
      </c>
      <c r="B84" s="297" t="s">
        <v>238</v>
      </c>
      <c r="C84" s="283"/>
      <c r="D84" s="283"/>
      <c r="E84" s="299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5"/>
      <c r="V84" s="285"/>
      <c r="W84" s="285"/>
      <c r="X84" s="285"/>
      <c r="Y84" s="285"/>
      <c r="Z84" s="285"/>
      <c r="AA84" s="285"/>
      <c r="AB84" s="285"/>
      <c r="AC84" s="285"/>
      <c r="AD84" s="285"/>
      <c r="AE84" s="285"/>
      <c r="AF84" s="285"/>
      <c r="AG84" s="285"/>
      <c r="AH84" s="285"/>
      <c r="AI84" s="288"/>
      <c r="AJ84" s="288"/>
      <c r="AK84" s="286">
        <f>COUNTIF(C84:AJ84,"&gt;=R")</f>
        <v>0</v>
      </c>
      <c r="AL84" s="287">
        <f>AK84</f>
        <v>0</v>
      </c>
    </row>
    <row r="85" spans="1:58" ht="40.049999999999997" customHeight="1" x14ac:dyDescent="0.65">
      <c r="A85" s="281" t="s">
        <v>239</v>
      </c>
      <c r="B85" s="282" t="s">
        <v>139</v>
      </c>
      <c r="C85" s="284"/>
      <c r="D85" s="283"/>
      <c r="E85" s="285"/>
      <c r="F85" s="285"/>
      <c r="G85" s="285"/>
      <c r="H85" s="285"/>
      <c r="I85" s="285"/>
      <c r="J85" s="285"/>
      <c r="K85" s="285"/>
      <c r="L85" s="285"/>
      <c r="M85" s="285"/>
      <c r="N85" s="285"/>
      <c r="O85" s="285"/>
      <c r="P85" s="285"/>
      <c r="Q85" s="285"/>
      <c r="R85" s="285"/>
      <c r="S85" s="285"/>
      <c r="T85" s="285"/>
      <c r="U85" s="285"/>
      <c r="V85" s="285"/>
      <c r="W85" s="285"/>
      <c r="X85" s="285"/>
      <c r="Y85" s="283"/>
      <c r="Z85" s="285"/>
      <c r="AA85" s="283"/>
      <c r="AB85" s="285"/>
      <c r="AC85" s="283"/>
      <c r="AD85" s="285"/>
      <c r="AE85" s="283"/>
      <c r="AF85" s="285"/>
      <c r="AG85" s="283"/>
      <c r="AH85" s="285"/>
      <c r="AI85" s="283"/>
      <c r="AJ85" s="288"/>
      <c r="AK85" s="286">
        <f>COUNTIF(C85:AJ85,"&gt;=R")</f>
        <v>0</v>
      </c>
      <c r="AL85" s="287">
        <f>AK85</f>
        <v>0</v>
      </c>
      <c r="AM85" s="357"/>
      <c r="AN85" s="357"/>
      <c r="AO85" s="357"/>
      <c r="AP85" s="357"/>
      <c r="AQ85" s="357"/>
      <c r="AR85" s="357"/>
      <c r="AS85" s="357"/>
      <c r="AT85" s="357"/>
      <c r="AU85" s="357"/>
      <c r="AV85" s="357"/>
      <c r="AW85" s="357"/>
      <c r="AX85" s="357"/>
      <c r="AY85" s="357"/>
      <c r="AZ85" s="357"/>
      <c r="BA85" s="357"/>
      <c r="BB85" s="357"/>
      <c r="BC85" s="357"/>
      <c r="BD85" s="357"/>
      <c r="BE85" s="357"/>
      <c r="BF85" s="357"/>
    </row>
    <row r="86" spans="1:58" ht="40.049999999999997" customHeight="1" x14ac:dyDescent="0.3">
      <c r="A86" s="296" t="s">
        <v>240</v>
      </c>
      <c r="B86" s="297" t="s">
        <v>241</v>
      </c>
      <c r="C86" s="283"/>
      <c r="D86" s="283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5"/>
      <c r="V86" s="285"/>
      <c r="W86" s="285"/>
      <c r="X86" s="285"/>
      <c r="Y86" s="285"/>
      <c r="Z86" s="285"/>
      <c r="AA86" s="285"/>
      <c r="AB86" s="285"/>
      <c r="AC86" s="285"/>
      <c r="AD86" s="285"/>
      <c r="AE86" s="285"/>
      <c r="AF86" s="285"/>
      <c r="AG86" s="285"/>
      <c r="AH86" s="285"/>
      <c r="AI86" s="285"/>
      <c r="AJ86" s="288"/>
      <c r="AK86" s="286"/>
      <c r="AL86" s="287"/>
    </row>
    <row r="87" spans="1:58" ht="40.049999999999997" customHeight="1" x14ac:dyDescent="0.3">
      <c r="A87" s="308" t="s">
        <v>242</v>
      </c>
      <c r="B87" s="309" t="s">
        <v>243</v>
      </c>
      <c r="C87" s="284"/>
      <c r="D87" s="283"/>
      <c r="E87" s="285"/>
      <c r="F87" s="285"/>
      <c r="G87" s="285"/>
      <c r="H87" s="285"/>
      <c r="I87" s="285"/>
      <c r="J87" s="285"/>
      <c r="K87" s="285"/>
      <c r="L87" s="285"/>
      <c r="M87" s="285"/>
      <c r="N87" s="285"/>
      <c r="O87" s="285"/>
      <c r="P87" s="285"/>
      <c r="Q87" s="285"/>
      <c r="R87" s="285"/>
      <c r="S87" s="285"/>
      <c r="T87" s="285"/>
      <c r="U87" s="285"/>
      <c r="V87" s="285"/>
      <c r="W87" s="285"/>
      <c r="X87" s="285"/>
      <c r="Y87" s="283"/>
      <c r="Z87" s="285"/>
      <c r="AA87" s="283"/>
      <c r="AB87" s="285"/>
      <c r="AC87" s="283"/>
      <c r="AD87" s="285"/>
      <c r="AE87" s="283"/>
      <c r="AF87" s="285"/>
      <c r="AG87" s="283"/>
      <c r="AH87" s="285"/>
      <c r="AI87" s="283"/>
      <c r="AJ87" s="288"/>
      <c r="AK87" s="286">
        <f>COUNTIF(C87:AJ87,"&gt;=R")</f>
        <v>0</v>
      </c>
      <c r="AL87" s="287">
        <f>AK87</f>
        <v>0</v>
      </c>
    </row>
    <row r="88" spans="1:58" ht="40.049999999999997" customHeight="1" x14ac:dyDescent="0.3">
      <c r="A88" s="308" t="s">
        <v>244</v>
      </c>
      <c r="B88" s="309" t="s">
        <v>245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5"/>
      <c r="Z88" s="285"/>
      <c r="AA88" s="285"/>
      <c r="AB88" s="285"/>
      <c r="AC88" s="285"/>
      <c r="AD88" s="285"/>
      <c r="AE88" s="285"/>
      <c r="AF88" s="285"/>
      <c r="AG88" s="285"/>
      <c r="AH88" s="285"/>
      <c r="AI88" s="288"/>
      <c r="AJ88" s="288"/>
      <c r="AK88" s="286">
        <f>COUNTIF(C88:AJ88,"&gt;=R")</f>
        <v>0</v>
      </c>
      <c r="AL88" s="287">
        <f>AK88</f>
        <v>0</v>
      </c>
    </row>
    <row r="89" spans="1:58" ht="40.049999999999997" customHeight="1" x14ac:dyDescent="0.3">
      <c r="A89" s="296" t="s">
        <v>246</v>
      </c>
      <c r="B89" s="297" t="s">
        <v>247</v>
      </c>
      <c r="C89" s="283"/>
      <c r="D89" s="283"/>
      <c r="E89" s="299"/>
      <c r="F89" s="285"/>
      <c r="G89" s="285"/>
      <c r="H89" s="285"/>
      <c r="I89" s="285"/>
      <c r="J89" s="285"/>
      <c r="K89" s="285"/>
      <c r="L89" s="285"/>
      <c r="M89" s="307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5"/>
      <c r="Z89" s="285"/>
      <c r="AA89" s="285"/>
      <c r="AB89" s="285"/>
      <c r="AC89" s="285"/>
      <c r="AD89" s="285"/>
      <c r="AE89" s="285"/>
      <c r="AF89" s="285"/>
      <c r="AG89" s="285"/>
      <c r="AH89" s="285"/>
      <c r="AI89" s="285"/>
      <c r="AJ89" s="288"/>
      <c r="AK89" s="286">
        <f>COUNTIF(C89:AJ89,"&gt;=R")</f>
        <v>0</v>
      </c>
      <c r="AL89" s="287">
        <f>AK89</f>
        <v>0</v>
      </c>
    </row>
    <row r="90" spans="1:58" ht="40.049999999999997" customHeight="1" x14ac:dyDescent="0.3">
      <c r="A90" s="308" t="s">
        <v>248</v>
      </c>
      <c r="B90" s="309" t="s">
        <v>249</v>
      </c>
      <c r="C90" s="284" t="s">
        <v>77</v>
      </c>
      <c r="D90" s="283"/>
      <c r="E90" s="285" t="s">
        <v>77</v>
      </c>
      <c r="F90" s="285"/>
      <c r="G90" s="285" t="s">
        <v>77</v>
      </c>
      <c r="H90" s="285"/>
      <c r="I90" s="285" t="s">
        <v>77</v>
      </c>
      <c r="J90" s="285"/>
      <c r="K90" s="285" t="s">
        <v>77</v>
      </c>
      <c r="L90" s="285"/>
      <c r="M90" s="285" t="s">
        <v>77</v>
      </c>
      <c r="N90" s="285"/>
      <c r="O90" s="285" t="s">
        <v>77</v>
      </c>
      <c r="P90" s="285"/>
      <c r="Q90" s="285" t="s">
        <v>77</v>
      </c>
      <c r="R90" s="285"/>
      <c r="S90" s="285" t="s">
        <v>77</v>
      </c>
      <c r="T90" s="285"/>
      <c r="U90" s="285" t="s">
        <v>77</v>
      </c>
      <c r="V90" s="285"/>
      <c r="W90" s="285" t="s">
        <v>77</v>
      </c>
      <c r="X90" s="285"/>
      <c r="Y90" s="283" t="s">
        <v>77</v>
      </c>
      <c r="Z90" s="285"/>
      <c r="AA90" s="283" t="s">
        <v>77</v>
      </c>
      <c r="AB90" s="285"/>
      <c r="AC90" s="283" t="s">
        <v>77</v>
      </c>
      <c r="AD90" s="285"/>
      <c r="AE90" s="283" t="s">
        <v>77</v>
      </c>
      <c r="AF90" s="285"/>
      <c r="AG90" s="283"/>
      <c r="AH90" s="285"/>
      <c r="AI90" s="283"/>
      <c r="AJ90" s="288"/>
      <c r="AK90" s="286">
        <f>COUNTIF(C90:AJ90,"&gt;=R")</f>
        <v>15</v>
      </c>
      <c r="AL90" s="287">
        <f>AK90</f>
        <v>15</v>
      </c>
    </row>
    <row r="91" spans="1:58" ht="40.049999999999997" customHeight="1" x14ac:dyDescent="0.3">
      <c r="A91" s="308" t="s">
        <v>250</v>
      </c>
      <c r="B91" s="309" t="s">
        <v>251</v>
      </c>
      <c r="C91" s="284" t="s">
        <v>77</v>
      </c>
      <c r="D91" s="283"/>
      <c r="E91" s="285" t="s">
        <v>77</v>
      </c>
      <c r="F91" s="285"/>
      <c r="G91" s="285" t="s">
        <v>77</v>
      </c>
      <c r="H91" s="285"/>
      <c r="I91" s="285" t="s">
        <v>77</v>
      </c>
      <c r="J91" s="285"/>
      <c r="K91" s="285" t="s">
        <v>77</v>
      </c>
      <c r="L91" s="285"/>
      <c r="M91" s="285" t="s">
        <v>77</v>
      </c>
      <c r="N91" s="285"/>
      <c r="O91" s="285" t="s">
        <v>77</v>
      </c>
      <c r="P91" s="285"/>
      <c r="Q91" s="285" t="s">
        <v>77</v>
      </c>
      <c r="R91" s="285"/>
      <c r="S91" s="285" t="s">
        <v>77</v>
      </c>
      <c r="T91" s="285"/>
      <c r="U91" s="285" t="s">
        <v>77</v>
      </c>
      <c r="V91" s="285"/>
      <c r="W91" s="285" t="s">
        <v>77</v>
      </c>
      <c r="X91" s="285"/>
      <c r="Y91" s="283" t="s">
        <v>77</v>
      </c>
      <c r="Z91" s="285"/>
      <c r="AA91" s="283" t="s">
        <v>77</v>
      </c>
      <c r="AB91" s="285"/>
      <c r="AC91" s="283" t="s">
        <v>77</v>
      </c>
      <c r="AD91" s="285"/>
      <c r="AE91" s="283" t="s">
        <v>77</v>
      </c>
      <c r="AF91" s="285"/>
      <c r="AG91" s="283"/>
      <c r="AH91" s="285"/>
      <c r="AI91" s="283"/>
      <c r="AJ91" s="288"/>
      <c r="AK91" s="286">
        <f>COUNTIF(C91:AJ91,"&gt;=R")</f>
        <v>15</v>
      </c>
      <c r="AL91" s="287">
        <f>AK91</f>
        <v>15</v>
      </c>
    </row>
    <row r="92" spans="1:58" ht="40.049999999999997" customHeight="1" x14ac:dyDescent="0.65">
      <c r="A92" s="296" t="s">
        <v>252</v>
      </c>
      <c r="B92" s="297" t="s">
        <v>253</v>
      </c>
      <c r="C92" s="283"/>
      <c r="D92" s="283"/>
      <c r="E92" s="299"/>
      <c r="F92" s="285"/>
      <c r="G92" s="288"/>
      <c r="H92" s="285"/>
      <c r="I92" s="288"/>
      <c r="J92" s="285"/>
      <c r="K92" s="285"/>
      <c r="L92" s="285"/>
      <c r="M92" s="285"/>
      <c r="N92" s="285"/>
      <c r="O92" s="285"/>
      <c r="P92" s="285"/>
      <c r="Q92" s="285"/>
      <c r="R92" s="285"/>
      <c r="S92" s="285"/>
      <c r="T92" s="285"/>
      <c r="U92" s="285"/>
      <c r="V92" s="285"/>
      <c r="W92" s="285"/>
      <c r="X92" s="285"/>
      <c r="Y92" s="285"/>
      <c r="Z92" s="285"/>
      <c r="AA92" s="285"/>
      <c r="AB92" s="285"/>
      <c r="AC92" s="285"/>
      <c r="AD92" s="285"/>
      <c r="AE92" s="285"/>
      <c r="AF92" s="285"/>
      <c r="AG92" s="285"/>
      <c r="AH92" s="285"/>
      <c r="AI92" s="288"/>
      <c r="AJ92" s="288"/>
      <c r="AK92" s="286"/>
      <c r="AL92" s="287"/>
      <c r="AM92" s="357"/>
      <c r="AN92" s="357"/>
      <c r="AO92" s="357"/>
      <c r="AP92" s="357"/>
      <c r="AQ92" s="357"/>
      <c r="AR92" s="357"/>
      <c r="AS92" s="357"/>
      <c r="AT92" s="357"/>
      <c r="AU92" s="357"/>
      <c r="AV92" s="357"/>
      <c r="AW92" s="357"/>
      <c r="AX92" s="357"/>
      <c r="AY92" s="357"/>
      <c r="AZ92" s="357"/>
      <c r="BA92" s="357"/>
      <c r="BB92" s="357"/>
      <c r="BC92" s="357"/>
      <c r="BD92" s="357"/>
      <c r="BE92" s="357"/>
      <c r="BF92" s="357"/>
    </row>
    <row r="93" spans="1:58" ht="40.049999999999997" customHeight="1" x14ac:dyDescent="0.65">
      <c r="A93" s="281" t="s">
        <v>254</v>
      </c>
      <c r="B93" s="282" t="s">
        <v>255</v>
      </c>
      <c r="C93" s="283"/>
      <c r="D93" s="283"/>
      <c r="E93" s="283"/>
      <c r="F93" s="285"/>
      <c r="G93" s="283"/>
      <c r="H93" s="285"/>
      <c r="I93" s="283"/>
      <c r="J93" s="285"/>
      <c r="K93" s="283"/>
      <c r="L93" s="285"/>
      <c r="M93" s="283"/>
      <c r="N93" s="285"/>
      <c r="O93" s="283"/>
      <c r="P93" s="285"/>
      <c r="Q93" s="283"/>
      <c r="R93" s="285"/>
      <c r="S93" s="283"/>
      <c r="T93" s="285"/>
      <c r="U93" s="283"/>
      <c r="V93" s="285"/>
      <c r="W93" s="283"/>
      <c r="X93" s="285"/>
      <c r="Y93" s="283"/>
      <c r="Z93" s="285"/>
      <c r="AA93" s="283"/>
      <c r="AB93" s="285"/>
      <c r="AC93" s="283"/>
      <c r="AD93" s="285"/>
      <c r="AE93" s="283"/>
      <c r="AF93" s="285"/>
      <c r="AG93" s="283"/>
      <c r="AH93" s="285"/>
      <c r="AI93" s="283"/>
      <c r="AJ93" s="288"/>
      <c r="AK93" s="286">
        <f>COUNTIF(C93:AJ93,"&gt;=R")</f>
        <v>0</v>
      </c>
      <c r="AL93" s="287">
        <f>AK93</f>
        <v>0</v>
      </c>
      <c r="AM93" s="357"/>
      <c r="AN93" s="357"/>
      <c r="AO93" s="357"/>
      <c r="AP93" s="357"/>
      <c r="AQ93" s="357"/>
      <c r="AR93" s="357"/>
      <c r="AS93" s="357"/>
      <c r="AT93" s="357"/>
      <c r="AU93" s="357"/>
      <c r="AV93" s="357"/>
      <c r="AW93" s="357"/>
      <c r="AX93" s="357"/>
      <c r="AY93" s="357"/>
      <c r="AZ93" s="357"/>
      <c r="BA93" s="357"/>
      <c r="BB93" s="357"/>
      <c r="BC93" s="357"/>
      <c r="BD93" s="357"/>
      <c r="BE93" s="357"/>
      <c r="BF93" s="357"/>
    </row>
    <row r="94" spans="1:58" ht="40.049999999999997" customHeight="1" x14ac:dyDescent="0.3">
      <c r="A94" s="281" t="s">
        <v>256</v>
      </c>
      <c r="B94" s="282" t="s">
        <v>257</v>
      </c>
      <c r="C94" s="283"/>
      <c r="D94" s="284"/>
      <c r="E94" s="283"/>
      <c r="F94" s="285"/>
      <c r="G94" s="283"/>
      <c r="H94" s="285"/>
      <c r="I94" s="283"/>
      <c r="J94" s="285"/>
      <c r="K94" s="283"/>
      <c r="L94" s="285"/>
      <c r="M94" s="283"/>
      <c r="N94" s="285"/>
      <c r="O94" s="283"/>
      <c r="P94" s="285"/>
      <c r="Q94" s="283"/>
      <c r="R94" s="285"/>
      <c r="S94" s="283"/>
      <c r="T94" s="285"/>
      <c r="U94" s="283"/>
      <c r="V94" s="285"/>
      <c r="W94" s="283"/>
      <c r="X94" s="285"/>
      <c r="Y94" s="283"/>
      <c r="Z94" s="285"/>
      <c r="AA94" s="283"/>
      <c r="AB94" s="285"/>
      <c r="AC94" s="283"/>
      <c r="AD94" s="285"/>
      <c r="AE94" s="283"/>
      <c r="AF94" s="285"/>
      <c r="AG94" s="283"/>
      <c r="AH94" s="285"/>
      <c r="AI94" s="283"/>
      <c r="AJ94" s="288"/>
      <c r="AK94" s="286">
        <f>COUNTIF(C94:AJ94,"&gt;=R")</f>
        <v>0</v>
      </c>
      <c r="AL94" s="287">
        <f>AK94</f>
        <v>0</v>
      </c>
    </row>
    <row r="95" spans="1:58" ht="40.049999999999997" customHeight="1" x14ac:dyDescent="0.65">
      <c r="A95" s="281" t="s">
        <v>258</v>
      </c>
      <c r="B95" s="282" t="s">
        <v>259</v>
      </c>
      <c r="C95" s="283"/>
      <c r="D95" s="284"/>
      <c r="E95" s="283"/>
      <c r="F95" s="285"/>
      <c r="G95" s="283"/>
      <c r="H95" s="285"/>
      <c r="I95" s="283"/>
      <c r="J95" s="285"/>
      <c r="K95" s="283"/>
      <c r="L95" s="285"/>
      <c r="M95" s="283"/>
      <c r="N95" s="285"/>
      <c r="O95" s="283"/>
      <c r="P95" s="285"/>
      <c r="Q95" s="283"/>
      <c r="R95" s="285"/>
      <c r="S95" s="283"/>
      <c r="T95" s="285"/>
      <c r="U95" s="283"/>
      <c r="V95" s="285"/>
      <c r="W95" s="283"/>
      <c r="X95" s="285"/>
      <c r="Y95" s="283"/>
      <c r="Z95" s="285"/>
      <c r="AA95" s="283"/>
      <c r="AB95" s="285"/>
      <c r="AC95" s="283"/>
      <c r="AD95" s="285"/>
      <c r="AE95" s="283"/>
      <c r="AF95" s="285"/>
      <c r="AG95" s="283"/>
      <c r="AH95" s="285"/>
      <c r="AI95" s="283"/>
      <c r="AJ95" s="288"/>
      <c r="AK95" s="286">
        <f>COUNTIF(C95:AJ95,"&gt;=R")</f>
        <v>0</v>
      </c>
      <c r="AL95" s="287">
        <f>AK95</f>
        <v>0</v>
      </c>
      <c r="AM95" s="357"/>
      <c r="AN95" s="357"/>
      <c r="AO95" s="357"/>
      <c r="AP95" s="357"/>
      <c r="AQ95" s="357"/>
      <c r="AR95" s="357"/>
      <c r="AS95" s="357"/>
      <c r="AT95" s="357"/>
      <c r="AU95" s="357"/>
      <c r="AV95" s="357"/>
      <c r="AW95" s="357"/>
      <c r="AX95" s="357"/>
      <c r="AY95" s="357"/>
      <c r="AZ95" s="357"/>
      <c r="BA95" s="357"/>
      <c r="BB95" s="357"/>
      <c r="BC95" s="357"/>
      <c r="BD95" s="357"/>
      <c r="BE95" s="357"/>
      <c r="BF95" s="357"/>
    </row>
    <row r="96" spans="1:58" ht="40.049999999999997" customHeight="1" x14ac:dyDescent="0.65">
      <c r="A96" s="281" t="s">
        <v>260</v>
      </c>
      <c r="B96" s="282" t="s">
        <v>261</v>
      </c>
      <c r="C96" s="283"/>
      <c r="D96" s="284"/>
      <c r="E96" s="283"/>
      <c r="F96" s="285"/>
      <c r="G96" s="283"/>
      <c r="H96" s="285"/>
      <c r="I96" s="283"/>
      <c r="J96" s="285"/>
      <c r="K96" s="283"/>
      <c r="L96" s="285"/>
      <c r="M96" s="283"/>
      <c r="N96" s="285"/>
      <c r="O96" s="283"/>
      <c r="P96" s="285"/>
      <c r="Q96" s="283"/>
      <c r="R96" s="285"/>
      <c r="S96" s="283"/>
      <c r="T96" s="285"/>
      <c r="U96" s="283"/>
      <c r="V96" s="285"/>
      <c r="W96" s="283"/>
      <c r="X96" s="285"/>
      <c r="Y96" s="283"/>
      <c r="Z96" s="285"/>
      <c r="AA96" s="283"/>
      <c r="AB96" s="285"/>
      <c r="AC96" s="283"/>
      <c r="AD96" s="285"/>
      <c r="AE96" s="283"/>
      <c r="AF96" s="285"/>
      <c r="AG96" s="283"/>
      <c r="AH96" s="285"/>
      <c r="AI96" s="283"/>
      <c r="AJ96" s="288"/>
      <c r="AK96" s="286">
        <f>COUNTIF(C96:AJ96,"&gt;=R")</f>
        <v>0</v>
      </c>
      <c r="AL96" s="287">
        <f>AK96</f>
        <v>0</v>
      </c>
      <c r="AM96" s="357"/>
      <c r="AN96" s="357"/>
      <c r="AO96" s="357"/>
      <c r="AP96" s="357"/>
      <c r="AQ96" s="357"/>
      <c r="AR96" s="357"/>
      <c r="AS96" s="357"/>
      <c r="AT96" s="357"/>
      <c r="AU96" s="357"/>
      <c r="AV96" s="357"/>
      <c r="AW96" s="357"/>
      <c r="AX96" s="357"/>
      <c r="AY96" s="357"/>
      <c r="AZ96" s="357"/>
      <c r="BA96" s="357"/>
      <c r="BB96" s="357"/>
      <c r="BC96" s="357"/>
      <c r="BD96" s="357"/>
      <c r="BE96" s="357"/>
      <c r="BF96" s="357"/>
    </row>
    <row r="97" spans="1:58" ht="40.049999999999997" customHeight="1" x14ac:dyDescent="0.3">
      <c r="A97" s="296" t="s">
        <v>262</v>
      </c>
      <c r="B97" s="297" t="s">
        <v>263</v>
      </c>
      <c r="C97" s="283"/>
      <c r="D97" s="284"/>
      <c r="E97" s="285"/>
      <c r="F97" s="285"/>
      <c r="G97" s="288"/>
      <c r="H97" s="285"/>
      <c r="I97" s="288"/>
      <c r="J97" s="285"/>
      <c r="K97" s="288"/>
      <c r="L97" s="285"/>
      <c r="M97" s="285"/>
      <c r="N97" s="285"/>
      <c r="O97" s="285"/>
      <c r="P97" s="285"/>
      <c r="Q97" s="285"/>
      <c r="R97" s="285"/>
      <c r="S97" s="285"/>
      <c r="T97" s="285"/>
      <c r="U97" s="288"/>
      <c r="V97" s="285"/>
      <c r="W97" s="288"/>
      <c r="X97" s="285"/>
      <c r="Y97" s="288"/>
      <c r="Z97" s="285"/>
      <c r="AA97" s="288"/>
      <c r="AB97" s="285"/>
      <c r="AC97" s="285"/>
      <c r="AD97" s="285"/>
      <c r="AE97" s="285"/>
      <c r="AF97" s="285"/>
      <c r="AG97" s="285"/>
      <c r="AH97" s="285"/>
      <c r="AI97" s="285"/>
      <c r="AJ97" s="288"/>
      <c r="AK97" s="286"/>
      <c r="AL97" s="287"/>
    </row>
    <row r="98" spans="1:58" ht="40.049999999999997" customHeight="1" x14ac:dyDescent="0.3">
      <c r="A98" s="308" t="s">
        <v>264</v>
      </c>
      <c r="B98" s="309" t="s">
        <v>265</v>
      </c>
      <c r="C98" s="283"/>
      <c r="D98" s="284"/>
      <c r="E98" s="285"/>
      <c r="F98" s="285"/>
      <c r="G98" s="285"/>
      <c r="H98" s="285"/>
      <c r="I98" s="285"/>
      <c r="J98" s="285"/>
      <c r="K98" s="285"/>
      <c r="L98" s="285"/>
      <c r="M98" s="285" t="s">
        <v>57</v>
      </c>
      <c r="N98" s="285"/>
      <c r="O98" s="285"/>
      <c r="P98" s="285"/>
      <c r="Q98" s="285"/>
      <c r="R98" s="285"/>
      <c r="S98" s="285" t="s">
        <v>57</v>
      </c>
      <c r="T98" s="285"/>
      <c r="U98" s="285"/>
      <c r="V98" s="285"/>
      <c r="W98" s="285" t="s">
        <v>57</v>
      </c>
      <c r="X98" s="285"/>
      <c r="Y98" s="285" t="s">
        <v>57</v>
      </c>
      <c r="Z98" s="285"/>
      <c r="AA98" s="285" t="s">
        <v>7</v>
      </c>
      <c r="AB98" s="285"/>
      <c r="AC98" s="285" t="s">
        <v>7</v>
      </c>
      <c r="AD98" s="285"/>
      <c r="AE98" s="285" t="s">
        <v>7</v>
      </c>
      <c r="AF98" s="285"/>
      <c r="AG98" s="285"/>
      <c r="AH98" s="285"/>
      <c r="AI98" s="285"/>
      <c r="AJ98" s="288"/>
      <c r="AK98" s="286">
        <f>COUNTIF(C98:AJ98,"&gt;=R")</f>
        <v>7</v>
      </c>
      <c r="AL98" s="287">
        <f>AK98</f>
        <v>7</v>
      </c>
    </row>
    <row r="99" spans="1:58" ht="40.049999999999997" customHeight="1" x14ac:dyDescent="0.3">
      <c r="A99" s="310" t="s">
        <v>266</v>
      </c>
      <c r="B99" s="290" t="s">
        <v>267</v>
      </c>
      <c r="C99" s="291"/>
      <c r="D99" s="292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3"/>
      <c r="AA99" s="293"/>
      <c r="AB99" s="293"/>
      <c r="AC99" s="293"/>
      <c r="AD99" s="293"/>
      <c r="AE99" s="293"/>
      <c r="AF99" s="293"/>
      <c r="AG99" s="293"/>
      <c r="AH99" s="293"/>
      <c r="AI99" s="294"/>
      <c r="AJ99" s="294"/>
      <c r="AK99" s="349"/>
      <c r="AL99" s="350"/>
    </row>
    <row r="100" spans="1:58" ht="40.049999999999997" customHeight="1" x14ac:dyDescent="0.3">
      <c r="A100" s="281" t="s">
        <v>268</v>
      </c>
      <c r="B100" s="282" t="s">
        <v>269</v>
      </c>
      <c r="C100" s="284"/>
      <c r="D100" s="284"/>
      <c r="E100" s="285"/>
      <c r="F100" s="285"/>
      <c r="G100" s="285"/>
      <c r="H100" s="285"/>
      <c r="I100" s="285"/>
      <c r="J100" s="285"/>
      <c r="K100" s="285"/>
      <c r="L100" s="285"/>
      <c r="M100" s="285"/>
      <c r="N100" s="285"/>
      <c r="O100" s="285"/>
      <c r="P100" s="285"/>
      <c r="Q100" s="285"/>
      <c r="R100" s="285"/>
      <c r="S100" s="285"/>
      <c r="T100" s="285"/>
      <c r="U100" s="285"/>
      <c r="V100" s="285"/>
      <c r="W100" s="285"/>
      <c r="X100" s="285"/>
      <c r="Y100" s="285"/>
      <c r="Z100" s="285"/>
      <c r="AA100" s="285"/>
      <c r="AB100" s="285"/>
      <c r="AC100" s="285"/>
      <c r="AD100" s="285"/>
      <c r="AE100" s="285"/>
      <c r="AF100" s="285"/>
      <c r="AG100" s="285"/>
      <c r="AH100" s="285"/>
      <c r="AI100" s="285"/>
      <c r="AJ100" s="288"/>
      <c r="AK100" s="286">
        <f>COUNTIF(C100:AJ100,"&gt;=R")</f>
        <v>0</v>
      </c>
      <c r="AL100" s="287">
        <f>AK100</f>
        <v>0</v>
      </c>
    </row>
    <row r="101" spans="1:58" ht="40.049999999999997" customHeight="1" x14ac:dyDescent="0.3">
      <c r="A101" s="281" t="s">
        <v>270</v>
      </c>
      <c r="B101" s="282" t="s">
        <v>271</v>
      </c>
      <c r="C101" s="284"/>
      <c r="D101" s="284"/>
      <c r="E101" s="285"/>
      <c r="F101" s="285"/>
      <c r="G101" s="285"/>
      <c r="H101" s="285"/>
      <c r="I101" s="285"/>
      <c r="J101" s="285"/>
      <c r="K101" s="285"/>
      <c r="L101" s="285"/>
      <c r="M101" s="285"/>
      <c r="N101" s="285"/>
      <c r="O101" s="285"/>
      <c r="P101" s="285"/>
      <c r="Q101" s="285"/>
      <c r="R101" s="285"/>
      <c r="S101" s="285"/>
      <c r="T101" s="285"/>
      <c r="U101" s="285"/>
      <c r="V101" s="285"/>
      <c r="W101" s="285"/>
      <c r="X101" s="285"/>
      <c r="Y101" s="285"/>
      <c r="Z101" s="285"/>
      <c r="AA101" s="285"/>
      <c r="AB101" s="285"/>
      <c r="AC101" s="285"/>
      <c r="AD101" s="285"/>
      <c r="AE101" s="285"/>
      <c r="AF101" s="285"/>
      <c r="AG101" s="285"/>
      <c r="AH101" s="285"/>
      <c r="AI101" s="285"/>
      <c r="AJ101" s="288"/>
      <c r="AK101" s="286">
        <f>COUNTIF(C101:AJ101,"&gt;=R")</f>
        <v>0</v>
      </c>
      <c r="AL101" s="287">
        <f>AK101</f>
        <v>0</v>
      </c>
    </row>
    <row r="102" spans="1:58" ht="40.049999999999997" customHeight="1" x14ac:dyDescent="0.65">
      <c r="A102" s="310" t="s">
        <v>272</v>
      </c>
      <c r="B102" s="290" t="s">
        <v>273</v>
      </c>
      <c r="C102" s="291"/>
      <c r="D102" s="292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3"/>
      <c r="AA102" s="293"/>
      <c r="AB102" s="293"/>
      <c r="AC102" s="293"/>
      <c r="AD102" s="293"/>
      <c r="AE102" s="293"/>
      <c r="AF102" s="293"/>
      <c r="AG102" s="293"/>
      <c r="AH102" s="293"/>
      <c r="AI102" s="294"/>
      <c r="AJ102" s="294"/>
      <c r="AK102" s="349"/>
      <c r="AL102" s="350"/>
      <c r="AM102" s="357"/>
      <c r="AN102" s="357"/>
      <c r="AO102" s="357"/>
      <c r="AP102" s="357"/>
      <c r="AQ102" s="357"/>
      <c r="AR102" s="357"/>
      <c r="AS102" s="357"/>
      <c r="AT102" s="357"/>
      <c r="AU102" s="357"/>
      <c r="AV102" s="357"/>
      <c r="AW102" s="357"/>
      <c r="AX102" s="357"/>
      <c r="AY102" s="357"/>
      <c r="AZ102" s="357"/>
      <c r="BA102" s="357"/>
      <c r="BB102" s="357"/>
      <c r="BC102" s="357"/>
      <c r="BD102" s="357"/>
      <c r="BE102" s="357"/>
      <c r="BF102" s="357"/>
    </row>
    <row r="103" spans="1:58" ht="40.049999999999997" customHeight="1" x14ac:dyDescent="0.3">
      <c r="A103" s="281" t="s">
        <v>274</v>
      </c>
      <c r="B103" s="282" t="s">
        <v>275</v>
      </c>
      <c r="C103" s="283"/>
      <c r="D103" s="283"/>
      <c r="E103" s="283"/>
      <c r="F103" s="285"/>
      <c r="G103" s="283"/>
      <c r="H103" s="285"/>
      <c r="I103" s="283"/>
      <c r="J103" s="285"/>
      <c r="K103" s="283"/>
      <c r="L103" s="285"/>
      <c r="M103" s="283"/>
      <c r="N103" s="285"/>
      <c r="O103" s="283"/>
      <c r="P103" s="285"/>
      <c r="Q103" s="283"/>
      <c r="R103" s="285"/>
      <c r="S103" s="283"/>
      <c r="T103" s="285"/>
      <c r="U103" s="283"/>
      <c r="V103" s="285"/>
      <c r="W103" s="283"/>
      <c r="X103" s="285"/>
      <c r="Y103" s="283"/>
      <c r="Z103" s="285"/>
      <c r="AA103" s="283"/>
      <c r="AB103" s="285"/>
      <c r="AC103" s="283"/>
      <c r="AD103" s="285"/>
      <c r="AE103" s="283"/>
      <c r="AF103" s="285"/>
      <c r="AG103" s="283"/>
      <c r="AH103" s="285"/>
      <c r="AI103" s="283"/>
      <c r="AJ103" s="288"/>
      <c r="AK103" s="286">
        <f>COUNTIF(C103:AJ103,"&gt;=R")</f>
        <v>0</v>
      </c>
      <c r="AL103" s="287">
        <f>AK103</f>
        <v>0</v>
      </c>
    </row>
    <row r="104" spans="1:58" ht="40.049999999999997" customHeight="1" x14ac:dyDescent="0.65">
      <c r="A104" s="281" t="s">
        <v>276</v>
      </c>
      <c r="B104" s="282" t="s">
        <v>277</v>
      </c>
      <c r="C104" s="283"/>
      <c r="D104" s="284"/>
      <c r="E104" s="283"/>
      <c r="F104" s="285"/>
      <c r="G104" s="283"/>
      <c r="H104" s="285"/>
      <c r="I104" s="283"/>
      <c r="J104" s="285"/>
      <c r="K104" s="307"/>
      <c r="L104" s="285"/>
      <c r="M104" s="307"/>
      <c r="N104" s="285"/>
      <c r="O104" s="307"/>
      <c r="P104" s="285"/>
      <c r="Q104" s="307"/>
      <c r="R104" s="285"/>
      <c r="S104" s="285"/>
      <c r="T104" s="285"/>
      <c r="U104" s="285"/>
      <c r="V104" s="285"/>
      <c r="W104" s="285"/>
      <c r="X104" s="285"/>
      <c r="Y104" s="285"/>
      <c r="Z104" s="285"/>
      <c r="AA104" s="285"/>
      <c r="AB104" s="285"/>
      <c r="AC104" s="285"/>
      <c r="AD104" s="285"/>
      <c r="AE104" s="285"/>
      <c r="AF104" s="285"/>
      <c r="AG104" s="283"/>
      <c r="AH104" s="285"/>
      <c r="AI104" s="283"/>
      <c r="AJ104" s="288"/>
      <c r="AK104" s="286">
        <f>COUNTIF(C104:AJ104,"&gt;=R")</f>
        <v>0</v>
      </c>
      <c r="AL104" s="287">
        <f>AK104</f>
        <v>0</v>
      </c>
      <c r="AM104" s="357"/>
      <c r="AN104" s="357"/>
      <c r="AO104" s="357"/>
      <c r="AP104" s="357"/>
      <c r="AQ104" s="357"/>
      <c r="AR104" s="357"/>
      <c r="AS104" s="357"/>
      <c r="AT104" s="357"/>
      <c r="AU104" s="357"/>
      <c r="AV104" s="357"/>
      <c r="AW104" s="357"/>
      <c r="AX104" s="357"/>
      <c r="AY104" s="357"/>
      <c r="AZ104" s="357"/>
      <c r="BA104" s="357"/>
      <c r="BB104" s="357"/>
      <c r="BC104" s="357"/>
      <c r="BD104" s="357"/>
      <c r="BE104" s="357"/>
      <c r="BF104" s="357"/>
    </row>
    <row r="105" spans="1:58" ht="40.049999999999997" customHeight="1" x14ac:dyDescent="0.65">
      <c r="A105" s="289" t="s">
        <v>278</v>
      </c>
      <c r="B105" s="290" t="s">
        <v>279</v>
      </c>
      <c r="C105" s="291"/>
      <c r="D105" s="292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3"/>
      <c r="AA105" s="293"/>
      <c r="AB105" s="293"/>
      <c r="AC105" s="293"/>
      <c r="AD105" s="293"/>
      <c r="AE105" s="293"/>
      <c r="AF105" s="293"/>
      <c r="AG105" s="293"/>
      <c r="AH105" s="293"/>
      <c r="AI105" s="294"/>
      <c r="AJ105" s="294"/>
      <c r="AK105" s="349"/>
      <c r="AL105" s="350"/>
      <c r="AM105" s="357"/>
      <c r="AN105" s="357"/>
      <c r="AO105" s="357"/>
      <c r="AP105" s="357"/>
      <c r="AQ105" s="357"/>
      <c r="AR105" s="357"/>
      <c r="AS105" s="357"/>
      <c r="AT105" s="357"/>
      <c r="AU105" s="357"/>
      <c r="AV105" s="357"/>
      <c r="AW105" s="357"/>
      <c r="AX105" s="357"/>
      <c r="AY105" s="357"/>
      <c r="AZ105" s="357"/>
      <c r="BA105" s="357"/>
      <c r="BB105" s="357"/>
      <c r="BC105" s="357"/>
      <c r="BD105" s="357"/>
      <c r="BE105" s="357"/>
      <c r="BF105" s="357"/>
    </row>
    <row r="106" spans="1:58" ht="40.049999999999997" customHeight="1" x14ac:dyDescent="0.3">
      <c r="A106" s="296" t="s">
        <v>280</v>
      </c>
      <c r="B106" s="297" t="s">
        <v>281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  <c r="W106" s="285"/>
      <c r="X106" s="285"/>
      <c r="Y106" s="285"/>
      <c r="Z106" s="285"/>
      <c r="AA106" s="285"/>
      <c r="AB106" s="285"/>
      <c r="AC106" s="285"/>
      <c r="AD106" s="285"/>
      <c r="AE106" s="285"/>
      <c r="AF106" s="285"/>
      <c r="AG106" s="285"/>
      <c r="AH106" s="285"/>
      <c r="AI106" s="288"/>
      <c r="AJ106" s="288"/>
      <c r="AK106" s="286">
        <f t="shared" ref="AK106:AK112" si="6">COUNTIF(C106:AJ106,"&gt;=R")</f>
        <v>0</v>
      </c>
      <c r="AL106" s="287">
        <f t="shared" ref="AL106:AL112" si="7">AK106</f>
        <v>0</v>
      </c>
    </row>
    <row r="107" spans="1:58" ht="40.049999999999997" customHeight="1" x14ac:dyDescent="0.65">
      <c r="A107" s="357" t="s">
        <v>282</v>
      </c>
      <c r="B107" s="890" t="s">
        <v>283</v>
      </c>
      <c r="C107" s="283"/>
      <c r="D107" s="284"/>
      <c r="E107" s="285"/>
      <c r="F107" s="285"/>
      <c r="G107" s="288"/>
      <c r="H107" s="285"/>
      <c r="I107" s="288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  <c r="W107" s="285"/>
      <c r="X107" s="285"/>
      <c r="Y107" s="285"/>
      <c r="Z107" s="285"/>
      <c r="AA107" s="285"/>
      <c r="AB107" s="285"/>
      <c r="AC107" s="285"/>
      <c r="AD107" s="285"/>
      <c r="AE107" s="285"/>
      <c r="AF107" s="285"/>
      <c r="AG107" s="285"/>
      <c r="AH107" s="285"/>
      <c r="AI107" s="288"/>
      <c r="AJ107" s="288"/>
      <c r="AK107" s="286">
        <f t="shared" si="6"/>
        <v>0</v>
      </c>
      <c r="AL107" s="287">
        <f t="shared" si="7"/>
        <v>0</v>
      </c>
    </row>
    <row r="108" spans="1:58" ht="40.049999999999997" customHeight="1" x14ac:dyDescent="0.65">
      <c r="A108" s="308" t="s">
        <v>284</v>
      </c>
      <c r="B108" s="309" t="s">
        <v>285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  <c r="W108" s="285"/>
      <c r="X108" s="285"/>
      <c r="Y108" s="285"/>
      <c r="Z108" s="285"/>
      <c r="AA108" s="285"/>
      <c r="AB108" s="285"/>
      <c r="AC108" s="285"/>
      <c r="AD108" s="285"/>
      <c r="AE108" s="285"/>
      <c r="AF108" s="285"/>
      <c r="AG108" s="285"/>
      <c r="AH108" s="285"/>
      <c r="AI108" s="288"/>
      <c r="AJ108" s="288"/>
      <c r="AK108" s="286">
        <f t="shared" si="6"/>
        <v>0</v>
      </c>
      <c r="AL108" s="287">
        <f t="shared" si="7"/>
        <v>0</v>
      </c>
      <c r="AM108" s="357"/>
      <c r="AN108" s="357"/>
      <c r="AO108" s="357"/>
      <c r="AP108" s="357"/>
      <c r="AQ108" s="357"/>
      <c r="AR108" s="357"/>
      <c r="AS108" s="357"/>
      <c r="AT108" s="357"/>
      <c r="AU108" s="357"/>
      <c r="AV108" s="357"/>
      <c r="AW108" s="357"/>
      <c r="AX108" s="357"/>
      <c r="AY108" s="357"/>
      <c r="AZ108" s="357"/>
      <c r="BA108" s="357"/>
      <c r="BB108" s="357"/>
      <c r="BC108" s="357"/>
      <c r="BD108" s="357"/>
      <c r="BE108" s="357"/>
      <c r="BF108" s="357"/>
    </row>
    <row r="109" spans="1:58" ht="40.049999999999997" customHeight="1" x14ac:dyDescent="0.3">
      <c r="A109" s="296" t="s">
        <v>286</v>
      </c>
      <c r="B109" s="297" t="s">
        <v>287</v>
      </c>
      <c r="C109" s="283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5"/>
      <c r="AB109" s="285"/>
      <c r="AC109" s="285"/>
      <c r="AD109" s="285"/>
      <c r="AE109" s="285"/>
      <c r="AF109" s="285"/>
      <c r="AG109" s="285"/>
      <c r="AH109" s="285"/>
      <c r="AI109" s="288"/>
      <c r="AJ109" s="288"/>
      <c r="AK109" s="286">
        <f t="shared" si="6"/>
        <v>0</v>
      </c>
      <c r="AL109" s="287">
        <f t="shared" si="7"/>
        <v>0</v>
      </c>
    </row>
    <row r="110" spans="1:58" ht="40.049999999999997" customHeight="1" x14ac:dyDescent="0.65">
      <c r="A110" s="281" t="s">
        <v>288</v>
      </c>
      <c r="B110" s="282" t="s">
        <v>289</v>
      </c>
      <c r="C110" s="284"/>
      <c r="D110" s="284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  <c r="W110" s="285"/>
      <c r="X110" s="285"/>
      <c r="Y110" s="285"/>
      <c r="Z110" s="285"/>
      <c r="AA110" s="285"/>
      <c r="AB110" s="285"/>
      <c r="AC110" s="285"/>
      <c r="AD110" s="285"/>
      <c r="AE110" s="285"/>
      <c r="AF110" s="285"/>
      <c r="AG110" s="285"/>
      <c r="AH110" s="285"/>
      <c r="AI110" s="285"/>
      <c r="AJ110" s="288"/>
      <c r="AK110" s="286">
        <f t="shared" si="6"/>
        <v>0</v>
      </c>
      <c r="AL110" s="287">
        <f t="shared" si="7"/>
        <v>0</v>
      </c>
      <c r="AM110" s="357"/>
      <c r="AN110" s="357"/>
      <c r="AO110" s="357"/>
      <c r="AP110" s="357"/>
      <c r="AQ110" s="357"/>
      <c r="AR110" s="357"/>
      <c r="AS110" s="357"/>
      <c r="AT110" s="357"/>
      <c r="AU110" s="357"/>
      <c r="AV110" s="357"/>
      <c r="AW110" s="357"/>
      <c r="AX110" s="357"/>
      <c r="AY110" s="357"/>
      <c r="AZ110" s="357"/>
      <c r="BA110" s="357"/>
      <c r="BB110" s="357"/>
      <c r="BC110" s="357"/>
      <c r="BD110" s="357"/>
      <c r="BE110" s="357"/>
      <c r="BF110" s="357"/>
    </row>
    <row r="111" spans="1:58" ht="40.049999999999997" customHeight="1" x14ac:dyDescent="0.3">
      <c r="A111" s="281" t="s">
        <v>290</v>
      </c>
      <c r="B111" s="282" t="s">
        <v>291</v>
      </c>
      <c r="C111" s="283"/>
      <c r="D111" s="284"/>
      <c r="E111" s="283"/>
      <c r="F111" s="285"/>
      <c r="G111" s="283"/>
      <c r="H111" s="285"/>
      <c r="I111" s="283"/>
      <c r="J111" s="285"/>
      <c r="K111" s="283"/>
      <c r="L111" s="285"/>
      <c r="M111" s="283"/>
      <c r="N111" s="285"/>
      <c r="O111" s="283"/>
      <c r="P111" s="285"/>
      <c r="Q111" s="283"/>
      <c r="R111" s="285"/>
      <c r="S111" s="283"/>
      <c r="T111" s="285"/>
      <c r="U111" s="283"/>
      <c r="V111" s="285"/>
      <c r="W111" s="283"/>
      <c r="X111" s="285"/>
      <c r="Y111" s="283"/>
      <c r="Z111" s="285"/>
      <c r="AA111" s="283"/>
      <c r="AB111" s="285"/>
      <c r="AC111" s="283"/>
      <c r="AD111" s="285"/>
      <c r="AE111" s="283"/>
      <c r="AF111" s="285"/>
      <c r="AG111" s="283"/>
      <c r="AH111" s="285"/>
      <c r="AI111" s="283"/>
      <c r="AJ111" s="288"/>
      <c r="AK111" s="286">
        <f t="shared" si="6"/>
        <v>0</v>
      </c>
      <c r="AL111" s="287">
        <f t="shared" si="7"/>
        <v>0</v>
      </c>
    </row>
    <row r="112" spans="1:58" ht="40.049999999999997" customHeight="1" x14ac:dyDescent="0.65">
      <c r="A112" s="357" t="s">
        <v>292</v>
      </c>
      <c r="B112" s="890" t="s">
        <v>293</v>
      </c>
      <c r="C112" s="283"/>
      <c r="D112" s="284"/>
      <c r="E112" s="285"/>
      <c r="F112" s="285"/>
      <c r="G112" s="288"/>
      <c r="H112" s="285"/>
      <c r="I112" s="288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5"/>
      <c r="Z112" s="285"/>
      <c r="AA112" s="285"/>
      <c r="AB112" s="285"/>
      <c r="AC112" s="285"/>
      <c r="AD112" s="285"/>
      <c r="AE112" s="285"/>
      <c r="AF112" s="285"/>
      <c r="AG112" s="285"/>
      <c r="AH112" s="285"/>
      <c r="AI112" s="288"/>
      <c r="AJ112" s="288"/>
      <c r="AK112" s="286">
        <f t="shared" si="6"/>
        <v>0</v>
      </c>
      <c r="AL112" s="287">
        <f t="shared" si="7"/>
        <v>0</v>
      </c>
    </row>
    <row r="113" spans="1:58" ht="40.049999999999997" customHeight="1" x14ac:dyDescent="0.65">
      <c r="A113" s="289" t="s">
        <v>294</v>
      </c>
      <c r="B113" s="311" t="s">
        <v>295</v>
      </c>
      <c r="C113" s="291"/>
      <c r="D113" s="292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3"/>
      <c r="W113" s="293"/>
      <c r="X113" s="293"/>
      <c r="Y113" s="293"/>
      <c r="Z113" s="293"/>
      <c r="AA113" s="293"/>
      <c r="AB113" s="293"/>
      <c r="AC113" s="293"/>
      <c r="AD113" s="293"/>
      <c r="AE113" s="293"/>
      <c r="AF113" s="293"/>
      <c r="AG113" s="293"/>
      <c r="AH113" s="293"/>
      <c r="AI113" s="294"/>
      <c r="AJ113" s="294"/>
      <c r="AK113" s="349"/>
      <c r="AL113" s="350"/>
      <c r="AM113" s="357"/>
      <c r="AN113" s="357"/>
      <c r="AO113" s="357"/>
      <c r="AP113" s="357"/>
      <c r="AQ113" s="357"/>
      <c r="AR113" s="357"/>
      <c r="AS113" s="357"/>
      <c r="AT113" s="357"/>
      <c r="AU113" s="357"/>
      <c r="AV113" s="357"/>
      <c r="AW113" s="357"/>
      <c r="AX113" s="357"/>
      <c r="AY113" s="357"/>
      <c r="AZ113" s="357"/>
      <c r="BA113" s="357"/>
      <c r="BB113" s="357"/>
      <c r="BC113" s="357"/>
      <c r="BD113" s="357"/>
      <c r="BE113" s="357"/>
      <c r="BF113" s="357"/>
    </row>
    <row r="114" spans="1:58" ht="40.049999999999997" customHeight="1" x14ac:dyDescent="0.65">
      <c r="A114" s="312" t="s">
        <v>296</v>
      </c>
      <c r="B114" s="313" t="s">
        <v>297</v>
      </c>
      <c r="C114" s="283" t="s">
        <v>85</v>
      </c>
      <c r="D114" s="284"/>
      <c r="E114" s="285" t="s">
        <v>85</v>
      </c>
      <c r="F114" s="285"/>
      <c r="G114" s="285" t="s">
        <v>93</v>
      </c>
      <c r="H114" s="285"/>
      <c r="I114" s="285"/>
      <c r="J114" s="285"/>
      <c r="K114" s="285" t="s">
        <v>93</v>
      </c>
      <c r="L114" s="285"/>
      <c r="M114" s="285" t="s">
        <v>28</v>
      </c>
      <c r="N114" s="285"/>
      <c r="O114" s="285" t="s">
        <v>93</v>
      </c>
      <c r="P114" s="285"/>
      <c r="Q114" s="285" t="s">
        <v>93</v>
      </c>
      <c r="R114" s="285"/>
      <c r="S114" s="285" t="s">
        <v>28</v>
      </c>
      <c r="T114" s="285"/>
      <c r="U114" s="285" t="s">
        <v>93</v>
      </c>
      <c r="V114" s="285"/>
      <c r="W114" s="285" t="s">
        <v>93</v>
      </c>
      <c r="X114" s="285"/>
      <c r="Y114" s="285" t="s">
        <v>77</v>
      </c>
      <c r="Z114" s="285"/>
      <c r="AA114" s="285" t="s">
        <v>28</v>
      </c>
      <c r="AB114" s="285"/>
      <c r="AC114" s="285" t="s">
        <v>18</v>
      </c>
      <c r="AD114" s="285"/>
      <c r="AE114" s="285" t="s">
        <v>18</v>
      </c>
      <c r="AF114" s="285"/>
      <c r="AG114" s="285"/>
      <c r="AH114" s="285"/>
      <c r="AI114" s="285"/>
      <c r="AJ114" s="288"/>
      <c r="AK114" s="286">
        <f t="shared" ref="AK114:AK125" si="8">COUNTIF(C114:AJ114,"&gt;=R")</f>
        <v>14</v>
      </c>
      <c r="AL114" s="287">
        <f t="shared" ref="AL114:AL125" si="9">AK114</f>
        <v>14</v>
      </c>
      <c r="AM114" s="357"/>
      <c r="AN114" s="357"/>
      <c r="AO114" s="357"/>
      <c r="AP114" s="357"/>
      <c r="AQ114" s="357"/>
      <c r="AR114" s="357"/>
      <c r="AS114" s="357"/>
      <c r="AT114" s="357"/>
      <c r="AU114" s="357"/>
      <c r="AV114" s="357"/>
      <c r="AW114" s="357"/>
      <c r="AX114" s="357"/>
      <c r="AY114" s="357"/>
      <c r="AZ114" s="357"/>
      <c r="BA114" s="357"/>
      <c r="BB114" s="357"/>
      <c r="BC114" s="357"/>
      <c r="BD114" s="357"/>
      <c r="BE114" s="357"/>
      <c r="BF114" s="357"/>
    </row>
    <row r="115" spans="1:58" ht="40.049999999999997" customHeight="1" x14ac:dyDescent="0.3">
      <c r="A115" s="312" t="s">
        <v>298</v>
      </c>
      <c r="B115" s="313" t="s">
        <v>299</v>
      </c>
      <c r="C115" s="283" t="s">
        <v>85</v>
      </c>
      <c r="D115" s="284"/>
      <c r="E115" s="285" t="s">
        <v>85</v>
      </c>
      <c r="F115" s="285"/>
      <c r="G115" s="307" t="s">
        <v>85</v>
      </c>
      <c r="H115" s="285"/>
      <c r="I115" s="307" t="s">
        <v>93</v>
      </c>
      <c r="J115" s="285"/>
      <c r="K115" s="307" t="s">
        <v>93</v>
      </c>
      <c r="L115" s="285"/>
      <c r="M115" s="750" t="s">
        <v>8</v>
      </c>
      <c r="N115" s="285"/>
      <c r="O115" s="285" t="s">
        <v>85</v>
      </c>
      <c r="P115" s="285"/>
      <c r="Q115" s="307" t="s">
        <v>93</v>
      </c>
      <c r="R115" s="285"/>
      <c r="S115" s="307" t="s">
        <v>37</v>
      </c>
      <c r="T115" s="285"/>
      <c r="U115" s="307" t="s">
        <v>37</v>
      </c>
      <c r="V115" s="285"/>
      <c r="W115" s="307" t="s">
        <v>37</v>
      </c>
      <c r="X115" s="285"/>
      <c r="Y115" s="307" t="s">
        <v>37</v>
      </c>
      <c r="Z115" s="285"/>
      <c r="AA115" s="307" t="s">
        <v>37</v>
      </c>
      <c r="AB115" s="285"/>
      <c r="AC115" s="307" t="s">
        <v>37</v>
      </c>
      <c r="AD115" s="285"/>
      <c r="AE115" s="307" t="s">
        <v>37</v>
      </c>
      <c r="AF115" s="285"/>
      <c r="AG115" s="285"/>
      <c r="AH115" s="285"/>
      <c r="AI115" s="285"/>
      <c r="AJ115" s="288"/>
      <c r="AK115" s="286">
        <f t="shared" si="8"/>
        <v>15</v>
      </c>
      <c r="AL115" s="287">
        <f t="shared" si="9"/>
        <v>15</v>
      </c>
    </row>
    <row r="116" spans="1:58" ht="40.049999999999997" customHeight="1" x14ac:dyDescent="0.3">
      <c r="A116" s="312" t="s">
        <v>300</v>
      </c>
      <c r="B116" s="313" t="s">
        <v>301</v>
      </c>
      <c r="C116" s="283"/>
      <c r="D116" s="284"/>
      <c r="E116" s="283"/>
      <c r="F116" s="285"/>
      <c r="G116" s="283"/>
      <c r="H116" s="285"/>
      <c r="I116" s="283"/>
      <c r="J116" s="285"/>
      <c r="K116" s="283"/>
      <c r="L116" s="285"/>
      <c r="M116" s="283"/>
      <c r="N116" s="285"/>
      <c r="O116" s="283"/>
      <c r="P116" s="285"/>
      <c r="Q116" s="283"/>
      <c r="R116" s="285"/>
      <c r="S116" s="283"/>
      <c r="T116" s="285"/>
      <c r="U116" s="283"/>
      <c r="V116" s="285"/>
      <c r="W116" s="283"/>
      <c r="X116" s="285"/>
      <c r="Y116" s="283"/>
      <c r="Z116" s="285"/>
      <c r="AA116" s="283"/>
      <c r="AB116" s="285"/>
      <c r="AC116" s="283"/>
      <c r="AD116" s="285"/>
      <c r="AE116" s="283"/>
      <c r="AF116" s="285"/>
      <c r="AG116" s="283"/>
      <c r="AH116" s="285"/>
      <c r="AI116" s="283"/>
      <c r="AJ116" s="285"/>
      <c r="AK116" s="286">
        <f t="shared" si="8"/>
        <v>0</v>
      </c>
      <c r="AL116" s="287">
        <f t="shared" si="9"/>
        <v>0</v>
      </c>
    </row>
    <row r="117" spans="1:58" ht="40.049999999999997" customHeight="1" x14ac:dyDescent="0.65">
      <c r="A117" s="312" t="s">
        <v>302</v>
      </c>
      <c r="B117" s="313" t="s">
        <v>303</v>
      </c>
      <c r="C117" s="284"/>
      <c r="D117" s="284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5"/>
      <c r="V117" s="285"/>
      <c r="W117" s="285"/>
      <c r="X117" s="285"/>
      <c r="Y117" s="283"/>
      <c r="Z117" s="285"/>
      <c r="AA117" s="283"/>
      <c r="AB117" s="285"/>
      <c r="AC117" s="283"/>
      <c r="AD117" s="285"/>
      <c r="AE117" s="283"/>
      <c r="AF117" s="285"/>
      <c r="AG117" s="283"/>
      <c r="AH117" s="285"/>
      <c r="AI117" s="283"/>
      <c r="AJ117" s="288"/>
      <c r="AK117" s="286">
        <f t="shared" si="8"/>
        <v>0</v>
      </c>
      <c r="AL117" s="287">
        <f t="shared" si="9"/>
        <v>0</v>
      </c>
      <c r="AM117" s="357"/>
      <c r="AN117" s="357"/>
      <c r="AO117" s="357"/>
      <c r="AP117" s="357"/>
      <c r="AQ117" s="357"/>
      <c r="AR117" s="357"/>
      <c r="AS117" s="357"/>
      <c r="AT117" s="357"/>
      <c r="AU117" s="357"/>
      <c r="AV117" s="357"/>
      <c r="AW117" s="357"/>
      <c r="AX117" s="357"/>
      <c r="AY117" s="357"/>
      <c r="AZ117" s="357"/>
      <c r="BA117" s="357"/>
      <c r="BB117" s="357"/>
      <c r="BC117" s="357"/>
      <c r="BD117" s="357"/>
      <c r="BE117" s="357"/>
      <c r="BF117" s="357"/>
    </row>
    <row r="118" spans="1:58" ht="40.049999999999997" customHeight="1" x14ac:dyDescent="0.3">
      <c r="A118" s="312" t="s">
        <v>304</v>
      </c>
      <c r="B118" s="313" t="s">
        <v>305</v>
      </c>
      <c r="C118" s="283"/>
      <c r="D118" s="284"/>
      <c r="E118" s="285"/>
      <c r="F118" s="285"/>
      <c r="G118" s="307"/>
      <c r="H118" s="285"/>
      <c r="I118" s="307"/>
      <c r="J118" s="285"/>
      <c r="K118" s="307"/>
      <c r="L118" s="285"/>
      <c r="M118" s="285"/>
      <c r="N118" s="285"/>
      <c r="O118" s="285"/>
      <c r="P118" s="285"/>
      <c r="Q118" s="307"/>
      <c r="R118" s="285"/>
      <c r="S118" s="307"/>
      <c r="T118" s="285"/>
      <c r="U118" s="285"/>
      <c r="V118" s="285"/>
      <c r="W118" s="285"/>
      <c r="X118" s="285"/>
      <c r="Y118" s="285"/>
      <c r="Z118" s="285"/>
      <c r="AA118" s="285"/>
      <c r="AB118" s="285"/>
      <c r="AC118" s="285"/>
      <c r="AD118" s="285"/>
      <c r="AE118" s="285"/>
      <c r="AF118" s="285"/>
      <c r="AG118" s="285"/>
      <c r="AH118" s="285"/>
      <c r="AI118" s="285"/>
      <c r="AJ118" s="288"/>
      <c r="AK118" s="286">
        <f t="shared" si="8"/>
        <v>0</v>
      </c>
      <c r="AL118" s="287">
        <f t="shared" si="9"/>
        <v>0</v>
      </c>
    </row>
    <row r="119" spans="1:58" ht="40.049999999999997" customHeight="1" x14ac:dyDescent="0.3">
      <c r="A119" s="312" t="s">
        <v>306</v>
      </c>
      <c r="B119" s="313" t="s">
        <v>307</v>
      </c>
      <c r="C119" s="302"/>
      <c r="D119" s="284"/>
      <c r="E119" s="288"/>
      <c r="F119" s="285"/>
      <c r="G119" s="288"/>
      <c r="H119" s="285"/>
      <c r="I119" s="288"/>
      <c r="J119" s="285"/>
      <c r="K119" s="288"/>
      <c r="L119" s="285"/>
      <c r="M119" s="288"/>
      <c r="N119" s="285"/>
      <c r="O119" s="288"/>
      <c r="P119" s="285"/>
      <c r="Q119" s="288"/>
      <c r="R119" s="285"/>
      <c r="S119" s="288"/>
      <c r="T119" s="285"/>
      <c r="U119" s="288"/>
      <c r="V119" s="288"/>
      <c r="W119" s="288"/>
      <c r="X119" s="288"/>
      <c r="Y119" s="288"/>
      <c r="Z119" s="288"/>
      <c r="AA119" s="288"/>
      <c r="AB119" s="288"/>
      <c r="AC119" s="288"/>
      <c r="AD119" s="288"/>
      <c r="AE119" s="288"/>
      <c r="AF119" s="288"/>
      <c r="AG119" s="288"/>
      <c r="AH119" s="288"/>
      <c r="AI119" s="288"/>
      <c r="AJ119" s="288"/>
      <c r="AK119" s="286">
        <f t="shared" si="8"/>
        <v>0</v>
      </c>
      <c r="AL119" s="287">
        <f t="shared" si="9"/>
        <v>0</v>
      </c>
    </row>
    <row r="120" spans="1:58" ht="40.049999999999997" customHeight="1" x14ac:dyDescent="0.3">
      <c r="A120" s="312" t="s">
        <v>308</v>
      </c>
      <c r="B120" s="313" t="s">
        <v>309</v>
      </c>
      <c r="C120" s="283"/>
      <c r="D120" s="284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86">
        <f t="shared" si="8"/>
        <v>0</v>
      </c>
      <c r="AL120" s="287">
        <f t="shared" si="9"/>
        <v>0</v>
      </c>
    </row>
    <row r="121" spans="1:58" ht="40.049999999999997" customHeight="1" x14ac:dyDescent="0.3">
      <c r="A121" s="312" t="s">
        <v>310</v>
      </c>
      <c r="B121" s="313" t="s">
        <v>311</v>
      </c>
      <c r="C121" s="283"/>
      <c r="D121" s="302"/>
      <c r="E121" s="288"/>
      <c r="F121" s="288"/>
      <c r="G121" s="307"/>
      <c r="H121" s="288"/>
      <c r="I121" s="307"/>
      <c r="J121" s="288"/>
      <c r="K121" s="307"/>
      <c r="L121" s="288"/>
      <c r="M121" s="288"/>
      <c r="N121" s="288"/>
      <c r="O121" s="288"/>
      <c r="P121" s="288"/>
      <c r="Q121" s="307"/>
      <c r="R121" s="288"/>
      <c r="S121" s="307"/>
      <c r="T121" s="288"/>
      <c r="U121" s="307"/>
      <c r="V121" s="288"/>
      <c r="W121" s="307"/>
      <c r="X121" s="288"/>
      <c r="Y121" s="307"/>
      <c r="Z121" s="288"/>
      <c r="AA121" s="307"/>
      <c r="AB121" s="288"/>
      <c r="AC121" s="307"/>
      <c r="AD121" s="288"/>
      <c r="AE121" s="307"/>
      <c r="AF121" s="288"/>
      <c r="AG121" s="307"/>
      <c r="AH121" s="288"/>
      <c r="AI121" s="307"/>
      <c r="AJ121" s="288"/>
      <c r="AK121" s="286">
        <f t="shared" si="8"/>
        <v>0</v>
      </c>
      <c r="AL121" s="287">
        <f t="shared" si="9"/>
        <v>0</v>
      </c>
    </row>
    <row r="122" spans="1:58" ht="40.049999999999997" customHeight="1" x14ac:dyDescent="0.3">
      <c r="A122" s="312" t="s">
        <v>312</v>
      </c>
      <c r="B122" s="313" t="s">
        <v>313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6">
        <f t="shared" si="8"/>
        <v>0</v>
      </c>
      <c r="AL122" s="287">
        <f t="shared" si="9"/>
        <v>0</v>
      </c>
    </row>
    <row r="123" spans="1:58" ht="40.049999999999997" customHeight="1" x14ac:dyDescent="0.3">
      <c r="A123" s="312" t="s">
        <v>314</v>
      </c>
      <c r="B123" s="313" t="s">
        <v>315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8"/>
      <c r="Z123" s="288"/>
      <c r="AA123" s="288"/>
      <c r="AB123" s="288"/>
      <c r="AC123" s="288"/>
      <c r="AD123" s="288"/>
      <c r="AE123" s="288"/>
      <c r="AF123" s="288"/>
      <c r="AG123" s="288"/>
      <c r="AH123" s="288"/>
      <c r="AI123" s="288"/>
      <c r="AJ123" s="288"/>
      <c r="AK123" s="286">
        <f t="shared" si="8"/>
        <v>0</v>
      </c>
      <c r="AL123" s="287">
        <f t="shared" si="9"/>
        <v>0</v>
      </c>
    </row>
    <row r="124" spans="1:58" ht="40.049999999999997" customHeight="1" x14ac:dyDescent="0.3">
      <c r="A124" s="312" t="s">
        <v>316</v>
      </c>
      <c r="B124" s="313" t="s">
        <v>317</v>
      </c>
      <c r="C124" s="283"/>
      <c r="D124" s="302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8"/>
      <c r="Z124" s="288"/>
      <c r="AA124" s="288"/>
      <c r="AB124" s="288"/>
      <c r="AC124" s="288"/>
      <c r="AD124" s="288"/>
      <c r="AE124" s="288"/>
      <c r="AF124" s="288"/>
      <c r="AG124" s="288"/>
      <c r="AH124" s="288"/>
      <c r="AI124" s="288"/>
      <c r="AJ124" s="288"/>
      <c r="AK124" s="286">
        <f t="shared" si="8"/>
        <v>0</v>
      </c>
      <c r="AL124" s="287">
        <f t="shared" si="9"/>
        <v>0</v>
      </c>
    </row>
    <row r="125" spans="1:58" ht="40.049999999999997" customHeight="1" x14ac:dyDescent="0.3">
      <c r="A125" s="312" t="s">
        <v>318</v>
      </c>
      <c r="B125" s="313" t="s">
        <v>319</v>
      </c>
      <c r="C125" s="283"/>
      <c r="D125" s="302"/>
      <c r="E125" s="302"/>
      <c r="F125" s="288"/>
      <c r="G125" s="302"/>
      <c r="H125" s="288"/>
      <c r="I125" s="302"/>
      <c r="J125" s="288"/>
      <c r="K125" s="302"/>
      <c r="L125" s="288"/>
      <c r="M125" s="302"/>
      <c r="N125" s="288"/>
      <c r="O125" s="302"/>
      <c r="P125" s="288"/>
      <c r="Q125" s="302"/>
      <c r="R125" s="288"/>
      <c r="S125" s="302"/>
      <c r="T125" s="288"/>
      <c r="U125" s="302"/>
      <c r="V125" s="288"/>
      <c r="W125" s="302"/>
      <c r="X125" s="288"/>
      <c r="Y125" s="302"/>
      <c r="Z125" s="288"/>
      <c r="AA125" s="302"/>
      <c r="AB125" s="288"/>
      <c r="AC125" s="302"/>
      <c r="AD125" s="288"/>
      <c r="AE125" s="302"/>
      <c r="AF125" s="288"/>
      <c r="AG125" s="302"/>
      <c r="AH125" s="288"/>
      <c r="AI125" s="302"/>
      <c r="AJ125" s="288"/>
      <c r="AK125" s="286">
        <f t="shared" si="8"/>
        <v>0</v>
      </c>
      <c r="AL125" s="287">
        <f t="shared" si="9"/>
        <v>0</v>
      </c>
    </row>
    <row r="126" spans="1:58" ht="40.049999999999997" customHeight="1" x14ac:dyDescent="0.3">
      <c r="A126" s="303" t="s">
        <v>320</v>
      </c>
      <c r="B126" s="304" t="s">
        <v>321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3"/>
      <c r="AA126" s="293"/>
      <c r="AB126" s="293"/>
      <c r="AC126" s="293"/>
      <c r="AD126" s="293"/>
      <c r="AE126" s="293"/>
      <c r="AF126" s="293"/>
      <c r="AG126" s="293"/>
      <c r="AH126" s="293"/>
      <c r="AI126" s="294"/>
      <c r="AJ126" s="294"/>
      <c r="AK126" s="349"/>
      <c r="AL126" s="350"/>
    </row>
    <row r="127" spans="1:58" ht="40.049999999999997" customHeight="1" x14ac:dyDescent="0.3">
      <c r="A127" s="274" t="s">
        <v>322</v>
      </c>
      <c r="B127" s="314" t="s">
        <v>323</v>
      </c>
      <c r="C127" s="291"/>
      <c r="D127" s="292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3"/>
      <c r="W127" s="293"/>
      <c r="X127" s="293"/>
      <c r="Y127" s="293"/>
      <c r="Z127" s="293"/>
      <c r="AA127" s="293"/>
      <c r="AB127" s="293"/>
      <c r="AC127" s="293"/>
      <c r="AD127" s="293"/>
      <c r="AE127" s="293"/>
      <c r="AF127" s="293"/>
      <c r="AG127" s="293"/>
      <c r="AH127" s="293"/>
      <c r="AI127" s="294"/>
      <c r="AJ127" s="294"/>
      <c r="AK127" s="349"/>
      <c r="AL127" s="350"/>
    </row>
    <row r="128" spans="1:58" ht="40.049999999999997" customHeight="1" x14ac:dyDescent="0.3">
      <c r="A128" s="308" t="s">
        <v>324</v>
      </c>
      <c r="B128" s="315" t="s">
        <v>325</v>
      </c>
      <c r="C128" s="283"/>
      <c r="D128" s="302"/>
      <c r="E128" s="283"/>
      <c r="F128" s="288"/>
      <c r="G128" s="283"/>
      <c r="H128" s="288"/>
      <c r="I128" s="283"/>
      <c r="J128" s="288"/>
      <c r="K128" s="283"/>
      <c r="L128" s="288"/>
      <c r="M128" s="283"/>
      <c r="N128" s="288"/>
      <c r="O128" s="283"/>
      <c r="P128" s="288"/>
      <c r="Q128" s="283"/>
      <c r="R128" s="288"/>
      <c r="S128" s="283"/>
      <c r="T128" s="288"/>
      <c r="U128" s="283"/>
      <c r="V128" s="288"/>
      <c r="W128" s="283"/>
      <c r="X128" s="288"/>
      <c r="Y128" s="283"/>
      <c r="Z128" s="288"/>
      <c r="AA128" s="283"/>
      <c r="AB128" s="288"/>
      <c r="AC128" s="283"/>
      <c r="AD128" s="288"/>
      <c r="AE128" s="283"/>
      <c r="AF128" s="288"/>
      <c r="AG128" s="283"/>
      <c r="AH128" s="288"/>
      <c r="AI128" s="283"/>
      <c r="AJ128" s="288"/>
      <c r="AK128" s="286">
        <f t="shared" ref="AK128:AK139" si="10">COUNTIF(C128:AJ128,"&gt;=R")</f>
        <v>0</v>
      </c>
      <c r="AL128" s="287">
        <f t="shared" ref="AL128:AL139" si="11">AK128</f>
        <v>0</v>
      </c>
    </row>
    <row r="129" spans="1:38" ht="40.049999999999997" customHeight="1" x14ac:dyDescent="0.3">
      <c r="A129" s="316" t="s">
        <v>326</v>
      </c>
      <c r="B129" s="317" t="s">
        <v>327</v>
      </c>
      <c r="C129" s="283"/>
      <c r="D129" s="302"/>
      <c r="E129" s="283"/>
      <c r="F129" s="288"/>
      <c r="G129" s="283"/>
      <c r="H129" s="288"/>
      <c r="I129" s="283"/>
      <c r="J129" s="288"/>
      <c r="K129" s="283"/>
      <c r="L129" s="288"/>
      <c r="M129" s="283"/>
      <c r="N129" s="288"/>
      <c r="O129" s="283"/>
      <c r="P129" s="288"/>
      <c r="Q129" s="283"/>
      <c r="R129" s="288"/>
      <c r="S129" s="283"/>
      <c r="T129" s="288"/>
      <c r="U129" s="283"/>
      <c r="V129" s="288"/>
      <c r="W129" s="283"/>
      <c r="X129" s="288"/>
      <c r="Y129" s="283"/>
      <c r="Z129" s="288"/>
      <c r="AA129" s="283"/>
      <c r="AB129" s="288"/>
      <c r="AC129" s="283"/>
      <c r="AD129" s="288"/>
      <c r="AE129" s="283"/>
      <c r="AF129" s="288"/>
      <c r="AG129" s="283"/>
      <c r="AH129" s="288"/>
      <c r="AI129" s="283"/>
      <c r="AJ129" s="288"/>
      <c r="AK129" s="286">
        <f t="shared" si="10"/>
        <v>0</v>
      </c>
      <c r="AL129" s="287">
        <f t="shared" si="11"/>
        <v>0</v>
      </c>
    </row>
    <row r="130" spans="1:38" ht="40.049999999999997" customHeight="1" x14ac:dyDescent="0.3">
      <c r="A130" s="308" t="s">
        <v>328</v>
      </c>
      <c r="B130" s="315" t="s">
        <v>329</v>
      </c>
      <c r="C130" s="283"/>
      <c r="D130" s="302"/>
      <c r="E130" s="307"/>
      <c r="F130" s="288"/>
      <c r="G130" s="288"/>
      <c r="H130" s="288"/>
      <c r="I130" s="288"/>
      <c r="J130" s="288"/>
      <c r="K130" s="288"/>
      <c r="L130" s="288"/>
      <c r="M130" s="307"/>
      <c r="N130" s="288"/>
      <c r="O130" s="285"/>
      <c r="P130" s="288"/>
      <c r="Q130" s="285"/>
      <c r="R130" s="288"/>
      <c r="S130" s="285"/>
      <c r="T130" s="288"/>
      <c r="U130" s="285"/>
      <c r="V130" s="288"/>
      <c r="W130" s="285"/>
      <c r="X130" s="288"/>
      <c r="Y130" s="285"/>
      <c r="Z130" s="288"/>
      <c r="AA130" s="285"/>
      <c r="AB130" s="288"/>
      <c r="AC130" s="285"/>
      <c r="AD130" s="288"/>
      <c r="AE130" s="285"/>
      <c r="AF130" s="288"/>
      <c r="AG130" s="285"/>
      <c r="AH130" s="288"/>
      <c r="AI130" s="285"/>
      <c r="AJ130" s="288"/>
      <c r="AK130" s="286">
        <f t="shared" si="10"/>
        <v>0</v>
      </c>
      <c r="AL130" s="287">
        <f t="shared" si="11"/>
        <v>0</v>
      </c>
    </row>
    <row r="131" spans="1:38" ht="40.049999999999997" customHeight="1" x14ac:dyDescent="0.3">
      <c r="A131" s="308" t="s">
        <v>330</v>
      </c>
      <c r="B131" s="315" t="s">
        <v>331</v>
      </c>
      <c r="C131" s="284"/>
      <c r="D131" s="302"/>
      <c r="E131" s="285"/>
      <c r="F131" s="288"/>
      <c r="G131" s="285"/>
      <c r="H131" s="288"/>
      <c r="I131" s="285"/>
      <c r="J131" s="288"/>
      <c r="K131" s="285"/>
      <c r="L131" s="288"/>
      <c r="M131" s="285"/>
      <c r="N131" s="288"/>
      <c r="O131" s="285"/>
      <c r="P131" s="288"/>
      <c r="Q131" s="285"/>
      <c r="R131" s="288"/>
      <c r="S131" s="285"/>
      <c r="T131" s="288"/>
      <c r="U131" s="285"/>
      <c r="V131" s="288"/>
      <c r="W131" s="285"/>
      <c r="X131" s="288"/>
      <c r="Y131" s="285"/>
      <c r="Z131" s="288"/>
      <c r="AA131" s="285"/>
      <c r="AB131" s="288"/>
      <c r="AC131" s="285"/>
      <c r="AD131" s="288"/>
      <c r="AE131" s="285"/>
      <c r="AF131" s="288"/>
      <c r="AG131" s="285"/>
      <c r="AH131" s="288"/>
      <c r="AI131" s="285"/>
      <c r="AJ131" s="288"/>
      <c r="AK131" s="286">
        <f t="shared" si="10"/>
        <v>0</v>
      </c>
      <c r="AL131" s="287">
        <f t="shared" si="11"/>
        <v>0</v>
      </c>
    </row>
    <row r="132" spans="1:38" ht="40.049999999999997" customHeight="1" x14ac:dyDescent="0.3">
      <c r="A132" s="308" t="s">
        <v>332</v>
      </c>
      <c r="B132" s="315" t="s">
        <v>333</v>
      </c>
      <c r="C132" s="283"/>
      <c r="D132" s="302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86">
        <f t="shared" si="10"/>
        <v>0</v>
      </c>
      <c r="AL132" s="287">
        <f t="shared" si="11"/>
        <v>0</v>
      </c>
    </row>
    <row r="133" spans="1:38" ht="40.049999999999997" customHeight="1" x14ac:dyDescent="0.3">
      <c r="A133" s="308" t="s">
        <v>334</v>
      </c>
      <c r="B133" s="315" t="s">
        <v>335</v>
      </c>
      <c r="C133" s="283"/>
      <c r="D133" s="284"/>
      <c r="E133" s="283"/>
      <c r="F133" s="285"/>
      <c r="G133" s="283"/>
      <c r="H133" s="285"/>
      <c r="I133" s="283"/>
      <c r="J133" s="285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3"/>
      <c r="V133" s="288"/>
      <c r="W133" s="283"/>
      <c r="X133" s="288"/>
      <c r="Y133" s="283"/>
      <c r="Z133" s="288"/>
      <c r="AA133" s="283"/>
      <c r="AB133" s="288"/>
      <c r="AC133" s="283"/>
      <c r="AD133" s="288"/>
      <c r="AE133" s="283"/>
      <c r="AF133" s="288"/>
      <c r="AG133" s="283"/>
      <c r="AH133" s="288"/>
      <c r="AI133" s="283"/>
      <c r="AJ133" s="288"/>
      <c r="AK133" s="286">
        <f t="shared" si="10"/>
        <v>0</v>
      </c>
      <c r="AL133" s="287">
        <f t="shared" si="11"/>
        <v>0</v>
      </c>
    </row>
    <row r="134" spans="1:38" ht="40.049999999999997" customHeight="1" x14ac:dyDescent="0.3">
      <c r="A134" s="308" t="s">
        <v>336</v>
      </c>
      <c r="B134" s="315" t="s">
        <v>337</v>
      </c>
      <c r="C134" s="283"/>
      <c r="D134" s="302"/>
      <c r="E134" s="283"/>
      <c r="F134" s="288"/>
      <c r="G134" s="283"/>
      <c r="H134" s="288"/>
      <c r="I134" s="283"/>
      <c r="J134" s="288"/>
      <c r="K134" s="283"/>
      <c r="L134" s="288"/>
      <c r="M134" s="283"/>
      <c r="N134" s="288"/>
      <c r="O134" s="283"/>
      <c r="P134" s="288"/>
      <c r="Q134" s="283"/>
      <c r="R134" s="288"/>
      <c r="S134" s="283"/>
      <c r="T134" s="288"/>
      <c r="U134" s="283"/>
      <c r="V134" s="288"/>
      <c r="W134" s="283"/>
      <c r="X134" s="288"/>
      <c r="Y134" s="283"/>
      <c r="Z134" s="288"/>
      <c r="AA134" s="283"/>
      <c r="AB134" s="288"/>
      <c r="AC134" s="283"/>
      <c r="AD134" s="288"/>
      <c r="AE134" s="283"/>
      <c r="AF134" s="288"/>
      <c r="AG134" s="283"/>
      <c r="AH134" s="288"/>
      <c r="AI134" s="283"/>
      <c r="AJ134" s="288"/>
      <c r="AK134" s="286">
        <f t="shared" si="10"/>
        <v>0</v>
      </c>
      <c r="AL134" s="287">
        <f t="shared" si="11"/>
        <v>0</v>
      </c>
    </row>
    <row r="135" spans="1:38" ht="40.049999999999997" customHeight="1" x14ac:dyDescent="0.3">
      <c r="A135" s="308" t="s">
        <v>338</v>
      </c>
      <c r="B135" s="315" t="s">
        <v>339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8"/>
      <c r="AB135" s="288"/>
      <c r="AC135" s="288"/>
      <c r="AD135" s="288"/>
      <c r="AE135" s="288"/>
      <c r="AF135" s="288"/>
      <c r="AG135" s="288"/>
      <c r="AH135" s="288"/>
      <c r="AI135" s="288"/>
      <c r="AJ135" s="288"/>
      <c r="AK135" s="286">
        <f t="shared" si="10"/>
        <v>0</v>
      </c>
      <c r="AL135" s="287">
        <f t="shared" si="11"/>
        <v>0</v>
      </c>
    </row>
    <row r="136" spans="1:38" ht="40.049999999999997" customHeight="1" x14ac:dyDescent="0.3">
      <c r="A136" s="308" t="s">
        <v>340</v>
      </c>
      <c r="B136" s="315" t="s">
        <v>341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8"/>
      <c r="AB136" s="288"/>
      <c r="AC136" s="288"/>
      <c r="AD136" s="288"/>
      <c r="AE136" s="288"/>
      <c r="AF136" s="288"/>
      <c r="AG136" s="288"/>
      <c r="AH136" s="288"/>
      <c r="AI136" s="288"/>
      <c r="AJ136" s="288"/>
      <c r="AK136" s="286">
        <f t="shared" si="10"/>
        <v>0</v>
      </c>
      <c r="AL136" s="287">
        <f t="shared" si="11"/>
        <v>0</v>
      </c>
    </row>
    <row r="137" spans="1:38" ht="40.049999999999997" customHeight="1" x14ac:dyDescent="0.3">
      <c r="A137" s="308" t="s">
        <v>342</v>
      </c>
      <c r="B137" s="315" t="s">
        <v>343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86">
        <f t="shared" si="10"/>
        <v>0</v>
      </c>
      <c r="AL137" s="287">
        <f t="shared" si="11"/>
        <v>0</v>
      </c>
    </row>
    <row r="138" spans="1:38" ht="40.049999999999997" customHeight="1" x14ac:dyDescent="0.3">
      <c r="A138" s="308" t="s">
        <v>344</v>
      </c>
      <c r="B138" s="315" t="s">
        <v>345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  <c r="AC138" s="288"/>
      <c r="AD138" s="288"/>
      <c r="AE138" s="288"/>
      <c r="AF138" s="288"/>
      <c r="AG138" s="288"/>
      <c r="AH138" s="288"/>
      <c r="AI138" s="288"/>
      <c r="AJ138" s="288"/>
      <c r="AK138" s="286">
        <f t="shared" si="10"/>
        <v>0</v>
      </c>
      <c r="AL138" s="287">
        <f t="shared" si="11"/>
        <v>0</v>
      </c>
    </row>
    <row r="139" spans="1:38" ht="40.049999999999997" customHeight="1" x14ac:dyDescent="0.3">
      <c r="A139" s="308" t="s">
        <v>346</v>
      </c>
      <c r="B139" s="315" t="s">
        <v>347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8"/>
      <c r="AB139" s="288"/>
      <c r="AC139" s="288"/>
      <c r="AD139" s="288"/>
      <c r="AE139" s="288"/>
      <c r="AF139" s="288"/>
      <c r="AG139" s="288"/>
      <c r="AH139" s="288"/>
      <c r="AI139" s="288"/>
      <c r="AJ139" s="288"/>
      <c r="AK139" s="286">
        <f t="shared" si="10"/>
        <v>0</v>
      </c>
      <c r="AL139" s="287">
        <f t="shared" si="11"/>
        <v>0</v>
      </c>
    </row>
    <row r="140" spans="1:38" ht="40.049999999999997" customHeight="1" x14ac:dyDescent="0.3">
      <c r="A140" s="289" t="s">
        <v>348</v>
      </c>
      <c r="B140" s="311" t="s">
        <v>349</v>
      </c>
      <c r="C140" s="291"/>
      <c r="D140" s="292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3"/>
      <c r="W140" s="293"/>
      <c r="X140" s="293"/>
      <c r="Y140" s="293"/>
      <c r="Z140" s="293"/>
      <c r="AA140" s="293"/>
      <c r="AB140" s="293"/>
      <c r="AC140" s="293"/>
      <c r="AD140" s="293"/>
      <c r="AE140" s="293"/>
      <c r="AF140" s="293"/>
      <c r="AG140" s="293"/>
      <c r="AH140" s="293"/>
      <c r="AI140" s="294"/>
      <c r="AJ140" s="294"/>
      <c r="AK140" s="349"/>
      <c r="AL140" s="350"/>
    </row>
    <row r="141" spans="1:38" ht="40.049999999999997" customHeight="1" x14ac:dyDescent="0.3">
      <c r="A141" s="308" t="s">
        <v>350</v>
      </c>
      <c r="B141" s="309" t="s">
        <v>351</v>
      </c>
      <c r="C141" s="283"/>
      <c r="D141" s="302"/>
      <c r="E141" s="283"/>
      <c r="F141" s="288"/>
      <c r="G141" s="283"/>
      <c r="H141" s="288"/>
      <c r="I141" s="283"/>
      <c r="J141" s="288"/>
      <c r="K141" s="283"/>
      <c r="L141" s="288"/>
      <c r="M141" s="283"/>
      <c r="N141" s="288"/>
      <c r="O141" s="283"/>
      <c r="P141" s="288"/>
      <c r="Q141" s="283"/>
      <c r="R141" s="288"/>
      <c r="S141" s="283"/>
      <c r="T141" s="288"/>
      <c r="U141" s="283"/>
      <c r="V141" s="288"/>
      <c r="W141" s="283"/>
      <c r="X141" s="288"/>
      <c r="Y141" s="283"/>
      <c r="Z141" s="288"/>
      <c r="AA141" s="283"/>
      <c r="AB141" s="288"/>
      <c r="AC141" s="283"/>
      <c r="AD141" s="288"/>
      <c r="AE141" s="283"/>
      <c r="AF141" s="288"/>
      <c r="AG141" s="283"/>
      <c r="AH141" s="288"/>
      <c r="AI141" s="283"/>
      <c r="AJ141" s="288"/>
      <c r="AK141" s="286">
        <f>COUNTIF(C141:AJ141,"&gt;=R")</f>
        <v>0</v>
      </c>
      <c r="AL141" s="287">
        <f>AK141</f>
        <v>0</v>
      </c>
    </row>
    <row r="142" spans="1:38" ht="40.049999999999997" customHeight="1" x14ac:dyDescent="0.3">
      <c r="A142" s="308" t="s">
        <v>352</v>
      </c>
      <c r="B142" s="309" t="s">
        <v>353</v>
      </c>
      <c r="C142" s="283" t="s">
        <v>93</v>
      </c>
      <c r="D142" s="302"/>
      <c r="E142" s="288" t="s">
        <v>93</v>
      </c>
      <c r="F142" s="288"/>
      <c r="G142" s="288" t="s">
        <v>93</v>
      </c>
      <c r="H142" s="288"/>
      <c r="I142" s="288" t="s">
        <v>77</v>
      </c>
      <c r="J142" s="288"/>
      <c r="K142" s="288" t="s">
        <v>77</v>
      </c>
      <c r="L142" s="288"/>
      <c r="M142" s="288" t="s">
        <v>48</v>
      </c>
      <c r="N142" s="288"/>
      <c r="O142" s="288" t="s">
        <v>68</v>
      </c>
      <c r="P142" s="288"/>
      <c r="Q142" s="288" t="s">
        <v>77</v>
      </c>
      <c r="R142" s="288"/>
      <c r="S142" s="288" t="s">
        <v>56</v>
      </c>
      <c r="T142" s="288"/>
      <c r="U142" s="285" t="s">
        <v>37</v>
      </c>
      <c r="V142" s="288"/>
      <c r="W142" s="285" t="s">
        <v>37</v>
      </c>
      <c r="X142" s="288"/>
      <c r="Y142" s="285" t="s">
        <v>37</v>
      </c>
      <c r="Z142" s="288"/>
      <c r="AA142" s="288" t="s">
        <v>37</v>
      </c>
      <c r="AB142" s="288"/>
      <c r="AC142" s="285" t="s">
        <v>37</v>
      </c>
      <c r="AD142" s="288"/>
      <c r="AE142" s="285" t="s">
        <v>37</v>
      </c>
      <c r="AF142" s="288"/>
      <c r="AG142" s="285"/>
      <c r="AH142" s="288"/>
      <c r="AI142" s="285"/>
      <c r="AJ142" s="288"/>
      <c r="AK142" s="286">
        <f>COUNTIF(C142:AJ142,"&gt;=R")</f>
        <v>15</v>
      </c>
      <c r="AL142" s="287">
        <f>AK142</f>
        <v>15</v>
      </c>
    </row>
    <row r="143" spans="1:38" ht="40.049999999999997" customHeight="1" x14ac:dyDescent="0.3">
      <c r="A143" s="308" t="s">
        <v>354</v>
      </c>
      <c r="B143" s="309" t="s">
        <v>355</v>
      </c>
      <c r="C143" s="283" t="s">
        <v>93</v>
      </c>
      <c r="D143" s="302"/>
      <c r="E143" s="288" t="s">
        <v>93</v>
      </c>
      <c r="F143" s="288"/>
      <c r="G143" s="288" t="s">
        <v>93</v>
      </c>
      <c r="H143" s="288"/>
      <c r="I143" s="288" t="s">
        <v>77</v>
      </c>
      <c r="J143" s="288"/>
      <c r="K143" s="288" t="s">
        <v>77</v>
      </c>
      <c r="L143" s="288"/>
      <c r="M143" s="288" t="s">
        <v>48</v>
      </c>
      <c r="N143" s="288"/>
      <c r="O143" s="288" t="s">
        <v>68</v>
      </c>
      <c r="P143" s="288"/>
      <c r="Q143" s="288" t="s">
        <v>77</v>
      </c>
      <c r="R143" s="288"/>
      <c r="S143" s="288" t="s">
        <v>56</v>
      </c>
      <c r="T143" s="288"/>
      <c r="U143" s="285" t="s">
        <v>37</v>
      </c>
      <c r="V143" s="288"/>
      <c r="W143" s="285" t="s">
        <v>37</v>
      </c>
      <c r="X143" s="288"/>
      <c r="Y143" s="285" t="s">
        <v>37</v>
      </c>
      <c r="Z143" s="288"/>
      <c r="AA143" s="288" t="s">
        <v>37</v>
      </c>
      <c r="AB143" s="288"/>
      <c r="AC143" s="285" t="s">
        <v>37</v>
      </c>
      <c r="AD143" s="288"/>
      <c r="AE143" s="285" t="s">
        <v>37</v>
      </c>
      <c r="AF143" s="288"/>
      <c r="AG143" s="285"/>
      <c r="AH143" s="288"/>
      <c r="AI143" s="285"/>
      <c r="AJ143" s="288"/>
      <c r="AK143" s="286">
        <f>COUNTIF(C143:AJ143,"&gt;=R")</f>
        <v>15</v>
      </c>
      <c r="AL143" s="287">
        <f>AK143</f>
        <v>15</v>
      </c>
    </row>
    <row r="144" spans="1:38" ht="40.049999999999997" customHeight="1" x14ac:dyDescent="0.3">
      <c r="A144" s="289" t="s">
        <v>356</v>
      </c>
      <c r="B144" s="311" t="s">
        <v>357</v>
      </c>
      <c r="C144" s="291"/>
      <c r="D144" s="292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3"/>
      <c r="W144" s="293"/>
      <c r="X144" s="293"/>
      <c r="Y144" s="293"/>
      <c r="Z144" s="293"/>
      <c r="AA144" s="293"/>
      <c r="AB144" s="293"/>
      <c r="AC144" s="293"/>
      <c r="AD144" s="293"/>
      <c r="AE144" s="293"/>
      <c r="AF144" s="293"/>
      <c r="AG144" s="293"/>
      <c r="AH144" s="293"/>
      <c r="AI144" s="294"/>
      <c r="AJ144" s="294"/>
      <c r="AK144" s="349"/>
      <c r="AL144" s="350"/>
    </row>
    <row r="145" spans="1:38" ht="40.049999999999997" customHeight="1" x14ac:dyDescent="0.3">
      <c r="A145" s="308" t="s">
        <v>358</v>
      </c>
      <c r="B145" s="309" t="s">
        <v>359</v>
      </c>
      <c r="C145" s="743" t="s">
        <v>8</v>
      </c>
      <c r="D145" s="302"/>
      <c r="E145" s="743" t="s">
        <v>8</v>
      </c>
      <c r="F145" s="288"/>
      <c r="G145" s="743" t="s">
        <v>8</v>
      </c>
      <c r="H145" s="288"/>
      <c r="I145" s="743" t="s">
        <v>8</v>
      </c>
      <c r="J145" s="288"/>
      <c r="K145" s="743" t="s">
        <v>8</v>
      </c>
      <c r="L145" s="288"/>
      <c r="M145" s="743" t="s">
        <v>8</v>
      </c>
      <c r="N145" s="288"/>
      <c r="O145" s="743" t="s">
        <v>8</v>
      </c>
      <c r="P145" s="288"/>
      <c r="Q145" s="743" t="s">
        <v>8</v>
      </c>
      <c r="R145" s="288"/>
      <c r="S145" s="743" t="s">
        <v>8</v>
      </c>
      <c r="T145" s="288"/>
      <c r="U145" s="743" t="s">
        <v>8</v>
      </c>
      <c r="V145" s="288"/>
      <c r="W145" s="744" t="s">
        <v>8</v>
      </c>
      <c r="X145" s="288"/>
      <c r="Y145" s="744" t="s">
        <v>8</v>
      </c>
      <c r="Z145" s="288"/>
      <c r="AA145" s="744" t="s">
        <v>8</v>
      </c>
      <c r="AB145" s="288"/>
      <c r="AC145" s="744" t="s">
        <v>8</v>
      </c>
      <c r="AD145" s="288"/>
      <c r="AE145" s="744" t="s">
        <v>8</v>
      </c>
      <c r="AF145" s="288"/>
      <c r="AG145" s="744" t="s">
        <v>8</v>
      </c>
      <c r="AH145" s="288"/>
      <c r="AI145" s="744" t="s">
        <v>8</v>
      </c>
      <c r="AJ145" s="288"/>
      <c r="AK145" s="286">
        <f>COUNTIF(C145:AJ145,"&gt;=R")</f>
        <v>17</v>
      </c>
      <c r="AL145" s="287">
        <f>AK145</f>
        <v>17</v>
      </c>
    </row>
    <row r="146" spans="1:38" ht="40.049999999999997" customHeight="1" x14ac:dyDescent="0.3">
      <c r="A146" s="308" t="s">
        <v>360</v>
      </c>
      <c r="B146" s="309" t="s">
        <v>361</v>
      </c>
      <c r="C146" s="284" t="s">
        <v>56</v>
      </c>
      <c r="D146" s="302"/>
      <c r="E146" s="285" t="s">
        <v>56</v>
      </c>
      <c r="F146" s="288"/>
      <c r="G146" s="285" t="s">
        <v>37</v>
      </c>
      <c r="H146" s="288"/>
      <c r="I146" s="285" t="s">
        <v>37</v>
      </c>
      <c r="J146" s="288"/>
      <c r="K146" s="285" t="s">
        <v>37</v>
      </c>
      <c r="L146" s="288"/>
      <c r="M146" s="285" t="s">
        <v>37</v>
      </c>
      <c r="N146" s="288"/>
      <c r="O146" s="285" t="s">
        <v>37</v>
      </c>
      <c r="P146" s="288"/>
      <c r="Q146" s="285" t="s">
        <v>37</v>
      </c>
      <c r="R146" s="288"/>
      <c r="S146" s="285" t="s">
        <v>55</v>
      </c>
      <c r="T146" s="288"/>
      <c r="U146" s="285" t="s">
        <v>55</v>
      </c>
      <c r="V146" s="288"/>
      <c r="W146" s="285" t="s">
        <v>55</v>
      </c>
      <c r="X146" s="288"/>
      <c r="Y146" s="285" t="s">
        <v>36</v>
      </c>
      <c r="Z146" s="288"/>
      <c r="AA146" s="285" t="s">
        <v>36</v>
      </c>
      <c r="AB146" s="288"/>
      <c r="AC146" s="285" t="s">
        <v>36</v>
      </c>
      <c r="AD146" s="288"/>
      <c r="AE146" s="285" t="s">
        <v>36</v>
      </c>
      <c r="AF146" s="288"/>
      <c r="AG146" s="285" t="s">
        <v>36</v>
      </c>
      <c r="AH146" s="288"/>
      <c r="AI146" s="285" t="s">
        <v>36</v>
      </c>
      <c r="AJ146" s="288"/>
      <c r="AK146" s="286">
        <f>COUNTIF(C146:AJ146,"&gt;=R")</f>
        <v>17</v>
      </c>
      <c r="AL146" s="287">
        <f>AK146</f>
        <v>17</v>
      </c>
    </row>
    <row r="147" spans="1:38" ht="40.049999999999997" customHeight="1" x14ac:dyDescent="0.3">
      <c r="A147" s="308" t="s">
        <v>362</v>
      </c>
      <c r="B147" s="309" t="s">
        <v>363</v>
      </c>
      <c r="C147" s="283"/>
      <c r="D147" s="302"/>
      <c r="E147" s="283"/>
      <c r="F147" s="288"/>
      <c r="G147" s="283"/>
      <c r="H147" s="288"/>
      <c r="I147" s="283"/>
      <c r="J147" s="288"/>
      <c r="K147" s="283"/>
      <c r="L147" s="288"/>
      <c r="M147" s="283"/>
      <c r="N147" s="288"/>
      <c r="O147" s="283"/>
      <c r="P147" s="288"/>
      <c r="Q147" s="283"/>
      <c r="R147" s="288"/>
      <c r="S147" s="283"/>
      <c r="T147" s="288"/>
      <c r="U147" s="283"/>
      <c r="V147" s="288"/>
      <c r="W147" s="283"/>
      <c r="X147" s="288"/>
      <c r="Y147" s="283"/>
      <c r="Z147" s="288"/>
      <c r="AA147" s="283"/>
      <c r="AB147" s="288"/>
      <c r="AC147" s="283"/>
      <c r="AD147" s="288"/>
      <c r="AE147" s="283"/>
      <c r="AF147" s="288"/>
      <c r="AG147" s="283"/>
      <c r="AH147" s="288"/>
      <c r="AI147" s="283"/>
      <c r="AJ147" s="288"/>
      <c r="AK147" s="286">
        <f>COUNTIF(C147:AJ147,"&gt;=R")</f>
        <v>0</v>
      </c>
      <c r="AL147" s="287">
        <f>AK147</f>
        <v>0</v>
      </c>
    </row>
    <row r="148" spans="1:38" ht="40.049999999999997" customHeight="1" x14ac:dyDescent="0.3">
      <c r="A148" s="289" t="s">
        <v>364</v>
      </c>
      <c r="B148" s="290" t="s">
        <v>365</v>
      </c>
      <c r="C148" s="291"/>
      <c r="D148" s="292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3"/>
      <c r="W148" s="293"/>
      <c r="X148" s="293"/>
      <c r="Y148" s="293"/>
      <c r="Z148" s="293"/>
      <c r="AA148" s="293"/>
      <c r="AB148" s="293"/>
      <c r="AC148" s="293"/>
      <c r="AD148" s="293"/>
      <c r="AE148" s="293"/>
      <c r="AF148" s="293"/>
      <c r="AG148" s="293"/>
      <c r="AH148" s="293"/>
      <c r="AI148" s="294"/>
      <c r="AJ148" s="294"/>
      <c r="AK148" s="349"/>
      <c r="AL148" s="350"/>
    </row>
    <row r="149" spans="1:38" ht="40.049999999999997" customHeight="1" x14ac:dyDescent="0.3">
      <c r="A149" s="318" t="s">
        <v>366</v>
      </c>
      <c r="B149" s="319" t="s">
        <v>367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8"/>
      <c r="Z149" s="288"/>
      <c r="AA149" s="288"/>
      <c r="AB149" s="288"/>
      <c r="AC149" s="288"/>
      <c r="AD149" s="288"/>
      <c r="AE149" s="288"/>
      <c r="AF149" s="288"/>
      <c r="AG149" s="288"/>
      <c r="AH149" s="288"/>
      <c r="AI149" s="288"/>
      <c r="AJ149" s="288"/>
      <c r="AK149" s="286">
        <f t="shared" ref="AK149:AK156" si="12">COUNTIF(C149:AJ149,"&gt;=R")</f>
        <v>0</v>
      </c>
      <c r="AL149" s="287">
        <f t="shared" ref="AL149:AL156" si="13">AK149</f>
        <v>0</v>
      </c>
    </row>
    <row r="150" spans="1:38" ht="40.049999999999997" customHeight="1" x14ac:dyDescent="0.3">
      <c r="A150" s="320" t="s">
        <v>368</v>
      </c>
      <c r="B150" s="321" t="s">
        <v>369</v>
      </c>
      <c r="C150" s="302"/>
      <c r="D150" s="302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8"/>
      <c r="V150" s="288"/>
      <c r="W150" s="288"/>
      <c r="X150" s="288"/>
      <c r="Y150" s="288"/>
      <c r="Z150" s="288"/>
      <c r="AA150" s="288"/>
      <c r="AB150" s="288"/>
      <c r="AC150" s="288"/>
      <c r="AD150" s="288"/>
      <c r="AE150" s="288"/>
      <c r="AF150" s="288"/>
      <c r="AG150" s="288"/>
      <c r="AH150" s="288"/>
      <c r="AI150" s="288"/>
      <c r="AJ150" s="288"/>
      <c r="AK150" s="286">
        <f t="shared" si="12"/>
        <v>0</v>
      </c>
      <c r="AL150" s="287">
        <f t="shared" si="13"/>
        <v>0</v>
      </c>
    </row>
    <row r="151" spans="1:38" ht="40.049999999999997" customHeight="1" x14ac:dyDescent="0.3">
      <c r="A151" s="320" t="s">
        <v>370</v>
      </c>
      <c r="B151" s="321" t="s">
        <v>371</v>
      </c>
      <c r="C151" s="284"/>
      <c r="D151" s="302"/>
      <c r="E151" s="285"/>
      <c r="F151" s="288"/>
      <c r="G151" s="285"/>
      <c r="H151" s="288"/>
      <c r="I151" s="285"/>
      <c r="J151" s="288"/>
      <c r="K151" s="285"/>
      <c r="L151" s="288"/>
      <c r="M151" s="285"/>
      <c r="N151" s="288"/>
      <c r="O151" s="285"/>
      <c r="P151" s="288"/>
      <c r="Q151" s="285"/>
      <c r="R151" s="288"/>
      <c r="S151" s="285"/>
      <c r="T151" s="288"/>
      <c r="U151" s="285"/>
      <c r="V151" s="288"/>
      <c r="W151" s="285"/>
      <c r="X151" s="288"/>
      <c r="Y151" s="285"/>
      <c r="Z151" s="288"/>
      <c r="AA151" s="285"/>
      <c r="AB151" s="288"/>
      <c r="AC151" s="285"/>
      <c r="AD151" s="288"/>
      <c r="AE151" s="285"/>
      <c r="AF151" s="288"/>
      <c r="AG151" s="285"/>
      <c r="AH151" s="288"/>
      <c r="AI151" s="285"/>
      <c r="AJ151" s="288"/>
      <c r="AK151" s="286">
        <f t="shared" si="12"/>
        <v>0</v>
      </c>
      <c r="AL151" s="287">
        <f t="shared" si="13"/>
        <v>0</v>
      </c>
    </row>
    <row r="152" spans="1:38" ht="40.049999999999997" customHeight="1" x14ac:dyDescent="0.3">
      <c r="A152" s="322" t="s">
        <v>372</v>
      </c>
      <c r="B152" s="323" t="s">
        <v>373</v>
      </c>
      <c r="C152" s="284" t="s">
        <v>68</v>
      </c>
      <c r="D152" s="302"/>
      <c r="E152" s="288" t="s">
        <v>68</v>
      </c>
      <c r="F152" s="288"/>
      <c r="G152" s="288" t="s">
        <v>68</v>
      </c>
      <c r="H152" s="288"/>
      <c r="I152" s="826" t="s">
        <v>68</v>
      </c>
      <c r="J152" s="288"/>
      <c r="K152" s="285" t="s">
        <v>68</v>
      </c>
      <c r="L152" s="288"/>
      <c r="M152" s="750" t="s">
        <v>8</v>
      </c>
      <c r="N152" s="288"/>
      <c r="O152" s="285" t="s">
        <v>68</v>
      </c>
      <c r="P152" s="288"/>
      <c r="Q152" s="750" t="s">
        <v>8</v>
      </c>
      <c r="R152" s="288"/>
      <c r="S152" s="718" t="s">
        <v>84</v>
      </c>
      <c r="T152" s="288"/>
      <c r="U152" s="718" t="s">
        <v>84</v>
      </c>
      <c r="V152" s="288"/>
      <c r="W152" s="728" t="s">
        <v>84</v>
      </c>
      <c r="X152" s="288"/>
      <c r="Y152" s="749" t="s">
        <v>8</v>
      </c>
      <c r="Z152" s="288"/>
      <c r="AA152" s="728" t="s">
        <v>84</v>
      </c>
      <c r="AB152" s="288"/>
      <c r="AC152" s="728" t="s">
        <v>84</v>
      </c>
      <c r="AD152" s="288"/>
      <c r="AE152" s="728" t="s">
        <v>84</v>
      </c>
      <c r="AF152" s="288"/>
      <c r="AG152" s="288"/>
      <c r="AH152" s="288"/>
      <c r="AI152" s="288"/>
      <c r="AJ152" s="288"/>
      <c r="AK152" s="286">
        <f t="shared" si="12"/>
        <v>15</v>
      </c>
      <c r="AL152" s="287">
        <f t="shared" si="13"/>
        <v>15</v>
      </c>
    </row>
    <row r="153" spans="1:38" ht="40.049999999999997" customHeight="1" x14ac:dyDescent="0.3">
      <c r="A153" s="322" t="s">
        <v>374</v>
      </c>
      <c r="B153" s="323" t="s">
        <v>375</v>
      </c>
      <c r="C153" s="284"/>
      <c r="D153" s="302"/>
      <c r="E153" s="288"/>
      <c r="F153" s="288"/>
      <c r="G153" s="288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5"/>
      <c r="V153" s="288"/>
      <c r="W153" s="288"/>
      <c r="X153" s="288"/>
      <c r="Y153" s="288"/>
      <c r="Z153" s="288"/>
      <c r="AA153" s="288"/>
      <c r="AB153" s="288"/>
      <c r="AC153" s="288"/>
      <c r="AD153" s="288"/>
      <c r="AE153" s="288"/>
      <c r="AF153" s="288"/>
      <c r="AG153" s="288"/>
      <c r="AH153" s="288"/>
      <c r="AI153" s="288"/>
      <c r="AJ153" s="288"/>
      <c r="AK153" s="286">
        <f t="shared" si="12"/>
        <v>0</v>
      </c>
      <c r="AL153" s="287">
        <f t="shared" si="13"/>
        <v>0</v>
      </c>
    </row>
    <row r="154" spans="1:38" ht="40.049999999999997" customHeight="1" x14ac:dyDescent="0.3">
      <c r="A154" s="322" t="s">
        <v>376</v>
      </c>
      <c r="B154" s="323" t="s">
        <v>377</v>
      </c>
      <c r="C154" s="284"/>
      <c r="D154" s="302"/>
      <c r="E154" s="285"/>
      <c r="F154" s="288"/>
      <c r="G154" s="285"/>
      <c r="H154" s="288"/>
      <c r="I154" s="285"/>
      <c r="J154" s="288"/>
      <c r="K154" s="285"/>
      <c r="L154" s="288"/>
      <c r="M154" s="285"/>
      <c r="N154" s="288"/>
      <c r="O154" s="285"/>
      <c r="P154" s="288"/>
      <c r="Q154" s="285"/>
      <c r="R154" s="288"/>
      <c r="S154" s="285"/>
      <c r="T154" s="288"/>
      <c r="U154" s="285"/>
      <c r="V154" s="288"/>
      <c r="W154" s="285"/>
      <c r="X154" s="288"/>
      <c r="Y154" s="285"/>
      <c r="Z154" s="288"/>
      <c r="AA154" s="285"/>
      <c r="AB154" s="288"/>
      <c r="AC154" s="285"/>
      <c r="AD154" s="288"/>
      <c r="AE154" s="285"/>
      <c r="AF154" s="288"/>
      <c r="AG154" s="285"/>
      <c r="AH154" s="288"/>
      <c r="AI154" s="285"/>
      <c r="AJ154" s="288"/>
      <c r="AK154" s="286">
        <f t="shared" si="12"/>
        <v>0</v>
      </c>
      <c r="AL154" s="287">
        <f t="shared" si="13"/>
        <v>0</v>
      </c>
    </row>
    <row r="155" spans="1:38" ht="40.049999999999997" customHeight="1" x14ac:dyDescent="0.3">
      <c r="A155" s="322" t="s">
        <v>374</v>
      </c>
      <c r="B155" s="324" t="s">
        <v>375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8"/>
      <c r="Z155" s="288"/>
      <c r="AA155" s="288"/>
      <c r="AB155" s="288"/>
      <c r="AC155" s="288"/>
      <c r="AD155" s="288"/>
      <c r="AE155" s="288"/>
      <c r="AF155" s="288"/>
      <c r="AG155" s="288"/>
      <c r="AH155" s="288"/>
      <c r="AI155" s="288"/>
      <c r="AJ155" s="288"/>
      <c r="AK155" s="286">
        <f t="shared" si="12"/>
        <v>0</v>
      </c>
      <c r="AL155" s="287">
        <f t="shared" si="13"/>
        <v>0</v>
      </c>
    </row>
    <row r="156" spans="1:38" ht="40.049999999999997" customHeight="1" x14ac:dyDescent="0.65">
      <c r="A156" s="357" t="s">
        <v>378</v>
      </c>
      <c r="B156" s="896" t="s">
        <v>379</v>
      </c>
      <c r="C156" s="302"/>
      <c r="D156" s="302"/>
      <c r="E156" s="288"/>
      <c r="F156" s="288"/>
      <c r="G156" s="288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8"/>
      <c r="T156" s="288"/>
      <c r="U156" s="288"/>
      <c r="V156" s="288"/>
      <c r="W156" s="288"/>
      <c r="X156" s="288"/>
      <c r="Y156" s="288"/>
      <c r="Z156" s="288"/>
      <c r="AA156" s="288"/>
      <c r="AB156" s="288"/>
      <c r="AC156" s="288"/>
      <c r="AD156" s="288"/>
      <c r="AE156" s="288"/>
      <c r="AF156" s="288"/>
      <c r="AG156" s="288"/>
      <c r="AH156" s="288"/>
      <c r="AI156" s="288"/>
      <c r="AJ156" s="288"/>
      <c r="AK156" s="286">
        <f t="shared" si="12"/>
        <v>0</v>
      </c>
      <c r="AL156" s="287">
        <f t="shared" si="13"/>
        <v>0</v>
      </c>
    </row>
    <row r="157" spans="1:38" ht="40.049999999999997" customHeight="1" x14ac:dyDescent="0.3">
      <c r="A157" s="289" t="s">
        <v>380</v>
      </c>
      <c r="B157" s="290" t="s">
        <v>381</v>
      </c>
      <c r="C157" s="291"/>
      <c r="D157" s="292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3"/>
      <c r="W157" s="293"/>
      <c r="X157" s="293"/>
      <c r="Y157" s="293"/>
      <c r="Z157" s="293"/>
      <c r="AA157" s="293"/>
      <c r="AB157" s="293"/>
      <c r="AC157" s="293"/>
      <c r="AD157" s="293"/>
      <c r="AE157" s="293"/>
      <c r="AF157" s="293"/>
      <c r="AG157" s="293"/>
      <c r="AH157" s="293"/>
      <c r="AI157" s="294"/>
      <c r="AJ157" s="294"/>
      <c r="AK157" s="349"/>
      <c r="AL157" s="350"/>
    </row>
    <row r="158" spans="1:38" ht="40.049999999999997" customHeight="1" x14ac:dyDescent="0.3">
      <c r="A158" s="308" t="s">
        <v>382</v>
      </c>
      <c r="B158" s="309" t="s">
        <v>383</v>
      </c>
      <c r="C158" s="283"/>
      <c r="D158" s="302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8"/>
      <c r="Z158" s="288"/>
      <c r="AA158" s="288"/>
      <c r="AB158" s="288"/>
      <c r="AC158" s="288"/>
      <c r="AD158" s="288"/>
      <c r="AE158" s="288"/>
      <c r="AF158" s="288"/>
      <c r="AG158" s="288"/>
      <c r="AH158" s="288"/>
      <c r="AI158" s="288"/>
      <c r="AJ158" s="288"/>
      <c r="AK158" s="286">
        <f>COUNTIF(C158:AJ158,"&gt;=R")</f>
        <v>0</v>
      </c>
      <c r="AL158" s="287">
        <f>AK158</f>
        <v>0</v>
      </c>
    </row>
    <row r="159" spans="1:38" ht="40.049999999999997" customHeight="1" x14ac:dyDescent="0.3">
      <c r="A159" s="308" t="s">
        <v>384</v>
      </c>
      <c r="B159" s="309" t="s">
        <v>385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3"/>
      <c r="V159" s="288"/>
      <c r="W159" s="283"/>
      <c r="X159" s="288"/>
      <c r="Y159" s="283"/>
      <c r="Z159" s="288"/>
      <c r="AA159" s="283"/>
      <c r="AB159" s="288"/>
      <c r="AC159" s="283"/>
      <c r="AD159" s="288"/>
      <c r="AE159" s="283"/>
      <c r="AF159" s="288"/>
      <c r="AG159" s="283"/>
      <c r="AH159" s="288"/>
      <c r="AI159" s="283"/>
      <c r="AJ159" s="288"/>
      <c r="AK159" s="286">
        <f>COUNTIF(C159:AJ159,"&gt;=R")</f>
        <v>0</v>
      </c>
      <c r="AL159" s="287">
        <f>AK159</f>
        <v>0</v>
      </c>
    </row>
    <row r="160" spans="1:38" ht="40.049999999999997" customHeight="1" x14ac:dyDescent="0.3">
      <c r="A160" s="308" t="s">
        <v>386</v>
      </c>
      <c r="B160" s="309" t="s">
        <v>387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3"/>
      <c r="V160" s="288"/>
      <c r="W160" s="283"/>
      <c r="X160" s="288"/>
      <c r="Y160" s="283"/>
      <c r="Z160" s="288"/>
      <c r="AA160" s="283"/>
      <c r="AB160" s="288"/>
      <c r="AC160" s="283"/>
      <c r="AD160" s="288"/>
      <c r="AE160" s="283"/>
      <c r="AF160" s="288"/>
      <c r="AG160" s="283"/>
      <c r="AH160" s="288"/>
      <c r="AI160" s="283"/>
      <c r="AJ160" s="288"/>
      <c r="AK160" s="286">
        <f>COUNTIF(C160:AJ160,"&gt;=R")</f>
        <v>0</v>
      </c>
      <c r="AL160" s="287">
        <f>AK160</f>
        <v>0</v>
      </c>
    </row>
    <row r="161" spans="1:66" ht="40.049999999999997" customHeight="1" x14ac:dyDescent="0.3">
      <c r="A161" s="308" t="s">
        <v>388</v>
      </c>
      <c r="B161" s="309" t="s">
        <v>389</v>
      </c>
      <c r="C161" s="283"/>
      <c r="D161" s="302"/>
      <c r="E161" s="283"/>
      <c r="F161" s="288"/>
      <c r="G161" s="283"/>
      <c r="H161" s="288"/>
      <c r="I161" s="283"/>
      <c r="J161" s="288"/>
      <c r="K161" s="283"/>
      <c r="L161" s="288"/>
      <c r="M161" s="283"/>
      <c r="N161" s="288"/>
      <c r="O161" s="283"/>
      <c r="P161" s="288"/>
      <c r="Q161" s="283"/>
      <c r="R161" s="288"/>
      <c r="S161" s="283"/>
      <c r="T161" s="288"/>
      <c r="U161" s="283"/>
      <c r="V161" s="288"/>
      <c r="W161" s="283"/>
      <c r="X161" s="288"/>
      <c r="Y161" s="283"/>
      <c r="Z161" s="288"/>
      <c r="AA161" s="283"/>
      <c r="AB161" s="288"/>
      <c r="AC161" s="283"/>
      <c r="AD161" s="288"/>
      <c r="AE161" s="283"/>
      <c r="AF161" s="288"/>
      <c r="AG161" s="283"/>
      <c r="AH161" s="288"/>
      <c r="AI161" s="283"/>
      <c r="AJ161" s="288"/>
      <c r="AK161" s="286">
        <f>COUNTIF(C161:AJ161,"&gt;=R")</f>
        <v>0</v>
      </c>
      <c r="AL161" s="287">
        <f>AK161</f>
        <v>0</v>
      </c>
    </row>
    <row r="162" spans="1:66" ht="40.049999999999997" customHeight="1" x14ac:dyDescent="0.3">
      <c r="A162" s="289" t="s">
        <v>390</v>
      </c>
      <c r="B162" s="311" t="s">
        <v>391</v>
      </c>
      <c r="C162" s="291"/>
      <c r="D162" s="292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3"/>
      <c r="W162" s="293"/>
      <c r="X162" s="293"/>
      <c r="Y162" s="293"/>
      <c r="Z162" s="293"/>
      <c r="AA162" s="293"/>
      <c r="AB162" s="293"/>
      <c r="AC162" s="293"/>
      <c r="AD162" s="293"/>
      <c r="AE162" s="293"/>
      <c r="AF162" s="293"/>
      <c r="AG162" s="293"/>
      <c r="AH162" s="293"/>
      <c r="AI162" s="294"/>
      <c r="AJ162" s="294"/>
      <c r="AK162" s="349"/>
      <c r="AL162" s="350"/>
    </row>
    <row r="163" spans="1:66" ht="40.049999999999997" customHeight="1" x14ac:dyDescent="0.3">
      <c r="A163" s="320" t="s">
        <v>392</v>
      </c>
      <c r="B163" s="321" t="s">
        <v>393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3"/>
      <c r="Z163" s="288"/>
      <c r="AA163" s="283"/>
      <c r="AB163" s="288"/>
      <c r="AC163" s="283"/>
      <c r="AD163" s="288"/>
      <c r="AE163" s="283"/>
      <c r="AF163" s="288"/>
      <c r="AG163" s="283"/>
      <c r="AH163" s="288"/>
      <c r="AI163" s="283"/>
      <c r="AJ163" s="288"/>
      <c r="AK163" s="286">
        <f>COUNTIF(C163:AJ163,"&gt;=R")</f>
        <v>0</v>
      </c>
      <c r="AL163" s="287">
        <f>AK163</f>
        <v>0</v>
      </c>
    </row>
    <row r="164" spans="1:66" ht="40.049999999999997" customHeight="1" x14ac:dyDescent="0.65">
      <c r="A164" s="320" t="s">
        <v>394</v>
      </c>
      <c r="B164" s="321" t="s">
        <v>395</v>
      </c>
      <c r="C164" s="283"/>
      <c r="D164" s="302"/>
      <c r="E164" s="283"/>
      <c r="F164" s="288"/>
      <c r="G164" s="283"/>
      <c r="H164" s="288"/>
      <c r="I164" s="288"/>
      <c r="J164" s="288"/>
      <c r="K164" s="283"/>
      <c r="L164" s="288"/>
      <c r="M164" s="283"/>
      <c r="N164" s="288"/>
      <c r="O164" s="283"/>
      <c r="P164" s="288"/>
      <c r="Q164" s="283"/>
      <c r="R164" s="288"/>
      <c r="S164" s="283"/>
      <c r="T164" s="288"/>
      <c r="U164" s="283"/>
      <c r="V164" s="288"/>
      <c r="W164" s="283"/>
      <c r="X164" s="288"/>
      <c r="Y164" s="283"/>
      <c r="Z164" s="288"/>
      <c r="AA164" s="283"/>
      <c r="AB164" s="288"/>
      <c r="AC164" s="283"/>
      <c r="AD164" s="288"/>
      <c r="AE164" s="283"/>
      <c r="AF164" s="288"/>
      <c r="AG164" s="283"/>
      <c r="AH164" s="288"/>
      <c r="AI164" s="283"/>
      <c r="AJ164" s="288"/>
      <c r="AK164" s="286">
        <f>COUNTIF(C164:AJ164,"&gt;=R")</f>
        <v>0</v>
      </c>
      <c r="AL164" s="287">
        <f>AK164</f>
        <v>0</v>
      </c>
      <c r="AM164" s="393"/>
      <c r="AN164" s="393"/>
      <c r="AO164" s="393"/>
      <c r="AP164" s="393"/>
      <c r="AQ164" s="393"/>
      <c r="AR164" s="393"/>
      <c r="AS164" s="393"/>
      <c r="AT164" s="393"/>
      <c r="AU164" s="393"/>
      <c r="AV164" s="393"/>
      <c r="AW164" s="393"/>
      <c r="AX164" s="393"/>
      <c r="AY164" s="393"/>
      <c r="AZ164" s="393"/>
      <c r="BA164" s="393"/>
      <c r="BB164" s="393"/>
      <c r="BC164" s="393"/>
      <c r="BD164" s="393"/>
      <c r="BE164" s="393"/>
      <c r="BF164" s="393"/>
    </row>
    <row r="165" spans="1:66" ht="40.049999999999997" customHeight="1" thickBot="1" x14ac:dyDescent="0.7">
      <c r="A165" s="325" t="s">
        <v>396</v>
      </c>
      <c r="B165" s="326" t="s">
        <v>397</v>
      </c>
      <c r="C165" s="327"/>
      <c r="D165" s="328"/>
      <c r="E165" s="327"/>
      <c r="F165" s="329"/>
      <c r="G165" s="327"/>
      <c r="H165" s="329"/>
      <c r="I165" s="329"/>
      <c r="J165" s="329"/>
      <c r="K165" s="327"/>
      <c r="L165" s="329"/>
      <c r="M165" s="327"/>
      <c r="N165" s="329"/>
      <c r="O165" s="327"/>
      <c r="P165" s="329"/>
      <c r="Q165" s="327"/>
      <c r="R165" s="329"/>
      <c r="S165" s="327"/>
      <c r="T165" s="329"/>
      <c r="U165" s="327"/>
      <c r="V165" s="329"/>
      <c r="W165" s="327"/>
      <c r="X165" s="329"/>
      <c r="Y165" s="327"/>
      <c r="Z165" s="329"/>
      <c r="AA165" s="327"/>
      <c r="AB165" s="329"/>
      <c r="AC165" s="327"/>
      <c r="AD165" s="329"/>
      <c r="AE165" s="327"/>
      <c r="AF165" s="329"/>
      <c r="AG165" s="327"/>
      <c r="AH165" s="329"/>
      <c r="AI165" s="327"/>
      <c r="AJ165" s="329"/>
      <c r="AK165" s="286">
        <f>COUNTIF(C165:AJ165,"&gt;=R")</f>
        <v>0</v>
      </c>
      <c r="AL165" s="287">
        <f>AK165</f>
        <v>0</v>
      </c>
      <c r="AM165" s="393"/>
      <c r="AN165" s="393"/>
      <c r="AO165" s="393"/>
      <c r="AP165" s="393"/>
      <c r="AQ165" s="393"/>
      <c r="AR165" s="393"/>
      <c r="AS165" s="393"/>
      <c r="AT165" s="393"/>
      <c r="AU165" s="393"/>
      <c r="AV165" s="393"/>
      <c r="AW165" s="393"/>
      <c r="AX165" s="393"/>
      <c r="AY165" s="393"/>
      <c r="AZ165" s="393"/>
      <c r="BA165" s="393"/>
      <c r="BB165" s="393"/>
      <c r="BC165" s="393"/>
      <c r="BD165" s="393"/>
      <c r="BE165" s="393"/>
      <c r="BF165" s="393"/>
    </row>
    <row r="166" spans="1:66" ht="25.2" customHeight="1" x14ac:dyDescent="0.4">
      <c r="A166" s="214"/>
      <c r="B166" s="2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15"/>
      <c r="AN166" s="115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</row>
    <row r="167" spans="1:66" ht="25.2" customHeight="1" x14ac:dyDescent="0.4">
      <c r="A167" s="214"/>
      <c r="B167" s="2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  <c r="AM167" s="115"/>
      <c r="AN167" s="115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</row>
    <row r="168" spans="1:66" ht="25.2" customHeight="1" x14ac:dyDescent="0.4">
      <c r="A168" s="214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  <c r="AM168" s="115"/>
      <c r="AN168" s="115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ht="25.2" customHeight="1" x14ac:dyDescent="0.4">
      <c r="A169" s="214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  <c r="AM169" s="115"/>
      <c r="AN169" s="115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ht="25.2" customHeight="1" x14ac:dyDescent="0.4">
      <c r="A170" s="214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  <c r="AM170" s="115"/>
      <c r="AN170" s="115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ht="25.2" customHeight="1" x14ac:dyDescent="0.4">
      <c r="A171" s="214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  <c r="AM171" s="115"/>
      <c r="AN171" s="115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ht="25.2" customHeight="1" x14ac:dyDescent="0.4">
      <c r="A172" s="214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  <c r="AM172" s="115"/>
      <c r="AN172" s="115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ht="25.2" customHeight="1" x14ac:dyDescent="0.4">
      <c r="A173" s="216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  <c r="AM173" s="115"/>
      <c r="AN173" s="115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ht="25.2" customHeight="1" x14ac:dyDescent="0.4">
      <c r="A174" s="21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  <c r="AM174" s="115"/>
      <c r="AN174" s="115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ht="25.2" customHeight="1" x14ac:dyDescent="0.4">
      <c r="A175" s="21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  <c r="AM175" s="115"/>
      <c r="AN175" s="115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ht="25.2" customHeight="1" x14ac:dyDescent="0.4">
      <c r="A176" s="216"/>
      <c r="B176" s="2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15"/>
      <c r="AN176" s="115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ht="25.2" customHeight="1" x14ac:dyDescent="0.4">
      <c r="A177" s="217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  <c r="AM177" s="115"/>
      <c r="AN177" s="115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ht="25.2" customHeight="1" x14ac:dyDescent="0.4">
      <c r="A178" s="218"/>
      <c r="B178" s="219"/>
      <c r="C178" s="220"/>
      <c r="D178" s="220"/>
      <c r="E178" s="220"/>
      <c r="F178" s="219"/>
      <c r="G178" s="219"/>
      <c r="H178" s="219"/>
      <c r="I178" s="221"/>
      <c r="J178" s="221"/>
      <c r="K178" s="221"/>
      <c r="L178" s="221"/>
      <c r="M178" s="221"/>
      <c r="N178" s="221"/>
      <c r="O178" s="115"/>
      <c r="P178" s="220"/>
      <c r="Q178" s="220"/>
      <c r="R178" s="220"/>
      <c r="S178" s="220"/>
      <c r="T178" s="220"/>
      <c r="U178" s="220"/>
      <c r="V178" s="219"/>
      <c r="W178" s="219"/>
      <c r="X178" s="219"/>
      <c r="Y178" s="219"/>
      <c r="Z178" s="221"/>
      <c r="AA178" s="221"/>
      <c r="AB178" s="221"/>
      <c r="AC178" s="219"/>
      <c r="AD178" s="220"/>
      <c r="AE178" s="223"/>
      <c r="AF178" s="223"/>
      <c r="AG178" s="223"/>
      <c r="AH178" s="223"/>
      <c r="AI178" s="1142"/>
      <c r="AJ178" s="1143"/>
      <c r="AK178" s="1143"/>
      <c r="AL178" s="1143"/>
      <c r="AM178" s="1143"/>
      <c r="AN178" s="1143"/>
      <c r="AO178" s="1143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s="357" customFormat="1" ht="25.2" customHeight="1" x14ac:dyDescent="0.65">
      <c r="A179" s="480"/>
      <c r="B179" s="330" t="s">
        <v>398</v>
      </c>
      <c r="C179" s="330"/>
      <c r="D179" s="330"/>
      <c r="E179" s="330"/>
      <c r="F179" s="1070" t="s">
        <v>44</v>
      </c>
      <c r="G179" s="1009"/>
      <c r="H179" s="1009"/>
      <c r="I179" s="1009"/>
      <c r="J179" s="1009"/>
      <c r="K179" s="1009"/>
      <c r="L179" s="1009"/>
      <c r="M179" s="1009"/>
      <c r="N179" s="1009"/>
      <c r="O179" s="393"/>
      <c r="P179" s="474"/>
      <c r="Q179" s="474"/>
      <c r="R179" s="474"/>
      <c r="S179" s="474"/>
      <c r="T179" s="393"/>
      <c r="U179" s="393"/>
      <c r="W179" s="1097" t="s">
        <v>399</v>
      </c>
      <c r="X179" s="1042"/>
      <c r="Y179" s="1042"/>
      <c r="Z179" s="1042"/>
      <c r="AA179" s="1042"/>
      <c r="AB179" s="1042"/>
      <c r="AC179" s="330"/>
      <c r="AD179" s="393"/>
      <c r="AE179" s="393"/>
      <c r="AF179" s="393"/>
      <c r="AG179" s="393"/>
      <c r="AH179" s="393"/>
      <c r="AI179" s="1083" t="s">
        <v>73</v>
      </c>
      <c r="AJ179" s="1042"/>
      <c r="AK179" s="1042"/>
      <c r="AL179" s="1042"/>
      <c r="AM179" s="1042"/>
      <c r="AN179" s="1042"/>
      <c r="AO179" s="1042"/>
      <c r="AP179" s="475"/>
      <c r="AQ179" s="475"/>
      <c r="AR179" s="475"/>
      <c r="AS179" s="475"/>
      <c r="AT179" s="475"/>
      <c r="AU179" s="475"/>
      <c r="AV179" s="475"/>
      <c r="AW179" s="475"/>
      <c r="AX179" s="475"/>
      <c r="AY179" s="393"/>
      <c r="AZ179" s="393"/>
      <c r="BA179" s="393"/>
      <c r="BB179" s="393"/>
      <c r="BC179" s="393"/>
      <c r="BD179" s="393"/>
      <c r="BE179" s="393"/>
      <c r="BF179" s="393"/>
      <c r="BG179" s="393"/>
      <c r="BH179" s="393"/>
      <c r="BI179" s="1083"/>
      <c r="BJ179" s="1042"/>
      <c r="BK179" s="1042"/>
      <c r="BL179" s="1042"/>
      <c r="BM179" s="1042"/>
      <c r="BN179" s="393"/>
    </row>
    <row r="180" spans="1:66" s="357" customFormat="1" ht="25.2" customHeight="1" x14ac:dyDescent="0.65">
      <c r="A180" s="480"/>
      <c r="B180" s="476" t="s">
        <v>35</v>
      </c>
      <c r="C180" s="476"/>
      <c r="D180" s="476"/>
      <c r="E180" s="476"/>
      <c r="F180" s="1092" t="s">
        <v>54</v>
      </c>
      <c r="G180" s="1042"/>
      <c r="H180" s="1042"/>
      <c r="I180" s="1042"/>
      <c r="J180" s="1042"/>
      <c r="K180" s="1042"/>
      <c r="L180" s="1042"/>
      <c r="M180" s="1042"/>
      <c r="N180" s="1042"/>
      <c r="O180" s="477"/>
      <c r="P180" s="477"/>
      <c r="Q180" s="477"/>
      <c r="R180" s="477"/>
      <c r="S180" s="477"/>
      <c r="T180" s="393"/>
      <c r="U180" s="393"/>
      <c r="V180" s="1041" t="s">
        <v>400</v>
      </c>
      <c r="W180" s="1042"/>
      <c r="X180" s="1042"/>
      <c r="Y180" s="1042"/>
      <c r="Z180" s="1042"/>
      <c r="AA180" s="1042"/>
      <c r="AB180" s="1042"/>
      <c r="AC180" s="1042"/>
      <c r="AD180" s="393"/>
      <c r="AE180" s="393"/>
      <c r="AF180" s="393"/>
      <c r="AG180" s="393"/>
      <c r="AH180" s="393"/>
      <c r="AI180" s="1147" t="s">
        <v>74</v>
      </c>
      <c r="AJ180" s="1042"/>
      <c r="AK180" s="1042"/>
      <c r="AL180" s="1042"/>
      <c r="AM180" s="1042"/>
      <c r="AN180" s="1042"/>
      <c r="AO180" s="1042"/>
      <c r="AP180" s="482"/>
      <c r="AQ180" s="482"/>
      <c r="AR180" s="482"/>
      <c r="AS180" s="482"/>
      <c r="AT180" s="482"/>
      <c r="AU180" s="479"/>
      <c r="AV180" s="479"/>
      <c r="AW180" s="479"/>
      <c r="AX180" s="479"/>
      <c r="AY180" s="393"/>
      <c r="AZ180" s="393"/>
      <c r="BA180" s="393"/>
      <c r="BB180" s="393"/>
      <c r="BC180" s="393"/>
      <c r="BD180" s="393"/>
      <c r="BE180" s="393"/>
      <c r="BF180" s="393"/>
      <c r="BG180" s="393"/>
      <c r="BH180" s="393"/>
      <c r="BI180" s="1071"/>
      <c r="BJ180" s="1042"/>
      <c r="BK180" s="1042"/>
      <c r="BL180" s="1042"/>
      <c r="BM180" s="1042"/>
      <c r="BN180" s="393"/>
    </row>
    <row r="181" spans="1:66" ht="25.2" customHeight="1" x14ac:dyDescent="0.4">
      <c r="A181" s="897"/>
      <c r="B181" s="116"/>
      <c r="C181" s="116"/>
      <c r="D181" s="116"/>
      <c r="E181" s="116"/>
      <c r="F181" s="116"/>
      <c r="G181" s="224"/>
      <c r="H181" s="224"/>
      <c r="I181" s="115"/>
      <c r="J181" s="115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081"/>
      <c r="W181" s="978"/>
      <c r="X181" s="978"/>
      <c r="Y181" s="978"/>
      <c r="Z181" s="978"/>
      <c r="AA181" s="978"/>
      <c r="AB181" s="115"/>
      <c r="AC181" s="224"/>
      <c r="AD181" s="115"/>
      <c r="AE181" s="115"/>
      <c r="AF181" s="115"/>
      <c r="AG181" s="115"/>
      <c r="AH181" s="115"/>
      <c r="AI181" s="116"/>
      <c r="AJ181" s="116"/>
      <c r="AK181" s="116"/>
      <c r="AL181" s="116"/>
      <c r="AM181" s="116"/>
      <c r="AN181" s="116"/>
      <c r="AO181" s="42"/>
      <c r="AP181" s="9"/>
      <c r="AQ181" s="9"/>
      <c r="AR181" s="9"/>
      <c r="AS181" s="9"/>
      <c r="AT181" s="9"/>
      <c r="AU181" s="9"/>
      <c r="AV181" s="9"/>
      <c r="AW181" s="9"/>
      <c r="AX181" s="9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</row>
  </sheetData>
  <mergeCells count="119">
    <mergeCell ref="G10:I13"/>
    <mergeCell ref="F179:N179"/>
    <mergeCell ref="W5:Y5"/>
    <mergeCell ref="AA9:AC9"/>
    <mergeCell ref="AJ16:AK16"/>
    <mergeCell ref="AE12:AG12"/>
    <mergeCell ref="AI6:AK6"/>
    <mergeCell ref="A1:A3"/>
    <mergeCell ref="AE5:AG5"/>
    <mergeCell ref="AE11:AG11"/>
    <mergeCell ref="K13:M13"/>
    <mergeCell ref="AI5:AK5"/>
    <mergeCell ref="S4:U4"/>
    <mergeCell ref="AI178:AO178"/>
    <mergeCell ref="W13:Y13"/>
    <mergeCell ref="AE4:AG4"/>
    <mergeCell ref="C1:AK3"/>
    <mergeCell ref="AI13:AK13"/>
    <mergeCell ref="S12:U12"/>
    <mergeCell ref="W6:Y6"/>
    <mergeCell ref="O6:Q6"/>
    <mergeCell ref="AA13:AC13"/>
    <mergeCell ref="AM13:AO13"/>
    <mergeCell ref="AA6:AC6"/>
    <mergeCell ref="AI17:AJ17"/>
    <mergeCell ref="S7:U7"/>
    <mergeCell ref="G4:I9"/>
    <mergeCell ref="AE8:AG8"/>
    <mergeCell ref="E17:F17"/>
    <mergeCell ref="G17:H17"/>
    <mergeCell ref="S10:U10"/>
    <mergeCell ref="V181:AA181"/>
    <mergeCell ref="AC17:AD17"/>
    <mergeCell ref="B15:B17"/>
    <mergeCell ref="C10:F13"/>
    <mergeCell ref="F180:N180"/>
    <mergeCell ref="AE9:AG9"/>
    <mergeCell ref="AI12:AK12"/>
    <mergeCell ref="AA11:AC11"/>
    <mergeCell ref="AM6:AO6"/>
    <mergeCell ref="AI180:AO180"/>
    <mergeCell ref="AA7:AC7"/>
    <mergeCell ref="S17:T17"/>
    <mergeCell ref="AM10:AO10"/>
    <mergeCell ref="U17:V17"/>
    <mergeCell ref="AE10:AG10"/>
    <mergeCell ref="V180:AC180"/>
    <mergeCell ref="C4:F9"/>
    <mergeCell ref="S9:U9"/>
    <mergeCell ref="O8:Q8"/>
    <mergeCell ref="W11:Y11"/>
    <mergeCell ref="Y17:Z17"/>
    <mergeCell ref="O11:Q11"/>
    <mergeCell ref="S5:U5"/>
    <mergeCell ref="K6:M6"/>
    <mergeCell ref="B1:B3"/>
    <mergeCell ref="Q17:R17"/>
    <mergeCell ref="AA10:AC10"/>
    <mergeCell ref="K9:M9"/>
    <mergeCell ref="K5:M5"/>
    <mergeCell ref="O9:Q9"/>
    <mergeCell ref="AI9:AK9"/>
    <mergeCell ref="S11:U11"/>
    <mergeCell ref="K11:M11"/>
    <mergeCell ref="O5:Q5"/>
    <mergeCell ref="AI11:AK11"/>
    <mergeCell ref="A14:AK14"/>
    <mergeCell ref="K12:M12"/>
    <mergeCell ref="AI4:AK4"/>
    <mergeCell ref="W12:Y12"/>
    <mergeCell ref="K8:M8"/>
    <mergeCell ref="AE13:AG13"/>
    <mergeCell ref="O12:Q12"/>
    <mergeCell ref="W9:Y9"/>
    <mergeCell ref="AA12:AC12"/>
    <mergeCell ref="K7:M7"/>
    <mergeCell ref="AE6:AG6"/>
    <mergeCell ref="AD16:AI16"/>
    <mergeCell ref="K4:M4"/>
    <mergeCell ref="A15:A17"/>
    <mergeCell ref="AM7:AO7"/>
    <mergeCell ref="W8:Y8"/>
    <mergeCell ref="AE17:AF17"/>
    <mergeCell ref="AG17:AH17"/>
    <mergeCell ref="K10:M10"/>
    <mergeCell ref="AA8:AC8"/>
    <mergeCell ref="C17:D17"/>
    <mergeCell ref="AM8:AO8"/>
    <mergeCell ref="O10:Q10"/>
    <mergeCell ref="M17:N17"/>
    <mergeCell ref="O17:P17"/>
    <mergeCell ref="AM9:AO9"/>
    <mergeCell ref="AM11:AO11"/>
    <mergeCell ref="AM12:AO12"/>
    <mergeCell ref="O13:Q13"/>
    <mergeCell ref="O7:Q7"/>
    <mergeCell ref="AI8:AK8"/>
    <mergeCell ref="I17:J17"/>
    <mergeCell ref="K17:L17"/>
    <mergeCell ref="W10:Y10"/>
    <mergeCell ref="AE7:AG7"/>
    <mergeCell ref="W17:X17"/>
    <mergeCell ref="AI10:AK10"/>
    <mergeCell ref="AA5:AC5"/>
    <mergeCell ref="O4:Q4"/>
    <mergeCell ref="S13:U13"/>
    <mergeCell ref="AA4:AC4"/>
    <mergeCell ref="W7:Y7"/>
    <mergeCell ref="BI180:BM180"/>
    <mergeCell ref="S6:U6"/>
    <mergeCell ref="AI7:AK7"/>
    <mergeCell ref="AI179:AO179"/>
    <mergeCell ref="AM5:AO5"/>
    <mergeCell ref="BI179:BM179"/>
    <mergeCell ref="AM4:AO4"/>
    <mergeCell ref="W179:AB179"/>
    <mergeCell ref="W4:Y4"/>
    <mergeCell ref="S8:U8"/>
    <mergeCell ref="AA17:AB17"/>
  </mergeCells>
  <conditionalFormatting sqref="C34:AB34">
    <cfRule type="cellIs" dxfId="1382" priority="32" stopIfTrue="1" operator="notEqual">
      <formula>0</formula>
    </cfRule>
    <cfRule type="cellIs" dxfId="1381" priority="33" stopIfTrue="1" operator="equal">
      <formula>0</formula>
    </cfRule>
  </conditionalFormatting>
  <conditionalFormatting sqref="C34:AJ34">
    <cfRule type="containsText" dxfId="1380" priority="18" operator="containsText" text="R22">
      <formula>NOT(ISERROR(SEARCH("R22",C34)))</formula>
    </cfRule>
    <cfRule type="containsText" dxfId="1379" priority="2" operator="containsText" text="R37">
      <formula>NOT(ISERROR(SEARCH("R37",C34)))</formula>
    </cfRule>
    <cfRule type="containsText" dxfId="1378" priority="3" operator="containsText" text="R36">
      <formula>NOT(ISERROR(SEARCH("R36",C34)))</formula>
    </cfRule>
    <cfRule type="containsText" dxfId="1377" priority="4" operator="containsText" text="R35">
      <formula>NOT(ISERROR(SEARCH("R35",C34)))</formula>
    </cfRule>
    <cfRule type="containsText" dxfId="1376" priority="5" operator="containsText" text="R34">
      <formula>NOT(ISERROR(SEARCH("R34",C34)))</formula>
    </cfRule>
    <cfRule type="containsText" dxfId="1375" priority="6" operator="containsText" text="R33">
      <formula>NOT(ISERROR(SEARCH("R33",C34)))</formula>
    </cfRule>
    <cfRule type="containsText" dxfId="1374" priority="7" operator="containsText" text="R32">
      <formula>NOT(ISERROR(SEARCH("R32",C34)))</formula>
    </cfRule>
    <cfRule type="containsText" dxfId="1373" priority="8" operator="containsText" text="R31">
      <formula>NOT(ISERROR(SEARCH("R31",C34)))</formula>
    </cfRule>
    <cfRule type="containsText" dxfId="1372" priority="9" operator="containsText" text="R30">
      <formula>NOT(ISERROR(SEARCH("R30",C34)))</formula>
    </cfRule>
    <cfRule type="containsText" dxfId="1371" priority="10" operator="containsText" text="R29">
      <formula>NOT(ISERROR(SEARCH("R29",C34)))</formula>
    </cfRule>
    <cfRule type="containsText" dxfId="1370" priority="11" operator="containsText" text="R27">
      <formula>NOT(ISERROR(SEARCH("R27",C34)))</formula>
    </cfRule>
    <cfRule type="containsText" dxfId="1369" priority="12" operator="containsText" text="R27">
      <formula>NOT(ISERROR(SEARCH("R27",C34)))</formula>
    </cfRule>
    <cfRule type="containsText" dxfId="1368" priority="13" operator="containsText" text="R25">
      <formula>NOT(ISERROR(SEARCH("R25",C34)))</formula>
    </cfRule>
    <cfRule type="containsText" dxfId="1367" priority="14" operator="containsText" text="R13">
      <formula>NOT(ISERROR(SEARCH("R13",C34)))</formula>
    </cfRule>
    <cfRule type="containsText" dxfId="1366" priority="19" operator="containsText" text="R21">
      <formula>NOT(ISERROR(SEARCH("R21",C34)))</formula>
    </cfRule>
    <cfRule type="containsText" dxfId="1365" priority="16" operator="containsText" text="R23">
      <formula>NOT(ISERROR(SEARCH("R23",C34)))</formula>
    </cfRule>
    <cfRule type="containsText" dxfId="1364" priority="17" operator="containsText" text="R22">
      <formula>NOT(ISERROR(SEARCH("R22",C34)))</formula>
    </cfRule>
    <cfRule type="containsText" dxfId="1363" priority="20" operator="containsText" text="R20">
      <formula>NOT(ISERROR(SEARCH("R20",C34)))</formula>
    </cfRule>
    <cfRule type="containsText" dxfId="1362" priority="21" operator="containsText" text="R19">
      <formula>NOT(ISERROR(SEARCH("R19",C34)))</formula>
    </cfRule>
    <cfRule type="containsText" dxfId="1361" priority="22" operator="containsText" text="R18">
      <formula>NOT(ISERROR(SEARCH("R18",C34)))</formula>
    </cfRule>
    <cfRule type="containsText" dxfId="1360" priority="23" operator="containsText" text="R14">
      <formula>NOT(ISERROR(SEARCH("R14",C34)))</formula>
    </cfRule>
    <cfRule type="containsText" dxfId="1359" priority="24" operator="containsText" text="R13">
      <formula>NOT(ISERROR(SEARCH("R13",C34)))</formula>
    </cfRule>
    <cfRule type="containsText" dxfId="1358" priority="25" operator="containsText" text="R12">
      <formula>NOT(ISERROR(SEARCH("R12",C34)))</formula>
    </cfRule>
    <cfRule type="containsText" dxfId="1357" priority="26" operator="containsText" text="R10">
      <formula>NOT(ISERROR(SEARCH("R10",C34)))</formula>
    </cfRule>
    <cfRule type="containsText" dxfId="1356" priority="27" operator="containsText" text="R9">
      <formula>NOT(ISERROR(SEARCH("R9",C34)))</formula>
    </cfRule>
  </conditionalFormatting>
  <conditionalFormatting sqref="C166:AJ166">
    <cfRule type="containsText" dxfId="1355" priority="1" operator="containsText" text="R13">
      <formula>NOT(ISERROR(SEARCH("R13",C166)))</formula>
    </cfRule>
  </conditionalFormatting>
  <conditionalFormatting sqref="N34:Q34">
    <cfRule type="cellIs" dxfId="1354" priority="30" stopIfTrue="1" operator="notEqual">
      <formula>0</formula>
    </cfRule>
    <cfRule type="cellIs" dxfId="1353" priority="31" stopIfTrue="1" operator="equal">
      <formula>0</formula>
    </cfRule>
  </conditionalFormatting>
  <conditionalFormatting sqref="S34:AF34">
    <cfRule type="cellIs" dxfId="1352" priority="29" stopIfTrue="1" operator="equal">
      <formula>0</formula>
    </cfRule>
    <cfRule type="cellIs" dxfId="1351" priority="28" stopIfTrue="1" operator="not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BD180"/>
  <sheetViews>
    <sheetView zoomScale="40" zoomScaleNormal="40" workbookViewId="0">
      <selection activeCell="B16" sqref="B16"/>
    </sheetView>
  </sheetViews>
  <sheetFormatPr baseColWidth="10" defaultRowHeight="14.4" x14ac:dyDescent="0.3"/>
  <cols>
    <col min="1" max="1" width="44.33203125" bestFit="1" customWidth="1"/>
    <col min="2" max="2" width="148.21875" bestFit="1" customWidth="1"/>
    <col min="27" max="28" width="12.6640625" bestFit="1" customWidth="1"/>
  </cols>
  <sheetData>
    <row r="1" spans="1:35" ht="69.599999999999994" customHeight="1" thickBot="1" x14ac:dyDescent="0.35">
      <c r="A1" s="844"/>
      <c r="B1" s="845" t="s">
        <v>0</v>
      </c>
      <c r="C1" s="859" t="s">
        <v>1</v>
      </c>
      <c r="D1" s="849"/>
      <c r="E1" s="849"/>
      <c r="F1" s="849"/>
      <c r="G1" s="849"/>
      <c r="H1" s="849"/>
      <c r="I1" s="849"/>
      <c r="J1" s="849"/>
      <c r="K1" s="849"/>
      <c r="L1" s="849"/>
      <c r="M1" s="849"/>
      <c r="N1" s="849"/>
      <c r="O1" s="849"/>
      <c r="P1" s="849"/>
      <c r="Q1" s="849"/>
      <c r="R1" s="849"/>
      <c r="S1" s="849"/>
      <c r="T1" s="849"/>
      <c r="U1" s="849"/>
      <c r="V1" s="849"/>
      <c r="W1" s="849"/>
      <c r="X1" s="849"/>
      <c r="Y1" s="849"/>
      <c r="Z1" s="849"/>
      <c r="AA1" s="849"/>
      <c r="AB1" s="850"/>
      <c r="AC1" s="209"/>
      <c r="AD1" s="209"/>
      <c r="AE1" s="209"/>
      <c r="AF1" s="208"/>
      <c r="AG1" s="208"/>
      <c r="AH1" s="898"/>
      <c r="AI1" s="898"/>
    </row>
    <row r="2" spans="1:35" ht="39" customHeight="1" thickBot="1" x14ac:dyDescent="0.35">
      <c r="A2" s="851"/>
      <c r="B2" s="852"/>
      <c r="C2" s="852"/>
      <c r="AB2" s="853"/>
      <c r="AC2" s="209"/>
      <c r="AD2" s="209"/>
      <c r="AE2" s="209"/>
      <c r="AF2" s="208"/>
      <c r="AG2" s="208"/>
      <c r="AH2" s="898"/>
      <c r="AI2" s="898"/>
    </row>
    <row r="3" spans="1:35" s="357" customFormat="1" ht="34.200000000000003" customHeight="1" x14ac:dyDescent="0.65">
      <c r="A3" s="337" t="s">
        <v>2</v>
      </c>
      <c r="B3" s="338" t="s">
        <v>3</v>
      </c>
      <c r="C3" s="1150" t="s">
        <v>4</v>
      </c>
      <c r="D3" s="1042"/>
      <c r="E3" s="1042"/>
      <c r="F3" s="979"/>
      <c r="G3" s="1172">
        <v>46037</v>
      </c>
      <c r="H3" s="984"/>
      <c r="I3" s="984"/>
      <c r="J3" s="813" t="s">
        <v>16</v>
      </c>
      <c r="K3" s="1165">
        <v>45835</v>
      </c>
      <c r="L3" s="984"/>
      <c r="M3" s="985"/>
      <c r="N3" s="786" t="s">
        <v>91</v>
      </c>
      <c r="O3" s="1166">
        <v>45905</v>
      </c>
      <c r="P3" s="984"/>
      <c r="Q3" s="985"/>
      <c r="R3" s="775" t="s">
        <v>8</v>
      </c>
      <c r="S3" s="1117">
        <v>45989</v>
      </c>
      <c r="T3" s="1042"/>
      <c r="U3" s="979"/>
      <c r="V3" s="841" t="s">
        <v>93</v>
      </c>
      <c r="W3" s="1061">
        <v>46052</v>
      </c>
      <c r="X3" s="1042"/>
      <c r="Y3" s="979"/>
      <c r="Z3" s="508"/>
      <c r="AA3" s="1167"/>
      <c r="AB3" s="985"/>
      <c r="AC3" s="355"/>
      <c r="AD3" s="355"/>
      <c r="AE3" s="356"/>
    </row>
    <row r="4" spans="1:35" s="357" customFormat="1" ht="34.200000000000003" customHeight="1" x14ac:dyDescent="0.65">
      <c r="A4" s="339" t="s">
        <v>14</v>
      </c>
      <c r="B4" s="340" t="s">
        <v>15</v>
      </c>
      <c r="C4" s="986"/>
      <c r="D4" s="1042"/>
      <c r="E4" s="1042"/>
      <c r="F4" s="979"/>
      <c r="G4" s="986"/>
      <c r="H4" s="1042"/>
      <c r="I4" s="1042"/>
      <c r="J4" s="334" t="s">
        <v>411</v>
      </c>
      <c r="K4" s="1164">
        <v>45842</v>
      </c>
      <c r="L4" s="1042"/>
      <c r="M4" s="979"/>
      <c r="N4" s="793" t="s">
        <v>410</v>
      </c>
      <c r="O4" s="1156">
        <v>45912</v>
      </c>
      <c r="P4" s="1042"/>
      <c r="Q4" s="979"/>
      <c r="R4" s="791" t="s">
        <v>18</v>
      </c>
      <c r="S4" s="1109">
        <v>45996</v>
      </c>
      <c r="T4" s="1042"/>
      <c r="U4" s="979"/>
      <c r="V4" s="513"/>
      <c r="W4" s="1157"/>
      <c r="X4" s="1042"/>
      <c r="Y4" s="979"/>
      <c r="Z4" s="514"/>
      <c r="AA4" s="1158"/>
      <c r="AB4" s="979"/>
      <c r="AC4" s="362"/>
      <c r="AD4" s="362"/>
      <c r="AE4" s="356"/>
    </row>
    <row r="5" spans="1:35" s="357" customFormat="1" ht="34.200000000000003" customHeight="1" thickBot="1" x14ac:dyDescent="0.7">
      <c r="A5" s="339" t="s">
        <v>24</v>
      </c>
      <c r="B5" s="340" t="s">
        <v>25</v>
      </c>
      <c r="C5" s="986"/>
      <c r="D5" s="1042"/>
      <c r="E5" s="1042"/>
      <c r="F5" s="979"/>
      <c r="G5" s="986"/>
      <c r="H5" s="1042"/>
      <c r="I5" s="1042"/>
      <c r="J5" s="335" t="s">
        <v>26</v>
      </c>
      <c r="K5" s="1169">
        <v>45849</v>
      </c>
      <c r="L5" s="1042"/>
      <c r="M5" s="979"/>
      <c r="N5" s="799" t="s">
        <v>7</v>
      </c>
      <c r="O5" s="1127">
        <v>45916</v>
      </c>
      <c r="P5" s="1042"/>
      <c r="Q5" s="979"/>
      <c r="R5" s="789" t="s">
        <v>28</v>
      </c>
      <c r="S5" s="1105">
        <v>46003</v>
      </c>
      <c r="T5" s="975"/>
      <c r="U5" s="976"/>
      <c r="V5" s="516"/>
      <c r="W5" s="1157"/>
      <c r="X5" s="1042"/>
      <c r="Y5" s="979"/>
      <c r="Z5" s="514"/>
      <c r="AA5" s="1158"/>
      <c r="AB5" s="979"/>
      <c r="AC5" s="362"/>
      <c r="AD5" s="362"/>
      <c r="AE5" s="356"/>
    </row>
    <row r="6" spans="1:35" s="357" customFormat="1" ht="34.200000000000003" customHeight="1" x14ac:dyDescent="0.65">
      <c r="A6" s="339" t="s">
        <v>34</v>
      </c>
      <c r="B6" s="340" t="s">
        <v>35</v>
      </c>
      <c r="C6" s="986"/>
      <c r="D6" s="1042"/>
      <c r="E6" s="1042"/>
      <c r="F6" s="979"/>
      <c r="G6" s="986"/>
      <c r="H6" s="1042"/>
      <c r="I6" s="1042"/>
      <c r="J6" s="336" t="s">
        <v>36</v>
      </c>
      <c r="K6" s="1129">
        <v>45855</v>
      </c>
      <c r="L6" s="1042"/>
      <c r="M6" s="979"/>
      <c r="N6" s="785" t="s">
        <v>37</v>
      </c>
      <c r="O6" s="1168">
        <v>45940</v>
      </c>
      <c r="P6" s="1042"/>
      <c r="Q6" s="979"/>
      <c r="R6" s="792" t="s">
        <v>38</v>
      </c>
      <c r="S6" s="1114">
        <v>46010</v>
      </c>
      <c r="T6" s="984"/>
      <c r="U6" s="984"/>
      <c r="V6" s="516"/>
      <c r="W6" s="1157"/>
      <c r="X6" s="1042"/>
      <c r="Y6" s="979"/>
      <c r="Z6" s="517"/>
      <c r="AA6" s="1154"/>
      <c r="AB6" s="979"/>
      <c r="AC6" s="362"/>
      <c r="AD6" s="362"/>
    </row>
    <row r="7" spans="1:35" s="357" customFormat="1" ht="34.200000000000003" customHeight="1" thickBot="1" x14ac:dyDescent="0.7">
      <c r="A7" s="339" t="s">
        <v>44</v>
      </c>
      <c r="B7" s="340" t="s">
        <v>54</v>
      </c>
      <c r="C7" s="986"/>
      <c r="D7" s="1042"/>
      <c r="E7" s="1042"/>
      <c r="F7" s="979"/>
      <c r="G7" s="986"/>
      <c r="H7" s="1042"/>
      <c r="I7" s="1042"/>
      <c r="J7" s="375" t="s">
        <v>46</v>
      </c>
      <c r="K7" s="1148">
        <v>45863</v>
      </c>
      <c r="L7" s="1042"/>
      <c r="M7" s="979"/>
      <c r="N7" s="662" t="s">
        <v>56</v>
      </c>
      <c r="O7" s="1131">
        <v>45954</v>
      </c>
      <c r="P7" s="1042"/>
      <c r="Q7" s="1042"/>
      <c r="R7" s="795" t="s">
        <v>48</v>
      </c>
      <c r="S7" s="1069">
        <v>46015</v>
      </c>
      <c r="T7" s="1042"/>
      <c r="U7" s="1042"/>
      <c r="V7" s="516"/>
      <c r="W7" s="1157"/>
      <c r="X7" s="1042"/>
      <c r="Y7" s="979"/>
      <c r="Z7" s="517"/>
      <c r="AA7" s="1154"/>
      <c r="AB7" s="979"/>
      <c r="AC7" s="362"/>
      <c r="AD7" s="362"/>
      <c r="AE7" s="356"/>
    </row>
    <row r="8" spans="1:35" s="357" customFormat="1" ht="34.200000000000003" customHeight="1" thickBot="1" x14ac:dyDescent="0.7">
      <c r="A8" s="339" t="s">
        <v>62</v>
      </c>
      <c r="B8" s="340" t="s">
        <v>63</v>
      </c>
      <c r="C8" s="987"/>
      <c r="D8" s="975"/>
      <c r="E8" s="975"/>
      <c r="F8" s="976"/>
      <c r="G8" s="987"/>
      <c r="H8" s="975"/>
      <c r="I8" s="975"/>
      <c r="J8" s="376" t="s">
        <v>55</v>
      </c>
      <c r="K8" s="1137">
        <v>45870</v>
      </c>
      <c r="L8" s="1042"/>
      <c r="M8" s="979"/>
      <c r="N8" s="663" t="s">
        <v>67</v>
      </c>
      <c r="O8" s="1146">
        <v>45960</v>
      </c>
      <c r="P8" s="984"/>
      <c r="Q8" s="985"/>
      <c r="R8" s="824" t="s">
        <v>57</v>
      </c>
      <c r="S8" s="1093">
        <v>46022</v>
      </c>
      <c r="T8" s="1042"/>
      <c r="U8" s="1042"/>
      <c r="V8" s="516"/>
      <c r="W8" s="1157"/>
      <c r="X8" s="1042"/>
      <c r="Y8" s="979"/>
      <c r="Z8" s="517"/>
      <c r="AA8" s="1154"/>
      <c r="AB8" s="979"/>
      <c r="AC8" s="362"/>
      <c r="AD8" s="362"/>
      <c r="AE8" s="356"/>
    </row>
    <row r="9" spans="1:35" s="357" customFormat="1" ht="34.200000000000003" customHeight="1" thickBot="1" x14ac:dyDescent="0.7">
      <c r="A9" s="339" t="s">
        <v>73</v>
      </c>
      <c r="B9" s="340" t="s">
        <v>74</v>
      </c>
      <c r="C9" s="1163" t="s">
        <v>64</v>
      </c>
      <c r="D9" s="984"/>
      <c r="E9" s="984"/>
      <c r="F9" s="985"/>
      <c r="G9" s="1163" t="s">
        <v>65</v>
      </c>
      <c r="H9" s="984"/>
      <c r="I9" s="985"/>
      <c r="J9" s="331" t="s">
        <v>66</v>
      </c>
      <c r="K9" s="1135">
        <v>45883</v>
      </c>
      <c r="L9" s="1042"/>
      <c r="M9" s="979"/>
      <c r="N9" s="720" t="s">
        <v>76</v>
      </c>
      <c r="O9" s="1115">
        <v>45968</v>
      </c>
      <c r="P9" s="1042"/>
      <c r="Q9" s="979"/>
      <c r="R9" s="825" t="s">
        <v>68</v>
      </c>
      <c r="S9" s="1079">
        <v>46031</v>
      </c>
      <c r="T9" s="1042"/>
      <c r="U9" s="1042"/>
      <c r="V9" s="516"/>
      <c r="W9" s="1157"/>
      <c r="X9" s="1042"/>
      <c r="Y9" s="979"/>
      <c r="Z9" s="517"/>
      <c r="AA9" s="1154"/>
      <c r="AB9" s="979"/>
      <c r="AC9" s="362"/>
      <c r="AD9" s="362"/>
      <c r="AE9" s="356"/>
    </row>
    <row r="10" spans="1:35" s="357" customFormat="1" ht="34.200000000000003" customHeight="1" thickBot="1" x14ac:dyDescent="0.7">
      <c r="A10" s="339" t="s">
        <v>82</v>
      </c>
      <c r="B10" s="340" t="s">
        <v>400</v>
      </c>
      <c r="C10" s="986"/>
      <c r="D10" s="1042"/>
      <c r="E10" s="1042"/>
      <c r="F10" s="979"/>
      <c r="G10" s="986"/>
      <c r="H10" s="1042"/>
      <c r="I10" s="979"/>
      <c r="J10" s="485" t="s">
        <v>75</v>
      </c>
      <c r="K10" s="1128">
        <v>45891</v>
      </c>
      <c r="L10" s="1042"/>
      <c r="M10" s="979"/>
      <c r="N10" s="721" t="s">
        <v>84</v>
      </c>
      <c r="O10" s="1106">
        <v>45975</v>
      </c>
      <c r="P10" s="1042"/>
      <c r="Q10" s="979"/>
      <c r="R10" s="829" t="s">
        <v>77</v>
      </c>
      <c r="S10" s="1043">
        <v>46038</v>
      </c>
      <c r="T10" s="1042"/>
      <c r="U10" s="979"/>
      <c r="V10" s="516"/>
      <c r="W10" s="1157"/>
      <c r="X10" s="1042"/>
      <c r="Y10" s="979"/>
      <c r="Z10" s="517"/>
      <c r="AA10" s="1154"/>
      <c r="AB10" s="979"/>
      <c r="AC10" s="362"/>
      <c r="AD10" s="362"/>
      <c r="AE10" s="356"/>
    </row>
    <row r="11" spans="1:35" s="357" customFormat="1" ht="34.200000000000003" customHeight="1" thickBot="1" x14ac:dyDescent="0.7">
      <c r="A11" s="377" t="s">
        <v>90</v>
      </c>
      <c r="B11" s="378">
        <v>182948</v>
      </c>
      <c r="C11" s="987"/>
      <c r="D11" s="975"/>
      <c r="E11" s="975"/>
      <c r="F11" s="976"/>
      <c r="G11" s="987"/>
      <c r="H11" s="975"/>
      <c r="I11" s="976"/>
      <c r="J11" s="814" t="s">
        <v>83</v>
      </c>
      <c r="K11" s="1173">
        <v>45898</v>
      </c>
      <c r="L11" s="975"/>
      <c r="M11" s="976"/>
      <c r="N11" s="740" t="s">
        <v>92</v>
      </c>
      <c r="O11" s="1122">
        <v>45982</v>
      </c>
      <c r="P11" s="1042"/>
      <c r="Q11" s="979"/>
      <c r="R11" s="831" t="s">
        <v>85</v>
      </c>
      <c r="S11" s="1031">
        <v>46045</v>
      </c>
      <c r="T11" s="1042"/>
      <c r="U11" s="979"/>
      <c r="V11" s="689"/>
      <c r="W11" s="1160"/>
      <c r="X11" s="975"/>
      <c r="Y11" s="976"/>
      <c r="Z11" s="690"/>
      <c r="AA11" s="1171"/>
      <c r="AB11" s="976"/>
      <c r="AC11" s="362"/>
      <c r="AD11" s="362"/>
      <c r="AE11" s="356"/>
    </row>
    <row r="12" spans="1:35" s="357" customFormat="1" ht="34.200000000000003" customHeight="1" thickBot="1" x14ac:dyDescent="0.7">
      <c r="A12" s="398"/>
      <c r="B12" s="399"/>
      <c r="C12" s="691"/>
      <c r="D12" s="692"/>
      <c r="E12" s="692"/>
      <c r="F12" s="692"/>
      <c r="G12" s="692"/>
      <c r="H12" s="692"/>
      <c r="I12" s="692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  <c r="AA12" s="693"/>
      <c r="AB12" s="694"/>
    </row>
    <row r="13" spans="1:35" s="357" customFormat="1" ht="34.200000000000003" customHeight="1" thickBot="1" x14ac:dyDescent="0.7">
      <c r="A13" s="1057" t="s">
        <v>98</v>
      </c>
      <c r="B13" s="1072" t="s">
        <v>99</v>
      </c>
      <c r="C13" s="695" t="s">
        <v>100</v>
      </c>
      <c r="D13" s="696"/>
      <c r="E13" s="696"/>
      <c r="F13" s="696"/>
      <c r="G13" s="696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  <c r="AA13" s="696"/>
      <c r="AB13" s="696"/>
    </row>
    <row r="14" spans="1:35" s="357" customFormat="1" ht="34.200000000000003" customHeight="1" thickBot="1" x14ac:dyDescent="0.7">
      <c r="A14" s="986"/>
      <c r="B14" s="997"/>
      <c r="C14" s="697" t="s">
        <v>101</v>
      </c>
      <c r="D14" s="698"/>
      <c r="E14" s="699"/>
      <c r="F14" s="699"/>
      <c r="G14" s="700"/>
      <c r="H14" s="572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1161" t="s">
        <v>102</v>
      </c>
      <c r="V14" s="1000"/>
      <c r="W14" s="1000"/>
      <c r="X14" s="1000"/>
      <c r="Y14" s="1000"/>
      <c r="Z14" s="1001"/>
      <c r="AA14" s="1034" t="s">
        <v>416</v>
      </c>
      <c r="AB14" s="1001"/>
    </row>
    <row r="15" spans="1:35" s="357" customFormat="1" ht="34.200000000000003" customHeight="1" thickBot="1" x14ac:dyDescent="0.7">
      <c r="A15" s="987"/>
      <c r="B15" s="1013"/>
      <c r="C15" s="1151">
        <v>1</v>
      </c>
      <c r="D15" s="994"/>
      <c r="E15" s="1152">
        <v>2</v>
      </c>
      <c r="F15" s="994"/>
      <c r="G15" s="1152">
        <v>3</v>
      </c>
      <c r="H15" s="994"/>
      <c r="I15" s="1152">
        <v>4</v>
      </c>
      <c r="J15" s="994"/>
      <c r="K15" s="1152">
        <v>5</v>
      </c>
      <c r="L15" s="994"/>
      <c r="M15" s="1152">
        <v>6</v>
      </c>
      <c r="N15" s="994"/>
      <c r="O15" s="1152">
        <v>7</v>
      </c>
      <c r="P15" s="994"/>
      <c r="Q15" s="1152">
        <v>8</v>
      </c>
      <c r="R15" s="994"/>
      <c r="S15" s="1152">
        <v>9</v>
      </c>
      <c r="T15" s="994"/>
      <c r="U15" s="1152">
        <v>10</v>
      </c>
      <c r="V15" s="994"/>
      <c r="W15" s="1152">
        <v>11</v>
      </c>
      <c r="X15" s="994"/>
      <c r="Y15" s="1152">
        <v>12</v>
      </c>
      <c r="Z15" s="994"/>
      <c r="AA15" s="573" t="s">
        <v>104</v>
      </c>
      <c r="AB15" s="574" t="s">
        <v>105</v>
      </c>
    </row>
    <row r="16" spans="1:35" ht="58.2" customHeight="1" thickBot="1" x14ac:dyDescent="0.35">
      <c r="A16" s="854"/>
      <c r="B16" s="856"/>
      <c r="C16" s="846">
        <v>1</v>
      </c>
      <c r="D16" s="857"/>
      <c r="E16" s="860">
        <v>2</v>
      </c>
      <c r="F16" s="857"/>
      <c r="G16" s="860">
        <v>3</v>
      </c>
      <c r="H16" s="857"/>
      <c r="I16" s="860">
        <v>4</v>
      </c>
      <c r="J16" s="857"/>
      <c r="K16" s="860">
        <v>5</v>
      </c>
      <c r="L16" s="857"/>
      <c r="M16" s="860">
        <v>6</v>
      </c>
      <c r="N16" s="857"/>
      <c r="O16" s="860">
        <v>7</v>
      </c>
      <c r="P16" s="857"/>
      <c r="Q16" s="860">
        <v>8</v>
      </c>
      <c r="R16" s="857"/>
      <c r="S16" s="860">
        <v>9</v>
      </c>
      <c r="T16" s="857"/>
      <c r="U16" s="860">
        <v>10</v>
      </c>
      <c r="V16" s="857"/>
      <c r="W16" s="860">
        <v>11</v>
      </c>
      <c r="X16" s="857"/>
      <c r="Y16" s="860">
        <v>12</v>
      </c>
      <c r="Z16" s="857"/>
      <c r="AA16" s="573" t="s">
        <v>104</v>
      </c>
      <c r="AB16" s="574" t="s">
        <v>105</v>
      </c>
    </row>
    <row r="17" spans="1:38" ht="40.049999999999997" customHeight="1" x14ac:dyDescent="0.3">
      <c r="A17" s="402" t="s">
        <v>106</v>
      </c>
      <c r="B17" s="403" t="s">
        <v>107</v>
      </c>
      <c r="C17" s="701" t="s">
        <v>108</v>
      </c>
      <c r="D17" s="702" t="s">
        <v>109</v>
      </c>
      <c r="E17" s="701" t="s">
        <v>108</v>
      </c>
      <c r="F17" s="702" t="s">
        <v>109</v>
      </c>
      <c r="G17" s="701" t="s">
        <v>108</v>
      </c>
      <c r="H17" s="702" t="s">
        <v>109</v>
      </c>
      <c r="I17" s="701" t="s">
        <v>108</v>
      </c>
      <c r="J17" s="702" t="s">
        <v>109</v>
      </c>
      <c r="K17" s="701" t="s">
        <v>108</v>
      </c>
      <c r="L17" s="702" t="s">
        <v>109</v>
      </c>
      <c r="M17" s="701" t="s">
        <v>108</v>
      </c>
      <c r="N17" s="702" t="s">
        <v>109</v>
      </c>
      <c r="O17" s="701" t="s">
        <v>108</v>
      </c>
      <c r="P17" s="702" t="s">
        <v>109</v>
      </c>
      <c r="Q17" s="701" t="s">
        <v>108</v>
      </c>
      <c r="R17" s="702" t="s">
        <v>109</v>
      </c>
      <c r="S17" s="701" t="s">
        <v>108</v>
      </c>
      <c r="T17" s="702" t="s">
        <v>109</v>
      </c>
      <c r="U17" s="701" t="s">
        <v>108</v>
      </c>
      <c r="V17" s="702" t="s">
        <v>109</v>
      </c>
      <c r="W17" s="701" t="s">
        <v>108</v>
      </c>
      <c r="X17" s="702" t="s">
        <v>109</v>
      </c>
      <c r="Y17" s="701" t="s">
        <v>108</v>
      </c>
      <c r="Z17" s="702" t="s">
        <v>109</v>
      </c>
      <c r="AA17" s="702"/>
      <c r="AB17" s="703"/>
    </row>
    <row r="18" spans="1:38" ht="40.049999999999997" customHeight="1" x14ac:dyDescent="0.65">
      <c r="A18" s="274" t="s">
        <v>110</v>
      </c>
      <c r="B18" s="275" t="s">
        <v>111</v>
      </c>
      <c r="C18" s="704"/>
      <c r="D18" s="575"/>
      <c r="E18" s="576"/>
      <c r="F18" s="576"/>
      <c r="G18" s="576"/>
      <c r="H18" s="576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6"/>
      <c r="Z18" s="576"/>
      <c r="AA18" s="576"/>
      <c r="AB18" s="577"/>
      <c r="AC18" s="357"/>
      <c r="AD18" s="357"/>
      <c r="AE18" s="357"/>
      <c r="AF18" s="357"/>
      <c r="AG18" s="357"/>
      <c r="AH18" s="357"/>
      <c r="AI18" s="357"/>
      <c r="AJ18" s="357"/>
      <c r="AK18" s="357"/>
      <c r="AL18" s="357"/>
    </row>
    <row r="19" spans="1:38" ht="40.049999999999997" customHeight="1" x14ac:dyDescent="0.3">
      <c r="A19" s="281" t="s">
        <v>112</v>
      </c>
      <c r="B19" s="282" t="s">
        <v>113</v>
      </c>
      <c r="C19" s="705" t="s">
        <v>26</v>
      </c>
      <c r="D19" s="579"/>
      <c r="E19" s="578" t="s">
        <v>26</v>
      </c>
      <c r="F19" s="580"/>
      <c r="G19" s="578" t="s">
        <v>84</v>
      </c>
      <c r="H19" s="580"/>
      <c r="I19" s="706" t="s">
        <v>16</v>
      </c>
      <c r="J19" s="580"/>
      <c r="K19" s="706" t="s">
        <v>16</v>
      </c>
      <c r="L19" s="580"/>
      <c r="M19" s="706" t="s">
        <v>16</v>
      </c>
      <c r="N19" s="580"/>
      <c r="O19" s="706" t="s">
        <v>16</v>
      </c>
      <c r="P19" s="580"/>
      <c r="Q19" s="706" t="s">
        <v>16</v>
      </c>
      <c r="R19" s="580"/>
      <c r="S19" s="706" t="s">
        <v>16</v>
      </c>
      <c r="T19" s="580"/>
      <c r="U19" s="706" t="s">
        <v>16</v>
      </c>
      <c r="V19" s="580"/>
      <c r="W19" s="578" t="s">
        <v>84</v>
      </c>
      <c r="X19" s="580"/>
      <c r="Y19" s="578" t="s">
        <v>84</v>
      </c>
      <c r="Z19" s="580"/>
      <c r="AA19" s="286">
        <f>COUNTIF(C19:Z19,"&gt;=R")</f>
        <v>12</v>
      </c>
      <c r="AB19" s="287">
        <f t="shared" ref="AB19:AB25" si="0">AA19</f>
        <v>12</v>
      </c>
    </row>
    <row r="20" spans="1:38" ht="40.049999999999997" customHeight="1" x14ac:dyDescent="0.3">
      <c r="A20" s="281" t="s">
        <v>114</v>
      </c>
      <c r="B20" s="282" t="s">
        <v>115</v>
      </c>
      <c r="C20" s="705" t="s">
        <v>26</v>
      </c>
      <c r="D20" s="579"/>
      <c r="E20" s="578" t="s">
        <v>26</v>
      </c>
      <c r="F20" s="580"/>
      <c r="G20" s="706" t="s">
        <v>16</v>
      </c>
      <c r="H20" s="580"/>
      <c r="I20" s="706" t="s">
        <v>16</v>
      </c>
      <c r="J20" s="580"/>
      <c r="K20" s="706" t="s">
        <v>16</v>
      </c>
      <c r="L20" s="580"/>
      <c r="M20" s="706" t="s">
        <v>16</v>
      </c>
      <c r="N20" s="580"/>
      <c r="O20" s="706" t="s">
        <v>16</v>
      </c>
      <c r="P20" s="580"/>
      <c r="Q20" s="706" t="s">
        <v>16</v>
      </c>
      <c r="R20" s="580"/>
      <c r="S20" s="706" t="s">
        <v>16</v>
      </c>
      <c r="T20" s="580"/>
      <c r="U20" s="706" t="s">
        <v>16</v>
      </c>
      <c r="V20" s="580"/>
      <c r="W20" s="578" t="s">
        <v>26</v>
      </c>
      <c r="X20" s="580"/>
      <c r="Y20" s="578" t="s">
        <v>26</v>
      </c>
      <c r="Z20" s="580"/>
      <c r="AA20" s="286">
        <f>COUNTIF(C20:Z20,"&gt;=R")</f>
        <v>12</v>
      </c>
      <c r="AB20" s="287">
        <f t="shared" si="0"/>
        <v>12</v>
      </c>
    </row>
    <row r="21" spans="1:38" ht="40.049999999999997" customHeight="1" x14ac:dyDescent="0.3">
      <c r="A21" s="281" t="s">
        <v>116</v>
      </c>
      <c r="B21" s="282" t="s">
        <v>117</v>
      </c>
      <c r="C21" s="705" t="s">
        <v>75</v>
      </c>
      <c r="D21" s="579"/>
      <c r="E21" s="578" t="s">
        <v>26</v>
      </c>
      <c r="F21" s="580"/>
      <c r="G21" s="706" t="s">
        <v>16</v>
      </c>
      <c r="H21" s="580"/>
      <c r="I21" s="706" t="s">
        <v>16</v>
      </c>
      <c r="J21" s="580"/>
      <c r="K21" s="706" t="s">
        <v>16</v>
      </c>
      <c r="L21" s="580"/>
      <c r="M21" s="578" t="s">
        <v>26</v>
      </c>
      <c r="N21" s="580"/>
      <c r="O21" s="578" t="s">
        <v>26</v>
      </c>
      <c r="P21" s="580"/>
      <c r="Q21" s="706" t="s">
        <v>16</v>
      </c>
      <c r="R21" s="580"/>
      <c r="S21" s="706" t="s">
        <v>16</v>
      </c>
      <c r="T21" s="580"/>
      <c r="U21" s="706" t="s">
        <v>16</v>
      </c>
      <c r="V21" s="580"/>
      <c r="W21" s="578" t="s">
        <v>26</v>
      </c>
      <c r="X21" s="580"/>
      <c r="Y21" s="578" t="s">
        <v>26</v>
      </c>
      <c r="Z21" s="580"/>
      <c r="AA21" s="286">
        <f>COUNTIF(C21:Z21,"&gt;=R")</f>
        <v>12</v>
      </c>
      <c r="AB21" s="287">
        <f t="shared" si="0"/>
        <v>12</v>
      </c>
    </row>
    <row r="22" spans="1:38" ht="40.049999999999997" customHeight="1" x14ac:dyDescent="0.3">
      <c r="A22" s="281" t="s">
        <v>118</v>
      </c>
      <c r="B22" s="282" t="s">
        <v>119</v>
      </c>
      <c r="C22" s="705" t="s">
        <v>75</v>
      </c>
      <c r="D22" s="579"/>
      <c r="E22" s="578" t="s">
        <v>26</v>
      </c>
      <c r="F22" s="580"/>
      <c r="G22" s="706" t="s">
        <v>16</v>
      </c>
      <c r="H22" s="580"/>
      <c r="I22" s="706" t="s">
        <v>16</v>
      </c>
      <c r="J22" s="580"/>
      <c r="K22" s="706" t="s">
        <v>16</v>
      </c>
      <c r="L22" s="580"/>
      <c r="M22" s="578" t="s">
        <v>26</v>
      </c>
      <c r="N22" s="580"/>
      <c r="O22" s="578" t="s">
        <v>26</v>
      </c>
      <c r="P22" s="580"/>
      <c r="Q22" s="706" t="s">
        <v>16</v>
      </c>
      <c r="R22" s="580"/>
      <c r="S22" s="706" t="s">
        <v>16</v>
      </c>
      <c r="T22" s="580"/>
      <c r="U22" s="706" t="s">
        <v>16</v>
      </c>
      <c r="V22" s="580"/>
      <c r="W22" s="578" t="s">
        <v>26</v>
      </c>
      <c r="X22" s="580"/>
      <c r="Y22" s="578" t="s">
        <v>26</v>
      </c>
      <c r="Z22" s="580"/>
      <c r="AA22" s="286">
        <f>COUNTIF(C22:Z22,"&gt;=R")</f>
        <v>12</v>
      </c>
      <c r="AB22" s="287">
        <f t="shared" si="0"/>
        <v>12</v>
      </c>
    </row>
    <row r="23" spans="1:38" ht="40.049999999999997" customHeight="1" x14ac:dyDescent="0.3">
      <c r="A23" s="281" t="s">
        <v>120</v>
      </c>
      <c r="B23" s="282" t="s">
        <v>121</v>
      </c>
      <c r="C23" s="712" t="s">
        <v>37</v>
      </c>
      <c r="D23" s="579"/>
      <c r="E23" s="580" t="s">
        <v>55</v>
      </c>
      <c r="F23" s="580"/>
      <c r="G23" s="580" t="s">
        <v>66</v>
      </c>
      <c r="H23" s="580"/>
      <c r="I23" s="580" t="s">
        <v>36</v>
      </c>
      <c r="J23" s="580"/>
      <c r="K23" s="580" t="s">
        <v>36</v>
      </c>
      <c r="L23" s="580"/>
      <c r="M23" s="580" t="s">
        <v>66</v>
      </c>
      <c r="N23" s="580"/>
      <c r="O23" s="580" t="s">
        <v>66</v>
      </c>
      <c r="P23" s="580"/>
      <c r="Q23" s="580" t="s">
        <v>36</v>
      </c>
      <c r="R23" s="580"/>
      <c r="S23" s="580" t="s">
        <v>55</v>
      </c>
      <c r="T23" s="580"/>
      <c r="U23" s="580" t="s">
        <v>66</v>
      </c>
      <c r="V23" s="581"/>
      <c r="W23" s="580" t="s">
        <v>66</v>
      </c>
      <c r="X23" s="580"/>
      <c r="Y23" s="580" t="s">
        <v>55</v>
      </c>
      <c r="Z23" s="581"/>
      <c r="AA23" s="286">
        <f>COUNTIF(C23:Z23,"&gt;=R")</f>
        <v>12</v>
      </c>
      <c r="AB23" s="287">
        <f t="shared" si="0"/>
        <v>12</v>
      </c>
    </row>
    <row r="24" spans="1:38" ht="40.049999999999997" customHeight="1" x14ac:dyDescent="0.3">
      <c r="A24" s="281" t="s">
        <v>122</v>
      </c>
      <c r="B24" s="282" t="s">
        <v>123</v>
      </c>
      <c r="C24" s="712" t="s">
        <v>37</v>
      </c>
      <c r="D24" s="579"/>
      <c r="E24" s="580" t="s">
        <v>55</v>
      </c>
      <c r="F24" s="580"/>
      <c r="G24" s="580" t="s">
        <v>66</v>
      </c>
      <c r="H24" s="580"/>
      <c r="I24" s="580" t="s">
        <v>36</v>
      </c>
      <c r="J24" s="580"/>
      <c r="K24" s="580" t="s">
        <v>36</v>
      </c>
      <c r="L24" s="580"/>
      <c r="M24" s="580" t="s">
        <v>66</v>
      </c>
      <c r="N24" s="580"/>
      <c r="O24" s="580" t="s">
        <v>66</v>
      </c>
      <c r="P24" s="580"/>
      <c r="Q24" s="580" t="s">
        <v>36</v>
      </c>
      <c r="R24" s="580"/>
      <c r="S24" s="580" t="s">
        <v>55</v>
      </c>
      <c r="T24" s="580"/>
      <c r="U24" s="580" t="s">
        <v>66</v>
      </c>
      <c r="V24" s="581"/>
      <c r="W24" s="580" t="s">
        <v>66</v>
      </c>
      <c r="X24" s="580"/>
      <c r="Y24" s="580" t="s">
        <v>55</v>
      </c>
      <c r="Z24" s="580"/>
      <c r="AA24" s="286">
        <f>COUNTIF(E24:Z24,"&gt;=R")</f>
        <v>11</v>
      </c>
      <c r="AB24" s="287">
        <f t="shared" si="0"/>
        <v>11</v>
      </c>
    </row>
    <row r="25" spans="1:38" ht="40.049999999999997" customHeight="1" x14ac:dyDescent="0.3">
      <c r="A25" s="281" t="s">
        <v>124</v>
      </c>
      <c r="B25" s="282" t="s">
        <v>125</v>
      </c>
      <c r="C25" s="712" t="s">
        <v>37</v>
      </c>
      <c r="D25" s="579"/>
      <c r="E25" s="580" t="s">
        <v>55</v>
      </c>
      <c r="F25" s="580"/>
      <c r="G25" s="580" t="s">
        <v>66</v>
      </c>
      <c r="H25" s="580"/>
      <c r="I25" s="580" t="s">
        <v>36</v>
      </c>
      <c r="J25" s="580"/>
      <c r="K25" s="580" t="s">
        <v>36</v>
      </c>
      <c r="L25" s="580"/>
      <c r="M25" s="580" t="s">
        <v>66</v>
      </c>
      <c r="N25" s="580"/>
      <c r="O25" s="580" t="s">
        <v>66</v>
      </c>
      <c r="P25" s="580"/>
      <c r="Q25" s="580" t="s">
        <v>36</v>
      </c>
      <c r="R25" s="580"/>
      <c r="S25" s="580" t="s">
        <v>55</v>
      </c>
      <c r="T25" s="580"/>
      <c r="U25" s="580" t="s">
        <v>66</v>
      </c>
      <c r="V25" s="581"/>
      <c r="W25" s="580" t="s">
        <v>66</v>
      </c>
      <c r="X25" s="580"/>
      <c r="Y25" s="580" t="s">
        <v>55</v>
      </c>
      <c r="Z25" s="580"/>
      <c r="AA25" s="286">
        <f>COUNTIF(C25:Z25,"&gt;=R")</f>
        <v>12</v>
      </c>
      <c r="AB25" s="287">
        <f t="shared" si="0"/>
        <v>12</v>
      </c>
    </row>
    <row r="26" spans="1:38" ht="40.049999999999997" customHeight="1" x14ac:dyDescent="0.65">
      <c r="A26" s="289" t="s">
        <v>126</v>
      </c>
      <c r="B26" s="290" t="s">
        <v>127</v>
      </c>
      <c r="C26" s="582"/>
      <c r="D26" s="582"/>
      <c r="E26" s="582"/>
      <c r="F26" s="582"/>
      <c r="G26" s="582"/>
      <c r="H26" s="582"/>
      <c r="I26" s="582"/>
      <c r="J26" s="582"/>
      <c r="K26" s="582"/>
      <c r="L26" s="582"/>
      <c r="M26" s="582"/>
      <c r="N26" s="582"/>
      <c r="O26" s="582"/>
      <c r="P26" s="582"/>
      <c r="Q26" s="582"/>
      <c r="R26" s="582"/>
      <c r="S26" s="582"/>
      <c r="T26" s="582"/>
      <c r="U26" s="582"/>
      <c r="V26" s="582"/>
      <c r="W26" s="582"/>
      <c r="X26" s="582"/>
      <c r="Y26" s="582"/>
      <c r="Z26" s="582"/>
      <c r="AA26" s="349"/>
      <c r="AB26" s="350"/>
      <c r="AC26" s="357"/>
      <c r="AD26" s="357"/>
      <c r="AE26" s="357"/>
      <c r="AF26" s="357"/>
      <c r="AG26" s="357"/>
      <c r="AH26" s="357"/>
      <c r="AI26" s="357"/>
      <c r="AJ26" s="357"/>
      <c r="AK26" s="357"/>
      <c r="AL26" s="357"/>
    </row>
    <row r="27" spans="1:38" ht="40.049999999999997" customHeight="1" x14ac:dyDescent="0.3">
      <c r="A27" s="281" t="s">
        <v>128</v>
      </c>
      <c r="B27" s="282" t="s">
        <v>129</v>
      </c>
      <c r="C27" s="712" t="s">
        <v>37</v>
      </c>
      <c r="D27" s="579"/>
      <c r="E27" s="580" t="s">
        <v>55</v>
      </c>
      <c r="F27" s="580"/>
      <c r="G27" s="580" t="s">
        <v>66</v>
      </c>
      <c r="H27" s="580"/>
      <c r="I27" s="580" t="s">
        <v>36</v>
      </c>
      <c r="J27" s="580"/>
      <c r="K27" s="580" t="s">
        <v>36</v>
      </c>
      <c r="L27" s="580"/>
      <c r="M27" s="580" t="s">
        <v>66</v>
      </c>
      <c r="N27" s="580"/>
      <c r="O27" s="580" t="s">
        <v>66</v>
      </c>
      <c r="P27" s="580"/>
      <c r="Q27" s="580" t="s">
        <v>36</v>
      </c>
      <c r="R27" s="580"/>
      <c r="S27" s="580" t="s">
        <v>55</v>
      </c>
      <c r="T27" s="580"/>
      <c r="U27" s="580" t="s">
        <v>66</v>
      </c>
      <c r="V27" s="581"/>
      <c r="W27" s="580" t="s">
        <v>66</v>
      </c>
      <c r="X27" s="580"/>
      <c r="Y27" s="580" t="s">
        <v>55</v>
      </c>
      <c r="Z27" s="580"/>
      <c r="AA27" s="286">
        <f>COUNTIF(C27:Z27,"&gt;=R")</f>
        <v>12</v>
      </c>
      <c r="AB27" s="287">
        <f>AA27</f>
        <v>12</v>
      </c>
    </row>
    <row r="28" spans="1:38" ht="40.049999999999997" customHeight="1" x14ac:dyDescent="0.65">
      <c r="A28" s="281" t="s">
        <v>130</v>
      </c>
      <c r="B28" s="282" t="s">
        <v>131</v>
      </c>
      <c r="C28" s="712" t="s">
        <v>37</v>
      </c>
      <c r="D28" s="579"/>
      <c r="E28" s="580" t="s">
        <v>55</v>
      </c>
      <c r="F28" s="580"/>
      <c r="G28" s="580" t="s">
        <v>66</v>
      </c>
      <c r="H28" s="580"/>
      <c r="I28" s="580" t="s">
        <v>36</v>
      </c>
      <c r="J28" s="580"/>
      <c r="K28" s="580" t="s">
        <v>36</v>
      </c>
      <c r="L28" s="580"/>
      <c r="M28" s="580" t="s">
        <v>66</v>
      </c>
      <c r="N28" s="580"/>
      <c r="O28" s="580" t="s">
        <v>66</v>
      </c>
      <c r="P28" s="580"/>
      <c r="Q28" s="580" t="s">
        <v>36</v>
      </c>
      <c r="R28" s="580"/>
      <c r="S28" s="580" t="s">
        <v>55</v>
      </c>
      <c r="T28" s="580"/>
      <c r="U28" s="580" t="s">
        <v>66</v>
      </c>
      <c r="V28" s="581"/>
      <c r="W28" s="580" t="s">
        <v>66</v>
      </c>
      <c r="X28" s="580"/>
      <c r="Y28" s="580" t="s">
        <v>55</v>
      </c>
      <c r="Z28" s="580"/>
      <c r="AA28" s="286">
        <f>COUNTIF(C28:Z28,"&gt;=R")</f>
        <v>12</v>
      </c>
      <c r="AB28" s="287">
        <f>AA28</f>
        <v>12</v>
      </c>
      <c r="AC28" s="357"/>
      <c r="AD28" s="357"/>
      <c r="AE28" s="357"/>
      <c r="AF28" s="357"/>
      <c r="AG28" s="357"/>
      <c r="AH28" s="357"/>
      <c r="AI28" s="357"/>
      <c r="AJ28" s="357"/>
      <c r="AK28" s="357"/>
      <c r="AL28" s="357"/>
    </row>
    <row r="29" spans="1:38" ht="40.049999999999997" customHeight="1" x14ac:dyDescent="0.65">
      <c r="A29" s="289" t="s">
        <v>132</v>
      </c>
      <c r="B29" s="290" t="s">
        <v>133</v>
      </c>
      <c r="C29" s="708"/>
      <c r="D29" s="582"/>
      <c r="E29" s="583"/>
      <c r="F29" s="583"/>
      <c r="G29" s="583"/>
      <c r="H29" s="583"/>
      <c r="I29" s="583"/>
      <c r="J29" s="583"/>
      <c r="K29" s="583"/>
      <c r="L29" s="583"/>
      <c r="M29" s="583"/>
      <c r="N29" s="583"/>
      <c r="O29" s="583"/>
      <c r="P29" s="583"/>
      <c r="Q29" s="583"/>
      <c r="R29" s="583"/>
      <c r="S29" s="583"/>
      <c r="T29" s="583"/>
      <c r="U29" s="583"/>
      <c r="V29" s="583"/>
      <c r="W29" s="583"/>
      <c r="X29" s="583"/>
      <c r="Y29" s="583"/>
      <c r="Z29" s="583"/>
      <c r="AA29" s="349"/>
      <c r="AB29" s="350"/>
      <c r="AC29" s="357"/>
      <c r="AD29" s="357"/>
      <c r="AE29" s="357"/>
      <c r="AF29" s="357"/>
      <c r="AG29" s="357"/>
      <c r="AH29" s="357"/>
      <c r="AI29" s="357"/>
      <c r="AJ29" s="357"/>
      <c r="AK29" s="357"/>
      <c r="AL29" s="357"/>
    </row>
    <row r="30" spans="1:38" ht="40.049999999999997" customHeight="1" x14ac:dyDescent="0.65">
      <c r="A30" s="298" t="s">
        <v>134</v>
      </c>
      <c r="B30" s="282" t="s">
        <v>135</v>
      </c>
      <c r="C30" s="705" t="s">
        <v>57</v>
      </c>
      <c r="D30" s="579"/>
      <c r="E30" s="578" t="s">
        <v>410</v>
      </c>
      <c r="F30" s="580"/>
      <c r="G30" s="578" t="s">
        <v>410</v>
      </c>
      <c r="H30" s="580"/>
      <c r="I30" s="580" t="s">
        <v>410</v>
      </c>
      <c r="J30" s="580"/>
      <c r="K30" s="580" t="s">
        <v>410</v>
      </c>
      <c r="L30" s="580"/>
      <c r="M30" s="580" t="s">
        <v>410</v>
      </c>
      <c r="N30" s="580"/>
      <c r="O30" s="580" t="s">
        <v>410</v>
      </c>
      <c r="P30" s="580"/>
      <c r="Q30" s="580" t="s">
        <v>57</v>
      </c>
      <c r="R30" s="580"/>
      <c r="S30" s="580" t="s">
        <v>410</v>
      </c>
      <c r="T30" s="580"/>
      <c r="U30" s="580" t="s">
        <v>410</v>
      </c>
      <c r="V30" s="580"/>
      <c r="W30" s="580" t="s">
        <v>410</v>
      </c>
      <c r="X30" s="580"/>
      <c r="Y30" s="580" t="s">
        <v>410</v>
      </c>
      <c r="Z30" s="580"/>
      <c r="AA30" s="286">
        <f>COUNTIF(C30:Z30,"&gt;=R")</f>
        <v>12</v>
      </c>
      <c r="AB30" s="287">
        <f>AA30</f>
        <v>12</v>
      </c>
      <c r="AC30" s="357"/>
      <c r="AD30" s="357"/>
      <c r="AE30" s="357"/>
      <c r="AF30" s="357"/>
      <c r="AG30" s="357"/>
      <c r="AH30" s="357"/>
      <c r="AI30" s="357"/>
      <c r="AJ30" s="357"/>
      <c r="AK30" s="357"/>
      <c r="AL30" s="357"/>
    </row>
    <row r="31" spans="1:38" ht="40.049999999999997" customHeight="1" x14ac:dyDescent="0.65">
      <c r="A31" s="289" t="s">
        <v>136</v>
      </c>
      <c r="B31" s="290" t="s">
        <v>137</v>
      </c>
      <c r="C31" s="708"/>
      <c r="D31" s="582"/>
      <c r="E31" s="582"/>
      <c r="F31" s="582"/>
      <c r="G31" s="582"/>
      <c r="H31" s="582"/>
      <c r="I31" s="582"/>
      <c r="J31" s="582"/>
      <c r="K31" s="582"/>
      <c r="L31" s="582"/>
      <c r="M31" s="582"/>
      <c r="N31" s="582"/>
      <c r="O31" s="582"/>
      <c r="P31" s="582"/>
      <c r="Q31" s="582"/>
      <c r="R31" s="582"/>
      <c r="S31" s="582"/>
      <c r="T31" s="582"/>
      <c r="U31" s="582"/>
      <c r="V31" s="582"/>
      <c r="W31" s="582"/>
      <c r="X31" s="582"/>
      <c r="Y31" s="582"/>
      <c r="Z31" s="583"/>
      <c r="AA31" s="349"/>
      <c r="AB31" s="350"/>
      <c r="AC31" s="357"/>
      <c r="AD31" s="357"/>
      <c r="AE31" s="357"/>
      <c r="AF31" s="357"/>
      <c r="AG31" s="357"/>
      <c r="AH31" s="357"/>
      <c r="AI31" s="357"/>
      <c r="AJ31" s="357"/>
      <c r="AK31" s="357"/>
      <c r="AL31" s="357"/>
    </row>
    <row r="32" spans="1:38" ht="40.049999999999997" customHeight="1" x14ac:dyDescent="0.3">
      <c r="A32" s="281" t="s">
        <v>138</v>
      </c>
      <c r="B32" s="282" t="s">
        <v>139</v>
      </c>
      <c r="C32" s="705"/>
      <c r="D32" s="579"/>
      <c r="E32" s="578" t="s">
        <v>410</v>
      </c>
      <c r="F32" s="580"/>
      <c r="G32" s="578" t="s">
        <v>410</v>
      </c>
      <c r="H32" s="580"/>
      <c r="I32" s="580" t="s">
        <v>410</v>
      </c>
      <c r="J32" s="580"/>
      <c r="K32" s="580" t="s">
        <v>410</v>
      </c>
      <c r="L32" s="580"/>
      <c r="M32" s="580" t="s">
        <v>410</v>
      </c>
      <c r="N32" s="580"/>
      <c r="O32" s="580" t="s">
        <v>410</v>
      </c>
      <c r="P32" s="580"/>
      <c r="Q32" s="580"/>
      <c r="R32" s="580"/>
      <c r="S32" s="580" t="s">
        <v>410</v>
      </c>
      <c r="T32" s="580"/>
      <c r="U32" s="580" t="s">
        <v>410</v>
      </c>
      <c r="V32" s="580"/>
      <c r="W32" s="580" t="s">
        <v>410</v>
      </c>
      <c r="X32" s="580"/>
      <c r="Y32" s="580" t="s">
        <v>410</v>
      </c>
      <c r="Z32" s="580"/>
      <c r="AA32" s="286">
        <f>COUNTIF(C32:Z32,"&gt;=R")</f>
        <v>10</v>
      </c>
      <c r="AB32" s="287">
        <f>AA32</f>
        <v>10</v>
      </c>
    </row>
    <row r="33" spans="1:38" ht="40.049999999999997" customHeight="1" x14ac:dyDescent="0.65">
      <c r="A33" s="357" t="s">
        <v>140</v>
      </c>
      <c r="B33" s="890" t="s">
        <v>141</v>
      </c>
      <c r="C33" s="705"/>
      <c r="D33" s="579"/>
      <c r="E33" s="578" t="s">
        <v>410</v>
      </c>
      <c r="F33" s="580"/>
      <c r="G33" s="578" t="s">
        <v>410</v>
      </c>
      <c r="H33" s="580"/>
      <c r="I33" s="580" t="s">
        <v>410</v>
      </c>
      <c r="J33" s="580"/>
      <c r="K33" s="580" t="s">
        <v>410</v>
      </c>
      <c r="L33" s="580"/>
      <c r="M33" s="580" t="s">
        <v>410</v>
      </c>
      <c r="N33" s="580"/>
      <c r="O33" s="580" t="s">
        <v>410</v>
      </c>
      <c r="P33" s="580"/>
      <c r="Q33" s="580"/>
      <c r="R33" s="580"/>
      <c r="S33" s="580" t="s">
        <v>410</v>
      </c>
      <c r="T33" s="580"/>
      <c r="U33" s="580" t="s">
        <v>410</v>
      </c>
      <c r="V33" s="580"/>
      <c r="W33" s="580" t="s">
        <v>410</v>
      </c>
      <c r="X33" s="580"/>
      <c r="Y33" s="580" t="s">
        <v>410</v>
      </c>
      <c r="Z33" s="580"/>
      <c r="AA33" s="286">
        <f>COUNTIF(C33:Z33,"&gt;=R")</f>
        <v>10</v>
      </c>
      <c r="AB33" s="287">
        <f>AA33</f>
        <v>10</v>
      </c>
    </row>
    <row r="34" spans="1:38" ht="40.049999999999997" customHeight="1" x14ac:dyDescent="0.3">
      <c r="A34" s="289" t="s">
        <v>142</v>
      </c>
      <c r="B34" s="290" t="s">
        <v>143</v>
      </c>
      <c r="C34" s="708"/>
      <c r="D34" s="582"/>
      <c r="E34" s="582"/>
      <c r="F34" s="582"/>
      <c r="G34" s="582"/>
      <c r="H34" s="582"/>
      <c r="I34" s="582"/>
      <c r="J34" s="582"/>
      <c r="K34" s="582"/>
      <c r="L34" s="582"/>
      <c r="M34" s="582"/>
      <c r="N34" s="582"/>
      <c r="O34" s="582"/>
      <c r="P34" s="582"/>
      <c r="Q34" s="582"/>
      <c r="R34" s="582"/>
      <c r="S34" s="582"/>
      <c r="T34" s="582"/>
      <c r="U34" s="582"/>
      <c r="V34" s="582"/>
      <c r="W34" s="582"/>
      <c r="X34" s="582"/>
      <c r="Y34" s="582"/>
      <c r="Z34" s="583"/>
      <c r="AA34" s="349"/>
      <c r="AB34" s="350"/>
    </row>
    <row r="35" spans="1:38" ht="40.049999999999997" customHeight="1" x14ac:dyDescent="0.3">
      <c r="A35" s="298" t="s">
        <v>144</v>
      </c>
      <c r="B35" s="282" t="s">
        <v>145</v>
      </c>
      <c r="C35" s="707"/>
      <c r="D35" s="579"/>
      <c r="E35" s="578" t="s">
        <v>410</v>
      </c>
      <c r="F35" s="580"/>
      <c r="G35" s="578" t="s">
        <v>410</v>
      </c>
      <c r="H35" s="580"/>
      <c r="I35" s="580" t="s">
        <v>410</v>
      </c>
      <c r="J35" s="580"/>
      <c r="K35" s="580" t="s">
        <v>410</v>
      </c>
      <c r="L35" s="580"/>
      <c r="M35" s="580" t="s">
        <v>410</v>
      </c>
      <c r="N35" s="580"/>
      <c r="O35" s="580" t="s">
        <v>410</v>
      </c>
      <c r="P35" s="580"/>
      <c r="Q35" s="580"/>
      <c r="R35" s="580"/>
      <c r="S35" s="580" t="s">
        <v>410</v>
      </c>
      <c r="T35" s="580"/>
      <c r="U35" s="580" t="s">
        <v>410</v>
      </c>
      <c r="V35" s="580"/>
      <c r="W35" s="580" t="s">
        <v>410</v>
      </c>
      <c r="X35" s="580"/>
      <c r="Y35" s="580" t="s">
        <v>410</v>
      </c>
      <c r="Z35" s="580"/>
      <c r="AA35" s="286">
        <f>COUNTIF(C35:Z35,"&gt;=R")</f>
        <v>10</v>
      </c>
      <c r="AB35" s="287">
        <f>AA35</f>
        <v>10</v>
      </c>
    </row>
    <row r="36" spans="1:38" ht="40.049999999999997" customHeight="1" x14ac:dyDescent="0.3">
      <c r="A36" s="289" t="s">
        <v>146</v>
      </c>
      <c r="B36" s="290" t="s">
        <v>147</v>
      </c>
      <c r="C36" s="708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2"/>
      <c r="Q36" s="582"/>
      <c r="R36" s="582"/>
      <c r="S36" s="582"/>
      <c r="T36" s="582"/>
      <c r="U36" s="582"/>
      <c r="V36" s="582"/>
      <c r="W36" s="582"/>
      <c r="X36" s="582"/>
      <c r="Y36" s="582"/>
      <c r="Z36" s="583"/>
      <c r="AA36" s="349"/>
      <c r="AB36" s="350"/>
    </row>
    <row r="37" spans="1:38" ht="40.049999999999997" customHeight="1" x14ac:dyDescent="0.3">
      <c r="A37" s="281" t="s">
        <v>148</v>
      </c>
      <c r="B37" s="282" t="s">
        <v>139</v>
      </c>
      <c r="C37" s="707" t="s">
        <v>57</v>
      </c>
      <c r="D37" s="579"/>
      <c r="E37" s="578" t="s">
        <v>410</v>
      </c>
      <c r="F37" s="580"/>
      <c r="G37" s="578" t="s">
        <v>410</v>
      </c>
      <c r="H37" s="580"/>
      <c r="I37" s="580" t="s">
        <v>410</v>
      </c>
      <c r="J37" s="580"/>
      <c r="K37" s="580" t="s">
        <v>410</v>
      </c>
      <c r="L37" s="580"/>
      <c r="M37" s="580" t="s">
        <v>410</v>
      </c>
      <c r="N37" s="580"/>
      <c r="O37" s="580" t="s">
        <v>410</v>
      </c>
      <c r="P37" s="580"/>
      <c r="Q37" s="580" t="s">
        <v>18</v>
      </c>
      <c r="R37" s="580"/>
      <c r="S37" s="580" t="s">
        <v>410</v>
      </c>
      <c r="T37" s="580"/>
      <c r="U37" s="580" t="s">
        <v>410</v>
      </c>
      <c r="V37" s="580"/>
      <c r="W37" s="580" t="s">
        <v>410</v>
      </c>
      <c r="X37" s="580"/>
      <c r="Y37" s="580" t="s">
        <v>410</v>
      </c>
      <c r="Z37" s="580"/>
      <c r="AA37" s="286">
        <f>COUNTIF(C37:Z37,"&gt;=R")</f>
        <v>12</v>
      </c>
      <c r="AB37" s="287">
        <f>AA37</f>
        <v>12</v>
      </c>
    </row>
    <row r="38" spans="1:38" ht="40.049999999999997" customHeight="1" x14ac:dyDescent="0.65">
      <c r="A38" s="281" t="s">
        <v>149</v>
      </c>
      <c r="B38" s="282" t="s">
        <v>150</v>
      </c>
      <c r="C38" s="707" t="s">
        <v>57</v>
      </c>
      <c r="D38" s="579"/>
      <c r="E38" s="580" t="s">
        <v>91</v>
      </c>
      <c r="F38" s="580"/>
      <c r="G38" s="580" t="s">
        <v>91</v>
      </c>
      <c r="H38" s="580"/>
      <c r="I38" s="584" t="s">
        <v>91</v>
      </c>
      <c r="J38" s="580"/>
      <c r="K38" s="584" t="s">
        <v>91</v>
      </c>
      <c r="L38" s="580"/>
      <c r="M38" s="584" t="s">
        <v>91</v>
      </c>
      <c r="N38" s="580"/>
      <c r="O38" s="584" t="s">
        <v>91</v>
      </c>
      <c r="P38" s="580"/>
      <c r="Q38" s="580" t="s">
        <v>28</v>
      </c>
      <c r="R38" s="580"/>
      <c r="S38" s="580" t="s">
        <v>91</v>
      </c>
      <c r="T38" s="580"/>
      <c r="U38" s="581" t="s">
        <v>91</v>
      </c>
      <c r="V38" s="580"/>
      <c r="W38" s="581" t="s">
        <v>91</v>
      </c>
      <c r="X38" s="580"/>
      <c r="Y38" s="581" t="s">
        <v>91</v>
      </c>
      <c r="Z38" s="580"/>
      <c r="AA38" s="286">
        <f>COUNTIF(C38:Z38,"&gt;=R")</f>
        <v>12</v>
      </c>
      <c r="AB38" s="287">
        <f>AA38</f>
        <v>12</v>
      </c>
      <c r="AC38" s="357"/>
      <c r="AD38" s="357"/>
      <c r="AE38" s="357"/>
      <c r="AF38" s="357"/>
      <c r="AG38" s="357"/>
      <c r="AH38" s="357"/>
      <c r="AI38" s="357"/>
      <c r="AJ38" s="357"/>
      <c r="AK38" s="357"/>
      <c r="AL38" s="357"/>
    </row>
    <row r="39" spans="1:38" ht="40.049999999999997" customHeight="1" x14ac:dyDescent="0.3">
      <c r="A39" s="300" t="s">
        <v>151</v>
      </c>
      <c r="B39" s="301" t="s">
        <v>152</v>
      </c>
      <c r="C39" s="705"/>
      <c r="D39" s="579"/>
      <c r="E39" s="580"/>
      <c r="F39" s="580"/>
      <c r="G39" s="580"/>
      <c r="H39" s="580"/>
      <c r="I39" s="580"/>
      <c r="J39" s="580"/>
      <c r="K39" s="580"/>
      <c r="L39" s="580"/>
      <c r="M39" s="584"/>
      <c r="N39" s="580"/>
      <c r="O39" s="580"/>
      <c r="P39" s="580"/>
      <c r="Q39" s="580"/>
      <c r="R39" s="580"/>
      <c r="S39" s="580"/>
      <c r="T39" s="580"/>
      <c r="U39" s="581"/>
      <c r="V39" s="580"/>
      <c r="W39" s="580"/>
      <c r="X39" s="580"/>
      <c r="Y39" s="581"/>
      <c r="Z39" s="580"/>
      <c r="AA39" s="286"/>
      <c r="AB39" s="287"/>
    </row>
    <row r="40" spans="1:38" ht="40.049999999999997" customHeight="1" x14ac:dyDescent="0.3">
      <c r="A40" s="281" t="s">
        <v>153</v>
      </c>
      <c r="B40" s="282" t="s">
        <v>154</v>
      </c>
      <c r="C40" s="705"/>
      <c r="D40" s="579"/>
      <c r="E40" s="578" t="s">
        <v>93</v>
      </c>
      <c r="F40" s="580"/>
      <c r="G40" s="578" t="s">
        <v>93</v>
      </c>
      <c r="H40" s="580"/>
      <c r="I40" s="578" t="s">
        <v>93</v>
      </c>
      <c r="J40" s="580"/>
      <c r="K40" s="578" t="s">
        <v>93</v>
      </c>
      <c r="L40" s="580"/>
      <c r="M40" s="580" t="s">
        <v>93</v>
      </c>
      <c r="N40" s="580"/>
      <c r="O40" s="580" t="s">
        <v>93</v>
      </c>
      <c r="P40" s="580"/>
      <c r="Q40" s="580"/>
      <c r="R40" s="580"/>
      <c r="S40" s="580" t="s">
        <v>93</v>
      </c>
      <c r="T40" s="580"/>
      <c r="U40" s="580" t="s">
        <v>93</v>
      </c>
      <c r="V40" s="580"/>
      <c r="W40" s="580" t="s">
        <v>93</v>
      </c>
      <c r="X40" s="580"/>
      <c r="Y40" s="580" t="s">
        <v>93</v>
      </c>
      <c r="Z40" s="580"/>
      <c r="AA40" s="286">
        <f t="shared" ref="AA40:AA45" si="1">COUNTIF(C40:Z40,"&gt;=R")</f>
        <v>10</v>
      </c>
      <c r="AB40" s="287">
        <f t="shared" ref="AB40:AB45" si="2">AA40</f>
        <v>10</v>
      </c>
    </row>
    <row r="41" spans="1:38" ht="40.049999999999997" customHeight="1" x14ac:dyDescent="0.65">
      <c r="A41" s="281" t="s">
        <v>155</v>
      </c>
      <c r="B41" s="282" t="s">
        <v>156</v>
      </c>
      <c r="C41" s="709"/>
      <c r="D41" s="579"/>
      <c r="E41" s="581"/>
      <c r="F41" s="580"/>
      <c r="G41" s="581"/>
      <c r="H41" s="580"/>
      <c r="I41" s="581"/>
      <c r="J41" s="580"/>
      <c r="K41" s="581"/>
      <c r="L41" s="580"/>
      <c r="M41" s="581"/>
      <c r="N41" s="580"/>
      <c r="O41" s="581"/>
      <c r="P41" s="580"/>
      <c r="Q41" s="581"/>
      <c r="R41" s="580"/>
      <c r="S41" s="581"/>
      <c r="T41" s="580"/>
      <c r="U41" s="581"/>
      <c r="V41" s="580"/>
      <c r="W41" s="581"/>
      <c r="X41" s="580"/>
      <c r="Y41" s="581"/>
      <c r="Z41" s="580"/>
      <c r="AA41" s="286">
        <f t="shared" si="1"/>
        <v>0</v>
      </c>
      <c r="AB41" s="287">
        <f t="shared" si="2"/>
        <v>0</v>
      </c>
      <c r="AC41" s="357"/>
      <c r="AD41" s="357"/>
      <c r="AE41" s="357"/>
      <c r="AF41" s="357"/>
      <c r="AG41" s="357"/>
      <c r="AH41" s="357"/>
      <c r="AI41" s="357"/>
      <c r="AJ41" s="357"/>
      <c r="AK41" s="357"/>
      <c r="AL41" s="357"/>
    </row>
    <row r="42" spans="1:38" ht="40.049999999999997" customHeight="1" x14ac:dyDescent="0.3">
      <c r="A42" s="281" t="s">
        <v>157</v>
      </c>
      <c r="B42" s="282" t="s">
        <v>158</v>
      </c>
      <c r="C42" s="707" t="s">
        <v>77</v>
      </c>
      <c r="D42" s="579"/>
      <c r="E42" s="580" t="s">
        <v>91</v>
      </c>
      <c r="F42" s="580"/>
      <c r="G42" s="580" t="s">
        <v>91</v>
      </c>
      <c r="H42" s="580"/>
      <c r="I42" s="584" t="s">
        <v>91</v>
      </c>
      <c r="J42" s="580"/>
      <c r="K42" s="584" t="s">
        <v>91</v>
      </c>
      <c r="L42" s="580"/>
      <c r="M42" s="584" t="s">
        <v>91</v>
      </c>
      <c r="N42" s="580"/>
      <c r="O42" s="584" t="s">
        <v>91</v>
      </c>
      <c r="P42" s="580"/>
      <c r="Q42" s="580" t="s">
        <v>28</v>
      </c>
      <c r="R42" s="580"/>
      <c r="S42" s="580" t="s">
        <v>91</v>
      </c>
      <c r="T42" s="580"/>
      <c r="U42" s="581" t="s">
        <v>91</v>
      </c>
      <c r="V42" s="580"/>
      <c r="W42" s="581" t="s">
        <v>91</v>
      </c>
      <c r="X42" s="580"/>
      <c r="Y42" s="581" t="s">
        <v>91</v>
      </c>
      <c r="Z42" s="580"/>
      <c r="AA42" s="286">
        <f t="shared" si="1"/>
        <v>12</v>
      </c>
      <c r="AB42" s="287">
        <f t="shared" si="2"/>
        <v>12</v>
      </c>
    </row>
    <row r="43" spans="1:38" ht="40.049999999999997" customHeight="1" x14ac:dyDescent="0.65">
      <c r="A43" s="281" t="s">
        <v>159</v>
      </c>
      <c r="B43" s="282" t="s">
        <v>160</v>
      </c>
      <c r="C43" s="705" t="s">
        <v>93</v>
      </c>
      <c r="D43" s="579"/>
      <c r="E43" s="580" t="s">
        <v>410</v>
      </c>
      <c r="F43" s="580"/>
      <c r="G43" s="580" t="s">
        <v>410</v>
      </c>
      <c r="H43" s="580"/>
      <c r="I43" s="580" t="s">
        <v>410</v>
      </c>
      <c r="J43" s="580"/>
      <c r="K43" s="580" t="s">
        <v>410</v>
      </c>
      <c r="L43" s="580"/>
      <c r="M43" s="580" t="s">
        <v>83</v>
      </c>
      <c r="N43" s="580"/>
      <c r="O43" s="580" t="s">
        <v>410</v>
      </c>
      <c r="P43" s="580"/>
      <c r="Q43" s="580" t="s">
        <v>68</v>
      </c>
      <c r="R43" s="580"/>
      <c r="S43" s="580" t="s">
        <v>410</v>
      </c>
      <c r="T43" s="580"/>
      <c r="U43" s="580" t="s">
        <v>37</v>
      </c>
      <c r="V43" s="580"/>
      <c r="W43" s="580" t="s">
        <v>37</v>
      </c>
      <c r="X43" s="580"/>
      <c r="Y43" s="580" t="s">
        <v>410</v>
      </c>
      <c r="Z43" s="580"/>
      <c r="AA43" s="286">
        <f t="shared" si="1"/>
        <v>12</v>
      </c>
      <c r="AB43" s="287">
        <f t="shared" si="2"/>
        <v>12</v>
      </c>
      <c r="AC43" s="357"/>
      <c r="AD43" s="357"/>
      <c r="AE43" s="357"/>
      <c r="AF43" s="357"/>
      <c r="AG43" s="357"/>
      <c r="AH43" s="357"/>
      <c r="AI43" s="357"/>
      <c r="AJ43" s="357"/>
      <c r="AK43" s="357"/>
      <c r="AL43" s="357"/>
    </row>
    <row r="44" spans="1:38" ht="40.049999999999997" customHeight="1" x14ac:dyDescent="0.3">
      <c r="A44" s="281" t="s">
        <v>161</v>
      </c>
      <c r="B44" s="282" t="s">
        <v>162</v>
      </c>
      <c r="C44" s="705" t="s">
        <v>57</v>
      </c>
      <c r="D44" s="579"/>
      <c r="E44" s="580" t="s">
        <v>37</v>
      </c>
      <c r="F44" s="580"/>
      <c r="G44" s="580" t="s">
        <v>83</v>
      </c>
      <c r="H44" s="580"/>
      <c r="I44" s="580" t="s">
        <v>37</v>
      </c>
      <c r="J44" s="580"/>
      <c r="K44" s="580" t="s">
        <v>37</v>
      </c>
      <c r="L44" s="580"/>
      <c r="M44" s="580" t="s">
        <v>83</v>
      </c>
      <c r="N44" s="580"/>
      <c r="O44" s="580" t="s">
        <v>37</v>
      </c>
      <c r="P44" s="580"/>
      <c r="Q44" s="580" t="s">
        <v>57</v>
      </c>
      <c r="R44" s="580"/>
      <c r="S44" s="580" t="s">
        <v>37</v>
      </c>
      <c r="T44" s="580"/>
      <c r="U44" s="580" t="s">
        <v>84</v>
      </c>
      <c r="V44" s="580"/>
      <c r="W44" s="580" t="s">
        <v>37</v>
      </c>
      <c r="X44" s="580"/>
      <c r="Y44" s="580" t="s">
        <v>37</v>
      </c>
      <c r="Z44" s="580"/>
      <c r="AA44" s="286">
        <f t="shared" si="1"/>
        <v>12</v>
      </c>
      <c r="AB44" s="287">
        <f t="shared" si="2"/>
        <v>12</v>
      </c>
    </row>
    <row r="45" spans="1:38" ht="40.049999999999997" customHeight="1" thickBot="1" x14ac:dyDescent="0.7">
      <c r="A45" s="281" t="s">
        <v>163</v>
      </c>
      <c r="B45" s="282" t="s">
        <v>164</v>
      </c>
      <c r="C45" s="705" t="s">
        <v>57</v>
      </c>
      <c r="D45" s="579"/>
      <c r="E45" s="584" t="s">
        <v>83</v>
      </c>
      <c r="F45" s="580"/>
      <c r="G45" s="580" t="s">
        <v>83</v>
      </c>
      <c r="H45" s="580"/>
      <c r="I45" s="580" t="s">
        <v>83</v>
      </c>
      <c r="J45" s="580"/>
      <c r="K45" s="580" t="s">
        <v>83</v>
      </c>
      <c r="L45" s="580"/>
      <c r="M45" s="581" t="s">
        <v>83</v>
      </c>
      <c r="N45" s="580"/>
      <c r="O45" s="580" t="s">
        <v>83</v>
      </c>
      <c r="P45" s="580"/>
      <c r="Q45" s="580" t="s">
        <v>57</v>
      </c>
      <c r="R45" s="580"/>
      <c r="S45" s="580" t="s">
        <v>410</v>
      </c>
      <c r="T45" s="580"/>
      <c r="U45" s="580" t="s">
        <v>410</v>
      </c>
      <c r="V45" s="580"/>
      <c r="W45" s="580" t="s">
        <v>410</v>
      </c>
      <c r="X45" s="580"/>
      <c r="Y45" s="580" t="s">
        <v>83</v>
      </c>
      <c r="Z45" s="580"/>
      <c r="AA45" s="286">
        <f t="shared" si="1"/>
        <v>12</v>
      </c>
      <c r="AB45" s="287">
        <f t="shared" si="2"/>
        <v>12</v>
      </c>
      <c r="AC45" s="357"/>
      <c r="AD45" s="357"/>
      <c r="AE45" s="357"/>
      <c r="AF45" s="357"/>
      <c r="AG45" s="357"/>
      <c r="AH45" s="357"/>
      <c r="AI45" s="357"/>
      <c r="AJ45" s="357"/>
      <c r="AK45" s="357"/>
      <c r="AL45" s="357"/>
    </row>
    <row r="46" spans="1:38" ht="40.049999999999997" customHeight="1" x14ac:dyDescent="0.65">
      <c r="A46" s="274" t="s">
        <v>165</v>
      </c>
      <c r="B46" s="275" t="s">
        <v>166</v>
      </c>
      <c r="C46" s="708"/>
      <c r="D46" s="582"/>
      <c r="E46" s="583"/>
      <c r="F46" s="583"/>
      <c r="G46" s="583"/>
      <c r="H46" s="583"/>
      <c r="I46" s="583"/>
      <c r="J46" s="583"/>
      <c r="K46" s="583"/>
      <c r="L46" s="583"/>
      <c r="M46" s="583"/>
      <c r="N46" s="583"/>
      <c r="O46" s="583"/>
      <c r="P46" s="583"/>
      <c r="Q46" s="583"/>
      <c r="R46" s="583"/>
      <c r="S46" s="583"/>
      <c r="T46" s="583"/>
      <c r="U46" s="583"/>
      <c r="V46" s="583"/>
      <c r="W46" s="583"/>
      <c r="X46" s="583"/>
      <c r="Y46" s="583"/>
      <c r="Z46" s="583"/>
      <c r="AA46" s="349"/>
      <c r="AB46" s="350"/>
      <c r="AC46" s="357"/>
      <c r="AD46" s="357"/>
      <c r="AE46" s="357"/>
      <c r="AF46" s="357"/>
      <c r="AG46" s="357"/>
      <c r="AH46" s="357"/>
      <c r="AI46" s="357"/>
      <c r="AJ46" s="357"/>
      <c r="AK46" s="357"/>
      <c r="AL46" s="357"/>
    </row>
    <row r="47" spans="1:38" ht="40.049999999999997" customHeight="1" x14ac:dyDescent="0.3">
      <c r="A47" s="305" t="s">
        <v>167</v>
      </c>
      <c r="B47" s="306" t="s">
        <v>168</v>
      </c>
      <c r="C47" s="705"/>
      <c r="D47" s="579"/>
      <c r="E47" s="580"/>
      <c r="F47" s="580"/>
      <c r="G47" s="581"/>
      <c r="H47" s="580"/>
      <c r="I47" s="580"/>
      <c r="J47" s="580"/>
      <c r="K47" s="580"/>
      <c r="L47" s="580"/>
      <c r="M47" s="580"/>
      <c r="N47" s="580"/>
      <c r="O47" s="580"/>
      <c r="P47" s="580"/>
      <c r="Q47" s="580"/>
      <c r="R47" s="580"/>
      <c r="S47" s="580"/>
      <c r="T47" s="580"/>
      <c r="U47" s="580"/>
      <c r="V47" s="580"/>
      <c r="W47" s="586"/>
      <c r="X47" s="580"/>
      <c r="Y47" s="586"/>
      <c r="Z47" s="580"/>
      <c r="AA47" s="286">
        <f t="shared" ref="AA47:AA54" si="3">COUNTIF(C47:Z47,"&gt;=R")</f>
        <v>0</v>
      </c>
      <c r="AB47" s="287">
        <f t="shared" ref="AB47:AB54" si="4">AA47</f>
        <v>0</v>
      </c>
    </row>
    <row r="48" spans="1:38" ht="40.049999999999997" customHeight="1" x14ac:dyDescent="0.65">
      <c r="A48" s="308" t="s">
        <v>169</v>
      </c>
      <c r="B48" s="309" t="s">
        <v>170</v>
      </c>
      <c r="C48" s="705" t="s">
        <v>57</v>
      </c>
      <c r="D48" s="579"/>
      <c r="E48" s="580" t="s">
        <v>410</v>
      </c>
      <c r="F48" s="580"/>
      <c r="G48" s="580" t="s">
        <v>410</v>
      </c>
      <c r="H48" s="580"/>
      <c r="I48" s="580" t="s">
        <v>410</v>
      </c>
      <c r="J48" s="580"/>
      <c r="K48" s="580" t="s">
        <v>410</v>
      </c>
      <c r="L48" s="580"/>
      <c r="M48" s="580" t="s">
        <v>410</v>
      </c>
      <c r="N48" s="580"/>
      <c r="O48" s="580" t="s">
        <v>410</v>
      </c>
      <c r="P48" s="580"/>
      <c r="Q48" s="580" t="s">
        <v>57</v>
      </c>
      <c r="R48" s="580"/>
      <c r="S48" s="580" t="s">
        <v>410</v>
      </c>
      <c r="T48" s="580"/>
      <c r="U48" s="580" t="s">
        <v>410</v>
      </c>
      <c r="V48" s="580"/>
      <c r="W48" s="580" t="s">
        <v>410</v>
      </c>
      <c r="X48" s="580"/>
      <c r="Y48" s="580" t="s">
        <v>410</v>
      </c>
      <c r="Z48" s="580"/>
      <c r="AA48" s="286">
        <f t="shared" si="3"/>
        <v>12</v>
      </c>
      <c r="AB48" s="287">
        <f t="shared" si="4"/>
        <v>12</v>
      </c>
      <c r="AC48" s="357"/>
      <c r="AD48" s="357"/>
      <c r="AE48" s="357"/>
      <c r="AF48" s="357"/>
      <c r="AG48" s="357"/>
      <c r="AH48" s="357"/>
      <c r="AI48" s="357"/>
      <c r="AJ48" s="357"/>
      <c r="AK48" s="357"/>
      <c r="AL48" s="357"/>
    </row>
    <row r="49" spans="1:38" ht="40.049999999999997" customHeight="1" x14ac:dyDescent="0.65">
      <c r="A49" s="308" t="s">
        <v>171</v>
      </c>
      <c r="B49" s="309" t="s">
        <v>172</v>
      </c>
      <c r="C49" s="705"/>
      <c r="D49" s="579"/>
      <c r="E49" s="578" t="s">
        <v>28</v>
      </c>
      <c r="F49" s="580"/>
      <c r="G49" s="578" t="s">
        <v>28</v>
      </c>
      <c r="H49" s="580"/>
      <c r="I49" s="578" t="s">
        <v>28</v>
      </c>
      <c r="J49" s="580"/>
      <c r="K49" s="578" t="s">
        <v>28</v>
      </c>
      <c r="L49" s="580"/>
      <c r="M49" s="578" t="s">
        <v>28</v>
      </c>
      <c r="N49" s="580"/>
      <c r="O49" s="578" t="s">
        <v>28</v>
      </c>
      <c r="P49" s="580"/>
      <c r="Q49" s="578"/>
      <c r="R49" s="580"/>
      <c r="S49" s="580" t="s">
        <v>28</v>
      </c>
      <c r="T49" s="580"/>
      <c r="U49" s="580" t="s">
        <v>28</v>
      </c>
      <c r="V49" s="580"/>
      <c r="W49" s="580" t="s">
        <v>28</v>
      </c>
      <c r="X49" s="580"/>
      <c r="Y49" s="580" t="s">
        <v>28</v>
      </c>
      <c r="Z49" s="580"/>
      <c r="AA49" s="286">
        <f t="shared" si="3"/>
        <v>10</v>
      </c>
      <c r="AB49" s="287">
        <f t="shared" si="4"/>
        <v>10</v>
      </c>
      <c r="AC49" s="357"/>
      <c r="AD49" s="357"/>
      <c r="AE49" s="357"/>
      <c r="AF49" s="357"/>
      <c r="AG49" s="357"/>
      <c r="AH49" s="357"/>
      <c r="AI49" s="357"/>
      <c r="AJ49" s="357"/>
      <c r="AK49" s="357"/>
      <c r="AL49" s="357"/>
    </row>
    <row r="50" spans="1:38" ht="40.049999999999997" customHeight="1" x14ac:dyDescent="0.3">
      <c r="A50" s="296" t="s">
        <v>173</v>
      </c>
      <c r="B50" s="297" t="s">
        <v>174</v>
      </c>
      <c r="C50" s="705"/>
      <c r="D50" s="579"/>
      <c r="E50" s="580"/>
      <c r="F50" s="580"/>
      <c r="G50" s="581"/>
      <c r="H50" s="580"/>
      <c r="I50" s="581"/>
      <c r="J50" s="580"/>
      <c r="K50" s="581"/>
      <c r="L50" s="580"/>
      <c r="M50" s="580"/>
      <c r="N50" s="580"/>
      <c r="O50" s="580"/>
      <c r="P50" s="580"/>
      <c r="Q50" s="580"/>
      <c r="R50" s="580"/>
      <c r="S50" s="580"/>
      <c r="T50" s="580"/>
      <c r="U50" s="580"/>
      <c r="V50" s="580"/>
      <c r="W50" s="580"/>
      <c r="X50" s="580"/>
      <c r="Y50" s="586"/>
      <c r="Z50" s="580"/>
      <c r="AA50" s="286">
        <f t="shared" si="3"/>
        <v>0</v>
      </c>
      <c r="AB50" s="287">
        <f t="shared" si="4"/>
        <v>0</v>
      </c>
    </row>
    <row r="51" spans="1:38" ht="40.049999999999997" customHeight="1" x14ac:dyDescent="0.3">
      <c r="A51" s="308" t="s">
        <v>175</v>
      </c>
      <c r="B51" s="309" t="s">
        <v>176</v>
      </c>
      <c r="C51" s="705"/>
      <c r="D51" s="579"/>
      <c r="E51" s="746" t="s">
        <v>8</v>
      </c>
      <c r="F51" s="580"/>
      <c r="G51" s="748" t="s">
        <v>8</v>
      </c>
      <c r="H51" s="580"/>
      <c r="I51" s="748" t="s">
        <v>8</v>
      </c>
      <c r="J51" s="580"/>
      <c r="K51" s="748" t="s">
        <v>8</v>
      </c>
      <c r="L51" s="580"/>
      <c r="M51" s="748" t="s">
        <v>8</v>
      </c>
      <c r="N51" s="580"/>
      <c r="O51" s="748" t="s">
        <v>8</v>
      </c>
      <c r="P51" s="580"/>
      <c r="Q51" s="580"/>
      <c r="R51" s="580"/>
      <c r="S51" s="580"/>
      <c r="T51" s="580"/>
      <c r="U51" s="581"/>
      <c r="V51" s="580"/>
      <c r="W51" s="751" t="s">
        <v>8</v>
      </c>
      <c r="X51" s="580"/>
      <c r="Y51" s="751" t="s">
        <v>8</v>
      </c>
      <c r="Z51" s="580"/>
      <c r="AA51" s="286">
        <f t="shared" si="3"/>
        <v>8</v>
      </c>
      <c r="AB51" s="287">
        <f t="shared" si="4"/>
        <v>8</v>
      </c>
    </row>
    <row r="52" spans="1:38" ht="40.049999999999997" customHeight="1" x14ac:dyDescent="0.65">
      <c r="A52" s="308" t="s">
        <v>177</v>
      </c>
      <c r="B52" s="309" t="s">
        <v>178</v>
      </c>
      <c r="C52" s="705"/>
      <c r="D52" s="579"/>
      <c r="E52" s="580" t="s">
        <v>57</v>
      </c>
      <c r="F52" s="580"/>
      <c r="G52" s="580" t="s">
        <v>57</v>
      </c>
      <c r="H52" s="580"/>
      <c r="I52" s="580" t="s">
        <v>57</v>
      </c>
      <c r="J52" s="580"/>
      <c r="K52" s="580" t="s">
        <v>57</v>
      </c>
      <c r="L52" s="580"/>
      <c r="M52" s="580" t="s">
        <v>57</v>
      </c>
      <c r="N52" s="580"/>
      <c r="O52" s="580" t="s">
        <v>57</v>
      </c>
      <c r="P52" s="580"/>
      <c r="Q52" s="580"/>
      <c r="R52" s="580"/>
      <c r="S52" s="580"/>
      <c r="T52" s="580"/>
      <c r="U52" s="580"/>
      <c r="V52" s="580"/>
      <c r="W52" s="580" t="s">
        <v>57</v>
      </c>
      <c r="X52" s="580"/>
      <c r="Y52" s="580" t="s">
        <v>57</v>
      </c>
      <c r="Z52" s="580"/>
      <c r="AA52" s="286">
        <f t="shared" si="3"/>
        <v>8</v>
      </c>
      <c r="AB52" s="287">
        <f t="shared" si="4"/>
        <v>8</v>
      </c>
      <c r="AC52" s="357"/>
      <c r="AD52" s="357"/>
      <c r="AE52" s="357"/>
      <c r="AF52" s="357"/>
      <c r="AG52" s="357"/>
      <c r="AH52" s="357"/>
      <c r="AI52" s="357"/>
      <c r="AJ52" s="357"/>
      <c r="AK52" s="357"/>
      <c r="AL52" s="357"/>
    </row>
    <row r="53" spans="1:38" ht="40.049999999999997" customHeight="1" x14ac:dyDescent="0.3">
      <c r="A53" s="296" t="s">
        <v>179</v>
      </c>
      <c r="B53" s="297" t="s">
        <v>180</v>
      </c>
      <c r="C53" s="705"/>
      <c r="D53" s="579"/>
      <c r="E53" s="580"/>
      <c r="F53" s="580"/>
      <c r="G53" s="580"/>
      <c r="H53" s="580"/>
      <c r="I53" s="580"/>
      <c r="J53" s="580"/>
      <c r="K53" s="580"/>
      <c r="L53" s="580"/>
      <c r="M53" s="580"/>
      <c r="N53" s="580"/>
      <c r="O53" s="580"/>
      <c r="P53" s="580"/>
      <c r="Q53" s="580"/>
      <c r="R53" s="580"/>
      <c r="S53" s="580"/>
      <c r="T53" s="580"/>
      <c r="U53" s="580"/>
      <c r="V53" s="580"/>
      <c r="W53" s="586"/>
      <c r="X53" s="580"/>
      <c r="Y53" s="586"/>
      <c r="Z53" s="580"/>
      <c r="AA53" s="286">
        <f t="shared" si="3"/>
        <v>0</v>
      </c>
      <c r="AB53" s="287">
        <f t="shared" si="4"/>
        <v>0</v>
      </c>
    </row>
    <row r="54" spans="1:38" ht="40.049999999999997" customHeight="1" x14ac:dyDescent="0.65">
      <c r="A54" s="357" t="s">
        <v>181</v>
      </c>
      <c r="B54" s="890" t="s">
        <v>182</v>
      </c>
      <c r="C54" s="705"/>
      <c r="D54" s="579"/>
      <c r="E54" s="746" t="s">
        <v>8</v>
      </c>
      <c r="F54" s="580"/>
      <c r="G54" s="578" t="s">
        <v>18</v>
      </c>
      <c r="H54" s="580"/>
      <c r="I54" s="578" t="s">
        <v>18</v>
      </c>
      <c r="J54" s="580"/>
      <c r="K54" s="580" t="s">
        <v>18</v>
      </c>
      <c r="L54" s="580"/>
      <c r="M54" s="748" t="s">
        <v>8</v>
      </c>
      <c r="N54" s="580"/>
      <c r="O54" s="748" t="s">
        <v>8</v>
      </c>
      <c r="P54" s="580"/>
      <c r="Q54" s="580"/>
      <c r="R54" s="580"/>
      <c r="S54" s="578"/>
      <c r="T54" s="580"/>
      <c r="U54" s="578"/>
      <c r="V54" s="580"/>
      <c r="W54" s="746" t="s">
        <v>8</v>
      </c>
      <c r="X54" s="580"/>
      <c r="Y54" s="746" t="s">
        <v>8</v>
      </c>
      <c r="Z54" s="580"/>
      <c r="AA54" s="286">
        <f t="shared" si="3"/>
        <v>8</v>
      </c>
      <c r="AB54" s="287">
        <f t="shared" si="4"/>
        <v>8</v>
      </c>
    </row>
    <row r="55" spans="1:38" ht="40.049999999999997" customHeight="1" x14ac:dyDescent="0.65">
      <c r="A55" s="289" t="s">
        <v>183</v>
      </c>
      <c r="B55" s="290" t="s">
        <v>184</v>
      </c>
      <c r="C55" s="708"/>
      <c r="D55" s="582"/>
      <c r="E55" s="583"/>
      <c r="F55" s="583"/>
      <c r="G55" s="583"/>
      <c r="H55" s="583"/>
      <c r="I55" s="583"/>
      <c r="J55" s="583"/>
      <c r="K55" s="583"/>
      <c r="L55" s="583"/>
      <c r="M55" s="583"/>
      <c r="N55" s="583"/>
      <c r="O55" s="583"/>
      <c r="P55" s="583"/>
      <c r="Q55" s="583"/>
      <c r="R55" s="583"/>
      <c r="S55" s="583"/>
      <c r="T55" s="583"/>
      <c r="U55" s="583"/>
      <c r="V55" s="583"/>
      <c r="W55" s="583"/>
      <c r="X55" s="583"/>
      <c r="Y55" s="583"/>
      <c r="Z55" s="583"/>
      <c r="AA55" s="349"/>
      <c r="AB55" s="350"/>
      <c r="AC55" s="357"/>
      <c r="AD55" s="357"/>
      <c r="AE55" s="357"/>
      <c r="AF55" s="357"/>
      <c r="AG55" s="357"/>
      <c r="AH55" s="357"/>
      <c r="AI55" s="357"/>
      <c r="AJ55" s="357"/>
      <c r="AK55" s="357"/>
      <c r="AL55" s="357"/>
    </row>
    <row r="56" spans="1:38" ht="40.049999999999997" customHeight="1" x14ac:dyDescent="0.65">
      <c r="A56" s="281" t="s">
        <v>185</v>
      </c>
      <c r="B56" s="282" t="s">
        <v>186</v>
      </c>
      <c r="C56" s="705"/>
      <c r="D56" s="579"/>
      <c r="E56" s="580" t="s">
        <v>76</v>
      </c>
      <c r="F56" s="580"/>
      <c r="G56" s="580" t="s">
        <v>76</v>
      </c>
      <c r="H56" s="580"/>
      <c r="I56" s="580" t="s">
        <v>84</v>
      </c>
      <c r="J56" s="580"/>
      <c r="K56" s="580" t="s">
        <v>92</v>
      </c>
      <c r="L56" s="580"/>
      <c r="M56" s="580" t="s">
        <v>92</v>
      </c>
      <c r="N56" s="580"/>
      <c r="O56" s="580" t="s">
        <v>92</v>
      </c>
      <c r="P56" s="580"/>
      <c r="Q56" s="580"/>
      <c r="R56" s="580"/>
      <c r="S56" s="580" t="s">
        <v>84</v>
      </c>
      <c r="T56" s="580"/>
      <c r="U56" s="580" t="s">
        <v>84</v>
      </c>
      <c r="V56" s="580"/>
      <c r="W56" s="580" t="s">
        <v>84</v>
      </c>
      <c r="X56" s="580"/>
      <c r="Y56" s="580" t="s">
        <v>84</v>
      </c>
      <c r="Z56" s="580"/>
      <c r="AA56" s="286">
        <f>COUNTIF(C56:Z56,"&gt;=R")</f>
        <v>10</v>
      </c>
      <c r="AB56" s="287">
        <f>AA56</f>
        <v>10</v>
      </c>
      <c r="AC56" s="357"/>
      <c r="AD56" s="357"/>
      <c r="AE56" s="357"/>
      <c r="AF56" s="357"/>
      <c r="AG56" s="357"/>
      <c r="AH56" s="357"/>
      <c r="AI56" s="357"/>
      <c r="AJ56" s="357"/>
      <c r="AK56" s="357"/>
      <c r="AL56" s="357"/>
    </row>
    <row r="57" spans="1:38" ht="40.049999999999997" customHeight="1" x14ac:dyDescent="0.65">
      <c r="A57" s="281" t="s">
        <v>187</v>
      </c>
      <c r="B57" s="282" t="s">
        <v>188</v>
      </c>
      <c r="C57" s="705"/>
      <c r="D57" s="579"/>
      <c r="E57" s="580"/>
      <c r="F57" s="580"/>
      <c r="G57" s="580"/>
      <c r="H57" s="580"/>
      <c r="I57" s="580"/>
      <c r="J57" s="580"/>
      <c r="K57" s="580"/>
      <c r="L57" s="580"/>
      <c r="M57" s="580"/>
      <c r="N57" s="580"/>
      <c r="O57" s="580"/>
      <c r="P57" s="580"/>
      <c r="Q57" s="580"/>
      <c r="R57" s="580"/>
      <c r="S57" s="580"/>
      <c r="T57" s="580"/>
      <c r="U57" s="580"/>
      <c r="V57" s="580"/>
      <c r="W57" s="580"/>
      <c r="X57" s="580"/>
      <c r="Y57" s="580"/>
      <c r="Z57" s="580"/>
      <c r="AA57" s="286">
        <f>COUNTIF(C57:Z57,"&gt;=R")</f>
        <v>0</v>
      </c>
      <c r="AB57" s="287">
        <f>AA57</f>
        <v>0</v>
      </c>
      <c r="AC57" s="357"/>
      <c r="AD57" s="357"/>
      <c r="AE57" s="357"/>
      <c r="AF57" s="357"/>
      <c r="AG57" s="357"/>
      <c r="AH57" s="357"/>
      <c r="AI57" s="357"/>
      <c r="AJ57" s="357"/>
      <c r="AK57" s="357"/>
      <c r="AL57" s="357"/>
    </row>
    <row r="58" spans="1:38" ht="40.049999999999997" customHeight="1" x14ac:dyDescent="0.3">
      <c r="A58" s="281" t="s">
        <v>189</v>
      </c>
      <c r="B58" s="282" t="s">
        <v>190</v>
      </c>
      <c r="C58" s="707"/>
      <c r="D58" s="579"/>
      <c r="E58" s="580" t="s">
        <v>76</v>
      </c>
      <c r="F58" s="580"/>
      <c r="G58" s="580" t="s">
        <v>76</v>
      </c>
      <c r="H58" s="580"/>
      <c r="I58" s="580" t="s">
        <v>67</v>
      </c>
      <c r="J58" s="580"/>
      <c r="K58" s="580" t="s">
        <v>76</v>
      </c>
      <c r="L58" s="580"/>
      <c r="M58" s="580" t="s">
        <v>76</v>
      </c>
      <c r="N58" s="580"/>
      <c r="O58" s="580" t="s">
        <v>84</v>
      </c>
      <c r="P58" s="580"/>
      <c r="Q58" s="580"/>
      <c r="R58" s="580"/>
      <c r="S58" s="580"/>
      <c r="T58" s="580"/>
      <c r="U58" s="580"/>
      <c r="V58" s="580"/>
      <c r="W58" s="580" t="s">
        <v>76</v>
      </c>
      <c r="X58" s="580"/>
      <c r="Y58" s="580" t="s">
        <v>76</v>
      </c>
      <c r="Z58" s="580"/>
      <c r="AA58" s="286">
        <f>COUNTIF(C58:Z58,"&gt;=R")</f>
        <v>8</v>
      </c>
      <c r="AB58" s="287">
        <f>AA58</f>
        <v>8</v>
      </c>
    </row>
    <row r="59" spans="1:38" ht="40.049999999999997" customHeight="1" x14ac:dyDescent="0.65">
      <c r="A59" s="281" t="s">
        <v>191</v>
      </c>
      <c r="B59" s="282" t="s">
        <v>192</v>
      </c>
      <c r="C59" s="707"/>
      <c r="D59" s="579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6" t="s">
        <v>76</v>
      </c>
      <c r="X59" s="580"/>
      <c r="Y59" s="586"/>
      <c r="Z59" s="580"/>
      <c r="AA59" s="286">
        <f>COUNTIF(C59:Z59,"&gt;=R")</f>
        <v>1</v>
      </c>
      <c r="AB59" s="287">
        <f>AA59</f>
        <v>1</v>
      </c>
      <c r="AC59" s="357"/>
      <c r="AD59" s="357"/>
      <c r="AE59" s="357"/>
      <c r="AF59" s="357"/>
      <c r="AG59" s="357"/>
      <c r="AH59" s="357"/>
      <c r="AI59" s="357"/>
      <c r="AJ59" s="357"/>
      <c r="AK59" s="357"/>
      <c r="AL59" s="357"/>
    </row>
    <row r="60" spans="1:38" ht="40.049999999999997" customHeight="1" x14ac:dyDescent="0.65">
      <c r="A60" s="289" t="s">
        <v>193</v>
      </c>
      <c r="B60" s="290" t="s">
        <v>194</v>
      </c>
      <c r="C60" s="708"/>
      <c r="D60" s="582"/>
      <c r="E60" s="583"/>
      <c r="F60" s="583"/>
      <c r="G60" s="583"/>
      <c r="H60" s="583"/>
      <c r="I60" s="583"/>
      <c r="J60" s="583"/>
      <c r="K60" s="583"/>
      <c r="L60" s="583"/>
      <c r="M60" s="583"/>
      <c r="N60" s="583"/>
      <c r="O60" s="583"/>
      <c r="P60" s="583"/>
      <c r="Q60" s="583"/>
      <c r="R60" s="583"/>
      <c r="S60" s="583"/>
      <c r="T60" s="583"/>
      <c r="U60" s="583"/>
      <c r="V60" s="583"/>
      <c r="W60" s="583"/>
      <c r="X60" s="583"/>
      <c r="Y60" s="583"/>
      <c r="Z60" s="583"/>
      <c r="AA60" s="349"/>
      <c r="AB60" s="350"/>
      <c r="AC60" s="357"/>
      <c r="AD60" s="357"/>
      <c r="AE60" s="357"/>
      <c r="AF60" s="357"/>
      <c r="AG60" s="357"/>
      <c r="AH60" s="357"/>
      <c r="AI60" s="357"/>
      <c r="AJ60" s="357"/>
      <c r="AK60" s="357"/>
      <c r="AL60" s="357"/>
    </row>
    <row r="61" spans="1:38" ht="40.049999999999997" customHeight="1" x14ac:dyDescent="0.3">
      <c r="A61" s="296" t="s">
        <v>195</v>
      </c>
      <c r="B61" s="297" t="s">
        <v>196</v>
      </c>
      <c r="C61" s="705"/>
      <c r="D61" s="579"/>
      <c r="E61" s="580"/>
      <c r="F61" s="580"/>
      <c r="G61" s="581"/>
      <c r="H61" s="580"/>
      <c r="I61" s="581"/>
      <c r="J61" s="580"/>
      <c r="K61" s="580"/>
      <c r="L61" s="580"/>
      <c r="M61" s="580"/>
      <c r="N61" s="580"/>
      <c r="O61" s="580"/>
      <c r="P61" s="580"/>
      <c r="Q61" s="580"/>
      <c r="R61" s="580"/>
      <c r="S61" s="580"/>
      <c r="T61" s="580"/>
      <c r="U61" s="580"/>
      <c r="V61" s="580"/>
      <c r="W61" s="586"/>
      <c r="X61" s="580"/>
      <c r="Y61" s="586"/>
      <c r="Z61" s="580"/>
      <c r="AA61" s="286">
        <f>COUNTIF(C61:Z61,"&gt;=R")</f>
        <v>0</v>
      </c>
      <c r="AB61" s="287">
        <f>AA61</f>
        <v>0</v>
      </c>
    </row>
    <row r="62" spans="1:38" ht="40.049999999999997" customHeight="1" x14ac:dyDescent="0.65">
      <c r="A62" s="308" t="s">
        <v>197</v>
      </c>
      <c r="B62" s="309" t="s">
        <v>139</v>
      </c>
      <c r="C62" s="705"/>
      <c r="D62" s="579"/>
      <c r="E62" s="580" t="s">
        <v>67</v>
      </c>
      <c r="F62" s="580"/>
      <c r="G62" s="580" t="s">
        <v>67</v>
      </c>
      <c r="H62" s="580"/>
      <c r="I62" s="580" t="s">
        <v>67</v>
      </c>
      <c r="J62" s="580"/>
      <c r="K62" s="580" t="s">
        <v>67</v>
      </c>
      <c r="L62" s="580"/>
      <c r="M62" s="580" t="s">
        <v>67</v>
      </c>
      <c r="N62" s="580"/>
      <c r="O62" s="580" t="s">
        <v>67</v>
      </c>
      <c r="P62" s="580"/>
      <c r="Q62" s="580"/>
      <c r="R62" s="580"/>
      <c r="S62" s="580" t="s">
        <v>67</v>
      </c>
      <c r="T62" s="580"/>
      <c r="U62" s="580" t="s">
        <v>67</v>
      </c>
      <c r="V62" s="580"/>
      <c r="W62" s="580" t="s">
        <v>67</v>
      </c>
      <c r="X62" s="580"/>
      <c r="Y62" s="580" t="s">
        <v>67</v>
      </c>
      <c r="Z62" s="580"/>
      <c r="AA62" s="286">
        <f>COUNTIF(C62:Z62,"&gt;=R")</f>
        <v>10</v>
      </c>
      <c r="AB62" s="287">
        <f>AA62</f>
        <v>10</v>
      </c>
      <c r="AC62" s="357"/>
      <c r="AD62" s="357"/>
      <c r="AE62" s="357"/>
      <c r="AF62" s="357"/>
      <c r="AG62" s="357"/>
      <c r="AH62" s="357"/>
      <c r="AI62" s="357"/>
      <c r="AJ62" s="357"/>
      <c r="AK62" s="357"/>
      <c r="AL62" s="357"/>
    </row>
    <row r="63" spans="1:38" ht="40.049999999999997" customHeight="1" x14ac:dyDescent="0.65">
      <c r="A63" s="296" t="s">
        <v>198</v>
      </c>
      <c r="B63" s="297" t="s">
        <v>199</v>
      </c>
      <c r="C63" s="705"/>
      <c r="D63" s="579"/>
      <c r="E63" s="580"/>
      <c r="F63" s="580"/>
      <c r="G63" s="580"/>
      <c r="H63" s="580"/>
      <c r="I63" s="580"/>
      <c r="J63" s="580"/>
      <c r="K63" s="580"/>
      <c r="L63" s="580"/>
      <c r="M63" s="580"/>
      <c r="N63" s="580"/>
      <c r="O63" s="580"/>
      <c r="P63" s="580"/>
      <c r="Q63" s="580"/>
      <c r="R63" s="580"/>
      <c r="S63" s="580"/>
      <c r="T63" s="580"/>
      <c r="U63" s="580"/>
      <c r="V63" s="580"/>
      <c r="W63" s="580"/>
      <c r="X63" s="580"/>
      <c r="Y63" s="580"/>
      <c r="Z63" s="580"/>
      <c r="AA63" s="286"/>
      <c r="AB63" s="287"/>
      <c r="AC63" s="357"/>
      <c r="AD63" s="357"/>
      <c r="AE63" s="357"/>
      <c r="AF63" s="357"/>
      <c r="AG63" s="357"/>
      <c r="AH63" s="357"/>
      <c r="AI63" s="357"/>
      <c r="AJ63" s="357"/>
      <c r="AK63" s="357"/>
      <c r="AL63" s="357"/>
    </row>
    <row r="64" spans="1:38" ht="40.049999999999997" customHeight="1" x14ac:dyDescent="0.3">
      <c r="A64" s="308" t="s">
        <v>200</v>
      </c>
      <c r="B64" s="309" t="s">
        <v>176</v>
      </c>
      <c r="C64" s="705"/>
      <c r="D64" s="579"/>
      <c r="E64" s="578"/>
      <c r="F64" s="580"/>
      <c r="G64" s="581"/>
      <c r="H64" s="580"/>
      <c r="I64" s="580"/>
      <c r="J64" s="580"/>
      <c r="K64" s="580"/>
      <c r="L64" s="580"/>
      <c r="M64" s="580"/>
      <c r="N64" s="580"/>
      <c r="O64" s="580"/>
      <c r="P64" s="580"/>
      <c r="Q64" s="580"/>
      <c r="R64" s="580"/>
      <c r="S64" s="580"/>
      <c r="T64" s="580"/>
      <c r="U64" s="581"/>
      <c r="V64" s="580"/>
      <c r="W64" s="581"/>
      <c r="X64" s="580"/>
      <c r="Y64" s="581"/>
      <c r="Z64" s="580"/>
      <c r="AA64" s="286">
        <f>COUNTIF(C64:Z64,"&gt;=R")</f>
        <v>0</v>
      </c>
      <c r="AB64" s="287">
        <f>AA64</f>
        <v>0</v>
      </c>
    </row>
    <row r="65" spans="1:38" ht="40.049999999999997" customHeight="1" x14ac:dyDescent="0.3">
      <c r="A65" s="296" t="s">
        <v>201</v>
      </c>
      <c r="B65" s="297" t="s">
        <v>202</v>
      </c>
      <c r="C65" s="705"/>
      <c r="D65" s="579"/>
      <c r="E65" s="580"/>
      <c r="F65" s="580"/>
      <c r="G65" s="581"/>
      <c r="H65" s="580"/>
      <c r="I65" s="581"/>
      <c r="J65" s="580"/>
      <c r="K65" s="580"/>
      <c r="L65" s="580"/>
      <c r="M65" s="580"/>
      <c r="N65" s="580"/>
      <c r="O65" s="580"/>
      <c r="P65" s="580"/>
      <c r="Q65" s="580"/>
      <c r="R65" s="580"/>
      <c r="S65" s="580"/>
      <c r="T65" s="580"/>
      <c r="U65" s="580"/>
      <c r="V65" s="580"/>
      <c r="W65" s="580"/>
      <c r="X65" s="580"/>
      <c r="Y65" s="580"/>
      <c r="Z65" s="580"/>
      <c r="AA65" s="286"/>
      <c r="AB65" s="287"/>
    </row>
    <row r="66" spans="1:38" ht="40.049999999999997" customHeight="1" x14ac:dyDescent="0.3">
      <c r="A66" s="308" t="s">
        <v>203</v>
      </c>
      <c r="B66" s="309" t="s">
        <v>204</v>
      </c>
      <c r="C66" s="705"/>
      <c r="D66" s="579"/>
      <c r="E66" s="580" t="s">
        <v>84</v>
      </c>
      <c r="F66" s="580"/>
      <c r="G66" s="580"/>
      <c r="H66" s="580"/>
      <c r="I66" s="580"/>
      <c r="J66" s="580"/>
      <c r="K66" s="580"/>
      <c r="L66" s="580"/>
      <c r="M66" s="580"/>
      <c r="N66" s="580"/>
      <c r="O66" s="580"/>
      <c r="P66" s="580"/>
      <c r="Q66" s="586"/>
      <c r="R66" s="580"/>
      <c r="S66" s="586"/>
      <c r="T66" s="580"/>
      <c r="U66" s="586"/>
      <c r="V66" s="580"/>
      <c r="W66" s="586"/>
      <c r="X66" s="580"/>
      <c r="Y66" s="586"/>
      <c r="Z66" s="580"/>
      <c r="AA66" s="286">
        <f>COUNTIF(C66:Z66,"&gt;=R")</f>
        <v>1</v>
      </c>
      <c r="AB66" s="287">
        <f>AA66</f>
        <v>1</v>
      </c>
    </row>
    <row r="67" spans="1:38" ht="40.049999999999997" customHeight="1" x14ac:dyDescent="0.65">
      <c r="A67" s="289" t="s">
        <v>205</v>
      </c>
      <c r="B67" s="290" t="s">
        <v>206</v>
      </c>
      <c r="C67" s="708"/>
      <c r="D67" s="582"/>
      <c r="E67" s="583"/>
      <c r="F67" s="583"/>
      <c r="G67" s="583"/>
      <c r="H67" s="583"/>
      <c r="I67" s="583"/>
      <c r="J67" s="583"/>
      <c r="K67" s="583"/>
      <c r="L67" s="583"/>
      <c r="M67" s="583"/>
      <c r="N67" s="583"/>
      <c r="O67" s="583"/>
      <c r="P67" s="583"/>
      <c r="Q67" s="583"/>
      <c r="R67" s="583"/>
      <c r="S67" s="583"/>
      <c r="T67" s="583"/>
      <c r="U67" s="583"/>
      <c r="V67" s="583"/>
      <c r="W67" s="583"/>
      <c r="X67" s="583"/>
      <c r="Y67" s="583"/>
      <c r="Z67" s="583"/>
      <c r="AA67" s="349"/>
      <c r="AB67" s="350"/>
      <c r="AC67" s="357"/>
      <c r="AD67" s="357"/>
      <c r="AE67" s="357"/>
      <c r="AF67" s="357"/>
      <c r="AG67" s="357"/>
      <c r="AH67" s="357"/>
      <c r="AI67" s="357"/>
      <c r="AJ67" s="357"/>
      <c r="AK67" s="357"/>
      <c r="AL67" s="357"/>
    </row>
    <row r="68" spans="1:38" ht="40.049999999999997" customHeight="1" x14ac:dyDescent="0.3">
      <c r="A68" s="281" t="s">
        <v>207</v>
      </c>
      <c r="B68" s="282" t="s">
        <v>208</v>
      </c>
      <c r="C68" s="707"/>
      <c r="D68" s="579"/>
      <c r="E68" s="580" t="s">
        <v>76</v>
      </c>
      <c r="F68" s="580"/>
      <c r="G68" s="580" t="s">
        <v>76</v>
      </c>
      <c r="H68" s="580"/>
      <c r="I68" s="580" t="s">
        <v>67</v>
      </c>
      <c r="J68" s="580"/>
      <c r="K68" s="580" t="s">
        <v>76</v>
      </c>
      <c r="L68" s="580"/>
      <c r="M68" s="580" t="s">
        <v>76</v>
      </c>
      <c r="N68" s="580"/>
      <c r="O68" s="580" t="s">
        <v>84</v>
      </c>
      <c r="P68" s="580"/>
      <c r="Q68" s="580"/>
      <c r="R68" s="580"/>
      <c r="S68" s="580"/>
      <c r="T68" s="580"/>
      <c r="U68" s="580"/>
      <c r="V68" s="580"/>
      <c r="W68" s="580" t="s">
        <v>76</v>
      </c>
      <c r="X68" s="580"/>
      <c r="Y68" s="580" t="s">
        <v>76</v>
      </c>
      <c r="Z68" s="580"/>
      <c r="AA68" s="286">
        <f>COUNTIF(C68:Z68,"&gt;=R")</f>
        <v>8</v>
      </c>
      <c r="AB68" s="287">
        <f>AA68</f>
        <v>8</v>
      </c>
    </row>
    <row r="69" spans="1:38" ht="40.049999999999997" customHeight="1" x14ac:dyDescent="0.3">
      <c r="A69" s="289" t="s">
        <v>209</v>
      </c>
      <c r="B69" s="290" t="s">
        <v>210</v>
      </c>
      <c r="C69" s="708"/>
      <c r="D69" s="582"/>
      <c r="E69" s="583"/>
      <c r="F69" s="583"/>
      <c r="G69" s="583"/>
      <c r="H69" s="583"/>
      <c r="I69" s="583"/>
      <c r="J69" s="583"/>
      <c r="K69" s="583"/>
      <c r="L69" s="583"/>
      <c r="M69" s="583"/>
      <c r="N69" s="583"/>
      <c r="O69" s="583"/>
      <c r="P69" s="583"/>
      <c r="Q69" s="583"/>
      <c r="R69" s="583"/>
      <c r="S69" s="583"/>
      <c r="T69" s="583"/>
      <c r="U69" s="583"/>
      <c r="V69" s="583"/>
      <c r="W69" s="583"/>
      <c r="X69" s="583"/>
      <c r="Y69" s="583"/>
      <c r="Z69" s="583"/>
      <c r="AA69" s="583"/>
      <c r="AB69" s="350"/>
    </row>
    <row r="70" spans="1:38" ht="40.049999999999997" customHeight="1" x14ac:dyDescent="0.3">
      <c r="A70" s="281" t="s">
        <v>211</v>
      </c>
      <c r="B70" s="282" t="s">
        <v>212</v>
      </c>
      <c r="C70" s="705"/>
      <c r="D70" s="579"/>
      <c r="E70" s="580" t="s">
        <v>68</v>
      </c>
      <c r="F70" s="580"/>
      <c r="G70" s="580" t="s">
        <v>57</v>
      </c>
      <c r="H70" s="580"/>
      <c r="I70" s="580" t="s">
        <v>57</v>
      </c>
      <c r="J70" s="580"/>
      <c r="K70" s="580" t="s">
        <v>48</v>
      </c>
      <c r="L70" s="580"/>
      <c r="M70" s="580" t="s">
        <v>48</v>
      </c>
      <c r="N70" s="580"/>
      <c r="O70" s="580" t="s">
        <v>48</v>
      </c>
      <c r="P70" s="580"/>
      <c r="Q70" s="580"/>
      <c r="R70" s="580"/>
      <c r="S70" s="580"/>
      <c r="T70" s="580"/>
      <c r="U70" s="580"/>
      <c r="V70" s="580"/>
      <c r="W70" s="580" t="s">
        <v>68</v>
      </c>
      <c r="X70" s="580"/>
      <c r="Y70" s="580" t="s">
        <v>68</v>
      </c>
      <c r="Z70" s="580"/>
      <c r="AA70" s="286">
        <f>COUNTIF(C70:Z70,"&gt;=R")</f>
        <v>8</v>
      </c>
      <c r="AB70" s="287">
        <f>AA70</f>
        <v>8</v>
      </c>
    </row>
    <row r="71" spans="1:38" ht="40.049999999999997" customHeight="1" x14ac:dyDescent="0.3">
      <c r="A71" s="281" t="s">
        <v>213</v>
      </c>
      <c r="B71" s="282" t="s">
        <v>214</v>
      </c>
      <c r="C71" s="705"/>
      <c r="D71" s="579"/>
      <c r="E71" s="584" t="s">
        <v>85</v>
      </c>
      <c r="F71" s="580"/>
      <c r="G71" s="580" t="s">
        <v>85</v>
      </c>
      <c r="H71" s="580"/>
      <c r="I71" s="580" t="s">
        <v>77</v>
      </c>
      <c r="J71" s="580"/>
      <c r="K71" s="580" t="s">
        <v>77</v>
      </c>
      <c r="L71" s="580"/>
      <c r="M71" s="581" t="s">
        <v>77</v>
      </c>
      <c r="N71" s="580"/>
      <c r="O71" s="580" t="s">
        <v>93</v>
      </c>
      <c r="P71" s="580"/>
      <c r="Q71" s="580"/>
      <c r="R71" s="580"/>
      <c r="S71" s="580"/>
      <c r="T71" s="580"/>
      <c r="U71" s="580"/>
      <c r="V71" s="580"/>
      <c r="W71" s="580" t="s">
        <v>85</v>
      </c>
      <c r="X71" s="580"/>
      <c r="Y71" s="580" t="s">
        <v>85</v>
      </c>
      <c r="Z71" s="580"/>
      <c r="AA71" s="286">
        <f>COUNTIF(C71:Z71,"&gt;=R")</f>
        <v>8</v>
      </c>
      <c r="AB71" s="287">
        <f>AA71</f>
        <v>8</v>
      </c>
    </row>
    <row r="72" spans="1:38" ht="40.049999999999997" customHeight="1" x14ac:dyDescent="0.65">
      <c r="A72" s="289" t="s">
        <v>215</v>
      </c>
      <c r="B72" s="290" t="s">
        <v>216</v>
      </c>
      <c r="C72" s="708"/>
      <c r="D72" s="582"/>
      <c r="E72" s="583"/>
      <c r="F72" s="583"/>
      <c r="G72" s="583"/>
      <c r="H72" s="583"/>
      <c r="I72" s="583"/>
      <c r="J72" s="583"/>
      <c r="K72" s="583"/>
      <c r="L72" s="583"/>
      <c r="M72" s="583"/>
      <c r="N72" s="583"/>
      <c r="O72" s="583"/>
      <c r="P72" s="583"/>
      <c r="Q72" s="583"/>
      <c r="R72" s="583"/>
      <c r="S72" s="583"/>
      <c r="T72" s="583"/>
      <c r="U72" s="583"/>
      <c r="V72" s="583"/>
      <c r="W72" s="583"/>
      <c r="X72" s="583"/>
      <c r="Y72" s="583"/>
      <c r="Z72" s="583"/>
      <c r="AA72" s="583"/>
      <c r="AB72" s="350"/>
      <c r="AC72" s="357"/>
      <c r="AD72" s="357"/>
      <c r="AE72" s="357"/>
      <c r="AF72" s="357"/>
      <c r="AG72" s="357"/>
      <c r="AH72" s="357"/>
      <c r="AI72" s="357"/>
      <c r="AJ72" s="357"/>
      <c r="AK72" s="357"/>
      <c r="AL72" s="357"/>
    </row>
    <row r="73" spans="1:38" ht="40.049999999999997" customHeight="1" x14ac:dyDescent="0.55000000000000004">
      <c r="A73" s="281" t="s">
        <v>217</v>
      </c>
      <c r="B73" s="282" t="s">
        <v>218</v>
      </c>
      <c r="C73" s="705"/>
      <c r="D73" s="579"/>
      <c r="E73" s="578" t="s">
        <v>77</v>
      </c>
      <c r="F73" s="580"/>
      <c r="G73" s="578" t="s">
        <v>77</v>
      </c>
      <c r="H73" s="580"/>
      <c r="I73" s="578" t="s">
        <v>68</v>
      </c>
      <c r="J73" s="580"/>
      <c r="K73" s="580" t="s">
        <v>77</v>
      </c>
      <c r="L73" s="580"/>
      <c r="M73" s="501" t="s">
        <v>68</v>
      </c>
      <c r="N73" s="580"/>
      <c r="O73" s="580" t="s">
        <v>68</v>
      </c>
      <c r="P73" s="580"/>
      <c r="Q73" s="580"/>
      <c r="R73" s="580"/>
      <c r="S73" s="580"/>
      <c r="T73" s="581"/>
      <c r="U73" s="580"/>
      <c r="V73" s="581"/>
      <c r="W73" s="580" t="s">
        <v>77</v>
      </c>
      <c r="X73" s="581"/>
      <c r="Y73" s="586" t="s">
        <v>77</v>
      </c>
      <c r="Z73" s="580"/>
      <c r="AA73" s="286">
        <f>COUNTIF(C73:Z73,"&gt;=R")</f>
        <v>8</v>
      </c>
      <c r="AB73" s="287">
        <f>AA73</f>
        <v>8</v>
      </c>
    </row>
    <row r="74" spans="1:38" ht="40.049999999999997" customHeight="1" x14ac:dyDescent="0.65">
      <c r="A74" s="289" t="s">
        <v>219</v>
      </c>
      <c r="B74" s="290" t="s">
        <v>220</v>
      </c>
      <c r="C74" s="708"/>
      <c r="D74" s="582"/>
      <c r="E74" s="583"/>
      <c r="F74" s="583"/>
      <c r="G74" s="583"/>
      <c r="H74" s="583"/>
      <c r="I74" s="583"/>
      <c r="J74" s="583"/>
      <c r="K74" s="583"/>
      <c r="L74" s="583"/>
      <c r="M74" s="583"/>
      <c r="N74" s="583"/>
      <c r="O74" s="583"/>
      <c r="P74" s="583"/>
      <c r="Q74" s="583"/>
      <c r="R74" s="583"/>
      <c r="S74" s="583"/>
      <c r="T74" s="583"/>
      <c r="U74" s="583"/>
      <c r="V74" s="583"/>
      <c r="W74" s="583"/>
      <c r="X74" s="583"/>
      <c r="Y74" s="583"/>
      <c r="Z74" s="583"/>
      <c r="AA74" s="583"/>
      <c r="AB74" s="350"/>
      <c r="AC74" s="357"/>
      <c r="AD74" s="357"/>
      <c r="AE74" s="357"/>
      <c r="AF74" s="357"/>
      <c r="AG74" s="357"/>
      <c r="AH74" s="357"/>
      <c r="AI74" s="357"/>
      <c r="AJ74" s="357"/>
      <c r="AK74" s="357"/>
      <c r="AL74" s="357"/>
    </row>
    <row r="75" spans="1:38" ht="40.049999999999997" customHeight="1" x14ac:dyDescent="0.3">
      <c r="A75" s="281" t="s">
        <v>221</v>
      </c>
      <c r="B75" s="282" t="s">
        <v>222</v>
      </c>
      <c r="C75" s="707" t="s">
        <v>57</v>
      </c>
      <c r="D75" s="579"/>
      <c r="E75" s="580" t="s">
        <v>410</v>
      </c>
      <c r="F75" s="580"/>
      <c r="G75" s="580" t="s">
        <v>410</v>
      </c>
      <c r="H75" s="580"/>
      <c r="I75" s="580" t="s">
        <v>410</v>
      </c>
      <c r="J75" s="580"/>
      <c r="K75" s="580" t="s">
        <v>410</v>
      </c>
      <c r="L75" s="580"/>
      <c r="M75" s="580" t="s">
        <v>410</v>
      </c>
      <c r="N75" s="580"/>
      <c r="O75" s="580" t="s">
        <v>410</v>
      </c>
      <c r="P75" s="580"/>
      <c r="Q75" s="580" t="s">
        <v>57</v>
      </c>
      <c r="R75" s="580"/>
      <c r="S75" s="580" t="s">
        <v>410</v>
      </c>
      <c r="T75" s="580"/>
      <c r="U75" s="580" t="s">
        <v>410</v>
      </c>
      <c r="V75" s="580"/>
      <c r="W75" s="580" t="s">
        <v>410</v>
      </c>
      <c r="X75" s="580"/>
      <c r="Y75" s="580" t="s">
        <v>410</v>
      </c>
      <c r="Z75" s="580"/>
      <c r="AA75" s="286">
        <f>COUNTIF(C75:Z75,"&gt;=R")</f>
        <v>12</v>
      </c>
      <c r="AB75" s="287">
        <f>AA75</f>
        <v>12</v>
      </c>
    </row>
    <row r="76" spans="1:38" ht="40.049999999999997" customHeight="1" x14ac:dyDescent="0.3">
      <c r="A76" s="300" t="s">
        <v>223</v>
      </c>
      <c r="B76" s="301" t="s">
        <v>224</v>
      </c>
      <c r="C76" s="705"/>
      <c r="D76" s="579"/>
      <c r="E76" s="580"/>
      <c r="F76" s="580"/>
      <c r="G76" s="580"/>
      <c r="H76" s="580"/>
      <c r="I76" s="580"/>
      <c r="J76" s="580"/>
      <c r="K76" s="580"/>
      <c r="L76" s="580"/>
      <c r="M76" s="580"/>
      <c r="N76" s="580"/>
      <c r="O76" s="580"/>
      <c r="P76" s="580"/>
      <c r="Q76" s="580"/>
      <c r="R76" s="580"/>
      <c r="S76" s="580"/>
      <c r="T76" s="580"/>
      <c r="U76" s="580"/>
      <c r="V76" s="580"/>
      <c r="W76" s="580"/>
      <c r="X76" s="580"/>
      <c r="Y76" s="580"/>
      <c r="Z76" s="580"/>
      <c r="AA76" s="286"/>
      <c r="AB76" s="287"/>
    </row>
    <row r="77" spans="1:38" ht="40.049999999999997" customHeight="1" x14ac:dyDescent="0.3">
      <c r="A77" s="281" t="s">
        <v>225</v>
      </c>
      <c r="B77" s="282" t="s">
        <v>226</v>
      </c>
      <c r="C77" s="705" t="s">
        <v>57</v>
      </c>
      <c r="D77" s="579"/>
      <c r="E77" s="732" t="s">
        <v>410</v>
      </c>
      <c r="F77" s="580"/>
      <c r="G77" s="732" t="s">
        <v>410</v>
      </c>
      <c r="H77" s="580"/>
      <c r="I77" s="580" t="s">
        <v>410</v>
      </c>
      <c r="J77" s="580"/>
      <c r="K77" s="580" t="s">
        <v>410</v>
      </c>
      <c r="L77" s="580"/>
      <c r="M77" s="580" t="s">
        <v>410</v>
      </c>
      <c r="N77" s="580"/>
      <c r="O77" s="580" t="s">
        <v>410</v>
      </c>
      <c r="P77" s="580"/>
      <c r="Q77" s="580" t="s">
        <v>57</v>
      </c>
      <c r="R77" s="580"/>
      <c r="S77" s="580" t="s">
        <v>410</v>
      </c>
      <c r="T77" s="580"/>
      <c r="U77" s="580" t="s">
        <v>410</v>
      </c>
      <c r="V77" s="580"/>
      <c r="W77" s="580" t="s">
        <v>410</v>
      </c>
      <c r="X77" s="580"/>
      <c r="Y77" s="580" t="s">
        <v>410</v>
      </c>
      <c r="Z77" s="580"/>
      <c r="AA77" s="286">
        <f>COUNTIF(C77:Z77,"&gt;=R")</f>
        <v>12</v>
      </c>
      <c r="AB77" s="287">
        <f>AA77</f>
        <v>12</v>
      </c>
    </row>
    <row r="78" spans="1:38" ht="40.049999999999997" customHeight="1" x14ac:dyDescent="0.65">
      <c r="A78" s="281" t="s">
        <v>227</v>
      </c>
      <c r="B78" s="282" t="s">
        <v>228</v>
      </c>
      <c r="C78" s="705"/>
      <c r="D78" s="579"/>
      <c r="E78" s="579"/>
      <c r="F78" s="579"/>
      <c r="G78" s="579"/>
      <c r="H78" s="579"/>
      <c r="I78" s="579"/>
      <c r="J78" s="579"/>
      <c r="K78" s="579"/>
      <c r="L78" s="579"/>
      <c r="M78" s="579"/>
      <c r="N78" s="579"/>
      <c r="O78" s="579"/>
      <c r="P78" s="579"/>
      <c r="Q78" s="579"/>
      <c r="R78" s="579"/>
      <c r="S78" s="579"/>
      <c r="T78" s="579"/>
      <c r="U78" s="579"/>
      <c r="V78" s="579"/>
      <c r="W78" s="579"/>
      <c r="X78" s="579"/>
      <c r="Y78" s="579"/>
      <c r="Z78" s="580"/>
      <c r="AA78" s="286">
        <f>COUNTIF(C78:Z78,"&gt;=R")</f>
        <v>0</v>
      </c>
      <c r="AB78" s="287">
        <f>AA78</f>
        <v>0</v>
      </c>
      <c r="AC78" s="357"/>
      <c r="AD78" s="357"/>
      <c r="AE78" s="357"/>
      <c r="AF78" s="357"/>
      <c r="AG78" s="357"/>
      <c r="AH78" s="357"/>
      <c r="AI78" s="357"/>
      <c r="AJ78" s="357"/>
      <c r="AK78" s="357"/>
      <c r="AL78" s="357"/>
    </row>
    <row r="79" spans="1:38" ht="40.049999999999997" customHeight="1" x14ac:dyDescent="0.3">
      <c r="A79" s="281" t="s">
        <v>229</v>
      </c>
      <c r="B79" s="282" t="s">
        <v>230</v>
      </c>
      <c r="C79" s="705"/>
      <c r="D79" s="579"/>
      <c r="E79" s="579"/>
      <c r="F79" s="579"/>
      <c r="G79" s="579"/>
      <c r="H79" s="579"/>
      <c r="I79" s="579"/>
      <c r="J79" s="579"/>
      <c r="K79" s="579"/>
      <c r="L79" s="579"/>
      <c r="M79" s="579"/>
      <c r="N79" s="579"/>
      <c r="O79" s="579"/>
      <c r="P79" s="579"/>
      <c r="Q79" s="579"/>
      <c r="R79" s="579"/>
      <c r="S79" s="579"/>
      <c r="T79" s="579"/>
      <c r="U79" s="579"/>
      <c r="V79" s="579"/>
      <c r="W79" s="579"/>
      <c r="X79" s="579"/>
      <c r="Y79" s="579"/>
      <c r="Z79" s="580"/>
      <c r="AA79" s="286">
        <f>COUNTIF(C79:Z79,"&gt;=R")</f>
        <v>0</v>
      </c>
      <c r="AB79" s="287">
        <f>AA79</f>
        <v>0</v>
      </c>
    </row>
    <row r="80" spans="1:38" ht="40.049999999999997" customHeight="1" x14ac:dyDescent="0.65">
      <c r="A80" s="281" t="s">
        <v>231</v>
      </c>
      <c r="B80" s="282" t="s">
        <v>232</v>
      </c>
      <c r="C80" s="705" t="s">
        <v>57</v>
      </c>
      <c r="D80" s="578"/>
      <c r="E80" s="732" t="s">
        <v>410</v>
      </c>
      <c r="F80" s="580"/>
      <c r="G80" s="732" t="s">
        <v>410</v>
      </c>
      <c r="H80" s="580"/>
      <c r="I80" s="580" t="s">
        <v>410</v>
      </c>
      <c r="J80" s="580"/>
      <c r="K80" s="580" t="s">
        <v>410</v>
      </c>
      <c r="L80" s="580"/>
      <c r="M80" s="580" t="s">
        <v>410</v>
      </c>
      <c r="N80" s="580"/>
      <c r="O80" s="580" t="s">
        <v>410</v>
      </c>
      <c r="P80" s="580"/>
      <c r="Q80" s="580" t="s">
        <v>57</v>
      </c>
      <c r="R80" s="580"/>
      <c r="S80" s="580" t="s">
        <v>410</v>
      </c>
      <c r="T80" s="580"/>
      <c r="U80" s="580" t="s">
        <v>410</v>
      </c>
      <c r="V80" s="580"/>
      <c r="W80" s="580" t="s">
        <v>410</v>
      </c>
      <c r="X80" s="580"/>
      <c r="Y80" s="580" t="s">
        <v>410</v>
      </c>
      <c r="Z80" s="580"/>
      <c r="AA80" s="286">
        <f>COUNTIF(C80:Z80,"&gt;=R")</f>
        <v>12</v>
      </c>
      <c r="AB80" s="287">
        <f>AA80</f>
        <v>12</v>
      </c>
      <c r="AC80" s="357"/>
      <c r="AD80" s="357"/>
      <c r="AE80" s="357"/>
      <c r="AF80" s="357"/>
      <c r="AG80" s="357"/>
      <c r="AH80" s="357"/>
      <c r="AI80" s="357"/>
      <c r="AJ80" s="357"/>
      <c r="AK80" s="357"/>
      <c r="AL80" s="357"/>
    </row>
    <row r="81" spans="1:38" ht="40.049999999999997" customHeight="1" x14ac:dyDescent="0.65">
      <c r="A81" s="357" t="s">
        <v>233</v>
      </c>
      <c r="B81" s="890" t="s">
        <v>234</v>
      </c>
      <c r="C81" s="705" t="s">
        <v>57</v>
      </c>
      <c r="D81" s="579"/>
      <c r="E81" s="732" t="s">
        <v>410</v>
      </c>
      <c r="F81" s="580"/>
      <c r="G81" s="732" t="s">
        <v>410</v>
      </c>
      <c r="H81" s="580"/>
      <c r="I81" s="580" t="s">
        <v>410</v>
      </c>
      <c r="J81" s="580"/>
      <c r="K81" s="580" t="s">
        <v>410</v>
      </c>
      <c r="L81" s="580"/>
      <c r="M81" s="580" t="s">
        <v>410</v>
      </c>
      <c r="N81" s="580"/>
      <c r="O81" s="580" t="s">
        <v>410</v>
      </c>
      <c r="P81" s="580"/>
      <c r="Q81" s="580" t="s">
        <v>57</v>
      </c>
      <c r="R81" s="580"/>
      <c r="S81" s="580" t="s">
        <v>410</v>
      </c>
      <c r="T81" s="580"/>
      <c r="U81" s="580" t="s">
        <v>410</v>
      </c>
      <c r="V81" s="580"/>
      <c r="W81" s="580" t="s">
        <v>410</v>
      </c>
      <c r="X81" s="580"/>
      <c r="Y81" s="580" t="s">
        <v>410</v>
      </c>
      <c r="Z81" s="580"/>
      <c r="AA81" s="286">
        <f>COUNTIF(C81:Z81,"&gt;=R")</f>
        <v>12</v>
      </c>
      <c r="AB81" s="287">
        <f>AA81</f>
        <v>12</v>
      </c>
    </row>
    <row r="82" spans="1:38" ht="40.049999999999997" customHeight="1" x14ac:dyDescent="0.3">
      <c r="A82" s="289" t="s">
        <v>235</v>
      </c>
      <c r="B82" s="290" t="s">
        <v>236</v>
      </c>
      <c r="C82" s="708"/>
      <c r="D82" s="582"/>
      <c r="E82" s="583"/>
      <c r="F82" s="583"/>
      <c r="G82" s="583"/>
      <c r="H82" s="583"/>
      <c r="I82" s="583"/>
      <c r="J82" s="583"/>
      <c r="K82" s="583"/>
      <c r="L82" s="583"/>
      <c r="M82" s="583"/>
      <c r="N82" s="583"/>
      <c r="O82" s="583"/>
      <c r="P82" s="583"/>
      <c r="Q82" s="583"/>
      <c r="R82" s="583"/>
      <c r="S82" s="583"/>
      <c r="T82" s="583"/>
      <c r="U82" s="583"/>
      <c r="V82" s="583"/>
      <c r="W82" s="583"/>
      <c r="X82" s="583"/>
      <c r="Y82" s="583"/>
      <c r="Z82" s="583"/>
      <c r="AA82" s="583"/>
      <c r="AB82" s="350"/>
    </row>
    <row r="83" spans="1:38" ht="40.049999999999997" customHeight="1" x14ac:dyDescent="0.3">
      <c r="A83" s="296" t="s">
        <v>237</v>
      </c>
      <c r="B83" s="297" t="s">
        <v>238</v>
      </c>
      <c r="C83" s="705"/>
      <c r="D83" s="578"/>
      <c r="E83" s="584"/>
      <c r="F83" s="580"/>
      <c r="G83" s="580"/>
      <c r="H83" s="580"/>
      <c r="I83" s="580"/>
      <c r="J83" s="580"/>
      <c r="K83" s="580"/>
      <c r="L83" s="580"/>
      <c r="M83" s="580"/>
      <c r="N83" s="580"/>
      <c r="O83" s="580"/>
      <c r="P83" s="580"/>
      <c r="Q83" s="580"/>
      <c r="R83" s="580"/>
      <c r="S83" s="580"/>
      <c r="T83" s="580"/>
      <c r="U83" s="580"/>
      <c r="V83" s="580"/>
      <c r="W83" s="580"/>
      <c r="X83" s="580"/>
      <c r="Y83" s="580"/>
      <c r="Z83" s="580"/>
      <c r="AA83" s="286"/>
      <c r="AB83" s="287"/>
    </row>
    <row r="84" spans="1:38" ht="40.049999999999997" customHeight="1" x14ac:dyDescent="0.65">
      <c r="A84" s="281" t="s">
        <v>239</v>
      </c>
      <c r="B84" s="282" t="s">
        <v>139</v>
      </c>
      <c r="C84" s="707"/>
      <c r="D84" s="578"/>
      <c r="E84" s="580"/>
      <c r="F84" s="580"/>
      <c r="G84" s="580"/>
      <c r="H84" s="580"/>
      <c r="I84" s="580" t="s">
        <v>77</v>
      </c>
      <c r="J84" s="580"/>
      <c r="K84" s="580" t="s">
        <v>77</v>
      </c>
      <c r="L84" s="580"/>
      <c r="M84" s="580" t="s">
        <v>77</v>
      </c>
      <c r="N84" s="580"/>
      <c r="O84" s="580"/>
      <c r="P84" s="580"/>
      <c r="Q84" s="580"/>
      <c r="R84" s="580"/>
      <c r="S84" s="580"/>
      <c r="T84" s="580"/>
      <c r="U84" s="580"/>
      <c r="V84" s="580"/>
      <c r="W84" s="580"/>
      <c r="X84" s="580"/>
      <c r="Y84" s="578"/>
      <c r="Z84" s="580"/>
      <c r="AA84" s="286">
        <f>COUNTIF(C84:Z84,"&gt;=R")</f>
        <v>3</v>
      </c>
      <c r="AB84" s="287">
        <f>AA84</f>
        <v>3</v>
      </c>
      <c r="AC84" s="357"/>
      <c r="AD84" s="357"/>
      <c r="AE84" s="357"/>
      <c r="AF84" s="357"/>
      <c r="AG84" s="357"/>
      <c r="AH84" s="357"/>
      <c r="AI84" s="357"/>
      <c r="AJ84" s="357"/>
      <c r="AK84" s="357"/>
      <c r="AL84" s="357"/>
    </row>
    <row r="85" spans="1:38" ht="40.049999999999997" customHeight="1" x14ac:dyDescent="0.3">
      <c r="A85" s="296" t="s">
        <v>240</v>
      </c>
      <c r="B85" s="297" t="s">
        <v>241</v>
      </c>
      <c r="C85" s="705"/>
      <c r="D85" s="578"/>
      <c r="E85" s="580"/>
      <c r="F85" s="580"/>
      <c r="G85" s="580"/>
      <c r="H85" s="580"/>
      <c r="I85" s="580"/>
      <c r="J85" s="580"/>
      <c r="K85" s="580"/>
      <c r="L85" s="580"/>
      <c r="M85" s="580"/>
      <c r="N85" s="580"/>
      <c r="O85" s="580"/>
      <c r="P85" s="580"/>
      <c r="Q85" s="580"/>
      <c r="R85" s="580"/>
      <c r="S85" s="580"/>
      <c r="T85" s="580"/>
      <c r="U85" s="580"/>
      <c r="V85" s="580"/>
      <c r="W85" s="580"/>
      <c r="X85" s="580"/>
      <c r="Y85" s="580"/>
      <c r="Z85" s="580"/>
      <c r="AA85" s="286"/>
      <c r="AB85" s="287"/>
    </row>
    <row r="86" spans="1:38" ht="40.049999999999997" customHeight="1" x14ac:dyDescent="0.3">
      <c r="A86" s="308" t="s">
        <v>242</v>
      </c>
      <c r="B86" s="309" t="s">
        <v>243</v>
      </c>
      <c r="C86" s="707"/>
      <c r="D86" s="578"/>
      <c r="E86" s="580"/>
      <c r="F86" s="580"/>
      <c r="G86" s="580"/>
      <c r="H86" s="580"/>
      <c r="I86" s="580" t="s">
        <v>77</v>
      </c>
      <c r="J86" s="580"/>
      <c r="K86" s="580" t="s">
        <v>77</v>
      </c>
      <c r="L86" s="580"/>
      <c r="M86" s="580" t="s">
        <v>77</v>
      </c>
      <c r="N86" s="580"/>
      <c r="O86" s="580"/>
      <c r="P86" s="580"/>
      <c r="Q86" s="580"/>
      <c r="R86" s="580"/>
      <c r="S86" s="580"/>
      <c r="T86" s="580"/>
      <c r="U86" s="580"/>
      <c r="V86" s="580"/>
      <c r="W86" s="580"/>
      <c r="X86" s="580"/>
      <c r="Y86" s="578"/>
      <c r="Z86" s="580"/>
      <c r="AA86" s="286">
        <f>COUNTIF(C86:Z86,"&gt;=R")</f>
        <v>3</v>
      </c>
      <c r="AB86" s="287">
        <f>AA86</f>
        <v>3</v>
      </c>
    </row>
    <row r="87" spans="1:38" ht="40.049999999999997" customHeight="1" x14ac:dyDescent="0.3">
      <c r="A87" s="308" t="s">
        <v>244</v>
      </c>
      <c r="B87" s="309" t="s">
        <v>245</v>
      </c>
      <c r="C87" s="705"/>
      <c r="D87" s="578"/>
      <c r="E87" s="584"/>
      <c r="F87" s="580"/>
      <c r="G87" s="580"/>
      <c r="H87" s="580"/>
      <c r="I87" s="580"/>
      <c r="J87" s="580"/>
      <c r="K87" s="580"/>
      <c r="L87" s="580"/>
      <c r="M87" s="580"/>
      <c r="N87" s="580"/>
      <c r="O87" s="580"/>
      <c r="P87" s="580"/>
      <c r="Q87" s="580"/>
      <c r="R87" s="580"/>
      <c r="S87" s="580"/>
      <c r="T87" s="580"/>
      <c r="U87" s="580"/>
      <c r="V87" s="580"/>
      <c r="W87" s="580"/>
      <c r="X87" s="580"/>
      <c r="Y87" s="580"/>
      <c r="Z87" s="580"/>
      <c r="AA87" s="286">
        <f>COUNTIF(C87:Z87,"&gt;=R")</f>
        <v>0</v>
      </c>
      <c r="AB87" s="287">
        <f>AA87</f>
        <v>0</v>
      </c>
    </row>
    <row r="88" spans="1:38" ht="40.049999999999997" customHeight="1" x14ac:dyDescent="0.3">
      <c r="A88" s="296" t="s">
        <v>246</v>
      </c>
      <c r="B88" s="297" t="s">
        <v>247</v>
      </c>
      <c r="C88" s="705"/>
      <c r="D88" s="578"/>
      <c r="E88" s="584"/>
      <c r="F88" s="580"/>
      <c r="G88" s="580"/>
      <c r="H88" s="580"/>
      <c r="I88" s="580"/>
      <c r="J88" s="580"/>
      <c r="K88" s="580"/>
      <c r="L88" s="580"/>
      <c r="M88" s="586"/>
      <c r="N88" s="580"/>
      <c r="O88" s="580"/>
      <c r="P88" s="580"/>
      <c r="Q88" s="580"/>
      <c r="R88" s="580"/>
      <c r="S88" s="580"/>
      <c r="T88" s="580"/>
      <c r="U88" s="580"/>
      <c r="V88" s="580"/>
      <c r="W88" s="580"/>
      <c r="X88" s="580"/>
      <c r="Y88" s="580"/>
      <c r="Z88" s="580"/>
      <c r="AA88" s="286"/>
      <c r="AB88" s="287"/>
    </row>
    <row r="89" spans="1:38" ht="40.049999999999997" customHeight="1" x14ac:dyDescent="0.3">
      <c r="A89" s="308" t="s">
        <v>248</v>
      </c>
      <c r="B89" s="309" t="s">
        <v>249</v>
      </c>
      <c r="C89" s="707"/>
      <c r="D89" s="578"/>
      <c r="E89" s="580" t="s">
        <v>68</v>
      </c>
      <c r="F89" s="580"/>
      <c r="G89" s="580" t="s">
        <v>18</v>
      </c>
      <c r="H89" s="580"/>
      <c r="I89" s="580" t="s">
        <v>68</v>
      </c>
      <c r="J89" s="580"/>
      <c r="K89" s="580" t="s">
        <v>68</v>
      </c>
      <c r="L89" s="580"/>
      <c r="M89" s="580" t="s">
        <v>68</v>
      </c>
      <c r="N89" s="580"/>
      <c r="O89" s="580" t="s">
        <v>68</v>
      </c>
      <c r="P89" s="580"/>
      <c r="Q89" s="580"/>
      <c r="R89" s="580"/>
      <c r="S89" s="580"/>
      <c r="T89" s="580"/>
      <c r="U89" s="580"/>
      <c r="V89" s="580"/>
      <c r="W89" s="580" t="s">
        <v>68</v>
      </c>
      <c r="X89" s="580"/>
      <c r="Y89" s="578" t="s">
        <v>68</v>
      </c>
      <c r="Z89" s="580"/>
      <c r="AA89" s="286">
        <f>COUNTIF(C89:Z89,"&gt;=R")</f>
        <v>8</v>
      </c>
      <c r="AB89" s="287">
        <f>AA89</f>
        <v>8</v>
      </c>
    </row>
    <row r="90" spans="1:38" ht="40.049999999999997" customHeight="1" x14ac:dyDescent="0.3">
      <c r="A90" s="308" t="s">
        <v>250</v>
      </c>
      <c r="B90" s="309" t="s">
        <v>251</v>
      </c>
      <c r="C90" s="707"/>
      <c r="D90" s="578"/>
      <c r="E90" s="580" t="s">
        <v>68</v>
      </c>
      <c r="F90" s="580"/>
      <c r="G90" s="580" t="s">
        <v>18</v>
      </c>
      <c r="H90" s="580"/>
      <c r="I90" s="580" t="s">
        <v>68</v>
      </c>
      <c r="J90" s="580"/>
      <c r="K90" s="580" t="s">
        <v>68</v>
      </c>
      <c r="L90" s="580"/>
      <c r="M90" s="580" t="s">
        <v>68</v>
      </c>
      <c r="N90" s="580"/>
      <c r="O90" s="580" t="s">
        <v>68</v>
      </c>
      <c r="P90" s="580"/>
      <c r="Q90" s="580"/>
      <c r="R90" s="580"/>
      <c r="S90" s="580"/>
      <c r="T90" s="580"/>
      <c r="U90" s="580"/>
      <c r="V90" s="580"/>
      <c r="W90" s="580" t="s">
        <v>68</v>
      </c>
      <c r="X90" s="580"/>
      <c r="Y90" s="578" t="s">
        <v>68</v>
      </c>
      <c r="Z90" s="580"/>
      <c r="AA90" s="286">
        <f>COUNTIF(C90:Z90,"&gt;=R")</f>
        <v>8</v>
      </c>
      <c r="AB90" s="287">
        <f>AA90</f>
        <v>8</v>
      </c>
    </row>
    <row r="91" spans="1:38" ht="40.049999999999997" customHeight="1" x14ac:dyDescent="0.65">
      <c r="A91" s="296" t="s">
        <v>252</v>
      </c>
      <c r="B91" s="297" t="s">
        <v>253</v>
      </c>
      <c r="C91" s="705"/>
      <c r="D91" s="578"/>
      <c r="E91" s="584"/>
      <c r="F91" s="580"/>
      <c r="G91" s="581"/>
      <c r="H91" s="580"/>
      <c r="I91" s="581"/>
      <c r="J91" s="580"/>
      <c r="K91" s="580"/>
      <c r="L91" s="580"/>
      <c r="M91" s="580"/>
      <c r="N91" s="580"/>
      <c r="O91" s="580"/>
      <c r="P91" s="580"/>
      <c r="Q91" s="580"/>
      <c r="R91" s="580"/>
      <c r="S91" s="580"/>
      <c r="T91" s="580"/>
      <c r="U91" s="580"/>
      <c r="V91" s="580"/>
      <c r="W91" s="580"/>
      <c r="X91" s="580"/>
      <c r="Y91" s="580"/>
      <c r="Z91" s="580"/>
      <c r="AA91" s="286"/>
      <c r="AB91" s="287"/>
      <c r="AC91" s="357"/>
      <c r="AD91" s="357"/>
      <c r="AE91" s="357"/>
      <c r="AF91" s="357"/>
      <c r="AG91" s="357"/>
      <c r="AH91" s="357"/>
      <c r="AI91" s="357"/>
      <c r="AJ91" s="357"/>
      <c r="AK91" s="357"/>
      <c r="AL91" s="357"/>
    </row>
    <row r="92" spans="1:38" ht="40.049999999999997" customHeight="1" x14ac:dyDescent="0.65">
      <c r="A92" s="281" t="s">
        <v>254</v>
      </c>
      <c r="B92" s="282" t="s">
        <v>255</v>
      </c>
      <c r="C92" s="705"/>
      <c r="D92" s="578"/>
      <c r="E92" s="578" t="s">
        <v>68</v>
      </c>
      <c r="F92" s="580"/>
      <c r="G92" s="578" t="s">
        <v>77</v>
      </c>
      <c r="H92" s="580"/>
      <c r="I92" s="578" t="s">
        <v>68</v>
      </c>
      <c r="J92" s="580"/>
      <c r="K92" s="578" t="s">
        <v>68</v>
      </c>
      <c r="L92" s="580"/>
      <c r="M92" s="578" t="s">
        <v>68</v>
      </c>
      <c r="N92" s="580"/>
      <c r="O92" s="578" t="s">
        <v>68</v>
      </c>
      <c r="P92" s="580"/>
      <c r="Q92" s="578"/>
      <c r="R92" s="580"/>
      <c r="S92" s="578"/>
      <c r="T92" s="580"/>
      <c r="U92" s="578"/>
      <c r="V92" s="580"/>
      <c r="W92" s="578" t="s">
        <v>68</v>
      </c>
      <c r="X92" s="580"/>
      <c r="Y92" s="578" t="s">
        <v>68</v>
      </c>
      <c r="Z92" s="580"/>
      <c r="AA92" s="286">
        <f>COUNTIF(C92:Z92,"&gt;=R")</f>
        <v>8</v>
      </c>
      <c r="AB92" s="287">
        <f>AA92</f>
        <v>8</v>
      </c>
      <c r="AC92" s="357"/>
      <c r="AD92" s="357"/>
      <c r="AE92" s="357"/>
      <c r="AF92" s="357"/>
      <c r="AG92" s="357"/>
      <c r="AH92" s="357"/>
      <c r="AI92" s="357"/>
      <c r="AJ92" s="357"/>
      <c r="AK92" s="357"/>
      <c r="AL92" s="357"/>
    </row>
    <row r="93" spans="1:38" ht="40.049999999999997" customHeight="1" x14ac:dyDescent="0.3">
      <c r="A93" s="281" t="s">
        <v>256</v>
      </c>
      <c r="B93" s="282" t="s">
        <v>257</v>
      </c>
      <c r="C93" s="705"/>
      <c r="D93" s="579"/>
      <c r="E93" s="578"/>
      <c r="F93" s="580"/>
      <c r="G93" s="578"/>
      <c r="H93" s="580"/>
      <c r="I93" s="578" t="s">
        <v>77</v>
      </c>
      <c r="J93" s="580"/>
      <c r="K93" s="578" t="s">
        <v>77</v>
      </c>
      <c r="L93" s="580"/>
      <c r="M93" s="578" t="s">
        <v>77</v>
      </c>
      <c r="N93" s="580"/>
      <c r="O93" s="578"/>
      <c r="P93" s="580"/>
      <c r="Q93" s="578"/>
      <c r="R93" s="580"/>
      <c r="S93" s="578"/>
      <c r="T93" s="580"/>
      <c r="U93" s="578"/>
      <c r="V93" s="580"/>
      <c r="W93" s="578"/>
      <c r="X93" s="580"/>
      <c r="Y93" s="578"/>
      <c r="Z93" s="580"/>
      <c r="AA93" s="286">
        <f>COUNTIF(C93:Z93,"&gt;=R")</f>
        <v>3</v>
      </c>
      <c r="AB93" s="287">
        <f>AA93</f>
        <v>3</v>
      </c>
    </row>
    <row r="94" spans="1:38" ht="40.049999999999997" customHeight="1" x14ac:dyDescent="0.65">
      <c r="A94" s="281" t="s">
        <v>258</v>
      </c>
      <c r="B94" s="282" t="s">
        <v>259</v>
      </c>
      <c r="C94" s="705"/>
      <c r="D94" s="579"/>
      <c r="E94" s="578"/>
      <c r="F94" s="580"/>
      <c r="G94" s="578"/>
      <c r="H94" s="580"/>
      <c r="I94" s="578" t="s">
        <v>77</v>
      </c>
      <c r="J94" s="580"/>
      <c r="K94" s="578" t="s">
        <v>77</v>
      </c>
      <c r="L94" s="580"/>
      <c r="M94" s="578" t="s">
        <v>77</v>
      </c>
      <c r="N94" s="580"/>
      <c r="O94" s="578"/>
      <c r="P94" s="580"/>
      <c r="Q94" s="578"/>
      <c r="R94" s="580"/>
      <c r="S94" s="578"/>
      <c r="T94" s="580"/>
      <c r="U94" s="578"/>
      <c r="V94" s="580"/>
      <c r="W94" s="578"/>
      <c r="X94" s="580"/>
      <c r="Y94" s="578"/>
      <c r="Z94" s="580"/>
      <c r="AA94" s="286">
        <f>COUNTIF(C94:Z94,"&gt;=R")</f>
        <v>3</v>
      </c>
      <c r="AB94" s="287">
        <f>AA94</f>
        <v>3</v>
      </c>
      <c r="AC94" s="357"/>
      <c r="AD94" s="357"/>
      <c r="AE94" s="357"/>
      <c r="AF94" s="357"/>
      <c r="AG94" s="357"/>
      <c r="AH94" s="357"/>
      <c r="AI94" s="357"/>
      <c r="AJ94" s="357"/>
      <c r="AK94" s="357"/>
      <c r="AL94" s="357"/>
    </row>
    <row r="95" spans="1:38" ht="40.049999999999997" customHeight="1" x14ac:dyDescent="0.65">
      <c r="A95" s="281" t="s">
        <v>260</v>
      </c>
      <c r="B95" s="282" t="s">
        <v>261</v>
      </c>
      <c r="C95" s="705"/>
      <c r="D95" s="579"/>
      <c r="E95" s="578" t="s">
        <v>68</v>
      </c>
      <c r="F95" s="580"/>
      <c r="G95" s="578"/>
      <c r="H95" s="580"/>
      <c r="I95" s="578" t="s">
        <v>68</v>
      </c>
      <c r="J95" s="580"/>
      <c r="K95" s="578" t="s">
        <v>68</v>
      </c>
      <c r="L95" s="580"/>
      <c r="M95" s="578" t="s">
        <v>68</v>
      </c>
      <c r="N95" s="580"/>
      <c r="O95" s="578" t="s">
        <v>68</v>
      </c>
      <c r="P95" s="580"/>
      <c r="Q95" s="578"/>
      <c r="R95" s="580"/>
      <c r="S95" s="578"/>
      <c r="T95" s="580"/>
      <c r="U95" s="578"/>
      <c r="V95" s="580"/>
      <c r="W95" s="578" t="s">
        <v>68</v>
      </c>
      <c r="X95" s="580"/>
      <c r="Y95" s="578" t="s">
        <v>68</v>
      </c>
      <c r="Z95" s="580"/>
      <c r="AA95" s="286">
        <f>COUNTIF(C95:Z95,"&gt;=R")</f>
        <v>7</v>
      </c>
      <c r="AB95" s="287">
        <f>AA95</f>
        <v>7</v>
      </c>
      <c r="AC95" s="357"/>
      <c r="AD95" s="357"/>
      <c r="AE95" s="357"/>
      <c r="AF95" s="357"/>
      <c r="AG95" s="357"/>
      <c r="AH95" s="357"/>
      <c r="AI95" s="357"/>
      <c r="AJ95" s="357"/>
      <c r="AK95" s="357"/>
      <c r="AL95" s="357"/>
    </row>
    <row r="96" spans="1:38" ht="40.049999999999997" customHeight="1" x14ac:dyDescent="0.3">
      <c r="A96" s="296" t="s">
        <v>262</v>
      </c>
      <c r="B96" s="297" t="s">
        <v>263</v>
      </c>
      <c r="C96" s="705"/>
      <c r="D96" s="579"/>
      <c r="E96" s="580"/>
      <c r="F96" s="580"/>
      <c r="G96" s="581"/>
      <c r="H96" s="580"/>
      <c r="I96" s="581"/>
      <c r="J96" s="580"/>
      <c r="K96" s="581"/>
      <c r="L96" s="580"/>
      <c r="M96" s="580"/>
      <c r="N96" s="580"/>
      <c r="O96" s="580"/>
      <c r="P96" s="580"/>
      <c r="Q96" s="580"/>
      <c r="R96" s="580"/>
      <c r="S96" s="580"/>
      <c r="T96" s="580"/>
      <c r="U96" s="581"/>
      <c r="V96" s="580"/>
      <c r="W96" s="581"/>
      <c r="X96" s="580"/>
      <c r="Y96" s="581"/>
      <c r="Z96" s="580"/>
      <c r="AA96" s="286"/>
      <c r="AB96" s="287"/>
    </row>
    <row r="97" spans="1:38" ht="40.049999999999997" customHeight="1" x14ac:dyDescent="0.3">
      <c r="A97" s="308" t="s">
        <v>264</v>
      </c>
      <c r="B97" s="309" t="s">
        <v>265</v>
      </c>
      <c r="C97" s="705" t="s">
        <v>57</v>
      </c>
      <c r="D97" s="579"/>
      <c r="E97" s="580" t="s">
        <v>83</v>
      </c>
      <c r="F97" s="580"/>
      <c r="G97" s="580" t="s">
        <v>83</v>
      </c>
      <c r="H97" s="580"/>
      <c r="I97" s="580" t="s">
        <v>91</v>
      </c>
      <c r="J97" s="580"/>
      <c r="K97" s="580" t="s">
        <v>83</v>
      </c>
      <c r="L97" s="580"/>
      <c r="M97" s="580" t="s">
        <v>83</v>
      </c>
      <c r="N97" s="580"/>
      <c r="O97" s="580" t="s">
        <v>83</v>
      </c>
      <c r="P97" s="580"/>
      <c r="Q97" s="580" t="s">
        <v>57</v>
      </c>
      <c r="R97" s="580"/>
      <c r="S97" s="580" t="s">
        <v>91</v>
      </c>
      <c r="T97" s="580"/>
      <c r="U97" s="580" t="s">
        <v>91</v>
      </c>
      <c r="V97" s="580"/>
      <c r="W97" s="580" t="s">
        <v>91</v>
      </c>
      <c r="X97" s="580"/>
      <c r="Y97" s="580" t="s">
        <v>83</v>
      </c>
      <c r="Z97" s="580"/>
      <c r="AA97" s="286">
        <f>COUNTIF(C97:Z97,"&gt;=R")</f>
        <v>12</v>
      </c>
      <c r="AB97" s="287">
        <f>AA97</f>
        <v>12</v>
      </c>
    </row>
    <row r="98" spans="1:38" ht="40.049999999999997" customHeight="1" x14ac:dyDescent="0.3">
      <c r="A98" s="310" t="s">
        <v>266</v>
      </c>
      <c r="B98" s="290" t="s">
        <v>267</v>
      </c>
      <c r="C98" s="708"/>
      <c r="D98" s="582"/>
      <c r="E98" s="583"/>
      <c r="F98" s="583"/>
      <c r="G98" s="583"/>
      <c r="H98" s="583"/>
      <c r="I98" s="583"/>
      <c r="J98" s="583"/>
      <c r="K98" s="583"/>
      <c r="L98" s="583"/>
      <c r="M98" s="583"/>
      <c r="N98" s="583"/>
      <c r="O98" s="583"/>
      <c r="P98" s="583"/>
      <c r="Q98" s="583"/>
      <c r="R98" s="583"/>
      <c r="S98" s="583"/>
      <c r="T98" s="583"/>
      <c r="U98" s="583"/>
      <c r="V98" s="583"/>
      <c r="W98" s="583"/>
      <c r="X98" s="583"/>
      <c r="Y98" s="583"/>
      <c r="Z98" s="583"/>
      <c r="AA98" s="583"/>
      <c r="AB98" s="350"/>
    </row>
    <row r="99" spans="1:38" ht="40.049999999999997" customHeight="1" x14ac:dyDescent="0.3">
      <c r="A99" s="281" t="s">
        <v>268</v>
      </c>
      <c r="B99" s="282" t="s">
        <v>269</v>
      </c>
      <c r="C99" s="707"/>
      <c r="D99" s="579"/>
      <c r="E99" s="580" t="s">
        <v>93</v>
      </c>
      <c r="F99" s="580"/>
      <c r="G99" s="580" t="s">
        <v>93</v>
      </c>
      <c r="H99" s="580"/>
      <c r="I99" s="580" t="s">
        <v>77</v>
      </c>
      <c r="J99" s="580"/>
      <c r="K99" s="580" t="s">
        <v>77</v>
      </c>
      <c r="L99" s="580"/>
      <c r="M99" s="580" t="s">
        <v>77</v>
      </c>
      <c r="N99" s="580"/>
      <c r="O99" s="580" t="s">
        <v>93</v>
      </c>
      <c r="P99" s="580"/>
      <c r="Q99" s="580"/>
      <c r="R99" s="580"/>
      <c r="S99" s="580"/>
      <c r="T99" s="580"/>
      <c r="U99" s="580"/>
      <c r="V99" s="580"/>
      <c r="W99" s="580" t="s">
        <v>93</v>
      </c>
      <c r="X99" s="580"/>
      <c r="Y99" s="580" t="s">
        <v>93</v>
      </c>
      <c r="Z99" s="580"/>
      <c r="AA99" s="286">
        <f>COUNTIF(C99:Z99,"&gt;=R")</f>
        <v>8</v>
      </c>
      <c r="AB99" s="287">
        <f>AA99</f>
        <v>8</v>
      </c>
    </row>
    <row r="100" spans="1:38" ht="40.049999999999997" customHeight="1" x14ac:dyDescent="0.3">
      <c r="A100" s="281" t="s">
        <v>270</v>
      </c>
      <c r="B100" s="282" t="s">
        <v>271</v>
      </c>
      <c r="C100" s="707"/>
      <c r="D100" s="579"/>
      <c r="E100" s="580" t="s">
        <v>93</v>
      </c>
      <c r="F100" s="580"/>
      <c r="G100" s="580" t="s">
        <v>93</v>
      </c>
      <c r="H100" s="580"/>
      <c r="I100" s="580" t="s">
        <v>77</v>
      </c>
      <c r="J100" s="580"/>
      <c r="K100" s="580" t="s">
        <v>77</v>
      </c>
      <c r="L100" s="580"/>
      <c r="M100" s="580" t="s">
        <v>77</v>
      </c>
      <c r="N100" s="580"/>
      <c r="O100" s="580" t="s">
        <v>93</v>
      </c>
      <c r="P100" s="580"/>
      <c r="Q100" s="580"/>
      <c r="R100" s="580"/>
      <c r="S100" s="580"/>
      <c r="T100" s="580"/>
      <c r="U100" s="580"/>
      <c r="V100" s="580"/>
      <c r="W100" s="580" t="s">
        <v>93</v>
      </c>
      <c r="X100" s="580"/>
      <c r="Y100" s="580" t="s">
        <v>93</v>
      </c>
      <c r="Z100" s="580"/>
      <c r="AA100" s="286">
        <f>COUNTIF(C100:Z100,"&gt;=R")</f>
        <v>8</v>
      </c>
      <c r="AB100" s="287">
        <f>AA100</f>
        <v>8</v>
      </c>
    </row>
    <row r="101" spans="1:38" ht="40.049999999999997" customHeight="1" x14ac:dyDescent="0.65">
      <c r="A101" s="310" t="s">
        <v>272</v>
      </c>
      <c r="B101" s="290" t="s">
        <v>273</v>
      </c>
      <c r="C101" s="708"/>
      <c r="D101" s="582"/>
      <c r="E101" s="583"/>
      <c r="F101" s="583"/>
      <c r="G101" s="583"/>
      <c r="H101" s="583"/>
      <c r="I101" s="583"/>
      <c r="J101" s="583"/>
      <c r="K101" s="583"/>
      <c r="L101" s="583"/>
      <c r="M101" s="583"/>
      <c r="N101" s="583"/>
      <c r="O101" s="583"/>
      <c r="P101" s="583"/>
      <c r="Q101" s="583"/>
      <c r="R101" s="583"/>
      <c r="S101" s="583"/>
      <c r="T101" s="583"/>
      <c r="U101" s="583"/>
      <c r="V101" s="583"/>
      <c r="W101" s="583"/>
      <c r="X101" s="583"/>
      <c r="Y101" s="583"/>
      <c r="Z101" s="583"/>
      <c r="AA101" s="583"/>
      <c r="AB101" s="350"/>
      <c r="AC101" s="357"/>
      <c r="AD101" s="357"/>
      <c r="AE101" s="357"/>
      <c r="AF101" s="357"/>
      <c r="AG101" s="357"/>
      <c r="AH101" s="357"/>
      <c r="AI101" s="357"/>
      <c r="AJ101" s="357"/>
      <c r="AK101" s="357"/>
      <c r="AL101" s="357"/>
    </row>
    <row r="102" spans="1:38" ht="40.049999999999997" customHeight="1" x14ac:dyDescent="0.3">
      <c r="A102" s="281" t="s">
        <v>274</v>
      </c>
      <c r="B102" s="282" t="s">
        <v>275</v>
      </c>
      <c r="C102" s="705"/>
      <c r="D102" s="578"/>
      <c r="E102" s="578"/>
      <c r="F102" s="580"/>
      <c r="G102" s="578" t="s">
        <v>93</v>
      </c>
      <c r="H102" s="580"/>
      <c r="I102" s="578" t="s">
        <v>93</v>
      </c>
      <c r="J102" s="580"/>
      <c r="K102" s="578" t="s">
        <v>93</v>
      </c>
      <c r="L102" s="580"/>
      <c r="M102" s="578" t="s">
        <v>93</v>
      </c>
      <c r="N102" s="580"/>
      <c r="O102" s="578" t="s">
        <v>93</v>
      </c>
      <c r="P102" s="580"/>
      <c r="Q102" s="578"/>
      <c r="R102" s="580"/>
      <c r="S102" s="578"/>
      <c r="T102" s="580"/>
      <c r="U102" s="578"/>
      <c r="V102" s="580"/>
      <c r="W102" s="578" t="s">
        <v>93</v>
      </c>
      <c r="X102" s="580"/>
      <c r="Y102" s="578" t="s">
        <v>93</v>
      </c>
      <c r="Z102" s="580"/>
      <c r="AA102" s="286">
        <f>COUNTIF(C102:Z102,"&gt;=R")</f>
        <v>7</v>
      </c>
      <c r="AB102" s="287">
        <f>AA102</f>
        <v>7</v>
      </c>
    </row>
    <row r="103" spans="1:38" ht="40.049999999999997" customHeight="1" x14ac:dyDescent="0.65">
      <c r="A103" s="281" t="s">
        <v>276</v>
      </c>
      <c r="B103" s="282" t="s">
        <v>277</v>
      </c>
      <c r="C103" s="705" t="s">
        <v>68</v>
      </c>
      <c r="D103" s="579"/>
      <c r="E103" s="578" t="s">
        <v>28</v>
      </c>
      <c r="F103" s="580"/>
      <c r="G103" s="578" t="s">
        <v>28</v>
      </c>
      <c r="H103" s="580"/>
      <c r="I103" s="578" t="s">
        <v>28</v>
      </c>
      <c r="J103" s="580"/>
      <c r="K103" s="586" t="s">
        <v>28</v>
      </c>
      <c r="L103" s="580"/>
      <c r="M103" s="586" t="s">
        <v>28</v>
      </c>
      <c r="N103" s="580"/>
      <c r="O103" s="586" t="s">
        <v>28</v>
      </c>
      <c r="P103" s="580"/>
      <c r="Q103" s="586" t="s">
        <v>68</v>
      </c>
      <c r="R103" s="580"/>
      <c r="S103" s="580" t="s">
        <v>28</v>
      </c>
      <c r="T103" s="580"/>
      <c r="U103" s="580" t="s">
        <v>28</v>
      </c>
      <c r="V103" s="580"/>
      <c r="W103" s="580" t="s">
        <v>28</v>
      </c>
      <c r="X103" s="580"/>
      <c r="Y103" s="580" t="s">
        <v>28</v>
      </c>
      <c r="Z103" s="580"/>
      <c r="AA103" s="286">
        <f>COUNTIF(C103:Z103,"&gt;=R")</f>
        <v>12</v>
      </c>
      <c r="AB103" s="287">
        <f>AA103</f>
        <v>12</v>
      </c>
      <c r="AC103" s="357"/>
      <c r="AD103" s="357"/>
      <c r="AE103" s="357"/>
      <c r="AF103" s="357"/>
      <c r="AG103" s="357"/>
      <c r="AH103" s="357"/>
      <c r="AI103" s="357"/>
      <c r="AJ103" s="357"/>
      <c r="AK103" s="357"/>
      <c r="AL103" s="357"/>
    </row>
    <row r="104" spans="1:38" ht="40.049999999999997" customHeight="1" x14ac:dyDescent="0.65">
      <c r="A104" s="289" t="s">
        <v>278</v>
      </c>
      <c r="B104" s="290" t="s">
        <v>279</v>
      </c>
      <c r="C104" s="708"/>
      <c r="D104" s="582"/>
      <c r="E104" s="583"/>
      <c r="F104" s="583"/>
      <c r="G104" s="583"/>
      <c r="H104" s="583"/>
      <c r="I104" s="583"/>
      <c r="J104" s="583"/>
      <c r="K104" s="583"/>
      <c r="L104" s="583"/>
      <c r="M104" s="583"/>
      <c r="N104" s="583"/>
      <c r="O104" s="583"/>
      <c r="P104" s="583"/>
      <c r="Q104" s="583"/>
      <c r="R104" s="583"/>
      <c r="S104" s="583"/>
      <c r="T104" s="583"/>
      <c r="U104" s="583"/>
      <c r="V104" s="583"/>
      <c r="W104" s="583"/>
      <c r="X104" s="583"/>
      <c r="Y104" s="583"/>
      <c r="Z104" s="583"/>
      <c r="AA104" s="583"/>
      <c r="AB104" s="350"/>
      <c r="AC104" s="357"/>
      <c r="AD104" s="357"/>
      <c r="AE104" s="357"/>
      <c r="AF104" s="357"/>
      <c r="AG104" s="357"/>
      <c r="AH104" s="357"/>
      <c r="AI104" s="357"/>
      <c r="AJ104" s="357"/>
      <c r="AK104" s="357"/>
      <c r="AL104" s="357"/>
    </row>
    <row r="105" spans="1:38" ht="40.049999999999997" customHeight="1" x14ac:dyDescent="0.3">
      <c r="A105" s="296" t="s">
        <v>280</v>
      </c>
      <c r="B105" s="297" t="s">
        <v>281</v>
      </c>
      <c r="C105" s="705"/>
      <c r="D105" s="579"/>
      <c r="E105" s="580"/>
      <c r="F105" s="580"/>
      <c r="G105" s="581"/>
      <c r="H105" s="580"/>
      <c r="I105" s="581"/>
      <c r="J105" s="580"/>
      <c r="K105" s="580"/>
      <c r="L105" s="580"/>
      <c r="M105" s="580"/>
      <c r="N105" s="580"/>
      <c r="O105" s="580"/>
      <c r="P105" s="580"/>
      <c r="Q105" s="580"/>
      <c r="R105" s="580"/>
      <c r="S105" s="580"/>
      <c r="T105" s="580"/>
      <c r="U105" s="580"/>
      <c r="V105" s="580"/>
      <c r="W105" s="580"/>
      <c r="X105" s="580"/>
      <c r="Y105" s="580"/>
      <c r="Z105" s="580"/>
      <c r="AA105" s="286">
        <f t="shared" ref="AA105:AA111" si="5">COUNTIF(C105:Z105,"&gt;=R")</f>
        <v>0</v>
      </c>
      <c r="AB105" s="287">
        <f>AA105</f>
        <v>0</v>
      </c>
    </row>
    <row r="106" spans="1:38" ht="40.049999999999997" customHeight="1" x14ac:dyDescent="0.65">
      <c r="A106" s="357" t="s">
        <v>282</v>
      </c>
      <c r="B106" s="890" t="s">
        <v>283</v>
      </c>
      <c r="C106" s="707"/>
      <c r="D106" s="579"/>
      <c r="E106" s="580"/>
      <c r="F106" s="580"/>
      <c r="G106" s="580"/>
      <c r="H106" s="580"/>
      <c r="I106" s="580"/>
      <c r="J106" s="580"/>
      <c r="K106" s="580"/>
      <c r="L106" s="580"/>
      <c r="M106" s="580"/>
      <c r="N106" s="580"/>
      <c r="O106" s="580"/>
      <c r="P106" s="580"/>
      <c r="Q106" s="580"/>
      <c r="R106" s="580"/>
      <c r="S106" s="580"/>
      <c r="T106" s="580"/>
      <c r="U106" s="580"/>
      <c r="V106" s="580"/>
      <c r="W106" s="580"/>
      <c r="X106" s="580"/>
      <c r="Y106" s="580"/>
      <c r="Z106" s="580"/>
      <c r="AA106" s="286">
        <f t="shared" si="5"/>
        <v>0</v>
      </c>
      <c r="AB106" s="287">
        <f>AA106</f>
        <v>0</v>
      </c>
    </row>
    <row r="107" spans="1:38" ht="40.049999999999997" customHeight="1" x14ac:dyDescent="0.65">
      <c r="A107" s="308" t="s">
        <v>284</v>
      </c>
      <c r="B107" s="309" t="s">
        <v>285</v>
      </c>
      <c r="C107" s="705"/>
      <c r="D107" s="579"/>
      <c r="E107" s="580"/>
      <c r="F107" s="580"/>
      <c r="G107" s="580"/>
      <c r="H107" s="580"/>
      <c r="I107" s="580"/>
      <c r="J107" s="580"/>
      <c r="K107" s="580"/>
      <c r="L107" s="580"/>
      <c r="M107" s="580"/>
      <c r="N107" s="580"/>
      <c r="O107" s="580"/>
      <c r="P107" s="580"/>
      <c r="Q107" s="580"/>
      <c r="R107" s="580"/>
      <c r="S107" s="580"/>
      <c r="T107" s="580"/>
      <c r="U107" s="580"/>
      <c r="V107" s="580"/>
      <c r="W107" s="580"/>
      <c r="X107" s="580"/>
      <c r="Y107" s="580"/>
      <c r="Z107" s="580"/>
      <c r="AA107" s="286">
        <f t="shared" si="5"/>
        <v>0</v>
      </c>
      <c r="AB107" s="287">
        <f>AA107</f>
        <v>0</v>
      </c>
      <c r="AC107" s="357"/>
      <c r="AD107" s="357"/>
      <c r="AE107" s="357"/>
      <c r="AF107" s="357"/>
      <c r="AG107" s="357"/>
      <c r="AH107" s="357"/>
      <c r="AI107" s="357"/>
      <c r="AJ107" s="357"/>
      <c r="AK107" s="357"/>
      <c r="AL107" s="357"/>
    </row>
    <row r="108" spans="1:38" ht="40.049999999999997" customHeight="1" x14ac:dyDescent="0.3">
      <c r="A108" s="296" t="s">
        <v>286</v>
      </c>
      <c r="B108" s="297" t="s">
        <v>287</v>
      </c>
      <c r="C108" s="705"/>
      <c r="D108" s="579"/>
      <c r="E108" s="580"/>
      <c r="F108" s="580"/>
      <c r="G108" s="580"/>
      <c r="H108" s="580"/>
      <c r="I108" s="580"/>
      <c r="J108" s="580"/>
      <c r="K108" s="580"/>
      <c r="L108" s="580"/>
      <c r="M108" s="580"/>
      <c r="N108" s="580"/>
      <c r="O108" s="580"/>
      <c r="P108" s="580"/>
      <c r="Q108" s="580"/>
      <c r="R108" s="580"/>
      <c r="S108" s="580"/>
      <c r="T108" s="580"/>
      <c r="U108" s="580"/>
      <c r="V108" s="580"/>
      <c r="W108" s="580"/>
      <c r="X108" s="580"/>
      <c r="Y108" s="580"/>
      <c r="Z108" s="580"/>
      <c r="AA108" s="286">
        <f t="shared" si="5"/>
        <v>0</v>
      </c>
      <c r="AB108" s="287"/>
    </row>
    <row r="109" spans="1:38" ht="40.049999999999997" customHeight="1" x14ac:dyDescent="0.65">
      <c r="A109" s="281" t="s">
        <v>288</v>
      </c>
      <c r="B109" s="282" t="s">
        <v>289</v>
      </c>
      <c r="C109" s="707"/>
      <c r="D109" s="579"/>
      <c r="E109" s="580"/>
      <c r="F109" s="580"/>
      <c r="G109" s="580"/>
      <c r="H109" s="580"/>
      <c r="I109" s="580"/>
      <c r="J109" s="580"/>
      <c r="K109" s="580"/>
      <c r="L109" s="580"/>
      <c r="M109" s="580"/>
      <c r="N109" s="580"/>
      <c r="O109" s="580"/>
      <c r="P109" s="580"/>
      <c r="Q109" s="580"/>
      <c r="R109" s="580"/>
      <c r="S109" s="580"/>
      <c r="T109" s="580"/>
      <c r="U109" s="580"/>
      <c r="V109" s="580"/>
      <c r="W109" s="580"/>
      <c r="X109" s="580"/>
      <c r="Y109" s="580"/>
      <c r="Z109" s="580"/>
      <c r="AA109" s="286">
        <f t="shared" si="5"/>
        <v>0</v>
      </c>
      <c r="AB109" s="287">
        <f>AA109</f>
        <v>0</v>
      </c>
      <c r="AC109" s="357"/>
      <c r="AD109" s="357"/>
      <c r="AE109" s="357"/>
      <c r="AF109" s="357"/>
      <c r="AG109" s="357"/>
      <c r="AH109" s="357"/>
      <c r="AI109" s="357"/>
      <c r="AJ109" s="357"/>
      <c r="AK109" s="357"/>
      <c r="AL109" s="357"/>
    </row>
    <row r="110" spans="1:38" ht="40.049999999999997" customHeight="1" x14ac:dyDescent="0.3">
      <c r="A110" s="281" t="s">
        <v>290</v>
      </c>
      <c r="B110" s="282" t="s">
        <v>291</v>
      </c>
      <c r="C110" s="705"/>
      <c r="D110" s="579"/>
      <c r="E110" s="578"/>
      <c r="F110" s="580"/>
      <c r="G110" s="578"/>
      <c r="H110" s="580"/>
      <c r="I110" s="578"/>
      <c r="J110" s="580"/>
      <c r="K110" s="578"/>
      <c r="L110" s="580"/>
      <c r="M110" s="578"/>
      <c r="N110" s="580"/>
      <c r="O110" s="578"/>
      <c r="P110" s="580"/>
      <c r="Q110" s="578"/>
      <c r="R110" s="580"/>
      <c r="S110" s="578"/>
      <c r="T110" s="580"/>
      <c r="U110" s="578"/>
      <c r="V110" s="580"/>
      <c r="W110" s="578"/>
      <c r="X110" s="580"/>
      <c r="Y110" s="578"/>
      <c r="Z110" s="580"/>
      <c r="AA110" s="286">
        <f t="shared" si="5"/>
        <v>0</v>
      </c>
      <c r="AB110" s="287">
        <f>AA110</f>
        <v>0</v>
      </c>
    </row>
    <row r="111" spans="1:38" ht="40.049999999999997" customHeight="1" x14ac:dyDescent="0.65">
      <c r="A111" s="357" t="s">
        <v>292</v>
      </c>
      <c r="B111" s="890" t="s">
        <v>293</v>
      </c>
      <c r="C111" s="707"/>
      <c r="D111" s="579"/>
      <c r="E111" s="580"/>
      <c r="F111" s="580"/>
      <c r="G111" s="580"/>
      <c r="H111" s="580"/>
      <c r="I111" s="580"/>
      <c r="J111" s="580"/>
      <c r="K111" s="580"/>
      <c r="L111" s="580"/>
      <c r="M111" s="580"/>
      <c r="N111" s="580"/>
      <c r="O111" s="580"/>
      <c r="P111" s="580"/>
      <c r="Q111" s="580"/>
      <c r="R111" s="580"/>
      <c r="S111" s="580"/>
      <c r="T111" s="580"/>
      <c r="U111" s="580"/>
      <c r="V111" s="580"/>
      <c r="W111" s="580"/>
      <c r="X111" s="580"/>
      <c r="Y111" s="580"/>
      <c r="Z111" s="580"/>
      <c r="AA111" s="286">
        <f t="shared" si="5"/>
        <v>0</v>
      </c>
      <c r="AB111" s="287">
        <f>AA111</f>
        <v>0</v>
      </c>
    </row>
    <row r="112" spans="1:38" ht="40.049999999999997" customHeight="1" x14ac:dyDescent="0.65">
      <c r="A112" s="289" t="s">
        <v>294</v>
      </c>
      <c r="B112" s="311" t="s">
        <v>295</v>
      </c>
      <c r="C112" s="708"/>
      <c r="D112" s="582"/>
      <c r="E112" s="583"/>
      <c r="F112" s="583"/>
      <c r="G112" s="583"/>
      <c r="H112" s="583"/>
      <c r="I112" s="583"/>
      <c r="J112" s="583"/>
      <c r="K112" s="583"/>
      <c r="L112" s="583"/>
      <c r="M112" s="583"/>
      <c r="N112" s="583"/>
      <c r="O112" s="583"/>
      <c r="P112" s="583"/>
      <c r="Q112" s="583"/>
      <c r="R112" s="583"/>
      <c r="S112" s="583"/>
      <c r="T112" s="583"/>
      <c r="U112" s="583"/>
      <c r="V112" s="583"/>
      <c r="W112" s="583"/>
      <c r="X112" s="583"/>
      <c r="Y112" s="583"/>
      <c r="Z112" s="583"/>
      <c r="AA112" s="583"/>
      <c r="AB112" s="350"/>
      <c r="AC112" s="357"/>
      <c r="AD112" s="357"/>
      <c r="AE112" s="357"/>
      <c r="AF112" s="357"/>
      <c r="AG112" s="357"/>
      <c r="AH112" s="357"/>
      <c r="AI112" s="357"/>
      <c r="AJ112" s="357"/>
      <c r="AK112" s="357"/>
      <c r="AL112" s="357"/>
    </row>
    <row r="113" spans="1:38" ht="40.049999999999997" customHeight="1" x14ac:dyDescent="0.65">
      <c r="A113" s="312" t="s">
        <v>296</v>
      </c>
      <c r="B113" s="313" t="s">
        <v>297</v>
      </c>
      <c r="C113" s="705"/>
      <c r="D113" s="579"/>
      <c r="E113" s="580" t="s">
        <v>84</v>
      </c>
      <c r="F113" s="580"/>
      <c r="G113" s="580" t="s">
        <v>84</v>
      </c>
      <c r="H113" s="580"/>
      <c r="I113" s="580" t="s">
        <v>84</v>
      </c>
      <c r="J113" s="580"/>
      <c r="K113" s="580" t="s">
        <v>84</v>
      </c>
      <c r="L113" s="580"/>
      <c r="M113" s="580" t="s">
        <v>84</v>
      </c>
      <c r="N113" s="580"/>
      <c r="O113" s="580" t="s">
        <v>84</v>
      </c>
      <c r="P113" s="580"/>
      <c r="Q113" s="580"/>
      <c r="R113" s="580"/>
      <c r="S113" s="580"/>
      <c r="T113" s="580"/>
      <c r="U113" s="580"/>
      <c r="V113" s="580"/>
      <c r="W113" s="580" t="s">
        <v>84</v>
      </c>
      <c r="X113" s="580"/>
      <c r="Y113" s="580" t="s">
        <v>84</v>
      </c>
      <c r="Z113" s="580"/>
      <c r="AA113" s="286">
        <f t="shared" ref="AA113:AA124" si="6">COUNTIF(C113:Z113,"&gt;=R")</f>
        <v>8</v>
      </c>
      <c r="AB113" s="287">
        <f t="shared" ref="AB113:AB124" si="7">AA113</f>
        <v>8</v>
      </c>
      <c r="AC113" s="357"/>
      <c r="AD113" s="357"/>
      <c r="AE113" s="357"/>
      <c r="AF113" s="357"/>
      <c r="AG113" s="357"/>
      <c r="AH113" s="357"/>
      <c r="AI113" s="357"/>
      <c r="AJ113" s="357"/>
      <c r="AK113" s="357"/>
      <c r="AL113" s="357"/>
    </row>
    <row r="114" spans="1:38" ht="40.049999999999997" customHeight="1" x14ac:dyDescent="0.3">
      <c r="A114" s="312" t="s">
        <v>298</v>
      </c>
      <c r="B114" s="313" t="s">
        <v>299</v>
      </c>
      <c r="C114" s="705" t="s">
        <v>68</v>
      </c>
      <c r="D114" s="579"/>
      <c r="E114" s="580" t="s">
        <v>37</v>
      </c>
      <c r="F114" s="580"/>
      <c r="G114" s="586" t="s">
        <v>37</v>
      </c>
      <c r="H114" s="580"/>
      <c r="I114" s="586" t="s">
        <v>37</v>
      </c>
      <c r="J114" s="580"/>
      <c r="K114" s="586" t="s">
        <v>37</v>
      </c>
      <c r="L114" s="580"/>
      <c r="M114" s="580" t="s">
        <v>37</v>
      </c>
      <c r="N114" s="580"/>
      <c r="O114" s="580" t="s">
        <v>37</v>
      </c>
      <c r="P114" s="580"/>
      <c r="Q114" s="586" t="s">
        <v>68</v>
      </c>
      <c r="R114" s="580"/>
      <c r="S114" s="586" t="s">
        <v>37</v>
      </c>
      <c r="T114" s="580"/>
      <c r="U114" s="586" t="s">
        <v>37</v>
      </c>
      <c r="V114" s="580"/>
      <c r="W114" s="586" t="s">
        <v>37</v>
      </c>
      <c r="X114" s="580"/>
      <c r="Y114" s="586" t="s">
        <v>37</v>
      </c>
      <c r="Z114" s="580"/>
      <c r="AA114" s="286">
        <f t="shared" si="6"/>
        <v>12</v>
      </c>
      <c r="AB114" s="287">
        <f t="shared" si="7"/>
        <v>12</v>
      </c>
    </row>
    <row r="115" spans="1:38" ht="40.049999999999997" customHeight="1" x14ac:dyDescent="0.3">
      <c r="A115" s="312" t="s">
        <v>300</v>
      </c>
      <c r="B115" s="313" t="s">
        <v>301</v>
      </c>
      <c r="C115" s="705"/>
      <c r="D115" s="579"/>
      <c r="E115" s="578"/>
      <c r="F115" s="580"/>
      <c r="G115" s="578"/>
      <c r="H115" s="580"/>
      <c r="I115" s="578"/>
      <c r="J115" s="580"/>
      <c r="K115" s="578"/>
      <c r="L115" s="580"/>
      <c r="M115" s="578"/>
      <c r="N115" s="580"/>
      <c r="O115" s="578"/>
      <c r="P115" s="580"/>
      <c r="Q115" s="578"/>
      <c r="R115" s="580"/>
      <c r="S115" s="578"/>
      <c r="T115" s="580"/>
      <c r="U115" s="578"/>
      <c r="V115" s="580"/>
      <c r="W115" s="578"/>
      <c r="X115" s="580"/>
      <c r="Y115" s="578"/>
      <c r="Z115" s="580"/>
      <c r="AA115" s="286">
        <f t="shared" si="6"/>
        <v>0</v>
      </c>
      <c r="AB115" s="287">
        <f t="shared" si="7"/>
        <v>0</v>
      </c>
    </row>
    <row r="116" spans="1:38" ht="40.049999999999997" customHeight="1" x14ac:dyDescent="0.65">
      <c r="A116" s="312" t="s">
        <v>302</v>
      </c>
      <c r="B116" s="313" t="s">
        <v>303</v>
      </c>
      <c r="C116" s="707"/>
      <c r="D116" s="579"/>
      <c r="E116" s="580"/>
      <c r="F116" s="580"/>
      <c r="G116" s="580"/>
      <c r="H116" s="580"/>
      <c r="I116" s="580"/>
      <c r="J116" s="580"/>
      <c r="K116" s="580"/>
      <c r="L116" s="580"/>
      <c r="M116" s="580"/>
      <c r="N116" s="580"/>
      <c r="O116" s="580"/>
      <c r="P116" s="580"/>
      <c r="Q116" s="580"/>
      <c r="R116" s="580"/>
      <c r="S116" s="580"/>
      <c r="T116" s="580"/>
      <c r="U116" s="580"/>
      <c r="V116" s="580"/>
      <c r="W116" s="580"/>
      <c r="X116" s="580"/>
      <c r="Y116" s="578"/>
      <c r="Z116" s="580"/>
      <c r="AA116" s="286">
        <f t="shared" si="6"/>
        <v>0</v>
      </c>
      <c r="AB116" s="287">
        <f t="shared" si="7"/>
        <v>0</v>
      </c>
      <c r="AC116" s="357"/>
      <c r="AD116" s="357"/>
      <c r="AE116" s="357"/>
      <c r="AF116" s="357"/>
      <c r="AG116" s="357"/>
      <c r="AH116" s="357"/>
      <c r="AI116" s="357"/>
      <c r="AJ116" s="357"/>
      <c r="AK116" s="357"/>
      <c r="AL116" s="357"/>
    </row>
    <row r="117" spans="1:38" ht="40.049999999999997" customHeight="1" x14ac:dyDescent="0.3">
      <c r="A117" s="312" t="s">
        <v>304</v>
      </c>
      <c r="B117" s="313" t="s">
        <v>305</v>
      </c>
      <c r="C117" s="705"/>
      <c r="D117" s="579"/>
      <c r="E117" s="580" t="s">
        <v>93</v>
      </c>
      <c r="F117" s="580"/>
      <c r="G117" s="586" t="s">
        <v>93</v>
      </c>
      <c r="H117" s="580"/>
      <c r="I117" s="586" t="s">
        <v>77</v>
      </c>
      <c r="J117" s="580"/>
      <c r="K117" s="586" t="s">
        <v>77</v>
      </c>
      <c r="L117" s="580"/>
      <c r="M117" s="580" t="s">
        <v>93</v>
      </c>
      <c r="N117" s="580"/>
      <c r="O117" s="580" t="s">
        <v>93</v>
      </c>
      <c r="P117" s="580"/>
      <c r="Q117" s="586"/>
      <c r="R117" s="580"/>
      <c r="S117" s="586"/>
      <c r="T117" s="580"/>
      <c r="U117" s="580"/>
      <c r="V117" s="580"/>
      <c r="W117" s="580" t="s">
        <v>93</v>
      </c>
      <c r="X117" s="580"/>
      <c r="Y117" s="580" t="s">
        <v>93</v>
      </c>
      <c r="Z117" s="580"/>
      <c r="AA117" s="286">
        <f t="shared" si="6"/>
        <v>8</v>
      </c>
      <c r="AB117" s="287">
        <f t="shared" si="7"/>
        <v>8</v>
      </c>
    </row>
    <row r="118" spans="1:38" ht="40.049999999999997" customHeight="1" x14ac:dyDescent="0.3">
      <c r="A118" s="312" t="s">
        <v>306</v>
      </c>
      <c r="B118" s="313" t="s">
        <v>307</v>
      </c>
      <c r="C118" s="709"/>
      <c r="D118" s="579"/>
      <c r="E118" s="581" t="s">
        <v>93</v>
      </c>
      <c r="F118" s="580"/>
      <c r="G118" s="581" t="s">
        <v>93</v>
      </c>
      <c r="H118" s="580"/>
      <c r="I118" s="581" t="s">
        <v>77</v>
      </c>
      <c r="J118" s="580"/>
      <c r="K118" s="581" t="s">
        <v>77</v>
      </c>
      <c r="L118" s="580"/>
      <c r="M118" s="581" t="s">
        <v>77</v>
      </c>
      <c r="N118" s="580"/>
      <c r="O118" s="581" t="s">
        <v>93</v>
      </c>
      <c r="P118" s="580"/>
      <c r="Q118" s="581"/>
      <c r="R118" s="580"/>
      <c r="S118" s="581"/>
      <c r="T118" s="580"/>
      <c r="U118" s="581"/>
      <c r="V118" s="581"/>
      <c r="W118" s="581" t="s">
        <v>93</v>
      </c>
      <c r="X118" s="581"/>
      <c r="Y118" s="581" t="s">
        <v>93</v>
      </c>
      <c r="Z118" s="581"/>
      <c r="AA118" s="286">
        <f t="shared" si="6"/>
        <v>8</v>
      </c>
      <c r="AB118" s="287">
        <f t="shared" si="7"/>
        <v>8</v>
      </c>
    </row>
    <row r="119" spans="1:38" ht="40.049999999999997" customHeight="1" x14ac:dyDescent="0.3">
      <c r="A119" s="312" t="s">
        <v>308</v>
      </c>
      <c r="B119" s="313" t="s">
        <v>309</v>
      </c>
      <c r="C119" s="705"/>
      <c r="D119" s="579"/>
      <c r="E119" s="580"/>
      <c r="F119" s="580"/>
      <c r="G119" s="580"/>
      <c r="H119" s="580"/>
      <c r="I119" s="580"/>
      <c r="J119" s="580"/>
      <c r="K119" s="580"/>
      <c r="L119" s="580"/>
      <c r="M119" s="580"/>
      <c r="N119" s="580"/>
      <c r="O119" s="580"/>
      <c r="P119" s="580"/>
      <c r="Q119" s="580"/>
      <c r="R119" s="580"/>
      <c r="S119" s="580"/>
      <c r="T119" s="580"/>
      <c r="U119" s="581"/>
      <c r="V119" s="581"/>
      <c r="W119" s="581"/>
      <c r="X119" s="581"/>
      <c r="Y119" s="581"/>
      <c r="Z119" s="581"/>
      <c r="AA119" s="286">
        <f t="shared" si="6"/>
        <v>0</v>
      </c>
      <c r="AB119" s="287">
        <f t="shared" si="7"/>
        <v>0</v>
      </c>
    </row>
    <row r="120" spans="1:38" ht="40.049999999999997" customHeight="1" x14ac:dyDescent="0.3">
      <c r="A120" s="312" t="s">
        <v>310</v>
      </c>
      <c r="B120" s="313" t="s">
        <v>311</v>
      </c>
      <c r="C120" s="705"/>
      <c r="D120" s="585"/>
      <c r="E120" s="581"/>
      <c r="F120" s="581"/>
      <c r="G120" s="586"/>
      <c r="H120" s="581"/>
      <c r="I120" s="586"/>
      <c r="J120" s="581"/>
      <c r="K120" s="586"/>
      <c r="L120" s="581"/>
      <c r="M120" s="581"/>
      <c r="N120" s="581"/>
      <c r="O120" s="581"/>
      <c r="P120" s="581"/>
      <c r="Q120" s="586"/>
      <c r="R120" s="581"/>
      <c r="S120" s="586"/>
      <c r="T120" s="581"/>
      <c r="U120" s="586"/>
      <c r="V120" s="581"/>
      <c r="W120" s="586"/>
      <c r="X120" s="581"/>
      <c r="Y120" s="586"/>
      <c r="Z120" s="581"/>
      <c r="AA120" s="286">
        <f t="shared" si="6"/>
        <v>0</v>
      </c>
      <c r="AB120" s="287">
        <f t="shared" si="7"/>
        <v>0</v>
      </c>
    </row>
    <row r="121" spans="1:38" ht="40.049999999999997" customHeight="1" x14ac:dyDescent="0.3">
      <c r="A121" s="312" t="s">
        <v>312</v>
      </c>
      <c r="B121" s="313" t="s">
        <v>313</v>
      </c>
      <c r="C121" s="705"/>
      <c r="D121" s="585"/>
      <c r="E121" s="581"/>
      <c r="F121" s="581"/>
      <c r="G121" s="581"/>
      <c r="H121" s="581"/>
      <c r="I121" s="581"/>
      <c r="J121" s="581"/>
      <c r="K121" s="581"/>
      <c r="L121" s="581"/>
      <c r="M121" s="581"/>
      <c r="N121" s="581"/>
      <c r="O121" s="581"/>
      <c r="P121" s="581"/>
      <c r="Q121" s="581"/>
      <c r="R121" s="581"/>
      <c r="S121" s="581"/>
      <c r="T121" s="581"/>
      <c r="U121" s="581"/>
      <c r="V121" s="581"/>
      <c r="W121" s="581"/>
      <c r="X121" s="581"/>
      <c r="Y121" s="581"/>
      <c r="Z121" s="581"/>
      <c r="AA121" s="286">
        <f t="shared" si="6"/>
        <v>0</v>
      </c>
      <c r="AB121" s="287">
        <f t="shared" si="7"/>
        <v>0</v>
      </c>
    </row>
    <row r="122" spans="1:38" ht="40.049999999999997" customHeight="1" x14ac:dyDescent="0.3">
      <c r="A122" s="312" t="s">
        <v>314</v>
      </c>
      <c r="B122" s="313" t="s">
        <v>315</v>
      </c>
      <c r="C122" s="705"/>
      <c r="D122" s="585"/>
      <c r="E122" s="581"/>
      <c r="F122" s="581"/>
      <c r="G122" s="581"/>
      <c r="H122" s="581"/>
      <c r="I122" s="581"/>
      <c r="J122" s="581"/>
      <c r="K122" s="581"/>
      <c r="L122" s="581"/>
      <c r="M122" s="581"/>
      <c r="N122" s="581"/>
      <c r="O122" s="581"/>
      <c r="P122" s="581"/>
      <c r="Q122" s="581"/>
      <c r="R122" s="581"/>
      <c r="S122" s="581"/>
      <c r="T122" s="581"/>
      <c r="U122" s="581"/>
      <c r="V122" s="581"/>
      <c r="W122" s="581"/>
      <c r="X122" s="581"/>
      <c r="Y122" s="581"/>
      <c r="Z122" s="581"/>
      <c r="AA122" s="286">
        <f t="shared" si="6"/>
        <v>0</v>
      </c>
      <c r="AB122" s="287">
        <f t="shared" si="7"/>
        <v>0</v>
      </c>
    </row>
    <row r="123" spans="1:38" ht="40.049999999999997" customHeight="1" x14ac:dyDescent="0.3">
      <c r="A123" s="312" t="s">
        <v>316</v>
      </c>
      <c r="B123" s="313" t="s">
        <v>317</v>
      </c>
      <c r="C123" s="705"/>
      <c r="D123" s="585"/>
      <c r="E123" s="581"/>
      <c r="F123" s="581"/>
      <c r="G123" s="581"/>
      <c r="H123" s="581"/>
      <c r="I123" s="581"/>
      <c r="J123" s="581"/>
      <c r="K123" s="581"/>
      <c r="L123" s="581"/>
      <c r="M123" s="581"/>
      <c r="N123" s="581"/>
      <c r="O123" s="581"/>
      <c r="P123" s="581"/>
      <c r="Q123" s="581"/>
      <c r="R123" s="581"/>
      <c r="S123" s="581"/>
      <c r="T123" s="581"/>
      <c r="U123" s="581"/>
      <c r="V123" s="581"/>
      <c r="W123" s="581"/>
      <c r="X123" s="581"/>
      <c r="Y123" s="581"/>
      <c r="Z123" s="581"/>
      <c r="AA123" s="286">
        <f t="shared" si="6"/>
        <v>0</v>
      </c>
      <c r="AB123" s="287">
        <f t="shared" si="7"/>
        <v>0</v>
      </c>
    </row>
    <row r="124" spans="1:38" ht="40.049999999999997" customHeight="1" x14ac:dyDescent="0.3">
      <c r="A124" s="312" t="s">
        <v>318</v>
      </c>
      <c r="B124" s="313" t="s">
        <v>319</v>
      </c>
      <c r="C124" s="705"/>
      <c r="D124" s="585"/>
      <c r="E124" s="585"/>
      <c r="F124" s="581"/>
      <c r="G124" s="585"/>
      <c r="H124" s="581"/>
      <c r="I124" s="585"/>
      <c r="J124" s="581"/>
      <c r="K124" s="585"/>
      <c r="L124" s="581"/>
      <c r="M124" s="585"/>
      <c r="N124" s="581"/>
      <c r="O124" s="585"/>
      <c r="P124" s="581"/>
      <c r="Q124" s="585"/>
      <c r="R124" s="581"/>
      <c r="S124" s="585"/>
      <c r="T124" s="581"/>
      <c r="U124" s="585"/>
      <c r="V124" s="581"/>
      <c r="W124" s="585"/>
      <c r="X124" s="581"/>
      <c r="Y124" s="585"/>
      <c r="Z124" s="581"/>
      <c r="AA124" s="286">
        <f t="shared" si="6"/>
        <v>0</v>
      </c>
      <c r="AB124" s="287">
        <f t="shared" si="7"/>
        <v>0</v>
      </c>
    </row>
    <row r="125" spans="1:38" ht="40.049999999999997" customHeight="1" thickBot="1" x14ac:dyDescent="0.35">
      <c r="A125" s="303" t="s">
        <v>320</v>
      </c>
      <c r="B125" s="304" t="s">
        <v>321</v>
      </c>
      <c r="C125" s="708"/>
      <c r="D125" s="582"/>
      <c r="E125" s="583"/>
      <c r="F125" s="583"/>
      <c r="G125" s="583"/>
      <c r="H125" s="583"/>
      <c r="I125" s="583"/>
      <c r="J125" s="583"/>
      <c r="K125" s="583"/>
      <c r="L125" s="583"/>
      <c r="M125" s="583"/>
      <c r="N125" s="583"/>
      <c r="O125" s="583"/>
      <c r="P125" s="583"/>
      <c r="Q125" s="583"/>
      <c r="R125" s="583"/>
      <c r="S125" s="583"/>
      <c r="T125" s="583"/>
      <c r="U125" s="583"/>
      <c r="V125" s="583"/>
      <c r="W125" s="583"/>
      <c r="X125" s="583"/>
      <c r="Y125" s="583"/>
      <c r="Z125" s="583"/>
      <c r="AA125" s="583"/>
      <c r="AB125" s="350"/>
    </row>
    <row r="126" spans="1:38" ht="40.049999999999997" customHeight="1" x14ac:dyDescent="0.3">
      <c r="A126" s="274" t="s">
        <v>322</v>
      </c>
      <c r="B126" s="314" t="s">
        <v>323</v>
      </c>
      <c r="C126" s="708"/>
      <c r="D126" s="582"/>
      <c r="E126" s="583"/>
      <c r="F126" s="583"/>
      <c r="G126" s="583"/>
      <c r="H126" s="583"/>
      <c r="I126" s="583"/>
      <c r="J126" s="583"/>
      <c r="K126" s="583"/>
      <c r="L126" s="583"/>
      <c r="M126" s="583"/>
      <c r="N126" s="583"/>
      <c r="O126" s="583"/>
      <c r="P126" s="583"/>
      <c r="Q126" s="583"/>
      <c r="R126" s="583"/>
      <c r="S126" s="583"/>
      <c r="T126" s="583"/>
      <c r="U126" s="583"/>
      <c r="V126" s="583"/>
      <c r="W126" s="583"/>
      <c r="X126" s="583"/>
      <c r="Y126" s="583"/>
      <c r="Z126" s="583"/>
      <c r="AA126" s="583"/>
      <c r="AB126" s="350"/>
    </row>
    <row r="127" spans="1:38" ht="40.049999999999997" customHeight="1" x14ac:dyDescent="0.3">
      <c r="A127" s="308" t="s">
        <v>324</v>
      </c>
      <c r="B127" s="315" t="s">
        <v>325</v>
      </c>
      <c r="C127" s="705"/>
      <c r="D127" s="585"/>
      <c r="E127" s="578"/>
      <c r="F127" s="581"/>
      <c r="G127" s="578"/>
      <c r="H127" s="581"/>
      <c r="I127" s="578"/>
      <c r="J127" s="581"/>
      <c r="K127" s="578"/>
      <c r="L127" s="581"/>
      <c r="M127" s="578"/>
      <c r="N127" s="581"/>
      <c r="O127" s="578"/>
      <c r="P127" s="581"/>
      <c r="Q127" s="578"/>
      <c r="R127" s="581"/>
      <c r="S127" s="578"/>
      <c r="T127" s="581"/>
      <c r="U127" s="578"/>
      <c r="V127" s="581"/>
      <c r="W127" s="578"/>
      <c r="X127" s="581"/>
      <c r="Y127" s="578"/>
      <c r="Z127" s="581"/>
      <c r="AA127" s="286">
        <f t="shared" ref="AA127:AA138" si="8">COUNTIF(C127:Z127,"&gt;=R")</f>
        <v>0</v>
      </c>
      <c r="AB127" s="287">
        <f t="shared" ref="AB127:AB138" si="9">AA127</f>
        <v>0</v>
      </c>
    </row>
    <row r="128" spans="1:38" ht="40.049999999999997" customHeight="1" x14ac:dyDescent="0.3">
      <c r="A128" s="316" t="s">
        <v>326</v>
      </c>
      <c r="B128" s="317" t="s">
        <v>327</v>
      </c>
      <c r="C128" s="705"/>
      <c r="D128" s="585"/>
      <c r="E128" s="578"/>
      <c r="F128" s="581"/>
      <c r="G128" s="578"/>
      <c r="H128" s="581"/>
      <c r="I128" s="578"/>
      <c r="J128" s="581"/>
      <c r="K128" s="578"/>
      <c r="L128" s="581"/>
      <c r="M128" s="578"/>
      <c r="N128" s="581"/>
      <c r="O128" s="578"/>
      <c r="P128" s="581"/>
      <c r="Q128" s="578"/>
      <c r="R128" s="581"/>
      <c r="S128" s="578"/>
      <c r="T128" s="581"/>
      <c r="U128" s="578"/>
      <c r="V128" s="581"/>
      <c r="W128" s="578"/>
      <c r="X128" s="581"/>
      <c r="Y128" s="578"/>
      <c r="Z128" s="581"/>
      <c r="AA128" s="286">
        <f t="shared" si="8"/>
        <v>0</v>
      </c>
      <c r="AB128" s="287">
        <f t="shared" si="9"/>
        <v>0</v>
      </c>
    </row>
    <row r="129" spans="1:28" ht="40.049999999999997" customHeight="1" x14ac:dyDescent="0.3">
      <c r="A129" s="308" t="s">
        <v>328</v>
      </c>
      <c r="B129" s="315" t="s">
        <v>329</v>
      </c>
      <c r="C129" s="705"/>
      <c r="D129" s="585"/>
      <c r="E129" s="586"/>
      <c r="F129" s="581"/>
      <c r="G129" s="581"/>
      <c r="H129" s="581"/>
      <c r="I129" s="581"/>
      <c r="J129" s="581"/>
      <c r="K129" s="581"/>
      <c r="L129" s="581"/>
      <c r="M129" s="586"/>
      <c r="N129" s="581"/>
      <c r="O129" s="580"/>
      <c r="P129" s="581"/>
      <c r="Q129" s="580"/>
      <c r="R129" s="581"/>
      <c r="S129" s="580"/>
      <c r="T129" s="581"/>
      <c r="U129" s="580"/>
      <c r="V129" s="581"/>
      <c r="W129" s="580"/>
      <c r="X129" s="581"/>
      <c r="Y129" s="580"/>
      <c r="Z129" s="581"/>
      <c r="AA129" s="286">
        <f t="shared" si="8"/>
        <v>0</v>
      </c>
      <c r="AB129" s="287">
        <f t="shared" si="9"/>
        <v>0</v>
      </c>
    </row>
    <row r="130" spans="1:28" ht="40.049999999999997" customHeight="1" x14ac:dyDescent="0.3">
      <c r="A130" s="308" t="s">
        <v>330</v>
      </c>
      <c r="B130" s="315" t="s">
        <v>331</v>
      </c>
      <c r="C130" s="707"/>
      <c r="D130" s="585"/>
      <c r="E130" s="580"/>
      <c r="F130" s="581"/>
      <c r="G130" s="580"/>
      <c r="H130" s="581"/>
      <c r="I130" s="580"/>
      <c r="J130" s="581"/>
      <c r="K130" s="580"/>
      <c r="L130" s="581"/>
      <c r="M130" s="580"/>
      <c r="N130" s="581"/>
      <c r="O130" s="580"/>
      <c r="P130" s="581"/>
      <c r="Q130" s="580"/>
      <c r="R130" s="581"/>
      <c r="S130" s="580"/>
      <c r="T130" s="581"/>
      <c r="U130" s="580"/>
      <c r="V130" s="581"/>
      <c r="W130" s="580"/>
      <c r="X130" s="581"/>
      <c r="Y130" s="580"/>
      <c r="Z130" s="581"/>
      <c r="AA130" s="286">
        <f t="shared" si="8"/>
        <v>0</v>
      </c>
      <c r="AB130" s="287">
        <f t="shared" si="9"/>
        <v>0</v>
      </c>
    </row>
    <row r="131" spans="1:28" ht="40.049999999999997" customHeight="1" x14ac:dyDescent="0.3">
      <c r="A131" s="308" t="s">
        <v>332</v>
      </c>
      <c r="B131" s="315" t="s">
        <v>333</v>
      </c>
      <c r="C131" s="705"/>
      <c r="D131" s="585"/>
      <c r="E131" s="581"/>
      <c r="F131" s="581"/>
      <c r="G131" s="581"/>
      <c r="H131" s="581"/>
      <c r="I131" s="581"/>
      <c r="J131" s="581"/>
      <c r="K131" s="581"/>
      <c r="L131" s="581"/>
      <c r="M131" s="581"/>
      <c r="N131" s="581"/>
      <c r="O131" s="581"/>
      <c r="P131" s="581"/>
      <c r="Q131" s="581"/>
      <c r="R131" s="581"/>
      <c r="S131" s="581"/>
      <c r="T131" s="581"/>
      <c r="U131" s="581"/>
      <c r="V131" s="581"/>
      <c r="W131" s="581"/>
      <c r="X131" s="581"/>
      <c r="Y131" s="581"/>
      <c r="Z131" s="581"/>
      <c r="AA131" s="286">
        <f t="shared" si="8"/>
        <v>0</v>
      </c>
      <c r="AB131" s="287">
        <f t="shared" si="9"/>
        <v>0</v>
      </c>
    </row>
    <row r="132" spans="1:28" ht="40.049999999999997" customHeight="1" x14ac:dyDescent="0.3">
      <c r="A132" s="308" t="s">
        <v>334</v>
      </c>
      <c r="B132" s="315" t="s">
        <v>335</v>
      </c>
      <c r="C132" s="705"/>
      <c r="D132" s="579"/>
      <c r="E132" s="578"/>
      <c r="F132" s="580"/>
      <c r="G132" s="578"/>
      <c r="H132" s="580"/>
      <c r="I132" s="578"/>
      <c r="J132" s="580"/>
      <c r="K132" s="578"/>
      <c r="L132" s="581"/>
      <c r="M132" s="578"/>
      <c r="N132" s="581"/>
      <c r="O132" s="578"/>
      <c r="P132" s="581"/>
      <c r="Q132" s="578"/>
      <c r="R132" s="581"/>
      <c r="S132" s="578"/>
      <c r="T132" s="581"/>
      <c r="U132" s="578"/>
      <c r="V132" s="581"/>
      <c r="W132" s="578"/>
      <c r="X132" s="581"/>
      <c r="Y132" s="578"/>
      <c r="Z132" s="581"/>
      <c r="AA132" s="286">
        <f t="shared" si="8"/>
        <v>0</v>
      </c>
      <c r="AB132" s="287">
        <f t="shared" si="9"/>
        <v>0</v>
      </c>
    </row>
    <row r="133" spans="1:28" ht="40.049999999999997" customHeight="1" x14ac:dyDescent="0.3">
      <c r="A133" s="308" t="s">
        <v>336</v>
      </c>
      <c r="B133" s="315" t="s">
        <v>337</v>
      </c>
      <c r="C133" s="705"/>
      <c r="D133" s="585"/>
      <c r="E133" s="578"/>
      <c r="F133" s="581"/>
      <c r="G133" s="578"/>
      <c r="H133" s="581"/>
      <c r="I133" s="578"/>
      <c r="J133" s="581"/>
      <c r="K133" s="578"/>
      <c r="L133" s="581"/>
      <c r="M133" s="578"/>
      <c r="N133" s="581"/>
      <c r="O133" s="578"/>
      <c r="P133" s="581"/>
      <c r="Q133" s="578"/>
      <c r="R133" s="581"/>
      <c r="S133" s="578"/>
      <c r="T133" s="581"/>
      <c r="U133" s="578"/>
      <c r="V133" s="581"/>
      <c r="W133" s="578"/>
      <c r="X133" s="581"/>
      <c r="Y133" s="578"/>
      <c r="Z133" s="581"/>
      <c r="AA133" s="286">
        <f t="shared" si="8"/>
        <v>0</v>
      </c>
      <c r="AB133" s="287">
        <f t="shared" si="9"/>
        <v>0</v>
      </c>
    </row>
    <row r="134" spans="1:28" ht="40.049999999999997" customHeight="1" x14ac:dyDescent="0.3">
      <c r="A134" s="308" t="s">
        <v>338</v>
      </c>
      <c r="B134" s="315" t="s">
        <v>339</v>
      </c>
      <c r="C134" s="705"/>
      <c r="D134" s="585"/>
      <c r="E134" s="581"/>
      <c r="F134" s="581"/>
      <c r="G134" s="581"/>
      <c r="H134" s="581"/>
      <c r="I134" s="581"/>
      <c r="J134" s="581"/>
      <c r="K134" s="581"/>
      <c r="L134" s="581"/>
      <c r="M134" s="581"/>
      <c r="N134" s="581"/>
      <c r="O134" s="581"/>
      <c r="P134" s="581"/>
      <c r="Q134" s="581"/>
      <c r="R134" s="581"/>
      <c r="S134" s="581"/>
      <c r="T134" s="581"/>
      <c r="U134" s="581"/>
      <c r="V134" s="581"/>
      <c r="W134" s="581"/>
      <c r="X134" s="581"/>
      <c r="Y134" s="581"/>
      <c r="Z134" s="581"/>
      <c r="AA134" s="286">
        <f t="shared" si="8"/>
        <v>0</v>
      </c>
      <c r="AB134" s="287">
        <f t="shared" si="9"/>
        <v>0</v>
      </c>
    </row>
    <row r="135" spans="1:28" ht="40.049999999999997" customHeight="1" x14ac:dyDescent="0.3">
      <c r="A135" s="308" t="s">
        <v>340</v>
      </c>
      <c r="B135" s="315" t="s">
        <v>341</v>
      </c>
      <c r="C135" s="705"/>
      <c r="D135" s="585"/>
      <c r="E135" s="581"/>
      <c r="F135" s="581"/>
      <c r="G135" s="581"/>
      <c r="H135" s="581"/>
      <c r="I135" s="581"/>
      <c r="J135" s="581"/>
      <c r="K135" s="581"/>
      <c r="L135" s="581"/>
      <c r="M135" s="581"/>
      <c r="N135" s="581"/>
      <c r="O135" s="581"/>
      <c r="P135" s="581"/>
      <c r="Q135" s="581"/>
      <c r="R135" s="581"/>
      <c r="S135" s="581"/>
      <c r="T135" s="581"/>
      <c r="U135" s="581"/>
      <c r="V135" s="581"/>
      <c r="W135" s="581"/>
      <c r="X135" s="581"/>
      <c r="Y135" s="581"/>
      <c r="Z135" s="581"/>
      <c r="AA135" s="286">
        <f t="shared" si="8"/>
        <v>0</v>
      </c>
      <c r="AB135" s="287">
        <f t="shared" si="9"/>
        <v>0</v>
      </c>
    </row>
    <row r="136" spans="1:28" ht="40.049999999999997" customHeight="1" x14ac:dyDescent="0.3">
      <c r="A136" s="308" t="s">
        <v>342</v>
      </c>
      <c r="B136" s="315" t="s">
        <v>343</v>
      </c>
      <c r="C136" s="705"/>
      <c r="D136" s="585"/>
      <c r="E136" s="581"/>
      <c r="F136" s="581"/>
      <c r="G136" s="581"/>
      <c r="H136" s="581"/>
      <c r="I136" s="581"/>
      <c r="J136" s="581"/>
      <c r="K136" s="581"/>
      <c r="L136" s="581"/>
      <c r="M136" s="581"/>
      <c r="N136" s="581"/>
      <c r="O136" s="581"/>
      <c r="P136" s="581"/>
      <c r="Q136" s="581"/>
      <c r="R136" s="581"/>
      <c r="S136" s="581"/>
      <c r="T136" s="581"/>
      <c r="U136" s="581"/>
      <c r="V136" s="581"/>
      <c r="W136" s="581"/>
      <c r="X136" s="581"/>
      <c r="Y136" s="581"/>
      <c r="Z136" s="581"/>
      <c r="AA136" s="286">
        <f t="shared" si="8"/>
        <v>0</v>
      </c>
      <c r="AB136" s="287">
        <f t="shared" si="9"/>
        <v>0</v>
      </c>
    </row>
    <row r="137" spans="1:28" ht="40.049999999999997" customHeight="1" x14ac:dyDescent="0.3">
      <c r="A137" s="308" t="s">
        <v>344</v>
      </c>
      <c r="B137" s="315" t="s">
        <v>345</v>
      </c>
      <c r="C137" s="705"/>
      <c r="D137" s="585"/>
      <c r="E137" s="581"/>
      <c r="F137" s="581"/>
      <c r="G137" s="581"/>
      <c r="H137" s="581"/>
      <c r="I137" s="581"/>
      <c r="J137" s="581"/>
      <c r="K137" s="581"/>
      <c r="L137" s="581"/>
      <c r="M137" s="581"/>
      <c r="N137" s="581"/>
      <c r="O137" s="581"/>
      <c r="P137" s="581"/>
      <c r="Q137" s="581"/>
      <c r="R137" s="581"/>
      <c r="S137" s="581"/>
      <c r="T137" s="581"/>
      <c r="U137" s="581"/>
      <c r="V137" s="581"/>
      <c r="W137" s="581"/>
      <c r="X137" s="581"/>
      <c r="Y137" s="581"/>
      <c r="Z137" s="581"/>
      <c r="AA137" s="286">
        <f t="shared" si="8"/>
        <v>0</v>
      </c>
      <c r="AB137" s="287">
        <f t="shared" si="9"/>
        <v>0</v>
      </c>
    </row>
    <row r="138" spans="1:28" ht="40.049999999999997" customHeight="1" x14ac:dyDescent="0.3">
      <c r="A138" s="308" t="s">
        <v>346</v>
      </c>
      <c r="B138" s="315" t="s">
        <v>347</v>
      </c>
      <c r="C138" s="705"/>
      <c r="D138" s="585"/>
      <c r="E138" s="581"/>
      <c r="F138" s="581"/>
      <c r="G138" s="581"/>
      <c r="H138" s="581"/>
      <c r="I138" s="581"/>
      <c r="J138" s="581"/>
      <c r="K138" s="581"/>
      <c r="L138" s="581"/>
      <c r="M138" s="581"/>
      <c r="N138" s="581"/>
      <c r="O138" s="581"/>
      <c r="P138" s="581"/>
      <c r="Q138" s="581"/>
      <c r="R138" s="581"/>
      <c r="S138" s="581"/>
      <c r="T138" s="581"/>
      <c r="U138" s="581"/>
      <c r="V138" s="581"/>
      <c r="W138" s="581"/>
      <c r="X138" s="581"/>
      <c r="Y138" s="581"/>
      <c r="Z138" s="581"/>
      <c r="AA138" s="286">
        <f t="shared" si="8"/>
        <v>0</v>
      </c>
      <c r="AB138" s="287">
        <f t="shared" si="9"/>
        <v>0</v>
      </c>
    </row>
    <row r="139" spans="1:28" ht="40.049999999999997" customHeight="1" x14ac:dyDescent="0.3">
      <c r="A139" s="289" t="s">
        <v>348</v>
      </c>
      <c r="B139" s="311" t="s">
        <v>349</v>
      </c>
      <c r="C139" s="708"/>
      <c r="D139" s="582"/>
      <c r="E139" s="583"/>
      <c r="F139" s="583"/>
      <c r="G139" s="583"/>
      <c r="H139" s="583"/>
      <c r="I139" s="583"/>
      <c r="J139" s="583"/>
      <c r="K139" s="583"/>
      <c r="L139" s="583"/>
      <c r="M139" s="583"/>
      <c r="N139" s="583"/>
      <c r="O139" s="583"/>
      <c r="P139" s="583"/>
      <c r="Q139" s="583"/>
      <c r="R139" s="583"/>
      <c r="S139" s="583"/>
      <c r="T139" s="583"/>
      <c r="U139" s="583"/>
      <c r="V139" s="583"/>
      <c r="W139" s="583"/>
      <c r="X139" s="583"/>
      <c r="Y139" s="583"/>
      <c r="Z139" s="583"/>
      <c r="AA139" s="583"/>
      <c r="AB139" s="350"/>
    </row>
    <row r="140" spans="1:28" ht="40.049999999999997" customHeight="1" x14ac:dyDescent="0.3">
      <c r="A140" s="308" t="s">
        <v>350</v>
      </c>
      <c r="B140" s="309" t="s">
        <v>351</v>
      </c>
      <c r="C140" s="705"/>
      <c r="D140" s="585"/>
      <c r="E140" s="578"/>
      <c r="F140" s="581"/>
      <c r="G140" s="578"/>
      <c r="H140" s="581"/>
      <c r="I140" s="578"/>
      <c r="J140" s="581"/>
      <c r="K140" s="578"/>
      <c r="L140" s="581"/>
      <c r="M140" s="578"/>
      <c r="N140" s="581"/>
      <c r="O140" s="578"/>
      <c r="P140" s="581"/>
      <c r="Q140" s="578"/>
      <c r="R140" s="581"/>
      <c r="S140" s="578"/>
      <c r="T140" s="581"/>
      <c r="U140" s="578"/>
      <c r="V140" s="581"/>
      <c r="W140" s="578"/>
      <c r="X140" s="581"/>
      <c r="Y140" s="578"/>
      <c r="Z140" s="581"/>
      <c r="AA140" s="286">
        <f>COUNTIF(C140:Z140,"&gt;=R")</f>
        <v>0</v>
      </c>
      <c r="AB140" s="287">
        <f>AA140</f>
        <v>0</v>
      </c>
    </row>
    <row r="141" spans="1:28" ht="40.049999999999997" customHeight="1" x14ac:dyDescent="0.3">
      <c r="A141" s="308" t="s">
        <v>352</v>
      </c>
      <c r="B141" s="309" t="s">
        <v>353</v>
      </c>
      <c r="C141" s="705"/>
      <c r="D141" s="585"/>
      <c r="E141" s="734" t="s">
        <v>37</v>
      </c>
      <c r="F141" s="581"/>
      <c r="G141" s="734" t="s">
        <v>37</v>
      </c>
      <c r="H141" s="581"/>
      <c r="I141" s="734" t="s">
        <v>37</v>
      </c>
      <c r="J141" s="581"/>
      <c r="K141" s="734" t="s">
        <v>37</v>
      </c>
      <c r="L141" s="581"/>
      <c r="M141" s="734" t="s">
        <v>37</v>
      </c>
      <c r="N141" s="581"/>
      <c r="O141" s="734" t="s">
        <v>37</v>
      </c>
      <c r="P141" s="581"/>
      <c r="Q141" s="581"/>
      <c r="R141" s="581"/>
      <c r="S141" s="734" t="s">
        <v>37</v>
      </c>
      <c r="T141" s="581"/>
      <c r="U141" s="733" t="s">
        <v>37</v>
      </c>
      <c r="V141" s="581"/>
      <c r="W141" s="733" t="s">
        <v>37</v>
      </c>
      <c r="X141" s="581"/>
      <c r="Y141" s="733" t="s">
        <v>37</v>
      </c>
      <c r="Z141" s="581"/>
      <c r="AA141" s="286">
        <f>COUNTIF(C141:Z141,"&gt;=R")</f>
        <v>10</v>
      </c>
      <c r="AB141" s="287">
        <f>AA141</f>
        <v>10</v>
      </c>
    </row>
    <row r="142" spans="1:28" ht="40.049999999999997" customHeight="1" x14ac:dyDescent="0.3">
      <c r="A142" s="308" t="s">
        <v>354</v>
      </c>
      <c r="B142" s="309" t="s">
        <v>355</v>
      </c>
      <c r="C142" s="705"/>
      <c r="D142" s="585"/>
      <c r="E142" s="734" t="s">
        <v>37</v>
      </c>
      <c r="F142" s="581"/>
      <c r="G142" s="734" t="s">
        <v>37</v>
      </c>
      <c r="H142" s="581"/>
      <c r="I142" s="734" t="s">
        <v>37</v>
      </c>
      <c r="J142" s="581"/>
      <c r="K142" s="734" t="s">
        <v>37</v>
      </c>
      <c r="L142" s="581"/>
      <c r="M142" s="734" t="s">
        <v>37</v>
      </c>
      <c r="N142" s="581"/>
      <c r="O142" s="734" t="s">
        <v>37</v>
      </c>
      <c r="P142" s="581"/>
      <c r="Q142" s="581"/>
      <c r="R142" s="581"/>
      <c r="S142" s="734" t="s">
        <v>37</v>
      </c>
      <c r="T142" s="581"/>
      <c r="U142" s="733" t="s">
        <v>37</v>
      </c>
      <c r="V142" s="581"/>
      <c r="W142" s="733" t="s">
        <v>37</v>
      </c>
      <c r="X142" s="581"/>
      <c r="Y142" s="733" t="s">
        <v>37</v>
      </c>
      <c r="Z142" s="581"/>
      <c r="AA142" s="286">
        <f>COUNTIF(C142:Z142,"&gt;=R")</f>
        <v>10</v>
      </c>
      <c r="AB142" s="287">
        <f>AA142</f>
        <v>10</v>
      </c>
    </row>
    <row r="143" spans="1:28" ht="40.049999999999997" customHeight="1" x14ac:dyDescent="0.3">
      <c r="A143" s="289" t="s">
        <v>356</v>
      </c>
      <c r="B143" s="311" t="s">
        <v>357</v>
      </c>
      <c r="C143" s="708"/>
      <c r="D143" s="582"/>
      <c r="E143" s="583"/>
      <c r="F143" s="583"/>
      <c r="G143" s="583"/>
      <c r="H143" s="583"/>
      <c r="I143" s="583"/>
      <c r="J143" s="583"/>
      <c r="K143" s="583"/>
      <c r="L143" s="583"/>
      <c r="M143" s="583"/>
      <c r="N143" s="583"/>
      <c r="O143" s="583"/>
      <c r="P143" s="583"/>
      <c r="Q143" s="583"/>
      <c r="R143" s="583"/>
      <c r="S143" s="583"/>
      <c r="T143" s="583"/>
      <c r="U143" s="583"/>
      <c r="V143" s="583"/>
      <c r="W143" s="583"/>
      <c r="X143" s="583"/>
      <c r="Y143" s="583"/>
      <c r="Z143" s="583"/>
      <c r="AA143" s="583"/>
      <c r="AB143" s="350"/>
    </row>
    <row r="144" spans="1:28" ht="40.049999999999997" customHeight="1" x14ac:dyDescent="0.3">
      <c r="A144" s="308" t="s">
        <v>358</v>
      </c>
      <c r="B144" s="309" t="s">
        <v>359</v>
      </c>
      <c r="C144" s="745" t="s">
        <v>8</v>
      </c>
      <c r="D144" s="585"/>
      <c r="E144" s="746" t="s">
        <v>8</v>
      </c>
      <c r="F144" s="581"/>
      <c r="G144" s="578" t="s">
        <v>76</v>
      </c>
      <c r="H144" s="581"/>
      <c r="I144" s="578" t="s">
        <v>76</v>
      </c>
      <c r="J144" s="581"/>
      <c r="K144" s="578" t="s">
        <v>76</v>
      </c>
      <c r="L144" s="581"/>
      <c r="M144" s="578" t="s">
        <v>76</v>
      </c>
      <c r="N144" s="581"/>
      <c r="O144" s="578" t="s">
        <v>76</v>
      </c>
      <c r="P144" s="581"/>
      <c r="Q144" s="578" t="s">
        <v>76</v>
      </c>
      <c r="R144" s="581"/>
      <c r="S144" s="578" t="s">
        <v>76</v>
      </c>
      <c r="T144" s="581"/>
      <c r="U144" s="578" t="s">
        <v>76</v>
      </c>
      <c r="V144" s="581"/>
      <c r="W144" s="747" t="s">
        <v>8</v>
      </c>
      <c r="X144" s="581"/>
      <c r="Y144" s="747" t="s">
        <v>8</v>
      </c>
      <c r="Z144" s="581"/>
      <c r="AA144" s="286">
        <f>COUNTIF(C144:Z144,"&gt;=R")</f>
        <v>12</v>
      </c>
      <c r="AB144" s="287">
        <f>AA144</f>
        <v>12</v>
      </c>
    </row>
    <row r="145" spans="1:28" ht="40.049999999999997" customHeight="1" x14ac:dyDescent="0.3">
      <c r="A145" s="308" t="s">
        <v>360</v>
      </c>
      <c r="B145" s="309" t="s">
        <v>361</v>
      </c>
      <c r="C145" s="707" t="s">
        <v>91</v>
      </c>
      <c r="D145" s="585"/>
      <c r="E145" s="580" t="s">
        <v>26</v>
      </c>
      <c r="F145" s="581"/>
      <c r="G145" s="580" t="s">
        <v>26</v>
      </c>
      <c r="H145" s="581"/>
      <c r="I145" s="580" t="s">
        <v>26</v>
      </c>
      <c r="J145" s="581"/>
      <c r="K145" s="580" t="s">
        <v>26</v>
      </c>
      <c r="L145" s="581"/>
      <c r="M145" s="580" t="s">
        <v>26</v>
      </c>
      <c r="N145" s="581"/>
      <c r="O145" s="580" t="s">
        <v>26</v>
      </c>
      <c r="P145" s="581"/>
      <c r="Q145" s="580" t="s">
        <v>26</v>
      </c>
      <c r="R145" s="581"/>
      <c r="S145" s="580" t="s">
        <v>26</v>
      </c>
      <c r="T145" s="581"/>
      <c r="U145" s="580" t="s">
        <v>26</v>
      </c>
      <c r="V145" s="581"/>
      <c r="W145" s="580" t="s">
        <v>26</v>
      </c>
      <c r="X145" s="581"/>
      <c r="Y145" s="580" t="s">
        <v>26</v>
      </c>
      <c r="Z145" s="581"/>
      <c r="AA145" s="286">
        <f>COUNTIF(C145:Z145,"&gt;=R")</f>
        <v>12</v>
      </c>
      <c r="AB145" s="287">
        <f>AA145</f>
        <v>12</v>
      </c>
    </row>
    <row r="146" spans="1:28" ht="40.049999999999997" customHeight="1" x14ac:dyDescent="0.3">
      <c r="A146" s="308" t="s">
        <v>362</v>
      </c>
      <c r="B146" s="309" t="s">
        <v>363</v>
      </c>
      <c r="C146" s="705" t="s">
        <v>85</v>
      </c>
      <c r="D146" s="585"/>
      <c r="E146" s="578" t="s">
        <v>85</v>
      </c>
      <c r="F146" s="581"/>
      <c r="G146" s="578" t="s">
        <v>85</v>
      </c>
      <c r="H146" s="581"/>
      <c r="I146" s="578" t="s">
        <v>85</v>
      </c>
      <c r="J146" s="581"/>
      <c r="K146" s="578" t="s">
        <v>85</v>
      </c>
      <c r="L146" s="581"/>
      <c r="M146" s="578" t="s">
        <v>85</v>
      </c>
      <c r="N146" s="581"/>
      <c r="O146" s="578" t="s">
        <v>85</v>
      </c>
      <c r="P146" s="581"/>
      <c r="Q146" s="578" t="s">
        <v>85</v>
      </c>
      <c r="R146" s="581"/>
      <c r="S146" s="578" t="s">
        <v>85</v>
      </c>
      <c r="T146" s="581"/>
      <c r="U146" s="578" t="s">
        <v>85</v>
      </c>
      <c r="V146" s="581"/>
      <c r="W146" s="578" t="s">
        <v>85</v>
      </c>
      <c r="X146" s="581"/>
      <c r="Y146" s="578" t="s">
        <v>85</v>
      </c>
      <c r="Z146" s="581"/>
      <c r="AA146" s="286">
        <f>COUNTIF(C146:Z146,"&gt;=R")</f>
        <v>12</v>
      </c>
      <c r="AB146" s="287">
        <f>AA146</f>
        <v>12</v>
      </c>
    </row>
    <row r="147" spans="1:28" ht="40.049999999999997" customHeight="1" x14ac:dyDescent="0.3">
      <c r="A147" s="289" t="s">
        <v>364</v>
      </c>
      <c r="B147" s="290" t="s">
        <v>365</v>
      </c>
      <c r="C147" s="708"/>
      <c r="D147" s="582"/>
      <c r="E147" s="583"/>
      <c r="F147" s="583"/>
      <c r="G147" s="583"/>
      <c r="H147" s="583"/>
      <c r="I147" s="583"/>
      <c r="J147" s="583"/>
      <c r="K147" s="583"/>
      <c r="L147" s="583"/>
      <c r="M147" s="583"/>
      <c r="N147" s="583"/>
      <c r="O147" s="583"/>
      <c r="P147" s="583"/>
      <c r="Q147" s="583"/>
      <c r="R147" s="583"/>
      <c r="S147" s="583"/>
      <c r="T147" s="583"/>
      <c r="U147" s="583"/>
      <c r="V147" s="583"/>
      <c r="W147" s="583"/>
      <c r="X147" s="583"/>
      <c r="Y147" s="583"/>
      <c r="Z147" s="583"/>
      <c r="AA147" s="583"/>
      <c r="AB147" s="350"/>
    </row>
    <row r="148" spans="1:28" ht="40.049999999999997" customHeight="1" x14ac:dyDescent="0.3">
      <c r="A148" s="318" t="s">
        <v>366</v>
      </c>
      <c r="B148" s="319" t="s">
        <v>367</v>
      </c>
      <c r="C148" s="709"/>
      <c r="D148" s="585"/>
      <c r="E148" s="581"/>
      <c r="F148" s="581"/>
      <c r="G148" s="581"/>
      <c r="H148" s="581"/>
      <c r="I148" s="581"/>
      <c r="J148" s="581"/>
      <c r="K148" s="581"/>
      <c r="L148" s="581"/>
      <c r="M148" s="581"/>
      <c r="N148" s="581"/>
      <c r="O148" s="581"/>
      <c r="P148" s="581"/>
      <c r="Q148" s="581"/>
      <c r="R148" s="581"/>
      <c r="S148" s="581"/>
      <c r="T148" s="581"/>
      <c r="U148" s="581"/>
      <c r="V148" s="581"/>
      <c r="W148" s="581"/>
      <c r="X148" s="581"/>
      <c r="Y148" s="581"/>
      <c r="Z148" s="581"/>
      <c r="AA148" s="286">
        <f t="shared" ref="AA148:AA155" si="10">COUNTIF(C148:Z148,"&gt;=R")</f>
        <v>0</v>
      </c>
      <c r="AB148" s="287">
        <f t="shared" ref="AB148:AB155" si="11">AA148</f>
        <v>0</v>
      </c>
    </row>
    <row r="149" spans="1:28" ht="40.049999999999997" customHeight="1" x14ac:dyDescent="0.3">
      <c r="A149" s="320" t="s">
        <v>368</v>
      </c>
      <c r="B149" s="321" t="s">
        <v>369</v>
      </c>
      <c r="C149" s="709"/>
      <c r="D149" s="585"/>
      <c r="E149" s="581"/>
      <c r="F149" s="581"/>
      <c r="G149" s="581"/>
      <c r="H149" s="581"/>
      <c r="I149" s="581"/>
      <c r="J149" s="581"/>
      <c r="K149" s="581"/>
      <c r="L149" s="581"/>
      <c r="M149" s="581"/>
      <c r="N149" s="581"/>
      <c r="O149" s="581"/>
      <c r="P149" s="581"/>
      <c r="Q149" s="581"/>
      <c r="R149" s="581"/>
      <c r="S149" s="581"/>
      <c r="T149" s="581"/>
      <c r="U149" s="581"/>
      <c r="V149" s="581"/>
      <c r="W149" s="581"/>
      <c r="X149" s="581"/>
      <c r="Y149" s="581"/>
      <c r="Z149" s="581"/>
      <c r="AA149" s="286">
        <f t="shared" si="10"/>
        <v>0</v>
      </c>
      <c r="AB149" s="287">
        <f t="shared" si="11"/>
        <v>0</v>
      </c>
    </row>
    <row r="150" spans="1:28" ht="40.049999999999997" customHeight="1" x14ac:dyDescent="0.3">
      <c r="A150" s="320" t="s">
        <v>370</v>
      </c>
      <c r="B150" s="321" t="s">
        <v>371</v>
      </c>
      <c r="C150" s="707"/>
      <c r="D150" s="585"/>
      <c r="E150" s="580"/>
      <c r="F150" s="581"/>
      <c r="G150" s="580"/>
      <c r="H150" s="581"/>
      <c r="I150" s="580"/>
      <c r="J150" s="581"/>
      <c r="K150" s="580"/>
      <c r="L150" s="581"/>
      <c r="M150" s="580"/>
      <c r="N150" s="581"/>
      <c r="O150" s="580"/>
      <c r="P150" s="581"/>
      <c r="Q150" s="580"/>
      <c r="R150" s="581"/>
      <c r="S150" s="580"/>
      <c r="T150" s="581"/>
      <c r="U150" s="580"/>
      <c r="V150" s="581"/>
      <c r="W150" s="580"/>
      <c r="X150" s="581"/>
      <c r="Y150" s="580"/>
      <c r="Z150" s="581"/>
      <c r="AA150" s="286">
        <f t="shared" si="10"/>
        <v>0</v>
      </c>
      <c r="AB150" s="287">
        <f t="shared" si="11"/>
        <v>0</v>
      </c>
    </row>
    <row r="151" spans="1:28" ht="40.049999999999997" customHeight="1" x14ac:dyDescent="0.3">
      <c r="A151" s="322" t="s">
        <v>372</v>
      </c>
      <c r="B151" s="323" t="s">
        <v>373</v>
      </c>
      <c r="C151" s="707"/>
      <c r="D151" s="585"/>
      <c r="E151" s="581" t="s">
        <v>67</v>
      </c>
      <c r="F151" s="581"/>
      <c r="G151" s="581" t="s">
        <v>56</v>
      </c>
      <c r="H151" s="581"/>
      <c r="I151" s="580" t="s">
        <v>56</v>
      </c>
      <c r="J151" s="581"/>
      <c r="K151" s="580" t="s">
        <v>56</v>
      </c>
      <c r="L151" s="581"/>
      <c r="M151" s="580" t="s">
        <v>56</v>
      </c>
      <c r="N151" s="581"/>
      <c r="O151" s="580" t="s">
        <v>56</v>
      </c>
      <c r="P151" s="581"/>
      <c r="Q151" s="580"/>
      <c r="R151" s="581"/>
      <c r="S151" s="580"/>
      <c r="T151" s="581"/>
      <c r="U151" s="580"/>
      <c r="V151" s="581"/>
      <c r="W151" s="751" t="s">
        <v>8</v>
      </c>
      <c r="X151" s="581"/>
      <c r="Y151" s="581" t="s">
        <v>67</v>
      </c>
      <c r="Z151" s="581"/>
      <c r="AA151" s="286">
        <f t="shared" si="10"/>
        <v>8</v>
      </c>
      <c r="AB151" s="287">
        <f t="shared" si="11"/>
        <v>8</v>
      </c>
    </row>
    <row r="152" spans="1:28" ht="40.049999999999997" customHeight="1" x14ac:dyDescent="0.3">
      <c r="A152" s="322" t="s">
        <v>374</v>
      </c>
      <c r="B152" s="323" t="s">
        <v>375</v>
      </c>
      <c r="C152" s="707"/>
      <c r="D152" s="585"/>
      <c r="E152" s="581"/>
      <c r="F152" s="581"/>
      <c r="G152" s="581"/>
      <c r="H152" s="581"/>
      <c r="I152" s="580"/>
      <c r="J152" s="581"/>
      <c r="K152" s="580"/>
      <c r="L152" s="581"/>
      <c r="M152" s="580"/>
      <c r="N152" s="581"/>
      <c r="O152" s="580"/>
      <c r="P152" s="581"/>
      <c r="Q152" s="580"/>
      <c r="R152" s="581"/>
      <c r="S152" s="580"/>
      <c r="T152" s="581"/>
      <c r="U152" s="580"/>
      <c r="V152" s="581"/>
      <c r="W152" s="581"/>
      <c r="X152" s="581"/>
      <c r="Y152" s="581"/>
      <c r="Z152" s="581"/>
      <c r="AA152" s="286">
        <f t="shared" si="10"/>
        <v>0</v>
      </c>
      <c r="AB152" s="287">
        <f t="shared" si="11"/>
        <v>0</v>
      </c>
    </row>
    <row r="153" spans="1:28" ht="40.049999999999997" customHeight="1" x14ac:dyDescent="0.3">
      <c r="A153" s="322" t="s">
        <v>376</v>
      </c>
      <c r="B153" s="323" t="s">
        <v>377</v>
      </c>
      <c r="C153" s="707"/>
      <c r="D153" s="585"/>
      <c r="E153" s="580"/>
      <c r="F153" s="581"/>
      <c r="G153" s="580"/>
      <c r="H153" s="581"/>
      <c r="I153" s="580"/>
      <c r="J153" s="581"/>
      <c r="K153" s="580"/>
      <c r="L153" s="581"/>
      <c r="M153" s="580"/>
      <c r="N153" s="581"/>
      <c r="O153" s="580"/>
      <c r="P153" s="581"/>
      <c r="Q153" s="580"/>
      <c r="R153" s="581"/>
      <c r="S153" s="580"/>
      <c r="T153" s="581"/>
      <c r="U153" s="580"/>
      <c r="V153" s="581"/>
      <c r="W153" s="580"/>
      <c r="X153" s="581"/>
      <c r="Y153" s="580"/>
      <c r="Z153" s="581"/>
      <c r="AA153" s="286">
        <f t="shared" si="10"/>
        <v>0</v>
      </c>
      <c r="AB153" s="287">
        <f t="shared" si="11"/>
        <v>0</v>
      </c>
    </row>
    <row r="154" spans="1:28" ht="40.049999999999997" customHeight="1" x14ac:dyDescent="0.3">
      <c r="A154" s="322" t="s">
        <v>374</v>
      </c>
      <c r="B154" s="324" t="s">
        <v>375</v>
      </c>
      <c r="C154" s="709"/>
      <c r="D154" s="585"/>
      <c r="E154" s="581"/>
      <c r="F154" s="581"/>
      <c r="G154" s="581"/>
      <c r="H154" s="581"/>
      <c r="I154" s="581"/>
      <c r="J154" s="581"/>
      <c r="K154" s="581"/>
      <c r="L154" s="581"/>
      <c r="M154" s="581"/>
      <c r="N154" s="581"/>
      <c r="O154" s="581"/>
      <c r="P154" s="581"/>
      <c r="Q154" s="581"/>
      <c r="R154" s="581"/>
      <c r="S154" s="581"/>
      <c r="T154" s="581"/>
      <c r="U154" s="581"/>
      <c r="V154" s="581"/>
      <c r="W154" s="581"/>
      <c r="X154" s="581"/>
      <c r="Y154" s="581"/>
      <c r="Z154" s="581"/>
      <c r="AA154" s="286">
        <f t="shared" si="10"/>
        <v>0</v>
      </c>
      <c r="AB154" s="287">
        <f t="shared" si="11"/>
        <v>0</v>
      </c>
    </row>
    <row r="155" spans="1:28" ht="40.049999999999997" customHeight="1" x14ac:dyDescent="0.65">
      <c r="A155" s="357" t="s">
        <v>378</v>
      </c>
      <c r="B155" s="899" t="s">
        <v>379</v>
      </c>
      <c r="C155" s="709"/>
      <c r="D155" s="585"/>
      <c r="E155" s="581"/>
      <c r="F155" s="581"/>
      <c r="G155" s="581"/>
      <c r="H155" s="581"/>
      <c r="I155" s="581"/>
      <c r="J155" s="581"/>
      <c r="K155" s="581"/>
      <c r="L155" s="581"/>
      <c r="M155" s="581"/>
      <c r="N155" s="581"/>
      <c r="O155" s="581"/>
      <c r="P155" s="581"/>
      <c r="Q155" s="581"/>
      <c r="R155" s="581"/>
      <c r="S155" s="581"/>
      <c r="T155" s="581"/>
      <c r="U155" s="581"/>
      <c r="V155" s="581"/>
      <c r="W155" s="581"/>
      <c r="X155" s="581"/>
      <c r="Y155" s="581"/>
      <c r="Z155" s="581"/>
      <c r="AA155" s="286">
        <f t="shared" si="10"/>
        <v>0</v>
      </c>
      <c r="AB155" s="287">
        <f t="shared" si="11"/>
        <v>0</v>
      </c>
    </row>
    <row r="156" spans="1:28" ht="40.049999999999997" customHeight="1" x14ac:dyDescent="0.3">
      <c r="A156" s="289" t="s">
        <v>380</v>
      </c>
      <c r="B156" s="290" t="s">
        <v>381</v>
      </c>
      <c r="C156" s="708"/>
      <c r="D156" s="582"/>
      <c r="E156" s="583"/>
      <c r="F156" s="583"/>
      <c r="G156" s="583"/>
      <c r="H156" s="583"/>
      <c r="I156" s="583"/>
      <c r="J156" s="583"/>
      <c r="K156" s="583"/>
      <c r="L156" s="583"/>
      <c r="M156" s="583"/>
      <c r="N156" s="583"/>
      <c r="O156" s="583"/>
      <c r="P156" s="583"/>
      <c r="Q156" s="583"/>
      <c r="R156" s="583"/>
      <c r="S156" s="583"/>
      <c r="T156" s="583"/>
      <c r="U156" s="583"/>
      <c r="V156" s="583"/>
      <c r="W156" s="583"/>
      <c r="X156" s="583"/>
      <c r="Y156" s="583"/>
      <c r="Z156" s="583"/>
      <c r="AA156" s="583"/>
      <c r="AB156" s="350"/>
    </row>
    <row r="157" spans="1:28" ht="40.049999999999997" customHeight="1" x14ac:dyDescent="0.3">
      <c r="A157" s="308" t="s">
        <v>382</v>
      </c>
      <c r="B157" s="309" t="s">
        <v>383</v>
      </c>
      <c r="C157" s="705"/>
      <c r="D157" s="585"/>
      <c r="E157" s="581"/>
      <c r="F157" s="581"/>
      <c r="G157" s="581"/>
      <c r="H157" s="581"/>
      <c r="I157" s="581"/>
      <c r="J157" s="581"/>
      <c r="K157" s="581"/>
      <c r="L157" s="581"/>
      <c r="M157" s="581"/>
      <c r="N157" s="581"/>
      <c r="O157" s="581"/>
      <c r="P157" s="581"/>
      <c r="Q157" s="581"/>
      <c r="R157" s="581"/>
      <c r="S157" s="581"/>
      <c r="T157" s="581"/>
      <c r="U157" s="581"/>
      <c r="V157" s="581"/>
      <c r="W157" s="581"/>
      <c r="X157" s="581"/>
      <c r="Y157" s="581"/>
      <c r="Z157" s="581"/>
      <c r="AA157" s="286">
        <f>COUNTIF(C157:Z157,"&gt;=R")</f>
        <v>0</v>
      </c>
      <c r="AB157" s="287">
        <f>AA157</f>
        <v>0</v>
      </c>
    </row>
    <row r="158" spans="1:28" ht="40.049999999999997" customHeight="1" x14ac:dyDescent="0.3">
      <c r="A158" s="308" t="s">
        <v>384</v>
      </c>
      <c r="B158" s="309" t="s">
        <v>385</v>
      </c>
      <c r="C158" s="705"/>
      <c r="D158" s="585"/>
      <c r="E158" s="578"/>
      <c r="F158" s="581"/>
      <c r="G158" s="578"/>
      <c r="H158" s="581"/>
      <c r="I158" s="578"/>
      <c r="J158" s="581"/>
      <c r="K158" s="578"/>
      <c r="L158" s="581"/>
      <c r="M158" s="578"/>
      <c r="N158" s="581"/>
      <c r="O158" s="578"/>
      <c r="P158" s="581"/>
      <c r="Q158" s="578"/>
      <c r="R158" s="581"/>
      <c r="S158" s="578"/>
      <c r="T158" s="581"/>
      <c r="U158" s="578"/>
      <c r="V158" s="581"/>
      <c r="W158" s="578"/>
      <c r="X158" s="581"/>
      <c r="Y158" s="578"/>
      <c r="Z158" s="581"/>
      <c r="AA158" s="286">
        <f>COUNTIF(C158:Z158,"&gt;=R")</f>
        <v>0</v>
      </c>
      <c r="AB158" s="287">
        <f>AA158</f>
        <v>0</v>
      </c>
    </row>
    <row r="159" spans="1:28" ht="40.049999999999997" customHeight="1" x14ac:dyDescent="0.3">
      <c r="A159" s="308" t="s">
        <v>386</v>
      </c>
      <c r="B159" s="309" t="s">
        <v>387</v>
      </c>
      <c r="C159" s="705"/>
      <c r="D159" s="585"/>
      <c r="E159" s="578"/>
      <c r="F159" s="581"/>
      <c r="G159" s="578"/>
      <c r="H159" s="581"/>
      <c r="I159" s="578"/>
      <c r="J159" s="581"/>
      <c r="K159" s="578"/>
      <c r="L159" s="581"/>
      <c r="M159" s="578"/>
      <c r="N159" s="581"/>
      <c r="O159" s="578"/>
      <c r="P159" s="581"/>
      <c r="Q159" s="578"/>
      <c r="R159" s="581"/>
      <c r="S159" s="578"/>
      <c r="T159" s="581"/>
      <c r="U159" s="578"/>
      <c r="V159" s="581"/>
      <c r="W159" s="578"/>
      <c r="X159" s="581"/>
      <c r="Y159" s="578"/>
      <c r="Z159" s="581"/>
      <c r="AA159" s="286">
        <f>COUNTIF(C159:Z159,"&gt;=R")</f>
        <v>0</v>
      </c>
      <c r="AB159" s="287">
        <f>AA159</f>
        <v>0</v>
      </c>
    </row>
    <row r="160" spans="1:28" ht="40.049999999999997" customHeight="1" x14ac:dyDescent="0.3">
      <c r="A160" s="308" t="s">
        <v>388</v>
      </c>
      <c r="B160" s="309" t="s">
        <v>389</v>
      </c>
      <c r="C160" s="705"/>
      <c r="D160" s="585"/>
      <c r="E160" s="578"/>
      <c r="F160" s="581"/>
      <c r="G160" s="578"/>
      <c r="H160" s="581"/>
      <c r="I160" s="578"/>
      <c r="J160" s="581"/>
      <c r="K160" s="578"/>
      <c r="L160" s="581"/>
      <c r="M160" s="578"/>
      <c r="N160" s="581"/>
      <c r="O160" s="578"/>
      <c r="P160" s="581"/>
      <c r="Q160" s="578"/>
      <c r="R160" s="581"/>
      <c r="S160" s="578"/>
      <c r="T160" s="581"/>
      <c r="U160" s="578"/>
      <c r="V160" s="581"/>
      <c r="W160" s="578"/>
      <c r="X160" s="581"/>
      <c r="Y160" s="578"/>
      <c r="Z160" s="581"/>
      <c r="AA160" s="286">
        <f>COUNTIF(C160:Z160,"&gt;=R")</f>
        <v>0</v>
      </c>
      <c r="AB160" s="287">
        <f>AA160</f>
        <v>0</v>
      </c>
    </row>
    <row r="161" spans="1:56" ht="40.049999999999997" customHeight="1" x14ac:dyDescent="0.3">
      <c r="A161" s="289" t="s">
        <v>390</v>
      </c>
      <c r="B161" s="311" t="s">
        <v>391</v>
      </c>
      <c r="C161" s="708"/>
      <c r="D161" s="582"/>
      <c r="E161" s="583"/>
      <c r="F161" s="583"/>
      <c r="G161" s="583"/>
      <c r="H161" s="583"/>
      <c r="I161" s="583"/>
      <c r="J161" s="583"/>
      <c r="K161" s="583"/>
      <c r="L161" s="583"/>
      <c r="M161" s="583"/>
      <c r="N161" s="583"/>
      <c r="O161" s="583"/>
      <c r="P161" s="583"/>
      <c r="Q161" s="583"/>
      <c r="R161" s="583"/>
      <c r="S161" s="583"/>
      <c r="T161" s="583"/>
      <c r="U161" s="583"/>
      <c r="V161" s="583"/>
      <c r="W161" s="583"/>
      <c r="X161" s="583"/>
      <c r="Y161" s="583"/>
      <c r="Z161" s="583"/>
      <c r="AA161" s="583"/>
      <c r="AB161" s="350"/>
    </row>
    <row r="162" spans="1:56" ht="40.049999999999997" customHeight="1" x14ac:dyDescent="0.3">
      <c r="A162" s="320" t="s">
        <v>392</v>
      </c>
      <c r="B162" s="321" t="s">
        <v>393</v>
      </c>
      <c r="C162" s="705"/>
      <c r="D162" s="585"/>
      <c r="E162" s="578"/>
      <c r="F162" s="581"/>
      <c r="G162" s="578"/>
      <c r="H162" s="581"/>
      <c r="I162" s="581"/>
      <c r="J162" s="581"/>
      <c r="K162" s="578"/>
      <c r="L162" s="581"/>
      <c r="M162" s="578"/>
      <c r="N162" s="581"/>
      <c r="O162" s="578"/>
      <c r="P162" s="581"/>
      <c r="Q162" s="578"/>
      <c r="R162" s="581"/>
      <c r="S162" s="578"/>
      <c r="T162" s="581"/>
      <c r="U162" s="578"/>
      <c r="V162" s="581"/>
      <c r="W162" s="578"/>
      <c r="X162" s="581"/>
      <c r="Y162" s="578"/>
      <c r="Z162" s="581"/>
      <c r="AA162" s="286">
        <f>COUNTIF(C162:Z162,"&gt;=R")</f>
        <v>0</v>
      </c>
      <c r="AB162" s="287">
        <f>AA162</f>
        <v>0</v>
      </c>
    </row>
    <row r="163" spans="1:56" ht="40.049999999999997" customHeight="1" x14ac:dyDescent="0.65">
      <c r="A163" s="320" t="s">
        <v>394</v>
      </c>
      <c r="B163" s="321" t="s">
        <v>395</v>
      </c>
      <c r="C163" s="705"/>
      <c r="D163" s="585"/>
      <c r="E163" s="578"/>
      <c r="F163" s="581"/>
      <c r="G163" s="578"/>
      <c r="H163" s="581"/>
      <c r="I163" s="581"/>
      <c r="J163" s="581"/>
      <c r="K163" s="578"/>
      <c r="L163" s="581"/>
      <c r="M163" s="578"/>
      <c r="N163" s="581"/>
      <c r="O163" s="578"/>
      <c r="P163" s="581"/>
      <c r="Q163" s="578"/>
      <c r="R163" s="581"/>
      <c r="S163" s="578"/>
      <c r="T163" s="581"/>
      <c r="U163" s="578"/>
      <c r="V163" s="581"/>
      <c r="W163" s="578"/>
      <c r="X163" s="581"/>
      <c r="Y163" s="578"/>
      <c r="Z163" s="581"/>
      <c r="AA163" s="286">
        <f>COUNTIF(C163:Z163,"&gt;=R")</f>
        <v>0</v>
      </c>
      <c r="AB163" s="287">
        <f>AA163</f>
        <v>0</v>
      </c>
      <c r="AC163" s="393"/>
      <c r="AD163" s="393"/>
      <c r="AE163" s="393"/>
      <c r="AF163" s="393"/>
      <c r="AG163" s="393"/>
      <c r="AH163" s="393"/>
      <c r="AI163" s="393"/>
      <c r="AJ163" s="393"/>
      <c r="AK163" s="393"/>
      <c r="AL163" s="393"/>
    </row>
    <row r="164" spans="1:56" ht="40.049999999999997" customHeight="1" thickBot="1" x14ac:dyDescent="0.7">
      <c r="A164" s="325" t="s">
        <v>396</v>
      </c>
      <c r="B164" s="326" t="s">
        <v>397</v>
      </c>
      <c r="C164" s="710"/>
      <c r="D164" s="588"/>
      <c r="E164" s="587"/>
      <c r="F164" s="589"/>
      <c r="G164" s="587"/>
      <c r="H164" s="589"/>
      <c r="I164" s="589"/>
      <c r="J164" s="589"/>
      <c r="K164" s="587"/>
      <c r="L164" s="589"/>
      <c r="M164" s="587"/>
      <c r="N164" s="589"/>
      <c r="O164" s="587"/>
      <c r="P164" s="589"/>
      <c r="Q164" s="587"/>
      <c r="R164" s="589"/>
      <c r="S164" s="587"/>
      <c r="T164" s="589"/>
      <c r="U164" s="587"/>
      <c r="V164" s="589"/>
      <c r="W164" s="587"/>
      <c r="X164" s="589"/>
      <c r="Y164" s="587"/>
      <c r="Z164" s="589"/>
      <c r="AA164" s="286">
        <f>COUNTIF(C164:Z164,"&gt;=R")</f>
        <v>0</v>
      </c>
      <c r="AB164" s="287">
        <f>AA164</f>
        <v>0</v>
      </c>
      <c r="AC164" s="393"/>
      <c r="AD164" s="393"/>
      <c r="AE164" s="393"/>
      <c r="AF164" s="393"/>
      <c r="AG164" s="393"/>
      <c r="AH164" s="393"/>
      <c r="AI164" s="393"/>
      <c r="AJ164" s="393"/>
      <c r="AK164" s="393"/>
      <c r="AL164" s="393"/>
    </row>
    <row r="165" spans="1:56" ht="25.2" customHeight="1" x14ac:dyDescent="0.55000000000000004">
      <c r="A165" s="214"/>
      <c r="B165" s="215"/>
      <c r="C165" s="592"/>
      <c r="D165" s="592"/>
      <c r="E165" s="592"/>
      <c r="F165" s="592"/>
      <c r="G165" s="592"/>
      <c r="H165" s="592"/>
      <c r="I165" s="592"/>
      <c r="J165" s="592"/>
      <c r="K165" s="592"/>
      <c r="L165" s="592"/>
      <c r="M165" s="592"/>
      <c r="N165" s="592"/>
      <c r="O165" s="592"/>
      <c r="P165" s="592"/>
      <c r="Q165" s="592"/>
      <c r="R165" s="592"/>
      <c r="S165" s="592"/>
      <c r="T165" s="592"/>
      <c r="U165" s="592"/>
      <c r="V165" s="592"/>
      <c r="W165" s="592"/>
      <c r="X165" s="592"/>
      <c r="Y165" s="592"/>
      <c r="Z165" s="592"/>
      <c r="AA165" s="592"/>
      <c r="AB165" s="592"/>
      <c r="AC165" s="210"/>
      <c r="AD165" s="210"/>
      <c r="AE165" s="210"/>
      <c r="AF165" s="210"/>
      <c r="AG165" s="210"/>
      <c r="AH165" s="210"/>
      <c r="AI165" s="210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</row>
    <row r="166" spans="1:56" ht="25.2" customHeight="1" x14ac:dyDescent="0.55000000000000004">
      <c r="A166" s="214"/>
      <c r="B166" s="215"/>
      <c r="C166" s="592"/>
      <c r="D166" s="592"/>
      <c r="E166" s="592"/>
      <c r="F166" s="592"/>
      <c r="G166" s="592"/>
      <c r="H166" s="592"/>
      <c r="I166" s="592"/>
      <c r="J166" s="592"/>
      <c r="K166" s="592"/>
      <c r="L166" s="592"/>
      <c r="M166" s="592"/>
      <c r="N166" s="592"/>
      <c r="O166" s="592"/>
      <c r="P166" s="592"/>
      <c r="Q166" s="592"/>
      <c r="R166" s="592"/>
      <c r="S166" s="592"/>
      <c r="T166" s="592"/>
      <c r="U166" s="592"/>
      <c r="V166" s="592"/>
      <c r="W166" s="592"/>
      <c r="X166" s="592"/>
      <c r="Y166" s="592"/>
      <c r="Z166" s="592"/>
      <c r="AA166" s="592"/>
      <c r="AB166" s="592"/>
      <c r="AC166" s="210"/>
      <c r="AD166" s="210"/>
      <c r="AE166" s="210"/>
      <c r="AF166" s="210"/>
      <c r="AG166" s="210"/>
      <c r="AH166" s="210"/>
      <c r="AI166" s="210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</row>
    <row r="167" spans="1:56" ht="25.2" customHeight="1" x14ac:dyDescent="0.55000000000000004">
      <c r="A167" s="214"/>
      <c r="B167" s="215"/>
      <c r="C167" s="592"/>
      <c r="D167" s="592"/>
      <c r="E167" s="592"/>
      <c r="F167" s="592"/>
      <c r="G167" s="592"/>
      <c r="H167" s="592"/>
      <c r="I167" s="592"/>
      <c r="J167" s="592"/>
      <c r="K167" s="592"/>
      <c r="L167" s="592"/>
      <c r="M167" s="592"/>
      <c r="N167" s="592"/>
      <c r="O167" s="592"/>
      <c r="P167" s="592"/>
      <c r="Q167" s="592"/>
      <c r="R167" s="592"/>
      <c r="S167" s="592"/>
      <c r="T167" s="592"/>
      <c r="U167" s="592"/>
      <c r="V167" s="592"/>
      <c r="W167" s="592"/>
      <c r="X167" s="592"/>
      <c r="Y167" s="592"/>
      <c r="Z167" s="592"/>
      <c r="AA167" s="592"/>
      <c r="AB167" s="592"/>
      <c r="AC167" s="210"/>
      <c r="AD167" s="210"/>
      <c r="AE167" s="210"/>
      <c r="AF167" s="210"/>
      <c r="AG167" s="210"/>
      <c r="AH167" s="210"/>
      <c r="AI167" s="210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</row>
    <row r="168" spans="1:56" ht="25.2" customHeight="1" x14ac:dyDescent="0.55000000000000004">
      <c r="A168" s="214"/>
      <c r="B168" s="215"/>
      <c r="C168" s="592"/>
      <c r="D168" s="592"/>
      <c r="E168" s="592"/>
      <c r="F168" s="592"/>
      <c r="G168" s="592"/>
      <c r="H168" s="592"/>
      <c r="I168" s="592"/>
      <c r="J168" s="592"/>
      <c r="K168" s="592"/>
      <c r="L168" s="592"/>
      <c r="M168" s="592"/>
      <c r="N168" s="592"/>
      <c r="O168" s="592"/>
      <c r="P168" s="592"/>
      <c r="Q168" s="592"/>
      <c r="R168" s="592"/>
      <c r="S168" s="592"/>
      <c r="T168" s="592"/>
      <c r="U168" s="592"/>
      <c r="V168" s="592"/>
      <c r="W168" s="592"/>
      <c r="X168" s="592"/>
      <c r="Y168" s="592"/>
      <c r="Z168" s="592"/>
      <c r="AA168" s="592"/>
      <c r="AB168" s="592"/>
      <c r="AC168" s="210"/>
      <c r="AD168" s="210"/>
      <c r="AE168" s="210"/>
      <c r="AF168" s="210"/>
      <c r="AG168" s="210"/>
      <c r="AH168" s="210"/>
      <c r="AI168" s="210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</row>
    <row r="169" spans="1:56" ht="25.2" customHeight="1" x14ac:dyDescent="0.55000000000000004">
      <c r="A169" s="214"/>
      <c r="B169" s="215"/>
      <c r="C169" s="592"/>
      <c r="D169" s="592"/>
      <c r="E169" s="592"/>
      <c r="F169" s="592"/>
      <c r="G169" s="592"/>
      <c r="H169" s="592"/>
      <c r="I169" s="592"/>
      <c r="J169" s="592"/>
      <c r="K169" s="592"/>
      <c r="L169" s="592"/>
      <c r="M169" s="592"/>
      <c r="N169" s="592"/>
      <c r="O169" s="592"/>
      <c r="P169" s="592"/>
      <c r="Q169" s="592"/>
      <c r="R169" s="592"/>
      <c r="S169" s="592"/>
      <c r="T169" s="592"/>
      <c r="U169" s="592"/>
      <c r="V169" s="592"/>
      <c r="W169" s="592"/>
      <c r="X169" s="592"/>
      <c r="Y169" s="592"/>
      <c r="Z169" s="592"/>
      <c r="AA169" s="592"/>
      <c r="AB169" s="592"/>
      <c r="AC169" s="210"/>
      <c r="AD169" s="210"/>
      <c r="AE169" s="210"/>
      <c r="AF169" s="210"/>
      <c r="AG169" s="210"/>
      <c r="AH169" s="210"/>
      <c r="AI169" s="210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</row>
    <row r="170" spans="1:56" ht="25.2" customHeight="1" x14ac:dyDescent="0.55000000000000004">
      <c r="A170" s="214"/>
      <c r="B170" s="215"/>
      <c r="C170" s="592"/>
      <c r="D170" s="592"/>
      <c r="E170" s="592"/>
      <c r="F170" s="592"/>
      <c r="G170" s="592"/>
      <c r="H170" s="592"/>
      <c r="I170" s="592"/>
      <c r="J170" s="592"/>
      <c r="K170" s="592"/>
      <c r="L170" s="592"/>
      <c r="M170" s="592"/>
      <c r="N170" s="592"/>
      <c r="O170" s="592"/>
      <c r="P170" s="592"/>
      <c r="Q170" s="592"/>
      <c r="R170" s="592"/>
      <c r="S170" s="592"/>
      <c r="T170" s="592"/>
      <c r="U170" s="592"/>
      <c r="V170" s="592"/>
      <c r="W170" s="592"/>
      <c r="X170" s="592"/>
      <c r="Y170" s="592"/>
      <c r="Z170" s="592"/>
      <c r="AA170" s="592"/>
      <c r="AB170" s="592"/>
      <c r="AC170" s="210"/>
      <c r="AD170" s="210"/>
      <c r="AE170" s="210"/>
      <c r="AF170" s="210"/>
      <c r="AG170" s="210"/>
      <c r="AH170" s="210"/>
      <c r="AI170" s="210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</row>
    <row r="171" spans="1:56" ht="25.2" customHeight="1" x14ac:dyDescent="0.55000000000000004">
      <c r="A171" s="214"/>
      <c r="B171" s="215"/>
      <c r="C171" s="592"/>
      <c r="D171" s="592"/>
      <c r="E171" s="592"/>
      <c r="F171" s="592"/>
      <c r="G171" s="592"/>
      <c r="H171" s="592"/>
      <c r="I171" s="592"/>
      <c r="J171" s="592"/>
      <c r="K171" s="592"/>
      <c r="L171" s="592"/>
      <c r="M171" s="592"/>
      <c r="N171" s="592"/>
      <c r="O171" s="592"/>
      <c r="P171" s="592"/>
      <c r="Q171" s="592"/>
      <c r="R171" s="592"/>
      <c r="S171" s="592"/>
      <c r="T171" s="592"/>
      <c r="U171" s="592"/>
      <c r="V171" s="592"/>
      <c r="W171" s="592"/>
      <c r="X171" s="592"/>
      <c r="Y171" s="592"/>
      <c r="Z171" s="592"/>
      <c r="AA171" s="592"/>
      <c r="AB171" s="592"/>
      <c r="AC171" s="210"/>
      <c r="AD171" s="210"/>
      <c r="AE171" s="210"/>
      <c r="AF171" s="210"/>
      <c r="AG171" s="210"/>
      <c r="AH171" s="210"/>
      <c r="AI171" s="210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</row>
    <row r="172" spans="1:56" ht="25.2" customHeight="1" x14ac:dyDescent="0.55000000000000004">
      <c r="A172" s="216"/>
      <c r="B172" s="215"/>
      <c r="C172" s="592"/>
      <c r="D172" s="592"/>
      <c r="E172" s="592"/>
      <c r="F172" s="592"/>
      <c r="G172" s="592"/>
      <c r="H172" s="592"/>
      <c r="I172" s="592"/>
      <c r="J172" s="592"/>
      <c r="K172" s="592"/>
      <c r="L172" s="592"/>
      <c r="M172" s="592"/>
      <c r="N172" s="592"/>
      <c r="O172" s="592"/>
      <c r="P172" s="592"/>
      <c r="Q172" s="592"/>
      <c r="R172" s="592"/>
      <c r="S172" s="592"/>
      <c r="T172" s="592"/>
      <c r="U172" s="592"/>
      <c r="V172" s="592"/>
      <c r="W172" s="592"/>
      <c r="X172" s="592"/>
      <c r="Y172" s="592"/>
      <c r="Z172" s="592"/>
      <c r="AA172" s="592"/>
      <c r="AB172" s="592"/>
      <c r="AC172" s="210"/>
      <c r="AD172" s="210"/>
      <c r="AE172" s="210"/>
      <c r="AF172" s="210"/>
      <c r="AG172" s="210"/>
      <c r="AH172" s="210"/>
      <c r="AI172" s="210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</row>
    <row r="173" spans="1:56" ht="25.2" customHeight="1" x14ac:dyDescent="0.55000000000000004">
      <c r="A173" s="216"/>
      <c r="B173" s="215"/>
      <c r="C173" s="592"/>
      <c r="D173" s="592"/>
      <c r="E173" s="592"/>
      <c r="F173" s="592"/>
      <c r="G173" s="592"/>
      <c r="H173" s="592"/>
      <c r="I173" s="592"/>
      <c r="J173" s="592"/>
      <c r="K173" s="592"/>
      <c r="L173" s="592"/>
      <c r="M173" s="592"/>
      <c r="N173" s="592"/>
      <c r="O173" s="592"/>
      <c r="P173" s="592"/>
      <c r="Q173" s="592"/>
      <c r="R173" s="592"/>
      <c r="S173" s="592"/>
      <c r="T173" s="592"/>
      <c r="U173" s="592"/>
      <c r="V173" s="592"/>
      <c r="W173" s="592"/>
      <c r="X173" s="592"/>
      <c r="Y173" s="592"/>
      <c r="Z173" s="592"/>
      <c r="AA173" s="592"/>
      <c r="AB173" s="592"/>
      <c r="AC173" s="210"/>
      <c r="AD173" s="210"/>
      <c r="AE173" s="210"/>
      <c r="AF173" s="210"/>
      <c r="AG173" s="210"/>
      <c r="AH173" s="210"/>
      <c r="AI173" s="210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</row>
    <row r="174" spans="1:56" ht="25.2" customHeight="1" x14ac:dyDescent="0.55000000000000004">
      <c r="A174" s="216"/>
      <c r="B174" s="215"/>
      <c r="C174" s="592"/>
      <c r="D174" s="592"/>
      <c r="E174" s="592"/>
      <c r="F174" s="592"/>
      <c r="G174" s="592"/>
      <c r="H174" s="592"/>
      <c r="I174" s="592"/>
      <c r="J174" s="592"/>
      <c r="K174" s="592"/>
      <c r="L174" s="592"/>
      <c r="M174" s="592"/>
      <c r="N174" s="592"/>
      <c r="O174" s="592"/>
      <c r="P174" s="592"/>
      <c r="Q174" s="592"/>
      <c r="R174" s="592"/>
      <c r="S174" s="592"/>
      <c r="T174" s="592"/>
      <c r="U174" s="592"/>
      <c r="V174" s="592"/>
      <c r="W174" s="592"/>
      <c r="X174" s="592"/>
      <c r="Y174" s="592"/>
      <c r="Z174" s="592"/>
      <c r="AA174" s="592"/>
      <c r="AB174" s="592"/>
      <c r="AC174" s="210"/>
      <c r="AD174" s="210"/>
      <c r="AE174" s="210"/>
      <c r="AF174" s="210"/>
      <c r="AG174" s="210"/>
      <c r="AH174" s="210"/>
      <c r="AI174" s="210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</row>
    <row r="175" spans="1:56" ht="25.2" customHeight="1" x14ac:dyDescent="0.55000000000000004">
      <c r="A175" s="216"/>
      <c r="B175" s="215"/>
      <c r="C175" s="592"/>
      <c r="D175" s="592"/>
      <c r="E175" s="592"/>
      <c r="F175" s="592"/>
      <c r="G175" s="592"/>
      <c r="H175" s="592"/>
      <c r="I175" s="592"/>
      <c r="J175" s="592"/>
      <c r="K175" s="592"/>
      <c r="L175" s="592"/>
      <c r="M175" s="592"/>
      <c r="N175" s="592"/>
      <c r="O175" s="592"/>
      <c r="P175" s="592"/>
      <c r="Q175" s="592"/>
      <c r="R175" s="592"/>
      <c r="S175" s="592"/>
      <c r="T175" s="592"/>
      <c r="U175" s="592"/>
      <c r="V175" s="592"/>
      <c r="W175" s="592"/>
      <c r="X175" s="592"/>
      <c r="Y175" s="592"/>
      <c r="Z175" s="592"/>
      <c r="AA175" s="592"/>
      <c r="AB175" s="592"/>
      <c r="AC175" s="210"/>
      <c r="AD175" s="210"/>
      <c r="AE175" s="210"/>
      <c r="AF175" s="210"/>
      <c r="AG175" s="210"/>
      <c r="AH175" s="210"/>
      <c r="AI175" s="210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</row>
    <row r="176" spans="1:56" ht="25.2" customHeight="1" x14ac:dyDescent="0.55000000000000004">
      <c r="A176" s="217"/>
      <c r="B176" s="115"/>
      <c r="C176" s="592"/>
      <c r="D176" s="592"/>
      <c r="E176" s="592"/>
      <c r="F176" s="592"/>
      <c r="G176" s="592"/>
      <c r="H176" s="592"/>
      <c r="I176" s="592"/>
      <c r="J176" s="592"/>
      <c r="K176" s="592"/>
      <c r="L176" s="592"/>
      <c r="M176" s="592"/>
      <c r="N176" s="592"/>
      <c r="O176" s="592"/>
      <c r="P176" s="592"/>
      <c r="Q176" s="592"/>
      <c r="R176" s="592"/>
      <c r="S176" s="592"/>
      <c r="T176" s="592"/>
      <c r="U176" s="592"/>
      <c r="V176" s="592"/>
      <c r="W176" s="592"/>
      <c r="X176" s="592"/>
      <c r="Y176" s="592"/>
      <c r="Z176" s="592"/>
      <c r="AA176" s="592"/>
      <c r="AB176" s="592"/>
      <c r="AC176" s="210"/>
      <c r="AD176" s="210"/>
      <c r="AE176" s="210"/>
      <c r="AF176" s="210"/>
      <c r="AG176" s="210"/>
      <c r="AH176" s="210"/>
      <c r="AI176" s="210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</row>
    <row r="177" spans="1:56" ht="25.2" customHeight="1" x14ac:dyDescent="0.55000000000000004">
      <c r="A177" s="218"/>
      <c r="B177" s="219"/>
      <c r="C177" s="561"/>
      <c r="D177" s="595"/>
      <c r="E177" s="595"/>
      <c r="F177" s="595"/>
      <c r="G177" s="596"/>
      <c r="H177" s="596"/>
      <c r="I177" s="596"/>
      <c r="J177" s="596"/>
      <c r="K177" s="596"/>
      <c r="L177" s="596"/>
      <c r="M177" s="501"/>
      <c r="N177" s="595"/>
      <c r="O177" s="595"/>
      <c r="P177" s="595"/>
      <c r="Q177" s="595"/>
      <c r="R177" s="596"/>
      <c r="S177" s="596"/>
      <c r="T177" s="596"/>
      <c r="U177" s="501"/>
      <c r="V177" s="501"/>
      <c r="W177" s="596"/>
      <c r="X177" s="595"/>
      <c r="Y177" s="711"/>
      <c r="Z177" s="711"/>
      <c r="AA177" s="711"/>
      <c r="AB177" s="711"/>
      <c r="AC177" s="210"/>
      <c r="AD177" s="210"/>
      <c r="AE177" s="210"/>
      <c r="AF177" s="210"/>
      <c r="AG177" s="210"/>
      <c r="AH177" s="210"/>
      <c r="AI177" s="210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</row>
    <row r="178" spans="1:56" s="357" customFormat="1" ht="25.2" customHeight="1" x14ac:dyDescent="0.65">
      <c r="A178" s="480"/>
      <c r="B178" s="330" t="s">
        <v>398</v>
      </c>
      <c r="C178" s="597"/>
      <c r="D178" s="1153" t="s">
        <v>44</v>
      </c>
      <c r="E178" s="1009"/>
      <c r="F178" s="1009"/>
      <c r="G178" s="1009"/>
      <c r="H178" s="1009"/>
      <c r="I178" s="1009"/>
      <c r="J178" s="1009"/>
      <c r="K178" s="1009"/>
      <c r="L178" s="1009"/>
      <c r="M178" s="501"/>
      <c r="N178" s="1153" t="s">
        <v>399</v>
      </c>
      <c r="O178" s="1009"/>
      <c r="P178" s="1009"/>
      <c r="Q178" s="1009"/>
      <c r="R178" s="1009"/>
      <c r="S178" s="1009"/>
      <c r="T178" s="1009"/>
      <c r="U178" s="501"/>
      <c r="V178" s="501"/>
      <c r="W178" s="1162" t="s">
        <v>73</v>
      </c>
      <c r="X178" s="1009"/>
      <c r="Y178" s="1009"/>
      <c r="Z178" s="1009"/>
      <c r="AA178" s="1009"/>
      <c r="AB178" s="1009"/>
      <c r="AC178" s="475"/>
      <c r="AD178" s="475"/>
      <c r="AE178" s="475"/>
      <c r="AF178" s="475"/>
      <c r="AG178" s="475"/>
      <c r="AH178" s="475"/>
      <c r="AI178" s="475"/>
      <c r="AJ178" s="475"/>
      <c r="AK178" s="475"/>
      <c r="AL178" s="475"/>
      <c r="AM178" s="475"/>
      <c r="AN178" s="475"/>
      <c r="AO178" s="393"/>
      <c r="AP178" s="393"/>
      <c r="AQ178" s="393"/>
      <c r="AR178" s="393"/>
      <c r="AS178" s="393"/>
      <c r="AT178" s="393"/>
      <c r="AU178" s="393"/>
      <c r="AV178" s="393"/>
      <c r="AW178" s="393"/>
      <c r="AX178" s="393"/>
      <c r="AY178" s="1083"/>
      <c r="AZ178" s="1042"/>
      <c r="BA178" s="1042"/>
      <c r="BB178" s="1042"/>
      <c r="BC178" s="1042"/>
      <c r="BD178" s="393"/>
    </row>
    <row r="179" spans="1:56" s="357" customFormat="1" ht="25.2" customHeight="1" x14ac:dyDescent="0.65">
      <c r="A179" s="480"/>
      <c r="B179" s="476" t="s">
        <v>35</v>
      </c>
      <c r="C179" s="598"/>
      <c r="D179" s="1155" t="s">
        <v>54</v>
      </c>
      <c r="E179" s="1042"/>
      <c r="F179" s="1042"/>
      <c r="G179" s="1042"/>
      <c r="H179" s="1042"/>
      <c r="I179" s="1042"/>
      <c r="J179" s="1042"/>
      <c r="K179" s="1042"/>
      <c r="L179" s="1042"/>
      <c r="M179" s="501"/>
      <c r="N179" s="1170" t="s">
        <v>400</v>
      </c>
      <c r="O179" s="1042"/>
      <c r="P179" s="1042"/>
      <c r="Q179" s="1042"/>
      <c r="R179" s="1042"/>
      <c r="S179" s="1042"/>
      <c r="T179" s="1042"/>
      <c r="U179" s="501"/>
      <c r="V179" s="501"/>
      <c r="W179" s="1159" t="s">
        <v>74</v>
      </c>
      <c r="X179" s="1042"/>
      <c r="Y179" s="1042"/>
      <c r="Z179" s="1042"/>
      <c r="AA179" s="1042"/>
      <c r="AB179" s="1042"/>
      <c r="AC179" s="477"/>
      <c r="AD179" s="477"/>
      <c r="AF179" s="482"/>
      <c r="AG179" s="482"/>
      <c r="AH179" s="482"/>
      <c r="AI179" s="482"/>
      <c r="AJ179" s="482"/>
      <c r="AK179" s="479"/>
      <c r="AL179" s="479"/>
      <c r="AM179" s="479"/>
      <c r="AN179" s="479"/>
      <c r="AO179" s="393"/>
      <c r="AP179" s="393"/>
      <c r="AQ179" s="393"/>
      <c r="AR179" s="393"/>
      <c r="AS179" s="393"/>
      <c r="AT179" s="393"/>
      <c r="AU179" s="393"/>
      <c r="AV179" s="393"/>
      <c r="AW179" s="393"/>
      <c r="AX179" s="393"/>
      <c r="AY179" s="1071"/>
      <c r="AZ179" s="1042"/>
      <c r="BA179" s="1042"/>
      <c r="BB179" s="1042"/>
      <c r="BC179" s="1042"/>
      <c r="BD179" s="393"/>
    </row>
    <row r="180" spans="1:56" ht="25.2" customHeight="1" x14ac:dyDescent="0.55000000000000004">
      <c r="A180" s="897"/>
      <c r="B180" s="116"/>
      <c r="C180" s="599"/>
      <c r="D180" s="599"/>
      <c r="E180" s="599"/>
      <c r="F180" s="599"/>
      <c r="G180" s="600"/>
      <c r="H180" s="600"/>
      <c r="I180" s="592"/>
      <c r="J180" s="592"/>
      <c r="K180" s="599"/>
      <c r="L180" s="599"/>
      <c r="M180" s="599"/>
      <c r="N180" s="599"/>
      <c r="O180" s="599"/>
      <c r="P180" s="599"/>
      <c r="Q180" s="599"/>
      <c r="R180" s="599"/>
      <c r="S180" s="599"/>
      <c r="T180" s="599"/>
      <c r="U180" s="599"/>
      <c r="V180" s="1170"/>
      <c r="W180" s="978"/>
      <c r="X180" s="978"/>
      <c r="Y180" s="978"/>
      <c r="Z180" s="978"/>
      <c r="AA180" s="978"/>
      <c r="AB180" s="592"/>
      <c r="AC180" s="211"/>
      <c r="AD180" s="211"/>
      <c r="AE180" s="211"/>
      <c r="AF180" s="212"/>
      <c r="AG180" s="212"/>
      <c r="AH180" s="212"/>
      <c r="AI180" s="212"/>
      <c r="AJ180" s="9"/>
      <c r="AK180" s="9"/>
      <c r="AL180" s="9"/>
      <c r="AM180" s="9"/>
      <c r="AN180" s="9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</row>
  </sheetData>
  <mergeCells count="74">
    <mergeCell ref="V180:AA180"/>
    <mergeCell ref="AA3:AB3"/>
    <mergeCell ref="W6:Y6"/>
    <mergeCell ref="O6:Q6"/>
    <mergeCell ref="AY178:BC178"/>
    <mergeCell ref="K9:M9"/>
    <mergeCell ref="K5:M5"/>
    <mergeCell ref="AA11:AB11"/>
    <mergeCell ref="O9:Q9"/>
    <mergeCell ref="W5:Y5"/>
    <mergeCell ref="S3:U3"/>
    <mergeCell ref="S8:U8"/>
    <mergeCell ref="K11:M11"/>
    <mergeCell ref="W4:Y4"/>
    <mergeCell ref="K3:M3"/>
    <mergeCell ref="D178:L178"/>
    <mergeCell ref="O3:Q3"/>
    <mergeCell ref="O10:Q10"/>
    <mergeCell ref="W10:Y10"/>
    <mergeCell ref="G3:I8"/>
    <mergeCell ref="C9:F11"/>
    <mergeCell ref="AA4:AB4"/>
    <mergeCell ref="AA14:AB14"/>
    <mergeCell ref="S5:U5"/>
    <mergeCell ref="W3:Y3"/>
    <mergeCell ref="M15:N15"/>
    <mergeCell ref="S11:U11"/>
    <mergeCell ref="K10:M10"/>
    <mergeCell ref="U14:Z14"/>
    <mergeCell ref="Q15:R15"/>
    <mergeCell ref="S15:T15"/>
    <mergeCell ref="AA7:AB7"/>
    <mergeCell ref="AA8:AB8"/>
    <mergeCell ref="K6:M6"/>
    <mergeCell ref="K4:M4"/>
    <mergeCell ref="O7:Q7"/>
    <mergeCell ref="S4:U4"/>
    <mergeCell ref="AA6:AB6"/>
    <mergeCell ref="W9:Y9"/>
    <mergeCell ref="S9:U9"/>
    <mergeCell ref="AA5:AB5"/>
    <mergeCell ref="O8:Q8"/>
    <mergeCell ref="W8:Y8"/>
    <mergeCell ref="W7:Y7"/>
    <mergeCell ref="A13:A15"/>
    <mergeCell ref="AA9:AB9"/>
    <mergeCell ref="S10:U10"/>
    <mergeCell ref="K8:M8"/>
    <mergeCell ref="W11:Y11"/>
    <mergeCell ref="K7:M7"/>
    <mergeCell ref="O11:Q11"/>
    <mergeCell ref="E15:F15"/>
    <mergeCell ref="G15:H15"/>
    <mergeCell ref="G9:I11"/>
    <mergeCell ref="B13:B15"/>
    <mergeCell ref="N178:T178"/>
    <mergeCell ref="AY179:BC179"/>
    <mergeCell ref="W15:X15"/>
    <mergeCell ref="K15:L15"/>
    <mergeCell ref="AA10:AB10"/>
    <mergeCell ref="Y15:Z15"/>
    <mergeCell ref="D179:L179"/>
    <mergeCell ref="O15:P15"/>
    <mergeCell ref="W179:AB179"/>
    <mergeCell ref="W178:AB178"/>
    <mergeCell ref="N179:T179"/>
    <mergeCell ref="O5:Q5"/>
    <mergeCell ref="S7:U7"/>
    <mergeCell ref="C3:F8"/>
    <mergeCell ref="C15:D15"/>
    <mergeCell ref="I15:J15"/>
    <mergeCell ref="U15:V15"/>
    <mergeCell ref="O4:Q4"/>
    <mergeCell ref="S6:U6"/>
  </mergeCells>
  <conditionalFormatting sqref="C106 E106 G106 I106">
    <cfRule type="cellIs" dxfId="1350" priority="59" stopIfTrue="1" operator="notEqual">
      <formula>0</formula>
    </cfRule>
    <cfRule type="cellIs" dxfId="1349" priority="60" stopIfTrue="1" operator="equal">
      <formula>0</formula>
    </cfRule>
  </conditionalFormatting>
  <conditionalFormatting sqref="C111 E111 G111 I111">
    <cfRule type="cellIs" dxfId="1348" priority="29" stopIfTrue="1" operator="notEqual">
      <formula>0</formula>
    </cfRule>
    <cfRule type="cellIs" dxfId="1347" priority="30" stopIfTrue="1" operator="equal">
      <formula>0</formula>
    </cfRule>
  </conditionalFormatting>
  <conditionalFormatting sqref="C33:H33">
    <cfRule type="cellIs" dxfId="1346" priority="149" stopIfTrue="1" operator="notEqual">
      <formula>0</formula>
    </cfRule>
    <cfRule type="cellIs" dxfId="1345" priority="150" stopIfTrue="1" operator="equal">
      <formula>0</formula>
    </cfRule>
  </conditionalFormatting>
  <conditionalFormatting sqref="C33:Z33">
    <cfRule type="containsText" dxfId="1344" priority="119" operator="containsText" text="R35">
      <formula>NOT(ISERROR(SEARCH("R35",C33)))</formula>
    </cfRule>
    <cfRule type="containsText" dxfId="1343" priority="118" operator="containsText" text="R36">
      <formula>NOT(ISERROR(SEARCH("R36",C33)))</formula>
    </cfRule>
    <cfRule type="containsText" dxfId="1342" priority="117" operator="containsText" text="R37">
      <formula>NOT(ISERROR(SEARCH("R37",C33)))</formula>
    </cfRule>
    <cfRule type="containsText" dxfId="1341" priority="134" operator="containsText" text="R14">
      <formula>NOT(ISERROR(SEARCH("R14",C33)))</formula>
    </cfRule>
    <cfRule type="containsText" dxfId="1340" priority="140" operator="containsText" text="R7">
      <formula>NOT(ISERROR(SEARCH("R7",C33)))</formula>
    </cfRule>
    <cfRule type="containsText" dxfId="1339" priority="139" operator="containsText" text="R8">
      <formula>NOT(ISERROR(SEARCH("R8",C33)))</formula>
    </cfRule>
    <cfRule type="containsText" dxfId="1338" priority="138" operator="containsText" text="R9">
      <formula>NOT(ISERROR(SEARCH("R9",C33)))</formula>
    </cfRule>
    <cfRule type="containsText" dxfId="1337" priority="137" operator="containsText" text="R10">
      <formula>NOT(ISERROR(SEARCH("R10",C33)))</formula>
    </cfRule>
    <cfRule type="containsText" dxfId="1336" priority="136" operator="containsText" text="R12">
      <formula>NOT(ISERROR(SEARCH("R12",C33)))</formula>
    </cfRule>
    <cfRule type="containsText" dxfId="1335" priority="135" operator="containsText" text="R13">
      <formula>NOT(ISERROR(SEARCH("R13",C33)))</formula>
    </cfRule>
    <cfRule type="containsText" dxfId="1334" priority="133" operator="containsText" text="R15">
      <formula>NOT(ISERROR(SEARCH("R15",C33)))</formula>
    </cfRule>
    <cfRule type="containsText" dxfId="1333" priority="131" operator="containsText" text="R17">
      <formula>NOT(ISERROR(SEARCH("R17",C33)))</formula>
    </cfRule>
    <cfRule type="containsText" dxfId="1332" priority="130" operator="containsText" text="R21">
      <formula>NOT(ISERROR(SEARCH("R21",C33)))</formula>
    </cfRule>
    <cfRule type="containsText" dxfId="1331" priority="132" operator="containsText" text="R16">
      <formula>NOT(ISERROR(SEARCH("R16",C33)))</formula>
    </cfRule>
    <cfRule type="containsText" dxfId="1330" priority="129" operator="containsText" text="R23">
      <formula>NOT(ISERROR(SEARCH("R23",C33)))</formula>
    </cfRule>
    <cfRule type="containsText" dxfId="1329" priority="128" operator="containsText" text="R24">
      <formula>NOT(ISERROR(SEARCH("R24",C33)))</formula>
    </cfRule>
    <cfRule type="containsText" dxfId="1328" priority="126" operator="containsText" text="R26">
      <formula>NOT(ISERROR(SEARCH("R26",C33)))</formula>
    </cfRule>
    <cfRule type="containsText" dxfId="1327" priority="125" operator="containsText" text="R27">
      <formula>NOT(ISERROR(SEARCH("R27",C33)))</formula>
    </cfRule>
    <cfRule type="containsText" dxfId="1326" priority="124" operator="containsText" text="R29">
      <formula>NOT(ISERROR(SEARCH("R29",C33)))</formula>
    </cfRule>
    <cfRule type="containsText" dxfId="1325" priority="123" operator="containsText" text="R30">
      <formula>NOT(ISERROR(SEARCH("R30",C33)))</formula>
    </cfRule>
    <cfRule type="containsText" dxfId="1324" priority="122" operator="containsText" text="R32">
      <formula>NOT(ISERROR(SEARCH("R32",C33)))</formula>
    </cfRule>
    <cfRule type="containsText" dxfId="1323" priority="121" operator="containsText" text="R33">
      <formula>NOT(ISERROR(SEARCH("R33",C33)))</formula>
    </cfRule>
    <cfRule type="containsText" dxfId="1322" priority="127" operator="containsText" text="R25">
      <formula>NOT(ISERROR(SEARCH("R25",C33)))</formula>
    </cfRule>
    <cfRule type="containsText" dxfId="1321" priority="120" operator="containsText" text="R34">
      <formula>NOT(ISERROR(SEARCH("R34",C33)))</formula>
    </cfRule>
  </conditionalFormatting>
  <conditionalFormatting sqref="C54:Z54">
    <cfRule type="containsText" dxfId="1320" priority="94" operator="containsText" text="R34">
      <formula>NOT(ISERROR(SEARCH("R34",C54)))</formula>
    </cfRule>
    <cfRule type="containsText" dxfId="1319" priority="91" operator="containsText" text="R37">
      <formula>NOT(ISERROR(SEARCH("R37",C54)))</formula>
    </cfRule>
    <cfRule type="containsText" dxfId="1318" priority="92" operator="containsText" text="R36">
      <formula>NOT(ISERROR(SEARCH("R36",C54)))</formula>
    </cfRule>
    <cfRule type="containsText" dxfId="1317" priority="93" operator="containsText" text="R35">
      <formula>NOT(ISERROR(SEARCH("R35",C54)))</formula>
    </cfRule>
    <cfRule type="cellIs" dxfId="1316" priority="116" stopIfTrue="1" operator="equal">
      <formula>0</formula>
    </cfRule>
    <cfRule type="cellIs" dxfId="1315" priority="115" stopIfTrue="1" operator="notEqual">
      <formula>0</formula>
    </cfRule>
    <cfRule type="containsText" dxfId="1314" priority="114" operator="containsText" text="R7">
      <formula>NOT(ISERROR(SEARCH("R7",C54)))</formula>
    </cfRule>
    <cfRule type="containsText" dxfId="1313" priority="113" operator="containsText" text="R8">
      <formula>NOT(ISERROR(SEARCH("R8",C54)))</formula>
    </cfRule>
    <cfRule type="containsText" dxfId="1312" priority="112" operator="containsText" text="R9">
      <formula>NOT(ISERROR(SEARCH("R9",C54)))</formula>
    </cfRule>
    <cfRule type="containsText" dxfId="1311" priority="111" operator="containsText" text="R10">
      <formula>NOT(ISERROR(SEARCH("R10",C54)))</formula>
    </cfRule>
    <cfRule type="containsText" dxfId="1310" priority="110" operator="containsText" text="R12">
      <formula>NOT(ISERROR(SEARCH("R12",C54)))</formula>
    </cfRule>
    <cfRule type="containsText" dxfId="1309" priority="109" operator="containsText" text="R13">
      <formula>NOT(ISERROR(SEARCH("R13",C54)))</formula>
    </cfRule>
    <cfRule type="containsText" dxfId="1308" priority="108" operator="containsText" text="R14">
      <formula>NOT(ISERROR(SEARCH("R14",C54)))</formula>
    </cfRule>
    <cfRule type="containsText" dxfId="1307" priority="107" operator="containsText" text="R15">
      <formula>NOT(ISERROR(SEARCH("R15",C54)))</formula>
    </cfRule>
    <cfRule type="containsText" dxfId="1306" priority="106" operator="containsText" text="R16">
      <formula>NOT(ISERROR(SEARCH("R16",C54)))</formula>
    </cfRule>
    <cfRule type="containsText" dxfId="1305" priority="105" operator="containsText" text="R17">
      <formula>NOT(ISERROR(SEARCH("R17",C54)))</formula>
    </cfRule>
    <cfRule type="containsText" dxfId="1304" priority="104" operator="containsText" text="R21">
      <formula>NOT(ISERROR(SEARCH("R21",C54)))</formula>
    </cfRule>
    <cfRule type="containsText" dxfId="1303" priority="103" operator="containsText" text="R23">
      <formula>NOT(ISERROR(SEARCH("R23",C54)))</formula>
    </cfRule>
    <cfRule type="containsText" dxfId="1302" priority="102" operator="containsText" text="R24">
      <formula>NOT(ISERROR(SEARCH("R24",C54)))</formula>
    </cfRule>
    <cfRule type="containsText" dxfId="1301" priority="101" operator="containsText" text="R25">
      <formula>NOT(ISERROR(SEARCH("R25",C54)))</formula>
    </cfRule>
    <cfRule type="containsText" dxfId="1300" priority="100" operator="containsText" text="R26">
      <formula>NOT(ISERROR(SEARCH("R26",C54)))</formula>
    </cfRule>
    <cfRule type="containsText" dxfId="1299" priority="99" operator="containsText" text="R27">
      <formula>NOT(ISERROR(SEARCH("R27",C54)))</formula>
    </cfRule>
    <cfRule type="containsText" dxfId="1298" priority="98" operator="containsText" text="R29">
      <formula>NOT(ISERROR(SEARCH("R29",C54)))</formula>
    </cfRule>
    <cfRule type="containsText" dxfId="1297" priority="97" operator="containsText" text="R30">
      <formula>NOT(ISERROR(SEARCH("R30",C54)))</formula>
    </cfRule>
    <cfRule type="containsText" dxfId="1296" priority="96" operator="containsText" text="R32">
      <formula>NOT(ISERROR(SEARCH("R32",C54)))</formula>
    </cfRule>
    <cfRule type="containsText" dxfId="1295" priority="95" operator="containsText" text="R33">
      <formula>NOT(ISERROR(SEARCH("R33",C54)))</formula>
    </cfRule>
  </conditionalFormatting>
  <conditionalFormatting sqref="C81:Z81">
    <cfRule type="containsText" dxfId="1294" priority="81" operator="containsText" text="R13">
      <formula>NOT(ISERROR(SEARCH("R13",C81)))</formula>
    </cfRule>
    <cfRule type="containsText" dxfId="1293" priority="82" operator="containsText" text="R12">
      <formula>NOT(ISERROR(SEARCH("R12",C81)))</formula>
    </cfRule>
    <cfRule type="containsText" dxfId="1292" priority="83" operator="containsText" text="R10">
      <formula>NOT(ISERROR(SEARCH("R10",C81)))</formula>
    </cfRule>
    <cfRule type="containsText" dxfId="1291" priority="84" operator="containsText" text="R9">
      <formula>NOT(ISERROR(SEARCH("R9",C81)))</formula>
    </cfRule>
    <cfRule type="containsText" dxfId="1290" priority="85" operator="containsText" text="R8">
      <formula>NOT(ISERROR(SEARCH("R8",C81)))</formula>
    </cfRule>
    <cfRule type="containsText" dxfId="1289" priority="86" operator="containsText" text="R7">
      <formula>NOT(ISERROR(SEARCH("R7",C81)))</formula>
    </cfRule>
    <cfRule type="containsText" dxfId="1288" priority="61" operator="containsText" text="R37">
      <formula>NOT(ISERROR(SEARCH("R37",C81)))</formula>
    </cfRule>
    <cfRule type="containsText" dxfId="1287" priority="62" operator="containsText" text="R36">
      <formula>NOT(ISERROR(SEARCH("R36",C81)))</formula>
    </cfRule>
    <cfRule type="containsText" dxfId="1286" priority="63" operator="containsText" text="R35">
      <formula>NOT(ISERROR(SEARCH("R35",C81)))</formula>
    </cfRule>
    <cfRule type="containsText" dxfId="1285" priority="64" operator="containsText" text="R34">
      <formula>NOT(ISERROR(SEARCH("R34",C81)))</formula>
    </cfRule>
    <cfRule type="containsText" dxfId="1284" priority="65" operator="containsText" text="R33">
      <formula>NOT(ISERROR(SEARCH("R33",C81)))</formula>
    </cfRule>
    <cfRule type="containsText" dxfId="1283" priority="66" operator="containsText" text="R32">
      <formula>NOT(ISERROR(SEARCH("R32",C81)))</formula>
    </cfRule>
    <cfRule type="containsText" dxfId="1282" priority="67" operator="containsText" text="R30">
      <formula>NOT(ISERROR(SEARCH("R30",C81)))</formula>
    </cfRule>
    <cfRule type="containsText" dxfId="1281" priority="68" operator="containsText" text="R29">
      <formula>NOT(ISERROR(SEARCH("R29",C81)))</formula>
    </cfRule>
    <cfRule type="containsText" dxfId="1280" priority="69" operator="containsText" text="R27">
      <formula>NOT(ISERROR(SEARCH("R27",C81)))</formula>
    </cfRule>
    <cfRule type="containsText" dxfId="1279" priority="70" operator="containsText" text="R26">
      <formula>NOT(ISERROR(SEARCH("R26",C81)))</formula>
    </cfRule>
    <cfRule type="containsText" dxfId="1278" priority="71" operator="containsText" text="R25">
      <formula>NOT(ISERROR(SEARCH("R25",C81)))</formula>
    </cfRule>
    <cfRule type="containsText" dxfId="1277" priority="74" operator="containsText" text="R23">
      <formula>NOT(ISERROR(SEARCH("R23",C81)))</formula>
    </cfRule>
    <cfRule type="containsText" dxfId="1276" priority="75" operator="containsText" text="R21">
      <formula>NOT(ISERROR(SEARCH("R21",C81)))</formula>
    </cfRule>
    <cfRule type="containsText" dxfId="1275" priority="76" operator="containsText" text="R24">
      <formula>NOT(ISERROR(SEARCH("R24",C81)))</formula>
    </cfRule>
    <cfRule type="containsText" dxfId="1274" priority="77" operator="containsText" text="R17">
      <formula>NOT(ISERROR(SEARCH("R17",C81)))</formula>
    </cfRule>
    <cfRule type="containsText" dxfId="1273" priority="78" operator="containsText" text="R16">
      <formula>NOT(ISERROR(SEARCH("R16",C81)))</formula>
    </cfRule>
    <cfRule type="containsText" dxfId="1272" priority="79" operator="containsText" text="R15">
      <formula>NOT(ISERROR(SEARCH("R15",C81)))</formula>
    </cfRule>
    <cfRule type="containsText" dxfId="1271" priority="80" operator="containsText" text="R14">
      <formula>NOT(ISERROR(SEARCH("R14",C81)))</formula>
    </cfRule>
  </conditionalFormatting>
  <conditionalFormatting sqref="C106:Z106">
    <cfRule type="containsText" dxfId="1270" priority="37" operator="containsText" text="R30">
      <formula>NOT(ISERROR(SEARCH("R30",C106)))</formula>
    </cfRule>
    <cfRule type="containsText" dxfId="1269" priority="46" operator="containsText" text="R16">
      <formula>NOT(ISERROR(SEARCH("R16",C106)))</formula>
    </cfRule>
    <cfRule type="containsText" dxfId="1268" priority="45" operator="containsText" text="R17">
      <formula>NOT(ISERROR(SEARCH("R17",C106)))</formula>
    </cfRule>
    <cfRule type="containsText" dxfId="1267" priority="44" operator="containsText" text="R24">
      <formula>NOT(ISERROR(SEARCH("R24",C106)))</formula>
    </cfRule>
    <cfRule type="containsText" dxfId="1266" priority="43" operator="containsText" text="R21">
      <formula>NOT(ISERROR(SEARCH("R21",C106)))</formula>
    </cfRule>
    <cfRule type="containsText" dxfId="1265" priority="42" operator="containsText" text="R23">
      <formula>NOT(ISERROR(SEARCH("R23",C106)))</formula>
    </cfRule>
    <cfRule type="containsText" dxfId="1264" priority="41" operator="containsText" text="R25">
      <formula>NOT(ISERROR(SEARCH("R25",C106)))</formula>
    </cfRule>
    <cfRule type="containsText" dxfId="1263" priority="40" operator="containsText" text="R26">
      <formula>NOT(ISERROR(SEARCH("R26",C106)))</formula>
    </cfRule>
    <cfRule type="containsText" dxfId="1262" priority="54" operator="containsText" text="R7">
      <formula>NOT(ISERROR(SEARCH("R7",C106)))</formula>
    </cfRule>
    <cfRule type="containsText" dxfId="1261" priority="39" operator="containsText" text="R27">
      <formula>NOT(ISERROR(SEARCH("R27",C106)))</formula>
    </cfRule>
    <cfRule type="containsText" dxfId="1260" priority="38" operator="containsText" text="R29">
      <formula>NOT(ISERROR(SEARCH("R29",C106)))</formula>
    </cfRule>
    <cfRule type="containsText" dxfId="1259" priority="31" operator="containsText" text="R37">
      <formula>NOT(ISERROR(SEARCH("R37",C106)))</formula>
    </cfRule>
    <cfRule type="containsText" dxfId="1258" priority="36" operator="containsText" text="R32">
      <formula>NOT(ISERROR(SEARCH("R32",C106)))</formula>
    </cfRule>
    <cfRule type="containsText" dxfId="1257" priority="35" operator="containsText" text="R33">
      <formula>NOT(ISERROR(SEARCH("R33",C106)))</formula>
    </cfRule>
    <cfRule type="containsText" dxfId="1256" priority="34" operator="containsText" text="R34">
      <formula>NOT(ISERROR(SEARCH("R34",C106)))</formula>
    </cfRule>
    <cfRule type="containsText" dxfId="1255" priority="33" operator="containsText" text="R35">
      <formula>NOT(ISERROR(SEARCH("R35",C106)))</formula>
    </cfRule>
    <cfRule type="containsText" dxfId="1254" priority="32" operator="containsText" text="R36">
      <formula>NOT(ISERROR(SEARCH("R36",C106)))</formula>
    </cfRule>
    <cfRule type="containsText" dxfId="1253" priority="53" operator="containsText" text="R8">
      <formula>NOT(ISERROR(SEARCH("R8",C106)))</formula>
    </cfRule>
    <cfRule type="containsText" dxfId="1252" priority="52" operator="containsText" text="R9">
      <formula>NOT(ISERROR(SEARCH("R9",C106)))</formula>
    </cfRule>
    <cfRule type="containsText" dxfId="1251" priority="51" operator="containsText" text="R10">
      <formula>NOT(ISERROR(SEARCH("R10",C106)))</formula>
    </cfRule>
    <cfRule type="containsText" dxfId="1250" priority="50" operator="containsText" text="R12">
      <formula>NOT(ISERROR(SEARCH("R12",C106)))</formula>
    </cfRule>
    <cfRule type="containsText" dxfId="1249" priority="49" operator="containsText" text="R13">
      <formula>NOT(ISERROR(SEARCH("R13",C106)))</formula>
    </cfRule>
    <cfRule type="containsText" dxfId="1248" priority="48" operator="containsText" text="R14">
      <formula>NOT(ISERROR(SEARCH("R14",C106)))</formula>
    </cfRule>
    <cfRule type="containsText" dxfId="1247" priority="47" operator="containsText" text="R15">
      <formula>NOT(ISERROR(SEARCH("R15",C106)))</formula>
    </cfRule>
  </conditionalFormatting>
  <conditionalFormatting sqref="C111:Z111">
    <cfRule type="containsText" dxfId="1246" priority="2" operator="containsText" text="R36">
      <formula>NOT(ISERROR(SEARCH("R36",C111)))</formula>
    </cfRule>
    <cfRule type="containsText" dxfId="1245" priority="3" operator="containsText" text="R35">
      <formula>NOT(ISERROR(SEARCH("R35",C111)))</formula>
    </cfRule>
    <cfRule type="containsText" dxfId="1244" priority="4" operator="containsText" text="R34">
      <formula>NOT(ISERROR(SEARCH("R34",C111)))</formula>
    </cfRule>
    <cfRule type="containsText" dxfId="1243" priority="5" operator="containsText" text="R33">
      <formula>NOT(ISERROR(SEARCH("R33",C111)))</formula>
    </cfRule>
    <cfRule type="containsText" dxfId="1242" priority="6" operator="containsText" text="R32">
      <formula>NOT(ISERROR(SEARCH("R32",C111)))</formula>
    </cfRule>
    <cfRule type="containsText" dxfId="1241" priority="16" operator="containsText" text="R16">
      <formula>NOT(ISERROR(SEARCH("R16",C111)))</formula>
    </cfRule>
    <cfRule type="containsText" dxfId="1240" priority="10" operator="containsText" text="R26">
      <formula>NOT(ISERROR(SEARCH("R26",C111)))</formula>
    </cfRule>
    <cfRule type="containsText" dxfId="1239" priority="11" operator="containsText" text="R25">
      <formula>NOT(ISERROR(SEARCH("R25",C111)))</formula>
    </cfRule>
    <cfRule type="containsText" dxfId="1238" priority="12" operator="containsText" text="R23">
      <formula>NOT(ISERROR(SEARCH("R23",C111)))</formula>
    </cfRule>
    <cfRule type="containsText" dxfId="1237" priority="13" operator="containsText" text="R21">
      <formula>NOT(ISERROR(SEARCH("R21",C111)))</formula>
    </cfRule>
    <cfRule type="containsText" dxfId="1236" priority="14" operator="containsText" text="R24">
      <formula>NOT(ISERROR(SEARCH("R24",C111)))</formula>
    </cfRule>
    <cfRule type="containsText" dxfId="1235" priority="15" operator="containsText" text="R17">
      <formula>NOT(ISERROR(SEARCH("R17",C111)))</formula>
    </cfRule>
    <cfRule type="containsText" dxfId="1234" priority="1" operator="containsText" text="R37">
      <formula>NOT(ISERROR(SEARCH("R37",C111)))</formula>
    </cfRule>
    <cfRule type="containsText" dxfId="1233" priority="19" operator="containsText" text="R13">
      <formula>NOT(ISERROR(SEARCH("R13",C111)))</formula>
    </cfRule>
    <cfRule type="containsText" dxfId="1232" priority="17" operator="containsText" text="R15">
      <formula>NOT(ISERROR(SEARCH("R15",C111)))</formula>
    </cfRule>
    <cfRule type="containsText" dxfId="1231" priority="18" operator="containsText" text="R14">
      <formula>NOT(ISERROR(SEARCH("R14",C111)))</formula>
    </cfRule>
    <cfRule type="containsText" dxfId="1230" priority="21" operator="containsText" text="R10">
      <formula>NOT(ISERROR(SEARCH("R10",C111)))</formula>
    </cfRule>
    <cfRule type="containsText" dxfId="1229" priority="20" operator="containsText" text="R12">
      <formula>NOT(ISERROR(SEARCH("R12",C111)))</formula>
    </cfRule>
    <cfRule type="containsText" dxfId="1228" priority="24" operator="containsText" text="R7">
      <formula>NOT(ISERROR(SEARCH("R7",C111)))</formula>
    </cfRule>
    <cfRule type="containsText" dxfId="1227" priority="23" operator="containsText" text="R8">
      <formula>NOT(ISERROR(SEARCH("R8",C111)))</formula>
    </cfRule>
    <cfRule type="containsText" dxfId="1226" priority="22" operator="containsText" text="R9">
      <formula>NOT(ISERROR(SEARCH("R9",C111)))</formula>
    </cfRule>
    <cfRule type="containsText" dxfId="1225" priority="9" operator="containsText" text="R27">
      <formula>NOT(ISERROR(SEARCH("R27",C111)))</formula>
    </cfRule>
    <cfRule type="containsText" dxfId="1224" priority="7" operator="containsText" text="R30">
      <formula>NOT(ISERROR(SEARCH("R30",C111)))</formula>
    </cfRule>
    <cfRule type="containsText" dxfId="1223" priority="8" operator="containsText" text="R29">
      <formula>NOT(ISERROR(SEARCH("R29",C111)))</formula>
    </cfRule>
  </conditionalFormatting>
  <conditionalFormatting sqref="E81 G81">
    <cfRule type="cellIs" dxfId="1222" priority="73" stopIfTrue="1" operator="equal">
      <formula>0</formula>
    </cfRule>
    <cfRule type="cellIs" dxfId="1221" priority="72" stopIfTrue="1" operator="notEqual">
      <formula>0</formula>
    </cfRule>
  </conditionalFormatting>
  <conditionalFormatting sqref="E33:Z33">
    <cfRule type="cellIs" dxfId="1220" priority="142" stopIfTrue="1" operator="equal">
      <formula>0</formula>
    </cfRule>
    <cfRule type="cellIs" dxfId="1219" priority="141" stopIfTrue="1" operator="notEqual">
      <formula>0</formula>
    </cfRule>
  </conditionalFormatting>
  <conditionalFormatting sqref="F33">
    <cfRule type="cellIs" dxfId="1218" priority="147" stopIfTrue="1" operator="notEqual">
      <formula>0</formula>
    </cfRule>
    <cfRule type="cellIs" dxfId="1217" priority="148" stopIfTrue="1" operator="equal">
      <formula>0</formula>
    </cfRule>
  </conditionalFormatting>
  <conditionalFormatting sqref="G81">
    <cfRule type="cellIs" dxfId="1216" priority="90" stopIfTrue="1" operator="equal">
      <formula>0</formula>
    </cfRule>
    <cfRule type="cellIs" dxfId="1215" priority="89" stopIfTrue="1" operator="notEqual">
      <formula>0</formula>
    </cfRule>
  </conditionalFormatting>
  <conditionalFormatting sqref="I81 K81 M81 O81 Q81 S81 U81 W81 Y81">
    <cfRule type="cellIs" dxfId="1214" priority="88" stopIfTrue="1" operator="equal">
      <formula>0</formula>
    </cfRule>
    <cfRule type="cellIs" dxfId="1213" priority="87" stopIfTrue="1" operator="notEqual">
      <formula>0</formula>
    </cfRule>
  </conditionalFormatting>
  <conditionalFormatting sqref="I33:Z33">
    <cfRule type="cellIs" dxfId="1212" priority="146" stopIfTrue="1" operator="equal">
      <formula>0</formula>
    </cfRule>
    <cfRule type="cellIs" dxfId="1211" priority="145" stopIfTrue="1" operator="notEqual">
      <formula>0</formula>
    </cfRule>
  </conditionalFormatting>
  <conditionalFormatting sqref="K106 Q106">
    <cfRule type="cellIs" dxfId="1210" priority="55" stopIfTrue="1" operator="notEqual">
      <formula>0</formula>
    </cfRule>
    <cfRule type="cellIs" dxfId="1209" priority="56" stopIfTrue="1" operator="equal">
      <formula>0</formula>
    </cfRule>
  </conditionalFormatting>
  <conditionalFormatting sqref="K111 Q111">
    <cfRule type="cellIs" dxfId="1208" priority="26" stopIfTrue="1" operator="equal">
      <formula>0</formula>
    </cfRule>
    <cfRule type="cellIs" dxfId="1207" priority="25" stopIfTrue="1" operator="notEqual">
      <formula>0</formula>
    </cfRule>
  </conditionalFormatting>
  <conditionalFormatting sqref="M106 O106 S106 U106 W106 Y106">
    <cfRule type="cellIs" dxfId="1206" priority="58" stopIfTrue="1" operator="equal">
      <formula>0</formula>
    </cfRule>
    <cfRule type="cellIs" dxfId="1205" priority="57" stopIfTrue="1" operator="notEqual">
      <formula>0</formula>
    </cfRule>
  </conditionalFormatting>
  <conditionalFormatting sqref="M111 O111 S111 U111 W111 Y111">
    <cfRule type="cellIs" dxfId="1204" priority="27" stopIfTrue="1" operator="notEqual">
      <formula>0</formula>
    </cfRule>
    <cfRule type="cellIs" dxfId="1203" priority="28" stopIfTrue="1" operator="equal">
      <formula>0</formula>
    </cfRule>
  </conditionalFormatting>
  <conditionalFormatting sqref="N33:S33 U33 W33 Y33">
    <cfRule type="cellIs" dxfId="1202" priority="143" stopIfTrue="1" operator="notEqual">
      <formula>0</formula>
    </cfRule>
    <cfRule type="cellIs" dxfId="1201" priority="144" stopIfTrue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BN183"/>
  <sheetViews>
    <sheetView zoomScale="30" zoomScaleNormal="33" workbookViewId="0">
      <selection activeCell="S183" sqref="S183"/>
    </sheetView>
  </sheetViews>
  <sheetFormatPr baseColWidth="10" defaultRowHeight="14.4" x14ac:dyDescent="0.3"/>
  <cols>
    <col min="1" max="1" width="45.33203125" bestFit="1" customWidth="1"/>
    <col min="2" max="2" width="153.33203125" bestFit="1" customWidth="1"/>
    <col min="45" max="46" width="14.88671875" bestFit="1" customWidth="1"/>
  </cols>
  <sheetData>
    <row r="1" spans="1:51" ht="23.4" customHeight="1" x14ac:dyDescent="0.45">
      <c r="A1" s="1174"/>
      <c r="B1" s="1189" t="s">
        <v>0</v>
      </c>
      <c r="C1" s="1077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984"/>
      <c r="AB1" s="984"/>
      <c r="AC1" s="984"/>
      <c r="AD1" s="984"/>
      <c r="AE1" s="984"/>
      <c r="AF1" s="984"/>
      <c r="AG1" s="984"/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5"/>
      <c r="AU1" s="4"/>
      <c r="AV1" s="4"/>
      <c r="AW1" s="4"/>
      <c r="AX1" s="4"/>
      <c r="AY1" s="4"/>
    </row>
    <row r="2" spans="1:51" ht="23.4" customHeight="1" x14ac:dyDescent="0.45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8"/>
      <c r="AC2" s="978"/>
      <c r="AD2" s="978"/>
      <c r="AE2" s="978"/>
      <c r="AF2" s="978"/>
      <c r="AG2" s="978"/>
      <c r="AH2" s="978"/>
      <c r="AI2" s="978"/>
      <c r="AJ2" s="978"/>
      <c r="AK2" s="978"/>
      <c r="AL2" s="978"/>
      <c r="AM2" s="978"/>
      <c r="AN2" s="978"/>
      <c r="AO2" s="978"/>
      <c r="AP2" s="978"/>
      <c r="AQ2" s="978"/>
      <c r="AR2" s="978"/>
      <c r="AS2" s="978"/>
      <c r="AT2" s="979"/>
      <c r="AU2" s="4"/>
      <c r="AV2" s="4"/>
      <c r="AW2" s="4"/>
      <c r="AX2" s="4"/>
      <c r="AY2" s="4"/>
    </row>
    <row r="3" spans="1:51" ht="23.4" customHeight="1" x14ac:dyDescent="0.4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978"/>
      <c r="AA3" s="978"/>
      <c r="AB3" s="978"/>
      <c r="AC3" s="978"/>
      <c r="AD3" s="978"/>
      <c r="AE3" s="978"/>
      <c r="AF3" s="978"/>
      <c r="AG3" s="978"/>
      <c r="AH3" s="978"/>
      <c r="AI3" s="978"/>
      <c r="AJ3" s="978"/>
      <c r="AK3" s="978"/>
      <c r="AL3" s="978"/>
      <c r="AM3" s="978"/>
      <c r="AN3" s="978"/>
      <c r="AO3" s="978"/>
      <c r="AP3" s="978"/>
      <c r="AQ3" s="978"/>
      <c r="AR3" s="978"/>
      <c r="AS3" s="978"/>
      <c r="AT3" s="979"/>
      <c r="AU3" s="4"/>
      <c r="AV3" s="4"/>
      <c r="AW3" s="4"/>
      <c r="AX3" s="4"/>
      <c r="AY3" s="4"/>
    </row>
    <row r="4" spans="1:51" ht="23.4" customHeight="1" x14ac:dyDescent="0.45">
      <c r="A4" s="997"/>
      <c r="B4" s="997"/>
      <c r="C4" s="986"/>
      <c r="D4" s="978"/>
      <c r="E4" s="978"/>
      <c r="F4" s="978"/>
      <c r="G4" s="978"/>
      <c r="H4" s="978"/>
      <c r="I4" s="978"/>
      <c r="J4" s="978"/>
      <c r="K4" s="978"/>
      <c r="L4" s="978"/>
      <c r="M4" s="978"/>
      <c r="N4" s="978"/>
      <c r="O4" s="978"/>
      <c r="P4" s="978"/>
      <c r="Q4" s="978"/>
      <c r="R4" s="978"/>
      <c r="S4" s="978"/>
      <c r="T4" s="978"/>
      <c r="U4" s="978"/>
      <c r="V4" s="978"/>
      <c r="W4" s="978"/>
      <c r="X4" s="978"/>
      <c r="Y4" s="978"/>
      <c r="Z4" s="978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9"/>
      <c r="AU4" s="4"/>
      <c r="AV4" s="4"/>
      <c r="AW4" s="4"/>
      <c r="AX4" s="4"/>
      <c r="AY4" s="4"/>
    </row>
    <row r="5" spans="1:51" ht="23.4" customHeight="1" x14ac:dyDescent="0.45">
      <c r="A5" s="997"/>
      <c r="B5" s="997"/>
      <c r="C5" s="986"/>
      <c r="D5" s="978"/>
      <c r="E5" s="978"/>
      <c r="F5" s="978"/>
      <c r="G5" s="978"/>
      <c r="H5" s="978"/>
      <c r="I5" s="978"/>
      <c r="J5" s="978"/>
      <c r="K5" s="978"/>
      <c r="L5" s="978"/>
      <c r="M5" s="978"/>
      <c r="N5" s="978"/>
      <c r="O5" s="978"/>
      <c r="P5" s="978"/>
      <c r="Q5" s="978"/>
      <c r="R5" s="978"/>
      <c r="S5" s="978"/>
      <c r="T5" s="978"/>
      <c r="U5" s="978"/>
      <c r="V5" s="978"/>
      <c r="W5" s="978"/>
      <c r="X5" s="978"/>
      <c r="Y5" s="978"/>
      <c r="Z5" s="978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9"/>
      <c r="AU5" s="4"/>
      <c r="AV5" s="4"/>
      <c r="AW5" s="4"/>
      <c r="AX5" s="4"/>
      <c r="AY5" s="4"/>
    </row>
    <row r="6" spans="1:51" ht="24" customHeight="1" thickBot="1" x14ac:dyDescent="0.5">
      <c r="A6" s="1013"/>
      <c r="B6" s="1013"/>
      <c r="C6" s="987"/>
      <c r="D6" s="975"/>
      <c r="E6" s="975"/>
      <c r="F6" s="975"/>
      <c r="G6" s="975"/>
      <c r="H6" s="975"/>
      <c r="I6" s="975"/>
      <c r="J6" s="975"/>
      <c r="K6" s="975"/>
      <c r="L6" s="975"/>
      <c r="M6" s="975"/>
      <c r="N6" s="975"/>
      <c r="O6" s="975"/>
      <c r="P6" s="975"/>
      <c r="Q6" s="975"/>
      <c r="R6" s="975"/>
      <c r="S6" s="975"/>
      <c r="T6" s="975"/>
      <c r="U6" s="975"/>
      <c r="V6" s="975"/>
      <c r="W6" s="975"/>
      <c r="X6" s="975"/>
      <c r="Y6" s="975"/>
      <c r="Z6" s="975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5"/>
      <c r="AL6" s="975"/>
      <c r="AM6" s="975"/>
      <c r="AN6" s="975"/>
      <c r="AO6" s="975"/>
      <c r="AP6" s="975"/>
      <c r="AQ6" s="975"/>
      <c r="AR6" s="975"/>
      <c r="AS6" s="975"/>
      <c r="AT6" s="976"/>
      <c r="AU6" s="4"/>
      <c r="AV6" s="4"/>
      <c r="AW6" s="4"/>
      <c r="AX6" s="4"/>
      <c r="AY6" s="4"/>
    </row>
    <row r="7" spans="1:51" s="357" customFormat="1" ht="34.200000000000003" customHeight="1" x14ac:dyDescent="0.65">
      <c r="A7" s="404" t="s">
        <v>2</v>
      </c>
      <c r="B7" s="338" t="s">
        <v>3</v>
      </c>
      <c r="C7" s="1068" t="s">
        <v>4</v>
      </c>
      <c r="D7" s="1042"/>
      <c r="E7" s="1042"/>
      <c r="F7" s="979"/>
      <c r="G7" s="1065">
        <v>46037</v>
      </c>
      <c r="H7" s="984"/>
      <c r="I7" s="984"/>
      <c r="J7" s="800" t="s">
        <v>417</v>
      </c>
      <c r="K7" s="1183">
        <v>45797</v>
      </c>
      <c r="L7" s="984"/>
      <c r="M7" s="984"/>
      <c r="N7" s="611" t="s">
        <v>46</v>
      </c>
      <c r="O7" s="1185">
        <v>45863</v>
      </c>
      <c r="P7" s="984"/>
      <c r="Q7" s="985"/>
      <c r="R7" s="801" t="s">
        <v>47</v>
      </c>
      <c r="S7" s="1194">
        <v>45947</v>
      </c>
      <c r="T7" s="984"/>
      <c r="U7" s="984"/>
      <c r="V7" s="792" t="s">
        <v>38</v>
      </c>
      <c r="W7" s="1114">
        <v>46010</v>
      </c>
      <c r="X7" s="984"/>
      <c r="Y7" s="984"/>
      <c r="Z7" s="370"/>
      <c r="AA7" s="1195"/>
      <c r="AB7" s="984"/>
      <c r="AC7" s="984"/>
      <c r="AD7" s="405"/>
      <c r="AE7" s="1176"/>
      <c r="AF7" s="984"/>
      <c r="AG7" s="985"/>
      <c r="AH7" s="371"/>
      <c r="AI7" s="1145"/>
      <c r="AJ7" s="984"/>
      <c r="AK7" s="984"/>
      <c r="AL7" s="405"/>
      <c r="AM7" s="1176"/>
      <c r="AN7" s="984"/>
      <c r="AO7" s="985"/>
      <c r="AP7" s="372"/>
      <c r="AQ7" s="372"/>
      <c r="AR7" s="406"/>
      <c r="AS7" s="406"/>
      <c r="AT7" s="259"/>
    </row>
    <row r="8" spans="1:51" s="357" customFormat="1" ht="34.200000000000003" customHeight="1" thickBot="1" x14ac:dyDescent="0.7">
      <c r="A8" s="407" t="s">
        <v>14</v>
      </c>
      <c r="B8" s="340" t="s">
        <v>15</v>
      </c>
      <c r="C8" s="986"/>
      <c r="D8" s="1042"/>
      <c r="E8" s="1042"/>
      <c r="F8" s="979"/>
      <c r="G8" s="986"/>
      <c r="H8" s="1042"/>
      <c r="I8" s="1042"/>
      <c r="J8" s="802" t="s">
        <v>6</v>
      </c>
      <c r="K8" s="1181">
        <v>45807</v>
      </c>
      <c r="L8" s="1042"/>
      <c r="M8" s="1042"/>
      <c r="N8" s="363" t="s">
        <v>55</v>
      </c>
      <c r="O8" s="1196">
        <v>45870</v>
      </c>
      <c r="P8" s="1042"/>
      <c r="Q8" s="979"/>
      <c r="R8" s="662" t="s">
        <v>56</v>
      </c>
      <c r="S8" s="1131">
        <v>45954</v>
      </c>
      <c r="T8" s="1042"/>
      <c r="U8" s="1042"/>
      <c r="V8" s="795" t="s">
        <v>48</v>
      </c>
      <c r="W8" s="1069">
        <v>46015</v>
      </c>
      <c r="X8" s="1042"/>
      <c r="Y8" s="1042"/>
      <c r="Z8" s="364"/>
      <c r="AA8" s="1134"/>
      <c r="AB8" s="1042"/>
      <c r="AC8" s="1042"/>
      <c r="AD8" s="408"/>
      <c r="AE8" s="1175"/>
      <c r="AF8" s="1042"/>
      <c r="AG8" s="979"/>
      <c r="AH8" s="373"/>
      <c r="AI8" s="1126"/>
      <c r="AJ8" s="1042"/>
      <c r="AK8" s="1042"/>
      <c r="AL8" s="408"/>
      <c r="AM8" s="1175"/>
      <c r="AN8" s="1042"/>
      <c r="AO8" s="979"/>
      <c r="AP8" s="409"/>
      <c r="AQ8" s="409"/>
      <c r="AR8" s="410"/>
      <c r="AS8" s="410"/>
      <c r="AT8" s="265"/>
    </row>
    <row r="9" spans="1:51" s="357" customFormat="1" ht="34.200000000000003" customHeight="1" x14ac:dyDescent="0.65">
      <c r="A9" s="407" t="s">
        <v>24</v>
      </c>
      <c r="B9" s="340" t="s">
        <v>25</v>
      </c>
      <c r="C9" s="986"/>
      <c r="D9" s="1042"/>
      <c r="E9" s="1042"/>
      <c r="F9" s="979"/>
      <c r="G9" s="986"/>
      <c r="H9" s="1042"/>
      <c r="I9" s="1042"/>
      <c r="J9" s="803" t="s">
        <v>407</v>
      </c>
      <c r="K9" s="1178">
        <v>45814</v>
      </c>
      <c r="L9" s="1042"/>
      <c r="M9" s="1042"/>
      <c r="N9" s="331" t="s">
        <v>66</v>
      </c>
      <c r="O9" s="1135">
        <v>45883</v>
      </c>
      <c r="P9" s="1042"/>
      <c r="Q9" s="979"/>
      <c r="R9" s="663" t="s">
        <v>67</v>
      </c>
      <c r="S9" s="1146">
        <v>45960</v>
      </c>
      <c r="T9" s="984"/>
      <c r="U9" s="985"/>
      <c r="V9" s="824" t="s">
        <v>57</v>
      </c>
      <c r="W9" s="1093">
        <v>46022</v>
      </c>
      <c r="X9" s="1042"/>
      <c r="Y9" s="1042"/>
      <c r="Z9" s="364"/>
      <c r="AA9" s="1134"/>
      <c r="AB9" s="1042"/>
      <c r="AC9" s="1042"/>
      <c r="AD9" s="408"/>
      <c r="AE9" s="1175"/>
      <c r="AF9" s="1042"/>
      <c r="AG9" s="979"/>
      <c r="AH9" s="373"/>
      <c r="AI9" s="1126"/>
      <c r="AJ9" s="1042"/>
      <c r="AK9" s="1042"/>
      <c r="AL9" s="408"/>
      <c r="AM9" s="1175"/>
      <c r="AN9" s="1042"/>
      <c r="AO9" s="979"/>
      <c r="AP9" s="409"/>
      <c r="AQ9" s="409"/>
      <c r="AR9" s="410"/>
      <c r="AS9" s="410"/>
      <c r="AT9" s="265"/>
    </row>
    <row r="10" spans="1:51" s="357" customFormat="1" ht="34.200000000000003" customHeight="1" x14ac:dyDescent="0.65">
      <c r="A10" s="407" t="s">
        <v>34</v>
      </c>
      <c r="B10" s="340" t="s">
        <v>35</v>
      </c>
      <c r="C10" s="986"/>
      <c r="D10" s="1042"/>
      <c r="E10" s="1042"/>
      <c r="F10" s="979"/>
      <c r="G10" s="986"/>
      <c r="H10" s="1042"/>
      <c r="I10" s="1042"/>
      <c r="J10" s="332" t="s">
        <v>408</v>
      </c>
      <c r="K10" s="1177">
        <v>45821</v>
      </c>
      <c r="L10" s="1042"/>
      <c r="M10" s="1042"/>
      <c r="N10" s="485" t="s">
        <v>75</v>
      </c>
      <c r="O10" s="1128">
        <v>45891</v>
      </c>
      <c r="P10" s="1042"/>
      <c r="Q10" s="979"/>
      <c r="R10" s="720" t="s">
        <v>76</v>
      </c>
      <c r="S10" s="1115">
        <v>45968</v>
      </c>
      <c r="T10" s="1042"/>
      <c r="U10" s="979"/>
      <c r="V10" s="825" t="s">
        <v>68</v>
      </c>
      <c r="W10" s="1079">
        <v>46031</v>
      </c>
      <c r="X10" s="1042"/>
      <c r="Y10" s="1042"/>
      <c r="Z10" s="373"/>
      <c r="AA10" s="1126"/>
      <c r="AB10" s="1042"/>
      <c r="AC10" s="1042"/>
      <c r="AD10" s="408"/>
      <c r="AE10" s="1175"/>
      <c r="AF10" s="1042"/>
      <c r="AG10" s="979"/>
      <c r="AH10" s="373"/>
      <c r="AI10" s="1126"/>
      <c r="AJ10" s="1042"/>
      <c r="AK10" s="1042"/>
      <c r="AL10" s="408"/>
      <c r="AM10" s="1175"/>
      <c r="AN10" s="1042"/>
      <c r="AO10" s="979"/>
      <c r="AP10" s="409"/>
      <c r="AQ10" s="409"/>
      <c r="AT10" s="265"/>
    </row>
    <row r="11" spans="1:51" s="357" customFormat="1" ht="34.200000000000003" customHeight="1" thickBot="1" x14ac:dyDescent="0.7">
      <c r="A11" s="407" t="s">
        <v>44</v>
      </c>
      <c r="B11" s="340" t="s">
        <v>54</v>
      </c>
      <c r="C11" s="987"/>
      <c r="D11" s="975"/>
      <c r="E11" s="975"/>
      <c r="F11" s="976"/>
      <c r="G11" s="987"/>
      <c r="H11" s="975"/>
      <c r="I11" s="975"/>
      <c r="J11" s="788" t="s">
        <v>409</v>
      </c>
      <c r="K11" s="1179">
        <v>45827</v>
      </c>
      <c r="L11" s="1042"/>
      <c r="M11" s="1042"/>
      <c r="N11" s="559" t="s">
        <v>91</v>
      </c>
      <c r="O11" s="1197">
        <v>45905</v>
      </c>
      <c r="P11" s="1042"/>
      <c r="Q11" s="979"/>
      <c r="R11" s="721" t="s">
        <v>84</v>
      </c>
      <c r="S11" s="1106">
        <v>45975</v>
      </c>
      <c r="T11" s="1042"/>
      <c r="U11" s="979"/>
      <c r="V11" s="829" t="s">
        <v>77</v>
      </c>
      <c r="W11" s="1043">
        <v>46038</v>
      </c>
      <c r="X11" s="1042"/>
      <c r="Y11" s="979"/>
      <c r="Z11" s="373"/>
      <c r="AA11" s="1126"/>
      <c r="AB11" s="1042"/>
      <c r="AC11" s="1042"/>
      <c r="AD11" s="408"/>
      <c r="AE11" s="1175"/>
      <c r="AF11" s="1042"/>
      <c r="AG11" s="979"/>
      <c r="AH11" s="373"/>
      <c r="AI11" s="1126"/>
      <c r="AJ11" s="1042"/>
      <c r="AK11" s="1042"/>
      <c r="AL11" s="408"/>
      <c r="AM11" s="1175"/>
      <c r="AN11" s="1042"/>
      <c r="AO11" s="979"/>
      <c r="AP11" s="409"/>
      <c r="AQ11" s="409"/>
      <c r="AR11" s="410"/>
      <c r="AS11" s="410"/>
      <c r="AT11" s="265"/>
    </row>
    <row r="12" spans="1:51" s="357" customFormat="1" ht="34.200000000000003" customHeight="1" thickBot="1" x14ac:dyDescent="0.7">
      <c r="A12" s="407" t="s">
        <v>62</v>
      </c>
      <c r="B12" s="340" t="s">
        <v>63</v>
      </c>
      <c r="C12" s="1056" t="s">
        <v>64</v>
      </c>
      <c r="D12" s="984"/>
      <c r="E12" s="984"/>
      <c r="F12" s="985"/>
      <c r="G12" s="1056" t="s">
        <v>65</v>
      </c>
      <c r="H12" s="984"/>
      <c r="I12" s="985"/>
      <c r="J12" s="333" t="s">
        <v>16</v>
      </c>
      <c r="K12" s="1180">
        <v>45835</v>
      </c>
      <c r="L12" s="1042"/>
      <c r="M12" s="1042"/>
      <c r="N12" s="793" t="s">
        <v>410</v>
      </c>
      <c r="O12" s="1156">
        <v>45912</v>
      </c>
      <c r="P12" s="1042"/>
      <c r="Q12" s="979"/>
      <c r="R12" s="740" t="s">
        <v>92</v>
      </c>
      <c r="S12" s="1122">
        <v>45982</v>
      </c>
      <c r="T12" s="1042"/>
      <c r="U12" s="979"/>
      <c r="V12" s="831" t="s">
        <v>85</v>
      </c>
      <c r="W12" s="1031">
        <v>46045</v>
      </c>
      <c r="X12" s="1042"/>
      <c r="Y12" s="979"/>
      <c r="Z12" s="373"/>
      <c r="AA12" s="1126"/>
      <c r="AB12" s="1042"/>
      <c r="AC12" s="1042"/>
      <c r="AD12" s="408"/>
      <c r="AE12" s="1175"/>
      <c r="AF12" s="1042"/>
      <c r="AG12" s="979"/>
      <c r="AH12" s="373"/>
      <c r="AI12" s="1126"/>
      <c r="AJ12" s="1042"/>
      <c r="AK12" s="1042"/>
      <c r="AL12" s="408"/>
      <c r="AM12" s="1175"/>
      <c r="AN12" s="1042"/>
      <c r="AO12" s="979"/>
      <c r="AP12" s="409"/>
      <c r="AQ12" s="409"/>
      <c r="AR12" s="410"/>
      <c r="AS12" s="410"/>
      <c r="AT12" s="265"/>
    </row>
    <row r="13" spans="1:51" s="357" customFormat="1" ht="34.200000000000003" customHeight="1" thickBot="1" x14ac:dyDescent="0.7">
      <c r="A13" s="407" t="s">
        <v>73</v>
      </c>
      <c r="B13" s="340" t="s">
        <v>74</v>
      </c>
      <c r="C13" s="986"/>
      <c r="D13" s="1042"/>
      <c r="E13" s="1042"/>
      <c r="F13" s="979"/>
      <c r="G13" s="986"/>
      <c r="H13" s="1042"/>
      <c r="I13" s="979"/>
      <c r="J13" s="334" t="s">
        <v>411</v>
      </c>
      <c r="K13" s="1188">
        <v>45842</v>
      </c>
      <c r="L13" s="1042"/>
      <c r="M13" s="1042"/>
      <c r="N13" s="794" t="s">
        <v>17</v>
      </c>
      <c r="O13" s="1130">
        <v>45926</v>
      </c>
      <c r="P13" s="1042"/>
      <c r="Q13" s="979"/>
      <c r="R13" s="775" t="s">
        <v>8</v>
      </c>
      <c r="S13" s="1117">
        <v>45989</v>
      </c>
      <c r="T13" s="1042"/>
      <c r="U13" s="979"/>
      <c r="V13" s="841" t="s">
        <v>93</v>
      </c>
      <c r="W13" s="1061">
        <v>46052</v>
      </c>
      <c r="X13" s="1042"/>
      <c r="Y13" s="979"/>
      <c r="Z13" s="373"/>
      <c r="AA13" s="1126"/>
      <c r="AB13" s="1042"/>
      <c r="AC13" s="1042"/>
      <c r="AD13" s="408"/>
      <c r="AE13" s="1175"/>
      <c r="AF13" s="1042"/>
      <c r="AG13" s="979"/>
      <c r="AH13" s="373"/>
      <c r="AI13" s="1126"/>
      <c r="AJ13" s="1042"/>
      <c r="AK13" s="1042"/>
      <c r="AL13" s="408"/>
      <c r="AM13" s="1175"/>
      <c r="AN13" s="1042"/>
      <c r="AO13" s="979"/>
      <c r="AP13" s="409"/>
      <c r="AQ13" s="409"/>
      <c r="AR13" s="410"/>
      <c r="AS13" s="410"/>
      <c r="AT13" s="265"/>
    </row>
    <row r="14" spans="1:51" s="357" customFormat="1" ht="34.200000000000003" customHeight="1" thickBot="1" x14ac:dyDescent="0.7">
      <c r="A14" s="407" t="s">
        <v>82</v>
      </c>
      <c r="B14" s="340" t="s">
        <v>400</v>
      </c>
      <c r="C14" s="986"/>
      <c r="D14" s="1042"/>
      <c r="E14" s="1042"/>
      <c r="F14" s="979"/>
      <c r="G14" s="986"/>
      <c r="H14" s="1042"/>
      <c r="I14" s="979"/>
      <c r="J14" s="805" t="s">
        <v>26</v>
      </c>
      <c r="K14" s="1182">
        <v>45849</v>
      </c>
      <c r="L14" s="1042"/>
      <c r="M14" s="1042"/>
      <c r="N14" s="797" t="s">
        <v>27</v>
      </c>
      <c r="O14" s="1133">
        <v>45933</v>
      </c>
      <c r="P14" s="1042"/>
      <c r="Q14" s="979"/>
      <c r="R14" s="791" t="s">
        <v>18</v>
      </c>
      <c r="S14" s="1109">
        <v>45996</v>
      </c>
      <c r="T14" s="1042"/>
      <c r="U14" s="979"/>
      <c r="V14" s="804"/>
      <c r="W14" s="1107"/>
      <c r="X14" s="1042"/>
      <c r="Y14" s="979"/>
      <c r="Z14" s="373"/>
      <c r="AA14" s="1126"/>
      <c r="AB14" s="1042"/>
      <c r="AC14" s="1042"/>
      <c r="AD14" s="408"/>
      <c r="AE14" s="1175"/>
      <c r="AF14" s="1042"/>
      <c r="AG14" s="979"/>
      <c r="AH14" s="373"/>
      <c r="AI14" s="1126"/>
      <c r="AJ14" s="1042"/>
      <c r="AK14" s="1042"/>
      <c r="AL14" s="408"/>
      <c r="AM14" s="1175"/>
      <c r="AN14" s="1042"/>
      <c r="AO14" s="979"/>
      <c r="AP14" s="409"/>
      <c r="AQ14" s="409"/>
      <c r="AR14" s="410"/>
      <c r="AS14" s="410"/>
      <c r="AT14" s="265"/>
    </row>
    <row r="15" spans="1:51" s="357" customFormat="1" ht="34.200000000000003" customHeight="1" thickBot="1" x14ac:dyDescent="0.7">
      <c r="A15" s="411" t="s">
        <v>90</v>
      </c>
      <c r="B15" s="342">
        <v>182948</v>
      </c>
      <c r="C15" s="987"/>
      <c r="D15" s="975"/>
      <c r="E15" s="975"/>
      <c r="F15" s="976"/>
      <c r="G15" s="987"/>
      <c r="H15" s="975"/>
      <c r="I15" s="976"/>
      <c r="J15" s="806" t="s">
        <v>36</v>
      </c>
      <c r="K15" s="1191">
        <v>45855</v>
      </c>
      <c r="L15" s="975"/>
      <c r="M15" s="975"/>
      <c r="N15" s="807" t="s">
        <v>37</v>
      </c>
      <c r="O15" s="1186">
        <v>45940</v>
      </c>
      <c r="P15" s="975"/>
      <c r="Q15" s="976"/>
      <c r="R15" s="789" t="s">
        <v>28</v>
      </c>
      <c r="S15" s="1105">
        <v>46003</v>
      </c>
      <c r="T15" s="975"/>
      <c r="U15" s="976"/>
      <c r="V15" s="808"/>
      <c r="W15" s="1102"/>
      <c r="X15" s="975"/>
      <c r="Y15" s="976"/>
      <c r="Z15" s="380"/>
      <c r="AA15" s="1136"/>
      <c r="AB15" s="975"/>
      <c r="AC15" s="975"/>
      <c r="AD15" s="412"/>
      <c r="AE15" s="1184"/>
      <c r="AF15" s="975"/>
      <c r="AG15" s="976"/>
      <c r="AH15" s="380"/>
      <c r="AI15" s="1136"/>
      <c r="AJ15" s="975"/>
      <c r="AK15" s="975"/>
      <c r="AL15" s="412"/>
      <c r="AM15" s="1184"/>
      <c r="AN15" s="975"/>
      <c r="AO15" s="976"/>
      <c r="AP15" s="413"/>
      <c r="AQ15" s="413"/>
      <c r="AR15" s="414"/>
      <c r="AS15" s="414"/>
      <c r="AT15" s="415"/>
    </row>
    <row r="16" spans="1:51" s="357" customFormat="1" ht="34.200000000000003" customHeight="1" thickBot="1" x14ac:dyDescent="0.7">
      <c r="A16" s="1192"/>
      <c r="B16" s="1000"/>
      <c r="C16" s="1000"/>
      <c r="D16" s="1000"/>
      <c r="E16" s="1000"/>
      <c r="F16" s="1000"/>
      <c r="G16" s="1000"/>
      <c r="H16" s="1000"/>
      <c r="I16" s="1000"/>
      <c r="J16" s="1000"/>
      <c r="K16" s="1000"/>
      <c r="L16" s="1000"/>
      <c r="M16" s="1000"/>
      <c r="N16" s="1000"/>
      <c r="O16" s="1000"/>
      <c r="P16" s="1000"/>
      <c r="Q16" s="1000"/>
      <c r="R16" s="1000"/>
      <c r="S16" s="1000"/>
      <c r="T16" s="1000"/>
      <c r="U16" s="1000"/>
      <c r="V16" s="1000"/>
      <c r="W16" s="1000"/>
      <c r="X16" s="1000"/>
      <c r="Y16" s="1000"/>
      <c r="Z16" s="1000"/>
      <c r="AA16" s="1000"/>
      <c r="AB16" s="1000"/>
      <c r="AC16" s="1000"/>
      <c r="AD16" s="1000"/>
      <c r="AE16" s="1000"/>
      <c r="AF16" s="1000"/>
      <c r="AG16" s="1000"/>
      <c r="AH16" s="1000"/>
      <c r="AI16" s="1000"/>
      <c r="AJ16" s="1000"/>
      <c r="AK16" s="1000"/>
      <c r="AL16" s="1000"/>
      <c r="AM16" s="1000"/>
      <c r="AN16" s="1000"/>
      <c r="AO16" s="1000"/>
      <c r="AP16" s="1000"/>
      <c r="AQ16" s="1000"/>
      <c r="AR16" s="1000"/>
      <c r="AS16" s="1000"/>
      <c r="AT16" s="1001"/>
    </row>
    <row r="17" spans="1:66" s="357" customFormat="1" ht="34.200000000000003" customHeight="1" thickBot="1" x14ac:dyDescent="0.7">
      <c r="A17" s="1187" t="s">
        <v>98</v>
      </c>
      <c r="B17" s="1072" t="s">
        <v>99</v>
      </c>
      <c r="C17" s="1198" t="s">
        <v>100</v>
      </c>
      <c r="D17" s="1000"/>
      <c r="E17" s="1000"/>
      <c r="F17" s="1000"/>
      <c r="G17" s="1000"/>
      <c r="H17" s="416"/>
      <c r="I17" s="416"/>
      <c r="J17" s="416"/>
      <c r="K17" s="416"/>
      <c r="L17" s="416"/>
      <c r="M17" s="416"/>
      <c r="N17" s="416"/>
      <c r="O17" s="416"/>
      <c r="P17" s="416"/>
      <c r="Q17" s="416"/>
      <c r="R17" s="416"/>
      <c r="S17" s="416"/>
      <c r="T17" s="416"/>
      <c r="U17" s="416"/>
      <c r="V17" s="416"/>
      <c r="W17" s="416"/>
      <c r="X17" s="416"/>
      <c r="Y17" s="416"/>
      <c r="Z17" s="416"/>
      <c r="AA17" s="416"/>
      <c r="AB17" s="416"/>
      <c r="AC17" s="416"/>
      <c r="AD17" s="416"/>
      <c r="AE17" s="416"/>
      <c r="AF17" s="416"/>
      <c r="AG17" s="416"/>
      <c r="AH17" s="416"/>
      <c r="AI17" s="417"/>
      <c r="AJ17" s="399"/>
      <c r="AK17" s="399"/>
      <c r="AL17" s="418"/>
      <c r="AM17" s="418"/>
      <c r="AN17" s="418"/>
      <c r="AO17" s="418"/>
      <c r="AP17" s="418"/>
      <c r="AQ17" s="418"/>
      <c r="AR17" s="418"/>
      <c r="AS17" s="418"/>
      <c r="AT17" s="419"/>
    </row>
    <row r="18" spans="1:66" s="357" customFormat="1" ht="34.200000000000003" customHeight="1" thickBot="1" x14ac:dyDescent="0.7">
      <c r="A18" s="986"/>
      <c r="B18" s="997"/>
      <c r="C18" s="494" t="s">
        <v>101</v>
      </c>
      <c r="D18" s="420"/>
      <c r="E18" s="421"/>
      <c r="F18" s="421"/>
      <c r="G18" s="422"/>
      <c r="H18" s="423"/>
      <c r="I18" s="423"/>
      <c r="J18" s="423"/>
      <c r="K18" s="423"/>
      <c r="L18" s="423"/>
      <c r="M18" s="423"/>
      <c r="N18" s="423"/>
      <c r="O18" s="423"/>
      <c r="P18" s="423"/>
      <c r="Q18" s="423"/>
      <c r="R18" s="423"/>
      <c r="S18" s="423"/>
      <c r="T18" s="423"/>
      <c r="U18" s="423"/>
      <c r="V18" s="423"/>
      <c r="W18" s="423"/>
      <c r="X18" s="423"/>
      <c r="Y18" s="423"/>
      <c r="Z18" s="423"/>
      <c r="AA18" s="423"/>
      <c r="AB18" s="423"/>
      <c r="AC18" s="423"/>
      <c r="AD18" s="424"/>
      <c r="AE18" s="424"/>
      <c r="AF18" s="424"/>
      <c r="AG18" s="424"/>
      <c r="AH18" s="424"/>
      <c r="AI18" s="424"/>
      <c r="AJ18" s="424"/>
      <c r="AK18" s="424"/>
      <c r="AL18" s="424"/>
      <c r="AM18" s="1190" t="s">
        <v>102</v>
      </c>
      <c r="AN18" s="975"/>
      <c r="AO18" s="975"/>
      <c r="AP18" s="975"/>
      <c r="AQ18" s="975"/>
      <c r="AR18" s="976"/>
      <c r="AS18" s="1193" t="s">
        <v>418</v>
      </c>
      <c r="AT18" s="976"/>
    </row>
    <row r="19" spans="1:66" s="357" customFormat="1" ht="34.200000000000003" customHeight="1" thickBot="1" x14ac:dyDescent="0.7">
      <c r="A19" s="987"/>
      <c r="B19" s="1013"/>
      <c r="C19" s="1085">
        <v>1</v>
      </c>
      <c r="D19" s="994"/>
      <c r="E19" s="1046">
        <v>2</v>
      </c>
      <c r="F19" s="994"/>
      <c r="G19" s="1046">
        <v>3</v>
      </c>
      <c r="H19" s="994"/>
      <c r="I19" s="1046">
        <v>4</v>
      </c>
      <c r="J19" s="994"/>
      <c r="K19" s="1046">
        <v>5</v>
      </c>
      <c r="L19" s="994"/>
      <c r="M19" s="1046">
        <v>6</v>
      </c>
      <c r="N19" s="994"/>
      <c r="O19" s="1046">
        <v>7</v>
      </c>
      <c r="P19" s="994"/>
      <c r="Q19" s="1046">
        <v>8</v>
      </c>
      <c r="R19" s="994"/>
      <c r="S19" s="1046">
        <v>9</v>
      </c>
      <c r="T19" s="994"/>
      <c r="U19" s="1046">
        <v>10</v>
      </c>
      <c r="V19" s="994"/>
      <c r="W19" s="1046">
        <v>11</v>
      </c>
      <c r="X19" s="994"/>
      <c r="Y19" s="1046">
        <v>12</v>
      </c>
      <c r="Z19" s="994"/>
      <c r="AA19" s="1046">
        <v>13</v>
      </c>
      <c r="AB19" s="994"/>
      <c r="AC19" s="1046">
        <v>14</v>
      </c>
      <c r="AD19" s="994"/>
      <c r="AE19" s="1046">
        <v>15</v>
      </c>
      <c r="AF19" s="994"/>
      <c r="AG19" s="1046">
        <v>16</v>
      </c>
      <c r="AH19" s="994"/>
      <c r="AI19" s="1046">
        <v>17</v>
      </c>
      <c r="AJ19" s="994"/>
      <c r="AK19" s="1046">
        <v>18</v>
      </c>
      <c r="AL19" s="994"/>
      <c r="AM19" s="1046">
        <v>19</v>
      </c>
      <c r="AN19" s="994"/>
      <c r="AO19" s="1046">
        <v>20</v>
      </c>
      <c r="AP19" s="994"/>
      <c r="AQ19" s="1046">
        <v>21</v>
      </c>
      <c r="AR19" s="994"/>
      <c r="AS19" s="266" t="s">
        <v>104</v>
      </c>
      <c r="AT19" s="267" t="s">
        <v>105</v>
      </c>
    </row>
    <row r="20" spans="1:66" ht="40.049999999999997" customHeight="1" thickBot="1" x14ac:dyDescent="0.7">
      <c r="A20" s="425" t="s">
        <v>106</v>
      </c>
      <c r="B20" s="426" t="s">
        <v>107</v>
      </c>
      <c r="C20" s="427" t="s">
        <v>108</v>
      </c>
      <c r="D20" s="428" t="s">
        <v>109</v>
      </c>
      <c r="E20" s="429" t="s">
        <v>108</v>
      </c>
      <c r="F20" s="428" t="s">
        <v>109</v>
      </c>
      <c r="G20" s="429" t="s">
        <v>108</v>
      </c>
      <c r="H20" s="428" t="s">
        <v>109</v>
      </c>
      <c r="I20" s="429" t="s">
        <v>108</v>
      </c>
      <c r="J20" s="428" t="s">
        <v>109</v>
      </c>
      <c r="K20" s="429" t="s">
        <v>108</v>
      </c>
      <c r="L20" s="428" t="s">
        <v>109</v>
      </c>
      <c r="M20" s="429" t="s">
        <v>108</v>
      </c>
      <c r="N20" s="428" t="s">
        <v>109</v>
      </c>
      <c r="O20" s="429" t="s">
        <v>108</v>
      </c>
      <c r="P20" s="428" t="s">
        <v>109</v>
      </c>
      <c r="Q20" s="429" t="s">
        <v>108</v>
      </c>
      <c r="R20" s="428" t="s">
        <v>109</v>
      </c>
      <c r="S20" s="429" t="s">
        <v>108</v>
      </c>
      <c r="T20" s="428" t="s">
        <v>109</v>
      </c>
      <c r="U20" s="429" t="s">
        <v>108</v>
      </c>
      <c r="V20" s="428" t="s">
        <v>109</v>
      </c>
      <c r="W20" s="429" t="s">
        <v>108</v>
      </c>
      <c r="X20" s="428" t="s">
        <v>109</v>
      </c>
      <c r="Y20" s="429" t="s">
        <v>108</v>
      </c>
      <c r="Z20" s="428" t="s">
        <v>109</v>
      </c>
      <c r="AA20" s="429" t="s">
        <v>108</v>
      </c>
      <c r="AB20" s="428" t="s">
        <v>109</v>
      </c>
      <c r="AC20" s="429" t="s">
        <v>108</v>
      </c>
      <c r="AD20" s="428" t="s">
        <v>109</v>
      </c>
      <c r="AE20" s="429" t="s">
        <v>108</v>
      </c>
      <c r="AF20" s="428" t="s">
        <v>109</v>
      </c>
      <c r="AG20" s="429" t="s">
        <v>108</v>
      </c>
      <c r="AH20" s="428" t="s">
        <v>109</v>
      </c>
      <c r="AI20" s="429" t="s">
        <v>108</v>
      </c>
      <c r="AJ20" s="428" t="s">
        <v>109</v>
      </c>
      <c r="AK20" s="429" t="s">
        <v>108</v>
      </c>
      <c r="AL20" s="428" t="s">
        <v>109</v>
      </c>
      <c r="AM20" s="429" t="s">
        <v>108</v>
      </c>
      <c r="AN20" s="428" t="s">
        <v>109</v>
      </c>
      <c r="AO20" s="429" t="s">
        <v>108</v>
      </c>
      <c r="AP20" s="428" t="s">
        <v>109</v>
      </c>
      <c r="AQ20" s="429" t="s">
        <v>108</v>
      </c>
      <c r="AR20" s="428" t="s">
        <v>109</v>
      </c>
      <c r="AS20" s="428"/>
      <c r="AT20" s="430"/>
      <c r="AY20" s="847"/>
    </row>
    <row r="21" spans="1:66" ht="40.049999999999997" customHeight="1" x14ac:dyDescent="0.65">
      <c r="A21" s="431" t="s">
        <v>110</v>
      </c>
      <c r="B21" s="432" t="s">
        <v>111</v>
      </c>
      <c r="C21" s="433"/>
      <c r="D21" s="434"/>
      <c r="E21" s="435"/>
      <c r="F21" s="435"/>
      <c r="G21" s="435"/>
      <c r="H21" s="435"/>
      <c r="I21" s="435"/>
      <c r="J21" s="435"/>
      <c r="K21" s="435"/>
      <c r="L21" s="435"/>
      <c r="M21" s="435"/>
      <c r="N21" s="435"/>
      <c r="O21" s="435"/>
      <c r="P21" s="435"/>
      <c r="Q21" s="435"/>
      <c r="R21" s="435"/>
      <c r="S21" s="435"/>
      <c r="T21" s="435"/>
      <c r="U21" s="435"/>
      <c r="V21" s="435"/>
      <c r="W21" s="435"/>
      <c r="X21" s="435"/>
      <c r="Y21" s="435"/>
      <c r="Z21" s="435"/>
      <c r="AA21" s="435"/>
      <c r="AB21" s="435"/>
      <c r="AC21" s="435"/>
      <c r="AD21" s="435"/>
      <c r="AE21" s="435"/>
      <c r="AF21" s="435"/>
      <c r="AG21" s="435"/>
      <c r="AH21" s="435"/>
      <c r="AI21" s="436"/>
      <c r="AJ21" s="436"/>
      <c r="AK21" s="436"/>
      <c r="AL21" s="436"/>
      <c r="AM21" s="436"/>
      <c r="AN21" s="436"/>
      <c r="AO21" s="436"/>
      <c r="AP21" s="436"/>
      <c r="AQ21" s="436"/>
      <c r="AR21" s="436"/>
      <c r="AS21" s="435"/>
      <c r="AT21" s="437"/>
      <c r="AU21" s="357"/>
      <c r="AV21" s="357"/>
      <c r="AW21" s="357"/>
      <c r="AX21" s="357"/>
      <c r="AY21" s="847"/>
      <c r="BE21" s="357"/>
      <c r="BF21" s="357"/>
      <c r="BG21" s="357"/>
      <c r="BH21" s="357"/>
      <c r="BI21" s="357"/>
      <c r="BJ21" s="357"/>
      <c r="BK21" s="357"/>
      <c r="BL21" s="357"/>
      <c r="BM21" s="357"/>
      <c r="BN21" s="357"/>
    </row>
    <row r="22" spans="1:66" ht="40.049999999999997" customHeight="1" x14ac:dyDescent="0.65">
      <c r="A22" s="438" t="s">
        <v>112</v>
      </c>
      <c r="B22" s="900" t="s">
        <v>113</v>
      </c>
      <c r="C22" s="283"/>
      <c r="D22" s="284"/>
      <c r="E22" s="283"/>
      <c r="F22" s="285"/>
      <c r="G22" s="283" t="s">
        <v>6</v>
      </c>
      <c r="H22" s="285"/>
      <c r="I22" s="283" t="s">
        <v>6</v>
      </c>
      <c r="J22" s="285"/>
      <c r="K22" s="283" t="s">
        <v>6</v>
      </c>
      <c r="L22" s="285"/>
      <c r="M22" s="283" t="s">
        <v>6</v>
      </c>
      <c r="N22" s="285"/>
      <c r="O22" s="283" t="s">
        <v>6</v>
      </c>
      <c r="P22" s="285"/>
      <c r="Q22" s="283" t="s">
        <v>6</v>
      </c>
      <c r="R22" s="285"/>
      <c r="S22" s="283" t="s">
        <v>6</v>
      </c>
      <c r="T22" s="285"/>
      <c r="U22" s="285" t="s">
        <v>417</v>
      </c>
      <c r="V22" s="285"/>
      <c r="W22" s="668" t="s">
        <v>417</v>
      </c>
      <c r="X22" s="285"/>
      <c r="Y22" s="668" t="s">
        <v>417</v>
      </c>
      <c r="Z22" s="285"/>
      <c r="AA22" s="668" t="s">
        <v>417</v>
      </c>
      <c r="AB22" s="285"/>
      <c r="AC22" s="668" t="s">
        <v>417</v>
      </c>
      <c r="AD22" s="285"/>
      <c r="AE22" s="668" t="s">
        <v>417</v>
      </c>
      <c r="AF22" s="285"/>
      <c r="AG22" s="668" t="s">
        <v>417</v>
      </c>
      <c r="AH22" s="285"/>
      <c r="AI22" s="668" t="s">
        <v>417</v>
      </c>
      <c r="AJ22" s="285"/>
      <c r="AK22" s="668" t="s">
        <v>417</v>
      </c>
      <c r="AL22" s="285"/>
      <c r="AM22" s="668" t="s">
        <v>417</v>
      </c>
      <c r="AN22" s="285"/>
      <c r="AO22" s="668" t="s">
        <v>417</v>
      </c>
      <c r="AP22" s="285"/>
      <c r="AQ22" s="668" t="s">
        <v>417</v>
      </c>
      <c r="AR22" s="288"/>
      <c r="AS22" s="286">
        <f t="shared" ref="AS22:AS28" si="0">COUNTIF(C22:AR22,"&gt;=R")</f>
        <v>19</v>
      </c>
      <c r="AT22" s="287">
        <f t="shared" ref="AT22:AT28" si="1">AS22</f>
        <v>19</v>
      </c>
      <c r="AY22" s="847"/>
    </row>
    <row r="23" spans="1:66" ht="40.049999999999997" customHeight="1" x14ac:dyDescent="0.65">
      <c r="A23" s="438" t="s">
        <v>114</v>
      </c>
      <c r="B23" s="900" t="s">
        <v>115</v>
      </c>
      <c r="C23" s="283"/>
      <c r="D23" s="284"/>
      <c r="E23" s="283"/>
      <c r="F23" s="285"/>
      <c r="G23" s="283" t="s">
        <v>6</v>
      </c>
      <c r="H23" s="285"/>
      <c r="I23" s="283" t="s">
        <v>6</v>
      </c>
      <c r="J23" s="285"/>
      <c r="K23" s="283" t="s">
        <v>6</v>
      </c>
      <c r="L23" s="285"/>
      <c r="M23" s="283" t="s">
        <v>6</v>
      </c>
      <c r="N23" s="285"/>
      <c r="O23" s="283" t="s">
        <v>6</v>
      </c>
      <c r="P23" s="285"/>
      <c r="Q23" s="283" t="s">
        <v>6</v>
      </c>
      <c r="R23" s="285"/>
      <c r="S23" s="283" t="s">
        <v>6</v>
      </c>
      <c r="T23" s="285"/>
      <c r="U23" s="283" t="s">
        <v>6</v>
      </c>
      <c r="V23" s="285"/>
      <c r="W23" s="668" t="s">
        <v>417</v>
      </c>
      <c r="X23" s="285"/>
      <c r="Y23" s="668" t="s">
        <v>417</v>
      </c>
      <c r="Z23" s="285"/>
      <c r="AA23" s="668" t="s">
        <v>417</v>
      </c>
      <c r="AB23" s="285"/>
      <c r="AC23" s="668" t="s">
        <v>417</v>
      </c>
      <c r="AD23" s="285"/>
      <c r="AE23" s="668" t="s">
        <v>417</v>
      </c>
      <c r="AF23" s="285"/>
      <c r="AG23" s="668" t="s">
        <v>417</v>
      </c>
      <c r="AH23" s="285"/>
      <c r="AI23" s="668" t="s">
        <v>417</v>
      </c>
      <c r="AJ23" s="285"/>
      <c r="AK23" s="668" t="s">
        <v>417</v>
      </c>
      <c r="AL23" s="285"/>
      <c r="AM23" s="668" t="s">
        <v>417</v>
      </c>
      <c r="AN23" s="285"/>
      <c r="AO23" s="668" t="s">
        <v>417</v>
      </c>
      <c r="AP23" s="285"/>
      <c r="AQ23" s="668" t="s">
        <v>417</v>
      </c>
      <c r="AR23" s="288"/>
      <c r="AS23" s="286">
        <f t="shared" si="0"/>
        <v>19</v>
      </c>
      <c r="AT23" s="287">
        <f t="shared" si="1"/>
        <v>19</v>
      </c>
      <c r="AY23" s="847"/>
    </row>
    <row r="24" spans="1:66" ht="40.049999999999997" customHeight="1" x14ac:dyDescent="0.65">
      <c r="A24" s="438" t="s">
        <v>116</v>
      </c>
      <c r="B24" s="900" t="s">
        <v>117</v>
      </c>
      <c r="C24" s="283"/>
      <c r="D24" s="284"/>
      <c r="E24" s="283"/>
      <c r="F24" s="285"/>
      <c r="G24" s="283" t="s">
        <v>6</v>
      </c>
      <c r="H24" s="285"/>
      <c r="I24" s="283" t="s">
        <v>6</v>
      </c>
      <c r="J24" s="285"/>
      <c r="K24" s="283" t="s">
        <v>6</v>
      </c>
      <c r="L24" s="285"/>
      <c r="M24" s="283" t="s">
        <v>6</v>
      </c>
      <c r="N24" s="285"/>
      <c r="O24" s="283" t="s">
        <v>6</v>
      </c>
      <c r="P24" s="285"/>
      <c r="Q24" s="283" t="s">
        <v>6</v>
      </c>
      <c r="R24" s="285"/>
      <c r="S24" s="283" t="s">
        <v>6</v>
      </c>
      <c r="T24" s="285"/>
      <c r="U24" s="283" t="s">
        <v>6</v>
      </c>
      <c r="V24" s="285"/>
      <c r="W24" s="668" t="s">
        <v>417</v>
      </c>
      <c r="X24" s="285"/>
      <c r="Y24" s="668" t="s">
        <v>417</v>
      </c>
      <c r="Z24" s="285"/>
      <c r="AA24" s="668" t="s">
        <v>417</v>
      </c>
      <c r="AB24" s="285"/>
      <c r="AC24" s="668" t="s">
        <v>417</v>
      </c>
      <c r="AD24" s="285"/>
      <c r="AE24" s="668" t="s">
        <v>417</v>
      </c>
      <c r="AF24" s="285"/>
      <c r="AG24" s="668" t="s">
        <v>417</v>
      </c>
      <c r="AH24" s="285"/>
      <c r="AI24" s="668" t="s">
        <v>417</v>
      </c>
      <c r="AJ24" s="285"/>
      <c r="AK24" s="668" t="s">
        <v>417</v>
      </c>
      <c r="AL24" s="285"/>
      <c r="AM24" s="668" t="s">
        <v>417</v>
      </c>
      <c r="AN24" s="285"/>
      <c r="AO24" s="668" t="s">
        <v>417</v>
      </c>
      <c r="AP24" s="285"/>
      <c r="AQ24" s="668" t="s">
        <v>417</v>
      </c>
      <c r="AR24" s="288"/>
      <c r="AS24" s="286">
        <f t="shared" si="0"/>
        <v>19</v>
      </c>
      <c r="AT24" s="287">
        <f t="shared" si="1"/>
        <v>19</v>
      </c>
      <c r="AY24" s="847"/>
    </row>
    <row r="25" spans="1:66" ht="40.049999999999997" customHeight="1" x14ac:dyDescent="0.65">
      <c r="A25" s="438" t="s">
        <v>118</v>
      </c>
      <c r="B25" s="900" t="s">
        <v>119</v>
      </c>
      <c r="C25" s="283"/>
      <c r="D25" s="284"/>
      <c r="E25" s="283"/>
      <c r="F25" s="285"/>
      <c r="G25" s="283" t="s">
        <v>6</v>
      </c>
      <c r="H25" s="285"/>
      <c r="I25" s="283" t="s">
        <v>6</v>
      </c>
      <c r="J25" s="285"/>
      <c r="K25" s="283" t="s">
        <v>6</v>
      </c>
      <c r="L25" s="285"/>
      <c r="M25" s="283" t="s">
        <v>6</v>
      </c>
      <c r="N25" s="285"/>
      <c r="O25" s="283" t="s">
        <v>6</v>
      </c>
      <c r="P25" s="285"/>
      <c r="Q25" s="283" t="s">
        <v>6</v>
      </c>
      <c r="R25" s="285"/>
      <c r="S25" s="283" t="s">
        <v>6</v>
      </c>
      <c r="T25" s="285"/>
      <c r="U25" s="283" t="s">
        <v>6</v>
      </c>
      <c r="V25" s="285"/>
      <c r="W25" s="668" t="s">
        <v>417</v>
      </c>
      <c r="X25" s="285"/>
      <c r="Y25" s="668" t="s">
        <v>417</v>
      </c>
      <c r="Z25" s="285"/>
      <c r="AA25" s="668" t="s">
        <v>417</v>
      </c>
      <c r="AB25" s="285"/>
      <c r="AC25" s="668" t="s">
        <v>417</v>
      </c>
      <c r="AD25" s="285"/>
      <c r="AE25" s="668" t="s">
        <v>417</v>
      </c>
      <c r="AF25" s="285"/>
      <c r="AG25" s="668" t="s">
        <v>417</v>
      </c>
      <c r="AH25" s="285"/>
      <c r="AI25" s="668" t="s">
        <v>417</v>
      </c>
      <c r="AJ25" s="285"/>
      <c r="AK25" s="668" t="s">
        <v>417</v>
      </c>
      <c r="AL25" s="285"/>
      <c r="AM25" s="668" t="s">
        <v>417</v>
      </c>
      <c r="AN25" s="285"/>
      <c r="AO25" s="668" t="s">
        <v>417</v>
      </c>
      <c r="AP25" s="285"/>
      <c r="AQ25" s="668" t="s">
        <v>417</v>
      </c>
      <c r="AR25" s="288"/>
      <c r="AS25" s="286">
        <f t="shared" si="0"/>
        <v>19</v>
      </c>
      <c r="AT25" s="287">
        <f t="shared" si="1"/>
        <v>19</v>
      </c>
      <c r="AY25" s="847"/>
    </row>
    <row r="26" spans="1:66" ht="40.049999999999997" customHeight="1" x14ac:dyDescent="0.65">
      <c r="A26" s="438" t="s">
        <v>120</v>
      </c>
      <c r="B26" s="900" t="s">
        <v>121</v>
      </c>
      <c r="C26" s="284"/>
      <c r="D26" s="284"/>
      <c r="E26" s="285"/>
      <c r="F26" s="285"/>
      <c r="G26" s="285" t="s">
        <v>407</v>
      </c>
      <c r="H26" s="285"/>
      <c r="I26" s="285" t="s">
        <v>407</v>
      </c>
      <c r="J26" s="285"/>
      <c r="K26" s="283" t="s">
        <v>6</v>
      </c>
      <c r="L26" s="285"/>
      <c r="M26" s="283" t="s">
        <v>6</v>
      </c>
      <c r="N26" s="285"/>
      <c r="O26" s="283" t="s">
        <v>6</v>
      </c>
      <c r="P26" s="285"/>
      <c r="Q26" s="283" t="s">
        <v>6</v>
      </c>
      <c r="R26" s="285"/>
      <c r="S26" s="283" t="s">
        <v>6</v>
      </c>
      <c r="T26" s="285"/>
      <c r="U26" s="283" t="s">
        <v>6</v>
      </c>
      <c r="V26" s="285"/>
      <c r="W26" s="283" t="s">
        <v>6</v>
      </c>
      <c r="X26" s="285"/>
      <c r="Y26" s="669" t="s">
        <v>6</v>
      </c>
      <c r="Z26" s="285"/>
      <c r="AA26" s="669" t="s">
        <v>6</v>
      </c>
      <c r="AB26" s="285"/>
      <c r="AC26" s="283" t="s">
        <v>6</v>
      </c>
      <c r="AD26" s="285"/>
      <c r="AE26" s="669" t="s">
        <v>6</v>
      </c>
      <c r="AF26" s="285"/>
      <c r="AG26" s="669" t="s">
        <v>6</v>
      </c>
      <c r="AH26" s="285"/>
      <c r="AI26" s="669" t="s">
        <v>6</v>
      </c>
      <c r="AJ26" s="285"/>
      <c r="AK26" s="669" t="s">
        <v>6</v>
      </c>
      <c r="AL26" s="285"/>
      <c r="AM26" s="285" t="s">
        <v>407</v>
      </c>
      <c r="AN26" s="285"/>
      <c r="AO26" s="285" t="s">
        <v>417</v>
      </c>
      <c r="AP26" s="285"/>
      <c r="AQ26" s="285" t="s">
        <v>417</v>
      </c>
      <c r="AR26" s="288"/>
      <c r="AS26" s="286">
        <f t="shared" si="0"/>
        <v>19</v>
      </c>
      <c r="AT26" s="287">
        <f t="shared" si="1"/>
        <v>19</v>
      </c>
      <c r="AY26" s="847"/>
    </row>
    <row r="27" spans="1:66" ht="40.049999999999997" customHeight="1" x14ac:dyDescent="0.65">
      <c r="A27" s="438" t="s">
        <v>122</v>
      </c>
      <c r="B27" s="900" t="s">
        <v>123</v>
      </c>
      <c r="C27" s="284"/>
      <c r="D27" s="284"/>
      <c r="E27" s="285"/>
      <c r="F27" s="285"/>
      <c r="G27" s="285" t="s">
        <v>407</v>
      </c>
      <c r="H27" s="285"/>
      <c r="I27" s="285" t="s">
        <v>407</v>
      </c>
      <c r="J27" s="285"/>
      <c r="K27" s="283" t="s">
        <v>6</v>
      </c>
      <c r="L27" s="285"/>
      <c r="M27" s="283" t="s">
        <v>6</v>
      </c>
      <c r="N27" s="285"/>
      <c r="O27" s="283" t="s">
        <v>6</v>
      </c>
      <c r="P27" s="285"/>
      <c r="Q27" s="283" t="s">
        <v>6</v>
      </c>
      <c r="R27" s="285"/>
      <c r="S27" s="283" t="s">
        <v>6</v>
      </c>
      <c r="T27" s="285"/>
      <c r="U27" s="283" t="s">
        <v>6</v>
      </c>
      <c r="V27" s="285"/>
      <c r="W27" s="283" t="s">
        <v>6</v>
      </c>
      <c r="X27" s="285"/>
      <c r="Y27" s="669" t="s">
        <v>6</v>
      </c>
      <c r="Z27" s="285"/>
      <c r="AA27" s="669" t="s">
        <v>6</v>
      </c>
      <c r="AB27" s="285"/>
      <c r="AC27" s="283" t="s">
        <v>6</v>
      </c>
      <c r="AD27" s="285"/>
      <c r="AE27" s="669" t="s">
        <v>6</v>
      </c>
      <c r="AF27" s="285"/>
      <c r="AG27" s="669" t="s">
        <v>6</v>
      </c>
      <c r="AH27" s="285"/>
      <c r="AI27" s="283" t="s">
        <v>6</v>
      </c>
      <c r="AJ27" s="285"/>
      <c r="AK27" s="285" t="s">
        <v>417</v>
      </c>
      <c r="AL27" s="285"/>
      <c r="AM27" s="285" t="s">
        <v>417</v>
      </c>
      <c r="AN27" s="285"/>
      <c r="AO27" s="285" t="s">
        <v>417</v>
      </c>
      <c r="AP27" s="285"/>
      <c r="AQ27" s="285" t="s">
        <v>417</v>
      </c>
      <c r="AR27" s="288"/>
      <c r="AS27" s="286">
        <f t="shared" si="0"/>
        <v>19</v>
      </c>
      <c r="AT27" s="287">
        <f t="shared" si="1"/>
        <v>19</v>
      </c>
      <c r="AY27" s="847"/>
    </row>
    <row r="28" spans="1:66" ht="40.049999999999997" customHeight="1" x14ac:dyDescent="0.65">
      <c r="A28" s="438" t="s">
        <v>124</v>
      </c>
      <c r="B28" s="900" t="s">
        <v>125</v>
      </c>
      <c r="C28" s="284"/>
      <c r="D28" s="284"/>
      <c r="E28" s="285"/>
      <c r="F28" s="285"/>
      <c r="G28" s="285" t="s">
        <v>407</v>
      </c>
      <c r="H28" s="285"/>
      <c r="I28" s="285" t="s">
        <v>407</v>
      </c>
      <c r="J28" s="285"/>
      <c r="K28" s="283" t="s">
        <v>6</v>
      </c>
      <c r="L28" s="285"/>
      <c r="M28" s="283" t="s">
        <v>6</v>
      </c>
      <c r="N28" s="285"/>
      <c r="O28" s="283" t="s">
        <v>6</v>
      </c>
      <c r="P28" s="285"/>
      <c r="Q28" s="283" t="s">
        <v>6</v>
      </c>
      <c r="R28" s="285"/>
      <c r="S28" s="283" t="s">
        <v>6</v>
      </c>
      <c r="T28" s="285"/>
      <c r="U28" s="283" t="s">
        <v>6</v>
      </c>
      <c r="V28" s="285"/>
      <c r="W28" s="283" t="s">
        <v>6</v>
      </c>
      <c r="X28" s="285"/>
      <c r="Y28" s="669" t="s">
        <v>6</v>
      </c>
      <c r="Z28" s="285"/>
      <c r="AA28" s="669" t="s">
        <v>6</v>
      </c>
      <c r="AB28" s="285"/>
      <c r="AC28" s="283" t="s">
        <v>6</v>
      </c>
      <c r="AD28" s="285"/>
      <c r="AE28" s="669" t="s">
        <v>6</v>
      </c>
      <c r="AF28" s="285"/>
      <c r="AG28" s="669" t="s">
        <v>6</v>
      </c>
      <c r="AH28" s="285"/>
      <c r="AI28" s="283" t="s">
        <v>6</v>
      </c>
      <c r="AJ28" s="285"/>
      <c r="AK28" s="285" t="s">
        <v>417</v>
      </c>
      <c r="AL28" s="285"/>
      <c r="AM28" s="285" t="s">
        <v>417</v>
      </c>
      <c r="AN28" s="285"/>
      <c r="AO28" s="285" t="s">
        <v>417</v>
      </c>
      <c r="AP28" s="285"/>
      <c r="AQ28" s="285" t="s">
        <v>417</v>
      </c>
      <c r="AR28" s="288"/>
      <c r="AS28" s="286">
        <f t="shared" si="0"/>
        <v>19</v>
      </c>
      <c r="AT28" s="287">
        <f t="shared" si="1"/>
        <v>19</v>
      </c>
      <c r="AY28" s="847"/>
    </row>
    <row r="29" spans="1:66" ht="40.049999999999997" customHeight="1" x14ac:dyDescent="0.65">
      <c r="A29" s="439" t="s">
        <v>126</v>
      </c>
      <c r="B29" s="901" t="s">
        <v>127</v>
      </c>
      <c r="C29" s="440"/>
      <c r="D29" s="441"/>
      <c r="E29" s="442"/>
      <c r="F29" s="442"/>
      <c r="G29" s="442"/>
      <c r="H29" s="442"/>
      <c r="I29" s="442"/>
      <c r="J29" s="442"/>
      <c r="K29" s="442"/>
      <c r="L29" s="442"/>
      <c r="M29" s="442"/>
      <c r="N29" s="442"/>
      <c r="O29" s="442"/>
      <c r="P29" s="442"/>
      <c r="Q29" s="442"/>
      <c r="R29" s="442"/>
      <c r="S29" s="442"/>
      <c r="T29" s="442"/>
      <c r="U29" s="442"/>
      <c r="V29" s="442"/>
      <c r="W29" s="442"/>
      <c r="X29" s="442"/>
      <c r="Y29" s="442"/>
      <c r="Z29" s="442"/>
      <c r="AA29" s="442"/>
      <c r="AB29" s="442"/>
      <c r="AC29" s="442"/>
      <c r="AD29" s="442"/>
      <c r="AE29" s="442"/>
      <c r="AF29" s="442"/>
      <c r="AG29" s="442"/>
      <c r="AH29" s="442"/>
      <c r="AI29" s="443"/>
      <c r="AJ29" s="443"/>
      <c r="AK29" s="443"/>
      <c r="AL29" s="443"/>
      <c r="AM29" s="443"/>
      <c r="AN29" s="443"/>
      <c r="AO29" s="443"/>
      <c r="AP29" s="443"/>
      <c r="AQ29" s="443"/>
      <c r="AR29" s="443"/>
      <c r="AS29" s="443"/>
      <c r="AT29" s="906"/>
      <c r="AU29" s="357"/>
      <c r="AV29" s="357"/>
      <c r="AW29" s="357"/>
      <c r="AX29" s="357"/>
      <c r="AY29" s="847"/>
      <c r="BE29" s="357"/>
      <c r="BF29" s="357"/>
      <c r="BG29" s="357"/>
      <c r="BH29" s="357"/>
      <c r="BI29" s="357"/>
      <c r="BJ29" s="357"/>
      <c r="BK29" s="357"/>
      <c r="BL29" s="357"/>
      <c r="BM29" s="357"/>
      <c r="BN29" s="357"/>
    </row>
    <row r="30" spans="1:66" ht="40.049999999999997" customHeight="1" x14ac:dyDescent="0.65">
      <c r="A30" s="438" t="s">
        <v>128</v>
      </c>
      <c r="B30" s="900" t="s">
        <v>129</v>
      </c>
      <c r="C30" s="284"/>
      <c r="D30" s="284"/>
      <c r="E30" s="285"/>
      <c r="F30" s="285"/>
      <c r="G30" s="670" t="s">
        <v>407</v>
      </c>
      <c r="H30" s="285"/>
      <c r="I30" s="670" t="s">
        <v>407</v>
      </c>
      <c r="J30" s="285"/>
      <c r="K30" s="669" t="s">
        <v>6</v>
      </c>
      <c r="L30" s="285"/>
      <c r="M30" s="669" t="s">
        <v>6</v>
      </c>
      <c r="N30" s="285"/>
      <c r="O30" s="669" t="s">
        <v>6</v>
      </c>
      <c r="P30" s="285"/>
      <c r="Q30" s="669" t="s">
        <v>6</v>
      </c>
      <c r="R30" s="285"/>
      <c r="S30" s="669" t="s">
        <v>6</v>
      </c>
      <c r="T30" s="285"/>
      <c r="U30" s="669" t="s">
        <v>6</v>
      </c>
      <c r="V30" s="285"/>
      <c r="W30" s="669" t="s">
        <v>6</v>
      </c>
      <c r="X30" s="285"/>
      <c r="Y30" s="669" t="s">
        <v>6</v>
      </c>
      <c r="Z30" s="285"/>
      <c r="AA30" s="669" t="s">
        <v>6</v>
      </c>
      <c r="AB30" s="285"/>
      <c r="AC30" s="669" t="s">
        <v>6</v>
      </c>
      <c r="AD30" s="285"/>
      <c r="AE30" s="669" t="s">
        <v>6</v>
      </c>
      <c r="AF30" s="285"/>
      <c r="AG30" s="669" t="s">
        <v>6</v>
      </c>
      <c r="AH30" s="285"/>
      <c r="AI30" s="669" t="s">
        <v>6</v>
      </c>
      <c r="AJ30" s="285"/>
      <c r="AK30" s="669" t="s">
        <v>6</v>
      </c>
      <c r="AL30" s="288"/>
      <c r="AM30" s="285" t="s">
        <v>407</v>
      </c>
      <c r="AN30" s="288"/>
      <c r="AO30" s="288" t="s">
        <v>417</v>
      </c>
      <c r="AP30" s="288"/>
      <c r="AQ30" s="288" t="s">
        <v>417</v>
      </c>
      <c r="AR30" s="288"/>
      <c r="AS30" s="286">
        <f>COUNTIF(C30:AR30,"&gt;=R")</f>
        <v>19</v>
      </c>
      <c r="AT30" s="287">
        <f>AS30</f>
        <v>19</v>
      </c>
      <c r="AY30" s="847"/>
    </row>
    <row r="31" spans="1:66" ht="40.049999999999997" customHeight="1" x14ac:dyDescent="0.65">
      <c r="A31" s="438" t="s">
        <v>130</v>
      </c>
      <c r="B31" s="900" t="s">
        <v>131</v>
      </c>
      <c r="C31" s="284"/>
      <c r="D31" s="284"/>
      <c r="E31" s="285"/>
      <c r="F31" s="285"/>
      <c r="G31" s="285" t="s">
        <v>407</v>
      </c>
      <c r="H31" s="285"/>
      <c r="I31" s="285" t="s">
        <v>407</v>
      </c>
      <c r="J31" s="285"/>
      <c r="K31" s="669" t="s">
        <v>6</v>
      </c>
      <c r="L31" s="285"/>
      <c r="M31" s="669" t="s">
        <v>6</v>
      </c>
      <c r="N31" s="285"/>
      <c r="O31" s="669" t="s">
        <v>6</v>
      </c>
      <c r="P31" s="285"/>
      <c r="Q31" s="669" t="s">
        <v>6</v>
      </c>
      <c r="R31" s="285"/>
      <c r="S31" s="669" t="s">
        <v>6</v>
      </c>
      <c r="T31" s="285"/>
      <c r="U31" s="669" t="s">
        <v>6</v>
      </c>
      <c r="V31" s="285"/>
      <c r="W31" s="669" t="s">
        <v>6</v>
      </c>
      <c r="X31" s="285"/>
      <c r="Y31" s="669" t="s">
        <v>6</v>
      </c>
      <c r="Z31" s="285"/>
      <c r="AA31" s="669" t="s">
        <v>6</v>
      </c>
      <c r="AB31" s="285"/>
      <c r="AC31" s="669" t="s">
        <v>6</v>
      </c>
      <c r="AD31" s="285"/>
      <c r="AE31" s="669" t="s">
        <v>6</v>
      </c>
      <c r="AF31" s="285"/>
      <c r="AG31" s="669" t="s">
        <v>6</v>
      </c>
      <c r="AH31" s="285"/>
      <c r="AI31" s="669" t="s">
        <v>6</v>
      </c>
      <c r="AJ31" s="285"/>
      <c r="AK31" s="669" t="s">
        <v>6</v>
      </c>
      <c r="AL31" s="288"/>
      <c r="AM31" s="285" t="s">
        <v>407</v>
      </c>
      <c r="AN31" s="288"/>
      <c r="AO31" s="288" t="s">
        <v>417</v>
      </c>
      <c r="AP31" s="288"/>
      <c r="AQ31" s="288" t="s">
        <v>417</v>
      </c>
      <c r="AR31" s="288"/>
      <c r="AS31" s="286">
        <f>COUNTIF(C31:AR31,"&gt;=R")</f>
        <v>19</v>
      </c>
      <c r="AT31" s="287">
        <f>AS31</f>
        <v>19</v>
      </c>
      <c r="AU31" s="357"/>
      <c r="AV31" s="357"/>
      <c r="AW31" s="357"/>
      <c r="AX31" s="357"/>
      <c r="AY31" s="847"/>
      <c r="BE31" s="357"/>
      <c r="BF31" s="357"/>
      <c r="BG31" s="357"/>
      <c r="BH31" s="357"/>
      <c r="BI31" s="357"/>
      <c r="BJ31" s="357"/>
      <c r="BK31" s="357"/>
      <c r="BL31" s="357"/>
      <c r="BM31" s="357"/>
      <c r="BN31" s="357"/>
    </row>
    <row r="32" spans="1:66" ht="40.049999999999997" customHeight="1" x14ac:dyDescent="0.65">
      <c r="A32" s="439" t="s">
        <v>132</v>
      </c>
      <c r="B32" s="901" t="s">
        <v>133</v>
      </c>
      <c r="C32" s="440"/>
      <c r="D32" s="441"/>
      <c r="E32" s="442"/>
      <c r="F32" s="442"/>
      <c r="G32" s="442"/>
      <c r="H32" s="442"/>
      <c r="I32" s="442"/>
      <c r="J32" s="442"/>
      <c r="K32" s="442"/>
      <c r="L32" s="442"/>
      <c r="M32" s="442"/>
      <c r="N32" s="442"/>
      <c r="O32" s="442"/>
      <c r="P32" s="442"/>
      <c r="Q32" s="442"/>
      <c r="R32" s="442"/>
      <c r="S32" s="442"/>
      <c r="T32" s="442"/>
      <c r="U32" s="442"/>
      <c r="V32" s="442"/>
      <c r="W32" s="442"/>
      <c r="X32" s="442"/>
      <c r="Y32" s="442"/>
      <c r="Z32" s="442"/>
      <c r="AA32" s="442"/>
      <c r="AB32" s="442"/>
      <c r="AC32" s="442"/>
      <c r="AD32" s="442"/>
      <c r="AE32" s="442"/>
      <c r="AF32" s="442"/>
      <c r="AG32" s="442"/>
      <c r="AH32" s="442"/>
      <c r="AI32" s="443"/>
      <c r="AJ32" s="443"/>
      <c r="AK32" s="443"/>
      <c r="AL32" s="443"/>
      <c r="AM32" s="443"/>
      <c r="AN32" s="443"/>
      <c r="AO32" s="443"/>
      <c r="AP32" s="443"/>
      <c r="AQ32" s="443"/>
      <c r="AR32" s="443"/>
      <c r="AS32" s="443"/>
      <c r="AT32" s="906"/>
      <c r="AU32" s="357"/>
      <c r="AV32" s="357"/>
      <c r="AW32" s="357"/>
      <c r="AX32" s="357"/>
      <c r="AY32" s="847"/>
      <c r="BE32" s="357"/>
      <c r="BF32" s="357"/>
      <c r="BG32" s="357"/>
      <c r="BH32" s="357"/>
      <c r="BI32" s="357"/>
      <c r="BJ32" s="357"/>
      <c r="BK32" s="357"/>
      <c r="BL32" s="357"/>
      <c r="BM32" s="357"/>
      <c r="BN32" s="357"/>
    </row>
    <row r="33" spans="1:66" ht="40.049999999999997" customHeight="1" x14ac:dyDescent="0.65">
      <c r="A33" s="444" t="s">
        <v>134</v>
      </c>
      <c r="B33" s="900" t="s">
        <v>135</v>
      </c>
      <c r="C33" s="283"/>
      <c r="D33" s="284"/>
      <c r="E33" s="283"/>
      <c r="F33" s="285"/>
      <c r="G33" s="283"/>
      <c r="H33" s="285"/>
      <c r="I33" s="285" t="s">
        <v>409</v>
      </c>
      <c r="J33" s="285"/>
      <c r="K33" s="285" t="s">
        <v>409</v>
      </c>
      <c r="L33" s="285"/>
      <c r="M33" s="285" t="s">
        <v>409</v>
      </c>
      <c r="N33" s="285"/>
      <c r="O33" s="285" t="s">
        <v>409</v>
      </c>
      <c r="P33" s="285"/>
      <c r="Q33" s="285" t="s">
        <v>409</v>
      </c>
      <c r="R33" s="285"/>
      <c r="S33" s="285" t="s">
        <v>409</v>
      </c>
      <c r="T33" s="285"/>
      <c r="U33" s="285" t="s">
        <v>408</v>
      </c>
      <c r="V33" s="285"/>
      <c r="W33" s="285" t="s">
        <v>408</v>
      </c>
      <c r="X33" s="285"/>
      <c r="Y33" s="285" t="s">
        <v>408</v>
      </c>
      <c r="Z33" s="285"/>
      <c r="AA33" s="285" t="s">
        <v>408</v>
      </c>
      <c r="AB33" s="285"/>
      <c r="AC33" s="285" t="s">
        <v>408</v>
      </c>
      <c r="AD33" s="285"/>
      <c r="AE33" s="285" t="s">
        <v>408</v>
      </c>
      <c r="AF33" s="285"/>
      <c r="AG33" s="285" t="s">
        <v>408</v>
      </c>
      <c r="AH33" s="285"/>
      <c r="AI33" s="285" t="s">
        <v>408</v>
      </c>
      <c r="AJ33" s="288"/>
      <c r="AK33" s="285" t="s">
        <v>408</v>
      </c>
      <c r="AL33" s="288"/>
      <c r="AM33" s="288" t="s">
        <v>408</v>
      </c>
      <c r="AN33" s="288"/>
      <c r="AO33" s="285" t="s">
        <v>408</v>
      </c>
      <c r="AP33" s="285"/>
      <c r="AQ33" s="285" t="s">
        <v>26</v>
      </c>
      <c r="AR33" s="288"/>
      <c r="AS33" s="286">
        <f>COUNTIF(C33:AR33,"&gt;=R")</f>
        <v>18</v>
      </c>
      <c r="AT33" s="287">
        <f>AS33</f>
        <v>18</v>
      </c>
      <c r="AU33" s="357"/>
      <c r="AV33" s="357"/>
      <c r="AW33" s="357"/>
      <c r="AX33" s="357"/>
      <c r="AY33" s="847"/>
      <c r="BE33" s="357"/>
      <c r="BF33" s="357"/>
      <c r="BG33" s="357"/>
      <c r="BH33" s="357"/>
      <c r="BI33" s="357"/>
      <c r="BJ33" s="357"/>
      <c r="BK33" s="357"/>
      <c r="BL33" s="357"/>
      <c r="BM33" s="357"/>
      <c r="BN33" s="357"/>
    </row>
    <row r="34" spans="1:66" ht="40.049999999999997" customHeight="1" x14ac:dyDescent="0.65">
      <c r="A34" s="439" t="s">
        <v>136</v>
      </c>
      <c r="B34" s="901" t="s">
        <v>137</v>
      </c>
      <c r="C34" s="440"/>
      <c r="D34" s="441"/>
      <c r="E34" s="442"/>
      <c r="F34" s="442"/>
      <c r="G34" s="442"/>
      <c r="H34" s="442"/>
      <c r="I34" s="442"/>
      <c r="J34" s="442"/>
      <c r="K34" s="442"/>
      <c r="L34" s="442"/>
      <c r="M34" s="442"/>
      <c r="N34" s="442"/>
      <c r="O34" s="442"/>
      <c r="P34" s="442"/>
      <c r="Q34" s="442"/>
      <c r="R34" s="442"/>
      <c r="S34" s="442"/>
      <c r="T34" s="442"/>
      <c r="U34" s="442"/>
      <c r="V34" s="442"/>
      <c r="W34" s="442"/>
      <c r="X34" s="442"/>
      <c r="Y34" s="442"/>
      <c r="Z34" s="442"/>
      <c r="AA34" s="442"/>
      <c r="AB34" s="442"/>
      <c r="AC34" s="442"/>
      <c r="AD34" s="442"/>
      <c r="AE34" s="442"/>
      <c r="AF34" s="442"/>
      <c r="AG34" s="442"/>
      <c r="AH34" s="442"/>
      <c r="AI34" s="443"/>
      <c r="AJ34" s="443"/>
      <c r="AK34" s="443"/>
      <c r="AL34" s="443"/>
      <c r="AM34" s="443"/>
      <c r="AN34" s="443"/>
      <c r="AO34" s="443"/>
      <c r="AP34" s="443"/>
      <c r="AQ34" s="443"/>
      <c r="AR34" s="443"/>
      <c r="AS34" s="443"/>
      <c r="AT34" s="906"/>
      <c r="AU34" s="357"/>
      <c r="AV34" s="357"/>
      <c r="AW34" s="357"/>
      <c r="AX34" s="357"/>
      <c r="AY34" s="847"/>
      <c r="BE34" s="357"/>
      <c r="BF34" s="357"/>
      <c r="BG34" s="357"/>
      <c r="BH34" s="357"/>
      <c r="BI34" s="357"/>
      <c r="BJ34" s="357"/>
      <c r="BK34" s="357"/>
      <c r="BL34" s="357"/>
      <c r="BM34" s="357"/>
      <c r="BN34" s="357"/>
    </row>
    <row r="35" spans="1:66" ht="40.049999999999997" customHeight="1" x14ac:dyDescent="0.65">
      <c r="A35" s="438" t="s">
        <v>138</v>
      </c>
      <c r="B35" s="900" t="s">
        <v>139</v>
      </c>
      <c r="C35" s="283"/>
      <c r="D35" s="284"/>
      <c r="E35" s="299"/>
      <c r="F35" s="285"/>
      <c r="G35" s="299"/>
      <c r="H35" s="285"/>
      <c r="I35" s="673" t="s">
        <v>409</v>
      </c>
      <c r="J35" s="285"/>
      <c r="K35" s="673" t="s">
        <v>409</v>
      </c>
      <c r="L35" s="285"/>
      <c r="M35" s="673" t="s">
        <v>409</v>
      </c>
      <c r="N35" s="285"/>
      <c r="O35" s="673" t="s">
        <v>409</v>
      </c>
      <c r="P35" s="285"/>
      <c r="Q35" s="673" t="s">
        <v>409</v>
      </c>
      <c r="R35" s="285"/>
      <c r="S35" s="673" t="s">
        <v>409</v>
      </c>
      <c r="T35" s="299"/>
      <c r="U35" s="672" t="s">
        <v>408</v>
      </c>
      <c r="V35" s="285"/>
      <c r="W35" s="672" t="s">
        <v>408</v>
      </c>
      <c r="X35" s="285"/>
      <c r="Y35" s="672" t="s">
        <v>408</v>
      </c>
      <c r="Z35" s="285"/>
      <c r="AA35" s="672" t="s">
        <v>408</v>
      </c>
      <c r="AB35" s="285"/>
      <c r="AC35" s="672" t="s">
        <v>408</v>
      </c>
      <c r="AD35" s="285"/>
      <c r="AE35" s="672" t="s">
        <v>408</v>
      </c>
      <c r="AF35" s="285"/>
      <c r="AG35" s="672" t="s">
        <v>408</v>
      </c>
      <c r="AH35" s="285"/>
      <c r="AI35" s="672" t="s">
        <v>408</v>
      </c>
      <c r="AJ35" s="288"/>
      <c r="AK35" s="672" t="s">
        <v>408</v>
      </c>
      <c r="AL35" s="288"/>
      <c r="AM35" s="288" t="s">
        <v>408</v>
      </c>
      <c r="AN35" s="288"/>
      <c r="AO35" s="672" t="s">
        <v>408</v>
      </c>
      <c r="AP35" s="288"/>
      <c r="AQ35" s="288" t="s">
        <v>26</v>
      </c>
      <c r="AR35" s="288"/>
      <c r="AS35" s="286">
        <f>COUNTIF(C35:AR35,"&gt;=R")</f>
        <v>18</v>
      </c>
      <c r="AT35" s="287">
        <f>AS35</f>
        <v>18</v>
      </c>
      <c r="AY35" s="847"/>
    </row>
    <row r="36" spans="1:66" ht="40.049999999999997" customHeight="1" x14ac:dyDescent="0.65">
      <c r="A36" s="438" t="s">
        <v>140</v>
      </c>
      <c r="B36" s="900" t="s">
        <v>141</v>
      </c>
      <c r="C36" s="283"/>
      <c r="D36" s="284"/>
      <c r="E36" s="283"/>
      <c r="F36" s="285"/>
      <c r="G36" s="299"/>
      <c r="H36" s="285"/>
      <c r="I36" s="673" t="s">
        <v>409</v>
      </c>
      <c r="J36" s="285"/>
      <c r="K36" s="673" t="s">
        <v>409</v>
      </c>
      <c r="L36" s="285"/>
      <c r="M36" s="673" t="s">
        <v>409</v>
      </c>
      <c r="N36" s="285"/>
      <c r="O36" s="673" t="s">
        <v>409</v>
      </c>
      <c r="P36" s="285"/>
      <c r="Q36" s="673" t="s">
        <v>409</v>
      </c>
      <c r="R36" s="285"/>
      <c r="S36" s="673" t="s">
        <v>409</v>
      </c>
      <c r="T36" s="285"/>
      <c r="U36" s="672" t="s">
        <v>408</v>
      </c>
      <c r="V36" s="285"/>
      <c r="W36" s="672" t="s">
        <v>408</v>
      </c>
      <c r="X36" s="285"/>
      <c r="Y36" s="672" t="s">
        <v>408</v>
      </c>
      <c r="Z36" s="285"/>
      <c r="AA36" s="672" t="s">
        <v>408</v>
      </c>
      <c r="AB36" s="285"/>
      <c r="AC36" s="672" t="s">
        <v>408</v>
      </c>
      <c r="AD36" s="285"/>
      <c r="AE36" s="672" t="s">
        <v>408</v>
      </c>
      <c r="AF36" s="285"/>
      <c r="AG36" s="672" t="s">
        <v>408</v>
      </c>
      <c r="AH36" s="285"/>
      <c r="AI36" s="672" t="s">
        <v>408</v>
      </c>
      <c r="AJ36" s="288"/>
      <c r="AK36" s="672" t="s">
        <v>408</v>
      </c>
      <c r="AL36" s="288"/>
      <c r="AM36" s="288" t="s">
        <v>408</v>
      </c>
      <c r="AN36" s="288"/>
      <c r="AO36" s="672" t="s">
        <v>408</v>
      </c>
      <c r="AP36" s="288"/>
      <c r="AQ36" s="288" t="s">
        <v>26</v>
      </c>
      <c r="AR36" s="288"/>
      <c r="AS36" s="286">
        <f>COUNTIF(C36:AR36,"&gt;=R")</f>
        <v>18</v>
      </c>
      <c r="AT36" s="287">
        <f>AS36</f>
        <v>18</v>
      </c>
      <c r="AU36" s="357"/>
      <c r="AV36" s="357"/>
      <c r="AW36" s="357"/>
      <c r="AX36" s="357"/>
      <c r="AY36" s="847"/>
      <c r="BE36" s="357"/>
      <c r="BF36" s="357"/>
      <c r="BG36" s="357"/>
      <c r="BH36" s="357"/>
      <c r="BI36" s="357"/>
      <c r="BJ36" s="357"/>
      <c r="BK36" s="357"/>
      <c r="BL36" s="357"/>
      <c r="BM36" s="357"/>
      <c r="BN36" s="357"/>
    </row>
    <row r="37" spans="1:66" ht="40.049999999999997" customHeight="1" x14ac:dyDescent="0.65">
      <c r="A37" s="439" t="s">
        <v>142</v>
      </c>
      <c r="B37" s="901" t="s">
        <v>143</v>
      </c>
      <c r="C37" s="440"/>
      <c r="D37" s="441"/>
      <c r="E37" s="442"/>
      <c r="F37" s="442"/>
      <c r="G37" s="442"/>
      <c r="H37" s="442"/>
      <c r="I37" s="442"/>
      <c r="J37" s="442"/>
      <c r="K37" s="442"/>
      <c r="L37" s="442"/>
      <c r="M37" s="442"/>
      <c r="N37" s="442"/>
      <c r="O37" s="442"/>
      <c r="P37" s="442"/>
      <c r="Q37" s="442"/>
      <c r="R37" s="442"/>
      <c r="S37" s="442"/>
      <c r="T37" s="442"/>
      <c r="U37" s="442"/>
      <c r="V37" s="442"/>
      <c r="W37" s="442"/>
      <c r="X37" s="442"/>
      <c r="Y37" s="442"/>
      <c r="Z37" s="442"/>
      <c r="AA37" s="442"/>
      <c r="AB37" s="442"/>
      <c r="AC37" s="442"/>
      <c r="AD37" s="442"/>
      <c r="AE37" s="442"/>
      <c r="AF37" s="442"/>
      <c r="AG37" s="442"/>
      <c r="AH37" s="442"/>
      <c r="AI37" s="443"/>
      <c r="AJ37" s="443"/>
      <c r="AK37" s="443"/>
      <c r="AL37" s="443"/>
      <c r="AM37" s="443"/>
      <c r="AN37" s="443"/>
      <c r="AO37" s="443"/>
      <c r="AP37" s="443"/>
      <c r="AQ37" s="443"/>
      <c r="AR37" s="443"/>
      <c r="AS37" s="443"/>
      <c r="AT37" s="906"/>
      <c r="AY37" s="847"/>
    </row>
    <row r="38" spans="1:66" ht="40.049999999999997" customHeight="1" x14ac:dyDescent="0.65">
      <c r="A38" s="444" t="s">
        <v>144</v>
      </c>
      <c r="B38" s="900" t="s">
        <v>145</v>
      </c>
      <c r="C38" s="284"/>
      <c r="D38" s="284"/>
      <c r="E38" s="285"/>
      <c r="F38" s="285"/>
      <c r="G38" s="285"/>
      <c r="H38" s="285"/>
      <c r="I38" s="673" t="s">
        <v>409</v>
      </c>
      <c r="J38" s="285"/>
      <c r="K38" s="673" t="s">
        <v>409</v>
      </c>
      <c r="L38" s="285"/>
      <c r="M38" s="673" t="s">
        <v>409</v>
      </c>
      <c r="N38" s="285"/>
      <c r="O38" s="673" t="s">
        <v>409</v>
      </c>
      <c r="P38" s="285"/>
      <c r="Q38" s="673" t="s">
        <v>409</v>
      </c>
      <c r="R38" s="285"/>
      <c r="S38" s="673" t="s">
        <v>409</v>
      </c>
      <c r="T38" s="285"/>
      <c r="U38" s="672" t="s">
        <v>408</v>
      </c>
      <c r="V38" s="285"/>
      <c r="W38" s="672" t="s">
        <v>408</v>
      </c>
      <c r="X38" s="285"/>
      <c r="Y38" s="672" t="s">
        <v>408</v>
      </c>
      <c r="Z38" s="285"/>
      <c r="AA38" s="672" t="s">
        <v>408</v>
      </c>
      <c r="AB38" s="285"/>
      <c r="AC38" s="672" t="s">
        <v>408</v>
      </c>
      <c r="AD38" s="285"/>
      <c r="AE38" s="672" t="s">
        <v>408</v>
      </c>
      <c r="AF38" s="285"/>
      <c r="AG38" s="672" t="s">
        <v>408</v>
      </c>
      <c r="AH38" s="285"/>
      <c r="AI38" s="672" t="s">
        <v>408</v>
      </c>
      <c r="AJ38" s="288"/>
      <c r="AK38" s="672" t="s">
        <v>408</v>
      </c>
      <c r="AL38" s="288"/>
      <c r="AM38" s="288" t="s">
        <v>408</v>
      </c>
      <c r="AN38" s="288"/>
      <c r="AO38" s="672" t="s">
        <v>408</v>
      </c>
      <c r="AP38" s="288"/>
      <c r="AQ38" s="288" t="s">
        <v>26</v>
      </c>
      <c r="AR38" s="288"/>
      <c r="AS38" s="286">
        <f>COUNTIF(C38:AR38,"&gt;=R")</f>
        <v>18</v>
      </c>
      <c r="AT38" s="287">
        <f>AS38</f>
        <v>18</v>
      </c>
      <c r="AY38" s="847"/>
    </row>
    <row r="39" spans="1:66" ht="40.049999999999997" customHeight="1" x14ac:dyDescent="0.65">
      <c r="A39" s="439" t="s">
        <v>146</v>
      </c>
      <c r="B39" s="901" t="s">
        <v>147</v>
      </c>
      <c r="C39" s="440"/>
      <c r="D39" s="441"/>
      <c r="E39" s="442"/>
      <c r="F39" s="442"/>
      <c r="G39" s="442"/>
      <c r="H39" s="442"/>
      <c r="I39" s="442"/>
      <c r="J39" s="442"/>
      <c r="K39" s="442"/>
      <c r="L39" s="442"/>
      <c r="M39" s="442"/>
      <c r="N39" s="442"/>
      <c r="O39" s="442"/>
      <c r="P39" s="442"/>
      <c r="Q39" s="442"/>
      <c r="R39" s="442"/>
      <c r="S39" s="442"/>
      <c r="T39" s="442"/>
      <c r="U39" s="442"/>
      <c r="V39" s="442"/>
      <c r="W39" s="442"/>
      <c r="X39" s="442"/>
      <c r="Y39" s="442"/>
      <c r="Z39" s="442"/>
      <c r="AA39" s="442"/>
      <c r="AB39" s="442"/>
      <c r="AC39" s="442"/>
      <c r="AD39" s="442"/>
      <c r="AE39" s="442"/>
      <c r="AF39" s="442"/>
      <c r="AG39" s="442"/>
      <c r="AH39" s="442"/>
      <c r="AI39" s="443"/>
      <c r="AJ39" s="443"/>
      <c r="AK39" s="443"/>
      <c r="AL39" s="443"/>
      <c r="AM39" s="443"/>
      <c r="AN39" s="443"/>
      <c r="AO39" s="443"/>
      <c r="AP39" s="443"/>
      <c r="AQ39" s="443"/>
      <c r="AR39" s="443"/>
      <c r="AS39" s="443"/>
      <c r="AT39" s="906"/>
      <c r="AY39" s="847"/>
    </row>
    <row r="40" spans="1:66" ht="40.049999999999997" customHeight="1" x14ac:dyDescent="0.65">
      <c r="A40" s="438" t="s">
        <v>148</v>
      </c>
      <c r="B40" s="900" t="s">
        <v>139</v>
      </c>
      <c r="C40" s="284"/>
      <c r="D40" s="284"/>
      <c r="E40" s="285"/>
      <c r="F40" s="285"/>
      <c r="G40" s="299"/>
      <c r="H40" s="285"/>
      <c r="I40" s="674" t="s">
        <v>16</v>
      </c>
      <c r="J40" s="285"/>
      <c r="K40" s="674" t="s">
        <v>16</v>
      </c>
      <c r="L40" s="285"/>
      <c r="M40" s="674" t="s">
        <v>16</v>
      </c>
      <c r="N40" s="285"/>
      <c r="O40" s="674" t="s">
        <v>16</v>
      </c>
      <c r="P40" s="285"/>
      <c r="Q40" s="674" t="s">
        <v>16</v>
      </c>
      <c r="R40" s="285"/>
      <c r="S40" s="673" t="s">
        <v>409</v>
      </c>
      <c r="T40" s="285"/>
      <c r="U40" s="673" t="s">
        <v>409</v>
      </c>
      <c r="V40" s="285"/>
      <c r="W40" s="673" t="s">
        <v>409</v>
      </c>
      <c r="X40" s="285"/>
      <c r="Y40" s="673" t="s">
        <v>409</v>
      </c>
      <c r="Z40" s="285"/>
      <c r="AA40" s="288" t="s">
        <v>408</v>
      </c>
      <c r="AB40" s="285"/>
      <c r="AC40" s="285" t="s">
        <v>408</v>
      </c>
      <c r="AD40" s="285"/>
      <c r="AE40" s="285" t="s">
        <v>408</v>
      </c>
      <c r="AF40" s="285"/>
      <c r="AG40" s="285" t="s">
        <v>408</v>
      </c>
      <c r="AH40" s="285"/>
      <c r="AI40" s="288" t="s">
        <v>408</v>
      </c>
      <c r="AJ40" s="288"/>
      <c r="AK40" s="285" t="s">
        <v>408</v>
      </c>
      <c r="AL40" s="288"/>
      <c r="AM40" s="288" t="s">
        <v>408</v>
      </c>
      <c r="AN40" s="288"/>
      <c r="AO40" s="288" t="s">
        <v>408</v>
      </c>
      <c r="AP40" s="288"/>
      <c r="AQ40" s="288" t="s">
        <v>26</v>
      </c>
      <c r="AR40" s="288"/>
      <c r="AS40" s="286">
        <f>COUNTIF(C40:AR40,"&gt;=R")</f>
        <v>18</v>
      </c>
      <c r="AT40" s="287">
        <f>AS40</f>
        <v>18</v>
      </c>
      <c r="AY40" s="847"/>
    </row>
    <row r="41" spans="1:66" ht="40.049999999999997" customHeight="1" x14ac:dyDescent="0.65">
      <c r="A41" s="438" t="s">
        <v>149</v>
      </c>
      <c r="B41" s="900" t="s">
        <v>150</v>
      </c>
      <c r="C41" s="284"/>
      <c r="D41" s="284"/>
      <c r="E41" s="285"/>
      <c r="F41" s="285"/>
      <c r="G41" s="285"/>
      <c r="H41" s="285"/>
      <c r="I41" s="674" t="s">
        <v>16</v>
      </c>
      <c r="J41" s="285"/>
      <c r="K41" s="674" t="s">
        <v>16</v>
      </c>
      <c r="L41" s="285"/>
      <c r="M41" s="674" t="s">
        <v>16</v>
      </c>
      <c r="N41" s="285"/>
      <c r="O41" s="674" t="s">
        <v>16</v>
      </c>
      <c r="P41" s="285"/>
      <c r="Q41" s="674" t="s">
        <v>16</v>
      </c>
      <c r="R41" s="285"/>
      <c r="S41" s="674" t="s">
        <v>16</v>
      </c>
      <c r="T41" s="285"/>
      <c r="U41" s="674" t="s">
        <v>16</v>
      </c>
      <c r="V41" s="285"/>
      <c r="W41" s="674" t="s">
        <v>16</v>
      </c>
      <c r="X41" s="285"/>
      <c r="Y41" s="674" t="s">
        <v>16</v>
      </c>
      <c r="Z41" s="285"/>
      <c r="AA41" s="674" t="s">
        <v>16</v>
      </c>
      <c r="AB41" s="285"/>
      <c r="AC41" s="674" t="s">
        <v>16</v>
      </c>
      <c r="AD41" s="285"/>
      <c r="AE41" s="285" t="s">
        <v>26</v>
      </c>
      <c r="AF41" s="285"/>
      <c r="AG41" s="285" t="s">
        <v>26</v>
      </c>
      <c r="AH41" s="285"/>
      <c r="AI41" s="285" t="s">
        <v>26</v>
      </c>
      <c r="AJ41" s="288"/>
      <c r="AK41" s="285" t="s">
        <v>26</v>
      </c>
      <c r="AL41" s="288"/>
      <c r="AM41" s="285" t="s">
        <v>26</v>
      </c>
      <c r="AN41" s="288"/>
      <c r="AO41" s="288" t="s">
        <v>408</v>
      </c>
      <c r="AP41" s="288"/>
      <c r="AQ41" s="288" t="s">
        <v>46</v>
      </c>
      <c r="AR41" s="288"/>
      <c r="AS41" s="286">
        <f>COUNTIF(C41:AR41,"&gt;=R")</f>
        <v>18</v>
      </c>
      <c r="AT41" s="287">
        <f>AS41</f>
        <v>18</v>
      </c>
      <c r="AU41" s="357"/>
      <c r="AV41" s="357"/>
      <c r="AW41" s="357"/>
      <c r="AX41" s="357"/>
      <c r="AY41" s="847"/>
      <c r="BE41" s="357"/>
      <c r="BF41" s="357"/>
      <c r="BG41" s="357"/>
      <c r="BH41" s="357"/>
      <c r="BI41" s="357"/>
      <c r="BJ41" s="357"/>
      <c r="BK41" s="357"/>
      <c r="BL41" s="357"/>
      <c r="BM41" s="357"/>
      <c r="BN41" s="357"/>
    </row>
    <row r="42" spans="1:66" ht="40.049999999999997" customHeight="1" x14ac:dyDescent="0.65">
      <c r="A42" s="439" t="s">
        <v>151</v>
      </c>
      <c r="B42" s="901" t="s">
        <v>152</v>
      </c>
      <c r="C42" s="440"/>
      <c r="D42" s="441"/>
      <c r="E42" s="442"/>
      <c r="F42" s="442"/>
      <c r="G42" s="442"/>
      <c r="H42" s="442"/>
      <c r="I42" s="442"/>
      <c r="J42" s="442"/>
      <c r="K42" s="442"/>
      <c r="L42" s="442"/>
      <c r="M42" s="445"/>
      <c r="N42" s="442"/>
      <c r="O42" s="442"/>
      <c r="P42" s="442"/>
      <c r="Q42" s="442"/>
      <c r="R42" s="442"/>
      <c r="S42" s="442"/>
      <c r="T42" s="442"/>
      <c r="U42" s="443"/>
      <c r="V42" s="442"/>
      <c r="W42" s="442"/>
      <c r="X42" s="442"/>
      <c r="Y42" s="443"/>
      <c r="Z42" s="442"/>
      <c r="AA42" s="442"/>
      <c r="AB42" s="442"/>
      <c r="AC42" s="442"/>
      <c r="AD42" s="442"/>
      <c r="AE42" s="442"/>
      <c r="AF42" s="442"/>
      <c r="AG42" s="442"/>
      <c r="AH42" s="442"/>
      <c r="AI42" s="442"/>
      <c r="AJ42" s="443"/>
      <c r="AK42" s="442"/>
      <c r="AL42" s="443"/>
      <c r="AM42" s="442"/>
      <c r="AN42" s="443"/>
      <c r="AO42" s="442"/>
      <c r="AP42" s="442"/>
      <c r="AQ42" s="442"/>
      <c r="AR42" s="443"/>
      <c r="AS42" s="443"/>
      <c r="AT42" s="906"/>
      <c r="AY42" s="847"/>
    </row>
    <row r="43" spans="1:66" ht="40.049999999999997" customHeight="1" x14ac:dyDescent="0.65">
      <c r="A43" s="438" t="s">
        <v>153</v>
      </c>
      <c r="B43" s="900" t="s">
        <v>154</v>
      </c>
      <c r="C43" s="283"/>
      <c r="D43" s="284"/>
      <c r="E43" s="283"/>
      <c r="F43" s="285"/>
      <c r="G43" s="283"/>
      <c r="H43" s="285"/>
      <c r="I43" s="283" t="s">
        <v>85</v>
      </c>
      <c r="J43" s="285"/>
      <c r="K43" s="283" t="s">
        <v>85</v>
      </c>
      <c r="L43" s="285"/>
      <c r="M43" s="285" t="s">
        <v>85</v>
      </c>
      <c r="N43" s="285"/>
      <c r="O43" s="285" t="s">
        <v>85</v>
      </c>
      <c r="P43" s="285"/>
      <c r="Q43" s="285" t="s">
        <v>85</v>
      </c>
      <c r="R43" s="285"/>
      <c r="S43" s="285" t="s">
        <v>85</v>
      </c>
      <c r="T43" s="285"/>
      <c r="U43" s="285" t="s">
        <v>85</v>
      </c>
      <c r="V43" s="285"/>
      <c r="W43" s="285" t="s">
        <v>85</v>
      </c>
      <c r="X43" s="285"/>
      <c r="Y43" s="285" t="s">
        <v>85</v>
      </c>
      <c r="Z43" s="285"/>
      <c r="AA43" s="285" t="s">
        <v>85</v>
      </c>
      <c r="AB43" s="285"/>
      <c r="AC43" s="285" t="s">
        <v>85</v>
      </c>
      <c r="AD43" s="285"/>
      <c r="AE43" s="285" t="s">
        <v>85</v>
      </c>
      <c r="AF43" s="285"/>
      <c r="AG43" s="285" t="s">
        <v>85</v>
      </c>
      <c r="AH43" s="285"/>
      <c r="AI43" s="285" t="s">
        <v>85</v>
      </c>
      <c r="AJ43" s="288"/>
      <c r="AK43" s="285" t="s">
        <v>85</v>
      </c>
      <c r="AL43" s="288"/>
      <c r="AM43" s="285" t="s">
        <v>85</v>
      </c>
      <c r="AN43" s="288"/>
      <c r="AO43" s="285" t="s">
        <v>36</v>
      </c>
      <c r="AP43" s="285"/>
      <c r="AQ43" s="285" t="s">
        <v>85</v>
      </c>
      <c r="AR43" s="288"/>
      <c r="AS43" s="286">
        <f t="shared" ref="AS43:AS48" si="2">COUNTIF(C43:AR43,"&gt;=R")</f>
        <v>18</v>
      </c>
      <c r="AT43" s="287">
        <f t="shared" ref="AT43:AT48" si="3">AS43</f>
        <v>18</v>
      </c>
      <c r="AY43" s="847"/>
    </row>
    <row r="44" spans="1:66" ht="40.049999999999997" customHeight="1" x14ac:dyDescent="0.65">
      <c r="A44" s="438" t="s">
        <v>155</v>
      </c>
      <c r="B44" s="900" t="s">
        <v>156</v>
      </c>
      <c r="C44" s="302"/>
      <c r="D44" s="284"/>
      <c r="E44" s="288"/>
      <c r="F44" s="285"/>
      <c r="G44" s="288"/>
      <c r="H44" s="285"/>
      <c r="I44" s="288"/>
      <c r="J44" s="285"/>
      <c r="K44" s="288"/>
      <c r="L44" s="285"/>
      <c r="M44" s="288"/>
      <c r="N44" s="285"/>
      <c r="O44" s="288"/>
      <c r="P44" s="285"/>
      <c r="Q44" s="288"/>
      <c r="R44" s="285"/>
      <c r="S44" s="288"/>
      <c r="T44" s="285"/>
      <c r="U44" s="288"/>
      <c r="V44" s="285"/>
      <c r="W44" s="288"/>
      <c r="X44" s="285"/>
      <c r="Y44" s="288"/>
      <c r="Z44" s="285"/>
      <c r="AA44" s="288"/>
      <c r="AB44" s="285"/>
      <c r="AC44" s="288"/>
      <c r="AD44" s="285"/>
      <c r="AE44" s="288"/>
      <c r="AF44" s="285"/>
      <c r="AG44" s="288"/>
      <c r="AH44" s="285"/>
      <c r="AI44" s="288"/>
      <c r="AJ44" s="288"/>
      <c r="AK44" s="288"/>
      <c r="AL44" s="288"/>
      <c r="AM44" s="285"/>
      <c r="AN44" s="288"/>
      <c r="AO44" s="285"/>
      <c r="AP44" s="285"/>
      <c r="AQ44" s="285"/>
      <c r="AR44" s="288"/>
      <c r="AS44" s="286">
        <f t="shared" si="2"/>
        <v>0</v>
      </c>
      <c r="AT44" s="287">
        <f t="shared" si="3"/>
        <v>0</v>
      </c>
      <c r="AU44" s="357"/>
      <c r="AV44" s="357"/>
      <c r="AW44" s="357"/>
      <c r="AX44" s="357"/>
      <c r="AY44" s="847"/>
      <c r="BE44" s="357"/>
      <c r="BF44" s="357"/>
      <c r="BG44" s="357"/>
      <c r="BH44" s="357"/>
      <c r="BI44" s="357"/>
      <c r="BJ44" s="357"/>
      <c r="BK44" s="357"/>
      <c r="BL44" s="357"/>
      <c r="BM44" s="357"/>
      <c r="BN44" s="357"/>
    </row>
    <row r="45" spans="1:66" ht="40.049999999999997" customHeight="1" x14ac:dyDescent="0.65">
      <c r="A45" s="438" t="s">
        <v>157</v>
      </c>
      <c r="B45" s="900" t="s">
        <v>158</v>
      </c>
      <c r="C45" s="284"/>
      <c r="D45" s="284"/>
      <c r="E45" s="285"/>
      <c r="F45" s="285"/>
      <c r="G45" s="285"/>
      <c r="H45" s="285"/>
      <c r="I45" s="299" t="s">
        <v>26</v>
      </c>
      <c r="J45" s="285"/>
      <c r="K45" s="299" t="s">
        <v>26</v>
      </c>
      <c r="L45" s="285"/>
      <c r="M45" s="717" t="s">
        <v>84</v>
      </c>
      <c r="N45" s="285"/>
      <c r="O45" s="717" t="s">
        <v>84</v>
      </c>
      <c r="P45" s="285"/>
      <c r="Q45" s="718" t="s">
        <v>84</v>
      </c>
      <c r="R45" s="285"/>
      <c r="S45" s="285" t="s">
        <v>26</v>
      </c>
      <c r="T45" s="285"/>
      <c r="U45" s="288" t="s">
        <v>26</v>
      </c>
      <c r="V45" s="285"/>
      <c r="W45" s="288" t="s">
        <v>26</v>
      </c>
      <c r="X45" s="285"/>
      <c r="Y45" s="288" t="s">
        <v>26</v>
      </c>
      <c r="Z45" s="285"/>
      <c r="AA45" s="288" t="s">
        <v>26</v>
      </c>
      <c r="AB45" s="285"/>
      <c r="AC45" s="288" t="s">
        <v>26</v>
      </c>
      <c r="AD45" s="285"/>
      <c r="AE45" s="285" t="s">
        <v>26</v>
      </c>
      <c r="AF45" s="285"/>
      <c r="AG45" s="285" t="s">
        <v>26</v>
      </c>
      <c r="AH45" s="285"/>
      <c r="AI45" s="285" t="s">
        <v>26</v>
      </c>
      <c r="AJ45" s="288"/>
      <c r="AK45" s="285" t="s">
        <v>26</v>
      </c>
      <c r="AL45" s="288"/>
      <c r="AM45" s="288" t="s">
        <v>26</v>
      </c>
      <c r="AN45" s="288"/>
      <c r="AO45" s="288" t="s">
        <v>408</v>
      </c>
      <c r="AP45" s="288"/>
      <c r="AQ45" s="288" t="s">
        <v>37</v>
      </c>
      <c r="AR45" s="288"/>
      <c r="AS45" s="286">
        <f t="shared" si="2"/>
        <v>18</v>
      </c>
      <c r="AT45" s="287">
        <f t="shared" si="3"/>
        <v>18</v>
      </c>
      <c r="AY45" s="847"/>
    </row>
    <row r="46" spans="1:66" ht="40.049999999999997" customHeight="1" x14ac:dyDescent="0.65">
      <c r="A46" s="438" t="s">
        <v>159</v>
      </c>
      <c r="B46" s="900" t="s">
        <v>160</v>
      </c>
      <c r="C46" s="283"/>
      <c r="D46" s="284"/>
      <c r="E46" s="285"/>
      <c r="F46" s="285"/>
      <c r="G46" s="285"/>
      <c r="H46" s="285"/>
      <c r="I46" s="285" t="s">
        <v>83</v>
      </c>
      <c r="J46" s="285"/>
      <c r="K46" s="285" t="s">
        <v>67</v>
      </c>
      <c r="L46" s="285"/>
      <c r="M46" s="285" t="s">
        <v>83</v>
      </c>
      <c r="N46" s="285"/>
      <c r="O46" s="285" t="s">
        <v>67</v>
      </c>
      <c r="P46" s="285"/>
      <c r="Q46" s="285" t="s">
        <v>67</v>
      </c>
      <c r="R46" s="285"/>
      <c r="S46" s="285" t="s">
        <v>83</v>
      </c>
      <c r="T46" s="285"/>
      <c r="U46" s="285" t="s">
        <v>83</v>
      </c>
      <c r="V46" s="285"/>
      <c r="W46" s="285" t="s">
        <v>67</v>
      </c>
      <c r="X46" s="285"/>
      <c r="Y46" s="285" t="s">
        <v>67</v>
      </c>
      <c r="Z46" s="285"/>
      <c r="AA46" s="285" t="s">
        <v>67</v>
      </c>
      <c r="AB46" s="285"/>
      <c r="AC46" s="285" t="s">
        <v>67</v>
      </c>
      <c r="AD46" s="285"/>
      <c r="AE46" s="285" t="s">
        <v>83</v>
      </c>
      <c r="AF46" s="285"/>
      <c r="AG46" s="285" t="s">
        <v>83</v>
      </c>
      <c r="AH46" s="285"/>
      <c r="AI46" s="674" t="s">
        <v>16</v>
      </c>
      <c r="AJ46" s="288"/>
      <c r="AK46" s="674" t="s">
        <v>16</v>
      </c>
      <c r="AL46" s="288"/>
      <c r="AM46" s="674" t="s">
        <v>16</v>
      </c>
      <c r="AN46" s="288"/>
      <c r="AO46" s="674" t="s">
        <v>16</v>
      </c>
      <c r="AP46" s="288"/>
      <c r="AQ46" s="288" t="s">
        <v>83</v>
      </c>
      <c r="AR46" s="288"/>
      <c r="AS46" s="286">
        <f t="shared" si="2"/>
        <v>18</v>
      </c>
      <c r="AT46" s="287">
        <f t="shared" si="3"/>
        <v>18</v>
      </c>
      <c r="AU46" s="357"/>
      <c r="AV46" s="357"/>
      <c r="AW46" s="357"/>
      <c r="AX46" s="357"/>
      <c r="AY46" s="847"/>
      <c r="BE46" s="357"/>
      <c r="BF46" s="357"/>
      <c r="BG46" s="357"/>
      <c r="BH46" s="357"/>
      <c r="BI46" s="357"/>
      <c r="BJ46" s="357"/>
      <c r="BK46" s="357"/>
      <c r="BL46" s="357"/>
      <c r="BM46" s="357"/>
      <c r="BN46" s="357"/>
    </row>
    <row r="47" spans="1:66" ht="40.049999999999997" customHeight="1" x14ac:dyDescent="0.65">
      <c r="A47" s="438" t="s">
        <v>161</v>
      </c>
      <c r="B47" s="900" t="s">
        <v>162</v>
      </c>
      <c r="C47" s="283"/>
      <c r="D47" s="284"/>
      <c r="E47" s="285"/>
      <c r="F47" s="285"/>
      <c r="G47" s="285"/>
      <c r="H47" s="285"/>
      <c r="I47" s="285" t="s">
        <v>83</v>
      </c>
      <c r="J47" s="285"/>
      <c r="K47" s="285" t="s">
        <v>84</v>
      </c>
      <c r="L47" s="285"/>
      <c r="M47" s="285" t="s">
        <v>83</v>
      </c>
      <c r="N47" s="285"/>
      <c r="O47" s="285" t="s">
        <v>83</v>
      </c>
      <c r="P47" s="285"/>
      <c r="Q47" s="285" t="s">
        <v>83</v>
      </c>
      <c r="R47" s="285"/>
      <c r="S47" s="285" t="s">
        <v>83</v>
      </c>
      <c r="T47" s="285"/>
      <c r="U47" s="285" t="s">
        <v>83</v>
      </c>
      <c r="V47" s="285"/>
      <c r="W47" s="285" t="s">
        <v>37</v>
      </c>
      <c r="X47" s="285"/>
      <c r="Y47" s="285" t="s">
        <v>84</v>
      </c>
      <c r="Z47" s="285"/>
      <c r="AA47" s="285" t="s">
        <v>84</v>
      </c>
      <c r="AB47" s="285"/>
      <c r="AC47" s="285" t="s">
        <v>84</v>
      </c>
      <c r="AD47" s="285"/>
      <c r="AE47" s="285" t="s">
        <v>83</v>
      </c>
      <c r="AF47" s="285"/>
      <c r="AG47" s="285" t="s">
        <v>83</v>
      </c>
      <c r="AH47" s="285"/>
      <c r="AI47" s="288" t="s">
        <v>83</v>
      </c>
      <c r="AJ47" s="288"/>
      <c r="AK47" s="288" t="s">
        <v>83</v>
      </c>
      <c r="AL47" s="288"/>
      <c r="AM47" s="288" t="s">
        <v>83</v>
      </c>
      <c r="AN47" s="288"/>
      <c r="AO47" s="288" t="s">
        <v>408</v>
      </c>
      <c r="AP47" s="288"/>
      <c r="AQ47" s="288" t="s">
        <v>83</v>
      </c>
      <c r="AR47" s="288"/>
      <c r="AS47" s="286">
        <f t="shared" si="2"/>
        <v>18</v>
      </c>
      <c r="AT47" s="287">
        <f t="shared" si="3"/>
        <v>18</v>
      </c>
      <c r="AY47" s="847"/>
    </row>
    <row r="48" spans="1:66" ht="40.049999999999997" customHeight="1" thickBot="1" x14ac:dyDescent="0.7">
      <c r="A48" s="438" t="s">
        <v>163</v>
      </c>
      <c r="B48" s="900" t="s">
        <v>164</v>
      </c>
      <c r="C48" s="283"/>
      <c r="D48" s="284"/>
      <c r="E48" s="299"/>
      <c r="F48" s="285"/>
      <c r="G48" s="285"/>
      <c r="H48" s="285"/>
      <c r="I48" s="285" t="s">
        <v>26</v>
      </c>
      <c r="J48" s="285"/>
      <c r="K48" s="285" t="s">
        <v>26</v>
      </c>
      <c r="L48" s="285"/>
      <c r="M48" s="288" t="s">
        <v>26</v>
      </c>
      <c r="N48" s="285"/>
      <c r="O48" s="285" t="s">
        <v>26</v>
      </c>
      <c r="P48" s="285"/>
      <c r="Q48" s="674" t="s">
        <v>16</v>
      </c>
      <c r="R48" s="285"/>
      <c r="S48" s="674" t="s">
        <v>16</v>
      </c>
      <c r="T48" s="285"/>
      <c r="U48" s="674" t="s">
        <v>16</v>
      </c>
      <c r="V48" s="285"/>
      <c r="W48" s="674" t="s">
        <v>16</v>
      </c>
      <c r="X48" s="285"/>
      <c r="Y48" s="674" t="s">
        <v>16</v>
      </c>
      <c r="Z48" s="285"/>
      <c r="AA48" s="674" t="s">
        <v>16</v>
      </c>
      <c r="AB48" s="285"/>
      <c r="AC48" s="674" t="s">
        <v>16</v>
      </c>
      <c r="AD48" s="285"/>
      <c r="AE48" s="674" t="s">
        <v>16</v>
      </c>
      <c r="AF48" s="285"/>
      <c r="AG48" s="674" t="s">
        <v>16</v>
      </c>
      <c r="AH48" s="285"/>
      <c r="AI48" s="674" t="s">
        <v>16</v>
      </c>
      <c r="AJ48" s="288"/>
      <c r="AK48" s="674" t="s">
        <v>16</v>
      </c>
      <c r="AL48" s="288"/>
      <c r="AM48" s="674" t="s">
        <v>16</v>
      </c>
      <c r="AN48" s="288"/>
      <c r="AO48" s="288" t="s">
        <v>408</v>
      </c>
      <c r="AP48" s="288"/>
      <c r="AQ48" s="288" t="s">
        <v>36</v>
      </c>
      <c r="AR48" s="288"/>
      <c r="AS48" s="286">
        <f t="shared" si="2"/>
        <v>18</v>
      </c>
      <c r="AT48" s="287">
        <f t="shared" si="3"/>
        <v>18</v>
      </c>
      <c r="AU48" s="357"/>
      <c r="AV48" s="357"/>
      <c r="AW48" s="357"/>
      <c r="AX48" s="357"/>
      <c r="AY48" s="847"/>
      <c r="BE48" s="357"/>
      <c r="BF48" s="357"/>
      <c r="BG48" s="357"/>
      <c r="BH48" s="357"/>
      <c r="BI48" s="357"/>
      <c r="BJ48" s="357"/>
      <c r="BK48" s="357"/>
      <c r="BL48" s="357"/>
      <c r="BM48" s="357"/>
      <c r="BN48" s="357"/>
    </row>
    <row r="49" spans="1:66" ht="40.049999999999997" customHeight="1" x14ac:dyDescent="0.65">
      <c r="A49" s="431" t="s">
        <v>165</v>
      </c>
      <c r="B49" s="432" t="s">
        <v>166</v>
      </c>
      <c r="C49" s="440"/>
      <c r="D49" s="441"/>
      <c r="E49" s="442"/>
      <c r="F49" s="442"/>
      <c r="G49" s="442"/>
      <c r="H49" s="442"/>
      <c r="I49" s="442"/>
      <c r="J49" s="442"/>
      <c r="K49" s="442"/>
      <c r="L49" s="442"/>
      <c r="M49" s="442"/>
      <c r="N49" s="442"/>
      <c r="O49" s="442"/>
      <c r="P49" s="442"/>
      <c r="Q49" s="442"/>
      <c r="R49" s="442"/>
      <c r="S49" s="442"/>
      <c r="T49" s="442"/>
      <c r="U49" s="442"/>
      <c r="V49" s="442"/>
      <c r="W49" s="442"/>
      <c r="X49" s="442"/>
      <c r="Y49" s="442"/>
      <c r="Z49" s="442"/>
      <c r="AA49" s="442"/>
      <c r="AB49" s="442"/>
      <c r="AC49" s="442"/>
      <c r="AD49" s="442"/>
      <c r="AE49" s="442"/>
      <c r="AF49" s="442"/>
      <c r="AG49" s="442"/>
      <c r="AH49" s="442"/>
      <c r="AI49" s="443"/>
      <c r="AJ49" s="443"/>
      <c r="AK49" s="443"/>
      <c r="AL49" s="443"/>
      <c r="AM49" s="443"/>
      <c r="AN49" s="443"/>
      <c r="AO49" s="443"/>
      <c r="AP49" s="443"/>
      <c r="AQ49" s="443"/>
      <c r="AR49" s="443"/>
      <c r="AS49" s="443"/>
      <c r="AT49" s="906"/>
      <c r="AU49" s="357"/>
      <c r="AV49" s="357"/>
      <c r="AW49" s="357"/>
      <c r="AX49" s="357"/>
      <c r="AY49" s="847"/>
      <c r="BE49" s="357"/>
      <c r="BF49" s="357"/>
      <c r="BG49" s="357"/>
      <c r="BH49" s="357"/>
      <c r="BI49" s="357"/>
      <c r="BJ49" s="357"/>
      <c r="BK49" s="357"/>
      <c r="BL49" s="357"/>
      <c r="BM49" s="357"/>
      <c r="BN49" s="357"/>
    </row>
    <row r="50" spans="1:66" ht="40.049999999999997" customHeight="1" x14ac:dyDescent="0.65">
      <c r="A50" s="448" t="s">
        <v>167</v>
      </c>
      <c r="B50" s="449" t="s">
        <v>168</v>
      </c>
      <c r="C50" s="440"/>
      <c r="D50" s="441"/>
      <c r="E50" s="442"/>
      <c r="F50" s="442"/>
      <c r="G50" s="443"/>
      <c r="H50" s="442"/>
      <c r="I50" s="442"/>
      <c r="J50" s="442"/>
      <c r="K50" s="442"/>
      <c r="L50" s="442"/>
      <c r="M50" s="442"/>
      <c r="N50" s="442"/>
      <c r="O50" s="442"/>
      <c r="P50" s="442"/>
      <c r="Q50" s="442"/>
      <c r="R50" s="442"/>
      <c r="S50" s="442"/>
      <c r="T50" s="442"/>
      <c r="U50" s="442"/>
      <c r="V50" s="442"/>
      <c r="W50" s="450"/>
      <c r="X50" s="442"/>
      <c r="Y50" s="450"/>
      <c r="Z50" s="442"/>
      <c r="AA50" s="450"/>
      <c r="AB50" s="442"/>
      <c r="AC50" s="450"/>
      <c r="AD50" s="442"/>
      <c r="AE50" s="443"/>
      <c r="AF50" s="442"/>
      <c r="AG50" s="442"/>
      <c r="AH50" s="442"/>
      <c r="AI50" s="442"/>
      <c r="AJ50" s="443"/>
      <c r="AK50" s="442"/>
      <c r="AL50" s="443"/>
      <c r="AM50" s="442"/>
      <c r="AN50" s="443"/>
      <c r="AO50" s="442"/>
      <c r="AP50" s="442"/>
      <c r="AQ50" s="442"/>
      <c r="AR50" s="443"/>
      <c r="AS50" s="443"/>
      <c r="AT50" s="906"/>
      <c r="AY50" s="847"/>
    </row>
    <row r="51" spans="1:66" ht="40.049999999999997" customHeight="1" x14ac:dyDescent="0.65">
      <c r="A51" s="451" t="s">
        <v>169</v>
      </c>
      <c r="B51" s="902" t="s">
        <v>170</v>
      </c>
      <c r="C51" s="283"/>
      <c r="D51" s="284"/>
      <c r="E51" s="285"/>
      <c r="F51" s="285"/>
      <c r="G51" s="285"/>
      <c r="H51" s="285"/>
      <c r="I51" s="285" t="s">
        <v>17</v>
      </c>
      <c r="J51" s="285"/>
      <c r="K51" s="285" t="s">
        <v>17</v>
      </c>
      <c r="L51" s="285"/>
      <c r="M51" s="285" t="s">
        <v>17</v>
      </c>
      <c r="N51" s="285"/>
      <c r="O51" s="285" t="s">
        <v>17</v>
      </c>
      <c r="P51" s="285"/>
      <c r="Q51" s="285" t="s">
        <v>17</v>
      </c>
      <c r="R51" s="285"/>
      <c r="S51" s="673" t="s">
        <v>409</v>
      </c>
      <c r="T51" s="285"/>
      <c r="U51" s="673" t="s">
        <v>409</v>
      </c>
      <c r="V51" s="285"/>
      <c r="W51" s="673" t="s">
        <v>409</v>
      </c>
      <c r="X51" s="285"/>
      <c r="Y51" s="673" t="s">
        <v>409</v>
      </c>
      <c r="Z51" s="285"/>
      <c r="AA51" s="285" t="s">
        <v>55</v>
      </c>
      <c r="AB51" s="285"/>
      <c r="AC51" s="285" t="s">
        <v>55</v>
      </c>
      <c r="AD51" s="285"/>
      <c r="AE51" s="285" t="s">
        <v>55</v>
      </c>
      <c r="AF51" s="285"/>
      <c r="AG51" s="674" t="s">
        <v>16</v>
      </c>
      <c r="AH51" s="285"/>
      <c r="AI51" s="674" t="s">
        <v>16</v>
      </c>
      <c r="AJ51" s="288"/>
      <c r="AK51" s="285" t="s">
        <v>409</v>
      </c>
      <c r="AL51" s="288"/>
      <c r="AM51" s="288" t="s">
        <v>409</v>
      </c>
      <c r="AN51" s="288"/>
      <c r="AO51" s="288" t="s">
        <v>408</v>
      </c>
      <c r="AP51" s="288"/>
      <c r="AQ51" s="288" t="s">
        <v>17</v>
      </c>
      <c r="AR51" s="288"/>
      <c r="AS51" s="286">
        <f>COUNTIF(C51:AR51,"&gt;=R")</f>
        <v>18</v>
      </c>
      <c r="AT51" s="287">
        <f>AS51</f>
        <v>18</v>
      </c>
      <c r="AU51" s="357"/>
      <c r="AV51" s="357"/>
      <c r="AW51" s="357"/>
      <c r="AX51" s="357"/>
      <c r="AY51" s="847"/>
      <c r="BE51" s="357"/>
      <c r="BF51" s="357"/>
      <c r="BG51" s="357"/>
      <c r="BH51" s="357"/>
      <c r="BI51" s="357"/>
      <c r="BJ51" s="357"/>
      <c r="BK51" s="357"/>
      <c r="BL51" s="357"/>
      <c r="BM51" s="357"/>
      <c r="BN51" s="357"/>
    </row>
    <row r="52" spans="1:66" ht="40.049999999999997" customHeight="1" x14ac:dyDescent="0.65">
      <c r="A52" s="451" t="s">
        <v>171</v>
      </c>
      <c r="B52" s="902" t="s">
        <v>172</v>
      </c>
      <c r="C52" s="283"/>
      <c r="D52" s="284"/>
      <c r="E52" s="283"/>
      <c r="F52" s="285"/>
      <c r="G52" s="283"/>
      <c r="H52" s="285"/>
      <c r="I52" s="776" t="s">
        <v>28</v>
      </c>
      <c r="J52" s="285"/>
      <c r="K52" s="776" t="s">
        <v>28</v>
      </c>
      <c r="L52" s="285"/>
      <c r="M52" s="776" t="s">
        <v>28</v>
      </c>
      <c r="N52" s="285"/>
      <c r="O52" s="776" t="s">
        <v>28</v>
      </c>
      <c r="P52" s="285"/>
      <c r="Q52" s="776" t="s">
        <v>28</v>
      </c>
      <c r="R52" s="285"/>
      <c r="S52" s="776" t="s">
        <v>28</v>
      </c>
      <c r="T52" s="285"/>
      <c r="U52" s="776" t="s">
        <v>28</v>
      </c>
      <c r="V52" s="285"/>
      <c r="W52" s="776" t="s">
        <v>28</v>
      </c>
      <c r="X52" s="285"/>
      <c r="Y52" s="776" t="s">
        <v>28</v>
      </c>
      <c r="Z52" s="285"/>
      <c r="AA52" s="776" t="s">
        <v>28</v>
      </c>
      <c r="AB52" s="285"/>
      <c r="AC52" s="776" t="s">
        <v>28</v>
      </c>
      <c r="AD52" s="285"/>
      <c r="AE52" s="776" t="s">
        <v>28</v>
      </c>
      <c r="AF52" s="285"/>
      <c r="AG52" s="776" t="s">
        <v>28</v>
      </c>
      <c r="AH52" s="285"/>
      <c r="AI52" s="776" t="s">
        <v>28</v>
      </c>
      <c r="AJ52" s="288"/>
      <c r="AK52" s="776" t="s">
        <v>28</v>
      </c>
      <c r="AL52" s="288"/>
      <c r="AM52" s="776" t="s">
        <v>28</v>
      </c>
      <c r="AN52" s="288"/>
      <c r="AO52" s="285" t="s">
        <v>68</v>
      </c>
      <c r="AP52" s="285"/>
      <c r="AQ52" s="776" t="s">
        <v>28</v>
      </c>
      <c r="AR52" s="288"/>
      <c r="AS52" s="286">
        <f>COUNTIF(C52:AR52,"&gt;=R")</f>
        <v>18</v>
      </c>
      <c r="AT52" s="287">
        <f>AS52</f>
        <v>18</v>
      </c>
      <c r="AU52" s="357"/>
      <c r="AV52" s="357"/>
      <c r="AW52" s="357"/>
      <c r="AX52" s="357"/>
      <c r="AY52" s="847"/>
      <c r="BE52" s="357"/>
      <c r="BF52" s="357"/>
      <c r="BG52" s="357"/>
      <c r="BH52" s="357"/>
      <c r="BI52" s="357"/>
      <c r="BJ52" s="357"/>
      <c r="BK52" s="357"/>
      <c r="BL52" s="357"/>
      <c r="BM52" s="357"/>
      <c r="BN52" s="357"/>
    </row>
    <row r="53" spans="1:66" ht="40.049999999999997" customHeight="1" x14ac:dyDescent="0.65">
      <c r="A53" s="439" t="s">
        <v>173</v>
      </c>
      <c r="B53" s="901" t="s">
        <v>174</v>
      </c>
      <c r="C53" s="440"/>
      <c r="D53" s="441"/>
      <c r="E53" s="442"/>
      <c r="F53" s="442"/>
      <c r="G53" s="443"/>
      <c r="H53" s="442"/>
      <c r="I53" s="443"/>
      <c r="J53" s="442"/>
      <c r="K53" s="443"/>
      <c r="L53" s="442"/>
      <c r="M53" s="442"/>
      <c r="N53" s="442"/>
      <c r="O53" s="442"/>
      <c r="P53" s="442"/>
      <c r="Q53" s="442"/>
      <c r="R53" s="442"/>
      <c r="S53" s="442"/>
      <c r="T53" s="442"/>
      <c r="U53" s="442"/>
      <c r="V53" s="442"/>
      <c r="W53" s="442"/>
      <c r="X53" s="442"/>
      <c r="Y53" s="450"/>
      <c r="Z53" s="442"/>
      <c r="AA53" s="450"/>
      <c r="AB53" s="442"/>
      <c r="AC53" s="450"/>
      <c r="AD53" s="442"/>
      <c r="AE53" s="443"/>
      <c r="AF53" s="442"/>
      <c r="AG53" s="442"/>
      <c r="AH53" s="442"/>
      <c r="AI53" s="442"/>
      <c r="AJ53" s="443"/>
      <c r="AK53" s="442"/>
      <c r="AL53" s="443"/>
      <c r="AM53" s="442"/>
      <c r="AN53" s="443"/>
      <c r="AO53" s="442"/>
      <c r="AP53" s="442"/>
      <c r="AQ53" s="442"/>
      <c r="AR53" s="443"/>
      <c r="AS53" s="443"/>
      <c r="AT53" s="906"/>
      <c r="AY53" s="847"/>
    </row>
    <row r="54" spans="1:66" ht="40.049999999999997" customHeight="1" x14ac:dyDescent="0.65">
      <c r="A54" s="451" t="s">
        <v>175</v>
      </c>
      <c r="B54" s="902" t="s">
        <v>176</v>
      </c>
      <c r="C54" s="283"/>
      <c r="D54" s="284"/>
      <c r="E54" s="283"/>
      <c r="F54" s="285"/>
      <c r="G54" s="285"/>
      <c r="H54" s="285"/>
      <c r="I54" s="285" t="s">
        <v>56</v>
      </c>
      <c r="J54" s="285"/>
      <c r="K54" s="285" t="s">
        <v>56</v>
      </c>
      <c r="L54" s="285"/>
      <c r="M54" s="285" t="s">
        <v>56</v>
      </c>
      <c r="N54" s="285"/>
      <c r="O54" s="285" t="s">
        <v>56</v>
      </c>
      <c r="P54" s="285"/>
      <c r="Q54" s="285" t="s">
        <v>47</v>
      </c>
      <c r="R54" s="285"/>
      <c r="S54" s="285" t="s">
        <v>37</v>
      </c>
      <c r="T54" s="285"/>
      <c r="U54" s="288" t="s">
        <v>37</v>
      </c>
      <c r="V54" s="285"/>
      <c r="W54" s="288" t="s">
        <v>27</v>
      </c>
      <c r="X54" s="285"/>
      <c r="Y54" s="288" t="s">
        <v>27</v>
      </c>
      <c r="Z54" s="285"/>
      <c r="AA54" s="288" t="s">
        <v>27</v>
      </c>
      <c r="AB54" s="285"/>
      <c r="AC54" s="288" t="s">
        <v>27</v>
      </c>
      <c r="AD54" s="285"/>
      <c r="AE54" s="285" t="s">
        <v>27</v>
      </c>
      <c r="AF54" s="285"/>
      <c r="AG54" s="285" t="s">
        <v>27</v>
      </c>
      <c r="AH54" s="285"/>
      <c r="AI54" s="288" t="s">
        <v>17</v>
      </c>
      <c r="AJ54" s="288"/>
      <c r="AK54" s="288" t="s">
        <v>17</v>
      </c>
      <c r="AL54" s="288"/>
      <c r="AM54" s="288" t="s">
        <v>17</v>
      </c>
      <c r="AN54" s="288"/>
      <c r="AO54" s="673" t="s">
        <v>409</v>
      </c>
      <c r="AP54" s="288"/>
      <c r="AQ54" s="288" t="s">
        <v>68</v>
      </c>
      <c r="AR54" s="288"/>
      <c r="AS54" s="286">
        <f>COUNTIF(C54:AR54,"&gt;=R")</f>
        <v>18</v>
      </c>
      <c r="AT54" s="287">
        <f>AS54</f>
        <v>18</v>
      </c>
      <c r="AY54" s="847"/>
    </row>
    <row r="55" spans="1:66" ht="40.049999999999997" customHeight="1" x14ac:dyDescent="0.65">
      <c r="A55" s="451" t="s">
        <v>177</v>
      </c>
      <c r="B55" s="902" t="s">
        <v>178</v>
      </c>
      <c r="C55" s="283"/>
      <c r="D55" s="284"/>
      <c r="E55" s="285"/>
      <c r="F55" s="285"/>
      <c r="G55" s="285"/>
      <c r="H55" s="285"/>
      <c r="I55" s="285" t="s">
        <v>56</v>
      </c>
      <c r="J55" s="285"/>
      <c r="K55" s="285" t="s">
        <v>56</v>
      </c>
      <c r="L55" s="285"/>
      <c r="M55" s="285" t="s">
        <v>47</v>
      </c>
      <c r="N55" s="285"/>
      <c r="O55" s="285" t="s">
        <v>47</v>
      </c>
      <c r="P55" s="285"/>
      <c r="Q55" s="285" t="s">
        <v>47</v>
      </c>
      <c r="R55" s="285"/>
      <c r="S55" s="285" t="s">
        <v>37</v>
      </c>
      <c r="T55" s="285"/>
      <c r="U55" s="288" t="s">
        <v>37</v>
      </c>
      <c r="V55" s="285"/>
      <c r="W55" s="288" t="s">
        <v>27</v>
      </c>
      <c r="X55" s="285"/>
      <c r="Y55" s="288" t="s">
        <v>27</v>
      </c>
      <c r="Z55" s="285"/>
      <c r="AA55" s="288" t="s">
        <v>27</v>
      </c>
      <c r="AB55" s="285"/>
      <c r="AC55" s="288" t="s">
        <v>27</v>
      </c>
      <c r="AD55" s="285"/>
      <c r="AE55" s="285" t="s">
        <v>27</v>
      </c>
      <c r="AF55" s="285"/>
      <c r="AG55" s="285" t="s">
        <v>27</v>
      </c>
      <c r="AH55" s="285"/>
      <c r="AI55" s="288" t="s">
        <v>17</v>
      </c>
      <c r="AJ55" s="288"/>
      <c r="AK55" s="288" t="s">
        <v>17</v>
      </c>
      <c r="AL55" s="288"/>
      <c r="AM55" s="288" t="s">
        <v>17</v>
      </c>
      <c r="AN55" s="288"/>
      <c r="AO55" s="673" t="s">
        <v>409</v>
      </c>
      <c r="AP55" s="288"/>
      <c r="AQ55" s="288" t="s">
        <v>68</v>
      </c>
      <c r="AR55" s="288"/>
      <c r="AS55" s="286">
        <f>COUNTIF(C55:AR55,"&gt;=R")</f>
        <v>18</v>
      </c>
      <c r="AT55" s="287">
        <f>AS55</f>
        <v>18</v>
      </c>
      <c r="AU55" s="357"/>
      <c r="AV55" s="357"/>
      <c r="AW55" s="357"/>
      <c r="AX55" s="357"/>
      <c r="AY55" s="847"/>
      <c r="BE55" s="357"/>
      <c r="BF55" s="357"/>
      <c r="BG55" s="357"/>
      <c r="BH55" s="357"/>
      <c r="BI55" s="357"/>
      <c r="BJ55" s="357"/>
      <c r="BK55" s="357"/>
      <c r="BL55" s="357"/>
      <c r="BM55" s="357"/>
      <c r="BN55" s="357"/>
    </row>
    <row r="56" spans="1:66" ht="40.049999999999997" customHeight="1" x14ac:dyDescent="0.65">
      <c r="A56" s="439" t="s">
        <v>179</v>
      </c>
      <c r="B56" s="901" t="s">
        <v>180</v>
      </c>
      <c r="C56" s="440"/>
      <c r="D56" s="441"/>
      <c r="E56" s="442"/>
      <c r="F56" s="442"/>
      <c r="G56" s="442"/>
      <c r="H56" s="442"/>
      <c r="I56" s="442"/>
      <c r="J56" s="442"/>
      <c r="K56" s="442"/>
      <c r="L56" s="442"/>
      <c r="M56" s="442"/>
      <c r="N56" s="442"/>
      <c r="O56" s="442"/>
      <c r="P56" s="442"/>
      <c r="Q56" s="442"/>
      <c r="R56" s="442"/>
      <c r="S56" s="442"/>
      <c r="T56" s="442"/>
      <c r="U56" s="442"/>
      <c r="V56" s="442"/>
      <c r="W56" s="450"/>
      <c r="X56" s="442"/>
      <c r="Y56" s="450"/>
      <c r="Z56" s="442"/>
      <c r="AA56" s="442"/>
      <c r="AB56" s="442"/>
      <c r="AC56" s="442"/>
      <c r="AD56" s="442"/>
      <c r="AE56" s="442"/>
      <c r="AF56" s="442"/>
      <c r="AG56" s="442"/>
      <c r="AH56" s="442"/>
      <c r="AI56" s="442"/>
      <c r="AJ56" s="442"/>
      <c r="AK56" s="442"/>
      <c r="AL56" s="442"/>
      <c r="AM56" s="442"/>
      <c r="AN56" s="443"/>
      <c r="AO56" s="442"/>
      <c r="AP56" s="442"/>
      <c r="AQ56" s="442"/>
      <c r="AR56" s="443"/>
      <c r="AS56" s="443"/>
      <c r="AT56" s="906"/>
      <c r="AY56" s="847"/>
    </row>
    <row r="57" spans="1:66" s="4" customFormat="1" ht="40.049999999999997" customHeight="1" x14ac:dyDescent="0.65">
      <c r="A57" s="357" t="s">
        <v>181</v>
      </c>
      <c r="B57" s="890" t="s">
        <v>182</v>
      </c>
      <c r="C57" s="283"/>
      <c r="D57" s="284"/>
      <c r="E57" s="283"/>
      <c r="F57" s="285"/>
      <c r="G57" s="283"/>
      <c r="H57" s="285"/>
      <c r="I57" s="283" t="s">
        <v>56</v>
      </c>
      <c r="J57" s="285"/>
      <c r="K57" s="285" t="s">
        <v>56</v>
      </c>
      <c r="L57" s="285"/>
      <c r="M57" s="285" t="s">
        <v>56</v>
      </c>
      <c r="N57" s="285"/>
      <c r="O57" s="285" t="s">
        <v>56</v>
      </c>
      <c r="P57" s="285"/>
      <c r="Q57" s="285" t="s">
        <v>47</v>
      </c>
      <c r="R57" s="285"/>
      <c r="S57" s="283" t="s">
        <v>37</v>
      </c>
      <c r="T57" s="285"/>
      <c r="U57" s="283" t="s">
        <v>37</v>
      </c>
      <c r="V57" s="285"/>
      <c r="W57" s="283" t="s">
        <v>37</v>
      </c>
      <c r="X57" s="285"/>
      <c r="Y57" s="283" t="s">
        <v>37</v>
      </c>
      <c r="Z57" s="285"/>
      <c r="AA57" s="288" t="s">
        <v>27</v>
      </c>
      <c r="AB57" s="285"/>
      <c r="AC57" s="288" t="s">
        <v>27</v>
      </c>
      <c r="AD57" s="285"/>
      <c r="AE57" s="285" t="s">
        <v>27</v>
      </c>
      <c r="AF57" s="285"/>
      <c r="AG57" s="285" t="s">
        <v>27</v>
      </c>
      <c r="AH57" s="285"/>
      <c r="AI57" s="288" t="s">
        <v>17</v>
      </c>
      <c r="AJ57" s="288"/>
      <c r="AK57" s="288" t="s">
        <v>17</v>
      </c>
      <c r="AL57" s="288"/>
      <c r="AM57" s="288" t="s">
        <v>17</v>
      </c>
      <c r="AN57" s="288"/>
      <c r="AO57" s="288" t="s">
        <v>55</v>
      </c>
      <c r="AP57" s="288"/>
      <c r="AQ57" s="288"/>
      <c r="AR57" s="288"/>
      <c r="AS57" s="286">
        <f>COUNTIF(C57:AR57,"&gt;=R")</f>
        <v>17</v>
      </c>
      <c r="AT57" s="287">
        <f>AS57</f>
        <v>17</v>
      </c>
    </row>
    <row r="58" spans="1:66" ht="40.049999999999997" customHeight="1" x14ac:dyDescent="0.65">
      <c r="A58" s="439" t="s">
        <v>183</v>
      </c>
      <c r="B58" s="901" t="s">
        <v>184</v>
      </c>
      <c r="C58" s="440"/>
      <c r="D58" s="441"/>
      <c r="E58" s="442"/>
      <c r="F58" s="442"/>
      <c r="G58" s="442"/>
      <c r="H58" s="442"/>
      <c r="I58" s="442"/>
      <c r="J58" s="442"/>
      <c r="K58" s="442"/>
      <c r="L58" s="442"/>
      <c r="M58" s="442"/>
      <c r="N58" s="442"/>
      <c r="O58" s="442"/>
      <c r="P58" s="442"/>
      <c r="Q58" s="442"/>
      <c r="R58" s="442"/>
      <c r="S58" s="442"/>
      <c r="T58" s="442"/>
      <c r="U58" s="442"/>
      <c r="V58" s="442"/>
      <c r="W58" s="442"/>
      <c r="X58" s="442"/>
      <c r="Y58" s="442"/>
      <c r="Z58" s="442"/>
      <c r="AA58" s="442"/>
      <c r="AB58" s="442"/>
      <c r="AC58" s="442"/>
      <c r="AD58" s="442"/>
      <c r="AE58" s="442"/>
      <c r="AF58" s="442"/>
      <c r="AG58" s="442"/>
      <c r="AH58" s="442"/>
      <c r="AI58" s="443"/>
      <c r="AJ58" s="443"/>
      <c r="AK58" s="443"/>
      <c r="AL58" s="443"/>
      <c r="AM58" s="443"/>
      <c r="AN58" s="443"/>
      <c r="AO58" s="443"/>
      <c r="AP58" s="443"/>
      <c r="AQ58" s="443"/>
      <c r="AR58" s="443"/>
      <c r="AS58" s="443"/>
      <c r="AT58" s="906"/>
      <c r="AU58" s="357"/>
      <c r="AV58" s="357"/>
      <c r="AW58" s="357"/>
      <c r="AX58" s="357"/>
      <c r="AY58" s="847"/>
      <c r="BE58" s="357"/>
      <c r="BF58" s="357"/>
      <c r="BG58" s="357"/>
      <c r="BH58" s="357"/>
      <c r="BI58" s="357"/>
      <c r="BJ58" s="357"/>
      <c r="BK58" s="357"/>
      <c r="BL58" s="357"/>
      <c r="BM58" s="357"/>
      <c r="BN58" s="357"/>
    </row>
    <row r="59" spans="1:66" ht="40.049999999999997" customHeight="1" x14ac:dyDescent="0.65">
      <c r="A59" s="438" t="s">
        <v>185</v>
      </c>
      <c r="B59" s="900" t="s">
        <v>186</v>
      </c>
      <c r="C59" s="283"/>
      <c r="D59" s="284"/>
      <c r="E59" s="285"/>
      <c r="F59" s="285"/>
      <c r="G59" s="285"/>
      <c r="H59" s="285"/>
      <c r="I59" s="285" t="s">
        <v>56</v>
      </c>
      <c r="J59" s="285"/>
      <c r="K59" s="285" t="s">
        <v>56</v>
      </c>
      <c r="L59" s="285"/>
      <c r="M59" s="285" t="s">
        <v>56</v>
      </c>
      <c r="N59" s="285"/>
      <c r="O59" s="285" t="s">
        <v>56</v>
      </c>
      <c r="P59" s="285"/>
      <c r="Q59" s="285" t="s">
        <v>56</v>
      </c>
      <c r="R59" s="285"/>
      <c r="S59" s="285" t="s">
        <v>56</v>
      </c>
      <c r="T59" s="285"/>
      <c r="U59" s="285" t="s">
        <v>56</v>
      </c>
      <c r="V59" s="285"/>
      <c r="W59" s="285" t="s">
        <v>93</v>
      </c>
      <c r="X59" s="285"/>
      <c r="Y59" s="285" t="s">
        <v>93</v>
      </c>
      <c r="Z59" s="285"/>
      <c r="AA59" s="285" t="s">
        <v>93</v>
      </c>
      <c r="AB59" s="285"/>
      <c r="AC59" s="285" t="s">
        <v>93</v>
      </c>
      <c r="AD59" s="285"/>
      <c r="AE59" s="285" t="s">
        <v>93</v>
      </c>
      <c r="AF59" s="285"/>
      <c r="AG59" s="285" t="s">
        <v>93</v>
      </c>
      <c r="AH59" s="285"/>
      <c r="AI59" s="288" t="s">
        <v>93</v>
      </c>
      <c r="AJ59" s="288"/>
      <c r="AK59" s="288" t="s">
        <v>93</v>
      </c>
      <c r="AL59" s="288"/>
      <c r="AM59" s="288" t="s">
        <v>93</v>
      </c>
      <c r="AN59" s="288"/>
      <c r="AO59" s="288" t="s">
        <v>55</v>
      </c>
      <c r="AP59" s="288"/>
      <c r="AQ59" s="288" t="s">
        <v>93</v>
      </c>
      <c r="AR59" s="288"/>
      <c r="AS59" s="286">
        <f>COUNTIF(C59:AR59,"&gt;=R")</f>
        <v>18</v>
      </c>
      <c r="AT59" s="287">
        <f>AS59</f>
        <v>18</v>
      </c>
      <c r="AU59" s="357"/>
      <c r="AV59" s="357"/>
      <c r="AW59" s="357"/>
      <c r="AX59" s="357"/>
      <c r="AY59" s="847"/>
      <c r="BE59" s="357"/>
      <c r="BF59" s="357"/>
      <c r="BG59" s="357"/>
      <c r="BH59" s="357"/>
      <c r="BI59" s="357"/>
      <c r="BJ59" s="357"/>
      <c r="BK59" s="357"/>
      <c r="BL59" s="357"/>
      <c r="BM59" s="357"/>
      <c r="BN59" s="357"/>
    </row>
    <row r="60" spans="1:66" ht="40.049999999999997" customHeight="1" x14ac:dyDescent="0.65">
      <c r="A60" s="438" t="s">
        <v>187</v>
      </c>
      <c r="B60" s="900" t="s">
        <v>188</v>
      </c>
      <c r="C60" s="283"/>
      <c r="D60" s="284"/>
      <c r="E60" s="285"/>
      <c r="F60" s="285"/>
      <c r="G60" s="285"/>
      <c r="H60" s="285"/>
      <c r="I60" s="285" t="s">
        <v>56</v>
      </c>
      <c r="J60" s="285"/>
      <c r="K60" s="285" t="s">
        <v>56</v>
      </c>
      <c r="L60" s="285"/>
      <c r="M60" s="285" t="s">
        <v>56</v>
      </c>
      <c r="N60" s="285"/>
      <c r="O60" s="285" t="s">
        <v>56</v>
      </c>
      <c r="P60" s="285"/>
      <c r="Q60" s="285" t="s">
        <v>56</v>
      </c>
      <c r="R60" s="285"/>
      <c r="S60" s="285" t="s">
        <v>56</v>
      </c>
      <c r="T60" s="285"/>
      <c r="U60" s="285" t="s">
        <v>56</v>
      </c>
      <c r="V60" s="285"/>
      <c r="W60" s="285" t="s">
        <v>67</v>
      </c>
      <c r="X60" s="285"/>
      <c r="Y60" s="285" t="s">
        <v>67</v>
      </c>
      <c r="Z60" s="285"/>
      <c r="AA60" s="285" t="s">
        <v>67</v>
      </c>
      <c r="AB60" s="285"/>
      <c r="AC60" s="285" t="s">
        <v>67</v>
      </c>
      <c r="AD60" s="285"/>
      <c r="AE60" s="285" t="s">
        <v>67</v>
      </c>
      <c r="AF60" s="285"/>
      <c r="AG60" s="285" t="s">
        <v>67</v>
      </c>
      <c r="AH60" s="285"/>
      <c r="AI60" s="288" t="s">
        <v>67</v>
      </c>
      <c r="AJ60" s="288"/>
      <c r="AK60" s="288" t="s">
        <v>67</v>
      </c>
      <c r="AL60" s="288"/>
      <c r="AM60" s="288" t="s">
        <v>67</v>
      </c>
      <c r="AN60" s="288"/>
      <c r="AO60" s="288" t="s">
        <v>67</v>
      </c>
      <c r="AP60" s="288"/>
      <c r="AQ60" s="288" t="s">
        <v>67</v>
      </c>
      <c r="AR60" s="288"/>
      <c r="AS60" s="286">
        <f>COUNTIF(C60:AR60,"&gt;=R")</f>
        <v>18</v>
      </c>
      <c r="AT60" s="287">
        <f>AS60</f>
        <v>18</v>
      </c>
      <c r="AU60" s="357"/>
      <c r="AV60" s="357"/>
      <c r="AW60" s="357"/>
      <c r="AX60" s="357"/>
      <c r="AY60" s="847"/>
      <c r="BE60" s="357"/>
      <c r="BF60" s="357"/>
      <c r="BG60" s="357"/>
      <c r="BH60" s="357"/>
      <c r="BI60" s="357"/>
      <c r="BJ60" s="357"/>
      <c r="BK60" s="357"/>
      <c r="BL60" s="357"/>
      <c r="BM60" s="357"/>
      <c r="BN60" s="357"/>
    </row>
    <row r="61" spans="1:66" ht="40.049999999999997" customHeight="1" x14ac:dyDescent="0.65">
      <c r="A61" s="438" t="s">
        <v>189</v>
      </c>
      <c r="B61" s="900" t="s">
        <v>190</v>
      </c>
      <c r="C61" s="284"/>
      <c r="D61" s="284"/>
      <c r="E61" s="285"/>
      <c r="F61" s="285"/>
      <c r="G61" s="285"/>
      <c r="H61" s="285"/>
      <c r="I61" s="285" t="s">
        <v>17</v>
      </c>
      <c r="J61" s="285"/>
      <c r="K61" s="285" t="s">
        <v>17</v>
      </c>
      <c r="L61" s="285"/>
      <c r="M61" s="285" t="s">
        <v>17</v>
      </c>
      <c r="N61" s="285"/>
      <c r="O61" s="285" t="s">
        <v>17</v>
      </c>
      <c r="P61" s="285"/>
      <c r="Q61" s="285" t="s">
        <v>17</v>
      </c>
      <c r="R61" s="285"/>
      <c r="S61" s="285" t="s">
        <v>17</v>
      </c>
      <c r="T61" s="285"/>
      <c r="U61" s="285" t="s">
        <v>17</v>
      </c>
      <c r="V61" s="285"/>
      <c r="W61" s="285" t="s">
        <v>17</v>
      </c>
      <c r="X61" s="285"/>
      <c r="Y61" s="285" t="s">
        <v>17</v>
      </c>
      <c r="Z61" s="285"/>
      <c r="AA61" s="285" t="s">
        <v>17</v>
      </c>
      <c r="AB61" s="285"/>
      <c r="AC61" s="285" t="s">
        <v>410</v>
      </c>
      <c r="AD61" s="285"/>
      <c r="AE61" s="285" t="s">
        <v>410</v>
      </c>
      <c r="AF61" s="285"/>
      <c r="AG61" s="285" t="s">
        <v>410</v>
      </c>
      <c r="AH61" s="285"/>
      <c r="AI61" s="285" t="s">
        <v>410</v>
      </c>
      <c r="AJ61" s="288"/>
      <c r="AK61" s="285" t="s">
        <v>410</v>
      </c>
      <c r="AL61" s="288"/>
      <c r="AM61" s="285" t="s">
        <v>17</v>
      </c>
      <c r="AN61" s="288"/>
      <c r="AO61" s="672" t="s">
        <v>408</v>
      </c>
      <c r="AP61" s="288"/>
      <c r="AQ61" s="288" t="s">
        <v>84</v>
      </c>
      <c r="AR61" s="288"/>
      <c r="AS61" s="286">
        <f>COUNTIF(C61:AR61,"&gt;=R")</f>
        <v>18</v>
      </c>
      <c r="AT61" s="287">
        <f>AS61</f>
        <v>18</v>
      </c>
      <c r="AY61" s="847"/>
    </row>
    <row r="62" spans="1:66" ht="40.049999999999997" customHeight="1" x14ac:dyDescent="0.65">
      <c r="A62" s="438" t="s">
        <v>191</v>
      </c>
      <c r="B62" s="900" t="s">
        <v>192</v>
      </c>
      <c r="C62" s="284"/>
      <c r="D62" s="284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307"/>
      <c r="X62" s="285"/>
      <c r="Y62" s="307"/>
      <c r="Z62" s="285"/>
      <c r="AA62" s="285"/>
      <c r="AB62" s="285"/>
      <c r="AC62" s="285"/>
      <c r="AD62" s="285"/>
      <c r="AE62" s="288"/>
      <c r="AF62" s="285"/>
      <c r="AG62" s="285"/>
      <c r="AH62" s="285"/>
      <c r="AI62" s="285"/>
      <c r="AJ62" s="288"/>
      <c r="AK62" s="285"/>
      <c r="AL62" s="288"/>
      <c r="AM62" s="285"/>
      <c r="AN62" s="288"/>
      <c r="AO62" s="288"/>
      <c r="AP62" s="288"/>
      <c r="AQ62" s="288"/>
      <c r="AR62" s="288"/>
      <c r="AS62" s="286">
        <f>COUNTIF(C62:AR62,"&gt;=R")</f>
        <v>0</v>
      </c>
      <c r="AT62" s="287">
        <f>AS62</f>
        <v>0</v>
      </c>
      <c r="AU62" s="357"/>
      <c r="AV62" s="357"/>
      <c r="AW62" s="357"/>
      <c r="AX62" s="357"/>
      <c r="AY62" s="847"/>
      <c r="BE62" s="357"/>
      <c r="BF62" s="357"/>
      <c r="BG62" s="357"/>
      <c r="BH62" s="357"/>
      <c r="BI62" s="357"/>
      <c r="BJ62" s="357"/>
      <c r="BK62" s="357"/>
      <c r="BL62" s="357"/>
      <c r="BM62" s="357"/>
      <c r="BN62" s="357"/>
    </row>
    <row r="63" spans="1:66" ht="40.049999999999997" customHeight="1" x14ac:dyDescent="0.65">
      <c r="A63" s="439" t="s">
        <v>193</v>
      </c>
      <c r="B63" s="901" t="s">
        <v>194</v>
      </c>
      <c r="C63" s="440"/>
      <c r="D63" s="441"/>
      <c r="E63" s="442"/>
      <c r="F63" s="442"/>
      <c r="G63" s="442"/>
      <c r="H63" s="442"/>
      <c r="I63" s="442"/>
      <c r="J63" s="442"/>
      <c r="K63" s="442"/>
      <c r="L63" s="442"/>
      <c r="M63" s="442"/>
      <c r="N63" s="442"/>
      <c r="O63" s="442"/>
      <c r="P63" s="442"/>
      <c r="Q63" s="442"/>
      <c r="R63" s="442"/>
      <c r="S63" s="442"/>
      <c r="T63" s="442"/>
      <c r="U63" s="442"/>
      <c r="V63" s="442"/>
      <c r="W63" s="442"/>
      <c r="X63" s="442"/>
      <c r="Y63" s="442"/>
      <c r="Z63" s="442"/>
      <c r="AA63" s="442"/>
      <c r="AB63" s="442"/>
      <c r="AC63" s="442"/>
      <c r="AD63" s="442"/>
      <c r="AE63" s="442"/>
      <c r="AF63" s="442"/>
      <c r="AG63" s="442"/>
      <c r="AH63" s="442"/>
      <c r="AI63" s="443"/>
      <c r="AJ63" s="443"/>
      <c r="AK63" s="443"/>
      <c r="AL63" s="443"/>
      <c r="AM63" s="443"/>
      <c r="AN63" s="443"/>
      <c r="AO63" s="443"/>
      <c r="AP63" s="443"/>
      <c r="AQ63" s="443"/>
      <c r="AR63" s="443"/>
      <c r="AS63" s="443"/>
      <c r="AT63" s="906"/>
      <c r="AU63" s="357"/>
      <c r="AV63" s="357"/>
      <c r="AW63" s="357"/>
      <c r="AX63" s="357"/>
      <c r="AY63" s="847"/>
      <c r="BE63" s="357"/>
      <c r="BF63" s="357"/>
      <c r="BG63" s="357"/>
      <c r="BH63" s="357"/>
      <c r="BI63" s="357"/>
      <c r="BJ63" s="357"/>
      <c r="BK63" s="357"/>
      <c r="BL63" s="357"/>
      <c r="BM63" s="357"/>
      <c r="BN63" s="357"/>
    </row>
    <row r="64" spans="1:66" ht="40.049999999999997" customHeight="1" x14ac:dyDescent="0.65">
      <c r="A64" s="439" t="s">
        <v>195</v>
      </c>
      <c r="B64" s="901" t="s">
        <v>196</v>
      </c>
      <c r="C64" s="440"/>
      <c r="D64" s="441"/>
      <c r="E64" s="442"/>
      <c r="F64" s="442"/>
      <c r="G64" s="443"/>
      <c r="H64" s="442"/>
      <c r="I64" s="443"/>
      <c r="J64" s="442"/>
      <c r="K64" s="442"/>
      <c r="L64" s="442"/>
      <c r="M64" s="442"/>
      <c r="N64" s="442"/>
      <c r="O64" s="442"/>
      <c r="P64" s="442"/>
      <c r="Q64" s="442"/>
      <c r="R64" s="442"/>
      <c r="S64" s="442"/>
      <c r="T64" s="442"/>
      <c r="U64" s="442"/>
      <c r="V64" s="442"/>
      <c r="W64" s="450"/>
      <c r="X64" s="442"/>
      <c r="Y64" s="450"/>
      <c r="Z64" s="442"/>
      <c r="AA64" s="450"/>
      <c r="AB64" s="442"/>
      <c r="AC64" s="450"/>
      <c r="AD64" s="442"/>
      <c r="AE64" s="443"/>
      <c r="AF64" s="442"/>
      <c r="AG64" s="442"/>
      <c r="AH64" s="442"/>
      <c r="AI64" s="442"/>
      <c r="AJ64" s="443"/>
      <c r="AK64" s="442"/>
      <c r="AL64" s="443"/>
      <c r="AM64" s="442"/>
      <c r="AN64" s="443"/>
      <c r="AO64" s="442"/>
      <c r="AP64" s="442"/>
      <c r="AQ64" s="442"/>
      <c r="AR64" s="443"/>
      <c r="AS64" s="443"/>
      <c r="AT64" s="906"/>
      <c r="AY64" s="847"/>
    </row>
    <row r="65" spans="1:66" ht="40.049999999999997" customHeight="1" x14ac:dyDescent="0.65">
      <c r="A65" s="451" t="s">
        <v>197</v>
      </c>
      <c r="B65" s="902" t="s">
        <v>139</v>
      </c>
      <c r="C65" s="283"/>
      <c r="D65" s="284"/>
      <c r="E65" s="285"/>
      <c r="F65" s="285"/>
      <c r="G65" s="285"/>
      <c r="H65" s="285"/>
      <c r="I65" s="285" t="s">
        <v>26</v>
      </c>
      <c r="J65" s="285"/>
      <c r="K65" s="285" t="s">
        <v>26</v>
      </c>
      <c r="L65" s="285"/>
      <c r="M65" s="285" t="s">
        <v>26</v>
      </c>
      <c r="N65" s="285"/>
      <c r="O65" s="285" t="s">
        <v>26</v>
      </c>
      <c r="P65" s="285"/>
      <c r="Q65" s="283" t="s">
        <v>411</v>
      </c>
      <c r="R65" s="285"/>
      <c r="S65" s="674" t="s">
        <v>16</v>
      </c>
      <c r="T65" s="285"/>
      <c r="U65" s="674" t="s">
        <v>16</v>
      </c>
      <c r="V65" s="285"/>
      <c r="W65" s="674" t="s">
        <v>16</v>
      </c>
      <c r="X65" s="285"/>
      <c r="Y65" s="674" t="s">
        <v>16</v>
      </c>
      <c r="Z65" s="285"/>
      <c r="AA65" s="674" t="s">
        <v>16</v>
      </c>
      <c r="AB65" s="285"/>
      <c r="AC65" s="674" t="s">
        <v>16</v>
      </c>
      <c r="AD65" s="285"/>
      <c r="AE65" s="674" t="s">
        <v>16</v>
      </c>
      <c r="AF65" s="285"/>
      <c r="AG65" s="674" t="s">
        <v>16</v>
      </c>
      <c r="AH65" s="285"/>
      <c r="AI65" s="674" t="s">
        <v>16</v>
      </c>
      <c r="AJ65" s="288"/>
      <c r="AK65" s="674" t="s">
        <v>16</v>
      </c>
      <c r="AL65" s="288"/>
      <c r="AM65" s="674" t="s">
        <v>16</v>
      </c>
      <c r="AN65" s="288"/>
      <c r="AO65" s="672" t="s">
        <v>408</v>
      </c>
      <c r="AP65" s="288"/>
      <c r="AQ65" s="288" t="s">
        <v>36</v>
      </c>
      <c r="AR65" s="288"/>
      <c r="AS65" s="286">
        <f>COUNTIF(C65:AR65,"&gt;=R")</f>
        <v>18</v>
      </c>
      <c r="AT65" s="287">
        <f>AS65</f>
        <v>18</v>
      </c>
      <c r="AU65" s="357"/>
      <c r="AV65" s="357"/>
      <c r="AW65" s="357"/>
      <c r="AX65" s="357"/>
      <c r="AY65" s="847"/>
      <c r="BE65" s="357"/>
      <c r="BF65" s="357"/>
      <c r="BG65" s="357"/>
      <c r="BH65" s="357"/>
      <c r="BI65" s="357"/>
      <c r="BJ65" s="357"/>
      <c r="BK65" s="357"/>
      <c r="BL65" s="357"/>
      <c r="BM65" s="357"/>
      <c r="BN65" s="357"/>
    </row>
    <row r="66" spans="1:66" ht="40.049999999999997" customHeight="1" x14ac:dyDescent="0.65">
      <c r="A66" s="439" t="s">
        <v>198</v>
      </c>
      <c r="B66" s="901" t="s">
        <v>199</v>
      </c>
      <c r="C66" s="440"/>
      <c r="D66" s="441"/>
      <c r="E66" s="442"/>
      <c r="F66" s="442"/>
      <c r="G66" s="442"/>
      <c r="H66" s="442"/>
      <c r="I66" s="442"/>
      <c r="J66" s="442"/>
      <c r="K66" s="442"/>
      <c r="L66" s="442"/>
      <c r="M66" s="442"/>
      <c r="N66" s="442"/>
      <c r="O66" s="442"/>
      <c r="P66" s="442"/>
      <c r="Q66" s="442"/>
      <c r="R66" s="442"/>
      <c r="S66" s="442"/>
      <c r="T66" s="442"/>
      <c r="U66" s="442"/>
      <c r="V66" s="442"/>
      <c r="W66" s="442"/>
      <c r="X66" s="442"/>
      <c r="Y66" s="442"/>
      <c r="Z66" s="442"/>
      <c r="AA66" s="442"/>
      <c r="AB66" s="442"/>
      <c r="AC66" s="442"/>
      <c r="AD66" s="442"/>
      <c r="AE66" s="442"/>
      <c r="AF66" s="442"/>
      <c r="AG66" s="442"/>
      <c r="AH66" s="442"/>
      <c r="AI66" s="443"/>
      <c r="AJ66" s="443"/>
      <c r="AK66" s="443"/>
      <c r="AL66" s="443"/>
      <c r="AM66" s="443"/>
      <c r="AN66" s="443"/>
      <c r="AO66" s="443"/>
      <c r="AP66" s="443"/>
      <c r="AQ66" s="443"/>
      <c r="AR66" s="443"/>
      <c r="AS66" s="443"/>
      <c r="AT66" s="906"/>
      <c r="AU66" s="357"/>
      <c r="AV66" s="357"/>
      <c r="AW66" s="357"/>
      <c r="AX66" s="357"/>
      <c r="AY66" s="847"/>
      <c r="BE66" s="357"/>
      <c r="BF66" s="357"/>
      <c r="BG66" s="357"/>
      <c r="BH66" s="357"/>
      <c r="BI66" s="357"/>
      <c r="BJ66" s="357"/>
      <c r="BK66" s="357"/>
      <c r="BL66" s="357"/>
      <c r="BM66" s="357"/>
      <c r="BN66" s="357"/>
    </row>
    <row r="67" spans="1:66" ht="40.049999999999997" customHeight="1" x14ac:dyDescent="0.65">
      <c r="A67" s="451" t="s">
        <v>200</v>
      </c>
      <c r="B67" s="902" t="s">
        <v>176</v>
      </c>
      <c r="C67" s="283"/>
      <c r="D67" s="284"/>
      <c r="E67" s="283"/>
      <c r="F67" s="285"/>
      <c r="G67" s="288"/>
      <c r="H67" s="285"/>
      <c r="I67" s="285" t="s">
        <v>56</v>
      </c>
      <c r="J67" s="285"/>
      <c r="K67" s="285" t="s">
        <v>56</v>
      </c>
      <c r="L67" s="285"/>
      <c r="M67" s="285" t="s">
        <v>47</v>
      </c>
      <c r="N67" s="285"/>
      <c r="O67" s="285" t="s">
        <v>47</v>
      </c>
      <c r="P67" s="285"/>
      <c r="Q67" s="285" t="s">
        <v>47</v>
      </c>
      <c r="R67" s="285"/>
      <c r="S67" s="285" t="s">
        <v>37</v>
      </c>
      <c r="T67" s="285"/>
      <c r="U67" s="288" t="s">
        <v>37</v>
      </c>
      <c r="V67" s="285"/>
      <c r="W67" s="288" t="s">
        <v>27</v>
      </c>
      <c r="X67" s="285"/>
      <c r="Y67" s="288" t="s">
        <v>27</v>
      </c>
      <c r="Z67" s="285"/>
      <c r="AA67" s="288" t="s">
        <v>27</v>
      </c>
      <c r="AB67" s="285"/>
      <c r="AC67" s="288" t="s">
        <v>27</v>
      </c>
      <c r="AD67" s="285"/>
      <c r="AE67" s="285" t="s">
        <v>27</v>
      </c>
      <c r="AF67" s="285"/>
      <c r="AG67" s="285" t="s">
        <v>27</v>
      </c>
      <c r="AH67" s="285"/>
      <c r="AI67" s="288" t="s">
        <v>17</v>
      </c>
      <c r="AJ67" s="288"/>
      <c r="AK67" s="288" t="s">
        <v>17</v>
      </c>
      <c r="AL67" s="288"/>
      <c r="AM67" s="288" t="s">
        <v>17</v>
      </c>
      <c r="AN67" s="288"/>
      <c r="AO67" s="673" t="s">
        <v>409</v>
      </c>
      <c r="AP67" s="288"/>
      <c r="AQ67" s="288" t="s">
        <v>68</v>
      </c>
      <c r="AR67" s="288"/>
      <c r="AS67" s="286">
        <f>COUNTIF(C67:AR67,"&gt;=R")</f>
        <v>18</v>
      </c>
      <c r="AT67" s="287">
        <f>AS67</f>
        <v>18</v>
      </c>
      <c r="AY67" s="847"/>
    </row>
    <row r="68" spans="1:66" ht="40.049999999999997" customHeight="1" x14ac:dyDescent="0.65">
      <c r="A68" s="439" t="s">
        <v>201</v>
      </c>
      <c r="B68" s="901" t="s">
        <v>202</v>
      </c>
      <c r="C68" s="440"/>
      <c r="D68" s="441"/>
      <c r="E68" s="442"/>
      <c r="F68" s="442"/>
      <c r="G68" s="443"/>
      <c r="H68" s="442"/>
      <c r="I68" s="443"/>
      <c r="J68" s="442"/>
      <c r="K68" s="442"/>
      <c r="L68" s="442"/>
      <c r="M68" s="442"/>
      <c r="N68" s="442"/>
      <c r="O68" s="442"/>
      <c r="P68" s="442"/>
      <c r="Q68" s="442"/>
      <c r="R68" s="442"/>
      <c r="S68" s="442"/>
      <c r="T68" s="442"/>
      <c r="U68" s="442"/>
      <c r="V68" s="442"/>
      <c r="W68" s="442"/>
      <c r="X68" s="442"/>
      <c r="Y68" s="442"/>
      <c r="Z68" s="442"/>
      <c r="AA68" s="442"/>
      <c r="AB68" s="442"/>
      <c r="AC68" s="442"/>
      <c r="AD68" s="442"/>
      <c r="AE68" s="442"/>
      <c r="AF68" s="442"/>
      <c r="AG68" s="442"/>
      <c r="AH68" s="442"/>
      <c r="AI68" s="442"/>
      <c r="AJ68" s="443"/>
      <c r="AK68" s="442"/>
      <c r="AL68" s="443"/>
      <c r="AM68" s="442"/>
      <c r="AN68" s="443"/>
      <c r="AO68" s="442"/>
      <c r="AP68" s="442"/>
      <c r="AQ68" s="442"/>
      <c r="AR68" s="443"/>
      <c r="AS68" s="443"/>
      <c r="AT68" s="906"/>
      <c r="AY68" s="847"/>
    </row>
    <row r="69" spans="1:66" ht="40.049999999999997" customHeight="1" x14ac:dyDescent="0.65">
      <c r="A69" s="451" t="s">
        <v>203</v>
      </c>
      <c r="B69" s="902" t="s">
        <v>204</v>
      </c>
      <c r="C69" s="283"/>
      <c r="D69" s="284"/>
      <c r="E69" s="285"/>
      <c r="F69" s="285"/>
      <c r="G69" s="285"/>
      <c r="H69" s="285"/>
      <c r="I69" s="285" t="s">
        <v>56</v>
      </c>
      <c r="J69" s="285"/>
      <c r="K69" s="285" t="s">
        <v>47</v>
      </c>
      <c r="L69" s="285"/>
      <c r="M69" s="285" t="s">
        <v>47</v>
      </c>
      <c r="N69" s="285"/>
      <c r="O69" s="285" t="s">
        <v>47</v>
      </c>
      <c r="P69" s="285"/>
      <c r="Q69" s="285" t="s">
        <v>47</v>
      </c>
      <c r="R69" s="285"/>
      <c r="S69" s="307" t="s">
        <v>37</v>
      </c>
      <c r="T69" s="285"/>
      <c r="U69" s="307" t="s">
        <v>37</v>
      </c>
      <c r="V69" s="285"/>
      <c r="W69" s="307" t="s">
        <v>27</v>
      </c>
      <c r="X69" s="285"/>
      <c r="Y69" s="307" t="s">
        <v>27</v>
      </c>
      <c r="Z69" s="285"/>
      <c r="AA69" s="288" t="s">
        <v>27</v>
      </c>
      <c r="AB69" s="285"/>
      <c r="AC69" s="288" t="s">
        <v>27</v>
      </c>
      <c r="AD69" s="285"/>
      <c r="AE69" s="285" t="s">
        <v>27</v>
      </c>
      <c r="AF69" s="285"/>
      <c r="AG69" s="285" t="s">
        <v>27</v>
      </c>
      <c r="AH69" s="285"/>
      <c r="AI69" s="285" t="s">
        <v>17</v>
      </c>
      <c r="AJ69" s="288"/>
      <c r="AK69" s="285" t="s">
        <v>17</v>
      </c>
      <c r="AL69" s="288"/>
      <c r="AM69" s="288" t="s">
        <v>17</v>
      </c>
      <c r="AN69" s="288"/>
      <c r="AO69" s="673" t="s">
        <v>409</v>
      </c>
      <c r="AP69" s="285"/>
      <c r="AQ69" s="285"/>
      <c r="AR69" s="288"/>
      <c r="AS69" s="286">
        <f>COUNTIF(C69:AR69,"&gt;=R")</f>
        <v>17</v>
      </c>
      <c r="AT69" s="287">
        <f>AS69</f>
        <v>17</v>
      </c>
      <c r="AY69" s="847"/>
    </row>
    <row r="70" spans="1:66" ht="40.049999999999997" customHeight="1" x14ac:dyDescent="0.65">
      <c r="A70" s="439" t="s">
        <v>205</v>
      </c>
      <c r="B70" s="901" t="s">
        <v>206</v>
      </c>
      <c r="C70" s="440"/>
      <c r="D70" s="441"/>
      <c r="E70" s="442"/>
      <c r="F70" s="442"/>
      <c r="G70" s="442"/>
      <c r="H70" s="442"/>
      <c r="I70" s="442"/>
      <c r="J70" s="442"/>
      <c r="K70" s="442"/>
      <c r="L70" s="442"/>
      <c r="M70" s="442"/>
      <c r="N70" s="442"/>
      <c r="O70" s="442"/>
      <c r="P70" s="442"/>
      <c r="Q70" s="442"/>
      <c r="R70" s="442"/>
      <c r="S70" s="442"/>
      <c r="T70" s="442"/>
      <c r="U70" s="442"/>
      <c r="V70" s="442"/>
      <c r="W70" s="442"/>
      <c r="X70" s="442"/>
      <c r="Y70" s="442"/>
      <c r="Z70" s="442"/>
      <c r="AA70" s="442"/>
      <c r="AB70" s="442"/>
      <c r="AC70" s="442"/>
      <c r="AD70" s="442"/>
      <c r="AE70" s="442"/>
      <c r="AF70" s="442"/>
      <c r="AG70" s="442"/>
      <c r="AH70" s="442"/>
      <c r="AI70" s="443"/>
      <c r="AJ70" s="443"/>
      <c r="AK70" s="443"/>
      <c r="AL70" s="443"/>
      <c r="AM70" s="443"/>
      <c r="AN70" s="443"/>
      <c r="AO70" s="443"/>
      <c r="AP70" s="443"/>
      <c r="AQ70" s="443"/>
      <c r="AR70" s="443"/>
      <c r="AS70" s="443"/>
      <c r="AT70" s="906"/>
      <c r="AU70" s="357"/>
      <c r="AV70" s="357"/>
      <c r="AW70" s="357"/>
      <c r="AX70" s="357"/>
      <c r="AY70" s="847"/>
      <c r="BE70" s="357"/>
      <c r="BF70" s="357"/>
      <c r="BG70" s="357"/>
      <c r="BH70" s="357"/>
      <c r="BI70" s="357"/>
      <c r="BJ70" s="357"/>
      <c r="BK70" s="357"/>
      <c r="BL70" s="357"/>
      <c r="BM70" s="357"/>
      <c r="BN70" s="357"/>
    </row>
    <row r="71" spans="1:66" ht="40.049999999999997" customHeight="1" x14ac:dyDescent="0.65">
      <c r="A71" s="357" t="s">
        <v>207</v>
      </c>
      <c r="B71" s="903" t="s">
        <v>208</v>
      </c>
      <c r="C71" s="284"/>
      <c r="D71" s="284"/>
      <c r="E71" s="285"/>
      <c r="F71" s="285"/>
      <c r="G71" s="285"/>
      <c r="H71" s="285"/>
      <c r="I71" s="285" t="s">
        <v>17</v>
      </c>
      <c r="J71" s="285"/>
      <c r="K71" s="285" t="s">
        <v>17</v>
      </c>
      <c r="L71" s="285"/>
      <c r="M71" s="285" t="s">
        <v>17</v>
      </c>
      <c r="N71" s="285"/>
      <c r="O71" s="285" t="s">
        <v>17</v>
      </c>
      <c r="P71" s="285"/>
      <c r="Q71" s="285" t="s">
        <v>17</v>
      </c>
      <c r="R71" s="285"/>
      <c r="S71" s="285" t="s">
        <v>17</v>
      </c>
      <c r="T71" s="285"/>
      <c r="U71" s="285" t="s">
        <v>17</v>
      </c>
      <c r="V71" s="285"/>
      <c r="W71" s="285" t="s">
        <v>17</v>
      </c>
      <c r="X71" s="285"/>
      <c r="Y71" s="285" t="s">
        <v>17</v>
      </c>
      <c r="Z71" s="285"/>
      <c r="AA71" s="285" t="s">
        <v>17</v>
      </c>
      <c r="AB71" s="285"/>
      <c r="AC71" s="907" t="s">
        <v>410</v>
      </c>
      <c r="AD71" s="285"/>
      <c r="AE71" s="907" t="s">
        <v>410</v>
      </c>
      <c r="AF71" s="285"/>
      <c r="AG71" s="907" t="s">
        <v>410</v>
      </c>
      <c r="AH71" s="285"/>
      <c r="AI71" s="907" t="s">
        <v>410</v>
      </c>
      <c r="AJ71" s="288"/>
      <c r="AK71" s="907" t="s">
        <v>410</v>
      </c>
      <c r="AL71" s="288"/>
      <c r="AM71" s="285" t="s">
        <v>17</v>
      </c>
      <c r="AN71" s="288"/>
      <c r="AO71" s="672" t="s">
        <v>408</v>
      </c>
      <c r="AP71" s="288"/>
      <c r="AQ71" s="288" t="s">
        <v>84</v>
      </c>
      <c r="AR71" s="288"/>
      <c r="AS71" s="286">
        <f>COUNTIF(C71:AR71,"&gt;=R")</f>
        <v>18</v>
      </c>
      <c r="AT71" s="287">
        <f>AS71</f>
        <v>18</v>
      </c>
    </row>
    <row r="72" spans="1:66" ht="40.049999999999997" customHeight="1" x14ac:dyDescent="0.65">
      <c r="A72" s="439" t="s">
        <v>209</v>
      </c>
      <c r="B72" s="901" t="s">
        <v>210</v>
      </c>
      <c r="C72" s="440"/>
      <c r="D72" s="441"/>
      <c r="E72" s="442"/>
      <c r="F72" s="442"/>
      <c r="G72" s="442"/>
      <c r="H72" s="442"/>
      <c r="I72" s="442"/>
      <c r="J72" s="442"/>
      <c r="K72" s="442"/>
      <c r="L72" s="442"/>
      <c r="M72" s="442"/>
      <c r="N72" s="442"/>
      <c r="O72" s="442"/>
      <c r="P72" s="442"/>
      <c r="Q72" s="442"/>
      <c r="R72" s="442"/>
      <c r="S72" s="442"/>
      <c r="T72" s="442"/>
      <c r="U72" s="442"/>
      <c r="V72" s="442"/>
      <c r="W72" s="442"/>
      <c r="X72" s="442"/>
      <c r="Y72" s="442"/>
      <c r="Z72" s="442"/>
      <c r="AA72" s="442"/>
      <c r="AB72" s="442"/>
      <c r="AC72" s="442"/>
      <c r="AD72" s="442"/>
      <c r="AE72" s="442"/>
      <c r="AF72" s="442"/>
      <c r="AG72" s="442"/>
      <c r="AH72" s="442"/>
      <c r="AI72" s="442"/>
      <c r="AJ72" s="442"/>
      <c r="AK72" s="442"/>
      <c r="AL72" s="443"/>
      <c r="AM72" s="443"/>
      <c r="AN72" s="443"/>
      <c r="AO72" s="443"/>
      <c r="AP72" s="443"/>
      <c r="AQ72" s="443"/>
      <c r="AR72" s="443"/>
      <c r="AS72" s="443"/>
      <c r="AT72" s="906"/>
      <c r="AY72" s="847"/>
    </row>
    <row r="73" spans="1:66" ht="40.049999999999997" customHeight="1" x14ac:dyDescent="0.65">
      <c r="A73" s="438" t="s">
        <v>211</v>
      </c>
      <c r="B73" s="900" t="s">
        <v>212</v>
      </c>
      <c r="C73" s="283"/>
      <c r="D73" s="284"/>
      <c r="E73" s="285"/>
      <c r="F73" s="285"/>
      <c r="G73" s="285"/>
      <c r="H73" s="285"/>
      <c r="I73" s="285" t="s">
        <v>76</v>
      </c>
      <c r="J73" s="285"/>
      <c r="K73" s="285" t="s">
        <v>76</v>
      </c>
      <c r="L73" s="285"/>
      <c r="M73" s="285" t="s">
        <v>76</v>
      </c>
      <c r="N73" s="285"/>
      <c r="O73" s="285" t="s">
        <v>76</v>
      </c>
      <c r="P73" s="285"/>
      <c r="Q73" s="285" t="s">
        <v>37</v>
      </c>
      <c r="R73" s="285"/>
      <c r="S73" s="285" t="s">
        <v>37</v>
      </c>
      <c r="T73" s="285"/>
      <c r="U73" s="285" t="s">
        <v>37</v>
      </c>
      <c r="V73" s="285"/>
      <c r="W73" s="285" t="s">
        <v>17</v>
      </c>
      <c r="X73" s="285"/>
      <c r="Y73" s="285" t="s">
        <v>17</v>
      </c>
      <c r="Z73" s="285"/>
      <c r="AA73" s="285" t="s">
        <v>410</v>
      </c>
      <c r="AB73" s="285"/>
      <c r="AC73" s="285" t="s">
        <v>410</v>
      </c>
      <c r="AD73" s="285"/>
      <c r="AE73" s="285" t="s">
        <v>410</v>
      </c>
      <c r="AF73" s="285"/>
      <c r="AG73" s="285" t="s">
        <v>410</v>
      </c>
      <c r="AH73" s="285"/>
      <c r="AI73" s="288" t="s">
        <v>410</v>
      </c>
      <c r="AJ73" s="288"/>
      <c r="AK73" s="288" t="s">
        <v>410</v>
      </c>
      <c r="AL73" s="288"/>
      <c r="AM73" s="288" t="s">
        <v>17</v>
      </c>
      <c r="AN73" s="288"/>
      <c r="AO73" s="288" t="s">
        <v>26</v>
      </c>
      <c r="AP73" s="288"/>
      <c r="AQ73" s="288"/>
      <c r="AR73" s="288"/>
      <c r="AS73" s="286">
        <f>COUNTIF(C73:AR73,"&gt;=R")</f>
        <v>17</v>
      </c>
      <c r="AT73" s="287">
        <f>AS73</f>
        <v>17</v>
      </c>
      <c r="AY73" s="847"/>
    </row>
    <row r="74" spans="1:66" ht="40.049999999999997" customHeight="1" x14ac:dyDescent="0.65">
      <c r="A74" s="438" t="s">
        <v>213</v>
      </c>
      <c r="B74" s="900" t="s">
        <v>214</v>
      </c>
      <c r="C74" s="283"/>
      <c r="D74" s="284"/>
      <c r="E74" s="299"/>
      <c r="F74" s="285"/>
      <c r="G74" s="285"/>
      <c r="H74" s="285"/>
      <c r="I74" s="285" t="s">
        <v>18</v>
      </c>
      <c r="J74" s="285"/>
      <c r="K74" s="285" t="s">
        <v>18</v>
      </c>
      <c r="L74" s="285"/>
      <c r="M74" s="288" t="s">
        <v>18</v>
      </c>
      <c r="N74" s="285"/>
      <c r="O74" s="285" t="s">
        <v>18</v>
      </c>
      <c r="P74" s="285"/>
      <c r="Q74" s="285" t="s">
        <v>18</v>
      </c>
      <c r="R74" s="285"/>
      <c r="S74" s="285" t="s">
        <v>18</v>
      </c>
      <c r="T74" s="285"/>
      <c r="U74" s="285" t="s">
        <v>18</v>
      </c>
      <c r="V74" s="285"/>
      <c r="W74" s="285" t="s">
        <v>18</v>
      </c>
      <c r="X74" s="285"/>
      <c r="Y74" s="285" t="s">
        <v>18</v>
      </c>
      <c r="Z74" s="285"/>
      <c r="AA74" s="285" t="s">
        <v>18</v>
      </c>
      <c r="AB74" s="285"/>
      <c r="AC74" s="285" t="s">
        <v>18</v>
      </c>
      <c r="AD74" s="285"/>
      <c r="AE74" s="285" t="s">
        <v>18</v>
      </c>
      <c r="AF74" s="285"/>
      <c r="AG74" s="285" t="s">
        <v>18</v>
      </c>
      <c r="AH74" s="285"/>
      <c r="AI74" s="285" t="s">
        <v>18</v>
      </c>
      <c r="AJ74" s="288"/>
      <c r="AK74" s="285" t="s">
        <v>18</v>
      </c>
      <c r="AL74" s="288"/>
      <c r="AM74" s="285" t="s">
        <v>18</v>
      </c>
      <c r="AN74" s="288"/>
      <c r="AO74" s="288" t="s">
        <v>55</v>
      </c>
      <c r="AP74" s="288"/>
      <c r="AQ74" s="288"/>
      <c r="AR74" s="288"/>
      <c r="AS74" s="286">
        <f>COUNTIF(C74:AR74,"&gt;=R")</f>
        <v>17</v>
      </c>
      <c r="AT74" s="287">
        <f>AS74</f>
        <v>17</v>
      </c>
      <c r="AY74" s="847"/>
    </row>
    <row r="75" spans="1:66" ht="40.049999999999997" customHeight="1" x14ac:dyDescent="0.65">
      <c r="A75" s="439" t="s">
        <v>215</v>
      </c>
      <c r="B75" s="901" t="s">
        <v>216</v>
      </c>
      <c r="C75" s="440"/>
      <c r="D75" s="441"/>
      <c r="E75" s="442"/>
      <c r="F75" s="442"/>
      <c r="G75" s="442"/>
      <c r="H75" s="442"/>
      <c r="I75" s="442"/>
      <c r="J75" s="442"/>
      <c r="K75" s="442"/>
      <c r="L75" s="442"/>
      <c r="M75" s="442"/>
      <c r="N75" s="442"/>
      <c r="O75" s="442"/>
      <c r="P75" s="442"/>
      <c r="Q75" s="442"/>
      <c r="R75" s="442"/>
      <c r="S75" s="442"/>
      <c r="T75" s="442"/>
      <c r="U75" s="442"/>
      <c r="V75" s="442"/>
      <c r="W75" s="442"/>
      <c r="X75" s="442"/>
      <c r="Y75" s="442"/>
      <c r="Z75" s="442"/>
      <c r="AA75" s="442"/>
      <c r="AB75" s="442"/>
      <c r="AC75" s="442"/>
      <c r="AD75" s="442"/>
      <c r="AE75" s="442"/>
      <c r="AF75" s="442"/>
      <c r="AG75" s="442"/>
      <c r="AH75" s="442"/>
      <c r="AI75" s="443"/>
      <c r="AJ75" s="443"/>
      <c r="AK75" s="443"/>
      <c r="AL75" s="443"/>
      <c r="AM75" s="443"/>
      <c r="AN75" s="443"/>
      <c r="AO75" s="443"/>
      <c r="AP75" s="443"/>
      <c r="AQ75" s="443"/>
      <c r="AR75" s="443"/>
      <c r="AS75" s="443"/>
      <c r="AT75" s="906"/>
      <c r="AU75" s="357"/>
      <c r="AV75" s="357"/>
      <c r="AW75" s="357"/>
      <c r="AX75" s="357"/>
      <c r="AY75" s="847"/>
      <c r="BE75" s="357"/>
      <c r="BF75" s="357"/>
      <c r="BG75" s="357"/>
      <c r="BH75" s="357"/>
      <c r="BI75" s="357"/>
      <c r="BJ75" s="357"/>
      <c r="BK75" s="357"/>
      <c r="BL75" s="357"/>
      <c r="BM75" s="357"/>
      <c r="BN75" s="357"/>
    </row>
    <row r="76" spans="1:66" ht="40.049999999999997" customHeight="1" x14ac:dyDescent="0.65">
      <c r="A76" s="438" t="s">
        <v>217</v>
      </c>
      <c r="B76" s="900" t="s">
        <v>218</v>
      </c>
      <c r="C76" s="283"/>
      <c r="D76" s="284"/>
      <c r="E76" s="283"/>
      <c r="F76" s="285"/>
      <c r="G76" s="283"/>
      <c r="H76" s="285"/>
      <c r="I76" s="283" t="s">
        <v>18</v>
      </c>
      <c r="J76" s="285"/>
      <c r="K76" s="285" t="s">
        <v>18</v>
      </c>
      <c r="L76" s="285"/>
      <c r="M76" s="285" t="s">
        <v>18</v>
      </c>
      <c r="N76" s="285"/>
      <c r="O76" s="285" t="s">
        <v>18</v>
      </c>
      <c r="P76" s="285"/>
      <c r="Q76" s="285" t="s">
        <v>18</v>
      </c>
      <c r="R76" s="285"/>
      <c r="S76" s="285" t="s">
        <v>18</v>
      </c>
      <c r="T76" s="288"/>
      <c r="U76" s="285" t="s">
        <v>18</v>
      </c>
      <c r="V76" s="288"/>
      <c r="W76" s="285" t="s">
        <v>18</v>
      </c>
      <c r="X76" s="288"/>
      <c r="Y76" s="307" t="s">
        <v>18</v>
      </c>
      <c r="Z76" s="285"/>
      <c r="AA76" s="307" t="s">
        <v>18</v>
      </c>
      <c r="AB76" s="285"/>
      <c r="AC76" s="307" t="s">
        <v>18</v>
      </c>
      <c r="AD76" s="285"/>
      <c r="AE76" s="743" t="s">
        <v>419</v>
      </c>
      <c r="AF76" s="285"/>
      <c r="AG76" s="752" t="s">
        <v>419</v>
      </c>
      <c r="AH76" s="285"/>
      <c r="AI76" s="283" t="s">
        <v>18</v>
      </c>
      <c r="AJ76" s="288"/>
      <c r="AK76" s="283" t="s">
        <v>18</v>
      </c>
      <c r="AL76" s="288"/>
      <c r="AM76" s="288" t="s">
        <v>18</v>
      </c>
      <c r="AN76" s="288"/>
      <c r="AO76" s="288" t="s">
        <v>26</v>
      </c>
      <c r="AP76" s="288"/>
      <c r="AQ76" s="288"/>
      <c r="AR76" s="288"/>
      <c r="AS76" s="286">
        <f>COUNTIF(C76:AR76,"&gt;=R")</f>
        <v>17</v>
      </c>
      <c r="AT76" s="287">
        <f>AS76</f>
        <v>17</v>
      </c>
      <c r="AY76" s="847"/>
    </row>
    <row r="77" spans="1:66" ht="40.049999999999997" customHeight="1" x14ac:dyDescent="0.65">
      <c r="A77" s="439" t="s">
        <v>219</v>
      </c>
      <c r="B77" s="901" t="s">
        <v>220</v>
      </c>
      <c r="C77" s="440"/>
      <c r="D77" s="441"/>
      <c r="E77" s="442"/>
      <c r="F77" s="442"/>
      <c r="G77" s="442"/>
      <c r="H77" s="442"/>
      <c r="I77" s="442"/>
      <c r="J77" s="442"/>
      <c r="K77" s="442"/>
      <c r="L77" s="442"/>
      <c r="M77" s="442"/>
      <c r="N77" s="442"/>
      <c r="O77" s="442"/>
      <c r="P77" s="442"/>
      <c r="Q77" s="442"/>
      <c r="R77" s="442"/>
      <c r="S77" s="442"/>
      <c r="T77" s="442"/>
      <c r="U77" s="442"/>
      <c r="V77" s="442"/>
      <c r="W77" s="442"/>
      <c r="X77" s="442"/>
      <c r="Y77" s="442"/>
      <c r="Z77" s="442"/>
      <c r="AA77" s="442"/>
      <c r="AB77" s="442"/>
      <c r="AC77" s="442"/>
      <c r="AD77" s="442"/>
      <c r="AE77" s="442"/>
      <c r="AF77" s="442"/>
      <c r="AG77" s="442"/>
      <c r="AH77" s="442"/>
      <c r="AI77" s="443"/>
      <c r="AJ77" s="443"/>
      <c r="AK77" s="443"/>
      <c r="AL77" s="443"/>
      <c r="AM77" s="443"/>
      <c r="AN77" s="443"/>
      <c r="AO77" s="443"/>
      <c r="AP77" s="443"/>
      <c r="AQ77" s="443"/>
      <c r="AR77" s="443"/>
      <c r="AS77" s="443"/>
      <c r="AT77" s="906"/>
      <c r="AU77" s="357"/>
      <c r="AV77" s="357"/>
      <c r="AW77" s="357"/>
      <c r="AX77" s="357"/>
      <c r="AY77" s="847"/>
      <c r="BE77" s="357"/>
      <c r="BF77" s="357"/>
      <c r="BG77" s="357"/>
      <c r="BH77" s="357"/>
      <c r="BI77" s="357"/>
      <c r="BJ77" s="357"/>
      <c r="BK77" s="357"/>
      <c r="BL77" s="357"/>
      <c r="BM77" s="357"/>
      <c r="BN77" s="357"/>
    </row>
    <row r="78" spans="1:66" ht="40.049999999999997" customHeight="1" x14ac:dyDescent="0.65">
      <c r="A78" s="488" t="s">
        <v>221</v>
      </c>
      <c r="B78" s="900" t="s">
        <v>222</v>
      </c>
      <c r="C78" s="284"/>
      <c r="D78" s="284"/>
      <c r="E78" s="285"/>
      <c r="F78" s="285"/>
      <c r="G78" s="285"/>
      <c r="H78" s="285"/>
      <c r="I78" s="285" t="s">
        <v>17</v>
      </c>
      <c r="J78" s="285"/>
      <c r="K78" s="285" t="s">
        <v>17</v>
      </c>
      <c r="L78" s="285"/>
      <c r="M78" s="285" t="s">
        <v>17</v>
      </c>
      <c r="N78" s="285"/>
      <c r="O78" s="285" t="s">
        <v>17</v>
      </c>
      <c r="P78" s="285"/>
      <c r="Q78" s="285" t="s">
        <v>17</v>
      </c>
      <c r="R78" s="285"/>
      <c r="S78" s="285" t="s">
        <v>37</v>
      </c>
      <c r="T78" s="285"/>
      <c r="U78" s="285" t="s">
        <v>17</v>
      </c>
      <c r="V78" s="285"/>
      <c r="W78" s="285" t="s">
        <v>17</v>
      </c>
      <c r="X78" s="285"/>
      <c r="Y78" s="285" t="s">
        <v>17</v>
      </c>
      <c r="Z78" s="285"/>
      <c r="AA78" s="288" t="s">
        <v>37</v>
      </c>
      <c r="AB78" s="285"/>
      <c r="AC78" s="285" t="s">
        <v>37</v>
      </c>
      <c r="AD78" s="285"/>
      <c r="AE78" s="285" t="s">
        <v>55</v>
      </c>
      <c r="AF78" s="285"/>
      <c r="AG78" s="285" t="s">
        <v>55</v>
      </c>
      <c r="AH78" s="285"/>
      <c r="AI78" s="288" t="s">
        <v>83</v>
      </c>
      <c r="AJ78" s="288"/>
      <c r="AK78" s="285" t="s">
        <v>55</v>
      </c>
      <c r="AL78" s="288"/>
      <c r="AM78" s="288" t="s">
        <v>55</v>
      </c>
      <c r="AN78" s="288"/>
      <c r="AO78" s="673" t="s">
        <v>409</v>
      </c>
      <c r="AP78" s="288"/>
      <c r="AQ78" s="288" t="s">
        <v>17</v>
      </c>
      <c r="AR78" s="288"/>
      <c r="AS78" s="286">
        <f>COUNTIF(C78:AR78,"&gt;=R")</f>
        <v>18</v>
      </c>
      <c r="AT78" s="287">
        <f>AS78</f>
        <v>18</v>
      </c>
      <c r="AY78" s="847"/>
    </row>
    <row r="79" spans="1:66" ht="40.049999999999997" customHeight="1" x14ac:dyDescent="0.65">
      <c r="A79" s="487" t="s">
        <v>223</v>
      </c>
      <c r="B79" s="901" t="s">
        <v>224</v>
      </c>
      <c r="C79" s="440"/>
      <c r="D79" s="441"/>
      <c r="E79" s="442"/>
      <c r="F79" s="442"/>
      <c r="G79" s="442"/>
      <c r="H79" s="442"/>
      <c r="I79" s="442"/>
      <c r="J79" s="442"/>
      <c r="K79" s="442"/>
      <c r="L79" s="442"/>
      <c r="M79" s="442"/>
      <c r="N79" s="442"/>
      <c r="O79" s="442"/>
      <c r="P79" s="442"/>
      <c r="Q79" s="442"/>
      <c r="R79" s="442"/>
      <c r="S79" s="442"/>
      <c r="T79" s="442"/>
      <c r="U79" s="442"/>
      <c r="V79" s="442"/>
      <c r="W79" s="442"/>
      <c r="X79" s="442"/>
      <c r="Y79" s="442"/>
      <c r="Z79" s="442"/>
      <c r="AA79" s="442"/>
      <c r="AB79" s="442"/>
      <c r="AC79" s="442"/>
      <c r="AD79" s="442"/>
      <c r="AE79" s="442"/>
      <c r="AF79" s="442"/>
      <c r="AG79" s="442"/>
      <c r="AH79" s="442"/>
      <c r="AI79" s="442"/>
      <c r="AJ79" s="443"/>
      <c r="AK79" s="443"/>
      <c r="AL79" s="443"/>
      <c r="AM79" s="443"/>
      <c r="AN79" s="443"/>
      <c r="AO79" s="443"/>
      <c r="AP79" s="443"/>
      <c r="AQ79" s="443"/>
      <c r="AR79" s="443"/>
      <c r="AS79" s="443"/>
      <c r="AT79" s="906"/>
      <c r="AY79" s="847"/>
    </row>
    <row r="80" spans="1:66" ht="40.049999999999997" customHeight="1" x14ac:dyDescent="0.65">
      <c r="A80" s="489" t="s">
        <v>225</v>
      </c>
      <c r="B80" s="313" t="s">
        <v>226</v>
      </c>
      <c r="C80" s="283"/>
      <c r="D80" s="284"/>
      <c r="E80" s="285"/>
      <c r="F80" s="285"/>
      <c r="G80" s="285"/>
      <c r="H80" s="285"/>
      <c r="I80" s="285" t="s">
        <v>17</v>
      </c>
      <c r="J80" s="285"/>
      <c r="K80" s="285" t="s">
        <v>17</v>
      </c>
      <c r="L80" s="285"/>
      <c r="M80" s="285" t="s">
        <v>17</v>
      </c>
      <c r="N80" s="285"/>
      <c r="O80" s="285" t="s">
        <v>17</v>
      </c>
      <c r="P80" s="285"/>
      <c r="Q80" s="285" t="s">
        <v>17</v>
      </c>
      <c r="R80" s="285"/>
      <c r="S80" s="285" t="s">
        <v>37</v>
      </c>
      <c r="T80" s="285"/>
      <c r="U80" s="285" t="s">
        <v>17</v>
      </c>
      <c r="V80" s="285"/>
      <c r="W80" s="285" t="s">
        <v>17</v>
      </c>
      <c r="X80" s="285"/>
      <c r="Y80" s="285" t="s">
        <v>17</v>
      </c>
      <c r="Z80" s="285"/>
      <c r="AA80" s="288" t="s">
        <v>37</v>
      </c>
      <c r="AB80" s="285"/>
      <c r="AC80" s="285" t="s">
        <v>37</v>
      </c>
      <c r="AD80" s="285"/>
      <c r="AE80" s="285" t="s">
        <v>55</v>
      </c>
      <c r="AF80" s="285"/>
      <c r="AG80" s="674" t="s">
        <v>16</v>
      </c>
      <c r="AH80" s="285"/>
      <c r="AI80" s="674" t="s">
        <v>16</v>
      </c>
      <c r="AJ80" s="288"/>
      <c r="AK80" s="674" t="s">
        <v>16</v>
      </c>
      <c r="AL80" s="288"/>
      <c r="AM80" s="674" t="s">
        <v>16</v>
      </c>
      <c r="AN80" s="288"/>
      <c r="AO80" s="673" t="s">
        <v>409</v>
      </c>
      <c r="AP80" s="288"/>
      <c r="AQ80" s="288" t="s">
        <v>17</v>
      </c>
      <c r="AR80" s="288"/>
      <c r="AS80" s="286">
        <f>COUNTIF(C80:AR80,"&gt;=R")</f>
        <v>18</v>
      </c>
      <c r="AT80" s="287">
        <f>AS80</f>
        <v>18</v>
      </c>
      <c r="AY80" s="847"/>
    </row>
    <row r="81" spans="1:66" ht="40.049999999999997" customHeight="1" x14ac:dyDescent="0.65">
      <c r="A81" s="489" t="s">
        <v>227</v>
      </c>
      <c r="B81" s="313" t="s">
        <v>228</v>
      </c>
      <c r="C81" s="283"/>
      <c r="D81" s="284"/>
      <c r="E81" s="285"/>
      <c r="F81" s="285"/>
      <c r="G81" s="285"/>
      <c r="H81" s="285"/>
      <c r="I81" s="285"/>
      <c r="J81" s="285"/>
      <c r="K81" s="285"/>
      <c r="L81" s="285"/>
      <c r="M81" s="285"/>
      <c r="N81" s="285"/>
      <c r="O81" s="285"/>
      <c r="P81" s="285"/>
      <c r="Q81" s="285"/>
      <c r="R81" s="285"/>
      <c r="S81" s="285"/>
      <c r="T81" s="285"/>
      <c r="U81" s="285"/>
      <c r="V81" s="285"/>
      <c r="W81" s="285"/>
      <c r="X81" s="285"/>
      <c r="Y81" s="285"/>
      <c r="Z81" s="285"/>
      <c r="AA81" s="285"/>
      <c r="AB81" s="285"/>
      <c r="AC81" s="285"/>
      <c r="AD81" s="285"/>
      <c r="AE81" s="285"/>
      <c r="AF81" s="285"/>
      <c r="AG81" s="285"/>
      <c r="AH81" s="285"/>
      <c r="AI81" s="285"/>
      <c r="AJ81" s="288"/>
      <c r="AK81" s="285"/>
      <c r="AL81" s="288"/>
      <c r="AM81" s="288"/>
      <c r="AN81" s="288"/>
      <c r="AO81" s="288" t="s">
        <v>91</v>
      </c>
      <c r="AP81" s="288"/>
      <c r="AQ81" s="288"/>
      <c r="AR81" s="288"/>
      <c r="AS81" s="286">
        <f>COUNTIF(C81:AR81,"&gt;=R")</f>
        <v>1</v>
      </c>
      <c r="AT81" s="287">
        <f>AS81</f>
        <v>1</v>
      </c>
      <c r="AU81" s="357"/>
      <c r="AV81" s="357"/>
      <c r="AW81" s="357"/>
      <c r="AX81" s="357"/>
      <c r="AY81" s="847"/>
      <c r="BE81" s="357"/>
      <c r="BF81" s="357"/>
      <c r="BG81" s="357"/>
      <c r="BH81" s="357"/>
      <c r="BI81" s="357"/>
      <c r="BJ81" s="357"/>
      <c r="BK81" s="357"/>
      <c r="BL81" s="357"/>
      <c r="BM81" s="357"/>
      <c r="BN81" s="357"/>
    </row>
    <row r="82" spans="1:66" ht="40.049999999999997" customHeight="1" x14ac:dyDescent="0.65">
      <c r="A82" s="489" t="s">
        <v>229</v>
      </c>
      <c r="B82" s="313" t="s">
        <v>230</v>
      </c>
      <c r="C82" s="283"/>
      <c r="D82" s="284"/>
      <c r="E82" s="283"/>
      <c r="F82" s="285"/>
      <c r="G82" s="283"/>
      <c r="H82" s="285"/>
      <c r="I82" s="283"/>
      <c r="J82" s="285"/>
      <c r="K82" s="283"/>
      <c r="L82" s="285"/>
      <c r="M82" s="283"/>
      <c r="N82" s="285"/>
      <c r="O82" s="283"/>
      <c r="P82" s="285"/>
      <c r="Q82" s="283"/>
      <c r="R82" s="285"/>
      <c r="S82" s="283"/>
      <c r="T82" s="285"/>
      <c r="U82" s="283"/>
      <c r="V82" s="285"/>
      <c r="W82" s="283"/>
      <c r="X82" s="285"/>
      <c r="Y82" s="283"/>
      <c r="Z82" s="285"/>
      <c r="AA82" s="283"/>
      <c r="AB82" s="285"/>
      <c r="AC82" s="283"/>
      <c r="AD82" s="285"/>
      <c r="AE82" s="283"/>
      <c r="AF82" s="285"/>
      <c r="AG82" s="283"/>
      <c r="AH82" s="285"/>
      <c r="AI82" s="283"/>
      <c r="AJ82" s="288"/>
      <c r="AK82" s="283"/>
      <c r="AL82" s="288"/>
      <c r="AM82" s="288"/>
      <c r="AN82" s="288"/>
      <c r="AO82" s="288" t="s">
        <v>91</v>
      </c>
      <c r="AP82" s="288"/>
      <c r="AQ82" s="288"/>
      <c r="AR82" s="288"/>
      <c r="AS82" s="286">
        <f>COUNTIF(C82:AR82,"&gt;=R")</f>
        <v>1</v>
      </c>
      <c r="AT82" s="287">
        <f>AS82</f>
        <v>1</v>
      </c>
      <c r="AU82" s="357"/>
      <c r="AV82" s="357"/>
      <c r="AW82" s="357"/>
      <c r="AX82" s="357"/>
      <c r="AY82" s="847"/>
      <c r="BE82" s="357"/>
      <c r="BF82" s="357"/>
      <c r="BG82" s="357"/>
      <c r="BH82" s="357"/>
      <c r="BI82" s="357"/>
      <c r="BJ82" s="357"/>
      <c r="BK82" s="357"/>
      <c r="BL82" s="357"/>
      <c r="BM82" s="357"/>
      <c r="BN82" s="357"/>
    </row>
    <row r="83" spans="1:66" ht="40.049999999999997" customHeight="1" x14ac:dyDescent="0.65">
      <c r="A83" s="489" t="s">
        <v>231</v>
      </c>
      <c r="B83" s="313" t="s">
        <v>232</v>
      </c>
      <c r="C83" s="283"/>
      <c r="D83" s="284"/>
      <c r="E83" s="283"/>
      <c r="F83" s="285"/>
      <c r="G83" s="283"/>
      <c r="H83" s="285"/>
      <c r="I83" s="719" t="s">
        <v>17</v>
      </c>
      <c r="J83" s="285"/>
      <c r="K83" s="719" t="s">
        <v>17</v>
      </c>
      <c r="L83" s="285"/>
      <c r="M83" s="719" t="s">
        <v>17</v>
      </c>
      <c r="N83" s="285"/>
      <c r="O83" s="719" t="s">
        <v>17</v>
      </c>
      <c r="P83" s="285"/>
      <c r="Q83" s="719" t="s">
        <v>17</v>
      </c>
      <c r="R83" s="285"/>
      <c r="S83" s="679" t="s">
        <v>37</v>
      </c>
      <c r="T83" s="285"/>
      <c r="U83" s="719" t="s">
        <v>17</v>
      </c>
      <c r="V83" s="285"/>
      <c r="W83" s="719" t="s">
        <v>17</v>
      </c>
      <c r="X83" s="285"/>
      <c r="Y83" s="719" t="s">
        <v>17</v>
      </c>
      <c r="Z83" s="285"/>
      <c r="AA83" s="283" t="s">
        <v>37</v>
      </c>
      <c r="AB83" s="285"/>
      <c r="AC83" s="283" t="s">
        <v>37</v>
      </c>
      <c r="AD83" s="285"/>
      <c r="AE83" s="283" t="s">
        <v>55</v>
      </c>
      <c r="AF83" s="285"/>
      <c r="AG83" s="283" t="s">
        <v>55</v>
      </c>
      <c r="AH83" s="285"/>
      <c r="AI83" s="283" t="s">
        <v>55</v>
      </c>
      <c r="AJ83" s="288"/>
      <c r="AK83" s="283" t="s">
        <v>55</v>
      </c>
      <c r="AL83" s="288"/>
      <c r="AM83" s="288" t="s">
        <v>84</v>
      </c>
      <c r="AN83" s="288"/>
      <c r="AO83" s="673" t="s">
        <v>409</v>
      </c>
      <c r="AP83" s="285"/>
      <c r="AQ83" s="285" t="s">
        <v>17</v>
      </c>
      <c r="AR83" s="288"/>
      <c r="AS83" s="286">
        <f>COUNTIF(C83:AR83,"&gt;=R")</f>
        <v>18</v>
      </c>
      <c r="AT83" s="287">
        <f>AS83</f>
        <v>18</v>
      </c>
      <c r="AY83" s="847"/>
    </row>
    <row r="84" spans="1:66" ht="40.049999999999997" customHeight="1" x14ac:dyDescent="0.65">
      <c r="A84" s="490" t="s">
        <v>233</v>
      </c>
      <c r="B84" s="495" t="s">
        <v>234</v>
      </c>
      <c r="C84" s="283"/>
      <c r="D84" s="283"/>
      <c r="E84" s="307"/>
      <c r="F84" s="285"/>
      <c r="G84" s="285"/>
      <c r="H84" s="285"/>
      <c r="I84" s="719" t="s">
        <v>17</v>
      </c>
      <c r="J84" s="285"/>
      <c r="K84" s="719" t="s">
        <v>17</v>
      </c>
      <c r="L84" s="285"/>
      <c r="M84" s="719" t="s">
        <v>17</v>
      </c>
      <c r="N84" s="285"/>
      <c r="O84" s="719" t="s">
        <v>17</v>
      </c>
      <c r="P84" s="285"/>
      <c r="Q84" s="719" t="s">
        <v>17</v>
      </c>
      <c r="R84" s="285"/>
      <c r="S84" s="679" t="s">
        <v>37</v>
      </c>
      <c r="T84" s="285"/>
      <c r="U84" s="719" t="s">
        <v>17</v>
      </c>
      <c r="V84" s="285"/>
      <c r="W84" s="719" t="s">
        <v>17</v>
      </c>
      <c r="X84" s="285"/>
      <c r="Y84" s="719" t="s">
        <v>17</v>
      </c>
      <c r="Z84" s="285"/>
      <c r="AA84" s="285" t="s">
        <v>37</v>
      </c>
      <c r="AB84" s="285"/>
      <c r="AC84" s="285" t="s">
        <v>37</v>
      </c>
      <c r="AD84" s="285"/>
      <c r="AE84" s="285" t="s">
        <v>55</v>
      </c>
      <c r="AF84" s="285"/>
      <c r="AG84" s="285" t="s">
        <v>55</v>
      </c>
      <c r="AH84" s="285"/>
      <c r="AI84" s="285" t="s">
        <v>55</v>
      </c>
      <c r="AJ84" s="288"/>
      <c r="AK84" s="285" t="s">
        <v>55</v>
      </c>
      <c r="AL84" s="288"/>
      <c r="AM84" s="288" t="s">
        <v>55</v>
      </c>
      <c r="AN84" s="288"/>
      <c r="AO84" s="673" t="s">
        <v>409</v>
      </c>
      <c r="AP84" s="288"/>
      <c r="AQ84" s="288" t="s">
        <v>17</v>
      </c>
      <c r="AR84" s="288"/>
      <c r="AS84" s="286">
        <f>COUNTIF(C84:AR84,"&gt;=R")</f>
        <v>18</v>
      </c>
      <c r="AT84" s="287">
        <f>AS84</f>
        <v>18</v>
      </c>
      <c r="AU84" s="357"/>
      <c r="AV84" s="357"/>
      <c r="AW84" s="357"/>
      <c r="AX84" s="357"/>
      <c r="AY84" s="847"/>
      <c r="BE84" s="357"/>
      <c r="BF84" s="357"/>
      <c r="BG84" s="357"/>
      <c r="BH84" s="357"/>
      <c r="BI84" s="357"/>
      <c r="BJ84" s="357"/>
      <c r="BK84" s="357"/>
      <c r="BL84" s="357"/>
      <c r="BM84" s="357"/>
      <c r="BN84" s="357"/>
    </row>
    <row r="85" spans="1:66" ht="40.049999999999997" customHeight="1" x14ac:dyDescent="0.65">
      <c r="A85" s="439" t="s">
        <v>235</v>
      </c>
      <c r="B85" s="901" t="s">
        <v>236</v>
      </c>
      <c r="C85" s="440"/>
      <c r="D85" s="441"/>
      <c r="E85" s="442"/>
      <c r="F85" s="442"/>
      <c r="G85" s="442"/>
      <c r="H85" s="442"/>
      <c r="I85" s="442"/>
      <c r="J85" s="442"/>
      <c r="K85" s="442"/>
      <c r="L85" s="442"/>
      <c r="M85" s="442"/>
      <c r="N85" s="442"/>
      <c r="O85" s="442"/>
      <c r="P85" s="442"/>
      <c r="Q85" s="442"/>
      <c r="R85" s="442"/>
      <c r="S85" s="442"/>
      <c r="T85" s="442"/>
      <c r="U85" s="442"/>
      <c r="V85" s="442"/>
      <c r="W85" s="442"/>
      <c r="X85" s="442"/>
      <c r="Y85" s="442"/>
      <c r="Z85" s="442"/>
      <c r="AA85" s="442"/>
      <c r="AB85" s="442"/>
      <c r="AC85" s="442"/>
      <c r="AD85" s="442"/>
      <c r="AE85" s="442"/>
      <c r="AF85" s="442"/>
      <c r="AG85" s="442"/>
      <c r="AH85" s="442"/>
      <c r="AI85" s="443"/>
      <c r="AJ85" s="443"/>
      <c r="AK85" s="443"/>
      <c r="AL85" s="443"/>
      <c r="AM85" s="443"/>
      <c r="AN85" s="443"/>
      <c r="AO85" s="443"/>
      <c r="AP85" s="443"/>
      <c r="AQ85" s="443"/>
      <c r="AR85" s="443"/>
      <c r="AS85" s="443"/>
      <c r="AT85" s="906"/>
      <c r="AY85" s="847"/>
    </row>
    <row r="86" spans="1:66" ht="40.049999999999997" customHeight="1" x14ac:dyDescent="0.65">
      <c r="A86" s="439" t="s">
        <v>237</v>
      </c>
      <c r="B86" s="901" t="s">
        <v>238</v>
      </c>
      <c r="C86" s="440"/>
      <c r="D86" s="440"/>
      <c r="E86" s="445"/>
      <c r="F86" s="442"/>
      <c r="G86" s="442"/>
      <c r="H86" s="442"/>
      <c r="I86" s="442"/>
      <c r="J86" s="442"/>
      <c r="K86" s="442"/>
      <c r="L86" s="442"/>
      <c r="M86" s="442"/>
      <c r="N86" s="442"/>
      <c r="O86" s="442"/>
      <c r="P86" s="442"/>
      <c r="Q86" s="442"/>
      <c r="R86" s="442"/>
      <c r="S86" s="442"/>
      <c r="T86" s="442"/>
      <c r="U86" s="442"/>
      <c r="V86" s="442"/>
      <c r="W86" s="442"/>
      <c r="X86" s="442"/>
      <c r="Y86" s="442"/>
      <c r="Z86" s="442"/>
      <c r="AA86" s="442"/>
      <c r="AB86" s="442"/>
      <c r="AC86" s="442"/>
      <c r="AD86" s="442"/>
      <c r="AE86" s="442"/>
      <c r="AF86" s="442"/>
      <c r="AG86" s="442"/>
      <c r="AH86" s="442"/>
      <c r="AI86" s="443"/>
      <c r="AJ86" s="443"/>
      <c r="AK86" s="443"/>
      <c r="AL86" s="443"/>
      <c r="AM86" s="443"/>
      <c r="AN86" s="443"/>
      <c r="AO86" s="443"/>
      <c r="AP86" s="443"/>
      <c r="AQ86" s="443"/>
      <c r="AR86" s="443"/>
      <c r="AS86" s="443"/>
      <c r="AT86" s="906"/>
      <c r="AY86" s="847"/>
    </row>
    <row r="87" spans="1:66" ht="40.049999999999997" customHeight="1" x14ac:dyDescent="0.65">
      <c r="A87" s="438" t="s">
        <v>239</v>
      </c>
      <c r="B87" s="900" t="s">
        <v>139</v>
      </c>
      <c r="C87" s="284"/>
      <c r="D87" s="283"/>
      <c r="E87" s="285"/>
      <c r="F87" s="285"/>
      <c r="G87" s="285"/>
      <c r="H87" s="285"/>
      <c r="I87" s="285" t="s">
        <v>18</v>
      </c>
      <c r="J87" s="285"/>
      <c r="K87" s="285" t="s">
        <v>18</v>
      </c>
      <c r="L87" s="285"/>
      <c r="M87" s="285" t="s">
        <v>18</v>
      </c>
      <c r="N87" s="285"/>
      <c r="O87" s="285" t="s">
        <v>28</v>
      </c>
      <c r="P87" s="285"/>
      <c r="Q87" s="285" t="s">
        <v>18</v>
      </c>
      <c r="R87" s="285"/>
      <c r="S87" s="285" t="s">
        <v>18</v>
      </c>
      <c r="T87" s="285"/>
      <c r="U87" s="285" t="s">
        <v>28</v>
      </c>
      <c r="V87" s="285"/>
      <c r="W87" s="285" t="s">
        <v>28</v>
      </c>
      <c r="X87" s="285"/>
      <c r="Y87" s="283" t="s">
        <v>28</v>
      </c>
      <c r="Z87" s="285"/>
      <c r="AA87" s="283" t="s">
        <v>28</v>
      </c>
      <c r="AB87" s="285"/>
      <c r="AC87" s="283" t="s">
        <v>28</v>
      </c>
      <c r="AD87" s="285"/>
      <c r="AE87" s="283" t="s">
        <v>28</v>
      </c>
      <c r="AF87" s="285"/>
      <c r="AG87" s="283" t="s">
        <v>28</v>
      </c>
      <c r="AH87" s="285"/>
      <c r="AI87" s="283" t="s">
        <v>28</v>
      </c>
      <c r="AJ87" s="288"/>
      <c r="AK87" s="283" t="s">
        <v>28</v>
      </c>
      <c r="AL87" s="288"/>
      <c r="AM87" s="283" t="s">
        <v>28</v>
      </c>
      <c r="AN87" s="288"/>
      <c r="AO87" s="285" t="s">
        <v>26</v>
      </c>
      <c r="AP87" s="285"/>
      <c r="AQ87" s="285"/>
      <c r="AR87" s="288"/>
      <c r="AS87" s="286">
        <f>COUNTIF(C87:AR87,"&gt;=R")</f>
        <v>17</v>
      </c>
      <c r="AT87" s="287">
        <f>AS87</f>
        <v>17</v>
      </c>
      <c r="AU87" s="357"/>
      <c r="AV87" s="357"/>
      <c r="AW87" s="357"/>
      <c r="AX87" s="357"/>
      <c r="AY87" s="847"/>
      <c r="BE87" s="357"/>
      <c r="BF87" s="357"/>
      <c r="BG87" s="357"/>
      <c r="BH87" s="357"/>
      <c r="BI87" s="357"/>
      <c r="BJ87" s="357"/>
      <c r="BK87" s="357"/>
      <c r="BL87" s="357"/>
      <c r="BM87" s="357"/>
      <c r="BN87" s="357"/>
    </row>
    <row r="88" spans="1:66" ht="40.049999999999997" customHeight="1" x14ac:dyDescent="0.65">
      <c r="A88" s="439" t="s">
        <v>240</v>
      </c>
      <c r="B88" s="901" t="s">
        <v>241</v>
      </c>
      <c r="C88" s="440"/>
      <c r="D88" s="440"/>
      <c r="E88" s="442"/>
      <c r="F88" s="442"/>
      <c r="G88" s="442"/>
      <c r="H88" s="442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442"/>
      <c r="AA88" s="442"/>
      <c r="AB88" s="442"/>
      <c r="AC88" s="442"/>
      <c r="AD88" s="442"/>
      <c r="AE88" s="442"/>
      <c r="AF88" s="442"/>
      <c r="AG88" s="442"/>
      <c r="AH88" s="442"/>
      <c r="AI88" s="442"/>
      <c r="AJ88" s="443"/>
      <c r="AK88" s="442"/>
      <c r="AL88" s="443"/>
      <c r="AM88" s="442"/>
      <c r="AN88" s="443"/>
      <c r="AO88" s="442"/>
      <c r="AP88" s="442"/>
      <c r="AQ88" s="442"/>
      <c r="AR88" s="443"/>
      <c r="AS88" s="443"/>
      <c r="AT88" s="906"/>
      <c r="AY88" s="847"/>
    </row>
    <row r="89" spans="1:66" ht="40.049999999999997" customHeight="1" x14ac:dyDescent="0.65">
      <c r="A89" s="451" t="s">
        <v>242</v>
      </c>
      <c r="B89" s="902" t="s">
        <v>243</v>
      </c>
      <c r="C89" s="284"/>
      <c r="D89" s="283"/>
      <c r="E89" s="285"/>
      <c r="F89" s="285"/>
      <c r="G89" s="285"/>
      <c r="H89" s="285"/>
      <c r="I89" s="285" t="s">
        <v>18</v>
      </c>
      <c r="J89" s="285"/>
      <c r="K89" s="285" t="s">
        <v>18</v>
      </c>
      <c r="L89" s="285"/>
      <c r="M89" s="285" t="s">
        <v>18</v>
      </c>
      <c r="N89" s="285"/>
      <c r="O89" s="285" t="s">
        <v>28</v>
      </c>
      <c r="P89" s="285"/>
      <c r="Q89" s="285" t="s">
        <v>18</v>
      </c>
      <c r="R89" s="285"/>
      <c r="S89" s="285" t="s">
        <v>18</v>
      </c>
      <c r="T89" s="285"/>
      <c r="U89" s="285" t="s">
        <v>28</v>
      </c>
      <c r="V89" s="285"/>
      <c r="W89" s="285" t="s">
        <v>28</v>
      </c>
      <c r="X89" s="285"/>
      <c r="Y89" s="283" t="s">
        <v>28</v>
      </c>
      <c r="Z89" s="285"/>
      <c r="AA89" s="283" t="s">
        <v>28</v>
      </c>
      <c r="AB89" s="285"/>
      <c r="AC89" s="283" t="s">
        <v>28</v>
      </c>
      <c r="AD89" s="285"/>
      <c r="AE89" s="283" t="s">
        <v>28</v>
      </c>
      <c r="AF89" s="285"/>
      <c r="AG89" s="283" t="s">
        <v>28</v>
      </c>
      <c r="AH89" s="285"/>
      <c r="AI89" s="283" t="s">
        <v>28</v>
      </c>
      <c r="AJ89" s="288"/>
      <c r="AK89" s="283" t="s">
        <v>28</v>
      </c>
      <c r="AL89" s="288"/>
      <c r="AM89" s="283" t="s">
        <v>28</v>
      </c>
      <c r="AN89" s="288"/>
      <c r="AO89" s="285" t="s">
        <v>26</v>
      </c>
      <c r="AP89" s="285"/>
      <c r="AQ89" s="285"/>
      <c r="AR89" s="288"/>
      <c r="AS89" s="286">
        <f>COUNTIF(C89:AR89,"&gt;=R")</f>
        <v>17</v>
      </c>
      <c r="AT89" s="287">
        <f>AS89</f>
        <v>17</v>
      </c>
      <c r="AY89" s="847"/>
    </row>
    <row r="90" spans="1:66" ht="40.049999999999997" customHeight="1" x14ac:dyDescent="0.65">
      <c r="A90" s="451" t="s">
        <v>244</v>
      </c>
      <c r="B90" s="902" t="s">
        <v>245</v>
      </c>
      <c r="C90" s="283"/>
      <c r="D90" s="283"/>
      <c r="E90" s="299"/>
      <c r="F90" s="285"/>
      <c r="G90" s="285"/>
      <c r="H90" s="285"/>
      <c r="I90" s="285"/>
      <c r="J90" s="285"/>
      <c r="K90" s="285"/>
      <c r="L90" s="285"/>
      <c r="M90" s="285"/>
      <c r="N90" s="285"/>
      <c r="O90" s="285"/>
      <c r="P90" s="285"/>
      <c r="Q90" s="285"/>
      <c r="R90" s="285"/>
      <c r="S90" s="285"/>
      <c r="T90" s="285"/>
      <c r="U90" s="285"/>
      <c r="V90" s="285"/>
      <c r="W90" s="285"/>
      <c r="X90" s="285"/>
      <c r="Y90" s="285"/>
      <c r="Z90" s="285"/>
      <c r="AA90" s="285"/>
      <c r="AB90" s="285"/>
      <c r="AC90" s="285"/>
      <c r="AD90" s="285"/>
      <c r="AE90" s="285"/>
      <c r="AF90" s="285"/>
      <c r="AG90" s="285"/>
      <c r="AH90" s="285"/>
      <c r="AI90" s="288"/>
      <c r="AJ90" s="288"/>
      <c r="AK90" s="288"/>
      <c r="AL90" s="288"/>
      <c r="AM90" s="283"/>
      <c r="AN90" s="288"/>
      <c r="AO90" s="285" t="s">
        <v>26</v>
      </c>
      <c r="AP90" s="285"/>
      <c r="AQ90" s="285"/>
      <c r="AR90" s="288"/>
      <c r="AS90" s="286">
        <f>COUNTIF(C90:AR90,"&gt;=R")</f>
        <v>1</v>
      </c>
      <c r="AT90" s="287">
        <f>AS90</f>
        <v>1</v>
      </c>
      <c r="AY90" s="847"/>
    </row>
    <row r="91" spans="1:66" ht="40.049999999999997" customHeight="1" x14ac:dyDescent="0.65">
      <c r="A91" s="439" t="s">
        <v>246</v>
      </c>
      <c r="B91" s="901" t="s">
        <v>247</v>
      </c>
      <c r="C91" s="440"/>
      <c r="D91" s="440"/>
      <c r="E91" s="445"/>
      <c r="F91" s="442"/>
      <c r="G91" s="442"/>
      <c r="H91" s="442"/>
      <c r="I91" s="442"/>
      <c r="J91" s="442"/>
      <c r="K91" s="442"/>
      <c r="L91" s="442"/>
      <c r="M91" s="450"/>
      <c r="N91" s="442"/>
      <c r="O91" s="442"/>
      <c r="P91" s="442"/>
      <c r="Q91" s="442"/>
      <c r="R91" s="442"/>
      <c r="S91" s="442"/>
      <c r="T91" s="442"/>
      <c r="U91" s="442"/>
      <c r="V91" s="442"/>
      <c r="W91" s="442"/>
      <c r="X91" s="442"/>
      <c r="Y91" s="442"/>
      <c r="Z91" s="442"/>
      <c r="AA91" s="442"/>
      <c r="AB91" s="442"/>
      <c r="AC91" s="442"/>
      <c r="AD91" s="442"/>
      <c r="AE91" s="442"/>
      <c r="AF91" s="442"/>
      <c r="AG91" s="442"/>
      <c r="AH91" s="442"/>
      <c r="AI91" s="442"/>
      <c r="AJ91" s="443"/>
      <c r="AK91" s="442"/>
      <c r="AL91" s="443"/>
      <c r="AM91" s="442"/>
      <c r="AN91" s="443"/>
      <c r="AO91" s="442"/>
      <c r="AP91" s="442"/>
      <c r="AQ91" s="442"/>
      <c r="AR91" s="443"/>
      <c r="AS91" s="443"/>
      <c r="AT91" s="906"/>
      <c r="AY91" s="847"/>
    </row>
    <row r="92" spans="1:66" ht="40.049999999999997" customHeight="1" x14ac:dyDescent="0.65">
      <c r="A92" s="451" t="s">
        <v>248</v>
      </c>
      <c r="B92" s="902" t="s">
        <v>249</v>
      </c>
      <c r="C92" s="284"/>
      <c r="D92" s="283"/>
      <c r="E92" s="285"/>
      <c r="F92" s="285"/>
      <c r="G92" s="285"/>
      <c r="H92" s="285"/>
      <c r="I92" s="285" t="s">
        <v>76</v>
      </c>
      <c r="J92" s="285"/>
      <c r="K92" s="285" t="s">
        <v>76</v>
      </c>
      <c r="L92" s="285"/>
      <c r="M92" s="285" t="s">
        <v>76</v>
      </c>
      <c r="N92" s="285"/>
      <c r="O92" s="285" t="s">
        <v>76</v>
      </c>
      <c r="P92" s="285"/>
      <c r="Q92" s="285" t="s">
        <v>76</v>
      </c>
      <c r="R92" s="285"/>
      <c r="S92" s="285" t="s">
        <v>76</v>
      </c>
      <c r="T92" s="285"/>
      <c r="U92" s="285" t="s">
        <v>18</v>
      </c>
      <c r="V92" s="285"/>
      <c r="W92" s="285" t="s">
        <v>18</v>
      </c>
      <c r="X92" s="285"/>
      <c r="Y92" s="283" t="s">
        <v>18</v>
      </c>
      <c r="Z92" s="285"/>
      <c r="AA92" s="283" t="s">
        <v>18</v>
      </c>
      <c r="AB92" s="285"/>
      <c r="AC92" s="283" t="s">
        <v>18</v>
      </c>
      <c r="AD92" s="285"/>
      <c r="AE92" s="283" t="s">
        <v>18</v>
      </c>
      <c r="AF92" s="285"/>
      <c r="AG92" s="283" t="s">
        <v>18</v>
      </c>
      <c r="AH92" s="285"/>
      <c r="AI92" s="283" t="s">
        <v>18</v>
      </c>
      <c r="AJ92" s="288"/>
      <c r="AK92" s="283" t="s">
        <v>18</v>
      </c>
      <c r="AL92" s="288"/>
      <c r="AM92" s="288" t="s">
        <v>18</v>
      </c>
      <c r="AN92" s="288"/>
      <c r="AO92" s="288" t="s">
        <v>26</v>
      </c>
      <c r="AP92" s="288"/>
      <c r="AQ92" s="288" t="s">
        <v>18</v>
      </c>
      <c r="AR92" s="288"/>
      <c r="AS92" s="286">
        <f>COUNTIF(C92:AR92,"&gt;=R")</f>
        <v>18</v>
      </c>
      <c r="AT92" s="287">
        <f>AS92</f>
        <v>18</v>
      </c>
      <c r="AY92" s="847"/>
    </row>
    <row r="93" spans="1:66" ht="40.049999999999997" customHeight="1" x14ac:dyDescent="0.65">
      <c r="A93" s="451" t="s">
        <v>250</v>
      </c>
      <c r="B93" s="902" t="s">
        <v>251</v>
      </c>
      <c r="C93" s="284"/>
      <c r="D93" s="283"/>
      <c r="E93" s="285"/>
      <c r="F93" s="285"/>
      <c r="G93" s="285"/>
      <c r="H93" s="285"/>
      <c r="I93" s="285" t="s">
        <v>76</v>
      </c>
      <c r="J93" s="285"/>
      <c r="K93" s="285" t="s">
        <v>76</v>
      </c>
      <c r="L93" s="285"/>
      <c r="M93" s="285" t="s">
        <v>76</v>
      </c>
      <c r="N93" s="285"/>
      <c r="O93" s="285" t="s">
        <v>76</v>
      </c>
      <c r="P93" s="285"/>
      <c r="Q93" s="285" t="s">
        <v>76</v>
      </c>
      <c r="R93" s="285"/>
      <c r="S93" s="285" t="s">
        <v>76</v>
      </c>
      <c r="T93" s="285"/>
      <c r="U93" s="285" t="s">
        <v>68</v>
      </c>
      <c r="V93" s="285"/>
      <c r="W93" s="285" t="s">
        <v>68</v>
      </c>
      <c r="X93" s="285"/>
      <c r="Y93" s="283" t="s">
        <v>68</v>
      </c>
      <c r="Z93" s="285"/>
      <c r="AA93" s="283" t="s">
        <v>68</v>
      </c>
      <c r="AB93" s="285"/>
      <c r="AC93" s="283" t="s">
        <v>68</v>
      </c>
      <c r="AD93" s="285"/>
      <c r="AE93" s="283" t="s">
        <v>68</v>
      </c>
      <c r="AF93" s="285"/>
      <c r="AG93" s="283" t="s">
        <v>68</v>
      </c>
      <c r="AH93" s="285"/>
      <c r="AI93" s="283" t="s">
        <v>68</v>
      </c>
      <c r="AJ93" s="288"/>
      <c r="AK93" s="283" t="s">
        <v>68</v>
      </c>
      <c r="AL93" s="288"/>
      <c r="AM93" s="283" t="s">
        <v>68</v>
      </c>
      <c r="AN93" s="288"/>
      <c r="AO93" s="285" t="s">
        <v>26</v>
      </c>
      <c r="AP93" s="285"/>
      <c r="AQ93" s="285" t="s">
        <v>68</v>
      </c>
      <c r="AR93" s="288"/>
      <c r="AS93" s="286">
        <f>COUNTIF(C93:AR93,"&gt;=R")</f>
        <v>18</v>
      </c>
      <c r="AT93" s="287">
        <f>AS93</f>
        <v>18</v>
      </c>
      <c r="AY93" s="847"/>
    </row>
    <row r="94" spans="1:66" ht="40.049999999999997" customHeight="1" x14ac:dyDescent="0.65">
      <c r="A94" s="439" t="s">
        <v>252</v>
      </c>
      <c r="B94" s="901" t="s">
        <v>253</v>
      </c>
      <c r="C94" s="440"/>
      <c r="D94" s="440"/>
      <c r="E94" s="445"/>
      <c r="F94" s="442"/>
      <c r="G94" s="443"/>
      <c r="H94" s="442"/>
      <c r="I94" s="443"/>
      <c r="J94" s="442"/>
      <c r="K94" s="442"/>
      <c r="L94" s="442"/>
      <c r="M94" s="442"/>
      <c r="N94" s="442"/>
      <c r="O94" s="442"/>
      <c r="P94" s="442"/>
      <c r="Q94" s="442"/>
      <c r="R94" s="442"/>
      <c r="S94" s="442"/>
      <c r="T94" s="442"/>
      <c r="U94" s="442"/>
      <c r="V94" s="442"/>
      <c r="W94" s="442"/>
      <c r="X94" s="442"/>
      <c r="Y94" s="442"/>
      <c r="Z94" s="442"/>
      <c r="AA94" s="442"/>
      <c r="AB94" s="442"/>
      <c r="AC94" s="442"/>
      <c r="AD94" s="442"/>
      <c r="AE94" s="442"/>
      <c r="AF94" s="442"/>
      <c r="AG94" s="442"/>
      <c r="AH94" s="442"/>
      <c r="AI94" s="443"/>
      <c r="AJ94" s="443"/>
      <c r="AK94" s="443"/>
      <c r="AL94" s="443"/>
      <c r="AM94" s="443"/>
      <c r="AN94" s="443"/>
      <c r="AO94" s="445"/>
      <c r="AP94" s="445"/>
      <c r="AQ94" s="445"/>
      <c r="AR94" s="443"/>
      <c r="AS94" s="443"/>
      <c r="AT94" s="906"/>
      <c r="AU94" s="357"/>
      <c r="AV94" s="357"/>
      <c r="AW94" s="357"/>
      <c r="AX94" s="357"/>
      <c r="AY94" s="847"/>
      <c r="BE94" s="357"/>
      <c r="BF94" s="357"/>
      <c r="BG94" s="357"/>
      <c r="BH94" s="357"/>
      <c r="BI94" s="357"/>
      <c r="BJ94" s="357"/>
      <c r="BK94" s="357"/>
      <c r="BL94" s="357"/>
      <c r="BM94" s="357"/>
      <c r="BN94" s="357"/>
    </row>
    <row r="95" spans="1:66" ht="40.049999999999997" customHeight="1" x14ac:dyDescent="0.65">
      <c r="A95" s="438" t="s">
        <v>254</v>
      </c>
      <c r="B95" s="900" t="s">
        <v>255</v>
      </c>
      <c r="C95" s="283"/>
      <c r="D95" s="283"/>
      <c r="E95" s="283"/>
      <c r="F95" s="285"/>
      <c r="G95" s="283"/>
      <c r="H95" s="285"/>
      <c r="I95" s="283" t="s">
        <v>28</v>
      </c>
      <c r="J95" s="285"/>
      <c r="K95" s="283" t="s">
        <v>28</v>
      </c>
      <c r="L95" s="285"/>
      <c r="M95" s="283" t="s">
        <v>28</v>
      </c>
      <c r="N95" s="285"/>
      <c r="O95" s="283" t="s">
        <v>28</v>
      </c>
      <c r="P95" s="285"/>
      <c r="Q95" s="283" t="s">
        <v>28</v>
      </c>
      <c r="R95" s="285"/>
      <c r="S95" s="283" t="s">
        <v>28</v>
      </c>
      <c r="T95" s="285"/>
      <c r="U95" s="283" t="s">
        <v>28</v>
      </c>
      <c r="V95" s="285"/>
      <c r="W95" s="283" t="s">
        <v>28</v>
      </c>
      <c r="X95" s="285"/>
      <c r="Y95" s="283" t="s">
        <v>28</v>
      </c>
      <c r="Z95" s="285"/>
      <c r="AA95" s="283" t="s">
        <v>28</v>
      </c>
      <c r="AB95" s="285"/>
      <c r="AC95" s="283" t="s">
        <v>28</v>
      </c>
      <c r="AD95" s="285"/>
      <c r="AE95" s="283" t="s">
        <v>28</v>
      </c>
      <c r="AF95" s="285"/>
      <c r="AG95" s="283" t="s">
        <v>28</v>
      </c>
      <c r="AH95" s="285"/>
      <c r="AI95" s="283" t="s">
        <v>28</v>
      </c>
      <c r="AJ95" s="288"/>
      <c r="AK95" s="283" t="s">
        <v>68</v>
      </c>
      <c r="AL95" s="288"/>
      <c r="AM95" s="283" t="s">
        <v>68</v>
      </c>
      <c r="AN95" s="288"/>
      <c r="AO95" s="285" t="s">
        <v>26</v>
      </c>
      <c r="AP95" s="285"/>
      <c r="AQ95" s="285" t="s">
        <v>68</v>
      </c>
      <c r="AR95" s="288"/>
      <c r="AS95" s="286">
        <f>COUNTIF(C95:AR95,"&gt;=R")</f>
        <v>18</v>
      </c>
      <c r="AT95" s="287">
        <f>AS95</f>
        <v>18</v>
      </c>
      <c r="AU95" s="357"/>
      <c r="AV95" s="357"/>
      <c r="AW95" s="357"/>
      <c r="AX95" s="357"/>
      <c r="AY95" s="847"/>
      <c r="BE95" s="357"/>
      <c r="BF95" s="357"/>
      <c r="BG95" s="357"/>
      <c r="BH95" s="357"/>
      <c r="BI95" s="357"/>
      <c r="BJ95" s="357"/>
      <c r="BK95" s="357"/>
      <c r="BL95" s="357"/>
      <c r="BM95" s="357"/>
      <c r="BN95" s="357"/>
    </row>
    <row r="96" spans="1:66" ht="40.049999999999997" customHeight="1" x14ac:dyDescent="0.65">
      <c r="A96" s="438" t="s">
        <v>256</v>
      </c>
      <c r="B96" s="900" t="s">
        <v>257</v>
      </c>
      <c r="C96" s="283"/>
      <c r="D96" s="284"/>
      <c r="E96" s="283"/>
      <c r="F96" s="285"/>
      <c r="G96" s="283"/>
      <c r="H96" s="285"/>
      <c r="I96" s="283" t="s">
        <v>28</v>
      </c>
      <c r="J96" s="285"/>
      <c r="K96" s="283" t="s">
        <v>28</v>
      </c>
      <c r="L96" s="285"/>
      <c r="M96" s="283" t="s">
        <v>28</v>
      </c>
      <c r="N96" s="285"/>
      <c r="O96" s="283" t="s">
        <v>28</v>
      </c>
      <c r="P96" s="285"/>
      <c r="Q96" s="283" t="s">
        <v>28</v>
      </c>
      <c r="R96" s="285"/>
      <c r="S96" s="283" t="s">
        <v>28</v>
      </c>
      <c r="T96" s="285"/>
      <c r="U96" s="283" t="s">
        <v>28</v>
      </c>
      <c r="V96" s="285"/>
      <c r="W96" s="283" t="s">
        <v>28</v>
      </c>
      <c r="X96" s="285"/>
      <c r="Y96" s="283" t="s">
        <v>28</v>
      </c>
      <c r="Z96" s="285"/>
      <c r="AA96" s="283" t="s">
        <v>28</v>
      </c>
      <c r="AB96" s="285"/>
      <c r="AC96" s="283" t="s">
        <v>28</v>
      </c>
      <c r="AD96" s="285"/>
      <c r="AE96" s="283" t="s">
        <v>28</v>
      </c>
      <c r="AF96" s="285"/>
      <c r="AG96" s="283" t="s">
        <v>28</v>
      </c>
      <c r="AH96" s="285"/>
      <c r="AI96" s="283" t="s">
        <v>28</v>
      </c>
      <c r="AJ96" s="288"/>
      <c r="AK96" s="283"/>
      <c r="AL96" s="288"/>
      <c r="AM96" s="283"/>
      <c r="AN96" s="288"/>
      <c r="AO96" s="285" t="s">
        <v>26</v>
      </c>
      <c r="AP96" s="285"/>
      <c r="AQ96" s="285"/>
      <c r="AR96" s="288"/>
      <c r="AS96" s="286">
        <f>COUNTIF(C96:AR96,"&gt;=R")</f>
        <v>15</v>
      </c>
      <c r="AT96" s="287">
        <f>AS96</f>
        <v>15</v>
      </c>
      <c r="AY96" s="847"/>
    </row>
    <row r="97" spans="1:66" ht="40.049999999999997" customHeight="1" x14ac:dyDescent="0.65">
      <c r="A97" s="438" t="s">
        <v>258</v>
      </c>
      <c r="B97" s="900" t="s">
        <v>259</v>
      </c>
      <c r="C97" s="283"/>
      <c r="D97" s="284"/>
      <c r="E97" s="283"/>
      <c r="F97" s="285"/>
      <c r="G97" s="283"/>
      <c r="H97" s="285"/>
      <c r="I97" s="283" t="s">
        <v>28</v>
      </c>
      <c r="J97" s="285"/>
      <c r="K97" s="283" t="s">
        <v>28</v>
      </c>
      <c r="L97" s="285"/>
      <c r="M97" s="283" t="s">
        <v>28</v>
      </c>
      <c r="N97" s="285"/>
      <c r="O97" s="283" t="s">
        <v>28</v>
      </c>
      <c r="P97" s="285"/>
      <c r="Q97" s="283" t="s">
        <v>28</v>
      </c>
      <c r="R97" s="285"/>
      <c r="S97" s="283" t="s">
        <v>28</v>
      </c>
      <c r="T97" s="285"/>
      <c r="U97" s="283" t="s">
        <v>28</v>
      </c>
      <c r="V97" s="285"/>
      <c r="W97" s="283" t="s">
        <v>28</v>
      </c>
      <c r="X97" s="285"/>
      <c r="Y97" s="283" t="s">
        <v>28</v>
      </c>
      <c r="Z97" s="285"/>
      <c r="AA97" s="283" t="s">
        <v>28</v>
      </c>
      <c r="AB97" s="285"/>
      <c r="AC97" s="283" t="s">
        <v>28</v>
      </c>
      <c r="AD97" s="285"/>
      <c r="AE97" s="283" t="s">
        <v>28</v>
      </c>
      <c r="AF97" s="285"/>
      <c r="AG97" s="283" t="s">
        <v>28</v>
      </c>
      <c r="AH97" s="285"/>
      <c r="AI97" s="283" t="s">
        <v>28</v>
      </c>
      <c r="AJ97" s="288"/>
      <c r="AK97" s="283"/>
      <c r="AL97" s="288"/>
      <c r="AM97" s="283"/>
      <c r="AN97" s="288"/>
      <c r="AO97" s="285" t="s">
        <v>26</v>
      </c>
      <c r="AP97" s="285"/>
      <c r="AQ97" s="285"/>
      <c r="AR97" s="288"/>
      <c r="AS97" s="286">
        <f>COUNTIF(C97:AR97,"&gt;=R")</f>
        <v>15</v>
      </c>
      <c r="AT97" s="287">
        <f>AS97</f>
        <v>15</v>
      </c>
      <c r="AU97" s="357"/>
      <c r="AV97" s="357"/>
      <c r="AW97" s="357"/>
      <c r="AX97" s="357"/>
      <c r="AY97" s="847"/>
      <c r="BE97" s="357"/>
      <c r="BF97" s="357"/>
      <c r="BG97" s="357"/>
      <c r="BH97" s="357"/>
      <c r="BI97" s="357"/>
      <c r="BJ97" s="357"/>
      <c r="BK97" s="357"/>
      <c r="BL97" s="357"/>
      <c r="BM97" s="357"/>
      <c r="BN97" s="357"/>
    </row>
    <row r="98" spans="1:66" ht="40.049999999999997" customHeight="1" x14ac:dyDescent="0.65">
      <c r="A98" s="438" t="s">
        <v>260</v>
      </c>
      <c r="B98" s="900" t="s">
        <v>261</v>
      </c>
      <c r="C98" s="283"/>
      <c r="D98" s="284"/>
      <c r="E98" s="283"/>
      <c r="F98" s="285"/>
      <c r="G98" s="283"/>
      <c r="H98" s="285"/>
      <c r="I98" s="283" t="s">
        <v>28</v>
      </c>
      <c r="J98" s="285"/>
      <c r="K98" s="283" t="s">
        <v>28</v>
      </c>
      <c r="L98" s="285"/>
      <c r="M98" s="283" t="s">
        <v>28</v>
      </c>
      <c r="N98" s="285"/>
      <c r="O98" s="283" t="s">
        <v>28</v>
      </c>
      <c r="P98" s="285"/>
      <c r="Q98" s="283" t="s">
        <v>28</v>
      </c>
      <c r="R98" s="285"/>
      <c r="S98" s="283" t="s">
        <v>28</v>
      </c>
      <c r="T98" s="285"/>
      <c r="U98" s="283" t="s">
        <v>28</v>
      </c>
      <c r="V98" s="285"/>
      <c r="W98" s="283" t="s">
        <v>28</v>
      </c>
      <c r="X98" s="285"/>
      <c r="Y98" s="283" t="s">
        <v>28</v>
      </c>
      <c r="Z98" s="285"/>
      <c r="AA98" s="283" t="s">
        <v>28</v>
      </c>
      <c r="AB98" s="285"/>
      <c r="AC98" s="283" t="s">
        <v>28</v>
      </c>
      <c r="AD98" s="285"/>
      <c r="AE98" s="283" t="s">
        <v>28</v>
      </c>
      <c r="AF98" s="285"/>
      <c r="AG98" s="283" t="s">
        <v>28</v>
      </c>
      <c r="AH98" s="285"/>
      <c r="AI98" s="283" t="s">
        <v>28</v>
      </c>
      <c r="AJ98" s="288"/>
      <c r="AK98" s="283"/>
      <c r="AL98" s="288"/>
      <c r="AM98" s="283"/>
      <c r="AN98" s="288"/>
      <c r="AO98" s="285" t="s">
        <v>26</v>
      </c>
      <c r="AP98" s="285"/>
      <c r="AQ98" s="285" t="s">
        <v>68</v>
      </c>
      <c r="AR98" s="288"/>
      <c r="AS98" s="286">
        <f>COUNTIF(C98:AR98,"&gt;=R")</f>
        <v>16</v>
      </c>
      <c r="AT98" s="287">
        <f>AS98</f>
        <v>16</v>
      </c>
      <c r="AU98" s="357"/>
      <c r="AV98" s="357"/>
      <c r="AW98" s="357"/>
      <c r="AX98" s="357"/>
      <c r="AY98" s="847"/>
      <c r="BE98" s="357"/>
      <c r="BF98" s="357"/>
      <c r="BG98" s="357"/>
      <c r="BH98" s="357"/>
      <c r="BI98" s="357"/>
      <c r="BJ98" s="357"/>
      <c r="BK98" s="357"/>
      <c r="BL98" s="357"/>
      <c r="BM98" s="357"/>
      <c r="BN98" s="357"/>
    </row>
    <row r="99" spans="1:66" ht="40.049999999999997" customHeight="1" x14ac:dyDescent="0.65">
      <c r="A99" s="439" t="s">
        <v>262</v>
      </c>
      <c r="B99" s="901" t="s">
        <v>263</v>
      </c>
      <c r="C99" s="440"/>
      <c r="D99" s="441"/>
      <c r="E99" s="442"/>
      <c r="F99" s="442"/>
      <c r="G99" s="443"/>
      <c r="H99" s="442"/>
      <c r="I99" s="443"/>
      <c r="J99" s="442"/>
      <c r="K99" s="443"/>
      <c r="L99" s="442"/>
      <c r="M99" s="442"/>
      <c r="N99" s="442"/>
      <c r="O99" s="442"/>
      <c r="P99" s="442"/>
      <c r="Q99" s="442"/>
      <c r="R99" s="442"/>
      <c r="S99" s="442"/>
      <c r="T99" s="442"/>
      <c r="U99" s="443"/>
      <c r="V99" s="442"/>
      <c r="W99" s="443"/>
      <c r="X99" s="442"/>
      <c r="Y99" s="443"/>
      <c r="Z99" s="442"/>
      <c r="AA99" s="443"/>
      <c r="AB99" s="442"/>
      <c r="AC99" s="442"/>
      <c r="AD99" s="442"/>
      <c r="AE99" s="442"/>
      <c r="AF99" s="442"/>
      <c r="AG99" s="442"/>
      <c r="AH99" s="442"/>
      <c r="AI99" s="442"/>
      <c r="AJ99" s="443"/>
      <c r="AK99" s="442"/>
      <c r="AL99" s="443"/>
      <c r="AM99" s="442"/>
      <c r="AN99" s="443"/>
      <c r="AO99" s="442"/>
      <c r="AP99" s="442"/>
      <c r="AQ99" s="442"/>
      <c r="AR99" s="443"/>
      <c r="AS99" s="443"/>
      <c r="AT99" s="906"/>
      <c r="AY99" s="847"/>
    </row>
    <row r="100" spans="1:66" ht="40.049999999999997" customHeight="1" x14ac:dyDescent="0.65">
      <c r="A100" s="451" t="s">
        <v>264</v>
      </c>
      <c r="B100" s="902" t="s">
        <v>265</v>
      </c>
      <c r="C100" s="283"/>
      <c r="D100" s="284"/>
      <c r="E100" s="285"/>
      <c r="F100" s="285"/>
      <c r="G100" s="285"/>
      <c r="H100" s="285"/>
      <c r="I100" s="285" t="s">
        <v>26</v>
      </c>
      <c r="J100" s="285"/>
      <c r="K100" s="285" t="s">
        <v>26</v>
      </c>
      <c r="L100" s="285"/>
      <c r="M100" s="674" t="s">
        <v>16</v>
      </c>
      <c r="N100" s="285"/>
      <c r="O100" s="674" t="s">
        <v>16</v>
      </c>
      <c r="P100" s="285"/>
      <c r="Q100" s="674" t="s">
        <v>16</v>
      </c>
      <c r="R100" s="285"/>
      <c r="S100" s="674" t="s">
        <v>16</v>
      </c>
      <c r="T100" s="285"/>
      <c r="U100" s="674" t="s">
        <v>16</v>
      </c>
      <c r="V100" s="285"/>
      <c r="W100" s="674" t="s">
        <v>16</v>
      </c>
      <c r="X100" s="285"/>
      <c r="Y100" s="674" t="s">
        <v>16</v>
      </c>
      <c r="Z100" s="285"/>
      <c r="AA100" s="674" t="s">
        <v>16</v>
      </c>
      <c r="AB100" s="285"/>
      <c r="AC100" s="674" t="s">
        <v>16</v>
      </c>
      <c r="AD100" s="285"/>
      <c r="AE100" s="674" t="s">
        <v>16</v>
      </c>
      <c r="AF100" s="285"/>
      <c r="AG100" s="673" t="s">
        <v>409</v>
      </c>
      <c r="AH100" s="285"/>
      <c r="AI100" s="673" t="s">
        <v>409</v>
      </c>
      <c r="AJ100" s="288"/>
      <c r="AK100" s="673" t="s">
        <v>409</v>
      </c>
      <c r="AL100" s="288"/>
      <c r="AM100" s="673" t="s">
        <v>409</v>
      </c>
      <c r="AN100" s="288"/>
      <c r="AO100" s="673" t="s">
        <v>409</v>
      </c>
      <c r="AP100" s="288"/>
      <c r="AQ100" s="288" t="s">
        <v>76</v>
      </c>
      <c r="AR100" s="288"/>
      <c r="AS100" s="286">
        <f>COUNTIF(C100:AR100,"&gt;=R")</f>
        <v>18</v>
      </c>
      <c r="AT100" s="287">
        <f>AS100</f>
        <v>18</v>
      </c>
      <c r="AY100" s="847"/>
    </row>
    <row r="101" spans="1:66" ht="40.049999999999997" customHeight="1" x14ac:dyDescent="0.65">
      <c r="A101" s="452" t="s">
        <v>266</v>
      </c>
      <c r="B101" s="901" t="s">
        <v>267</v>
      </c>
      <c r="C101" s="440"/>
      <c r="D101" s="441"/>
      <c r="E101" s="442"/>
      <c r="F101" s="442"/>
      <c r="G101" s="442"/>
      <c r="H101" s="442"/>
      <c r="I101" s="442"/>
      <c r="J101" s="442"/>
      <c r="K101" s="442"/>
      <c r="L101" s="442"/>
      <c r="M101" s="442"/>
      <c r="N101" s="442"/>
      <c r="O101" s="442"/>
      <c r="P101" s="442"/>
      <c r="Q101" s="442"/>
      <c r="R101" s="442"/>
      <c r="S101" s="442"/>
      <c r="T101" s="442"/>
      <c r="U101" s="442"/>
      <c r="V101" s="442"/>
      <c r="W101" s="442"/>
      <c r="X101" s="442"/>
      <c r="Y101" s="442"/>
      <c r="Z101" s="442"/>
      <c r="AA101" s="442"/>
      <c r="AB101" s="442"/>
      <c r="AC101" s="442"/>
      <c r="AD101" s="442"/>
      <c r="AE101" s="442"/>
      <c r="AF101" s="442"/>
      <c r="AG101" s="442"/>
      <c r="AH101" s="442"/>
      <c r="AI101" s="443"/>
      <c r="AJ101" s="443"/>
      <c r="AK101" s="443"/>
      <c r="AL101" s="443"/>
      <c r="AM101" s="443"/>
      <c r="AN101" s="443"/>
      <c r="AO101" s="443"/>
      <c r="AP101" s="443"/>
      <c r="AQ101" s="443"/>
      <c r="AR101" s="443"/>
      <c r="AS101" s="443"/>
      <c r="AT101" s="906"/>
      <c r="AY101" s="847"/>
    </row>
    <row r="102" spans="1:66" ht="40.049999999999997" customHeight="1" x14ac:dyDescent="0.65">
      <c r="A102" s="438" t="s">
        <v>268</v>
      </c>
      <c r="B102" s="900" t="s">
        <v>269</v>
      </c>
      <c r="C102" s="284"/>
      <c r="D102" s="284"/>
      <c r="E102" s="285"/>
      <c r="F102" s="285"/>
      <c r="G102" s="285"/>
      <c r="H102" s="285"/>
      <c r="I102" s="285" t="s">
        <v>93</v>
      </c>
      <c r="J102" s="285"/>
      <c r="K102" s="285" t="s">
        <v>93</v>
      </c>
      <c r="L102" s="285"/>
      <c r="M102" s="285" t="s">
        <v>93</v>
      </c>
      <c r="N102" s="285"/>
      <c r="O102" s="285" t="s">
        <v>93</v>
      </c>
      <c r="P102" s="285"/>
      <c r="Q102" s="285" t="s">
        <v>28</v>
      </c>
      <c r="R102" s="285"/>
      <c r="S102" s="285" t="s">
        <v>28</v>
      </c>
      <c r="T102" s="285"/>
      <c r="U102" s="285" t="s">
        <v>38</v>
      </c>
      <c r="V102" s="285"/>
      <c r="W102" s="285" t="s">
        <v>38</v>
      </c>
      <c r="X102" s="285"/>
      <c r="Y102" s="285" t="s">
        <v>38</v>
      </c>
      <c r="Z102" s="285"/>
      <c r="AA102" s="285" t="s">
        <v>38</v>
      </c>
      <c r="AB102" s="285"/>
      <c r="AC102" s="285" t="s">
        <v>38</v>
      </c>
      <c r="AD102" s="285"/>
      <c r="AE102" s="285" t="s">
        <v>38</v>
      </c>
      <c r="AF102" s="285"/>
      <c r="AG102" s="285" t="s">
        <v>38</v>
      </c>
      <c r="AH102" s="285"/>
      <c r="AI102" s="285" t="s">
        <v>38</v>
      </c>
      <c r="AJ102" s="288"/>
      <c r="AK102" s="288" t="s">
        <v>38</v>
      </c>
      <c r="AL102" s="288"/>
      <c r="AM102" s="288" t="s">
        <v>38</v>
      </c>
      <c r="AN102" s="288"/>
      <c r="AO102" s="285" t="s">
        <v>55</v>
      </c>
      <c r="AP102" s="285"/>
      <c r="AQ102" s="285"/>
      <c r="AR102" s="288"/>
      <c r="AS102" s="286">
        <f>COUNTIF(C102:AR102,"&gt;=R")</f>
        <v>17</v>
      </c>
      <c r="AT102" s="287">
        <f>AS102</f>
        <v>17</v>
      </c>
      <c r="AY102" s="847"/>
    </row>
    <row r="103" spans="1:66" ht="40.049999999999997" customHeight="1" x14ac:dyDescent="0.65">
      <c r="A103" s="438" t="s">
        <v>270</v>
      </c>
      <c r="B103" s="900" t="s">
        <v>271</v>
      </c>
      <c r="C103" s="284"/>
      <c r="D103" s="284"/>
      <c r="E103" s="285"/>
      <c r="F103" s="285"/>
      <c r="G103" s="285"/>
      <c r="H103" s="285"/>
      <c r="I103" s="285" t="s">
        <v>28</v>
      </c>
      <c r="J103" s="285"/>
      <c r="K103" s="285" t="s">
        <v>93</v>
      </c>
      <c r="L103" s="285"/>
      <c r="M103" s="285" t="s">
        <v>28</v>
      </c>
      <c r="N103" s="285"/>
      <c r="O103" s="285" t="s">
        <v>28</v>
      </c>
      <c r="P103" s="285"/>
      <c r="Q103" s="285" t="s">
        <v>93</v>
      </c>
      <c r="R103" s="285"/>
      <c r="S103" s="285" t="s">
        <v>93</v>
      </c>
      <c r="T103" s="285"/>
      <c r="U103" s="285" t="s">
        <v>38</v>
      </c>
      <c r="V103" s="285"/>
      <c r="W103" s="285" t="s">
        <v>38</v>
      </c>
      <c r="X103" s="285"/>
      <c r="Y103" s="285" t="s">
        <v>38</v>
      </c>
      <c r="Z103" s="285"/>
      <c r="AA103" s="285" t="s">
        <v>38</v>
      </c>
      <c r="AB103" s="285"/>
      <c r="AC103" s="285" t="s">
        <v>38</v>
      </c>
      <c r="AD103" s="285"/>
      <c r="AE103" s="285" t="s">
        <v>38</v>
      </c>
      <c r="AF103" s="285"/>
      <c r="AG103" s="285" t="s">
        <v>38</v>
      </c>
      <c r="AH103" s="285"/>
      <c r="AI103" s="285" t="s">
        <v>38</v>
      </c>
      <c r="AJ103" s="288"/>
      <c r="AK103" s="288" t="s">
        <v>38</v>
      </c>
      <c r="AL103" s="288"/>
      <c r="AM103" s="288" t="s">
        <v>38</v>
      </c>
      <c r="AN103" s="288"/>
      <c r="AO103" s="285" t="s">
        <v>55</v>
      </c>
      <c r="AP103" s="285"/>
      <c r="AQ103" s="285"/>
      <c r="AR103" s="288"/>
      <c r="AS103" s="286">
        <f>COUNTIF(C103:AR103,"&gt;=R")</f>
        <v>17</v>
      </c>
      <c r="AT103" s="287">
        <f>AS103</f>
        <v>17</v>
      </c>
      <c r="AY103" s="847"/>
    </row>
    <row r="104" spans="1:66" ht="40.049999999999997" customHeight="1" x14ac:dyDescent="0.65">
      <c r="A104" s="452" t="s">
        <v>272</v>
      </c>
      <c r="B104" s="901" t="s">
        <v>273</v>
      </c>
      <c r="C104" s="440"/>
      <c r="D104" s="441"/>
      <c r="E104" s="442"/>
      <c r="F104" s="442"/>
      <c r="G104" s="442"/>
      <c r="H104" s="442"/>
      <c r="I104" s="442"/>
      <c r="J104" s="442"/>
      <c r="K104" s="442"/>
      <c r="L104" s="442"/>
      <c r="M104" s="442"/>
      <c r="N104" s="442"/>
      <c r="O104" s="442"/>
      <c r="P104" s="442"/>
      <c r="Q104" s="442"/>
      <c r="R104" s="442"/>
      <c r="S104" s="442"/>
      <c r="T104" s="442"/>
      <c r="U104" s="442"/>
      <c r="V104" s="442"/>
      <c r="W104" s="442"/>
      <c r="X104" s="442"/>
      <c r="Y104" s="442"/>
      <c r="Z104" s="442"/>
      <c r="AA104" s="442"/>
      <c r="AB104" s="442"/>
      <c r="AC104" s="442"/>
      <c r="AD104" s="442"/>
      <c r="AE104" s="442"/>
      <c r="AF104" s="442"/>
      <c r="AG104" s="442"/>
      <c r="AH104" s="442"/>
      <c r="AI104" s="443"/>
      <c r="AJ104" s="443"/>
      <c r="AK104" s="443"/>
      <c r="AL104" s="443"/>
      <c r="AM104" s="443"/>
      <c r="AN104" s="443"/>
      <c r="AO104" s="443"/>
      <c r="AP104" s="443"/>
      <c r="AQ104" s="443"/>
      <c r="AR104" s="443"/>
      <c r="AS104" s="443"/>
      <c r="AT104" s="906"/>
      <c r="AU104" s="357"/>
      <c r="AV104" s="357"/>
      <c r="AW104" s="357"/>
      <c r="AX104" s="357"/>
      <c r="AY104" s="847"/>
      <c r="BE104" s="357"/>
      <c r="BF104" s="357"/>
      <c r="BG104" s="357"/>
      <c r="BH104" s="357"/>
      <c r="BI104" s="357"/>
      <c r="BJ104" s="357"/>
      <c r="BK104" s="357"/>
      <c r="BL104" s="357"/>
      <c r="BM104" s="357"/>
      <c r="BN104" s="357"/>
    </row>
    <row r="105" spans="1:66" ht="40.049999999999997" customHeight="1" x14ac:dyDescent="0.65">
      <c r="A105" s="438" t="s">
        <v>274</v>
      </c>
      <c r="B105" s="900" t="s">
        <v>275</v>
      </c>
      <c r="C105" s="283"/>
      <c r="D105" s="283"/>
      <c r="E105" s="283"/>
      <c r="F105" s="285"/>
      <c r="G105" s="283"/>
      <c r="H105" s="285"/>
      <c r="I105" s="283" t="s">
        <v>93</v>
      </c>
      <c r="J105" s="285"/>
      <c r="K105" s="283" t="s">
        <v>93</v>
      </c>
      <c r="L105" s="285"/>
      <c r="M105" s="283" t="s">
        <v>93</v>
      </c>
      <c r="N105" s="285"/>
      <c r="O105" s="283" t="s">
        <v>93</v>
      </c>
      <c r="P105" s="285"/>
      <c r="Q105" s="283" t="s">
        <v>93</v>
      </c>
      <c r="R105" s="285"/>
      <c r="S105" s="283" t="s">
        <v>93</v>
      </c>
      <c r="T105" s="285"/>
      <c r="U105" s="283" t="s">
        <v>93</v>
      </c>
      <c r="V105" s="285"/>
      <c r="W105" s="283" t="s">
        <v>93</v>
      </c>
      <c r="X105" s="285"/>
      <c r="Y105" s="283" t="s">
        <v>93</v>
      </c>
      <c r="Z105" s="285"/>
      <c r="AA105" s="283" t="s">
        <v>93</v>
      </c>
      <c r="AB105" s="285"/>
      <c r="AC105" s="283" t="s">
        <v>93</v>
      </c>
      <c r="AD105" s="285"/>
      <c r="AE105" s="283" t="s">
        <v>93</v>
      </c>
      <c r="AF105" s="285"/>
      <c r="AG105" s="283" t="s">
        <v>93</v>
      </c>
      <c r="AH105" s="285"/>
      <c r="AI105" s="283" t="s">
        <v>93</v>
      </c>
      <c r="AJ105" s="288"/>
      <c r="AK105" s="283" t="s">
        <v>93</v>
      </c>
      <c r="AL105" s="288"/>
      <c r="AM105" s="283" t="s">
        <v>93</v>
      </c>
      <c r="AN105" s="288"/>
      <c r="AO105" s="283" t="s">
        <v>91</v>
      </c>
      <c r="AP105" s="283"/>
      <c r="AQ105" s="283"/>
      <c r="AR105" s="288"/>
      <c r="AS105" s="286">
        <f>COUNTIF(C105:AR105,"&gt;=R")</f>
        <v>17</v>
      </c>
      <c r="AT105" s="287">
        <f>AS105</f>
        <v>17</v>
      </c>
      <c r="AY105" s="847"/>
    </row>
    <row r="106" spans="1:66" ht="40.049999999999997" customHeight="1" x14ac:dyDescent="0.65">
      <c r="A106" s="438" t="s">
        <v>276</v>
      </c>
      <c r="B106" s="900" t="s">
        <v>277</v>
      </c>
      <c r="C106" s="283"/>
      <c r="D106" s="284"/>
      <c r="E106" s="283"/>
      <c r="F106" s="285"/>
      <c r="G106" s="283"/>
      <c r="H106" s="285"/>
      <c r="I106" s="283" t="s">
        <v>67</v>
      </c>
      <c r="J106" s="285"/>
      <c r="K106" s="307" t="s">
        <v>67</v>
      </c>
      <c r="L106" s="285"/>
      <c r="M106" s="307" t="s">
        <v>67</v>
      </c>
      <c r="N106" s="285"/>
      <c r="O106" s="307" t="s">
        <v>67</v>
      </c>
      <c r="P106" s="285"/>
      <c r="Q106" s="307" t="s">
        <v>67</v>
      </c>
      <c r="R106" s="285"/>
      <c r="S106" s="285" t="s">
        <v>67</v>
      </c>
      <c r="T106" s="285"/>
      <c r="U106" s="285" t="s">
        <v>56</v>
      </c>
      <c r="V106" s="285"/>
      <c r="W106" s="285" t="s">
        <v>56</v>
      </c>
      <c r="X106" s="285"/>
      <c r="Y106" s="285" t="s">
        <v>56</v>
      </c>
      <c r="Z106" s="285"/>
      <c r="AA106" s="285" t="s">
        <v>56</v>
      </c>
      <c r="AB106" s="285"/>
      <c r="AC106" s="285" t="s">
        <v>56</v>
      </c>
      <c r="AD106" s="285"/>
      <c r="AE106" s="285" t="s">
        <v>56</v>
      </c>
      <c r="AF106" s="285"/>
      <c r="AG106" s="283" t="s">
        <v>56</v>
      </c>
      <c r="AH106" s="285"/>
      <c r="AI106" s="283" t="s">
        <v>56</v>
      </c>
      <c r="AJ106" s="288"/>
      <c r="AK106" s="283" t="s">
        <v>56</v>
      </c>
      <c r="AL106" s="288"/>
      <c r="AM106" s="283" t="s">
        <v>56</v>
      </c>
      <c r="AN106" s="288"/>
      <c r="AO106" s="283" t="s">
        <v>91</v>
      </c>
      <c r="AP106" s="283"/>
      <c r="AQ106" s="283" t="s">
        <v>92</v>
      </c>
      <c r="AR106" s="288"/>
      <c r="AS106" s="286">
        <f>COUNTIF(C106:AR106,"&gt;=R")</f>
        <v>18</v>
      </c>
      <c r="AT106" s="287">
        <f>AS106</f>
        <v>18</v>
      </c>
      <c r="AU106" s="357"/>
      <c r="AV106" s="357"/>
      <c r="AW106" s="357"/>
      <c r="AX106" s="357"/>
      <c r="AY106" s="847"/>
      <c r="BE106" s="357"/>
      <c r="BF106" s="357"/>
      <c r="BG106" s="357"/>
      <c r="BH106" s="357"/>
      <c r="BI106" s="357"/>
      <c r="BJ106" s="357"/>
      <c r="BK106" s="357"/>
      <c r="BL106" s="357"/>
      <c r="BM106" s="357"/>
      <c r="BN106" s="357"/>
    </row>
    <row r="107" spans="1:66" ht="40.049999999999997" customHeight="1" x14ac:dyDescent="0.65">
      <c r="A107" s="439" t="s">
        <v>278</v>
      </c>
      <c r="B107" s="901" t="s">
        <v>279</v>
      </c>
      <c r="C107" s="440"/>
      <c r="D107" s="441"/>
      <c r="E107" s="442"/>
      <c r="F107" s="442"/>
      <c r="G107" s="442"/>
      <c r="H107" s="442"/>
      <c r="I107" s="442"/>
      <c r="J107" s="442"/>
      <c r="K107" s="442"/>
      <c r="L107" s="442"/>
      <c r="M107" s="442"/>
      <c r="N107" s="442"/>
      <c r="O107" s="442"/>
      <c r="P107" s="442"/>
      <c r="Q107" s="442"/>
      <c r="R107" s="442"/>
      <c r="S107" s="442"/>
      <c r="T107" s="442"/>
      <c r="U107" s="442"/>
      <c r="V107" s="442"/>
      <c r="W107" s="442"/>
      <c r="X107" s="442"/>
      <c r="Y107" s="442"/>
      <c r="Z107" s="442"/>
      <c r="AA107" s="442"/>
      <c r="AB107" s="442"/>
      <c r="AC107" s="442"/>
      <c r="AD107" s="442"/>
      <c r="AE107" s="442"/>
      <c r="AF107" s="442"/>
      <c r="AG107" s="442"/>
      <c r="AH107" s="442"/>
      <c r="AI107" s="443"/>
      <c r="AJ107" s="443"/>
      <c r="AK107" s="443"/>
      <c r="AL107" s="443"/>
      <c r="AM107" s="443"/>
      <c r="AN107" s="443"/>
      <c r="AO107" s="443"/>
      <c r="AP107" s="443"/>
      <c r="AQ107" s="443"/>
      <c r="AR107" s="443"/>
      <c r="AS107" s="443"/>
      <c r="AT107" s="906"/>
      <c r="AU107" s="357"/>
      <c r="AV107" s="357"/>
      <c r="AW107" s="357"/>
      <c r="AX107" s="357"/>
      <c r="AY107" s="847"/>
      <c r="BE107" s="357"/>
      <c r="BF107" s="357"/>
      <c r="BG107" s="357"/>
      <c r="BH107" s="357"/>
      <c r="BI107" s="357"/>
      <c r="BJ107" s="357"/>
      <c r="BK107" s="357"/>
      <c r="BL107" s="357"/>
      <c r="BM107" s="357"/>
      <c r="BN107" s="357"/>
    </row>
    <row r="108" spans="1:66" ht="40.049999999999997" customHeight="1" x14ac:dyDescent="0.65">
      <c r="A108" s="439" t="s">
        <v>280</v>
      </c>
      <c r="B108" s="901" t="s">
        <v>281</v>
      </c>
      <c r="C108" s="440"/>
      <c r="D108" s="441"/>
      <c r="E108" s="442"/>
      <c r="F108" s="442"/>
      <c r="G108" s="443"/>
      <c r="H108" s="442"/>
      <c r="I108" s="443"/>
      <c r="J108" s="442"/>
      <c r="K108" s="442"/>
      <c r="L108" s="442"/>
      <c r="M108" s="442"/>
      <c r="N108" s="442"/>
      <c r="O108" s="442"/>
      <c r="P108" s="442"/>
      <c r="Q108" s="442"/>
      <c r="R108" s="442"/>
      <c r="S108" s="442"/>
      <c r="T108" s="442"/>
      <c r="U108" s="442"/>
      <c r="V108" s="442"/>
      <c r="W108" s="442"/>
      <c r="X108" s="442"/>
      <c r="Y108" s="442"/>
      <c r="Z108" s="442"/>
      <c r="AA108" s="442"/>
      <c r="AB108" s="442"/>
      <c r="AC108" s="442"/>
      <c r="AD108" s="442"/>
      <c r="AE108" s="442"/>
      <c r="AF108" s="442"/>
      <c r="AG108" s="442"/>
      <c r="AH108" s="442"/>
      <c r="AI108" s="443"/>
      <c r="AJ108" s="443"/>
      <c r="AK108" s="443"/>
      <c r="AL108" s="443"/>
      <c r="AM108" s="443"/>
      <c r="AN108" s="443"/>
      <c r="AO108" s="445"/>
      <c r="AP108" s="445"/>
      <c r="AQ108" s="445"/>
      <c r="AR108" s="443"/>
      <c r="AS108" s="443"/>
      <c r="AT108" s="906"/>
      <c r="AY108" s="847"/>
    </row>
    <row r="109" spans="1:66" ht="40.049999999999997" customHeight="1" x14ac:dyDescent="0.65">
      <c r="A109" s="357" t="s">
        <v>282</v>
      </c>
      <c r="B109" s="903" t="s">
        <v>283</v>
      </c>
      <c r="C109" s="283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5"/>
      <c r="AB109" s="285"/>
      <c r="AC109" s="285"/>
      <c r="AD109" s="285"/>
      <c r="AE109" s="285"/>
      <c r="AF109" s="285"/>
      <c r="AG109" s="285"/>
      <c r="AH109" s="285"/>
      <c r="AI109" s="288"/>
      <c r="AJ109" s="288"/>
      <c r="AK109" s="288"/>
      <c r="AL109" s="288"/>
      <c r="AM109" s="288"/>
      <c r="AN109" s="288"/>
      <c r="AO109" s="288"/>
      <c r="AP109" s="288"/>
      <c r="AQ109" s="288"/>
      <c r="AR109" s="288"/>
      <c r="AS109" s="286">
        <f>COUNTIF(C109:AR109,"&gt;=R")</f>
        <v>0</v>
      </c>
      <c r="AT109" s="287">
        <f>AS109</f>
        <v>0</v>
      </c>
    </row>
    <row r="110" spans="1:66" ht="40.049999999999997" customHeight="1" x14ac:dyDescent="0.65">
      <c r="A110" s="451" t="s">
        <v>284</v>
      </c>
      <c r="B110" s="902" t="s">
        <v>285</v>
      </c>
      <c r="C110" s="283"/>
      <c r="D110" s="284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  <c r="W110" s="285"/>
      <c r="X110" s="285"/>
      <c r="Y110" s="285"/>
      <c r="Z110" s="285"/>
      <c r="AA110" s="285"/>
      <c r="AB110" s="285"/>
      <c r="AC110" s="285"/>
      <c r="AD110" s="285"/>
      <c r="AE110" s="285"/>
      <c r="AF110" s="285"/>
      <c r="AG110" s="285"/>
      <c r="AH110" s="285"/>
      <c r="AI110" s="288"/>
      <c r="AJ110" s="288"/>
      <c r="AK110" s="288"/>
      <c r="AL110" s="288"/>
      <c r="AM110" s="288"/>
      <c r="AN110" s="288"/>
      <c r="AO110" s="288"/>
      <c r="AP110" s="288"/>
      <c r="AQ110" s="288"/>
      <c r="AR110" s="288"/>
      <c r="AS110" s="286">
        <f>COUNTIF(C110:AR110,"&gt;=R")</f>
        <v>0</v>
      </c>
      <c r="AT110" s="287">
        <f>AS110</f>
        <v>0</v>
      </c>
      <c r="AU110" s="357"/>
      <c r="AV110" s="357"/>
      <c r="AW110" s="357"/>
      <c r="AX110" s="357"/>
      <c r="AY110" s="847"/>
      <c r="BE110" s="357"/>
      <c r="BF110" s="357"/>
      <c r="BG110" s="357"/>
      <c r="BH110" s="357"/>
      <c r="BI110" s="357"/>
      <c r="BJ110" s="357"/>
      <c r="BK110" s="357"/>
      <c r="BL110" s="357"/>
      <c r="BM110" s="357"/>
      <c r="BN110" s="357"/>
    </row>
    <row r="111" spans="1:66" ht="40.049999999999997" customHeight="1" x14ac:dyDescent="0.65">
      <c r="A111" s="439" t="s">
        <v>286</v>
      </c>
      <c r="B111" s="901" t="s">
        <v>287</v>
      </c>
      <c r="C111" s="440"/>
      <c r="D111" s="441"/>
      <c r="E111" s="442"/>
      <c r="F111" s="442"/>
      <c r="G111" s="442"/>
      <c r="H111" s="442"/>
      <c r="I111" s="442"/>
      <c r="J111" s="442"/>
      <c r="K111" s="442"/>
      <c r="L111" s="442"/>
      <c r="M111" s="442"/>
      <c r="N111" s="442"/>
      <c r="O111" s="442"/>
      <c r="P111" s="442"/>
      <c r="Q111" s="442"/>
      <c r="R111" s="442"/>
      <c r="S111" s="442"/>
      <c r="T111" s="442"/>
      <c r="U111" s="442"/>
      <c r="V111" s="442"/>
      <c r="W111" s="442"/>
      <c r="X111" s="442"/>
      <c r="Y111" s="442"/>
      <c r="Z111" s="442"/>
      <c r="AA111" s="442"/>
      <c r="AB111" s="442"/>
      <c r="AC111" s="442"/>
      <c r="AD111" s="442"/>
      <c r="AE111" s="442"/>
      <c r="AF111" s="442"/>
      <c r="AG111" s="442"/>
      <c r="AH111" s="442"/>
      <c r="AI111" s="443"/>
      <c r="AJ111" s="443"/>
      <c r="AK111" s="443"/>
      <c r="AL111" s="443"/>
      <c r="AM111" s="443"/>
      <c r="AN111" s="443"/>
      <c r="AO111" s="443"/>
      <c r="AP111" s="443"/>
      <c r="AQ111" s="443"/>
      <c r="AR111" s="443"/>
      <c r="AS111" s="443"/>
      <c r="AT111" s="906"/>
      <c r="AY111" s="847"/>
    </row>
    <row r="112" spans="1:66" ht="40.049999999999997" customHeight="1" x14ac:dyDescent="0.65">
      <c r="A112" s="438" t="s">
        <v>288</v>
      </c>
      <c r="B112" s="900" t="s">
        <v>289</v>
      </c>
      <c r="C112" s="284"/>
      <c r="D112" s="284"/>
      <c r="E112" s="285"/>
      <c r="F112" s="285"/>
      <c r="G112" s="285"/>
      <c r="H112" s="285"/>
      <c r="I112" s="285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5"/>
      <c r="Z112" s="285"/>
      <c r="AA112" s="285"/>
      <c r="AB112" s="285"/>
      <c r="AC112" s="285"/>
      <c r="AD112" s="285"/>
      <c r="AE112" s="285"/>
      <c r="AF112" s="285"/>
      <c r="AG112" s="285"/>
      <c r="AH112" s="285"/>
      <c r="AI112" s="285"/>
      <c r="AJ112" s="288"/>
      <c r="AK112" s="285"/>
      <c r="AL112" s="288"/>
      <c r="AM112" s="283"/>
      <c r="AN112" s="288"/>
      <c r="AO112" s="283" t="s">
        <v>91</v>
      </c>
      <c r="AP112" s="283"/>
      <c r="AQ112" s="283"/>
      <c r="AR112" s="288"/>
      <c r="AS112" s="286">
        <f>COUNTIF(C112:AR112,"&gt;=R")</f>
        <v>1</v>
      </c>
      <c r="AT112" s="287">
        <f>AS112</f>
        <v>1</v>
      </c>
      <c r="AU112" s="357"/>
      <c r="AV112" s="357"/>
      <c r="AW112" s="357"/>
      <c r="AX112" s="357"/>
      <c r="AY112" s="847"/>
      <c r="BE112" s="357"/>
      <c r="BF112" s="357"/>
      <c r="BG112" s="357"/>
      <c r="BH112" s="357"/>
      <c r="BI112" s="357"/>
      <c r="BJ112" s="357"/>
      <c r="BK112" s="357"/>
      <c r="BL112" s="357"/>
      <c r="BM112" s="357"/>
      <c r="BN112" s="357"/>
    </row>
    <row r="113" spans="1:66" ht="40.049999999999997" customHeight="1" x14ac:dyDescent="0.65">
      <c r="A113" s="438" t="s">
        <v>290</v>
      </c>
      <c r="B113" s="900" t="s">
        <v>291</v>
      </c>
      <c r="C113" s="283"/>
      <c r="D113" s="284"/>
      <c r="E113" s="283"/>
      <c r="F113" s="285"/>
      <c r="G113" s="283"/>
      <c r="H113" s="285"/>
      <c r="I113" s="283"/>
      <c r="J113" s="285"/>
      <c r="K113" s="283"/>
      <c r="L113" s="285"/>
      <c r="M113" s="283"/>
      <c r="N113" s="285"/>
      <c r="O113" s="283"/>
      <c r="P113" s="285"/>
      <c r="Q113" s="283"/>
      <c r="R113" s="285"/>
      <c r="S113" s="283"/>
      <c r="T113" s="285"/>
      <c r="U113" s="283"/>
      <c r="V113" s="285"/>
      <c r="W113" s="283"/>
      <c r="X113" s="285"/>
      <c r="Y113" s="283"/>
      <c r="Z113" s="285"/>
      <c r="AA113" s="283"/>
      <c r="AB113" s="285"/>
      <c r="AC113" s="283"/>
      <c r="AD113" s="285"/>
      <c r="AE113" s="283"/>
      <c r="AF113" s="285"/>
      <c r="AG113" s="283"/>
      <c r="AH113" s="285"/>
      <c r="AI113" s="283"/>
      <c r="AJ113" s="288"/>
      <c r="AK113" s="283"/>
      <c r="AL113" s="288"/>
      <c r="AM113" s="285"/>
      <c r="AN113" s="288"/>
      <c r="AO113" s="285" t="s">
        <v>91</v>
      </c>
      <c r="AP113" s="285"/>
      <c r="AQ113" s="285"/>
      <c r="AR113" s="288"/>
      <c r="AS113" s="286">
        <f>COUNTIF(C113:AR113,"&gt;=R")</f>
        <v>1</v>
      </c>
      <c r="AT113" s="287">
        <f>AS113</f>
        <v>1</v>
      </c>
      <c r="AY113" s="847"/>
    </row>
    <row r="114" spans="1:66" ht="40.049999999999997" customHeight="1" x14ac:dyDescent="0.65">
      <c r="A114" s="357" t="s">
        <v>292</v>
      </c>
      <c r="B114" s="903" t="s">
        <v>293</v>
      </c>
      <c r="C114" s="283"/>
      <c r="D114" s="284"/>
      <c r="E114" s="285"/>
      <c r="F114" s="285"/>
      <c r="G114" s="285"/>
      <c r="H114" s="285"/>
      <c r="I114" s="285"/>
      <c r="J114" s="285"/>
      <c r="K114" s="285"/>
      <c r="L114" s="285"/>
      <c r="M114" s="285"/>
      <c r="N114" s="285"/>
      <c r="O114" s="285"/>
      <c r="P114" s="285"/>
      <c r="Q114" s="285"/>
      <c r="R114" s="285"/>
      <c r="S114" s="285"/>
      <c r="T114" s="285"/>
      <c r="U114" s="285"/>
      <c r="V114" s="285"/>
      <c r="W114" s="285"/>
      <c r="X114" s="285"/>
      <c r="Y114" s="285"/>
      <c r="Z114" s="285"/>
      <c r="AA114" s="285"/>
      <c r="AB114" s="285"/>
      <c r="AC114" s="285"/>
      <c r="AD114" s="285"/>
      <c r="AE114" s="285"/>
      <c r="AF114" s="285"/>
      <c r="AG114" s="285"/>
      <c r="AH114" s="285"/>
      <c r="AI114" s="288"/>
      <c r="AJ114" s="288"/>
      <c r="AK114" s="288"/>
      <c r="AL114" s="288"/>
      <c r="AM114" s="288"/>
      <c r="AN114" s="288"/>
      <c r="AO114" s="288"/>
      <c r="AP114" s="288"/>
      <c r="AQ114" s="288"/>
      <c r="AR114" s="288"/>
      <c r="AS114" s="286">
        <f>COUNTIF(C114:AR114,"&gt;=R")</f>
        <v>0</v>
      </c>
      <c r="AT114" s="287">
        <f>AS114</f>
        <v>0</v>
      </c>
    </row>
    <row r="115" spans="1:66" ht="40.049999999999997" customHeight="1" x14ac:dyDescent="0.65">
      <c r="A115" s="439" t="s">
        <v>294</v>
      </c>
      <c r="B115" s="904" t="s">
        <v>295</v>
      </c>
      <c r="C115" s="440"/>
      <c r="D115" s="441"/>
      <c r="E115" s="442"/>
      <c r="F115" s="442"/>
      <c r="G115" s="442"/>
      <c r="H115" s="442"/>
      <c r="I115" s="442"/>
      <c r="J115" s="442"/>
      <c r="K115" s="442"/>
      <c r="L115" s="442"/>
      <c r="M115" s="442"/>
      <c r="N115" s="442"/>
      <c r="O115" s="442"/>
      <c r="P115" s="442"/>
      <c r="Q115" s="442"/>
      <c r="R115" s="442"/>
      <c r="S115" s="442"/>
      <c r="T115" s="442"/>
      <c r="U115" s="442"/>
      <c r="V115" s="442"/>
      <c r="W115" s="442"/>
      <c r="X115" s="442"/>
      <c r="Y115" s="442"/>
      <c r="Z115" s="442"/>
      <c r="AA115" s="442"/>
      <c r="AB115" s="442"/>
      <c r="AC115" s="442"/>
      <c r="AD115" s="442"/>
      <c r="AE115" s="442"/>
      <c r="AF115" s="442"/>
      <c r="AG115" s="442"/>
      <c r="AH115" s="442"/>
      <c r="AI115" s="443"/>
      <c r="AJ115" s="443"/>
      <c r="AK115" s="443"/>
      <c r="AL115" s="443"/>
      <c r="AM115" s="443"/>
      <c r="AN115" s="443"/>
      <c r="AO115" s="443"/>
      <c r="AP115" s="443"/>
      <c r="AQ115" s="443"/>
      <c r="AR115" s="443"/>
      <c r="AS115" s="443"/>
      <c r="AT115" s="906"/>
      <c r="AU115" s="357"/>
      <c r="AV115" s="357"/>
      <c r="AW115" s="357"/>
      <c r="AX115" s="357"/>
      <c r="AY115" s="847"/>
      <c r="BE115" s="357"/>
      <c r="BF115" s="357"/>
      <c r="BG115" s="357"/>
      <c r="BH115" s="357"/>
      <c r="BI115" s="357"/>
      <c r="BJ115" s="357"/>
      <c r="BK115" s="357"/>
      <c r="BL115" s="357"/>
      <c r="BM115" s="357"/>
      <c r="BN115" s="357"/>
    </row>
    <row r="116" spans="1:66" ht="40.049999999999997" customHeight="1" x14ac:dyDescent="0.65">
      <c r="A116" s="453" t="s">
        <v>296</v>
      </c>
      <c r="B116" s="313" t="s">
        <v>297</v>
      </c>
      <c r="C116" s="283"/>
      <c r="D116" s="284"/>
      <c r="E116" s="285"/>
      <c r="F116" s="285"/>
      <c r="G116" s="285"/>
      <c r="H116" s="285"/>
      <c r="I116" s="442" t="s">
        <v>27</v>
      </c>
      <c r="J116" s="442"/>
      <c r="K116" s="442" t="s">
        <v>27</v>
      </c>
      <c r="L116" s="442"/>
      <c r="M116" s="442" t="s">
        <v>27</v>
      </c>
      <c r="N116" s="442"/>
      <c r="O116" s="442" t="s">
        <v>27</v>
      </c>
      <c r="P116" s="442"/>
      <c r="Q116" s="442" t="s">
        <v>27</v>
      </c>
      <c r="R116" s="442"/>
      <c r="S116" s="442" t="s">
        <v>27</v>
      </c>
      <c r="T116" s="442"/>
      <c r="U116" s="442" t="s">
        <v>27</v>
      </c>
      <c r="V116" s="442"/>
      <c r="W116" s="442" t="s">
        <v>27</v>
      </c>
      <c r="X116" s="442"/>
      <c r="Y116" s="442" t="s">
        <v>27</v>
      </c>
      <c r="Z116" s="285"/>
      <c r="AA116" s="285" t="s">
        <v>17</v>
      </c>
      <c r="AB116" s="285"/>
      <c r="AC116" s="285" t="s">
        <v>17</v>
      </c>
      <c r="AD116" s="285"/>
      <c r="AE116" s="285" t="s">
        <v>17</v>
      </c>
      <c r="AF116" s="285"/>
      <c r="AG116" s="285" t="s">
        <v>17</v>
      </c>
      <c r="AH116" s="285"/>
      <c r="AI116" s="285" t="s">
        <v>410</v>
      </c>
      <c r="AJ116" s="288"/>
      <c r="AK116" s="285" t="s">
        <v>410</v>
      </c>
      <c r="AL116" s="288"/>
      <c r="AM116" s="288" t="s">
        <v>17</v>
      </c>
      <c r="AN116" s="288"/>
      <c r="AO116" s="674" t="s">
        <v>16</v>
      </c>
      <c r="AP116" s="288"/>
      <c r="AQ116" s="288" t="s">
        <v>84</v>
      </c>
      <c r="AR116" s="288"/>
      <c r="AS116" s="286">
        <f t="shared" ref="AS116:AS127" si="4">COUNTIF(C116:AR116,"&gt;=R")</f>
        <v>18</v>
      </c>
      <c r="AT116" s="287">
        <f t="shared" ref="AT116:AT127" si="5">AS116</f>
        <v>18</v>
      </c>
      <c r="AU116" s="357"/>
      <c r="AV116" s="357"/>
      <c r="AW116" s="357"/>
      <c r="AX116" s="357"/>
      <c r="AY116" s="847"/>
      <c r="BE116" s="357"/>
      <c r="BF116" s="357"/>
      <c r="BG116" s="357"/>
      <c r="BH116" s="357"/>
      <c r="BI116" s="357"/>
      <c r="BJ116" s="357"/>
      <c r="BK116" s="357"/>
      <c r="BL116" s="357"/>
      <c r="BM116" s="357"/>
      <c r="BN116" s="357"/>
    </row>
    <row r="117" spans="1:66" ht="40.049999999999997" customHeight="1" x14ac:dyDescent="0.65">
      <c r="A117" s="453" t="s">
        <v>298</v>
      </c>
      <c r="B117" s="313" t="s">
        <v>299</v>
      </c>
      <c r="C117" s="283"/>
      <c r="D117" s="284"/>
      <c r="E117" s="285"/>
      <c r="F117" s="285"/>
      <c r="G117" s="307"/>
      <c r="H117" s="285"/>
      <c r="I117" s="307" t="s">
        <v>410</v>
      </c>
      <c r="J117" s="285"/>
      <c r="K117" s="307" t="s">
        <v>410</v>
      </c>
      <c r="L117" s="285"/>
      <c r="M117" s="285" t="s">
        <v>410</v>
      </c>
      <c r="N117" s="285"/>
      <c r="O117" s="285" t="s">
        <v>410</v>
      </c>
      <c r="P117" s="285"/>
      <c r="Q117" s="307" t="s">
        <v>410</v>
      </c>
      <c r="R117" s="285"/>
      <c r="S117" s="307" t="s">
        <v>410</v>
      </c>
      <c r="T117" s="285"/>
      <c r="U117" s="307" t="s">
        <v>91</v>
      </c>
      <c r="V117" s="285"/>
      <c r="W117" s="307" t="s">
        <v>91</v>
      </c>
      <c r="X117" s="285"/>
      <c r="Y117" s="307" t="s">
        <v>91</v>
      </c>
      <c r="Z117" s="285"/>
      <c r="AA117" s="307" t="s">
        <v>91</v>
      </c>
      <c r="AB117" s="285"/>
      <c r="AC117" s="307" t="s">
        <v>91</v>
      </c>
      <c r="AD117" s="285"/>
      <c r="AE117" s="307" t="s">
        <v>91</v>
      </c>
      <c r="AF117" s="285"/>
      <c r="AG117" s="285" t="s">
        <v>91</v>
      </c>
      <c r="AH117" s="285"/>
      <c r="AI117" s="285" t="s">
        <v>91</v>
      </c>
      <c r="AJ117" s="288"/>
      <c r="AK117" s="285" t="s">
        <v>91</v>
      </c>
      <c r="AL117" s="288"/>
      <c r="AM117" s="285" t="s">
        <v>91</v>
      </c>
      <c r="AN117" s="288"/>
      <c r="AO117" s="674" t="s">
        <v>16</v>
      </c>
      <c r="AP117" s="285"/>
      <c r="AQ117" s="285" t="s">
        <v>91</v>
      </c>
      <c r="AR117" s="288"/>
      <c r="AS117" s="286">
        <f t="shared" si="4"/>
        <v>18</v>
      </c>
      <c r="AT117" s="287">
        <f t="shared" si="5"/>
        <v>18</v>
      </c>
      <c r="AY117" s="847"/>
    </row>
    <row r="118" spans="1:66" ht="40.049999999999997" customHeight="1" x14ac:dyDescent="0.65">
      <c r="A118" s="453" t="s">
        <v>300</v>
      </c>
      <c r="B118" s="313" t="s">
        <v>301</v>
      </c>
      <c r="C118" s="283"/>
      <c r="D118" s="284"/>
      <c r="E118" s="283"/>
      <c r="F118" s="285"/>
      <c r="G118" s="283"/>
      <c r="H118" s="285"/>
      <c r="I118" s="283"/>
      <c r="J118" s="285"/>
      <c r="K118" s="283"/>
      <c r="L118" s="285"/>
      <c r="M118" s="283"/>
      <c r="N118" s="285"/>
      <c r="O118" s="283"/>
      <c r="P118" s="285"/>
      <c r="Q118" s="283"/>
      <c r="R118" s="285"/>
      <c r="S118" s="283"/>
      <c r="T118" s="285"/>
      <c r="U118" s="283"/>
      <c r="V118" s="285"/>
      <c r="W118" s="283"/>
      <c r="X118" s="285"/>
      <c r="Y118" s="283"/>
      <c r="Z118" s="285"/>
      <c r="AA118" s="283"/>
      <c r="AB118" s="285"/>
      <c r="AC118" s="283"/>
      <c r="AD118" s="285"/>
      <c r="AE118" s="283"/>
      <c r="AF118" s="285"/>
      <c r="AG118" s="283"/>
      <c r="AH118" s="285"/>
      <c r="AI118" s="283"/>
      <c r="AJ118" s="285"/>
      <c r="AK118" s="283"/>
      <c r="AL118" s="288"/>
      <c r="AM118" s="288"/>
      <c r="AN118" s="288"/>
      <c r="AO118" s="285"/>
      <c r="AP118" s="285"/>
      <c r="AQ118" s="285"/>
      <c r="AR118" s="288"/>
      <c r="AS118" s="286">
        <f t="shared" si="4"/>
        <v>0</v>
      </c>
      <c r="AT118" s="287">
        <f t="shared" si="5"/>
        <v>0</v>
      </c>
      <c r="AY118" s="847"/>
    </row>
    <row r="119" spans="1:66" ht="40.049999999999997" customHeight="1" x14ac:dyDescent="0.65">
      <c r="A119" s="453" t="s">
        <v>302</v>
      </c>
      <c r="B119" s="313" t="s">
        <v>303</v>
      </c>
      <c r="C119" s="284"/>
      <c r="D119" s="284"/>
      <c r="E119" s="285"/>
      <c r="F119" s="285"/>
      <c r="G119" s="285"/>
      <c r="H119" s="285"/>
      <c r="I119" s="285"/>
      <c r="J119" s="285"/>
      <c r="K119" s="285"/>
      <c r="L119" s="285"/>
      <c r="M119" s="285"/>
      <c r="N119" s="285"/>
      <c r="O119" s="285"/>
      <c r="P119" s="285"/>
      <c r="Q119" s="285"/>
      <c r="R119" s="285"/>
      <c r="S119" s="285"/>
      <c r="T119" s="285"/>
      <c r="U119" s="285"/>
      <c r="V119" s="285"/>
      <c r="W119" s="285"/>
      <c r="X119" s="285"/>
      <c r="Y119" s="283"/>
      <c r="Z119" s="285"/>
      <c r="AA119" s="283"/>
      <c r="AB119" s="285"/>
      <c r="AC119" s="283"/>
      <c r="AD119" s="285"/>
      <c r="AE119" s="283"/>
      <c r="AF119" s="285"/>
      <c r="AG119" s="283"/>
      <c r="AH119" s="285"/>
      <c r="AI119" s="283"/>
      <c r="AJ119" s="288"/>
      <c r="AK119" s="283"/>
      <c r="AL119" s="288"/>
      <c r="AM119" s="283"/>
      <c r="AN119" s="288"/>
      <c r="AO119" s="285" t="s">
        <v>77</v>
      </c>
      <c r="AP119" s="285"/>
      <c r="AQ119" s="285"/>
      <c r="AR119" s="288"/>
      <c r="AS119" s="286">
        <f t="shared" si="4"/>
        <v>1</v>
      </c>
      <c r="AT119" s="287">
        <f t="shared" si="5"/>
        <v>1</v>
      </c>
      <c r="AU119" s="357"/>
      <c r="AV119" s="357"/>
      <c r="AW119" s="357"/>
      <c r="AX119" s="357"/>
      <c r="AY119" s="847"/>
      <c r="BE119" s="357"/>
      <c r="BF119" s="357"/>
      <c r="BG119" s="357"/>
      <c r="BH119" s="357"/>
      <c r="BI119" s="357"/>
      <c r="BJ119" s="357"/>
      <c r="BK119" s="357"/>
      <c r="BL119" s="357"/>
      <c r="BM119" s="357"/>
      <c r="BN119" s="357"/>
    </row>
    <row r="120" spans="1:66" ht="40.049999999999997" customHeight="1" x14ac:dyDescent="0.65">
      <c r="A120" s="453" t="s">
        <v>304</v>
      </c>
      <c r="B120" s="313" t="s">
        <v>305</v>
      </c>
      <c r="C120" s="283"/>
      <c r="D120" s="284"/>
      <c r="E120" s="285"/>
      <c r="F120" s="285"/>
      <c r="G120" s="307"/>
      <c r="H120" s="285"/>
      <c r="I120" s="307" t="s">
        <v>93</v>
      </c>
      <c r="J120" s="285"/>
      <c r="K120" s="307" t="s">
        <v>93</v>
      </c>
      <c r="L120" s="285"/>
      <c r="M120" s="285" t="s">
        <v>93</v>
      </c>
      <c r="N120" s="285"/>
      <c r="O120" s="285" t="s">
        <v>93</v>
      </c>
      <c r="P120" s="285"/>
      <c r="Q120" s="307" t="s">
        <v>93</v>
      </c>
      <c r="R120" s="285"/>
      <c r="S120" s="307" t="s">
        <v>93</v>
      </c>
      <c r="T120" s="285"/>
      <c r="U120" s="285" t="s">
        <v>93</v>
      </c>
      <c r="V120" s="285"/>
      <c r="W120" s="285" t="s">
        <v>93</v>
      </c>
      <c r="X120" s="285"/>
      <c r="Y120" s="285" t="s">
        <v>93</v>
      </c>
      <c r="Z120" s="285"/>
      <c r="AA120" s="285" t="s">
        <v>93</v>
      </c>
      <c r="AB120" s="285"/>
      <c r="AC120" s="285" t="s">
        <v>93</v>
      </c>
      <c r="AD120" s="285"/>
      <c r="AE120" s="285" t="s">
        <v>93</v>
      </c>
      <c r="AF120" s="285"/>
      <c r="AG120" s="285" t="s">
        <v>93</v>
      </c>
      <c r="AH120" s="285"/>
      <c r="AI120" s="285" t="s">
        <v>93</v>
      </c>
      <c r="AJ120" s="288"/>
      <c r="AK120" s="285" t="s">
        <v>93</v>
      </c>
      <c r="AL120" s="288"/>
      <c r="AM120" s="288" t="s">
        <v>93</v>
      </c>
      <c r="AN120" s="288"/>
      <c r="AO120" s="288" t="s">
        <v>93</v>
      </c>
      <c r="AP120" s="288"/>
      <c r="AQ120" s="288"/>
      <c r="AR120" s="288"/>
      <c r="AS120" s="286">
        <f t="shared" si="4"/>
        <v>17</v>
      </c>
      <c r="AT120" s="287">
        <f t="shared" si="5"/>
        <v>17</v>
      </c>
      <c r="AY120" s="847"/>
    </row>
    <row r="121" spans="1:66" ht="40.049999999999997" customHeight="1" x14ac:dyDescent="0.65">
      <c r="A121" s="453" t="s">
        <v>306</v>
      </c>
      <c r="B121" s="313" t="s">
        <v>307</v>
      </c>
      <c r="C121" s="302"/>
      <c r="D121" s="284"/>
      <c r="E121" s="288"/>
      <c r="F121" s="285"/>
      <c r="G121" s="288"/>
      <c r="H121" s="285"/>
      <c r="I121" s="288" t="s">
        <v>28</v>
      </c>
      <c r="J121" s="285"/>
      <c r="K121" s="288" t="s">
        <v>28</v>
      </c>
      <c r="L121" s="285"/>
      <c r="M121" s="288" t="s">
        <v>28</v>
      </c>
      <c r="N121" s="285"/>
      <c r="O121" s="288" t="s">
        <v>28</v>
      </c>
      <c r="P121" s="285"/>
      <c r="Q121" s="288" t="s">
        <v>28</v>
      </c>
      <c r="R121" s="285"/>
      <c r="S121" s="288" t="s">
        <v>28</v>
      </c>
      <c r="T121" s="285"/>
      <c r="U121" s="288" t="s">
        <v>28</v>
      </c>
      <c r="V121" s="288"/>
      <c r="W121" s="288" t="s">
        <v>48</v>
      </c>
      <c r="X121" s="288"/>
      <c r="Y121" s="288" t="s">
        <v>48</v>
      </c>
      <c r="Z121" s="288"/>
      <c r="AA121" s="288" t="s">
        <v>48</v>
      </c>
      <c r="AB121" s="288"/>
      <c r="AC121" s="288" t="s">
        <v>48</v>
      </c>
      <c r="AD121" s="288"/>
      <c r="AE121" s="288" t="s">
        <v>48</v>
      </c>
      <c r="AF121" s="288"/>
      <c r="AG121" s="288" t="s">
        <v>48</v>
      </c>
      <c r="AH121" s="288"/>
      <c r="AI121" s="288" t="s">
        <v>48</v>
      </c>
      <c r="AJ121" s="288"/>
      <c r="AK121" s="288" t="s">
        <v>48</v>
      </c>
      <c r="AL121" s="288"/>
      <c r="AM121" s="288" t="s">
        <v>48</v>
      </c>
      <c r="AN121" s="288"/>
      <c r="AO121" s="288" t="s">
        <v>48</v>
      </c>
      <c r="AP121" s="288"/>
      <c r="AQ121" s="288"/>
      <c r="AR121" s="288"/>
      <c r="AS121" s="286">
        <f t="shared" si="4"/>
        <v>17</v>
      </c>
      <c r="AT121" s="287">
        <f t="shared" si="5"/>
        <v>17</v>
      </c>
      <c r="AY121" s="847"/>
    </row>
    <row r="122" spans="1:66" ht="40.049999999999997" customHeight="1" x14ac:dyDescent="0.65">
      <c r="A122" s="453" t="s">
        <v>308</v>
      </c>
      <c r="B122" s="313" t="s">
        <v>309</v>
      </c>
      <c r="C122" s="283"/>
      <c r="D122" s="284"/>
      <c r="E122" s="285"/>
      <c r="F122" s="285"/>
      <c r="G122" s="285"/>
      <c r="H122" s="285"/>
      <c r="I122" s="285"/>
      <c r="J122" s="285"/>
      <c r="K122" s="285"/>
      <c r="L122" s="285"/>
      <c r="M122" s="285"/>
      <c r="N122" s="285"/>
      <c r="O122" s="285"/>
      <c r="P122" s="285"/>
      <c r="Q122" s="285"/>
      <c r="R122" s="285"/>
      <c r="S122" s="285"/>
      <c r="T122" s="285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8"/>
      <c r="AL122" s="288"/>
      <c r="AM122" s="288"/>
      <c r="AN122" s="288"/>
      <c r="AO122" s="288"/>
      <c r="AP122" s="288"/>
      <c r="AQ122" s="288"/>
      <c r="AR122" s="288"/>
      <c r="AS122" s="286">
        <f t="shared" si="4"/>
        <v>0</v>
      </c>
      <c r="AT122" s="287">
        <f t="shared" si="5"/>
        <v>0</v>
      </c>
      <c r="AY122" s="847"/>
    </row>
    <row r="123" spans="1:66" ht="40.049999999999997" customHeight="1" x14ac:dyDescent="0.65">
      <c r="A123" s="453" t="s">
        <v>310</v>
      </c>
      <c r="B123" s="313" t="s">
        <v>311</v>
      </c>
      <c r="C123" s="283"/>
      <c r="D123" s="302"/>
      <c r="E123" s="288"/>
      <c r="F123" s="288"/>
      <c r="G123" s="307"/>
      <c r="H123" s="288"/>
      <c r="I123" s="307"/>
      <c r="J123" s="288"/>
      <c r="K123" s="307"/>
      <c r="L123" s="288"/>
      <c r="M123" s="288"/>
      <c r="N123" s="288"/>
      <c r="O123" s="288"/>
      <c r="P123" s="288"/>
      <c r="Q123" s="307"/>
      <c r="R123" s="288"/>
      <c r="S123" s="307"/>
      <c r="T123" s="288"/>
      <c r="U123" s="307"/>
      <c r="V123" s="288"/>
      <c r="W123" s="307"/>
      <c r="X123" s="288"/>
      <c r="Y123" s="307"/>
      <c r="Z123" s="288"/>
      <c r="AA123" s="307"/>
      <c r="AB123" s="288"/>
      <c r="AC123" s="307"/>
      <c r="AD123" s="288"/>
      <c r="AE123" s="307"/>
      <c r="AF123" s="288"/>
      <c r="AG123" s="307"/>
      <c r="AH123" s="288"/>
      <c r="AI123" s="307"/>
      <c r="AJ123" s="288"/>
      <c r="AK123" s="307"/>
      <c r="AL123" s="288"/>
      <c r="AM123" s="307"/>
      <c r="AN123" s="288"/>
      <c r="AO123" s="285"/>
      <c r="AP123" s="285"/>
      <c r="AQ123" s="285"/>
      <c r="AR123" s="288"/>
      <c r="AS123" s="286">
        <f t="shared" si="4"/>
        <v>0</v>
      </c>
      <c r="AT123" s="287">
        <f t="shared" si="5"/>
        <v>0</v>
      </c>
      <c r="AY123" s="847"/>
    </row>
    <row r="124" spans="1:66" ht="40.049999999999997" customHeight="1" x14ac:dyDescent="0.65">
      <c r="A124" s="453" t="s">
        <v>312</v>
      </c>
      <c r="B124" s="313" t="s">
        <v>313</v>
      </c>
      <c r="C124" s="283"/>
      <c r="D124" s="302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8"/>
      <c r="Z124" s="288"/>
      <c r="AA124" s="288"/>
      <c r="AB124" s="288"/>
      <c r="AC124" s="288"/>
      <c r="AD124" s="288"/>
      <c r="AE124" s="288"/>
      <c r="AF124" s="288"/>
      <c r="AG124" s="288"/>
      <c r="AH124" s="288"/>
      <c r="AI124" s="288"/>
      <c r="AJ124" s="288"/>
      <c r="AK124" s="288"/>
      <c r="AL124" s="288"/>
      <c r="AM124" s="288"/>
      <c r="AN124" s="288"/>
      <c r="AO124" s="288"/>
      <c r="AP124" s="288"/>
      <c r="AQ124" s="288"/>
      <c r="AR124" s="288"/>
      <c r="AS124" s="286">
        <f t="shared" si="4"/>
        <v>0</v>
      </c>
      <c r="AT124" s="287">
        <f t="shared" si="5"/>
        <v>0</v>
      </c>
      <c r="AY124" s="847"/>
    </row>
    <row r="125" spans="1:66" ht="40.049999999999997" customHeight="1" x14ac:dyDescent="0.65">
      <c r="A125" s="453" t="s">
        <v>314</v>
      </c>
      <c r="B125" s="313" t="s">
        <v>315</v>
      </c>
      <c r="C125" s="283"/>
      <c r="D125" s="302"/>
      <c r="E125" s="288"/>
      <c r="F125" s="288"/>
      <c r="G125" s="288"/>
      <c r="H125" s="288"/>
      <c r="I125" s="288"/>
      <c r="J125" s="288"/>
      <c r="K125" s="288"/>
      <c r="L125" s="288"/>
      <c r="M125" s="288"/>
      <c r="N125" s="288"/>
      <c r="O125" s="288"/>
      <c r="P125" s="288"/>
      <c r="Q125" s="288"/>
      <c r="R125" s="288"/>
      <c r="S125" s="288"/>
      <c r="T125" s="288"/>
      <c r="U125" s="288"/>
      <c r="V125" s="288"/>
      <c r="W125" s="288"/>
      <c r="X125" s="288"/>
      <c r="Y125" s="288"/>
      <c r="Z125" s="288"/>
      <c r="AA125" s="288"/>
      <c r="AB125" s="288"/>
      <c r="AC125" s="288"/>
      <c r="AD125" s="288"/>
      <c r="AE125" s="288"/>
      <c r="AF125" s="288"/>
      <c r="AG125" s="288"/>
      <c r="AH125" s="288"/>
      <c r="AI125" s="288"/>
      <c r="AJ125" s="288"/>
      <c r="AK125" s="288"/>
      <c r="AL125" s="288"/>
      <c r="AM125" s="288"/>
      <c r="AN125" s="288"/>
      <c r="AO125" s="288"/>
      <c r="AP125" s="288"/>
      <c r="AQ125" s="288"/>
      <c r="AR125" s="288"/>
      <c r="AS125" s="286">
        <f t="shared" si="4"/>
        <v>0</v>
      </c>
      <c r="AT125" s="287">
        <f t="shared" si="5"/>
        <v>0</v>
      </c>
      <c r="AY125" s="847"/>
    </row>
    <row r="126" spans="1:66" ht="40.049999999999997" customHeight="1" x14ac:dyDescent="0.65">
      <c r="A126" s="453" t="s">
        <v>316</v>
      </c>
      <c r="B126" s="313" t="s">
        <v>317</v>
      </c>
      <c r="C126" s="283"/>
      <c r="D126" s="302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88"/>
      <c r="AL126" s="288"/>
      <c r="AM126" s="283"/>
      <c r="AN126" s="288"/>
      <c r="AO126" s="283"/>
      <c r="AP126" s="283"/>
      <c r="AQ126" s="283"/>
      <c r="AR126" s="288"/>
      <c r="AS126" s="286">
        <f t="shared" si="4"/>
        <v>0</v>
      </c>
      <c r="AT126" s="287">
        <f t="shared" si="5"/>
        <v>0</v>
      </c>
      <c r="AY126" s="847"/>
    </row>
    <row r="127" spans="1:66" ht="40.049999999999997" customHeight="1" x14ac:dyDescent="0.65">
      <c r="A127" s="453" t="s">
        <v>318</v>
      </c>
      <c r="B127" s="313" t="s">
        <v>319</v>
      </c>
      <c r="C127" s="283"/>
      <c r="D127" s="302"/>
      <c r="E127" s="302"/>
      <c r="F127" s="288"/>
      <c r="G127" s="302"/>
      <c r="H127" s="288"/>
      <c r="I127" s="302"/>
      <c r="J127" s="288"/>
      <c r="K127" s="302"/>
      <c r="L127" s="288"/>
      <c r="M127" s="302"/>
      <c r="N127" s="288"/>
      <c r="O127" s="302"/>
      <c r="P127" s="288"/>
      <c r="Q127" s="302"/>
      <c r="R127" s="288"/>
      <c r="S127" s="302"/>
      <c r="T127" s="288"/>
      <c r="U127" s="302"/>
      <c r="V127" s="288"/>
      <c r="W127" s="302"/>
      <c r="X127" s="288"/>
      <c r="Y127" s="302"/>
      <c r="Z127" s="288"/>
      <c r="AA127" s="302"/>
      <c r="AB127" s="288"/>
      <c r="AC127" s="302"/>
      <c r="AD127" s="288"/>
      <c r="AE127" s="302"/>
      <c r="AF127" s="288"/>
      <c r="AG127" s="302"/>
      <c r="AH127" s="288"/>
      <c r="AI127" s="302"/>
      <c r="AJ127" s="288"/>
      <c r="AK127" s="302"/>
      <c r="AL127" s="288"/>
      <c r="AM127" s="283"/>
      <c r="AN127" s="288"/>
      <c r="AO127" s="283"/>
      <c r="AP127" s="283"/>
      <c r="AQ127" s="283"/>
      <c r="AR127" s="288"/>
      <c r="AS127" s="286">
        <f t="shared" si="4"/>
        <v>0</v>
      </c>
      <c r="AT127" s="287">
        <f t="shared" si="5"/>
        <v>0</v>
      </c>
      <c r="AY127" s="847"/>
    </row>
    <row r="128" spans="1:66" ht="40.049999999999997" customHeight="1" thickBot="1" x14ac:dyDescent="0.7">
      <c r="A128" s="446" t="s">
        <v>320</v>
      </c>
      <c r="B128" s="447" t="s">
        <v>321</v>
      </c>
      <c r="C128" s="440"/>
      <c r="D128" s="441"/>
      <c r="E128" s="442"/>
      <c r="F128" s="442"/>
      <c r="G128" s="442"/>
      <c r="H128" s="442"/>
      <c r="I128" s="442"/>
      <c r="J128" s="442"/>
      <c r="K128" s="442"/>
      <c r="L128" s="442"/>
      <c r="M128" s="442"/>
      <c r="N128" s="442"/>
      <c r="O128" s="442"/>
      <c r="P128" s="442"/>
      <c r="Q128" s="442"/>
      <c r="R128" s="442"/>
      <c r="S128" s="442"/>
      <c r="T128" s="442"/>
      <c r="U128" s="442"/>
      <c r="V128" s="442"/>
      <c r="W128" s="442"/>
      <c r="X128" s="442"/>
      <c r="Y128" s="442"/>
      <c r="Z128" s="442"/>
      <c r="AA128" s="442"/>
      <c r="AB128" s="442"/>
      <c r="AC128" s="442"/>
      <c r="AD128" s="442"/>
      <c r="AE128" s="442"/>
      <c r="AF128" s="442"/>
      <c r="AG128" s="442"/>
      <c r="AH128" s="442"/>
      <c r="AI128" s="443"/>
      <c r="AJ128" s="443"/>
      <c r="AK128" s="443"/>
      <c r="AL128" s="443"/>
      <c r="AM128" s="443"/>
      <c r="AN128" s="443"/>
      <c r="AO128" s="443"/>
      <c r="AP128" s="443"/>
      <c r="AQ128" s="443"/>
      <c r="AR128" s="443"/>
      <c r="AS128" s="443"/>
      <c r="AT128" s="906"/>
      <c r="AY128" s="847"/>
    </row>
    <row r="129" spans="1:51" ht="40.049999999999997" customHeight="1" x14ac:dyDescent="0.65">
      <c r="A129" s="431" t="s">
        <v>322</v>
      </c>
      <c r="B129" s="454" t="s">
        <v>323</v>
      </c>
      <c r="C129" s="440"/>
      <c r="D129" s="441"/>
      <c r="E129" s="442"/>
      <c r="F129" s="442"/>
      <c r="G129" s="442"/>
      <c r="H129" s="442"/>
      <c r="I129" s="442"/>
      <c r="J129" s="442"/>
      <c r="K129" s="442"/>
      <c r="L129" s="442"/>
      <c r="M129" s="442"/>
      <c r="N129" s="442"/>
      <c r="O129" s="442"/>
      <c r="P129" s="442"/>
      <c r="Q129" s="442"/>
      <c r="R129" s="442"/>
      <c r="S129" s="442"/>
      <c r="T129" s="442"/>
      <c r="U129" s="442"/>
      <c r="V129" s="442"/>
      <c r="W129" s="442"/>
      <c r="X129" s="442"/>
      <c r="Y129" s="442"/>
      <c r="Z129" s="442"/>
      <c r="AA129" s="442"/>
      <c r="AB129" s="442"/>
      <c r="AC129" s="442"/>
      <c r="AD129" s="442"/>
      <c r="AE129" s="442"/>
      <c r="AF129" s="442"/>
      <c r="AG129" s="442"/>
      <c r="AH129" s="442"/>
      <c r="AI129" s="443"/>
      <c r="AJ129" s="443"/>
      <c r="AK129" s="443"/>
      <c r="AL129" s="443"/>
      <c r="AM129" s="443"/>
      <c r="AN129" s="443"/>
      <c r="AO129" s="443"/>
      <c r="AP129" s="443"/>
      <c r="AQ129" s="443"/>
      <c r="AR129" s="443"/>
      <c r="AS129" s="443"/>
      <c r="AT129" s="906"/>
      <c r="AY129" s="847"/>
    </row>
    <row r="130" spans="1:51" ht="40.049999999999997" customHeight="1" x14ac:dyDescent="0.65">
      <c r="A130" s="451" t="s">
        <v>324</v>
      </c>
      <c r="B130" s="905" t="s">
        <v>325</v>
      </c>
      <c r="C130" s="283"/>
      <c r="D130" s="302"/>
      <c r="E130" s="283"/>
      <c r="F130" s="288"/>
      <c r="G130" s="283"/>
      <c r="H130" s="288"/>
      <c r="I130" s="283" t="s">
        <v>85</v>
      </c>
      <c r="J130" s="288"/>
      <c r="K130" s="283" t="s">
        <v>85</v>
      </c>
      <c r="L130" s="288"/>
      <c r="M130" s="283" t="s">
        <v>85</v>
      </c>
      <c r="N130" s="288"/>
      <c r="O130" s="283" t="s">
        <v>85</v>
      </c>
      <c r="P130" s="288"/>
      <c r="Q130" s="283" t="s">
        <v>85</v>
      </c>
      <c r="R130" s="288"/>
      <c r="S130" s="283" t="s">
        <v>77</v>
      </c>
      <c r="T130" s="288"/>
      <c r="U130" s="283" t="s">
        <v>77</v>
      </c>
      <c r="V130" s="288"/>
      <c r="W130" s="283" t="s">
        <v>77</v>
      </c>
      <c r="X130" s="288"/>
      <c r="Y130" s="283" t="s">
        <v>77</v>
      </c>
      <c r="Z130" s="288"/>
      <c r="AA130" s="283" t="s">
        <v>77</v>
      </c>
      <c r="AB130" s="288"/>
      <c r="AC130" s="283" t="s">
        <v>77</v>
      </c>
      <c r="AD130" s="288"/>
      <c r="AE130" s="283" t="s">
        <v>77</v>
      </c>
      <c r="AF130" s="288"/>
      <c r="AG130" s="283" t="s">
        <v>77</v>
      </c>
      <c r="AH130" s="288"/>
      <c r="AI130" s="283" t="s">
        <v>77</v>
      </c>
      <c r="AJ130" s="288"/>
      <c r="AK130" s="283" t="s">
        <v>77</v>
      </c>
      <c r="AL130" s="288"/>
      <c r="AM130" s="285" t="s">
        <v>77</v>
      </c>
      <c r="AN130" s="288"/>
      <c r="AP130" s="285"/>
      <c r="AQ130" s="285"/>
      <c r="AR130" s="288"/>
      <c r="AS130" s="286">
        <f t="shared" ref="AS130:AS141" si="6">COUNTIF(C130:AR130,"&gt;=R")</f>
        <v>16</v>
      </c>
      <c r="AT130" s="287">
        <f t="shared" ref="AT130:AT141" si="7">AS130</f>
        <v>16</v>
      </c>
      <c r="AY130" s="847"/>
    </row>
    <row r="131" spans="1:51" ht="40.049999999999997" customHeight="1" x14ac:dyDescent="0.65">
      <c r="A131" s="455" t="s">
        <v>326</v>
      </c>
      <c r="B131" s="317" t="s">
        <v>327</v>
      </c>
      <c r="C131" s="283"/>
      <c r="D131" s="302"/>
      <c r="E131" s="283"/>
      <c r="F131" s="288"/>
      <c r="G131" s="283"/>
      <c r="H131" s="288"/>
      <c r="I131" s="283" t="s">
        <v>85</v>
      </c>
      <c r="J131" s="288"/>
      <c r="K131" s="283" t="s">
        <v>85</v>
      </c>
      <c r="L131" s="288"/>
      <c r="M131" s="283" t="s">
        <v>85</v>
      </c>
      <c r="N131" s="288"/>
      <c r="O131" s="283" t="s">
        <v>85</v>
      </c>
      <c r="P131" s="288"/>
      <c r="Q131" s="283" t="s">
        <v>85</v>
      </c>
      <c r="R131" s="288"/>
      <c r="S131" s="283" t="s">
        <v>77</v>
      </c>
      <c r="T131" s="288"/>
      <c r="U131" s="283" t="s">
        <v>77</v>
      </c>
      <c r="V131" s="288"/>
      <c r="W131" s="283" t="s">
        <v>77</v>
      </c>
      <c r="X131" s="288"/>
      <c r="Y131" s="283" t="s">
        <v>77</v>
      </c>
      <c r="Z131" s="288"/>
      <c r="AA131" s="283" t="s">
        <v>77</v>
      </c>
      <c r="AB131" s="288"/>
      <c r="AC131" s="283" t="s">
        <v>77</v>
      </c>
      <c r="AD131" s="288"/>
      <c r="AE131" s="283" t="s">
        <v>77</v>
      </c>
      <c r="AF131" s="288"/>
      <c r="AG131" s="283" t="s">
        <v>77</v>
      </c>
      <c r="AH131" s="288"/>
      <c r="AI131" s="283" t="s">
        <v>77</v>
      </c>
      <c r="AJ131" s="288"/>
      <c r="AK131" s="283" t="s">
        <v>77</v>
      </c>
      <c r="AL131" s="288"/>
      <c r="AM131" s="285" t="s">
        <v>77</v>
      </c>
      <c r="AN131" s="288"/>
      <c r="AO131" s="285" t="s">
        <v>66</v>
      </c>
      <c r="AP131" s="285"/>
      <c r="AQ131" s="285"/>
      <c r="AR131" s="288"/>
      <c r="AS131" s="286">
        <f t="shared" si="6"/>
        <v>17</v>
      </c>
      <c r="AT131" s="287">
        <f t="shared" si="7"/>
        <v>17</v>
      </c>
      <c r="AY131" s="847"/>
    </row>
    <row r="132" spans="1:51" ht="40.049999999999997" customHeight="1" x14ac:dyDescent="0.65">
      <c r="A132" s="451" t="s">
        <v>328</v>
      </c>
      <c r="B132" s="905" t="s">
        <v>329</v>
      </c>
      <c r="C132" s="283"/>
      <c r="D132" s="302"/>
      <c r="E132" s="307"/>
      <c r="F132" s="288"/>
      <c r="G132" s="288"/>
      <c r="H132" s="288"/>
      <c r="I132" s="288"/>
      <c r="J132" s="288"/>
      <c r="K132" s="288"/>
      <c r="L132" s="288"/>
      <c r="M132" s="307"/>
      <c r="N132" s="288"/>
      <c r="O132" s="285"/>
      <c r="P132" s="288"/>
      <c r="Q132" s="285"/>
      <c r="R132" s="288"/>
      <c r="S132" s="285"/>
      <c r="T132" s="288"/>
      <c r="U132" s="285"/>
      <c r="V132" s="288"/>
      <c r="W132" s="285"/>
      <c r="X132" s="288"/>
      <c r="Y132" s="285"/>
      <c r="Z132" s="288"/>
      <c r="AA132" s="285"/>
      <c r="AB132" s="288"/>
      <c r="AC132" s="285"/>
      <c r="AD132" s="288"/>
      <c r="AE132" s="285"/>
      <c r="AF132" s="288"/>
      <c r="AG132" s="285"/>
      <c r="AH132" s="288"/>
      <c r="AI132" s="285"/>
      <c r="AJ132" s="288"/>
      <c r="AK132" s="285"/>
      <c r="AL132" s="288"/>
      <c r="AM132" s="288"/>
      <c r="AN132" s="288"/>
      <c r="AO132" s="288"/>
      <c r="AP132" s="288"/>
      <c r="AQ132" s="288"/>
      <c r="AR132" s="288"/>
      <c r="AS132" s="286">
        <f t="shared" si="6"/>
        <v>0</v>
      </c>
      <c r="AT132" s="287">
        <f t="shared" si="7"/>
        <v>0</v>
      </c>
      <c r="AY132" s="847"/>
    </row>
    <row r="133" spans="1:51" ht="40.049999999999997" customHeight="1" x14ac:dyDescent="0.65">
      <c r="A133" s="451" t="s">
        <v>330</v>
      </c>
      <c r="B133" s="905" t="s">
        <v>331</v>
      </c>
      <c r="C133" s="284"/>
      <c r="D133" s="302"/>
      <c r="E133" s="285"/>
      <c r="F133" s="288"/>
      <c r="G133" s="285"/>
      <c r="H133" s="288"/>
      <c r="I133" s="285" t="s">
        <v>76</v>
      </c>
      <c r="J133" s="288"/>
      <c r="K133" s="285" t="s">
        <v>76</v>
      </c>
      <c r="L133" s="288"/>
      <c r="M133" s="285" t="s">
        <v>76</v>
      </c>
      <c r="N133" s="288"/>
      <c r="O133" s="285" t="s">
        <v>76</v>
      </c>
      <c r="P133" s="288"/>
      <c r="Q133" s="285" t="s">
        <v>76</v>
      </c>
      <c r="R133" s="288"/>
      <c r="S133" s="285" t="s">
        <v>76</v>
      </c>
      <c r="T133" s="288"/>
      <c r="U133" s="285" t="s">
        <v>76</v>
      </c>
      <c r="V133" s="288"/>
      <c r="W133" s="285" t="s">
        <v>76</v>
      </c>
      <c r="X133" s="288"/>
      <c r="Y133" s="285" t="s">
        <v>76</v>
      </c>
      <c r="Z133" s="288"/>
      <c r="AA133" s="285" t="s">
        <v>76</v>
      </c>
      <c r="AB133" s="288"/>
      <c r="AC133" s="285" t="s">
        <v>76</v>
      </c>
      <c r="AD133" s="288"/>
      <c r="AE133" s="285" t="s">
        <v>76</v>
      </c>
      <c r="AF133" s="288"/>
      <c r="AG133" s="285" t="s">
        <v>76</v>
      </c>
      <c r="AH133" s="288"/>
      <c r="AI133" s="285" t="s">
        <v>76</v>
      </c>
      <c r="AJ133" s="288"/>
      <c r="AK133" s="285" t="s">
        <v>76</v>
      </c>
      <c r="AL133" s="288"/>
      <c r="AM133" s="288" t="s">
        <v>76</v>
      </c>
      <c r="AN133" s="288"/>
      <c r="AO133" s="288" t="s">
        <v>66</v>
      </c>
      <c r="AP133" s="288"/>
      <c r="AQ133" s="288"/>
      <c r="AR133" s="288"/>
      <c r="AS133" s="286">
        <f t="shared" si="6"/>
        <v>17</v>
      </c>
      <c r="AT133" s="287">
        <f t="shared" si="7"/>
        <v>17</v>
      </c>
      <c r="AY133" s="847"/>
    </row>
    <row r="134" spans="1:51" ht="40.049999999999997" customHeight="1" x14ac:dyDescent="0.65">
      <c r="A134" s="451" t="s">
        <v>332</v>
      </c>
      <c r="B134" s="905" t="s">
        <v>333</v>
      </c>
      <c r="C134" s="283"/>
      <c r="D134" s="302"/>
      <c r="E134" s="288"/>
      <c r="F134" s="288"/>
      <c r="G134" s="288"/>
      <c r="H134" s="288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8"/>
      <c r="T134" s="288"/>
      <c r="U134" s="288"/>
      <c r="V134" s="288"/>
      <c r="W134" s="288"/>
      <c r="X134" s="288"/>
      <c r="Y134" s="288"/>
      <c r="Z134" s="288"/>
      <c r="AA134" s="288"/>
      <c r="AB134" s="288"/>
      <c r="AC134" s="288"/>
      <c r="AD134" s="288"/>
      <c r="AE134" s="288"/>
      <c r="AF134" s="288"/>
      <c r="AG134" s="288"/>
      <c r="AH134" s="288"/>
      <c r="AI134" s="288"/>
      <c r="AJ134" s="288"/>
      <c r="AK134" s="288"/>
      <c r="AL134" s="288"/>
      <c r="AM134" s="288"/>
      <c r="AN134" s="288"/>
      <c r="AO134" s="288"/>
      <c r="AP134" s="288"/>
      <c r="AQ134" s="288"/>
      <c r="AR134" s="288"/>
      <c r="AS134" s="286">
        <f t="shared" si="6"/>
        <v>0</v>
      </c>
      <c r="AT134" s="287">
        <f t="shared" si="7"/>
        <v>0</v>
      </c>
      <c r="AY134" s="847"/>
    </row>
    <row r="135" spans="1:51" ht="40.049999999999997" customHeight="1" x14ac:dyDescent="0.65">
      <c r="A135" s="451" t="s">
        <v>334</v>
      </c>
      <c r="B135" s="905" t="s">
        <v>335</v>
      </c>
      <c r="C135" s="283"/>
      <c r="D135" s="284"/>
      <c r="E135" s="283"/>
      <c r="F135" s="285"/>
      <c r="G135" s="283"/>
      <c r="H135" s="285"/>
      <c r="I135" s="283"/>
      <c r="J135" s="285"/>
      <c r="K135" s="283"/>
      <c r="L135" s="288"/>
      <c r="M135" s="283"/>
      <c r="N135" s="288"/>
      <c r="O135" s="283"/>
      <c r="P135" s="288"/>
      <c r="Q135" s="283"/>
      <c r="R135" s="288"/>
      <c r="S135" s="283"/>
      <c r="T135" s="288"/>
      <c r="U135" s="283"/>
      <c r="V135" s="288"/>
      <c r="W135" s="283"/>
      <c r="X135" s="288"/>
      <c r="Y135" s="283"/>
      <c r="Z135" s="288"/>
      <c r="AA135" s="283"/>
      <c r="AB135" s="288"/>
      <c r="AC135" s="283"/>
      <c r="AD135" s="288"/>
      <c r="AE135" s="283"/>
      <c r="AF135" s="288"/>
      <c r="AG135" s="283"/>
      <c r="AH135" s="288"/>
      <c r="AI135" s="283"/>
      <c r="AJ135" s="288"/>
      <c r="AK135" s="283"/>
      <c r="AL135" s="288"/>
      <c r="AM135" s="285"/>
      <c r="AN135" s="288"/>
      <c r="AO135" s="285" t="s">
        <v>66</v>
      </c>
      <c r="AP135" s="285"/>
      <c r="AQ135" s="285"/>
      <c r="AR135" s="288"/>
      <c r="AS135" s="286">
        <f t="shared" si="6"/>
        <v>1</v>
      </c>
      <c r="AT135" s="287">
        <f t="shared" si="7"/>
        <v>1</v>
      </c>
      <c r="AY135" s="847"/>
    </row>
    <row r="136" spans="1:51" ht="40.049999999999997" customHeight="1" x14ac:dyDescent="0.65">
      <c r="A136" s="451" t="s">
        <v>336</v>
      </c>
      <c r="B136" s="905" t="s">
        <v>337</v>
      </c>
      <c r="C136" s="283"/>
      <c r="D136" s="302"/>
      <c r="E136" s="283"/>
      <c r="F136" s="288"/>
      <c r="G136" s="283"/>
      <c r="H136" s="288"/>
      <c r="I136" s="283"/>
      <c r="J136" s="288"/>
      <c r="K136" s="283"/>
      <c r="L136" s="288"/>
      <c r="M136" s="283"/>
      <c r="N136" s="288"/>
      <c r="O136" s="283"/>
      <c r="P136" s="288"/>
      <c r="Q136" s="283"/>
      <c r="R136" s="288"/>
      <c r="S136" s="283"/>
      <c r="T136" s="288"/>
      <c r="U136" s="283"/>
      <c r="V136" s="288"/>
      <c r="W136" s="283"/>
      <c r="X136" s="288"/>
      <c r="Y136" s="283"/>
      <c r="Z136" s="288"/>
      <c r="AA136" s="283"/>
      <c r="AB136" s="288"/>
      <c r="AC136" s="283"/>
      <c r="AD136" s="288"/>
      <c r="AE136" s="283"/>
      <c r="AF136" s="288"/>
      <c r="AG136" s="283"/>
      <c r="AH136" s="288"/>
      <c r="AI136" s="283"/>
      <c r="AJ136" s="288"/>
      <c r="AK136" s="283"/>
      <c r="AL136" s="288"/>
      <c r="AM136" s="285"/>
      <c r="AN136" s="288"/>
      <c r="AO136" s="307" t="s">
        <v>66</v>
      </c>
      <c r="AP136" s="307"/>
      <c r="AQ136" s="307"/>
      <c r="AR136" s="288"/>
      <c r="AS136" s="286">
        <f t="shared" si="6"/>
        <v>1</v>
      </c>
      <c r="AT136" s="287">
        <f t="shared" si="7"/>
        <v>1</v>
      </c>
      <c r="AY136" s="847"/>
    </row>
    <row r="137" spans="1:51" ht="40.049999999999997" customHeight="1" x14ac:dyDescent="0.65">
      <c r="A137" s="451" t="s">
        <v>338</v>
      </c>
      <c r="B137" s="905" t="s">
        <v>339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88"/>
      <c r="AL137" s="288"/>
      <c r="AM137" s="283"/>
      <c r="AN137" s="288"/>
      <c r="AO137" s="283"/>
      <c r="AP137" s="283"/>
      <c r="AQ137" s="283"/>
      <c r="AR137" s="288"/>
      <c r="AS137" s="286">
        <f t="shared" si="6"/>
        <v>0</v>
      </c>
      <c r="AT137" s="287">
        <f t="shared" si="7"/>
        <v>0</v>
      </c>
      <c r="AY137" s="847"/>
    </row>
    <row r="138" spans="1:51" ht="40.049999999999997" customHeight="1" x14ac:dyDescent="0.65">
      <c r="A138" s="451" t="s">
        <v>340</v>
      </c>
      <c r="B138" s="905" t="s">
        <v>341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  <c r="AC138" s="288"/>
      <c r="AD138" s="288"/>
      <c r="AE138" s="288"/>
      <c r="AF138" s="288"/>
      <c r="AG138" s="288"/>
      <c r="AH138" s="288"/>
      <c r="AI138" s="288"/>
      <c r="AJ138" s="288"/>
      <c r="AK138" s="288"/>
      <c r="AL138" s="288"/>
      <c r="AM138" s="288"/>
      <c r="AN138" s="288"/>
      <c r="AO138" s="288"/>
      <c r="AP138" s="288"/>
      <c r="AQ138" s="288"/>
      <c r="AR138" s="288"/>
      <c r="AS138" s="286">
        <f t="shared" si="6"/>
        <v>0</v>
      </c>
      <c r="AT138" s="287">
        <f t="shared" si="7"/>
        <v>0</v>
      </c>
      <c r="AY138" s="847"/>
    </row>
    <row r="139" spans="1:51" ht="40.049999999999997" customHeight="1" x14ac:dyDescent="0.65">
      <c r="A139" s="451" t="s">
        <v>342</v>
      </c>
      <c r="B139" s="905" t="s">
        <v>343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8"/>
      <c r="AB139" s="288"/>
      <c r="AC139" s="288"/>
      <c r="AD139" s="288"/>
      <c r="AE139" s="288"/>
      <c r="AF139" s="288"/>
      <c r="AG139" s="288"/>
      <c r="AH139" s="288"/>
      <c r="AI139" s="288"/>
      <c r="AJ139" s="288"/>
      <c r="AK139" s="288"/>
      <c r="AL139" s="288"/>
      <c r="AM139" s="288"/>
      <c r="AN139" s="288"/>
      <c r="AO139" s="288"/>
      <c r="AP139" s="288"/>
      <c r="AQ139" s="288"/>
      <c r="AR139" s="288"/>
      <c r="AS139" s="286">
        <f t="shared" si="6"/>
        <v>0</v>
      </c>
      <c r="AT139" s="287">
        <f t="shared" si="7"/>
        <v>0</v>
      </c>
      <c r="AY139" s="847"/>
    </row>
    <row r="140" spans="1:51" ht="40.049999999999997" customHeight="1" x14ac:dyDescent="0.65">
      <c r="A140" s="451" t="s">
        <v>344</v>
      </c>
      <c r="B140" s="905" t="s">
        <v>345</v>
      </c>
      <c r="C140" s="283"/>
      <c r="D140" s="302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8"/>
      <c r="AK140" s="288"/>
      <c r="AL140" s="288"/>
      <c r="AM140" s="288"/>
      <c r="AN140" s="288"/>
      <c r="AO140" s="288"/>
      <c r="AP140" s="288"/>
      <c r="AQ140" s="288"/>
      <c r="AR140" s="288"/>
      <c r="AS140" s="286">
        <f t="shared" si="6"/>
        <v>0</v>
      </c>
      <c r="AT140" s="287">
        <f t="shared" si="7"/>
        <v>0</v>
      </c>
      <c r="AY140" s="847"/>
    </row>
    <row r="141" spans="1:51" ht="40.049999999999997" customHeight="1" x14ac:dyDescent="0.65">
      <c r="A141" s="451" t="s">
        <v>346</v>
      </c>
      <c r="B141" s="905" t="s">
        <v>347</v>
      </c>
      <c r="C141" s="283"/>
      <c r="D141" s="302"/>
      <c r="E141" s="288"/>
      <c r="F141" s="288"/>
      <c r="G141" s="288"/>
      <c r="H141" s="288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8"/>
      <c r="T141" s="288"/>
      <c r="U141" s="288"/>
      <c r="V141" s="288"/>
      <c r="W141" s="288"/>
      <c r="X141" s="288"/>
      <c r="Y141" s="288"/>
      <c r="Z141" s="288"/>
      <c r="AA141" s="288"/>
      <c r="AB141" s="288"/>
      <c r="AC141" s="288"/>
      <c r="AD141" s="288"/>
      <c r="AE141" s="288"/>
      <c r="AF141" s="288"/>
      <c r="AG141" s="288"/>
      <c r="AH141" s="288"/>
      <c r="AI141" s="288"/>
      <c r="AJ141" s="288"/>
      <c r="AK141" s="288"/>
      <c r="AL141" s="288"/>
      <c r="AM141" s="285"/>
      <c r="AN141" s="288"/>
      <c r="AO141" s="285"/>
      <c r="AP141" s="285"/>
      <c r="AQ141" s="285"/>
      <c r="AR141" s="288"/>
      <c r="AS141" s="286">
        <f t="shared" si="6"/>
        <v>0</v>
      </c>
      <c r="AT141" s="287">
        <f t="shared" si="7"/>
        <v>0</v>
      </c>
      <c r="AY141" s="847"/>
    </row>
    <row r="142" spans="1:51" ht="40.049999999999997" customHeight="1" x14ac:dyDescent="0.65">
      <c r="A142" s="439" t="s">
        <v>348</v>
      </c>
      <c r="B142" s="904" t="s">
        <v>349</v>
      </c>
      <c r="C142" s="440"/>
      <c r="D142" s="441"/>
      <c r="E142" s="442"/>
      <c r="F142" s="442"/>
      <c r="G142" s="442"/>
      <c r="H142" s="442"/>
      <c r="I142" s="442"/>
      <c r="J142" s="442"/>
      <c r="K142" s="442"/>
      <c r="L142" s="442"/>
      <c r="M142" s="442"/>
      <c r="N142" s="442"/>
      <c r="O142" s="442"/>
      <c r="P142" s="442"/>
      <c r="Q142" s="442"/>
      <c r="R142" s="442"/>
      <c r="S142" s="442"/>
      <c r="T142" s="442"/>
      <c r="U142" s="442"/>
      <c r="V142" s="442"/>
      <c r="W142" s="442"/>
      <c r="X142" s="442"/>
      <c r="Y142" s="442"/>
      <c r="Z142" s="442"/>
      <c r="AA142" s="442"/>
      <c r="AB142" s="442"/>
      <c r="AC142" s="442"/>
      <c r="AD142" s="442"/>
      <c r="AE142" s="442"/>
      <c r="AF142" s="442"/>
      <c r="AG142" s="442"/>
      <c r="AH142" s="442"/>
      <c r="AI142" s="443"/>
      <c r="AJ142" s="443"/>
      <c r="AK142" s="443"/>
      <c r="AL142" s="443"/>
      <c r="AM142" s="443"/>
      <c r="AN142" s="443"/>
      <c r="AO142" s="443"/>
      <c r="AP142" s="443"/>
      <c r="AQ142" s="443"/>
      <c r="AR142" s="443"/>
      <c r="AS142" s="443"/>
      <c r="AT142" s="906"/>
      <c r="AY142" s="847"/>
    </row>
    <row r="143" spans="1:51" ht="40.049999999999997" customHeight="1" x14ac:dyDescent="0.65">
      <c r="A143" s="451" t="s">
        <v>350</v>
      </c>
      <c r="B143" s="902" t="s">
        <v>351</v>
      </c>
      <c r="C143" s="283"/>
      <c r="D143" s="302"/>
      <c r="E143" s="283"/>
      <c r="F143" s="288"/>
      <c r="G143" s="283"/>
      <c r="H143" s="288"/>
      <c r="I143" s="283"/>
      <c r="J143" s="288"/>
      <c r="K143" s="283"/>
      <c r="L143" s="288"/>
      <c r="M143" s="283"/>
      <c r="N143" s="288"/>
      <c r="O143" s="283"/>
      <c r="P143" s="288"/>
      <c r="Q143" s="283"/>
      <c r="R143" s="288"/>
      <c r="S143" s="283"/>
      <c r="T143" s="288"/>
      <c r="U143" s="283"/>
      <c r="V143" s="288"/>
      <c r="W143" s="283"/>
      <c r="X143" s="288"/>
      <c r="Y143" s="283"/>
      <c r="Z143" s="288"/>
      <c r="AA143" s="283"/>
      <c r="AB143" s="288"/>
      <c r="AC143" s="283"/>
      <c r="AD143" s="288"/>
      <c r="AE143" s="283"/>
      <c r="AF143" s="288"/>
      <c r="AG143" s="283"/>
      <c r="AH143" s="288"/>
      <c r="AI143" s="283"/>
      <c r="AJ143" s="288"/>
      <c r="AK143" s="283"/>
      <c r="AL143" s="288"/>
      <c r="AM143" s="283"/>
      <c r="AN143" s="288"/>
      <c r="AO143" s="283"/>
      <c r="AP143" s="283"/>
      <c r="AQ143" s="283"/>
      <c r="AR143" s="288"/>
      <c r="AS143" s="286">
        <f>COUNTIF(C143:AR143,"&gt;=R")</f>
        <v>0</v>
      </c>
      <c r="AT143" s="287">
        <f>AS143</f>
        <v>0</v>
      </c>
      <c r="AY143" s="847"/>
    </row>
    <row r="144" spans="1:51" ht="40.049999999999997" customHeight="1" x14ac:dyDescent="0.65">
      <c r="A144" s="451" t="s">
        <v>352</v>
      </c>
      <c r="B144" s="902" t="s">
        <v>353</v>
      </c>
      <c r="C144" s="283"/>
      <c r="D144" s="302"/>
      <c r="E144" s="288"/>
      <c r="F144" s="288"/>
      <c r="G144" s="288"/>
      <c r="H144" s="288"/>
      <c r="I144" s="288" t="s">
        <v>55</v>
      </c>
      <c r="J144" s="288"/>
      <c r="K144" s="288" t="s">
        <v>55</v>
      </c>
      <c r="L144" s="288"/>
      <c r="M144" s="288" t="s">
        <v>55</v>
      </c>
      <c r="N144" s="288"/>
      <c r="O144" s="288" t="s">
        <v>55</v>
      </c>
      <c r="P144" s="288"/>
      <c r="Q144" s="288" t="s">
        <v>55</v>
      </c>
      <c r="R144" s="288"/>
      <c r="S144" s="288" t="s">
        <v>55</v>
      </c>
      <c r="T144" s="288"/>
      <c r="U144" s="285" t="s">
        <v>55</v>
      </c>
      <c r="V144" s="288"/>
      <c r="W144" s="285" t="s">
        <v>55</v>
      </c>
      <c r="X144" s="288"/>
      <c r="Y144" s="285" t="s">
        <v>55</v>
      </c>
      <c r="Z144" s="288"/>
      <c r="AA144" s="288" t="s">
        <v>55</v>
      </c>
      <c r="AB144" s="288"/>
      <c r="AC144" s="285" t="s">
        <v>55</v>
      </c>
      <c r="AD144" s="288"/>
      <c r="AE144" s="285" t="s">
        <v>55</v>
      </c>
      <c r="AF144" s="288"/>
      <c r="AG144" s="285" t="s">
        <v>55</v>
      </c>
      <c r="AH144" s="288"/>
      <c r="AI144" s="285" t="s">
        <v>55</v>
      </c>
      <c r="AJ144" s="288"/>
      <c r="AK144" s="285" t="s">
        <v>55</v>
      </c>
      <c r="AL144" s="288"/>
      <c r="AM144" s="288" t="s">
        <v>55</v>
      </c>
      <c r="AN144" s="288"/>
      <c r="AO144" s="672" t="s">
        <v>408</v>
      </c>
      <c r="AP144" s="288"/>
      <c r="AQ144" s="288" t="s">
        <v>83</v>
      </c>
      <c r="AR144" s="288"/>
      <c r="AS144" s="286">
        <f>COUNTIF(C144:AR144,"&gt;=R")</f>
        <v>18</v>
      </c>
      <c r="AT144" s="287">
        <f>AS144</f>
        <v>18</v>
      </c>
      <c r="AY144" s="847"/>
    </row>
    <row r="145" spans="1:51" ht="40.049999999999997" customHeight="1" x14ac:dyDescent="0.65">
      <c r="A145" s="451" t="s">
        <v>354</v>
      </c>
      <c r="B145" s="902" t="s">
        <v>355</v>
      </c>
      <c r="C145" s="283"/>
      <c r="D145" s="302"/>
      <c r="E145" s="288"/>
      <c r="F145" s="288"/>
      <c r="G145" s="288"/>
      <c r="H145" s="288"/>
      <c r="I145" s="288" t="s">
        <v>55</v>
      </c>
      <c r="J145" s="288"/>
      <c r="K145" s="288" t="s">
        <v>55</v>
      </c>
      <c r="L145" s="288"/>
      <c r="M145" s="288" t="s">
        <v>55</v>
      </c>
      <c r="N145" s="288"/>
      <c r="O145" s="288" t="s">
        <v>55</v>
      </c>
      <c r="P145" s="288"/>
      <c r="Q145" s="288" t="s">
        <v>55</v>
      </c>
      <c r="R145" s="288"/>
      <c r="S145" s="288" t="s">
        <v>55</v>
      </c>
      <c r="T145" s="288"/>
      <c r="U145" s="285" t="s">
        <v>55</v>
      </c>
      <c r="V145" s="288"/>
      <c r="W145" s="285" t="s">
        <v>55</v>
      </c>
      <c r="X145" s="288"/>
      <c r="Y145" s="285" t="s">
        <v>55</v>
      </c>
      <c r="Z145" s="288"/>
      <c r="AA145" s="288" t="s">
        <v>55</v>
      </c>
      <c r="AB145" s="288"/>
      <c r="AC145" s="285" t="s">
        <v>55</v>
      </c>
      <c r="AD145" s="288"/>
      <c r="AE145" s="285" t="s">
        <v>55</v>
      </c>
      <c r="AF145" s="288"/>
      <c r="AG145" s="285" t="s">
        <v>55</v>
      </c>
      <c r="AH145" s="288"/>
      <c r="AI145" s="285" t="s">
        <v>55</v>
      </c>
      <c r="AJ145" s="288"/>
      <c r="AK145" s="285" t="s">
        <v>55</v>
      </c>
      <c r="AL145" s="288"/>
      <c r="AM145" s="288" t="s">
        <v>55</v>
      </c>
      <c r="AN145" s="288"/>
      <c r="AO145" s="672" t="s">
        <v>408</v>
      </c>
      <c r="AP145" s="288"/>
      <c r="AQ145" s="288" t="s">
        <v>83</v>
      </c>
      <c r="AR145" s="288"/>
      <c r="AS145" s="286">
        <f>COUNTIF(C145:AR145,"&gt;=R")</f>
        <v>18</v>
      </c>
      <c r="AT145" s="287">
        <f>AS145</f>
        <v>18</v>
      </c>
      <c r="AY145" s="847"/>
    </row>
    <row r="146" spans="1:51" ht="40.049999999999997" customHeight="1" x14ac:dyDescent="0.65">
      <c r="A146" s="439" t="s">
        <v>356</v>
      </c>
      <c r="B146" s="904" t="s">
        <v>357</v>
      </c>
      <c r="C146" s="440"/>
      <c r="D146" s="441"/>
      <c r="E146" s="442"/>
      <c r="F146" s="442"/>
      <c r="G146" s="442"/>
      <c r="H146" s="442"/>
      <c r="I146" s="442"/>
      <c r="J146" s="442"/>
      <c r="K146" s="442"/>
      <c r="L146" s="442"/>
      <c r="M146" s="442"/>
      <c r="N146" s="442"/>
      <c r="O146" s="442"/>
      <c r="P146" s="442"/>
      <c r="Q146" s="442"/>
      <c r="R146" s="442"/>
      <c r="S146" s="442"/>
      <c r="T146" s="442"/>
      <c r="U146" s="442"/>
      <c r="V146" s="442"/>
      <c r="W146" s="442"/>
      <c r="X146" s="442"/>
      <c r="Y146" s="442"/>
      <c r="Z146" s="442"/>
      <c r="AA146" s="442"/>
      <c r="AB146" s="442"/>
      <c r="AC146" s="442"/>
      <c r="AD146" s="442"/>
      <c r="AE146" s="442"/>
      <c r="AF146" s="442"/>
      <c r="AG146" s="442"/>
      <c r="AH146" s="442"/>
      <c r="AI146" s="443"/>
      <c r="AJ146" s="443"/>
      <c r="AK146" s="443"/>
      <c r="AL146" s="443"/>
      <c r="AM146" s="443"/>
      <c r="AN146" s="443"/>
      <c r="AO146" s="443"/>
      <c r="AP146" s="443"/>
      <c r="AQ146" s="443"/>
      <c r="AR146" s="443"/>
      <c r="AS146" s="443"/>
      <c r="AT146" s="906"/>
      <c r="AY146" s="847"/>
    </row>
    <row r="147" spans="1:51" ht="40.049999999999997" customHeight="1" x14ac:dyDescent="0.65">
      <c r="A147" s="451" t="s">
        <v>358</v>
      </c>
      <c r="B147" s="902" t="s">
        <v>359</v>
      </c>
      <c r="C147" s="283"/>
      <c r="D147" s="302"/>
      <c r="E147" s="283"/>
      <c r="F147" s="288"/>
      <c r="G147" s="283"/>
      <c r="H147" s="288"/>
      <c r="I147" s="283"/>
      <c r="J147" s="288"/>
      <c r="K147" s="283"/>
      <c r="L147" s="288"/>
      <c r="M147" s="283"/>
      <c r="N147" s="288"/>
      <c r="O147" s="283"/>
      <c r="P147" s="288"/>
      <c r="Q147" s="283"/>
      <c r="R147" s="288"/>
      <c r="S147" s="283"/>
      <c r="T147" s="288"/>
      <c r="U147" s="283"/>
      <c r="V147" s="288"/>
      <c r="W147" s="286" t="s">
        <v>410</v>
      </c>
      <c r="X147" s="288"/>
      <c r="Y147" s="286" t="s">
        <v>410</v>
      </c>
      <c r="Z147" s="288"/>
      <c r="AA147" s="286" t="s">
        <v>410</v>
      </c>
      <c r="AB147" s="288"/>
      <c r="AC147" s="286" t="s">
        <v>410</v>
      </c>
      <c r="AD147" s="288"/>
      <c r="AE147" s="286" t="s">
        <v>410</v>
      </c>
      <c r="AF147" s="288"/>
      <c r="AG147" s="286" t="s">
        <v>75</v>
      </c>
      <c r="AH147" s="288"/>
      <c r="AI147" s="286" t="s">
        <v>75</v>
      </c>
      <c r="AJ147" s="288"/>
      <c r="AK147" s="286" t="s">
        <v>75</v>
      </c>
      <c r="AL147" s="288"/>
      <c r="AM147" s="286" t="s">
        <v>75</v>
      </c>
      <c r="AN147" s="288"/>
      <c r="AO147" s="286" t="s">
        <v>75</v>
      </c>
      <c r="AP147" s="286"/>
      <c r="AQ147" s="286" t="s">
        <v>75</v>
      </c>
      <c r="AR147" s="288"/>
      <c r="AS147" s="286">
        <f>COUNTIF(C147:AR147,"&gt;=R")</f>
        <v>11</v>
      </c>
      <c r="AT147" s="287">
        <f>AS147</f>
        <v>11</v>
      </c>
      <c r="AY147" s="847"/>
    </row>
    <row r="148" spans="1:51" ht="40.049999999999997" customHeight="1" x14ac:dyDescent="0.65">
      <c r="A148" s="451" t="s">
        <v>360</v>
      </c>
      <c r="B148" s="902" t="s">
        <v>361</v>
      </c>
      <c r="C148" s="284"/>
      <c r="D148" s="302"/>
      <c r="E148" s="285"/>
      <c r="F148" s="288"/>
      <c r="G148" s="285" t="s">
        <v>6</v>
      </c>
      <c r="H148" s="288"/>
      <c r="I148" s="285" t="s">
        <v>6</v>
      </c>
      <c r="J148" s="288"/>
      <c r="K148" s="285" t="s">
        <v>6</v>
      </c>
      <c r="L148" s="288"/>
      <c r="M148" s="285" t="s">
        <v>6</v>
      </c>
      <c r="N148" s="288"/>
      <c r="O148" s="285" t="s">
        <v>6</v>
      </c>
      <c r="P148" s="288"/>
      <c r="Q148" s="285" t="s">
        <v>6</v>
      </c>
      <c r="R148" s="288"/>
      <c r="S148" s="285" t="s">
        <v>6</v>
      </c>
      <c r="T148" s="288"/>
      <c r="U148" s="285" t="s">
        <v>6</v>
      </c>
      <c r="V148" s="288"/>
      <c r="W148" s="285" t="s">
        <v>6</v>
      </c>
      <c r="X148" s="288"/>
      <c r="Y148" s="285" t="s">
        <v>6</v>
      </c>
      <c r="Z148" s="288"/>
      <c r="AA148" s="285" t="s">
        <v>6</v>
      </c>
      <c r="AB148" s="288"/>
      <c r="AC148" s="285" t="s">
        <v>6</v>
      </c>
      <c r="AD148" s="288"/>
      <c r="AE148" s="285" t="s">
        <v>6</v>
      </c>
      <c r="AF148" s="288"/>
      <c r="AG148" s="285" t="s">
        <v>6</v>
      </c>
      <c r="AH148" s="288"/>
      <c r="AI148" s="285" t="s">
        <v>6</v>
      </c>
      <c r="AJ148" s="288"/>
      <c r="AK148" s="285" t="s">
        <v>417</v>
      </c>
      <c r="AL148" s="288"/>
      <c r="AM148" s="285" t="s">
        <v>417</v>
      </c>
      <c r="AN148" s="288"/>
      <c r="AO148" s="285" t="s">
        <v>417</v>
      </c>
      <c r="AP148" s="285"/>
      <c r="AQ148" s="285" t="s">
        <v>417</v>
      </c>
      <c r="AR148" s="288"/>
      <c r="AS148" s="286">
        <f>COUNTIF(C148:AR148,"&gt;=R")</f>
        <v>19</v>
      </c>
      <c r="AT148" s="287">
        <f>AS148</f>
        <v>19</v>
      </c>
      <c r="AY148" s="847"/>
    </row>
    <row r="149" spans="1:51" ht="40.049999999999997" customHeight="1" x14ac:dyDescent="0.65">
      <c r="A149" s="451" t="s">
        <v>362</v>
      </c>
      <c r="B149" s="902" t="s">
        <v>363</v>
      </c>
      <c r="C149" s="283"/>
      <c r="D149" s="302"/>
      <c r="E149" s="283"/>
      <c r="F149" s="288"/>
      <c r="G149" s="283"/>
      <c r="H149" s="288"/>
      <c r="I149" s="283" t="s">
        <v>85</v>
      </c>
      <c r="J149" s="288"/>
      <c r="K149" s="283" t="s">
        <v>85</v>
      </c>
      <c r="L149" s="288"/>
      <c r="M149" s="283" t="s">
        <v>85</v>
      </c>
      <c r="N149" s="288"/>
      <c r="O149" s="283" t="s">
        <v>85</v>
      </c>
      <c r="P149" s="288"/>
      <c r="Q149" s="283" t="s">
        <v>85</v>
      </c>
      <c r="R149" s="288"/>
      <c r="S149" s="283" t="s">
        <v>85</v>
      </c>
      <c r="T149" s="288"/>
      <c r="U149" s="283" t="s">
        <v>85</v>
      </c>
      <c r="V149" s="288"/>
      <c r="W149" s="283" t="s">
        <v>85</v>
      </c>
      <c r="X149" s="288"/>
      <c r="Y149" s="283" t="s">
        <v>85</v>
      </c>
      <c r="Z149" s="288"/>
      <c r="AA149" s="283" t="s">
        <v>85</v>
      </c>
      <c r="AB149" s="288"/>
      <c r="AC149" s="283" t="s">
        <v>85</v>
      </c>
      <c r="AD149" s="288"/>
      <c r="AE149" s="283" t="s">
        <v>85</v>
      </c>
      <c r="AF149" s="288"/>
      <c r="AG149" s="283" t="s">
        <v>83</v>
      </c>
      <c r="AH149" s="288"/>
      <c r="AI149" s="283" t="s">
        <v>83</v>
      </c>
      <c r="AJ149" s="288"/>
      <c r="AK149" s="283" t="s">
        <v>83</v>
      </c>
      <c r="AL149" s="288"/>
      <c r="AM149" s="283" t="s">
        <v>83</v>
      </c>
      <c r="AN149" s="288"/>
      <c r="AO149" s="283" t="s">
        <v>85</v>
      </c>
      <c r="AP149" s="283"/>
      <c r="AQ149" s="283" t="s">
        <v>85</v>
      </c>
      <c r="AR149" s="288"/>
      <c r="AS149" s="286">
        <f>COUNTIF(C149:AR149,"&gt;=R")</f>
        <v>18</v>
      </c>
      <c r="AT149" s="287">
        <f>AS149</f>
        <v>18</v>
      </c>
      <c r="AY149" s="847"/>
    </row>
    <row r="150" spans="1:51" ht="40.049999999999997" customHeight="1" x14ac:dyDescent="0.65">
      <c r="A150" s="439" t="s">
        <v>364</v>
      </c>
      <c r="B150" s="901" t="s">
        <v>365</v>
      </c>
      <c r="C150" s="440"/>
      <c r="D150" s="441"/>
      <c r="E150" s="442"/>
      <c r="F150" s="442"/>
      <c r="G150" s="442"/>
      <c r="H150" s="442"/>
      <c r="I150" s="442"/>
      <c r="J150" s="442"/>
      <c r="K150" s="442"/>
      <c r="L150" s="442"/>
      <c r="M150" s="442"/>
      <c r="N150" s="442"/>
      <c r="O150" s="442"/>
      <c r="P150" s="442"/>
      <c r="Q150" s="442"/>
      <c r="R150" s="442"/>
      <c r="S150" s="442"/>
      <c r="T150" s="442"/>
      <c r="U150" s="442"/>
      <c r="V150" s="442"/>
      <c r="W150" s="442"/>
      <c r="X150" s="442"/>
      <c r="Y150" s="442"/>
      <c r="Z150" s="442"/>
      <c r="AA150" s="442"/>
      <c r="AB150" s="442"/>
      <c r="AC150" s="442"/>
      <c r="AD150" s="442"/>
      <c r="AE150" s="442"/>
      <c r="AF150" s="442"/>
      <c r="AG150" s="442"/>
      <c r="AH150" s="442"/>
      <c r="AI150" s="443"/>
      <c r="AJ150" s="443"/>
      <c r="AK150" s="443"/>
      <c r="AL150" s="443"/>
      <c r="AM150" s="443"/>
      <c r="AN150" s="443"/>
      <c r="AO150" s="443"/>
      <c r="AP150" s="443"/>
      <c r="AQ150" s="443"/>
      <c r="AR150" s="443"/>
      <c r="AS150" s="443"/>
      <c r="AT150" s="906"/>
      <c r="AY150" s="847"/>
    </row>
    <row r="151" spans="1:51" ht="40.049999999999997" customHeight="1" x14ac:dyDescent="0.65">
      <c r="A151" s="491" t="s">
        <v>366</v>
      </c>
      <c r="B151" s="496" t="s">
        <v>367</v>
      </c>
      <c r="C151" s="302"/>
      <c r="D151" s="302"/>
      <c r="E151" s="288"/>
      <c r="F151" s="288"/>
      <c r="G151" s="288"/>
      <c r="H151" s="288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8"/>
      <c r="T151" s="288"/>
      <c r="U151" s="288"/>
      <c r="V151" s="288"/>
      <c r="W151" s="288"/>
      <c r="X151" s="288"/>
      <c r="Y151" s="288"/>
      <c r="Z151" s="288"/>
      <c r="AA151" s="288"/>
      <c r="AB151" s="288"/>
      <c r="AC151" s="288"/>
      <c r="AD151" s="288"/>
      <c r="AE151" s="288"/>
      <c r="AF151" s="288"/>
      <c r="AG151" s="288"/>
      <c r="AH151" s="288"/>
      <c r="AI151" s="288"/>
      <c r="AJ151" s="288"/>
      <c r="AK151" s="288"/>
      <c r="AL151" s="288"/>
      <c r="AM151" s="288"/>
      <c r="AN151" s="288"/>
      <c r="AO151" s="288"/>
      <c r="AP151" s="288"/>
      <c r="AQ151" s="288"/>
      <c r="AR151" s="288"/>
      <c r="AS151" s="286">
        <f t="shared" ref="AS151:AS158" si="8">COUNTIF(C151:AR151,"&gt;=R")</f>
        <v>0</v>
      </c>
      <c r="AT151" s="287">
        <f t="shared" ref="AT151:AT158" si="9">AS151</f>
        <v>0</v>
      </c>
      <c r="AY151" s="847"/>
    </row>
    <row r="152" spans="1:51" ht="40.049999999999997" customHeight="1" x14ac:dyDescent="0.65">
      <c r="A152" s="492" t="s">
        <v>368</v>
      </c>
      <c r="B152" s="313" t="s">
        <v>369</v>
      </c>
      <c r="C152" s="302"/>
      <c r="D152" s="302"/>
      <c r="E152" s="288"/>
      <c r="F152" s="288"/>
      <c r="G152" s="288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8"/>
      <c r="T152" s="288"/>
      <c r="U152" s="288"/>
      <c r="V152" s="288"/>
      <c r="W152" s="288"/>
      <c r="X152" s="288"/>
      <c r="Y152" s="288"/>
      <c r="Z152" s="288"/>
      <c r="AA152" s="288"/>
      <c r="AB152" s="288"/>
      <c r="AC152" s="288"/>
      <c r="AD152" s="288"/>
      <c r="AE152" s="288"/>
      <c r="AF152" s="288"/>
      <c r="AG152" s="288"/>
      <c r="AH152" s="288"/>
      <c r="AI152" s="288"/>
      <c r="AJ152" s="288"/>
      <c r="AK152" s="288"/>
      <c r="AL152" s="288"/>
      <c r="AM152" s="288"/>
      <c r="AN152" s="288"/>
      <c r="AO152" s="288" t="s">
        <v>91</v>
      </c>
      <c r="AP152" s="288"/>
      <c r="AQ152" s="288"/>
      <c r="AR152" s="288"/>
      <c r="AS152" s="286">
        <f t="shared" si="8"/>
        <v>1</v>
      </c>
      <c r="AT152" s="287">
        <f t="shared" si="9"/>
        <v>1</v>
      </c>
      <c r="AY152" s="847"/>
    </row>
    <row r="153" spans="1:51" ht="40.049999999999997" customHeight="1" x14ac:dyDescent="0.65">
      <c r="A153" s="492" t="s">
        <v>370</v>
      </c>
      <c r="B153" s="313" t="s">
        <v>371</v>
      </c>
      <c r="C153" s="284"/>
      <c r="D153" s="302"/>
      <c r="E153" s="285"/>
      <c r="F153" s="288"/>
      <c r="G153" s="285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5"/>
      <c r="V153" s="288"/>
      <c r="W153" s="285"/>
      <c r="X153" s="288"/>
      <c r="Y153" s="285"/>
      <c r="Z153" s="288"/>
      <c r="AA153" s="285"/>
      <c r="AB153" s="288"/>
      <c r="AC153" s="285"/>
      <c r="AD153" s="288"/>
      <c r="AE153" s="285"/>
      <c r="AF153" s="288"/>
      <c r="AG153" s="285"/>
      <c r="AH153" s="288"/>
      <c r="AI153" s="285"/>
      <c r="AJ153" s="288"/>
      <c r="AK153" s="285"/>
      <c r="AL153" s="288"/>
      <c r="AM153" s="288"/>
      <c r="AN153" s="288"/>
      <c r="AO153" s="288"/>
      <c r="AP153" s="288"/>
      <c r="AQ153" s="288"/>
      <c r="AR153" s="288"/>
      <c r="AS153" s="286">
        <f t="shared" si="8"/>
        <v>0</v>
      </c>
      <c r="AT153" s="287">
        <f t="shared" si="9"/>
        <v>0</v>
      </c>
      <c r="AY153" s="847"/>
    </row>
    <row r="154" spans="1:51" ht="40.049999999999997" customHeight="1" x14ac:dyDescent="0.65">
      <c r="A154" s="453" t="s">
        <v>372</v>
      </c>
      <c r="B154" s="497" t="s">
        <v>373</v>
      </c>
      <c r="C154" s="284"/>
      <c r="D154" s="302"/>
      <c r="E154" s="288"/>
      <c r="F154" s="288"/>
      <c r="G154" s="288"/>
      <c r="H154" s="288"/>
      <c r="I154" s="285" t="s">
        <v>55</v>
      </c>
      <c r="J154" s="288"/>
      <c r="K154" s="285" t="s">
        <v>55</v>
      </c>
      <c r="L154" s="288"/>
      <c r="M154" s="285" t="s">
        <v>55</v>
      </c>
      <c r="N154" s="288"/>
      <c r="O154" s="285" t="s">
        <v>55</v>
      </c>
      <c r="P154" s="288"/>
      <c r="Q154" s="285" t="s">
        <v>55</v>
      </c>
      <c r="R154" s="288"/>
      <c r="S154" s="285" t="s">
        <v>55</v>
      </c>
      <c r="T154" s="288"/>
      <c r="U154" s="285" t="s">
        <v>55</v>
      </c>
      <c r="V154" s="288"/>
      <c r="W154" s="288" t="s">
        <v>55</v>
      </c>
      <c r="X154" s="288"/>
      <c r="Y154" s="288" t="s">
        <v>46</v>
      </c>
      <c r="Z154" s="288"/>
      <c r="AA154" s="288" t="s">
        <v>46</v>
      </c>
      <c r="AB154" s="288"/>
      <c r="AC154" s="288" t="s">
        <v>36</v>
      </c>
      <c r="AD154" s="288"/>
      <c r="AE154" s="288" t="s">
        <v>36</v>
      </c>
      <c r="AF154" s="288"/>
      <c r="AG154" s="288" t="s">
        <v>36</v>
      </c>
      <c r="AH154" s="288"/>
      <c r="AI154" s="288" t="s">
        <v>36</v>
      </c>
      <c r="AJ154" s="288"/>
      <c r="AK154" s="288" t="s">
        <v>36</v>
      </c>
      <c r="AL154" s="288"/>
      <c r="AM154" s="288" t="s">
        <v>36</v>
      </c>
      <c r="AN154" s="288"/>
      <c r="AO154" s="672" t="s">
        <v>408</v>
      </c>
      <c r="AP154" s="288"/>
      <c r="AQ154" s="288" t="s">
        <v>55</v>
      </c>
      <c r="AR154" s="288"/>
      <c r="AS154" s="286">
        <f t="shared" si="8"/>
        <v>18</v>
      </c>
      <c r="AT154" s="287">
        <f t="shared" si="9"/>
        <v>18</v>
      </c>
      <c r="AY154" s="847"/>
    </row>
    <row r="155" spans="1:51" ht="40.049999999999997" customHeight="1" x14ac:dyDescent="0.65">
      <c r="A155" s="453" t="s">
        <v>374</v>
      </c>
      <c r="B155" s="497" t="s">
        <v>375</v>
      </c>
      <c r="C155" s="284"/>
      <c r="D155" s="302"/>
      <c r="E155" s="288"/>
      <c r="F155" s="288"/>
      <c r="G155" s="288"/>
      <c r="H155" s="288"/>
      <c r="I155" s="285" t="s">
        <v>57</v>
      </c>
      <c r="J155" s="288"/>
      <c r="K155" s="285" t="s">
        <v>57</v>
      </c>
      <c r="L155" s="288"/>
      <c r="M155" s="285" t="s">
        <v>57</v>
      </c>
      <c r="N155" s="288"/>
      <c r="O155" s="285" t="s">
        <v>57</v>
      </c>
      <c r="P155" s="288"/>
      <c r="Q155" s="285" t="s">
        <v>57</v>
      </c>
      <c r="R155" s="288"/>
      <c r="S155" s="285" t="s">
        <v>57</v>
      </c>
      <c r="T155" s="288"/>
      <c r="U155" s="285" t="s">
        <v>57</v>
      </c>
      <c r="V155" s="288"/>
      <c r="W155" s="288" t="s">
        <v>57</v>
      </c>
      <c r="X155" s="288"/>
      <c r="Y155" s="288" t="s">
        <v>57</v>
      </c>
      <c r="Z155" s="288"/>
      <c r="AA155" s="288" t="s">
        <v>57</v>
      </c>
      <c r="AB155" s="288"/>
      <c r="AC155" s="288" t="s">
        <v>57</v>
      </c>
      <c r="AD155" s="288"/>
      <c r="AE155" s="288" t="s">
        <v>57</v>
      </c>
      <c r="AF155" s="288"/>
      <c r="AG155" s="288" t="s">
        <v>57</v>
      </c>
      <c r="AH155" s="288"/>
      <c r="AI155" s="288" t="s">
        <v>57</v>
      </c>
      <c r="AJ155" s="288"/>
      <c r="AK155" s="288" t="s">
        <v>57</v>
      </c>
      <c r="AL155" s="288"/>
      <c r="AM155" s="288" t="s">
        <v>57</v>
      </c>
      <c r="AN155" s="288"/>
      <c r="AO155" s="288" t="s">
        <v>91</v>
      </c>
      <c r="AP155" s="288"/>
      <c r="AQ155" s="288"/>
      <c r="AR155" s="288"/>
      <c r="AS155" s="286">
        <f t="shared" si="8"/>
        <v>17</v>
      </c>
      <c r="AT155" s="287">
        <f t="shared" si="9"/>
        <v>17</v>
      </c>
      <c r="AY155" s="847"/>
    </row>
    <row r="156" spans="1:51" ht="40.049999999999997" customHeight="1" x14ac:dyDescent="0.65">
      <c r="A156" s="453" t="s">
        <v>376</v>
      </c>
      <c r="B156" s="497" t="s">
        <v>377</v>
      </c>
      <c r="C156" s="284"/>
      <c r="D156" s="302"/>
      <c r="E156" s="285"/>
      <c r="F156" s="288"/>
      <c r="G156" s="285"/>
      <c r="H156" s="288"/>
      <c r="I156" s="285"/>
      <c r="J156" s="288"/>
      <c r="K156" s="285"/>
      <c r="L156" s="288"/>
      <c r="M156" s="285"/>
      <c r="N156" s="288"/>
      <c r="O156" s="285"/>
      <c r="P156" s="288"/>
      <c r="Q156" s="285"/>
      <c r="R156" s="288"/>
      <c r="S156" s="285"/>
      <c r="T156" s="288"/>
      <c r="U156" s="285"/>
      <c r="V156" s="288"/>
      <c r="W156" s="285"/>
      <c r="X156" s="288"/>
      <c r="Y156" s="285"/>
      <c r="Z156" s="288"/>
      <c r="AA156" s="285"/>
      <c r="AB156" s="288"/>
      <c r="AC156" s="285" t="s">
        <v>57</v>
      </c>
      <c r="AD156" s="288"/>
      <c r="AE156" s="285"/>
      <c r="AF156" s="288"/>
      <c r="AG156" s="285"/>
      <c r="AH156" s="288"/>
      <c r="AI156" s="285" t="s">
        <v>57</v>
      </c>
      <c r="AJ156" s="288"/>
      <c r="AK156" s="285" t="s">
        <v>57</v>
      </c>
      <c r="AL156" s="288"/>
      <c r="AM156" s="285"/>
      <c r="AN156" s="288"/>
      <c r="AO156" s="288" t="s">
        <v>91</v>
      </c>
      <c r="AP156" s="288"/>
      <c r="AQ156" s="288"/>
      <c r="AR156" s="288"/>
      <c r="AS156" s="286">
        <f t="shared" si="8"/>
        <v>4</v>
      </c>
      <c r="AT156" s="287">
        <f t="shared" si="9"/>
        <v>4</v>
      </c>
      <c r="AY156" s="847"/>
    </row>
    <row r="157" spans="1:51" ht="40.049999999999997" customHeight="1" x14ac:dyDescent="0.65">
      <c r="A157" s="453" t="s">
        <v>374</v>
      </c>
      <c r="B157" s="498" t="s">
        <v>375</v>
      </c>
      <c r="C157" s="302"/>
      <c r="D157" s="302"/>
      <c r="E157" s="288"/>
      <c r="F157" s="288"/>
      <c r="G157" s="288"/>
      <c r="H157" s="288"/>
      <c r="I157" s="288" t="s">
        <v>57</v>
      </c>
      <c r="J157" s="288"/>
      <c r="K157" s="288" t="s">
        <v>57</v>
      </c>
      <c r="L157" s="288"/>
      <c r="M157" s="288" t="s">
        <v>57</v>
      </c>
      <c r="N157" s="288"/>
      <c r="O157" s="288" t="s">
        <v>57</v>
      </c>
      <c r="P157" s="288"/>
      <c r="Q157" s="288" t="s">
        <v>57</v>
      </c>
      <c r="R157" s="288"/>
      <c r="S157" s="288" t="s">
        <v>57</v>
      </c>
      <c r="T157" s="288"/>
      <c r="U157" s="288" t="s">
        <v>57</v>
      </c>
      <c r="V157" s="288"/>
      <c r="W157" s="288" t="s">
        <v>57</v>
      </c>
      <c r="X157" s="288"/>
      <c r="Y157" s="288" t="s">
        <v>57</v>
      </c>
      <c r="Z157" s="288"/>
      <c r="AA157" s="288" t="s">
        <v>57</v>
      </c>
      <c r="AB157" s="288"/>
      <c r="AC157" s="288" t="s">
        <v>57</v>
      </c>
      <c r="AD157" s="288"/>
      <c r="AE157" s="288" t="s">
        <v>57</v>
      </c>
      <c r="AF157" s="288"/>
      <c r="AG157" s="288" t="s">
        <v>57</v>
      </c>
      <c r="AH157" s="288"/>
      <c r="AI157" s="288" t="s">
        <v>57</v>
      </c>
      <c r="AJ157" s="288"/>
      <c r="AK157" s="288" t="s">
        <v>57</v>
      </c>
      <c r="AL157" s="288"/>
      <c r="AM157" s="283" t="s">
        <v>57</v>
      </c>
      <c r="AN157" s="288"/>
      <c r="AO157" s="288" t="s">
        <v>91</v>
      </c>
      <c r="AP157" s="288"/>
      <c r="AQ157" s="288"/>
      <c r="AR157" s="288"/>
      <c r="AS157" s="286">
        <f t="shared" si="8"/>
        <v>17</v>
      </c>
      <c r="AT157" s="287">
        <f t="shared" si="9"/>
        <v>17</v>
      </c>
      <c r="AY157" s="847"/>
    </row>
    <row r="158" spans="1:51" ht="40.049999999999997" customHeight="1" x14ac:dyDescent="0.65">
      <c r="A158" s="357" t="s">
        <v>378</v>
      </c>
      <c r="B158" s="903" t="s">
        <v>379</v>
      </c>
      <c r="C158" s="283"/>
      <c r="D158" s="284"/>
      <c r="E158" s="285"/>
      <c r="F158" s="285"/>
      <c r="G158" s="285"/>
      <c r="H158" s="285"/>
      <c r="I158" s="285"/>
      <c r="J158" s="285"/>
      <c r="K158" s="285"/>
      <c r="L158" s="285"/>
      <c r="M158" s="285"/>
      <c r="N158" s="285"/>
      <c r="O158" s="285"/>
      <c r="P158" s="285"/>
      <c r="Q158" s="285"/>
      <c r="R158" s="285"/>
      <c r="S158" s="285"/>
      <c r="T158" s="285"/>
      <c r="U158" s="285"/>
      <c r="V158" s="285"/>
      <c r="W158" s="285"/>
      <c r="X158" s="285"/>
      <c r="Y158" s="285"/>
      <c r="Z158" s="285"/>
      <c r="AA158" s="285"/>
      <c r="AB158" s="285"/>
      <c r="AC158" s="285"/>
      <c r="AD158" s="285"/>
      <c r="AE158" s="285"/>
      <c r="AF158" s="285"/>
      <c r="AG158" s="285"/>
      <c r="AH158" s="285"/>
      <c r="AI158" s="288"/>
      <c r="AJ158" s="288"/>
      <c r="AK158" s="288"/>
      <c r="AL158" s="288"/>
      <c r="AM158" s="288"/>
      <c r="AN158" s="288"/>
      <c r="AO158" s="288"/>
      <c r="AP158" s="288"/>
      <c r="AQ158" s="288"/>
      <c r="AR158" s="288"/>
      <c r="AS158" s="286">
        <f t="shared" si="8"/>
        <v>0</v>
      </c>
      <c r="AT158" s="287">
        <f t="shared" si="9"/>
        <v>0</v>
      </c>
    </row>
    <row r="159" spans="1:51" ht="40.049999999999997" customHeight="1" x14ac:dyDescent="0.65">
      <c r="A159" s="439" t="s">
        <v>380</v>
      </c>
      <c r="B159" s="901" t="s">
        <v>381</v>
      </c>
      <c r="C159" s="440"/>
      <c r="D159" s="441"/>
      <c r="E159" s="442"/>
      <c r="F159" s="442"/>
      <c r="G159" s="442"/>
      <c r="H159" s="442"/>
      <c r="I159" s="442"/>
      <c r="J159" s="442"/>
      <c r="K159" s="442"/>
      <c r="L159" s="442"/>
      <c r="M159" s="442"/>
      <c r="N159" s="442"/>
      <c r="O159" s="442"/>
      <c r="P159" s="442"/>
      <c r="Q159" s="442"/>
      <c r="R159" s="442"/>
      <c r="S159" s="442"/>
      <c r="T159" s="442"/>
      <c r="U159" s="442"/>
      <c r="V159" s="442"/>
      <c r="W159" s="442"/>
      <c r="X159" s="442"/>
      <c r="Y159" s="442"/>
      <c r="Z159" s="442"/>
      <c r="AA159" s="442"/>
      <c r="AB159" s="442"/>
      <c r="AC159" s="442"/>
      <c r="AD159" s="442"/>
      <c r="AE159" s="442"/>
      <c r="AF159" s="442"/>
      <c r="AG159" s="442"/>
      <c r="AH159" s="442"/>
      <c r="AI159" s="443"/>
      <c r="AJ159" s="443"/>
      <c r="AK159" s="443"/>
      <c r="AL159" s="443"/>
      <c r="AM159" s="443"/>
      <c r="AN159" s="443"/>
      <c r="AO159" s="443"/>
      <c r="AP159" s="443"/>
      <c r="AQ159" s="443"/>
      <c r="AR159" s="443"/>
      <c r="AS159" s="443"/>
      <c r="AT159" s="906"/>
      <c r="AY159" s="847"/>
    </row>
    <row r="160" spans="1:51" ht="40.049999999999997" customHeight="1" x14ac:dyDescent="0.65">
      <c r="A160" s="451" t="s">
        <v>382</v>
      </c>
      <c r="B160" s="902" t="s">
        <v>383</v>
      </c>
      <c r="C160" s="283"/>
      <c r="D160" s="302"/>
      <c r="E160" s="288"/>
      <c r="F160" s="288"/>
      <c r="G160" s="288"/>
      <c r="H160" s="288"/>
      <c r="I160" s="288" t="s">
        <v>93</v>
      </c>
      <c r="J160" s="288"/>
      <c r="K160" s="288" t="s">
        <v>93</v>
      </c>
      <c r="L160" s="288"/>
      <c r="M160" s="288" t="s">
        <v>93</v>
      </c>
      <c r="N160" s="288"/>
      <c r="O160" s="288" t="s">
        <v>93</v>
      </c>
      <c r="P160" s="288"/>
      <c r="Q160" s="288" t="s">
        <v>93</v>
      </c>
      <c r="R160" s="288"/>
      <c r="S160" s="288" t="s">
        <v>93</v>
      </c>
      <c r="T160" s="288"/>
      <c r="U160" s="288" t="s">
        <v>93</v>
      </c>
      <c r="V160" s="288"/>
      <c r="W160" s="288" t="s">
        <v>93</v>
      </c>
      <c r="X160" s="288"/>
      <c r="Y160" s="288" t="s">
        <v>93</v>
      </c>
      <c r="Z160" s="288"/>
      <c r="AA160" s="288" t="s">
        <v>93</v>
      </c>
      <c r="AB160" s="288"/>
      <c r="AC160" s="288" t="s">
        <v>93</v>
      </c>
      <c r="AD160" s="288"/>
      <c r="AE160" s="288" t="s">
        <v>93</v>
      </c>
      <c r="AF160" s="288"/>
      <c r="AG160" s="288" t="s">
        <v>93</v>
      </c>
      <c r="AH160" s="288"/>
      <c r="AI160" s="288" t="s">
        <v>93</v>
      </c>
      <c r="AJ160" s="288"/>
      <c r="AK160" s="288" t="s">
        <v>93</v>
      </c>
      <c r="AL160" s="288"/>
      <c r="AM160" s="288" t="s">
        <v>93</v>
      </c>
      <c r="AN160" s="288"/>
      <c r="AO160" s="288" t="s">
        <v>66</v>
      </c>
      <c r="AP160" s="288"/>
      <c r="AQ160" s="288"/>
      <c r="AR160" s="288"/>
      <c r="AS160" s="286">
        <f>COUNTIF(C160:AR160,"&gt;=R")</f>
        <v>17</v>
      </c>
      <c r="AT160" s="287">
        <f>AS160</f>
        <v>17</v>
      </c>
      <c r="AY160" s="847"/>
    </row>
    <row r="161" spans="1:66" ht="40.049999999999997" customHeight="1" x14ac:dyDescent="0.65">
      <c r="A161" s="451" t="s">
        <v>384</v>
      </c>
      <c r="B161" s="902" t="s">
        <v>385</v>
      </c>
      <c r="C161" s="283"/>
      <c r="D161" s="302"/>
      <c r="E161" s="283"/>
      <c r="F161" s="288"/>
      <c r="G161" s="283"/>
      <c r="H161" s="288"/>
      <c r="I161" s="283"/>
      <c r="J161" s="288"/>
      <c r="K161" s="283"/>
      <c r="L161" s="288"/>
      <c r="M161" s="283"/>
      <c r="N161" s="288"/>
      <c r="O161" s="283"/>
      <c r="P161" s="288"/>
      <c r="Q161" s="283"/>
      <c r="R161" s="288"/>
      <c r="S161" s="283"/>
      <c r="T161" s="288"/>
      <c r="U161" s="283"/>
      <c r="V161" s="288"/>
      <c r="W161" s="283"/>
      <c r="X161" s="288"/>
      <c r="Y161" s="283"/>
      <c r="Z161" s="288"/>
      <c r="AA161" s="283"/>
      <c r="AB161" s="288"/>
      <c r="AC161" s="283"/>
      <c r="AD161" s="288"/>
      <c r="AE161" s="283"/>
      <c r="AF161" s="288"/>
      <c r="AG161" s="283"/>
      <c r="AH161" s="288"/>
      <c r="AI161" s="283"/>
      <c r="AJ161" s="288"/>
      <c r="AK161" s="283"/>
      <c r="AL161" s="288"/>
      <c r="AM161" s="285"/>
      <c r="AN161" s="288"/>
      <c r="AO161" s="285" t="s">
        <v>66</v>
      </c>
      <c r="AP161" s="285"/>
      <c r="AQ161" s="285"/>
      <c r="AR161" s="288"/>
      <c r="AS161" s="286">
        <f>COUNTIF(C161:AR161,"&gt;=R")</f>
        <v>1</v>
      </c>
      <c r="AT161" s="287">
        <f>AS161</f>
        <v>1</v>
      </c>
      <c r="AY161" s="847"/>
    </row>
    <row r="162" spans="1:66" ht="40.049999999999997" customHeight="1" x14ac:dyDescent="0.65">
      <c r="A162" s="451" t="s">
        <v>386</v>
      </c>
      <c r="B162" s="902" t="s">
        <v>387</v>
      </c>
      <c r="C162" s="283"/>
      <c r="D162" s="302"/>
      <c r="E162" s="283"/>
      <c r="F162" s="288"/>
      <c r="G162" s="283"/>
      <c r="H162" s="288"/>
      <c r="I162" s="283"/>
      <c r="J162" s="288"/>
      <c r="K162" s="283"/>
      <c r="L162" s="288"/>
      <c r="M162" s="283"/>
      <c r="N162" s="288"/>
      <c r="O162" s="283"/>
      <c r="P162" s="288"/>
      <c r="Q162" s="283"/>
      <c r="R162" s="288"/>
      <c r="S162" s="283"/>
      <c r="T162" s="288"/>
      <c r="U162" s="283"/>
      <c r="V162" s="288"/>
      <c r="W162" s="283"/>
      <c r="X162" s="288"/>
      <c r="Y162" s="283"/>
      <c r="Z162" s="288"/>
      <c r="AA162" s="283"/>
      <c r="AB162" s="288"/>
      <c r="AC162" s="283"/>
      <c r="AD162" s="288"/>
      <c r="AE162" s="283"/>
      <c r="AF162" s="288"/>
      <c r="AG162" s="283"/>
      <c r="AH162" s="288"/>
      <c r="AI162" s="283"/>
      <c r="AJ162" s="288"/>
      <c r="AK162" s="283"/>
      <c r="AL162" s="288"/>
      <c r="AM162" s="283"/>
      <c r="AN162" s="288"/>
      <c r="AO162" s="283" t="s">
        <v>91</v>
      </c>
      <c r="AP162" s="283"/>
      <c r="AQ162" s="283"/>
      <c r="AR162" s="288"/>
      <c r="AS162" s="286">
        <f>COUNTIF(C162:AR162,"&gt;=R")</f>
        <v>1</v>
      </c>
      <c r="AT162" s="287">
        <f>AS162</f>
        <v>1</v>
      </c>
      <c r="AY162" s="847"/>
    </row>
    <row r="163" spans="1:66" ht="40.049999999999997" customHeight="1" x14ac:dyDescent="0.65">
      <c r="A163" s="451" t="s">
        <v>388</v>
      </c>
      <c r="B163" s="902" t="s">
        <v>389</v>
      </c>
      <c r="C163" s="283"/>
      <c r="D163" s="302"/>
      <c r="E163" s="283"/>
      <c r="F163" s="288"/>
      <c r="G163" s="283"/>
      <c r="H163" s="288"/>
      <c r="I163" s="283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3"/>
      <c r="Z163" s="288"/>
      <c r="AA163" s="283"/>
      <c r="AB163" s="288"/>
      <c r="AC163" s="283"/>
      <c r="AD163" s="288"/>
      <c r="AE163" s="283"/>
      <c r="AF163" s="288"/>
      <c r="AG163" s="283"/>
      <c r="AH163" s="288"/>
      <c r="AI163" s="283"/>
      <c r="AJ163" s="288"/>
      <c r="AK163" s="283"/>
      <c r="AL163" s="288"/>
      <c r="AM163" s="283"/>
      <c r="AN163" s="288"/>
      <c r="AO163" s="283" t="s">
        <v>66</v>
      </c>
      <c r="AP163" s="283"/>
      <c r="AQ163" s="283"/>
      <c r="AR163" s="288"/>
      <c r="AS163" s="286">
        <f>COUNTIF(C163:AR163,"&gt;=R")</f>
        <v>1</v>
      </c>
      <c r="AT163" s="287">
        <f>AS163</f>
        <v>1</v>
      </c>
      <c r="AY163" s="847"/>
    </row>
    <row r="164" spans="1:66" ht="40.049999999999997" customHeight="1" x14ac:dyDescent="0.65">
      <c r="A164" s="439" t="s">
        <v>390</v>
      </c>
      <c r="B164" s="904" t="s">
        <v>391</v>
      </c>
      <c r="C164" s="440"/>
      <c r="D164" s="441"/>
      <c r="E164" s="442"/>
      <c r="F164" s="442"/>
      <c r="G164" s="442"/>
      <c r="H164" s="442"/>
      <c r="I164" s="442"/>
      <c r="J164" s="442"/>
      <c r="K164" s="442"/>
      <c r="L164" s="442"/>
      <c r="M164" s="442"/>
      <c r="N164" s="442"/>
      <c r="O164" s="442"/>
      <c r="P164" s="442"/>
      <c r="Q164" s="442"/>
      <c r="R164" s="442"/>
      <c r="S164" s="442"/>
      <c r="T164" s="442"/>
      <c r="U164" s="442"/>
      <c r="V164" s="442"/>
      <c r="W164" s="442"/>
      <c r="X164" s="442"/>
      <c r="Y164" s="442"/>
      <c r="Z164" s="442"/>
      <c r="AA164" s="442"/>
      <c r="AB164" s="442"/>
      <c r="AC164" s="442"/>
      <c r="AD164" s="442"/>
      <c r="AE164" s="442"/>
      <c r="AF164" s="442"/>
      <c r="AG164" s="442"/>
      <c r="AH164" s="442"/>
      <c r="AI164" s="443"/>
      <c r="AJ164" s="443"/>
      <c r="AK164" s="443"/>
      <c r="AL164" s="443"/>
      <c r="AM164" s="443"/>
      <c r="AN164" s="443"/>
      <c r="AO164" s="443"/>
      <c r="AP164" s="443"/>
      <c r="AQ164" s="443"/>
      <c r="AR164" s="443"/>
      <c r="AS164" s="443"/>
      <c r="AT164" s="906"/>
      <c r="AY164" s="847"/>
    </row>
    <row r="165" spans="1:66" ht="40.049999999999997" customHeight="1" x14ac:dyDescent="0.65">
      <c r="A165" s="492" t="s">
        <v>392</v>
      </c>
      <c r="B165" s="313" t="s">
        <v>393</v>
      </c>
      <c r="C165" s="283"/>
      <c r="D165" s="302"/>
      <c r="E165" s="283"/>
      <c r="F165" s="288"/>
      <c r="G165" s="283"/>
      <c r="H165" s="288"/>
      <c r="I165" s="288"/>
      <c r="J165" s="288"/>
      <c r="K165" s="283"/>
      <c r="L165" s="288"/>
      <c r="M165" s="283"/>
      <c r="N165" s="288"/>
      <c r="O165" s="283"/>
      <c r="P165" s="288"/>
      <c r="Q165" s="283"/>
      <c r="R165" s="288"/>
      <c r="S165" s="283"/>
      <c r="T165" s="288"/>
      <c r="U165" s="283"/>
      <c r="V165" s="288"/>
      <c r="W165" s="283"/>
      <c r="X165" s="288"/>
      <c r="Y165" s="283"/>
      <c r="Z165" s="288"/>
      <c r="AA165" s="283"/>
      <c r="AB165" s="288"/>
      <c r="AC165" s="283"/>
      <c r="AD165" s="288"/>
      <c r="AE165" s="283"/>
      <c r="AF165" s="288"/>
      <c r="AG165" s="283"/>
      <c r="AH165" s="288"/>
      <c r="AI165" s="283"/>
      <c r="AJ165" s="288"/>
      <c r="AK165" s="283"/>
      <c r="AL165" s="288"/>
      <c r="AM165" s="283"/>
      <c r="AN165" s="288"/>
      <c r="AO165" s="283" t="s">
        <v>91</v>
      </c>
      <c r="AP165" s="283"/>
      <c r="AQ165" s="283"/>
      <c r="AR165" s="288"/>
      <c r="AS165" s="286">
        <f>COUNTIF(C165:AR165,"&gt;=R")</f>
        <v>1</v>
      </c>
      <c r="AT165" s="287">
        <f>AS165</f>
        <v>1</v>
      </c>
      <c r="AY165" s="847"/>
    </row>
    <row r="166" spans="1:66" ht="40.049999999999997" customHeight="1" x14ac:dyDescent="0.65">
      <c r="A166" s="492" t="s">
        <v>394</v>
      </c>
      <c r="B166" s="313" t="s">
        <v>395</v>
      </c>
      <c r="C166" s="283"/>
      <c r="D166" s="302"/>
      <c r="E166" s="283"/>
      <c r="F166" s="288"/>
      <c r="G166" s="283"/>
      <c r="H166" s="288"/>
      <c r="I166" s="288"/>
      <c r="J166" s="288"/>
      <c r="K166" s="283"/>
      <c r="L166" s="288"/>
      <c r="M166" s="283"/>
      <c r="N166" s="288"/>
      <c r="O166" s="283"/>
      <c r="P166" s="288"/>
      <c r="Q166" s="283"/>
      <c r="R166" s="288"/>
      <c r="S166" s="283"/>
      <c r="T166" s="288"/>
      <c r="U166" s="283"/>
      <c r="V166" s="288"/>
      <c r="W166" s="283"/>
      <c r="X166" s="288"/>
      <c r="Y166" s="283"/>
      <c r="Z166" s="288"/>
      <c r="AA166" s="283"/>
      <c r="AB166" s="288"/>
      <c r="AC166" s="283"/>
      <c r="AD166" s="288"/>
      <c r="AE166" s="283"/>
      <c r="AF166" s="288"/>
      <c r="AG166" s="283"/>
      <c r="AH166" s="288"/>
      <c r="AI166" s="283"/>
      <c r="AJ166" s="288"/>
      <c r="AK166" s="283"/>
      <c r="AL166" s="288"/>
      <c r="AM166" s="283"/>
      <c r="AN166" s="288"/>
      <c r="AO166" s="283"/>
      <c r="AP166" s="283"/>
      <c r="AQ166" s="283"/>
      <c r="AR166" s="288"/>
      <c r="AS166" s="286">
        <f>COUNTIF(C166:AR166,"&gt;=R")</f>
        <v>0</v>
      </c>
      <c r="AT166" s="287">
        <f>AS166</f>
        <v>0</v>
      </c>
      <c r="AU166" s="393"/>
      <c r="AV166" s="393"/>
      <c r="AW166" s="393"/>
      <c r="AX166" s="393"/>
      <c r="AY166" s="847"/>
      <c r="BE166" s="393"/>
      <c r="BF166" s="393"/>
      <c r="BG166" s="393"/>
      <c r="BH166" s="393"/>
      <c r="BI166" s="393"/>
      <c r="BJ166" s="393"/>
      <c r="BK166" s="393"/>
      <c r="BL166" s="393"/>
      <c r="BM166" s="393"/>
      <c r="BN166" s="393"/>
    </row>
    <row r="167" spans="1:66" ht="40.049999999999997" customHeight="1" thickBot="1" x14ac:dyDescent="0.7">
      <c r="A167" s="493" t="s">
        <v>396</v>
      </c>
      <c r="B167" s="499" t="s">
        <v>397</v>
      </c>
      <c r="C167" s="327"/>
      <c r="D167" s="328"/>
      <c r="E167" s="327"/>
      <c r="F167" s="329"/>
      <c r="G167" s="327"/>
      <c r="H167" s="329"/>
      <c r="I167" s="329"/>
      <c r="J167" s="329"/>
      <c r="K167" s="327"/>
      <c r="L167" s="329"/>
      <c r="M167" s="327"/>
      <c r="N167" s="329"/>
      <c r="O167" s="327"/>
      <c r="P167" s="329"/>
      <c r="Q167" s="327"/>
      <c r="R167" s="329"/>
      <c r="S167" s="327"/>
      <c r="T167" s="329"/>
      <c r="U167" s="327"/>
      <c r="V167" s="329"/>
      <c r="W167" s="327"/>
      <c r="X167" s="329"/>
      <c r="Y167" s="327"/>
      <c r="Z167" s="329"/>
      <c r="AA167" s="327"/>
      <c r="AB167" s="329"/>
      <c r="AC167" s="327"/>
      <c r="AD167" s="329"/>
      <c r="AE167" s="327"/>
      <c r="AF167" s="329"/>
      <c r="AG167" s="327"/>
      <c r="AH167" s="329"/>
      <c r="AI167" s="327"/>
      <c r="AJ167" s="329"/>
      <c r="AK167" s="327"/>
      <c r="AL167" s="329"/>
      <c r="AM167" s="327"/>
      <c r="AN167" s="329"/>
      <c r="AO167" s="327"/>
      <c r="AP167" s="327"/>
      <c r="AQ167" s="327"/>
      <c r="AR167" s="329"/>
      <c r="AS167" s="286">
        <f>COUNTIF(C167:AR167,"&gt;=R")</f>
        <v>0</v>
      </c>
      <c r="AT167" s="287">
        <f>AS167</f>
        <v>0</v>
      </c>
      <c r="AU167" s="393"/>
      <c r="AV167" s="393"/>
      <c r="AW167" s="393"/>
      <c r="AX167" s="393"/>
      <c r="AY167" s="847"/>
      <c r="BE167" s="393"/>
      <c r="BF167" s="393"/>
      <c r="BG167" s="393"/>
      <c r="BH167" s="393"/>
      <c r="BI167" s="393"/>
      <c r="BJ167" s="393"/>
      <c r="BK167" s="393"/>
      <c r="BL167" s="393"/>
      <c r="BM167" s="393"/>
      <c r="BN167" s="393"/>
    </row>
    <row r="168" spans="1:66" ht="25.2" customHeight="1" x14ac:dyDescent="0.45">
      <c r="A168" s="225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  <c r="AM168" s="115"/>
      <c r="AN168" s="115"/>
      <c r="AO168" s="115"/>
      <c r="AP168" s="115"/>
      <c r="AQ168" s="115"/>
      <c r="AR168" s="115"/>
      <c r="AS168" s="115"/>
      <c r="AT168" s="115"/>
      <c r="AU168" s="3"/>
      <c r="AV168" s="3"/>
      <c r="AW168" s="3"/>
      <c r="AX168" s="3"/>
      <c r="AY168" s="3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ht="25.2" customHeight="1" x14ac:dyDescent="0.45">
      <c r="A169" s="225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  <c r="AM169" s="115"/>
      <c r="AN169" s="115"/>
      <c r="AO169" s="115"/>
      <c r="AP169" s="115"/>
      <c r="AQ169" s="115"/>
      <c r="AR169" s="115"/>
      <c r="AS169" s="115"/>
      <c r="AT169" s="115"/>
      <c r="AU169" s="3"/>
      <c r="AV169" s="3"/>
      <c r="AW169" s="3"/>
      <c r="AX169" s="3"/>
      <c r="AY169" s="3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ht="25.2" customHeight="1" x14ac:dyDescent="0.45">
      <c r="A170" s="225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  <c r="AM170" s="115"/>
      <c r="AN170" s="115"/>
      <c r="AO170" s="115"/>
      <c r="AP170" s="115"/>
      <c r="AQ170" s="115"/>
      <c r="AR170" s="115"/>
      <c r="AS170" s="115"/>
      <c r="AT170" s="115"/>
      <c r="AU170" s="3"/>
      <c r="AV170" s="3"/>
      <c r="AW170" s="3"/>
      <c r="AX170" s="3"/>
      <c r="AY170" s="3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ht="25.2" customHeight="1" x14ac:dyDescent="0.45">
      <c r="A171" s="225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  <c r="AM171" s="115"/>
      <c r="AN171" s="115"/>
      <c r="AO171" s="115"/>
      <c r="AP171" s="115"/>
      <c r="AQ171" s="115"/>
      <c r="AR171" s="115"/>
      <c r="AS171" s="115"/>
      <c r="AT171" s="115"/>
      <c r="AU171" s="3"/>
      <c r="AV171" s="3"/>
      <c r="AW171" s="3"/>
      <c r="AX171" s="3"/>
      <c r="AY171" s="3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ht="25.2" customHeight="1" x14ac:dyDescent="0.45">
      <c r="A172" s="225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  <c r="AM172" s="115"/>
      <c r="AN172" s="115"/>
      <c r="AO172" s="115"/>
      <c r="AP172" s="115"/>
      <c r="AQ172" s="115"/>
      <c r="AR172" s="115"/>
      <c r="AS172" s="115"/>
      <c r="AT172" s="115"/>
      <c r="AU172" s="3"/>
      <c r="AV172" s="3"/>
      <c r="AW172" s="3"/>
      <c r="AX172" s="3"/>
      <c r="AY172" s="3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ht="25.2" customHeight="1" x14ac:dyDescent="0.45">
      <c r="A173" s="225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  <c r="AM173" s="115"/>
      <c r="AN173" s="115"/>
      <c r="AO173" s="115"/>
      <c r="AP173" s="115"/>
      <c r="AQ173" s="115"/>
      <c r="AR173" s="115"/>
      <c r="AS173" s="115"/>
      <c r="AT173" s="115"/>
      <c r="AU173" s="3"/>
      <c r="AV173" s="3"/>
      <c r="AW173" s="3"/>
      <c r="AX173" s="3"/>
      <c r="AY173" s="3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ht="25.2" customHeight="1" x14ac:dyDescent="0.45">
      <c r="A174" s="22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  <c r="AM174" s="115"/>
      <c r="AN174" s="115"/>
      <c r="AO174" s="115"/>
      <c r="AP174" s="115"/>
      <c r="AQ174" s="115"/>
      <c r="AR174" s="115"/>
      <c r="AS174" s="115"/>
      <c r="AT174" s="115"/>
      <c r="AU174" s="3"/>
      <c r="AV174" s="3"/>
      <c r="AW174" s="3"/>
      <c r="AX174" s="3"/>
      <c r="AY174" s="3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ht="25.2" customHeight="1" x14ac:dyDescent="0.45">
      <c r="A175" s="22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  <c r="AM175" s="115"/>
      <c r="AN175" s="115"/>
      <c r="AO175" s="115"/>
      <c r="AP175" s="115"/>
      <c r="AQ175" s="115"/>
      <c r="AR175" s="115"/>
      <c r="AS175" s="115"/>
      <c r="AT175" s="115"/>
      <c r="AU175" s="3"/>
      <c r="AV175" s="3"/>
      <c r="AW175" s="3"/>
      <c r="AX175" s="3"/>
      <c r="AY175" s="3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ht="25.2" customHeight="1" x14ac:dyDescent="0.45">
      <c r="A176" s="226"/>
      <c r="B176" s="2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15"/>
      <c r="AN176" s="115"/>
      <c r="AO176" s="115"/>
      <c r="AP176" s="115"/>
      <c r="AQ176" s="115"/>
      <c r="AR176" s="115"/>
      <c r="AS176" s="115"/>
      <c r="AT176" s="115"/>
      <c r="AU176" s="3"/>
      <c r="AV176" s="3"/>
      <c r="AW176" s="3"/>
      <c r="AX176" s="3"/>
      <c r="AY176" s="3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ht="25.2" customHeight="1" x14ac:dyDescent="0.45">
      <c r="A177" s="226"/>
      <c r="B177" s="2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  <c r="AM177" s="115"/>
      <c r="AN177" s="115"/>
      <c r="AO177" s="115"/>
      <c r="AP177" s="115"/>
      <c r="AQ177" s="115"/>
      <c r="AR177" s="115"/>
      <c r="AS177" s="115"/>
      <c r="AT177" s="115"/>
      <c r="AU177" s="3"/>
      <c r="AV177" s="3"/>
      <c r="AW177" s="3"/>
      <c r="AX177" s="3"/>
      <c r="AY177" s="3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ht="25.2" customHeight="1" x14ac:dyDescent="0.45">
      <c r="A178" s="226"/>
      <c r="B178" s="2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  <c r="AM178" s="115"/>
      <c r="AN178" s="115"/>
      <c r="AO178" s="115"/>
      <c r="AP178" s="115"/>
      <c r="AQ178" s="115"/>
      <c r="AR178" s="115"/>
      <c r="AS178" s="115"/>
      <c r="AT178" s="115"/>
      <c r="AU178" s="3"/>
      <c r="AV178" s="3"/>
      <c r="AW178" s="3"/>
      <c r="AX178" s="3"/>
      <c r="AY178" s="3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ht="25.2" customHeight="1" x14ac:dyDescent="0.45">
      <c r="A179" s="233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  <c r="AM179" s="115"/>
      <c r="AN179" s="115"/>
      <c r="AO179" s="115"/>
      <c r="AP179" s="115"/>
      <c r="AQ179" s="115"/>
      <c r="AR179" s="115"/>
      <c r="AS179" s="115"/>
      <c r="AT179" s="115"/>
      <c r="AU179" s="3"/>
      <c r="AV179" s="3"/>
      <c r="AW179" s="3"/>
      <c r="AX179" s="3"/>
      <c r="AY179" s="3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</row>
    <row r="180" spans="1:66" ht="25.2" customHeight="1" x14ac:dyDescent="0.45">
      <c r="A180" s="229"/>
      <c r="B180" s="219"/>
      <c r="C180" s="220"/>
      <c r="D180" s="220"/>
      <c r="E180" s="220"/>
      <c r="F180" s="219"/>
      <c r="G180" s="219"/>
      <c r="H180" s="219"/>
      <c r="I180" s="221"/>
      <c r="J180" s="221"/>
      <c r="K180" s="221"/>
      <c r="L180" s="221"/>
      <c r="M180" s="221"/>
      <c r="N180" s="221"/>
      <c r="O180" s="115"/>
      <c r="P180" s="220"/>
      <c r="Q180" s="220"/>
      <c r="R180" s="220"/>
      <c r="S180" s="220"/>
      <c r="T180" s="220"/>
      <c r="U180" s="220"/>
      <c r="V180" s="219"/>
      <c r="W180" s="219"/>
      <c r="X180" s="219"/>
      <c r="Y180" s="219"/>
      <c r="Z180" s="221"/>
      <c r="AA180" s="221"/>
      <c r="AB180" s="221"/>
      <c r="AC180" s="219"/>
      <c r="AD180" s="220"/>
      <c r="AE180" s="223"/>
      <c r="AF180" s="223"/>
      <c r="AG180" s="223"/>
      <c r="AH180" s="223"/>
      <c r="AI180" s="115"/>
      <c r="AJ180" s="115"/>
      <c r="AK180" s="115"/>
      <c r="AL180" s="115"/>
      <c r="AM180" s="115"/>
      <c r="AN180" s="115"/>
      <c r="AO180" s="221"/>
      <c r="AP180" s="221"/>
      <c r="AQ180" s="221"/>
      <c r="AR180" s="221"/>
      <c r="AS180" s="221"/>
      <c r="AT180" s="221"/>
      <c r="AU180" s="3"/>
      <c r="AV180" s="3"/>
      <c r="AW180" s="3"/>
      <c r="AX180" s="3"/>
      <c r="AY180" s="3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</row>
    <row r="181" spans="1:66" s="357" customFormat="1" ht="25.2" customHeight="1" x14ac:dyDescent="0.65">
      <c r="A181" s="385"/>
      <c r="B181" s="330" t="s">
        <v>398</v>
      </c>
      <c r="C181" s="330"/>
      <c r="D181" s="330"/>
      <c r="E181" s="330"/>
      <c r="F181" s="1070" t="s">
        <v>44</v>
      </c>
      <c r="G181" s="1009"/>
      <c r="H181" s="1009"/>
      <c r="I181" s="1009"/>
      <c r="J181" s="1009"/>
      <c r="K181" s="1009"/>
      <c r="L181" s="1009"/>
      <c r="M181" s="1009"/>
      <c r="N181" s="1009"/>
      <c r="O181" s="393"/>
      <c r="P181" s="474"/>
      <c r="Q181" s="474"/>
      <c r="R181" s="474"/>
      <c r="S181" s="474"/>
      <c r="T181" s="393"/>
      <c r="U181" s="393"/>
      <c r="W181" s="1097" t="s">
        <v>399</v>
      </c>
      <c r="X181" s="1042"/>
      <c r="Y181" s="1042"/>
      <c r="Z181" s="1042"/>
      <c r="AA181" s="1042"/>
      <c r="AB181" s="1042"/>
      <c r="AC181" s="330"/>
      <c r="AD181" s="393"/>
      <c r="AE181" s="393"/>
      <c r="AF181" s="393"/>
      <c r="AG181" s="393"/>
      <c r="AH181" s="393"/>
      <c r="AJ181" s="475"/>
      <c r="AK181" s="475"/>
      <c r="AL181" s="475"/>
      <c r="AM181" s="475"/>
      <c r="AN181" s="475"/>
      <c r="AO181" s="1094" t="s">
        <v>73</v>
      </c>
      <c r="AP181" s="1009"/>
      <c r="AQ181" s="1009"/>
      <c r="AR181" s="1009"/>
      <c r="AS181" s="1009"/>
      <c r="AT181" s="1009"/>
      <c r="AU181" s="475"/>
      <c r="AV181" s="475"/>
      <c r="AW181" s="475"/>
      <c r="AX181" s="475"/>
      <c r="AY181" s="393"/>
      <c r="AZ181" s="393"/>
      <c r="BA181" s="393"/>
      <c r="BB181" s="393"/>
      <c r="BC181" s="393"/>
      <c r="BD181" s="393"/>
      <c r="BE181" s="393"/>
      <c r="BF181" s="393"/>
      <c r="BG181" s="393"/>
      <c r="BH181" s="393"/>
      <c r="BI181" s="1083"/>
      <c r="BJ181" s="1042"/>
      <c r="BK181" s="1042"/>
      <c r="BL181" s="1042"/>
      <c r="BM181" s="1042"/>
      <c r="BN181" s="393"/>
    </row>
    <row r="182" spans="1:66" s="357" customFormat="1" ht="25.2" customHeight="1" x14ac:dyDescent="0.65">
      <c r="A182" s="385"/>
      <c r="B182" s="476" t="s">
        <v>35</v>
      </c>
      <c r="C182" s="476"/>
      <c r="D182" s="476"/>
      <c r="E182" s="476"/>
      <c r="F182" s="1092" t="s">
        <v>54</v>
      </c>
      <c r="G182" s="1042"/>
      <c r="H182" s="1042"/>
      <c r="I182" s="1042"/>
      <c r="J182" s="1042"/>
      <c r="K182" s="1042"/>
      <c r="L182" s="1042"/>
      <c r="M182" s="1042"/>
      <c r="N182" s="1042"/>
      <c r="O182" s="477"/>
      <c r="P182" s="477"/>
      <c r="Q182" s="477"/>
      <c r="R182" s="477"/>
      <c r="S182" s="477"/>
      <c r="T182" s="393"/>
      <c r="U182" s="393"/>
      <c r="V182" s="1041" t="s">
        <v>400</v>
      </c>
      <c r="W182" s="1042"/>
      <c r="X182" s="1042"/>
      <c r="Y182" s="1042"/>
      <c r="Z182" s="1042"/>
      <c r="AA182" s="1042"/>
      <c r="AB182" s="1042"/>
      <c r="AC182" s="1042"/>
      <c r="AD182" s="393"/>
      <c r="AE182" s="393"/>
      <c r="AF182" s="393"/>
      <c r="AG182" s="393"/>
      <c r="AH182" s="393"/>
      <c r="AI182" s="477"/>
      <c r="AJ182" s="477"/>
      <c r="AK182" s="477"/>
      <c r="AL182" s="477"/>
      <c r="AM182" s="477"/>
      <c r="AO182" s="1041" t="s">
        <v>74</v>
      </c>
      <c r="AP182" s="1042"/>
      <c r="AQ182" s="1042"/>
      <c r="AR182" s="1042"/>
      <c r="AS182" s="1042"/>
      <c r="AT182" s="1042"/>
      <c r="AU182" s="477"/>
      <c r="AV182" s="479"/>
      <c r="AW182" s="479"/>
      <c r="AX182" s="479"/>
      <c r="AY182" s="393"/>
      <c r="AZ182" s="393"/>
      <c r="BA182" s="393"/>
      <c r="BB182" s="393"/>
      <c r="BC182" s="393"/>
      <c r="BD182" s="393"/>
      <c r="BE182" s="393"/>
      <c r="BF182" s="393"/>
      <c r="BG182" s="393"/>
      <c r="BH182" s="393"/>
      <c r="BI182" s="1071"/>
      <c r="BJ182" s="1042"/>
      <c r="BK182" s="1042"/>
      <c r="BL182" s="1042"/>
      <c r="BM182" s="1042"/>
      <c r="BN182" s="393"/>
    </row>
    <row r="183" spans="1:66" ht="18" customHeight="1" x14ac:dyDescent="0.45">
      <c r="A183" s="114"/>
      <c r="B183" s="116"/>
      <c r="C183" s="116"/>
      <c r="D183" s="116"/>
      <c r="E183" s="116"/>
      <c r="F183" s="116"/>
      <c r="G183" s="224"/>
      <c r="H183" s="224"/>
      <c r="I183" s="115"/>
      <c r="J183" s="115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081"/>
      <c r="W183" s="978"/>
      <c r="X183" s="978"/>
      <c r="Y183" s="978"/>
      <c r="Z183" s="978"/>
      <c r="AA183" s="978"/>
      <c r="AB183" s="115"/>
      <c r="AC183" s="224"/>
      <c r="AD183" s="115"/>
      <c r="AE183" s="115"/>
      <c r="AF183" s="115"/>
      <c r="AG183" s="115"/>
      <c r="AH183" s="115"/>
      <c r="AI183" s="116"/>
      <c r="AJ183" s="116"/>
      <c r="AK183" s="116"/>
      <c r="AL183" s="116"/>
      <c r="AM183" s="116"/>
      <c r="AN183" s="116"/>
      <c r="AO183" s="116"/>
      <c r="AP183" s="116"/>
      <c r="AQ183" s="116"/>
      <c r="AR183" s="116"/>
      <c r="AS183" s="116"/>
      <c r="AT183" s="116"/>
      <c r="AU183" s="43"/>
      <c r="AV183" s="5"/>
      <c r="AW183" s="5"/>
      <c r="AX183" s="5"/>
      <c r="AY183" s="3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</row>
  </sheetData>
  <mergeCells count="115">
    <mergeCell ref="V183:AA183"/>
    <mergeCell ref="C17:G17"/>
    <mergeCell ref="AA9:AC9"/>
    <mergeCell ref="AE12:AG12"/>
    <mergeCell ref="BI182:BM182"/>
    <mergeCell ref="A16:AT16"/>
    <mergeCell ref="AM13:AO13"/>
    <mergeCell ref="BI181:BM181"/>
    <mergeCell ref="AS18:AT18"/>
    <mergeCell ref="AA15:AC15"/>
    <mergeCell ref="S7:U7"/>
    <mergeCell ref="G7:I11"/>
    <mergeCell ref="AE8:AG8"/>
    <mergeCell ref="AI19:AJ19"/>
    <mergeCell ref="AA7:AC7"/>
    <mergeCell ref="S10:U10"/>
    <mergeCell ref="AM10:AO10"/>
    <mergeCell ref="AE10:AG10"/>
    <mergeCell ref="E19:F19"/>
    <mergeCell ref="G19:H19"/>
    <mergeCell ref="S9:U9"/>
    <mergeCell ref="AO19:AP19"/>
    <mergeCell ref="Y19:Z19"/>
    <mergeCell ref="Q19:R19"/>
    <mergeCell ref="O8:Q8"/>
    <mergeCell ref="W11:Y11"/>
    <mergeCell ref="O11:Q11"/>
    <mergeCell ref="AQ19:AR19"/>
    <mergeCell ref="V182:AC182"/>
    <mergeCell ref="B1:B6"/>
    <mergeCell ref="AI14:AK14"/>
    <mergeCell ref="AM18:AR18"/>
    <mergeCell ref="W13:Y13"/>
    <mergeCell ref="F182:N182"/>
    <mergeCell ref="AI13:AK13"/>
    <mergeCell ref="S12:U12"/>
    <mergeCell ref="K15:M15"/>
    <mergeCell ref="AO182:AT182"/>
    <mergeCell ref="B17:B19"/>
    <mergeCell ref="AM14:AO14"/>
    <mergeCell ref="W15:Y15"/>
    <mergeCell ref="AA13:AC13"/>
    <mergeCell ref="A17:A19"/>
    <mergeCell ref="AA19:AB19"/>
    <mergeCell ref="AK19:AL19"/>
    <mergeCell ref="F181:N181"/>
    <mergeCell ref="C7:F11"/>
    <mergeCell ref="AE9:AG9"/>
    <mergeCell ref="AI12:AK12"/>
    <mergeCell ref="AA11:AC11"/>
    <mergeCell ref="AM15:AO15"/>
    <mergeCell ref="AE11:AG11"/>
    <mergeCell ref="W14:Y14"/>
    <mergeCell ref="K13:M13"/>
    <mergeCell ref="K8:M8"/>
    <mergeCell ref="AO181:AT181"/>
    <mergeCell ref="AE13:AG13"/>
    <mergeCell ref="K14:M14"/>
    <mergeCell ref="W9:Y9"/>
    <mergeCell ref="O12:Q12"/>
    <mergeCell ref="AA12:AC12"/>
    <mergeCell ref="K7:M7"/>
    <mergeCell ref="AM12:AO12"/>
    <mergeCell ref="AE15:AG15"/>
    <mergeCell ref="O14:Q14"/>
    <mergeCell ref="AA14:AC14"/>
    <mergeCell ref="O13:Q13"/>
    <mergeCell ref="O7:Q7"/>
    <mergeCell ref="AI8:AK8"/>
    <mergeCell ref="AE7:AG7"/>
    <mergeCell ref="W10:Y10"/>
    <mergeCell ref="O15:Q15"/>
    <mergeCell ref="AI10:AK10"/>
    <mergeCell ref="K19:L19"/>
    <mergeCell ref="U19:V19"/>
    <mergeCell ref="S8:U8"/>
    <mergeCell ref="W19:X19"/>
    <mergeCell ref="O19:P19"/>
    <mergeCell ref="C19:D19"/>
    <mergeCell ref="O9:Q9"/>
    <mergeCell ref="M19:N19"/>
    <mergeCell ref="AI9:AK9"/>
    <mergeCell ref="S11:U11"/>
    <mergeCell ref="K11:M11"/>
    <mergeCell ref="AI11:AK11"/>
    <mergeCell ref="AM9:AO9"/>
    <mergeCell ref="AM19:AN19"/>
    <mergeCell ref="K12:M12"/>
    <mergeCell ref="AM11:AO11"/>
    <mergeCell ref="W12:Y12"/>
    <mergeCell ref="I19:J19"/>
    <mergeCell ref="AI15:AK15"/>
    <mergeCell ref="S14:U14"/>
    <mergeCell ref="A1:A6"/>
    <mergeCell ref="AE14:AG14"/>
    <mergeCell ref="S13:U13"/>
    <mergeCell ref="W7:Y7"/>
    <mergeCell ref="G12:I15"/>
    <mergeCell ref="W181:AB181"/>
    <mergeCell ref="C1:AT6"/>
    <mergeCell ref="AI7:AK7"/>
    <mergeCell ref="S15:U15"/>
    <mergeCell ref="C12:F15"/>
    <mergeCell ref="AM7:AO7"/>
    <mergeCell ref="W8:Y8"/>
    <mergeCell ref="K10:M10"/>
    <mergeCell ref="S19:T19"/>
    <mergeCell ref="AC19:AD19"/>
    <mergeCell ref="AA8:AC8"/>
    <mergeCell ref="AE19:AF19"/>
    <mergeCell ref="AG19:AH19"/>
    <mergeCell ref="AM8:AO8"/>
    <mergeCell ref="O10:Q10"/>
    <mergeCell ref="AA10:AC10"/>
    <mergeCell ref="K9:M9"/>
  </mergeCells>
  <conditionalFormatting sqref="C57:AH57">
    <cfRule type="cellIs" dxfId="1200" priority="85" stopIfTrue="1" operator="notEqual">
      <formula>0</formula>
    </cfRule>
    <cfRule type="cellIs" dxfId="1199" priority="86" stopIfTrue="1" operator="equal">
      <formula>0</formula>
    </cfRule>
  </conditionalFormatting>
  <conditionalFormatting sqref="C71:AH71">
    <cfRule type="cellIs" dxfId="1198" priority="41" stopIfTrue="1" operator="notEqual">
      <formula>0</formula>
    </cfRule>
    <cfRule type="cellIs" dxfId="1197" priority="42" stopIfTrue="1" operator="equal">
      <formula>0</formula>
    </cfRule>
  </conditionalFormatting>
  <conditionalFormatting sqref="C57:AR57">
    <cfRule type="containsText" dxfId="1196" priority="68" operator="containsText" text="R10">
      <formula>NOT(ISERROR(SEARCH("R10",C57)))</formula>
    </cfRule>
    <cfRule type="containsText" dxfId="1195" priority="69" operator="containsText" text="R9">
      <formula>NOT(ISERROR(SEARCH("R9",C57)))</formula>
    </cfRule>
    <cfRule type="containsText" dxfId="1194" priority="74" operator="containsText" text="R2">
      <formula>NOT(ISERROR(SEARCH("R2",C57)))</formula>
    </cfRule>
    <cfRule type="containsText" dxfId="1193" priority="75" operator="containsText" text="R8">
      <formula>NOT(ISERROR(SEARCH("R8",C57)))</formula>
    </cfRule>
    <cfRule type="containsText" dxfId="1192" priority="77" operator="containsText" text="R6">
      <formula>NOT(ISERROR(SEARCH("R6",C57)))</formula>
    </cfRule>
    <cfRule type="containsText" dxfId="1191" priority="78" operator="containsText" text="R5">
      <formula>NOT(ISERROR(SEARCH("R5",C57)))</formula>
    </cfRule>
    <cfRule type="containsText" dxfId="1190" priority="79" operator="containsText" text="R4">
      <formula>NOT(ISERROR(SEARCH("R4",C57)))</formula>
    </cfRule>
    <cfRule type="containsText" dxfId="1189" priority="76" operator="containsText" text="R7">
      <formula>NOT(ISERROR(SEARCH("R7",C57)))</formula>
    </cfRule>
    <cfRule type="containsText" dxfId="1188" priority="62" operator="containsText" text="R16">
      <formula>NOT(ISERROR(SEARCH("R16",C57)))</formula>
    </cfRule>
    <cfRule type="containsText" dxfId="1187" priority="44" operator="containsText" text="R36">
      <formula>NOT(ISERROR(SEARCH("R36",C57)))</formula>
    </cfRule>
    <cfRule type="containsText" dxfId="1186" priority="52" operator="containsText" text="R27">
      <formula>NOT(ISERROR(SEARCH("R27",C57)))</formula>
    </cfRule>
    <cfRule type="containsText" dxfId="1185" priority="45" operator="containsText" text="R35">
      <formula>NOT(ISERROR(SEARCH("R35",C57)))</formula>
    </cfRule>
    <cfRule type="containsText" dxfId="1184" priority="47" operator="containsText" text="R33">
      <formula>NOT(ISERROR(SEARCH("R33",C57)))</formula>
    </cfRule>
    <cfRule type="containsText" dxfId="1183" priority="48" operator="containsText" text="R32">
      <formula>NOT(ISERROR(SEARCH("R32",C57)))</formula>
    </cfRule>
    <cfRule type="containsText" dxfId="1182" priority="49" operator="containsText" text="R31">
      <formula>NOT(ISERROR(SEARCH("R31",C57)))</formula>
    </cfRule>
    <cfRule type="containsText" dxfId="1181" priority="51" operator="containsText" text="R29">
      <formula>NOT(ISERROR(SEARCH("R29",C57)))</formula>
    </cfRule>
    <cfRule type="containsText" dxfId="1180" priority="53" stopIfTrue="1" operator="containsText" text="R26">
      <formula>NOT(ISERROR(SEARCH("R26",C57)))</formula>
    </cfRule>
    <cfRule type="containsText" dxfId="1179" priority="54" operator="containsText" text="R25">
      <formula>NOT(ISERROR(SEARCH("R25",C57)))</formula>
    </cfRule>
    <cfRule type="containsText" dxfId="1178" priority="56" operator="containsText" text="R23">
      <formula>NOT(ISERROR(SEARCH("R23",C57)))</formula>
    </cfRule>
    <cfRule type="containsText" dxfId="1177" priority="57" operator="containsText" text="R22">
      <formula>NOT(ISERROR(SEARCH("R22",C57)))</formula>
    </cfRule>
    <cfRule type="containsText" dxfId="1176" priority="58" operator="containsText" text="R21">
      <formula>NOT(ISERROR(SEARCH("R21",C57)))</formula>
    </cfRule>
    <cfRule type="containsText" dxfId="1175" priority="59" operator="containsText" text="R20">
      <formula>NOT(ISERROR(SEARCH("R20",C57)))</formula>
    </cfRule>
    <cfRule type="containsText" dxfId="1174" priority="60" operator="containsText" text="R19">
      <formula>NOT(ISERROR(SEARCH("R19",C57)))</formula>
    </cfRule>
    <cfRule type="containsText" dxfId="1173" priority="61" operator="containsText" text="R17">
      <formula>NOT(ISERROR(SEARCH("R17",C57)))</formula>
    </cfRule>
    <cfRule type="containsText" dxfId="1172" priority="63" operator="containsText" text="R15">
      <formula>NOT(ISERROR(SEARCH("R15",C57)))</formula>
    </cfRule>
    <cfRule type="containsText" dxfId="1171" priority="64" operator="containsText" text="R13">
      <formula>NOT(ISERROR(SEARCH("R13",C57)))</formula>
    </cfRule>
    <cfRule type="containsText" dxfId="1170" priority="65" operator="containsText" text="R14">
      <formula>NOT(ISERROR(SEARCH("R14",C57)))</formula>
    </cfRule>
    <cfRule type="containsText" dxfId="1169" priority="66" operator="containsText" text="R12">
      <formula>NOT(ISERROR(SEARCH("R12",C57)))</formula>
    </cfRule>
    <cfRule type="containsText" dxfId="1168" priority="67" operator="containsText" text="R11">
      <formula>NOT(ISERROR(SEARCH("R11",C57)))</formula>
    </cfRule>
  </conditionalFormatting>
  <conditionalFormatting sqref="C71:AR71">
    <cfRule type="containsText" dxfId="1167" priority="11" stopIfTrue="1" operator="containsText" text="R26">
      <formula>NOT(ISERROR(SEARCH("R26",C71)))</formula>
    </cfRule>
    <cfRule type="containsText" dxfId="1166" priority="2" operator="containsText" text="R36">
      <formula>NOT(ISERROR(SEARCH("R36",C71)))</formula>
    </cfRule>
    <cfRule type="containsText" dxfId="1165" priority="3" operator="containsText" text="R35">
      <formula>NOT(ISERROR(SEARCH("R35",C71)))</formula>
    </cfRule>
    <cfRule type="containsText" dxfId="1164" priority="31" operator="containsText" text="R9">
      <formula>NOT(ISERROR(SEARCH("R9",C71)))</formula>
    </cfRule>
    <cfRule type="containsText" dxfId="1163" priority="5" operator="containsText" text="R33">
      <formula>NOT(ISERROR(SEARCH("R33",C71)))</formula>
    </cfRule>
    <cfRule type="containsText" dxfId="1162" priority="6" operator="containsText" text="R32">
      <formula>NOT(ISERROR(SEARCH("R32",C71)))</formula>
    </cfRule>
    <cfRule type="containsText" dxfId="1161" priority="7" operator="containsText" text="R31">
      <formula>NOT(ISERROR(SEARCH("R31",C71)))</formula>
    </cfRule>
    <cfRule type="containsText" dxfId="1160" priority="33" operator="containsText" text="R8">
      <formula>NOT(ISERROR(SEARCH("R8",C71)))</formula>
    </cfRule>
    <cfRule type="containsText" dxfId="1159" priority="9" operator="containsText" text="R29">
      <formula>NOT(ISERROR(SEARCH("R29",C71)))</formula>
    </cfRule>
    <cfRule type="containsText" dxfId="1158" priority="10" operator="containsText" text="R27">
      <formula>NOT(ISERROR(SEARCH("R27",C71)))</formula>
    </cfRule>
    <cfRule type="containsText" dxfId="1157" priority="12" operator="containsText" text="R25">
      <formula>NOT(ISERROR(SEARCH("R25",C71)))</formula>
    </cfRule>
    <cfRule type="containsText" dxfId="1156" priority="34" operator="containsText" text="R7">
      <formula>NOT(ISERROR(SEARCH("R7",C71)))</formula>
    </cfRule>
    <cfRule type="containsText" dxfId="1155" priority="35" operator="containsText" text="R6">
      <formula>NOT(ISERROR(SEARCH("R6",C71)))</formula>
    </cfRule>
    <cfRule type="containsText" dxfId="1154" priority="36" operator="containsText" text="R5">
      <formula>NOT(ISERROR(SEARCH("R5",C71)))</formula>
    </cfRule>
    <cfRule type="containsText" dxfId="1153" priority="37" operator="containsText" text="R4">
      <formula>NOT(ISERROR(SEARCH("R4",C71)))</formula>
    </cfRule>
    <cfRule type="containsText" dxfId="1152" priority="32" operator="containsText" text="R2">
      <formula>NOT(ISERROR(SEARCH("R2",C71)))</formula>
    </cfRule>
    <cfRule type="containsText" dxfId="1151" priority="18" operator="containsText" text="R23">
      <formula>NOT(ISERROR(SEARCH("R23",C71)))</formula>
    </cfRule>
    <cfRule type="containsText" dxfId="1150" priority="19" operator="containsText" text="R22">
      <formula>NOT(ISERROR(SEARCH("R22",C71)))</formula>
    </cfRule>
    <cfRule type="containsText" dxfId="1149" priority="20" operator="containsText" text="R21">
      <formula>NOT(ISERROR(SEARCH("R21",C71)))</formula>
    </cfRule>
    <cfRule type="containsText" dxfId="1148" priority="21" operator="containsText" text="R20">
      <formula>NOT(ISERROR(SEARCH("R20",C71)))</formula>
    </cfRule>
    <cfRule type="containsText" dxfId="1147" priority="22" operator="containsText" text="R19">
      <formula>NOT(ISERROR(SEARCH("R19",C71)))</formula>
    </cfRule>
    <cfRule type="containsText" dxfId="1146" priority="23" operator="containsText" text="R17">
      <formula>NOT(ISERROR(SEARCH("R17",C71)))</formula>
    </cfRule>
    <cfRule type="containsText" dxfId="1145" priority="24" operator="containsText" text="R16">
      <formula>NOT(ISERROR(SEARCH("R16",C71)))</formula>
    </cfRule>
    <cfRule type="containsText" dxfId="1144" priority="25" operator="containsText" text="R15">
      <formula>NOT(ISERROR(SEARCH("R15",C71)))</formula>
    </cfRule>
    <cfRule type="containsText" dxfId="1143" priority="26" operator="containsText" text="R13">
      <formula>NOT(ISERROR(SEARCH("R13",C71)))</formula>
    </cfRule>
    <cfRule type="containsText" dxfId="1142" priority="27" operator="containsText" text="R14">
      <formula>NOT(ISERROR(SEARCH("R14",C71)))</formula>
    </cfRule>
    <cfRule type="containsText" dxfId="1141" priority="28" operator="containsText" text="R12">
      <formula>NOT(ISERROR(SEARCH("R12",C71)))</formula>
    </cfRule>
    <cfRule type="containsText" dxfId="1140" priority="29" operator="containsText" text="R11">
      <formula>NOT(ISERROR(SEARCH("R11",C71)))</formula>
    </cfRule>
    <cfRule type="containsText" dxfId="1139" priority="30" operator="containsText" text="R10">
      <formula>NOT(ISERROR(SEARCH("R10",C71)))</formula>
    </cfRule>
  </conditionalFormatting>
  <conditionalFormatting sqref="E57:AR57">
    <cfRule type="containsText" dxfId="1138" priority="50" operator="containsText" text="R30">
      <formula>NOT(ISERROR(SEARCH("R30",E57)))</formula>
    </cfRule>
    <cfRule type="containsText" dxfId="1137" priority="80" operator="containsText" text="R3">
      <formula>NOT(ISERROR(SEARCH("R3",E57)))</formula>
    </cfRule>
  </conditionalFormatting>
  <conditionalFormatting sqref="E71:AR71">
    <cfRule type="containsText" dxfId="1136" priority="8" operator="containsText" text="R30">
      <formula>NOT(ISERROR(SEARCH("R30",E71)))</formula>
    </cfRule>
    <cfRule type="containsText" dxfId="1135" priority="38" operator="containsText" text="R3">
      <formula>NOT(ISERROR(SEARCH("R3",E71)))</formula>
    </cfRule>
  </conditionalFormatting>
  <conditionalFormatting sqref="F57:AR57">
    <cfRule type="containsText" dxfId="1134" priority="55" operator="containsText" text="R24">
      <formula>NOT(ISERROR(SEARCH("R24",F57)))</formula>
    </cfRule>
  </conditionalFormatting>
  <conditionalFormatting sqref="F71:AR71">
    <cfRule type="containsText" dxfId="1133" priority="17" operator="containsText" text="R24">
      <formula>NOT(ISERROR(SEARCH("R24",F71)))</formula>
    </cfRule>
  </conditionalFormatting>
  <conditionalFormatting sqref="G57:AR57">
    <cfRule type="containsText" dxfId="1132" priority="46" operator="containsText" text="R34">
      <formula>NOT(ISERROR(SEARCH("R34",G57)))</formula>
    </cfRule>
  </conditionalFormatting>
  <conditionalFormatting sqref="G71:AR71">
    <cfRule type="containsText" dxfId="1131" priority="4" operator="containsText" text="R34">
      <formula>NOT(ISERROR(SEARCH("R34",G71)))</formula>
    </cfRule>
  </conditionalFormatting>
  <conditionalFormatting sqref="H57:AR57">
    <cfRule type="containsText" dxfId="1130" priority="43" operator="containsText" text="R37">
      <formula>NOT(ISERROR(SEARCH("R37",H57)))</formula>
    </cfRule>
  </conditionalFormatting>
  <conditionalFormatting sqref="H71:AR71">
    <cfRule type="containsText" dxfId="1129" priority="1" operator="containsText" text="R37">
      <formula>NOT(ISERROR(SEARCH("R37",H71)))</formula>
    </cfRule>
  </conditionalFormatting>
  <conditionalFormatting sqref="AC71:AI71 AK71">
    <cfRule type="cellIs" dxfId="1128" priority="13" stopIfTrue="1" operator="notEqual">
      <formula>0</formula>
    </cfRule>
    <cfRule type="cellIs" dxfId="1127" priority="14" stopIfTrue="1" operator="equal">
      <formula>0</formula>
    </cfRule>
  </conditionalFormatting>
  <conditionalFormatting sqref="AG57">
    <cfRule type="cellIs" dxfId="1126" priority="83" stopIfTrue="1" operator="notEqual">
      <formula>0</formula>
    </cfRule>
    <cfRule type="cellIs" dxfId="1125" priority="84" stopIfTrue="1" operator="equal">
      <formula>0</formula>
    </cfRule>
  </conditionalFormatting>
  <conditionalFormatting sqref="AK57">
    <cfRule type="cellIs" dxfId="1124" priority="81" stopIfTrue="1" operator="notEqual">
      <formula>0</formula>
    </cfRule>
    <cfRule type="cellIs" dxfId="1123" priority="82" stopIfTrue="1" operator="equal">
      <formula>0</formula>
    </cfRule>
  </conditionalFormatting>
  <conditionalFormatting sqref="AM71">
    <cfRule type="cellIs" dxfId="1122" priority="40" stopIfTrue="1" operator="equal">
      <formula>0</formula>
    </cfRule>
    <cfRule type="cellIs" dxfId="1121" priority="39" stopIfTrue="1" operator="notEqual">
      <formula>0</formula>
    </cfRule>
  </conditionalFormatting>
  <conditionalFormatting sqref="AO71">
    <cfRule type="cellIs" dxfId="1120" priority="15" stopIfTrue="1" operator="notEqual">
      <formula>0</formula>
    </cfRule>
    <cfRule type="cellIs" dxfId="1119" priority="16" stopIfTrue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1:BN181"/>
  <sheetViews>
    <sheetView zoomScale="40" zoomScaleNormal="40" workbookViewId="0">
      <selection activeCell="L190" sqref="L190"/>
    </sheetView>
  </sheetViews>
  <sheetFormatPr baseColWidth="10" defaultRowHeight="14.4" x14ac:dyDescent="0.3"/>
  <cols>
    <col min="1" max="1" width="44.33203125" bestFit="1" customWidth="1"/>
    <col min="2" max="2" width="148.21875" bestFit="1" customWidth="1"/>
    <col min="21" max="22" width="15.109375" bestFit="1" customWidth="1"/>
  </cols>
  <sheetData>
    <row r="1" spans="1:43" ht="34.799999999999997" customHeight="1" x14ac:dyDescent="0.3">
      <c r="A1" s="1202"/>
      <c r="B1" s="1049" t="s">
        <v>0</v>
      </c>
      <c r="C1" s="1205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5"/>
      <c r="W1" s="197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5"/>
      <c r="AQ1" s="15"/>
    </row>
    <row r="2" spans="1:43" ht="34.799999999999997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9"/>
      <c r="W2" s="197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5"/>
      <c r="AQ2" s="15"/>
    </row>
    <row r="3" spans="1:43" ht="63.6" customHeight="1" thickBot="1" x14ac:dyDescent="0.3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9"/>
      <c r="W3" s="197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5"/>
      <c r="AP3" s="15"/>
      <c r="AQ3" s="15"/>
    </row>
    <row r="4" spans="1:43" s="357" customFormat="1" ht="34.200000000000003" customHeight="1" x14ac:dyDescent="0.65">
      <c r="A4" s="337" t="s">
        <v>2</v>
      </c>
      <c r="B4" s="338" t="s">
        <v>3</v>
      </c>
      <c r="C4" s="1068" t="s">
        <v>4</v>
      </c>
      <c r="D4" s="1042"/>
      <c r="E4" s="1042"/>
      <c r="F4" s="979"/>
      <c r="G4" s="1065">
        <v>46037</v>
      </c>
      <c r="H4" s="984"/>
      <c r="I4" s="984"/>
      <c r="J4" s="456" t="s">
        <v>407</v>
      </c>
      <c r="K4" s="1206">
        <v>45814</v>
      </c>
      <c r="L4" s="984"/>
      <c r="M4" s="985"/>
      <c r="N4" s="558" t="s">
        <v>83</v>
      </c>
      <c r="O4" s="1200">
        <v>45898</v>
      </c>
      <c r="P4" s="984"/>
      <c r="Q4" s="985"/>
      <c r="R4" s="791" t="s">
        <v>18</v>
      </c>
      <c r="S4" s="1109">
        <v>45996</v>
      </c>
      <c r="T4" s="1042"/>
      <c r="U4" s="979"/>
      <c r="V4" s="354"/>
      <c r="W4" s="355"/>
      <c r="X4" s="355"/>
      <c r="Y4" s="356"/>
      <c r="Z4" s="356"/>
    </row>
    <row r="5" spans="1:43" s="357" customFormat="1" ht="34.200000000000003" customHeight="1" thickBot="1" x14ac:dyDescent="0.7">
      <c r="A5" s="339" t="s">
        <v>14</v>
      </c>
      <c r="B5" s="340" t="s">
        <v>15</v>
      </c>
      <c r="C5" s="986"/>
      <c r="D5" s="1042"/>
      <c r="E5" s="1042"/>
      <c r="F5" s="979"/>
      <c r="G5" s="986"/>
      <c r="H5" s="1042"/>
      <c r="I5" s="1042"/>
      <c r="J5" s="332" t="s">
        <v>408</v>
      </c>
      <c r="K5" s="1207">
        <v>45821</v>
      </c>
      <c r="L5" s="1042"/>
      <c r="M5" s="979"/>
      <c r="N5" s="559" t="s">
        <v>91</v>
      </c>
      <c r="O5" s="1199">
        <v>45905</v>
      </c>
      <c r="P5" s="1042"/>
      <c r="Q5" s="1042"/>
      <c r="R5" s="789" t="s">
        <v>28</v>
      </c>
      <c r="S5" s="1105">
        <v>46003</v>
      </c>
      <c r="T5" s="975"/>
      <c r="U5" s="976"/>
      <c r="V5" s="361"/>
      <c r="W5" s="362"/>
      <c r="X5" s="362"/>
      <c r="Y5" s="356"/>
      <c r="Z5" s="356"/>
    </row>
    <row r="6" spans="1:43" s="357" customFormat="1" ht="34.200000000000003" customHeight="1" x14ac:dyDescent="0.65">
      <c r="A6" s="339" t="s">
        <v>24</v>
      </c>
      <c r="B6" s="340" t="s">
        <v>25</v>
      </c>
      <c r="C6" s="986"/>
      <c r="D6" s="1042"/>
      <c r="E6" s="1042"/>
      <c r="F6" s="979"/>
      <c r="G6" s="986"/>
      <c r="H6" s="1042"/>
      <c r="I6" s="1042"/>
      <c r="J6" s="333" t="s">
        <v>16</v>
      </c>
      <c r="K6" s="1203">
        <v>45835</v>
      </c>
      <c r="L6" s="1042"/>
      <c r="M6" s="979"/>
      <c r="N6" s="797" t="s">
        <v>27</v>
      </c>
      <c r="O6" s="1133">
        <v>45933</v>
      </c>
      <c r="P6" s="1042"/>
      <c r="Q6" s="979"/>
      <c r="R6" s="792" t="s">
        <v>38</v>
      </c>
      <c r="S6" s="1114">
        <v>46010</v>
      </c>
      <c r="T6" s="984"/>
      <c r="U6" s="984"/>
      <c r="V6" s="365"/>
      <c r="W6" s="362"/>
      <c r="X6" s="362"/>
      <c r="Y6" s="356"/>
      <c r="Z6" s="356"/>
    </row>
    <row r="7" spans="1:43" s="357" customFormat="1" ht="34.200000000000003" customHeight="1" x14ac:dyDescent="0.65">
      <c r="A7" s="339" t="s">
        <v>34</v>
      </c>
      <c r="B7" s="340" t="s">
        <v>35</v>
      </c>
      <c r="C7" s="986"/>
      <c r="D7" s="1042"/>
      <c r="E7" s="1042"/>
      <c r="F7" s="979"/>
      <c r="G7" s="986"/>
      <c r="H7" s="1042"/>
      <c r="I7" s="1042"/>
      <c r="J7" s="334" t="s">
        <v>411</v>
      </c>
      <c r="K7" s="1164">
        <v>45842</v>
      </c>
      <c r="L7" s="1042"/>
      <c r="M7" s="979"/>
      <c r="N7" s="785" t="s">
        <v>37</v>
      </c>
      <c r="O7" s="1168">
        <v>45940</v>
      </c>
      <c r="P7" s="1042"/>
      <c r="Q7" s="979"/>
      <c r="R7" s="795" t="s">
        <v>48</v>
      </c>
      <c r="S7" s="1069">
        <v>46015</v>
      </c>
      <c r="T7" s="1042"/>
      <c r="U7" s="1042"/>
      <c r="V7" s="365"/>
      <c r="W7" s="362"/>
      <c r="X7" s="362"/>
    </row>
    <row r="8" spans="1:43" s="357" customFormat="1" ht="34.200000000000003" customHeight="1" thickBot="1" x14ac:dyDescent="0.7">
      <c r="A8" s="339" t="s">
        <v>44</v>
      </c>
      <c r="B8" s="340" t="s">
        <v>54</v>
      </c>
      <c r="C8" s="986"/>
      <c r="D8" s="1042"/>
      <c r="E8" s="1042"/>
      <c r="F8" s="979"/>
      <c r="G8" s="986"/>
      <c r="H8" s="1042"/>
      <c r="I8" s="1042"/>
      <c r="J8" s="335" t="s">
        <v>26</v>
      </c>
      <c r="K8" s="1169">
        <v>45849</v>
      </c>
      <c r="L8" s="1042"/>
      <c r="M8" s="979"/>
      <c r="N8" s="662" t="s">
        <v>56</v>
      </c>
      <c r="O8" s="1131">
        <v>45954</v>
      </c>
      <c r="P8" s="1042"/>
      <c r="Q8" s="1042"/>
      <c r="R8" s="824" t="s">
        <v>57</v>
      </c>
      <c r="S8" s="1093">
        <v>46022</v>
      </c>
      <c r="T8" s="1042"/>
      <c r="U8" s="1042"/>
      <c r="V8" s="365"/>
      <c r="W8" s="362"/>
      <c r="X8" s="362"/>
      <c r="Y8" s="356"/>
      <c r="Z8" s="356"/>
    </row>
    <row r="9" spans="1:43" s="357" customFormat="1" ht="34.200000000000003" customHeight="1" thickBot="1" x14ac:dyDescent="0.7">
      <c r="A9" s="339" t="s">
        <v>62</v>
      </c>
      <c r="B9" s="340" t="s">
        <v>63</v>
      </c>
      <c r="C9" s="987"/>
      <c r="D9" s="975"/>
      <c r="E9" s="975"/>
      <c r="F9" s="976"/>
      <c r="G9" s="987"/>
      <c r="H9" s="975"/>
      <c r="I9" s="975"/>
      <c r="J9" s="336" t="s">
        <v>36</v>
      </c>
      <c r="K9" s="1129">
        <v>45855</v>
      </c>
      <c r="L9" s="1042"/>
      <c r="M9" s="979"/>
      <c r="N9" s="663" t="s">
        <v>67</v>
      </c>
      <c r="O9" s="1146">
        <v>45960</v>
      </c>
      <c r="P9" s="984"/>
      <c r="Q9" s="985"/>
      <c r="R9" s="825" t="s">
        <v>68</v>
      </c>
      <c r="S9" s="1079">
        <v>46031</v>
      </c>
      <c r="T9" s="1042"/>
      <c r="U9" s="1042"/>
      <c r="V9" s="365"/>
      <c r="W9" s="362"/>
      <c r="X9" s="362"/>
      <c r="Y9" s="356"/>
      <c r="Z9" s="356"/>
    </row>
    <row r="10" spans="1:43" s="357" customFormat="1" ht="34.200000000000003" customHeight="1" thickBot="1" x14ac:dyDescent="0.7">
      <c r="A10" s="339" t="s">
        <v>73</v>
      </c>
      <c r="B10" s="340" t="s">
        <v>74</v>
      </c>
      <c r="C10" s="1056" t="s">
        <v>64</v>
      </c>
      <c r="D10" s="984"/>
      <c r="E10" s="984"/>
      <c r="F10" s="985"/>
      <c r="G10" s="1056" t="s">
        <v>65</v>
      </c>
      <c r="H10" s="984"/>
      <c r="I10" s="985"/>
      <c r="J10" s="375" t="s">
        <v>46</v>
      </c>
      <c r="K10" s="1148">
        <v>45863</v>
      </c>
      <c r="L10" s="1042"/>
      <c r="M10" s="979"/>
      <c r="N10" s="720" t="s">
        <v>76</v>
      </c>
      <c r="O10" s="1115">
        <v>45968</v>
      </c>
      <c r="P10" s="1042"/>
      <c r="Q10" s="979"/>
      <c r="R10" s="829" t="s">
        <v>77</v>
      </c>
      <c r="S10" s="1043">
        <v>46038</v>
      </c>
      <c r="T10" s="1042"/>
      <c r="U10" s="979"/>
      <c r="V10" s="365"/>
      <c r="W10" s="362"/>
      <c r="X10" s="362"/>
      <c r="Y10" s="356"/>
      <c r="Z10" s="356"/>
    </row>
    <row r="11" spans="1:43" s="357" customFormat="1" ht="34.200000000000003" customHeight="1" thickBot="1" x14ac:dyDescent="0.7">
      <c r="A11" s="339" t="s">
        <v>82</v>
      </c>
      <c r="B11" s="340" t="s">
        <v>400</v>
      </c>
      <c r="C11" s="986"/>
      <c r="D11" s="1042"/>
      <c r="E11" s="1042"/>
      <c r="F11" s="979"/>
      <c r="G11" s="986"/>
      <c r="H11" s="1042"/>
      <c r="I11" s="979"/>
      <c r="J11" s="363" t="s">
        <v>55</v>
      </c>
      <c r="K11" s="1196">
        <v>45870</v>
      </c>
      <c r="L11" s="1042"/>
      <c r="M11" s="979"/>
      <c r="N11" s="721" t="s">
        <v>84</v>
      </c>
      <c r="O11" s="1106">
        <v>45975</v>
      </c>
      <c r="P11" s="1042"/>
      <c r="Q11" s="979"/>
      <c r="R11" s="831" t="s">
        <v>85</v>
      </c>
      <c r="S11" s="1031">
        <v>46045</v>
      </c>
      <c r="T11" s="1042"/>
      <c r="U11" s="979"/>
      <c r="V11" s="365"/>
      <c r="W11" s="362"/>
      <c r="X11" s="362"/>
      <c r="Y11" s="356"/>
      <c r="Z11" s="356"/>
    </row>
    <row r="12" spans="1:43" s="357" customFormat="1" ht="34.200000000000003" customHeight="1" thickBot="1" x14ac:dyDescent="0.7">
      <c r="A12" s="377" t="s">
        <v>90</v>
      </c>
      <c r="B12" s="378">
        <v>182948</v>
      </c>
      <c r="C12" s="986"/>
      <c r="D12" s="1042"/>
      <c r="E12" s="1042"/>
      <c r="F12" s="979"/>
      <c r="G12" s="986"/>
      <c r="H12" s="1042"/>
      <c r="I12" s="979"/>
      <c r="J12" s="331" t="s">
        <v>66</v>
      </c>
      <c r="K12" s="1135">
        <v>45883</v>
      </c>
      <c r="L12" s="1042"/>
      <c r="M12" s="979"/>
      <c r="N12" s="740" t="s">
        <v>92</v>
      </c>
      <c r="O12" s="1122">
        <v>45982</v>
      </c>
      <c r="P12" s="1042"/>
      <c r="Q12" s="979"/>
      <c r="R12" s="841" t="s">
        <v>93</v>
      </c>
      <c r="S12" s="1061">
        <v>46052</v>
      </c>
      <c r="T12" s="1042"/>
      <c r="U12" s="979"/>
      <c r="V12" s="365"/>
      <c r="W12" s="362"/>
      <c r="X12" s="362"/>
      <c r="Y12" s="356"/>
      <c r="Z12" s="356"/>
    </row>
    <row r="13" spans="1:43" s="357" customFormat="1" ht="34.200000000000003" customHeight="1" thickBot="1" x14ac:dyDescent="0.7">
      <c r="C13" s="987"/>
      <c r="D13" s="975"/>
      <c r="E13" s="975"/>
      <c r="F13" s="976"/>
      <c r="G13" s="987"/>
      <c r="H13" s="975"/>
      <c r="I13" s="976"/>
      <c r="J13" s="486" t="s">
        <v>75</v>
      </c>
      <c r="K13" s="1204">
        <v>45891</v>
      </c>
      <c r="L13" s="975"/>
      <c r="M13" s="976"/>
      <c r="N13" s="775" t="s">
        <v>8</v>
      </c>
      <c r="O13" s="1117">
        <v>45989</v>
      </c>
      <c r="P13" s="1042"/>
      <c r="Q13" s="979"/>
      <c r="R13" s="739"/>
      <c r="S13" s="1118"/>
      <c r="T13" s="975"/>
      <c r="U13" s="976"/>
      <c r="V13" s="369"/>
      <c r="W13" s="362"/>
      <c r="X13" s="362"/>
      <c r="Y13" s="356"/>
      <c r="Z13" s="356"/>
    </row>
    <row r="14" spans="1:43" s="357" customFormat="1" ht="34.200000000000003" customHeight="1" thickBot="1" x14ac:dyDescent="0.7">
      <c r="A14" s="400"/>
      <c r="B14" s="399"/>
      <c r="C14" s="399"/>
      <c r="D14" s="399"/>
      <c r="E14" s="399"/>
      <c r="F14" s="399"/>
      <c r="G14" s="399"/>
      <c r="H14" s="399"/>
      <c r="I14" s="399"/>
      <c r="J14" s="401"/>
      <c r="K14" s="401"/>
      <c r="L14" s="401"/>
      <c r="M14" s="401"/>
      <c r="N14" s="401"/>
      <c r="O14" s="401"/>
      <c r="P14" s="401"/>
      <c r="Q14" s="401"/>
      <c r="R14" s="401"/>
      <c r="S14" s="401"/>
      <c r="T14" s="401"/>
      <c r="U14" s="401"/>
      <c r="V14" s="401"/>
      <c r="W14" s="385"/>
      <c r="X14" s="385"/>
      <c r="Y14" s="385"/>
      <c r="Z14" s="385"/>
      <c r="AA14" s="385"/>
      <c r="AB14" s="385"/>
      <c r="AC14" s="385"/>
      <c r="AD14" s="385"/>
      <c r="AE14" s="385"/>
      <c r="AF14" s="385"/>
      <c r="AG14" s="385"/>
      <c r="AH14" s="385"/>
      <c r="AI14" s="385"/>
      <c r="AJ14" s="385"/>
      <c r="AK14" s="385"/>
    </row>
    <row r="15" spans="1:43" s="357" customFormat="1" ht="34.200000000000003" customHeight="1" thickBot="1" x14ac:dyDescent="0.7">
      <c r="A15" s="1057" t="s">
        <v>98</v>
      </c>
      <c r="B15" s="1072" t="s">
        <v>99</v>
      </c>
      <c r="C15" s="343" t="s">
        <v>100</v>
      </c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344"/>
      <c r="W15" s="383"/>
      <c r="X15" s="383"/>
      <c r="Y15" s="383"/>
      <c r="Z15" s="383"/>
      <c r="AA15" s="383"/>
      <c r="AB15" s="383"/>
      <c r="AC15" s="383"/>
      <c r="AD15" s="383"/>
      <c r="AE15" s="383"/>
      <c r="AF15" s="383"/>
      <c r="AG15" s="383"/>
      <c r="AH15" s="383"/>
      <c r="AI15" s="384"/>
      <c r="AJ15" s="385"/>
      <c r="AK15" s="385"/>
    </row>
    <row r="16" spans="1:43" s="357" customFormat="1" ht="34.200000000000003" customHeight="1" thickBot="1" x14ac:dyDescent="0.7">
      <c r="A16" s="986"/>
      <c r="B16" s="997"/>
      <c r="C16" s="345" t="s">
        <v>101</v>
      </c>
      <c r="D16" s="346"/>
      <c r="E16" s="347"/>
      <c r="F16" s="347"/>
      <c r="G16" s="348"/>
      <c r="H16" s="264"/>
      <c r="I16" s="264"/>
      <c r="J16" s="264"/>
      <c r="K16" s="264"/>
      <c r="L16" s="264"/>
      <c r="M16" s="264"/>
      <c r="N16" s="264"/>
      <c r="O16" s="1038" t="s">
        <v>102</v>
      </c>
      <c r="P16" s="1000"/>
      <c r="Q16" s="1000"/>
      <c r="R16" s="1000"/>
      <c r="S16" s="1000"/>
      <c r="T16" s="1001"/>
      <c r="U16" s="1091" t="s">
        <v>420</v>
      </c>
      <c r="V16" s="1001"/>
      <c r="W16" s="457"/>
      <c r="X16" s="457"/>
      <c r="Y16" s="457"/>
      <c r="Z16" s="457"/>
      <c r="AA16" s="457"/>
      <c r="AB16" s="457"/>
      <c r="AC16" s="457"/>
    </row>
    <row r="17" spans="1:42" s="357" customFormat="1" ht="34.200000000000003" customHeight="1" thickBot="1" x14ac:dyDescent="0.7">
      <c r="A17" s="987"/>
      <c r="B17" s="1013"/>
      <c r="C17" s="1085">
        <v>1</v>
      </c>
      <c r="D17" s="994"/>
      <c r="E17" s="1046">
        <v>2</v>
      </c>
      <c r="F17" s="994"/>
      <c r="G17" s="1046">
        <v>3</v>
      </c>
      <c r="H17" s="994"/>
      <c r="I17" s="1046">
        <v>4</v>
      </c>
      <c r="J17" s="994"/>
      <c r="K17" s="1046">
        <v>5</v>
      </c>
      <c r="L17" s="994"/>
      <c r="M17" s="1046">
        <v>6</v>
      </c>
      <c r="N17" s="994"/>
      <c r="O17" s="1046">
        <v>7</v>
      </c>
      <c r="P17" s="994"/>
      <c r="Q17" s="1046">
        <v>8</v>
      </c>
      <c r="R17" s="994"/>
      <c r="S17" s="1046">
        <v>9</v>
      </c>
      <c r="T17" s="994"/>
      <c r="U17" s="266" t="s">
        <v>104</v>
      </c>
      <c r="V17" s="267" t="s">
        <v>105</v>
      </c>
    </row>
    <row r="18" spans="1:42" ht="40.049999999999997" customHeight="1" thickBot="1" x14ac:dyDescent="0.35">
      <c r="A18" s="458" t="s">
        <v>106</v>
      </c>
      <c r="B18" s="269" t="s">
        <v>107</v>
      </c>
      <c r="C18" s="270" t="s">
        <v>108</v>
      </c>
      <c r="D18" s="271" t="s">
        <v>109</v>
      </c>
      <c r="E18" s="272" t="s">
        <v>108</v>
      </c>
      <c r="F18" s="271" t="s">
        <v>109</v>
      </c>
      <c r="G18" s="272" t="s">
        <v>108</v>
      </c>
      <c r="H18" s="271" t="s">
        <v>109</v>
      </c>
      <c r="I18" s="272" t="s">
        <v>108</v>
      </c>
      <c r="J18" s="271" t="s">
        <v>109</v>
      </c>
      <c r="K18" s="272" t="s">
        <v>108</v>
      </c>
      <c r="L18" s="271" t="s">
        <v>109</v>
      </c>
      <c r="M18" s="272" t="s">
        <v>108</v>
      </c>
      <c r="N18" s="271" t="s">
        <v>109</v>
      </c>
      <c r="O18" s="272" t="s">
        <v>108</v>
      </c>
      <c r="P18" s="271" t="s">
        <v>109</v>
      </c>
      <c r="Q18" s="272" t="s">
        <v>108</v>
      </c>
      <c r="R18" s="271" t="s">
        <v>109</v>
      </c>
      <c r="S18" s="272" t="s">
        <v>108</v>
      </c>
      <c r="T18" s="271" t="s">
        <v>109</v>
      </c>
      <c r="U18" s="271"/>
      <c r="V18" s="273"/>
    </row>
    <row r="19" spans="1:42" ht="40.049999999999997" customHeight="1" x14ac:dyDescent="0.65">
      <c r="A19" s="459" t="s">
        <v>110</v>
      </c>
      <c r="B19" s="275" t="s">
        <v>111</v>
      </c>
      <c r="C19" s="276"/>
      <c r="D19" s="277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78"/>
      <c r="R19" s="278"/>
      <c r="S19" s="278"/>
      <c r="T19" s="278"/>
      <c r="U19" s="278"/>
      <c r="V19" s="280"/>
      <c r="W19" s="357"/>
      <c r="X19" s="357"/>
      <c r="Y19" s="357"/>
      <c r="Z19" s="357"/>
      <c r="AA19" s="357"/>
      <c r="AB19" s="357"/>
      <c r="AC19" s="357"/>
      <c r="AD19" s="357"/>
      <c r="AE19" s="357"/>
      <c r="AF19" s="357"/>
      <c r="AG19" s="357"/>
      <c r="AH19" s="357"/>
      <c r="AI19" s="357"/>
      <c r="AJ19" s="357"/>
      <c r="AK19" s="357"/>
      <c r="AL19" s="357"/>
      <c r="AM19" s="357"/>
      <c r="AN19" s="357"/>
      <c r="AO19" s="357"/>
      <c r="AP19" s="357"/>
    </row>
    <row r="20" spans="1:42" ht="40.049999999999997" customHeight="1" x14ac:dyDescent="0.3">
      <c r="A20" s="460" t="s">
        <v>112</v>
      </c>
      <c r="B20" s="900" t="s">
        <v>113</v>
      </c>
      <c r="C20" s="283" t="s">
        <v>407</v>
      </c>
      <c r="D20" s="284"/>
      <c r="E20" s="283" t="s">
        <v>407</v>
      </c>
      <c r="F20" s="285"/>
      <c r="G20" s="283" t="s">
        <v>407</v>
      </c>
      <c r="H20" s="285"/>
      <c r="I20" s="283" t="s">
        <v>407</v>
      </c>
      <c r="J20" s="285"/>
      <c r="K20" s="283" t="s">
        <v>407</v>
      </c>
      <c r="L20" s="285"/>
      <c r="M20" s="283" t="s">
        <v>407</v>
      </c>
      <c r="N20" s="285"/>
      <c r="O20" s="283" t="s">
        <v>407</v>
      </c>
      <c r="P20" s="285"/>
      <c r="Q20" s="283" t="s">
        <v>407</v>
      </c>
      <c r="R20" s="285"/>
      <c r="S20" s="283" t="s">
        <v>407</v>
      </c>
      <c r="T20" s="285"/>
      <c r="U20" s="286">
        <f t="shared" ref="U20:U26" si="0">COUNTIF(C20:T20,"&gt;=R")</f>
        <v>9</v>
      </c>
      <c r="V20" s="287">
        <f t="shared" ref="V20:V26" si="1">U20</f>
        <v>9</v>
      </c>
    </row>
    <row r="21" spans="1:42" ht="40.049999999999997" customHeight="1" x14ac:dyDescent="0.3">
      <c r="A21" s="460" t="s">
        <v>114</v>
      </c>
      <c r="B21" s="900" t="s">
        <v>115</v>
      </c>
      <c r="C21" s="284" t="s">
        <v>408</v>
      </c>
      <c r="D21" s="284"/>
      <c r="E21" s="285" t="s">
        <v>408</v>
      </c>
      <c r="F21" s="285"/>
      <c r="G21" s="285" t="s">
        <v>408</v>
      </c>
      <c r="H21" s="285"/>
      <c r="I21" s="285" t="s">
        <v>408</v>
      </c>
      <c r="J21" s="285"/>
      <c r="K21" s="283" t="s">
        <v>407</v>
      </c>
      <c r="L21" s="285"/>
      <c r="M21" s="283" t="s">
        <v>407</v>
      </c>
      <c r="N21" s="285"/>
      <c r="O21" s="283" t="s">
        <v>407</v>
      </c>
      <c r="P21" s="285"/>
      <c r="Q21" s="283" t="s">
        <v>407</v>
      </c>
      <c r="R21" s="285"/>
      <c r="S21" s="283" t="s">
        <v>407</v>
      </c>
      <c r="T21" s="285"/>
      <c r="U21" s="286">
        <f t="shared" si="0"/>
        <v>9</v>
      </c>
      <c r="V21" s="287">
        <f t="shared" si="1"/>
        <v>9</v>
      </c>
    </row>
    <row r="22" spans="1:42" ht="40.049999999999997" customHeight="1" x14ac:dyDescent="0.3">
      <c r="A22" s="460" t="s">
        <v>116</v>
      </c>
      <c r="B22" s="900" t="s">
        <v>117</v>
      </c>
      <c r="C22" s="283" t="s">
        <v>408</v>
      </c>
      <c r="D22" s="284"/>
      <c r="E22" s="283" t="s">
        <v>408</v>
      </c>
      <c r="F22" s="285"/>
      <c r="G22" s="283" t="s">
        <v>408</v>
      </c>
      <c r="H22" s="285"/>
      <c r="I22" s="283" t="s">
        <v>408</v>
      </c>
      <c r="J22" s="285"/>
      <c r="K22" s="283" t="s">
        <v>408</v>
      </c>
      <c r="L22" s="285"/>
      <c r="M22" s="283" t="s">
        <v>408</v>
      </c>
      <c r="N22" s="285"/>
      <c r="O22" s="283" t="s">
        <v>408</v>
      </c>
      <c r="P22" s="285"/>
      <c r="Q22" s="283" t="s">
        <v>408</v>
      </c>
      <c r="R22" s="285"/>
      <c r="S22" s="283" t="s">
        <v>408</v>
      </c>
      <c r="T22" s="285"/>
      <c r="U22" s="286">
        <f t="shared" si="0"/>
        <v>9</v>
      </c>
      <c r="V22" s="287">
        <f t="shared" si="1"/>
        <v>9</v>
      </c>
    </row>
    <row r="23" spans="1:42" ht="40.049999999999997" customHeight="1" x14ac:dyDescent="0.3">
      <c r="A23" s="460" t="s">
        <v>118</v>
      </c>
      <c r="B23" s="900" t="s">
        <v>119</v>
      </c>
      <c r="C23" s="283" t="s">
        <v>408</v>
      </c>
      <c r="D23" s="284"/>
      <c r="E23" s="283" t="s">
        <v>408</v>
      </c>
      <c r="F23" s="285"/>
      <c r="G23" s="283" t="s">
        <v>408</v>
      </c>
      <c r="H23" s="285"/>
      <c r="I23" s="283" t="s">
        <v>408</v>
      </c>
      <c r="J23" s="285"/>
      <c r="K23" s="283" t="s">
        <v>408</v>
      </c>
      <c r="L23" s="285"/>
      <c r="M23" s="283" t="s">
        <v>408</v>
      </c>
      <c r="N23" s="285"/>
      <c r="O23" s="283" t="s">
        <v>408</v>
      </c>
      <c r="P23" s="285"/>
      <c r="Q23" s="283" t="s">
        <v>408</v>
      </c>
      <c r="R23" s="285"/>
      <c r="S23" s="283" t="s">
        <v>408</v>
      </c>
      <c r="T23" s="285"/>
      <c r="U23" s="286">
        <f t="shared" si="0"/>
        <v>9</v>
      </c>
      <c r="V23" s="287">
        <f t="shared" si="1"/>
        <v>9</v>
      </c>
    </row>
    <row r="24" spans="1:42" ht="40.049999999999997" customHeight="1" x14ac:dyDescent="0.3">
      <c r="A24" s="460" t="s">
        <v>120</v>
      </c>
      <c r="B24" s="900" t="s">
        <v>121</v>
      </c>
      <c r="C24" s="895" t="s">
        <v>16</v>
      </c>
      <c r="D24" s="284"/>
      <c r="E24" s="674" t="s">
        <v>16</v>
      </c>
      <c r="F24" s="285"/>
      <c r="G24" s="674" t="s">
        <v>16</v>
      </c>
      <c r="H24" s="285"/>
      <c r="I24" s="285" t="s">
        <v>16</v>
      </c>
      <c r="J24" s="285"/>
      <c r="K24" s="672" t="s">
        <v>408</v>
      </c>
      <c r="L24" s="285"/>
      <c r="M24" s="672" t="s">
        <v>408</v>
      </c>
      <c r="N24" s="285"/>
      <c r="O24" s="672" t="s">
        <v>408</v>
      </c>
      <c r="P24" s="285"/>
      <c r="Q24" s="285" t="s">
        <v>16</v>
      </c>
      <c r="R24" s="285"/>
      <c r="S24" s="285" t="s">
        <v>16</v>
      </c>
      <c r="T24" s="285"/>
      <c r="U24" s="286">
        <f t="shared" si="0"/>
        <v>9</v>
      </c>
      <c r="V24" s="287">
        <f t="shared" si="1"/>
        <v>9</v>
      </c>
    </row>
    <row r="25" spans="1:42" ht="40.049999999999997" customHeight="1" x14ac:dyDescent="0.3">
      <c r="A25" s="460" t="s">
        <v>122</v>
      </c>
      <c r="B25" s="900" t="s">
        <v>123</v>
      </c>
      <c r="C25" s="895" t="s">
        <v>16</v>
      </c>
      <c r="D25" s="284"/>
      <c r="E25" s="674" t="s">
        <v>16</v>
      </c>
      <c r="F25" s="285"/>
      <c r="G25" s="674" t="s">
        <v>16</v>
      </c>
      <c r="H25" s="285"/>
      <c r="I25" s="285" t="s">
        <v>16</v>
      </c>
      <c r="J25" s="285"/>
      <c r="K25" s="672" t="s">
        <v>408</v>
      </c>
      <c r="L25" s="285"/>
      <c r="M25" s="672" t="s">
        <v>408</v>
      </c>
      <c r="N25" s="285"/>
      <c r="O25" s="672" t="s">
        <v>408</v>
      </c>
      <c r="P25" s="285"/>
      <c r="Q25" s="285" t="s">
        <v>16</v>
      </c>
      <c r="R25" s="285"/>
      <c r="S25" s="285" t="s">
        <v>16</v>
      </c>
      <c r="T25" s="285"/>
      <c r="U25" s="286">
        <f t="shared" si="0"/>
        <v>9</v>
      </c>
      <c r="V25" s="287">
        <f t="shared" si="1"/>
        <v>9</v>
      </c>
    </row>
    <row r="26" spans="1:42" ht="40.049999999999997" customHeight="1" x14ac:dyDescent="0.3">
      <c r="A26" s="460" t="s">
        <v>124</v>
      </c>
      <c r="B26" s="900" t="s">
        <v>125</v>
      </c>
      <c r="C26" s="895" t="s">
        <v>16</v>
      </c>
      <c r="D26" s="284"/>
      <c r="E26" s="674" t="s">
        <v>16</v>
      </c>
      <c r="F26" s="285"/>
      <c r="G26" s="674" t="s">
        <v>16</v>
      </c>
      <c r="H26" s="285"/>
      <c r="I26" s="285" t="s">
        <v>16</v>
      </c>
      <c r="J26" s="285"/>
      <c r="K26" s="672" t="s">
        <v>408</v>
      </c>
      <c r="L26" s="285"/>
      <c r="M26" s="672" t="s">
        <v>408</v>
      </c>
      <c r="N26" s="285"/>
      <c r="O26" s="672" t="s">
        <v>408</v>
      </c>
      <c r="P26" s="285"/>
      <c r="Q26" s="285" t="s">
        <v>16</v>
      </c>
      <c r="R26" s="285"/>
      <c r="S26" s="285" t="s">
        <v>16</v>
      </c>
      <c r="T26" s="285"/>
      <c r="U26" s="286">
        <f t="shared" si="0"/>
        <v>9</v>
      </c>
      <c r="V26" s="287">
        <f t="shared" si="1"/>
        <v>9</v>
      </c>
    </row>
    <row r="27" spans="1:42" ht="40.049999999999997" customHeight="1" x14ac:dyDescent="0.65">
      <c r="A27" s="461" t="s">
        <v>126</v>
      </c>
      <c r="B27" s="913" t="s">
        <v>127</v>
      </c>
      <c r="C27" s="291"/>
      <c r="D27" s="292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  <c r="U27" s="293"/>
      <c r="V27" s="295"/>
      <c r="W27" s="357"/>
      <c r="X27" s="357"/>
      <c r="Y27" s="357"/>
      <c r="Z27" s="357"/>
      <c r="AA27" s="357"/>
      <c r="AB27" s="357"/>
      <c r="AC27" s="357"/>
      <c r="AD27" s="357"/>
      <c r="AE27" s="357"/>
      <c r="AF27" s="357"/>
      <c r="AG27" s="357"/>
      <c r="AH27" s="357"/>
      <c r="AI27" s="357"/>
      <c r="AJ27" s="357"/>
      <c r="AK27" s="357"/>
      <c r="AL27" s="357"/>
      <c r="AM27" s="357"/>
      <c r="AN27" s="357"/>
      <c r="AO27" s="357"/>
      <c r="AP27" s="357"/>
    </row>
    <row r="28" spans="1:42" ht="40.049999999999997" customHeight="1" x14ac:dyDescent="0.3">
      <c r="A28" s="460" t="s">
        <v>128</v>
      </c>
      <c r="B28" s="900" t="s">
        <v>129</v>
      </c>
      <c r="C28" s="283" t="s">
        <v>411</v>
      </c>
      <c r="D28" s="284"/>
      <c r="E28" s="283" t="s">
        <v>411</v>
      </c>
      <c r="F28" s="285"/>
      <c r="G28" s="283" t="s">
        <v>411</v>
      </c>
      <c r="H28" s="285"/>
      <c r="I28" s="674" t="s">
        <v>16</v>
      </c>
      <c r="J28" s="285"/>
      <c r="K28" s="673" t="s">
        <v>409</v>
      </c>
      <c r="L28" s="285"/>
      <c r="M28" s="673" t="s">
        <v>409</v>
      </c>
      <c r="N28" s="285"/>
      <c r="O28" s="673" t="s">
        <v>409</v>
      </c>
      <c r="P28" s="285"/>
      <c r="Q28" s="674" t="s">
        <v>16</v>
      </c>
      <c r="R28" s="285"/>
      <c r="S28" s="674" t="s">
        <v>16</v>
      </c>
      <c r="T28" s="285"/>
      <c r="U28" s="286">
        <f>COUNTIF(C28:T28,"&gt;=R")</f>
        <v>9</v>
      </c>
      <c r="V28" s="287">
        <f>U28</f>
        <v>9</v>
      </c>
    </row>
    <row r="29" spans="1:42" ht="40.049999999999997" customHeight="1" x14ac:dyDescent="0.65">
      <c r="A29" s="460" t="s">
        <v>130</v>
      </c>
      <c r="B29" s="900" t="s">
        <v>131</v>
      </c>
      <c r="C29" s="283" t="s">
        <v>411</v>
      </c>
      <c r="D29" s="284"/>
      <c r="E29" s="283" t="s">
        <v>411</v>
      </c>
      <c r="F29" s="285"/>
      <c r="G29" s="283" t="s">
        <v>411</v>
      </c>
      <c r="H29" s="285"/>
      <c r="I29" s="674" t="s">
        <v>16</v>
      </c>
      <c r="J29" s="285"/>
      <c r="K29" s="673" t="s">
        <v>409</v>
      </c>
      <c r="L29" s="285"/>
      <c r="M29" s="673" t="s">
        <v>409</v>
      </c>
      <c r="N29" s="285"/>
      <c r="O29" s="673" t="s">
        <v>409</v>
      </c>
      <c r="P29" s="285"/>
      <c r="Q29" s="674" t="s">
        <v>16</v>
      </c>
      <c r="R29" s="285"/>
      <c r="S29" s="674" t="s">
        <v>16</v>
      </c>
      <c r="T29" s="285"/>
      <c r="U29" s="286">
        <f>COUNTIF(C29:T29,"&gt;=R")</f>
        <v>9</v>
      </c>
      <c r="V29" s="287">
        <f>U29</f>
        <v>9</v>
      </c>
      <c r="W29" s="357"/>
      <c r="X29" s="357"/>
      <c r="Y29" s="357"/>
      <c r="Z29" s="357"/>
      <c r="AA29" s="357"/>
      <c r="AB29" s="357"/>
      <c r="AC29" s="357"/>
      <c r="AD29" s="357"/>
      <c r="AE29" s="357"/>
      <c r="AF29" s="357"/>
      <c r="AG29" s="357"/>
      <c r="AH29" s="357"/>
      <c r="AI29" s="357"/>
      <c r="AJ29" s="357"/>
      <c r="AK29" s="357"/>
      <c r="AL29" s="357"/>
      <c r="AM29" s="357"/>
      <c r="AN29" s="357"/>
      <c r="AO29" s="357"/>
      <c r="AP29" s="357"/>
    </row>
    <row r="30" spans="1:42" ht="40.049999999999997" customHeight="1" x14ac:dyDescent="0.65">
      <c r="A30" s="461" t="s">
        <v>132</v>
      </c>
      <c r="B30" s="913" t="s">
        <v>133</v>
      </c>
      <c r="C30" s="291"/>
      <c r="D30" s="292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  <c r="U30" s="293"/>
      <c r="V30" s="295"/>
      <c r="W30" s="357"/>
      <c r="X30" s="357"/>
      <c r="Y30" s="357"/>
      <c r="Z30" s="357"/>
      <c r="AA30" s="357"/>
      <c r="AB30" s="357"/>
      <c r="AC30" s="357"/>
      <c r="AD30" s="357"/>
      <c r="AE30" s="357"/>
      <c r="AF30" s="357"/>
      <c r="AG30" s="357"/>
      <c r="AH30" s="357"/>
      <c r="AI30" s="357"/>
      <c r="AJ30" s="357"/>
      <c r="AK30" s="357"/>
      <c r="AL30" s="357"/>
      <c r="AM30" s="357"/>
      <c r="AN30" s="357"/>
      <c r="AO30" s="357"/>
      <c r="AP30" s="357"/>
    </row>
    <row r="31" spans="1:42" ht="40.049999999999997" customHeight="1" x14ac:dyDescent="0.65">
      <c r="A31" s="463" t="s">
        <v>134</v>
      </c>
      <c r="B31" s="900" t="s">
        <v>135</v>
      </c>
      <c r="C31" s="283" t="s">
        <v>55</v>
      </c>
      <c r="D31" s="284"/>
      <c r="E31" s="283" t="s">
        <v>55</v>
      </c>
      <c r="F31" s="285"/>
      <c r="G31" s="283" t="s">
        <v>55</v>
      </c>
      <c r="H31" s="285"/>
      <c r="I31" s="285" t="s">
        <v>55</v>
      </c>
      <c r="J31" s="285"/>
      <c r="K31" s="285" t="s">
        <v>46</v>
      </c>
      <c r="L31" s="285"/>
      <c r="M31" s="285" t="s">
        <v>46</v>
      </c>
      <c r="N31" s="285"/>
      <c r="O31" s="285" t="s">
        <v>46</v>
      </c>
      <c r="P31" s="285"/>
      <c r="Q31" s="285" t="s">
        <v>46</v>
      </c>
      <c r="R31" s="285"/>
      <c r="S31" s="285" t="s">
        <v>46</v>
      </c>
      <c r="T31" s="285"/>
      <c r="U31" s="286">
        <f>COUNTIF(C31:T31,"&gt;=R")</f>
        <v>9</v>
      </c>
      <c r="V31" s="287">
        <f>U31</f>
        <v>9</v>
      </c>
      <c r="W31" s="357"/>
      <c r="X31" s="357"/>
      <c r="Y31" s="357"/>
      <c r="Z31" s="357"/>
      <c r="AA31" s="357"/>
      <c r="AB31" s="357"/>
      <c r="AC31" s="357"/>
      <c r="AD31" s="357"/>
      <c r="AE31" s="357"/>
      <c r="AF31" s="357"/>
      <c r="AG31" s="357"/>
      <c r="AH31" s="357"/>
      <c r="AI31" s="357"/>
      <c r="AJ31" s="357"/>
      <c r="AK31" s="357"/>
      <c r="AL31" s="357"/>
      <c r="AM31" s="357"/>
      <c r="AN31" s="357"/>
      <c r="AO31" s="357"/>
      <c r="AP31" s="357"/>
    </row>
    <row r="32" spans="1:42" ht="40.049999999999997" customHeight="1" x14ac:dyDescent="0.65">
      <c r="A32" s="461" t="s">
        <v>136</v>
      </c>
      <c r="B32" s="913" t="s">
        <v>137</v>
      </c>
      <c r="C32" s="291"/>
      <c r="D32" s="292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5"/>
      <c r="W32" s="357"/>
      <c r="X32" s="357"/>
      <c r="Y32" s="357"/>
      <c r="Z32" s="357"/>
      <c r="AA32" s="357"/>
      <c r="AB32" s="357"/>
      <c r="AC32" s="357"/>
      <c r="AD32" s="357"/>
      <c r="AE32" s="357"/>
      <c r="AF32" s="357"/>
      <c r="AG32" s="357"/>
      <c r="AH32" s="357"/>
      <c r="AI32" s="357"/>
      <c r="AJ32" s="357"/>
      <c r="AK32" s="357"/>
      <c r="AL32" s="357"/>
      <c r="AM32" s="357"/>
      <c r="AN32" s="357"/>
      <c r="AO32" s="357"/>
      <c r="AP32" s="357"/>
    </row>
    <row r="33" spans="1:42" ht="40.049999999999997" customHeight="1" x14ac:dyDescent="0.3">
      <c r="A33" s="460" t="s">
        <v>138</v>
      </c>
      <c r="B33" s="900" t="s">
        <v>139</v>
      </c>
      <c r="C33" s="283" t="s">
        <v>55</v>
      </c>
      <c r="D33" s="284"/>
      <c r="E33" s="283" t="s">
        <v>55</v>
      </c>
      <c r="F33" s="285"/>
      <c r="G33" s="283" t="s">
        <v>55</v>
      </c>
      <c r="H33" s="285"/>
      <c r="I33" s="285" t="s">
        <v>55</v>
      </c>
      <c r="J33" s="285"/>
      <c r="K33" s="285" t="s">
        <v>46</v>
      </c>
      <c r="L33" s="285"/>
      <c r="M33" s="285" t="s">
        <v>46</v>
      </c>
      <c r="N33" s="285"/>
      <c r="O33" s="285" t="s">
        <v>46</v>
      </c>
      <c r="P33" s="285"/>
      <c r="Q33" s="285" t="s">
        <v>46</v>
      </c>
      <c r="R33" s="285"/>
      <c r="S33" s="285" t="s">
        <v>46</v>
      </c>
      <c r="T33" s="299"/>
      <c r="U33" s="286">
        <f>COUNTIF(C33:T33,"&gt;=R")</f>
        <v>9</v>
      </c>
      <c r="V33" s="287">
        <f>U33</f>
        <v>9</v>
      </c>
    </row>
    <row r="34" spans="1:42" ht="40.049999999999997" customHeight="1" x14ac:dyDescent="0.65">
      <c r="A34" s="908" t="s">
        <v>140</v>
      </c>
      <c r="B34" s="903" t="s">
        <v>141</v>
      </c>
      <c r="C34" s="283" t="s">
        <v>55</v>
      </c>
      <c r="D34" s="284"/>
      <c r="E34" s="283" t="s">
        <v>55</v>
      </c>
      <c r="F34" s="285"/>
      <c r="G34" s="283" t="s">
        <v>55</v>
      </c>
      <c r="H34" s="285"/>
      <c r="I34" s="285" t="s">
        <v>55</v>
      </c>
      <c r="J34" s="285"/>
      <c r="K34" s="285" t="s">
        <v>46</v>
      </c>
      <c r="L34" s="285"/>
      <c r="M34" s="285" t="s">
        <v>46</v>
      </c>
      <c r="N34" s="285"/>
      <c r="O34" s="285" t="s">
        <v>46</v>
      </c>
      <c r="P34" s="285"/>
      <c r="Q34" s="285" t="s">
        <v>46</v>
      </c>
      <c r="R34" s="285"/>
      <c r="S34" s="285" t="s">
        <v>46</v>
      </c>
      <c r="T34" s="285"/>
      <c r="U34" s="286">
        <f>COUNTIF(C34:T34,"&gt;=R")</f>
        <v>9</v>
      </c>
      <c r="V34" s="287">
        <f>U34</f>
        <v>9</v>
      </c>
    </row>
    <row r="35" spans="1:42" ht="40.049999999999997" customHeight="1" x14ac:dyDescent="0.3">
      <c r="A35" s="461" t="s">
        <v>142</v>
      </c>
      <c r="B35" s="913" t="s">
        <v>143</v>
      </c>
      <c r="C35" s="291"/>
      <c r="D35" s="292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93"/>
      <c r="S35" s="293"/>
      <c r="T35" s="293"/>
      <c r="U35" s="293"/>
      <c r="V35" s="295"/>
    </row>
    <row r="36" spans="1:42" ht="40.049999999999997" customHeight="1" x14ac:dyDescent="0.3">
      <c r="A36" s="463" t="s">
        <v>144</v>
      </c>
      <c r="B36" s="900" t="s">
        <v>145</v>
      </c>
      <c r="C36" s="283" t="s">
        <v>55</v>
      </c>
      <c r="D36" s="284"/>
      <c r="E36" s="283" t="s">
        <v>55</v>
      </c>
      <c r="F36" s="285"/>
      <c r="G36" s="283" t="s">
        <v>55</v>
      </c>
      <c r="H36" s="285"/>
      <c r="I36" s="285" t="s">
        <v>55</v>
      </c>
      <c r="J36" s="285"/>
      <c r="K36" s="285" t="s">
        <v>46</v>
      </c>
      <c r="L36" s="285"/>
      <c r="M36" s="285" t="s">
        <v>46</v>
      </c>
      <c r="N36" s="285"/>
      <c r="O36" s="285" t="s">
        <v>46</v>
      </c>
      <c r="P36" s="285"/>
      <c r="Q36" s="285" t="s">
        <v>46</v>
      </c>
      <c r="R36" s="285"/>
      <c r="S36" s="285" t="s">
        <v>46</v>
      </c>
      <c r="T36" s="285"/>
      <c r="U36" s="286">
        <f>COUNTIF(C36:T36,"&gt;=R")</f>
        <v>9</v>
      </c>
      <c r="V36" s="287">
        <f>U36</f>
        <v>9</v>
      </c>
    </row>
    <row r="37" spans="1:42" ht="40.049999999999997" customHeight="1" x14ac:dyDescent="0.3">
      <c r="A37" s="461" t="s">
        <v>146</v>
      </c>
      <c r="B37" s="913" t="s">
        <v>147</v>
      </c>
      <c r="C37" s="291"/>
      <c r="D37" s="292"/>
      <c r="E37" s="293"/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3"/>
      <c r="V37" s="295"/>
    </row>
    <row r="38" spans="1:42" ht="40.049999999999997" customHeight="1" x14ac:dyDescent="0.3">
      <c r="A38" s="460" t="s">
        <v>148</v>
      </c>
      <c r="B38" s="900" t="s">
        <v>139</v>
      </c>
      <c r="C38" s="283" t="s">
        <v>55</v>
      </c>
      <c r="D38" s="284"/>
      <c r="E38" s="283" t="s">
        <v>55</v>
      </c>
      <c r="F38" s="285"/>
      <c r="G38" s="283" t="s">
        <v>55</v>
      </c>
      <c r="H38" s="285"/>
      <c r="I38" s="285" t="s">
        <v>55</v>
      </c>
      <c r="J38" s="285"/>
      <c r="K38" s="718" t="s">
        <v>84</v>
      </c>
      <c r="L38" s="285"/>
      <c r="M38" s="718" t="s">
        <v>84</v>
      </c>
      <c r="N38" s="285"/>
      <c r="O38" s="718" t="s">
        <v>84</v>
      </c>
      <c r="P38" s="285"/>
      <c r="Q38" s="285" t="s">
        <v>46</v>
      </c>
      <c r="R38" s="285"/>
      <c r="S38" s="285" t="s">
        <v>46</v>
      </c>
      <c r="T38" s="285"/>
      <c r="U38" s="286">
        <f>COUNTIF(C38:T38,"&gt;=R")</f>
        <v>9</v>
      </c>
      <c r="V38" s="287">
        <f>U38</f>
        <v>9</v>
      </c>
    </row>
    <row r="39" spans="1:42" ht="40.049999999999997" customHeight="1" x14ac:dyDescent="0.65">
      <c r="A39" s="460" t="s">
        <v>149</v>
      </c>
      <c r="B39" s="900" t="s">
        <v>150</v>
      </c>
      <c r="C39" s="284" t="s">
        <v>55</v>
      </c>
      <c r="D39" s="284"/>
      <c r="E39" s="285" t="s">
        <v>55</v>
      </c>
      <c r="F39" s="285"/>
      <c r="G39" s="285" t="s">
        <v>55</v>
      </c>
      <c r="H39" s="285"/>
      <c r="I39" s="299" t="s">
        <v>55</v>
      </c>
      <c r="J39" s="285"/>
      <c r="K39" s="718" t="s">
        <v>84</v>
      </c>
      <c r="L39" s="285"/>
      <c r="M39" s="718" t="s">
        <v>84</v>
      </c>
      <c r="N39" s="285"/>
      <c r="O39" s="718" t="s">
        <v>84</v>
      </c>
      <c r="P39" s="285"/>
      <c r="Q39" s="285" t="s">
        <v>46</v>
      </c>
      <c r="R39" s="285"/>
      <c r="S39" s="285" t="s">
        <v>46</v>
      </c>
      <c r="T39" s="285"/>
      <c r="U39" s="286">
        <f>COUNTIF(C39:T39,"&gt;=R")</f>
        <v>9</v>
      </c>
      <c r="V39" s="287">
        <f>U39</f>
        <v>9</v>
      </c>
      <c r="W39" s="357"/>
      <c r="X39" s="357"/>
      <c r="Y39" s="357"/>
      <c r="Z39" s="357"/>
      <c r="AA39" s="357"/>
      <c r="AB39" s="357"/>
      <c r="AC39" s="357"/>
      <c r="AD39" s="357"/>
      <c r="AE39" s="357"/>
      <c r="AF39" s="357"/>
      <c r="AG39" s="357"/>
      <c r="AH39" s="357"/>
      <c r="AI39" s="357"/>
      <c r="AJ39" s="357"/>
      <c r="AK39" s="357"/>
      <c r="AL39" s="357"/>
      <c r="AM39" s="357"/>
      <c r="AN39" s="357"/>
      <c r="AO39" s="357"/>
      <c r="AP39" s="357"/>
    </row>
    <row r="40" spans="1:42" ht="40.049999999999997" customHeight="1" x14ac:dyDescent="0.3">
      <c r="A40" s="464" t="s">
        <v>151</v>
      </c>
      <c r="B40" s="914" t="s">
        <v>152</v>
      </c>
      <c r="C40" s="283"/>
      <c r="D40" s="284"/>
      <c r="E40" s="285"/>
      <c r="F40" s="285"/>
      <c r="G40" s="285"/>
      <c r="H40" s="285"/>
      <c r="I40" s="285"/>
      <c r="J40" s="285"/>
      <c r="K40" s="285"/>
      <c r="L40" s="285"/>
      <c r="M40" s="299"/>
      <c r="N40" s="285"/>
      <c r="O40" s="285"/>
      <c r="P40" s="285"/>
      <c r="Q40" s="285"/>
      <c r="R40" s="285"/>
      <c r="S40" s="285"/>
      <c r="T40" s="285"/>
      <c r="U40" s="286"/>
      <c r="V40" s="287"/>
    </row>
    <row r="41" spans="1:42" ht="40.049999999999997" customHeight="1" x14ac:dyDescent="0.3">
      <c r="A41" s="460" t="s">
        <v>153</v>
      </c>
      <c r="B41" s="900" t="s">
        <v>154</v>
      </c>
      <c r="C41" s="283"/>
      <c r="D41" s="284"/>
      <c r="E41" s="283"/>
      <c r="F41" s="285"/>
      <c r="G41" s="283"/>
      <c r="H41" s="285"/>
      <c r="I41" s="283"/>
      <c r="J41" s="285"/>
      <c r="K41" s="283"/>
      <c r="L41" s="285"/>
      <c r="M41" s="285"/>
      <c r="N41" s="285"/>
      <c r="O41" s="285"/>
      <c r="P41" s="285"/>
      <c r="Q41" s="285"/>
      <c r="R41" s="285"/>
      <c r="S41" s="285"/>
      <c r="T41" s="285"/>
      <c r="U41" s="286">
        <f t="shared" ref="U41:U46" si="2">COUNTIF(C41:T41,"&gt;=R")</f>
        <v>0</v>
      </c>
      <c r="V41" s="287">
        <f t="shared" ref="V41:V46" si="3">U41</f>
        <v>0</v>
      </c>
    </row>
    <row r="42" spans="1:42" ht="40.049999999999997" customHeight="1" x14ac:dyDescent="0.65">
      <c r="A42" s="460" t="s">
        <v>155</v>
      </c>
      <c r="B42" s="900" t="s">
        <v>156</v>
      </c>
      <c r="C42" s="302"/>
      <c r="D42" s="284"/>
      <c r="E42" s="288"/>
      <c r="F42" s="285"/>
      <c r="G42" s="288"/>
      <c r="H42" s="285"/>
      <c r="I42" s="288"/>
      <c r="J42" s="285"/>
      <c r="K42" s="288"/>
      <c r="L42" s="285"/>
      <c r="M42" s="288"/>
      <c r="N42" s="285"/>
      <c r="O42" s="288"/>
      <c r="P42" s="285"/>
      <c r="Q42" s="288"/>
      <c r="R42" s="285"/>
      <c r="S42" s="288"/>
      <c r="T42" s="285"/>
      <c r="U42" s="286">
        <f t="shared" si="2"/>
        <v>0</v>
      </c>
      <c r="V42" s="287">
        <f t="shared" si="3"/>
        <v>0</v>
      </c>
      <c r="W42" s="357"/>
      <c r="X42" s="357"/>
      <c r="Y42" s="357"/>
      <c r="Z42" s="357"/>
      <c r="AA42" s="357"/>
      <c r="AB42" s="357"/>
      <c r="AC42" s="357"/>
      <c r="AD42" s="357"/>
      <c r="AE42" s="357"/>
      <c r="AF42" s="357"/>
      <c r="AG42" s="357"/>
      <c r="AH42" s="357"/>
      <c r="AI42" s="357"/>
      <c r="AJ42" s="357"/>
      <c r="AK42" s="357"/>
      <c r="AL42" s="357"/>
      <c r="AM42" s="357"/>
      <c r="AN42" s="357"/>
      <c r="AO42" s="357"/>
      <c r="AP42" s="357"/>
    </row>
    <row r="43" spans="1:42" ht="40.049999999999997" customHeight="1" x14ac:dyDescent="0.3">
      <c r="A43" s="460" t="s">
        <v>157</v>
      </c>
      <c r="B43" s="900" t="s">
        <v>158</v>
      </c>
      <c r="C43" s="284" t="s">
        <v>55</v>
      </c>
      <c r="D43" s="284"/>
      <c r="E43" s="285" t="s">
        <v>55</v>
      </c>
      <c r="F43" s="285"/>
      <c r="G43" s="285" t="s">
        <v>55</v>
      </c>
      <c r="H43" s="285"/>
      <c r="I43" s="299" t="s">
        <v>55</v>
      </c>
      <c r="J43" s="285"/>
      <c r="K43" s="299" t="s">
        <v>55</v>
      </c>
      <c r="L43" s="285"/>
      <c r="M43" s="299" t="s">
        <v>55</v>
      </c>
      <c r="N43" s="285"/>
      <c r="O43" s="299" t="s">
        <v>55</v>
      </c>
      <c r="P43" s="285"/>
      <c r="Q43" s="285" t="s">
        <v>55</v>
      </c>
      <c r="R43" s="285"/>
      <c r="S43" s="285" t="s">
        <v>55</v>
      </c>
      <c r="T43" s="285"/>
      <c r="U43" s="286">
        <f t="shared" si="2"/>
        <v>9</v>
      </c>
      <c r="V43" s="287">
        <f t="shared" si="3"/>
        <v>9</v>
      </c>
    </row>
    <row r="44" spans="1:42" ht="40.049999999999997" customHeight="1" x14ac:dyDescent="0.65">
      <c r="A44" s="460" t="s">
        <v>159</v>
      </c>
      <c r="B44" s="900" t="s">
        <v>160</v>
      </c>
      <c r="C44" s="283" t="s">
        <v>75</v>
      </c>
      <c r="D44" s="284"/>
      <c r="E44" s="285" t="s">
        <v>75</v>
      </c>
      <c r="F44" s="285"/>
      <c r="G44" s="285" t="s">
        <v>75</v>
      </c>
      <c r="H44" s="285"/>
      <c r="I44" s="285" t="s">
        <v>75</v>
      </c>
      <c r="J44" s="285"/>
      <c r="K44" s="285" t="s">
        <v>75</v>
      </c>
      <c r="L44" s="285"/>
      <c r="M44" s="285" t="s">
        <v>75</v>
      </c>
      <c r="N44" s="285"/>
      <c r="O44" s="285" t="s">
        <v>75</v>
      </c>
      <c r="P44" s="285"/>
      <c r="Q44" s="285" t="s">
        <v>75</v>
      </c>
      <c r="R44" s="285"/>
      <c r="S44" s="285" t="s">
        <v>75</v>
      </c>
      <c r="T44" s="285"/>
      <c r="U44" s="286">
        <f t="shared" si="2"/>
        <v>9</v>
      </c>
      <c r="V44" s="287">
        <f t="shared" si="3"/>
        <v>9</v>
      </c>
      <c r="W44" s="357"/>
      <c r="X44" s="357"/>
      <c r="Y44" s="357"/>
      <c r="Z44" s="357"/>
      <c r="AA44" s="357"/>
      <c r="AB44" s="357"/>
      <c r="AC44" s="357"/>
      <c r="AD44" s="357"/>
      <c r="AE44" s="357"/>
      <c r="AF44" s="357"/>
      <c r="AG44" s="357"/>
      <c r="AH44" s="357"/>
      <c r="AI44" s="357"/>
      <c r="AJ44" s="357"/>
      <c r="AK44" s="357"/>
      <c r="AL44" s="357"/>
      <c r="AM44" s="357"/>
      <c r="AN44" s="357"/>
      <c r="AO44" s="357"/>
      <c r="AP44" s="357"/>
    </row>
    <row r="45" spans="1:42" ht="40.049999999999997" customHeight="1" x14ac:dyDescent="0.3">
      <c r="A45" s="460" t="s">
        <v>161</v>
      </c>
      <c r="B45" s="900" t="s">
        <v>162</v>
      </c>
      <c r="C45" s="283" t="s">
        <v>75</v>
      </c>
      <c r="D45" s="284"/>
      <c r="E45" s="285" t="s">
        <v>75</v>
      </c>
      <c r="F45" s="285"/>
      <c r="G45" s="285" t="s">
        <v>75</v>
      </c>
      <c r="H45" s="285"/>
      <c r="I45" s="285" t="s">
        <v>75</v>
      </c>
      <c r="J45" s="285"/>
      <c r="K45" s="285" t="s">
        <v>36</v>
      </c>
      <c r="L45" s="285"/>
      <c r="M45" s="285" t="s">
        <v>36</v>
      </c>
      <c r="N45" s="285"/>
      <c r="O45" s="285" t="s">
        <v>36</v>
      </c>
      <c r="P45" s="285"/>
      <c r="Q45" s="285" t="s">
        <v>75</v>
      </c>
      <c r="R45" s="285"/>
      <c r="S45" s="285" t="s">
        <v>75</v>
      </c>
      <c r="T45" s="285"/>
      <c r="U45" s="286">
        <f t="shared" si="2"/>
        <v>9</v>
      </c>
      <c r="V45" s="287">
        <f t="shared" si="3"/>
        <v>9</v>
      </c>
    </row>
    <row r="46" spans="1:42" ht="40.049999999999997" customHeight="1" thickBot="1" x14ac:dyDescent="0.7">
      <c r="A46" s="460" t="s">
        <v>163</v>
      </c>
      <c r="B46" s="900" t="s">
        <v>164</v>
      </c>
      <c r="C46" s="283" t="s">
        <v>55</v>
      </c>
      <c r="D46" s="284"/>
      <c r="E46" s="299" t="s">
        <v>55</v>
      </c>
      <c r="F46" s="285"/>
      <c r="G46" s="285" t="s">
        <v>36</v>
      </c>
      <c r="H46" s="285"/>
      <c r="I46" s="285" t="s">
        <v>36</v>
      </c>
      <c r="J46" s="285"/>
      <c r="K46" s="285" t="s">
        <v>36</v>
      </c>
      <c r="L46" s="285"/>
      <c r="M46" s="288" t="s">
        <v>36</v>
      </c>
      <c r="N46" s="285"/>
      <c r="O46" s="285" t="s">
        <v>36</v>
      </c>
      <c r="P46" s="285"/>
      <c r="Q46" s="285" t="s">
        <v>36</v>
      </c>
      <c r="R46" s="285"/>
      <c r="S46" s="285" t="s">
        <v>36</v>
      </c>
      <c r="T46" s="285"/>
      <c r="U46" s="286">
        <f t="shared" si="2"/>
        <v>9</v>
      </c>
      <c r="V46" s="287">
        <f t="shared" si="3"/>
        <v>9</v>
      </c>
      <c r="W46" s="357"/>
      <c r="X46" s="357"/>
      <c r="Y46" s="357"/>
      <c r="Z46" s="357"/>
      <c r="AA46" s="357"/>
      <c r="AB46" s="357"/>
      <c r="AC46" s="357"/>
      <c r="AD46" s="357"/>
      <c r="AE46" s="357"/>
      <c r="AF46" s="357"/>
      <c r="AG46" s="357"/>
      <c r="AH46" s="357"/>
      <c r="AI46" s="357"/>
      <c r="AJ46" s="357"/>
      <c r="AK46" s="357"/>
      <c r="AL46" s="357"/>
      <c r="AM46" s="357"/>
      <c r="AN46" s="357"/>
      <c r="AO46" s="357"/>
      <c r="AP46" s="357"/>
    </row>
    <row r="47" spans="1:42" ht="40.049999999999997" customHeight="1" x14ac:dyDescent="0.65">
      <c r="A47" s="459" t="s">
        <v>165</v>
      </c>
      <c r="B47" s="275" t="s">
        <v>166</v>
      </c>
      <c r="C47" s="291"/>
      <c r="D47" s="292"/>
      <c r="E47" s="293"/>
      <c r="F47" s="293"/>
      <c r="G47" s="293"/>
      <c r="H47" s="293"/>
      <c r="I47" s="293"/>
      <c r="J47" s="293"/>
      <c r="K47" s="293"/>
      <c r="L47" s="293"/>
      <c r="M47" s="293"/>
      <c r="N47" s="293"/>
      <c r="O47" s="293"/>
      <c r="P47" s="293"/>
      <c r="Q47" s="293"/>
      <c r="R47" s="293"/>
      <c r="S47" s="293"/>
      <c r="T47" s="293"/>
      <c r="U47" s="293"/>
      <c r="V47" s="295"/>
      <c r="W47" s="357"/>
      <c r="X47" s="357"/>
      <c r="Y47" s="357"/>
      <c r="Z47" s="357"/>
      <c r="AA47" s="357"/>
      <c r="AB47" s="357"/>
      <c r="AC47" s="357"/>
      <c r="AD47" s="357"/>
      <c r="AE47" s="357"/>
      <c r="AF47" s="357"/>
      <c r="AG47" s="357"/>
      <c r="AH47" s="357"/>
      <c r="AI47" s="357"/>
      <c r="AJ47" s="357"/>
      <c r="AK47" s="357"/>
      <c r="AL47" s="357"/>
      <c r="AM47" s="357"/>
      <c r="AN47" s="357"/>
      <c r="AO47" s="357"/>
      <c r="AP47" s="357"/>
    </row>
    <row r="48" spans="1:42" ht="40.049999999999997" customHeight="1" x14ac:dyDescent="0.3">
      <c r="A48" s="466" t="s">
        <v>167</v>
      </c>
      <c r="B48" s="306" t="s">
        <v>168</v>
      </c>
      <c r="C48" s="283"/>
      <c r="D48" s="284"/>
      <c r="E48" s="285"/>
      <c r="F48" s="285"/>
      <c r="G48" s="288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6"/>
      <c r="V48" s="287"/>
    </row>
    <row r="49" spans="1:42" ht="40.049999999999997" customHeight="1" x14ac:dyDescent="0.65">
      <c r="A49" s="467" t="s">
        <v>169</v>
      </c>
      <c r="B49" s="902" t="s">
        <v>170</v>
      </c>
      <c r="C49" s="283" t="s">
        <v>75</v>
      </c>
      <c r="D49" s="284"/>
      <c r="E49" s="285" t="s">
        <v>75</v>
      </c>
      <c r="F49" s="285"/>
      <c r="G49" s="285" t="s">
        <v>75</v>
      </c>
      <c r="H49" s="285"/>
      <c r="I49" s="285" t="s">
        <v>75</v>
      </c>
      <c r="J49" s="285"/>
      <c r="K49" s="285" t="s">
        <v>75</v>
      </c>
      <c r="L49" s="285"/>
      <c r="M49" s="285" t="s">
        <v>75</v>
      </c>
      <c r="N49" s="285"/>
      <c r="O49" s="285" t="s">
        <v>75</v>
      </c>
      <c r="P49" s="285"/>
      <c r="Q49" s="285" t="s">
        <v>75</v>
      </c>
      <c r="R49" s="285"/>
      <c r="S49" s="285" t="s">
        <v>75</v>
      </c>
      <c r="T49" s="285"/>
      <c r="U49" s="286">
        <f t="shared" ref="U49:U55" si="4">COUNTIF(C49:T49,"&gt;=R")</f>
        <v>9</v>
      </c>
      <c r="V49" s="287">
        <f t="shared" ref="V49:V55" si="5">U49</f>
        <v>9</v>
      </c>
      <c r="W49" s="357"/>
      <c r="X49" s="357"/>
      <c r="Y49" s="357"/>
      <c r="Z49" s="357"/>
      <c r="AA49" s="357"/>
      <c r="AB49" s="357"/>
      <c r="AC49" s="357"/>
      <c r="AD49" s="357"/>
      <c r="AE49" s="357"/>
      <c r="AF49" s="357"/>
      <c r="AG49" s="357"/>
      <c r="AH49" s="357"/>
      <c r="AI49" s="357"/>
      <c r="AJ49" s="357"/>
      <c r="AK49" s="357"/>
      <c r="AL49" s="357"/>
      <c r="AM49" s="357"/>
      <c r="AN49" s="357"/>
      <c r="AO49" s="357"/>
      <c r="AP49" s="357"/>
    </row>
    <row r="50" spans="1:42" ht="40.049999999999997" customHeight="1" x14ac:dyDescent="0.65">
      <c r="A50" s="467" t="s">
        <v>171</v>
      </c>
      <c r="B50" s="902" t="s">
        <v>172</v>
      </c>
      <c r="C50" s="776" t="s">
        <v>28</v>
      </c>
      <c r="D50" s="284"/>
      <c r="E50" s="776" t="s">
        <v>28</v>
      </c>
      <c r="F50" s="285"/>
      <c r="G50" s="776" t="s">
        <v>28</v>
      </c>
      <c r="H50" s="285"/>
      <c r="I50" s="776" t="s">
        <v>28</v>
      </c>
      <c r="J50" s="285"/>
      <c r="K50" s="776" t="s">
        <v>28</v>
      </c>
      <c r="L50" s="285"/>
      <c r="M50" s="776" t="s">
        <v>28</v>
      </c>
      <c r="N50" s="285"/>
      <c r="O50" s="776" t="s">
        <v>28</v>
      </c>
      <c r="P50" s="285"/>
      <c r="Q50" s="776" t="s">
        <v>28</v>
      </c>
      <c r="R50" s="285"/>
      <c r="S50" s="777" t="s">
        <v>28</v>
      </c>
      <c r="T50" s="285"/>
      <c r="U50" s="286">
        <f t="shared" si="4"/>
        <v>9</v>
      </c>
      <c r="V50" s="287">
        <f t="shared" si="5"/>
        <v>9</v>
      </c>
      <c r="W50" s="357"/>
      <c r="X50" s="357"/>
      <c r="Y50" s="357"/>
      <c r="Z50" s="357"/>
      <c r="AA50" s="357"/>
      <c r="AB50" s="357"/>
      <c r="AC50" s="357"/>
      <c r="AD50" s="357"/>
      <c r="AE50" s="357"/>
      <c r="AF50" s="357"/>
      <c r="AG50" s="357"/>
      <c r="AH50" s="357"/>
      <c r="AI50" s="357"/>
      <c r="AJ50" s="357"/>
      <c r="AK50" s="357"/>
      <c r="AL50" s="357"/>
      <c r="AM50" s="357"/>
      <c r="AN50" s="357"/>
      <c r="AO50" s="357"/>
      <c r="AP50" s="357"/>
    </row>
    <row r="51" spans="1:42" ht="40.049999999999997" customHeight="1" x14ac:dyDescent="0.3">
      <c r="A51" s="462" t="s">
        <v>173</v>
      </c>
      <c r="B51" s="915" t="s">
        <v>174</v>
      </c>
      <c r="C51" s="283"/>
      <c r="D51" s="284"/>
      <c r="E51" s="285"/>
      <c r="F51" s="285"/>
      <c r="G51" s="288"/>
      <c r="H51" s="285"/>
      <c r="I51" s="288"/>
      <c r="J51" s="285"/>
      <c r="K51" s="288"/>
      <c r="L51" s="285"/>
      <c r="M51" s="285"/>
      <c r="N51" s="285"/>
      <c r="O51" s="285"/>
      <c r="P51" s="285"/>
      <c r="Q51" s="285"/>
      <c r="R51" s="285"/>
      <c r="S51" s="285"/>
      <c r="T51" s="285"/>
      <c r="U51" s="286">
        <f t="shared" si="4"/>
        <v>0</v>
      </c>
      <c r="V51" s="287">
        <f t="shared" si="5"/>
        <v>0</v>
      </c>
    </row>
    <row r="52" spans="1:42" ht="40.049999999999997" customHeight="1" x14ac:dyDescent="0.3">
      <c r="A52" s="467" t="s">
        <v>175</v>
      </c>
      <c r="B52" s="902" t="s">
        <v>176</v>
      </c>
      <c r="C52" s="283" t="s">
        <v>18</v>
      </c>
      <c r="D52" s="284"/>
      <c r="E52" s="743" t="s">
        <v>8</v>
      </c>
      <c r="F52" s="285"/>
      <c r="G52" s="285" t="s">
        <v>18</v>
      </c>
      <c r="H52" s="285"/>
      <c r="I52" s="285" t="s">
        <v>18</v>
      </c>
      <c r="J52" s="285"/>
      <c r="K52" s="718" t="s">
        <v>84</v>
      </c>
      <c r="L52" s="285"/>
      <c r="M52" s="718" t="s">
        <v>84</v>
      </c>
      <c r="N52" s="285"/>
      <c r="O52" s="718" t="s">
        <v>84</v>
      </c>
      <c r="P52" s="285"/>
      <c r="Q52" s="718" t="s">
        <v>84</v>
      </c>
      <c r="R52" s="285"/>
      <c r="S52" s="718" t="s">
        <v>84</v>
      </c>
      <c r="T52" s="285"/>
      <c r="U52" s="286">
        <f t="shared" si="4"/>
        <v>9</v>
      </c>
      <c r="V52" s="287">
        <f t="shared" si="5"/>
        <v>9</v>
      </c>
    </row>
    <row r="53" spans="1:42" ht="40.049999999999997" customHeight="1" x14ac:dyDescent="0.65">
      <c r="A53" s="467" t="s">
        <v>177</v>
      </c>
      <c r="B53" s="902" t="s">
        <v>178</v>
      </c>
      <c r="C53" s="283" t="s">
        <v>57</v>
      </c>
      <c r="D53" s="284"/>
      <c r="E53" s="285" t="s">
        <v>57</v>
      </c>
      <c r="F53" s="285"/>
      <c r="G53" s="285" t="s">
        <v>57</v>
      </c>
      <c r="H53" s="285"/>
      <c r="I53" s="285" t="s">
        <v>57</v>
      </c>
      <c r="J53" s="285"/>
      <c r="K53" s="285" t="s">
        <v>76</v>
      </c>
      <c r="L53" s="285"/>
      <c r="M53" s="285" t="s">
        <v>76</v>
      </c>
      <c r="N53" s="285"/>
      <c r="O53" s="285" t="s">
        <v>76</v>
      </c>
      <c r="P53" s="285"/>
      <c r="Q53" s="285" t="s">
        <v>76</v>
      </c>
      <c r="R53" s="285"/>
      <c r="S53" s="285" t="s">
        <v>76</v>
      </c>
      <c r="T53" s="285"/>
      <c r="U53" s="286">
        <f t="shared" si="4"/>
        <v>9</v>
      </c>
      <c r="V53" s="287">
        <f t="shared" si="5"/>
        <v>9</v>
      </c>
      <c r="W53" s="357"/>
      <c r="X53" s="357"/>
      <c r="Y53" s="357"/>
      <c r="Z53" s="357"/>
      <c r="AA53" s="357"/>
      <c r="AB53" s="357"/>
      <c r="AC53" s="357"/>
      <c r="AD53" s="357"/>
      <c r="AE53" s="357"/>
      <c r="AF53" s="357"/>
      <c r="AG53" s="357"/>
      <c r="AH53" s="357"/>
      <c r="AI53" s="357"/>
      <c r="AJ53" s="357"/>
      <c r="AK53" s="357"/>
      <c r="AL53" s="357"/>
      <c r="AM53" s="357"/>
      <c r="AN53" s="357"/>
      <c r="AO53" s="357"/>
      <c r="AP53" s="357"/>
    </row>
    <row r="54" spans="1:42" ht="40.049999999999997" customHeight="1" x14ac:dyDescent="0.3">
      <c r="A54" s="462" t="s">
        <v>179</v>
      </c>
      <c r="B54" s="915" t="s">
        <v>180</v>
      </c>
      <c r="C54" s="283"/>
      <c r="D54" s="284"/>
      <c r="E54" s="285"/>
      <c r="F54" s="285"/>
      <c r="G54" s="285"/>
      <c r="H54" s="285"/>
      <c r="I54" s="285"/>
      <c r="J54" s="285"/>
      <c r="K54" s="285"/>
      <c r="L54" s="285"/>
      <c r="M54" s="285"/>
      <c r="N54" s="285"/>
      <c r="O54" s="285"/>
      <c r="P54" s="285"/>
      <c r="Q54" s="285"/>
      <c r="R54" s="285"/>
      <c r="S54" s="285"/>
      <c r="T54" s="285"/>
      <c r="U54" s="286">
        <f t="shared" si="4"/>
        <v>0</v>
      </c>
      <c r="V54" s="287">
        <f t="shared" si="5"/>
        <v>0</v>
      </c>
    </row>
    <row r="55" spans="1:42" ht="40.049999999999997" customHeight="1" x14ac:dyDescent="0.65">
      <c r="A55" s="908" t="s">
        <v>181</v>
      </c>
      <c r="B55" s="903" t="s">
        <v>182</v>
      </c>
      <c r="U55" s="286">
        <f t="shared" si="4"/>
        <v>0</v>
      </c>
      <c r="V55" s="287">
        <f t="shared" si="5"/>
        <v>0</v>
      </c>
    </row>
    <row r="56" spans="1:42" ht="40.049999999999997" customHeight="1" x14ac:dyDescent="0.65">
      <c r="A56" s="461" t="s">
        <v>183</v>
      </c>
      <c r="B56" s="913" t="s">
        <v>184</v>
      </c>
      <c r="C56" s="291"/>
      <c r="D56" s="292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5"/>
      <c r="W56" s="357"/>
      <c r="X56" s="357"/>
      <c r="Y56" s="357"/>
      <c r="Z56" s="357"/>
      <c r="AA56" s="357"/>
      <c r="AB56" s="357"/>
      <c r="AC56" s="357"/>
      <c r="AD56" s="357"/>
      <c r="AE56" s="357"/>
      <c r="AF56" s="357"/>
      <c r="AG56" s="357"/>
      <c r="AH56" s="357"/>
      <c r="AI56" s="357"/>
      <c r="AJ56" s="357"/>
      <c r="AK56" s="357"/>
      <c r="AL56" s="357"/>
      <c r="AM56" s="357"/>
      <c r="AN56" s="357"/>
      <c r="AO56" s="357"/>
      <c r="AP56" s="357"/>
    </row>
    <row r="57" spans="1:42" ht="40.049999999999997" customHeight="1" x14ac:dyDescent="0.65">
      <c r="A57" s="460" t="s">
        <v>185</v>
      </c>
      <c r="B57" s="900" t="s">
        <v>186</v>
      </c>
      <c r="C57" s="283" t="s">
        <v>76</v>
      </c>
      <c r="D57" s="284"/>
      <c r="E57" s="285" t="s">
        <v>76</v>
      </c>
      <c r="F57" s="285"/>
      <c r="G57" s="285" t="s">
        <v>76</v>
      </c>
      <c r="H57" s="285"/>
      <c r="I57" s="285" t="s">
        <v>76</v>
      </c>
      <c r="J57" s="285"/>
      <c r="K57" s="285" t="s">
        <v>76</v>
      </c>
      <c r="L57" s="285"/>
      <c r="M57" s="285" t="s">
        <v>76</v>
      </c>
      <c r="N57" s="285"/>
      <c r="O57" s="285" t="s">
        <v>76</v>
      </c>
      <c r="P57" s="285"/>
      <c r="Q57" s="285" t="s">
        <v>76</v>
      </c>
      <c r="R57" s="285"/>
      <c r="S57" s="285" t="s">
        <v>76</v>
      </c>
      <c r="T57" s="285"/>
      <c r="U57" s="286">
        <f>COUNTIF(C57:T57,"&gt;=R")</f>
        <v>9</v>
      </c>
      <c r="V57" s="287">
        <f>U57</f>
        <v>9</v>
      </c>
      <c r="W57" s="357"/>
      <c r="X57" s="357"/>
      <c r="Y57" s="357"/>
      <c r="Z57" s="357"/>
      <c r="AA57" s="357"/>
      <c r="AB57" s="357"/>
      <c r="AC57" s="357"/>
      <c r="AD57" s="357"/>
      <c r="AE57" s="357"/>
      <c r="AF57" s="357"/>
      <c r="AG57" s="357"/>
      <c r="AH57" s="357"/>
      <c r="AI57" s="357"/>
      <c r="AJ57" s="357"/>
      <c r="AK57" s="357"/>
      <c r="AL57" s="357"/>
      <c r="AM57" s="357"/>
      <c r="AN57" s="357"/>
      <c r="AO57" s="357"/>
      <c r="AP57" s="357"/>
    </row>
    <row r="58" spans="1:42" ht="40.049999999999997" customHeight="1" x14ac:dyDescent="0.65">
      <c r="A58" s="460" t="s">
        <v>187</v>
      </c>
      <c r="B58" s="900" t="s">
        <v>188</v>
      </c>
      <c r="C58" s="283"/>
      <c r="D58" s="284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6">
        <f>COUNTIF(C58:T58,"&gt;=R")</f>
        <v>0</v>
      </c>
      <c r="V58" s="287">
        <f>U58</f>
        <v>0</v>
      </c>
      <c r="W58" s="357"/>
      <c r="X58" s="357"/>
      <c r="Y58" s="357"/>
      <c r="Z58" s="357"/>
      <c r="AA58" s="357"/>
      <c r="AB58" s="357"/>
      <c r="AC58" s="357"/>
      <c r="AD58" s="357"/>
      <c r="AE58" s="357"/>
      <c r="AF58" s="357"/>
      <c r="AG58" s="357"/>
      <c r="AH58" s="357"/>
      <c r="AI58" s="357"/>
      <c r="AJ58" s="357"/>
      <c r="AK58" s="357"/>
      <c r="AL58" s="357"/>
      <c r="AM58" s="357"/>
      <c r="AN58" s="357"/>
      <c r="AO58" s="357"/>
      <c r="AP58" s="357"/>
    </row>
    <row r="59" spans="1:42" ht="40.049999999999997" customHeight="1" x14ac:dyDescent="0.3">
      <c r="A59" s="460" t="s">
        <v>189</v>
      </c>
      <c r="B59" s="900" t="s">
        <v>190</v>
      </c>
      <c r="C59" s="729" t="s">
        <v>84</v>
      </c>
      <c r="D59" s="284"/>
      <c r="E59" s="718" t="s">
        <v>84</v>
      </c>
      <c r="F59" s="285"/>
      <c r="G59" s="285" t="s">
        <v>92</v>
      </c>
      <c r="H59" s="285"/>
      <c r="I59" s="679" t="s">
        <v>37</v>
      </c>
      <c r="J59" s="285"/>
      <c r="K59" s="285" t="s">
        <v>37</v>
      </c>
      <c r="L59" s="285"/>
      <c r="M59" s="285" t="s">
        <v>37</v>
      </c>
      <c r="N59" s="285"/>
      <c r="O59" s="285" t="s">
        <v>37</v>
      </c>
      <c r="P59" s="285"/>
      <c r="Q59" s="285" t="s">
        <v>37</v>
      </c>
      <c r="R59" s="285"/>
      <c r="S59" s="285" t="s">
        <v>37</v>
      </c>
      <c r="T59" s="285"/>
      <c r="U59" s="286">
        <f>COUNTIF(C59:T59,"&gt;=R")</f>
        <v>9</v>
      </c>
      <c r="V59" s="287">
        <f>U59</f>
        <v>9</v>
      </c>
    </row>
    <row r="60" spans="1:42" ht="40.049999999999997" customHeight="1" x14ac:dyDescent="0.65">
      <c r="A60" s="460" t="s">
        <v>191</v>
      </c>
      <c r="B60" s="900" t="s">
        <v>192</v>
      </c>
      <c r="C60" s="283" t="s">
        <v>18</v>
      </c>
      <c r="D60" s="284"/>
      <c r="E60" s="283" t="s">
        <v>18</v>
      </c>
      <c r="F60" s="285"/>
      <c r="G60" s="283" t="s">
        <v>18</v>
      </c>
      <c r="H60" s="285"/>
      <c r="I60" s="776" t="s">
        <v>28</v>
      </c>
      <c r="J60" s="285"/>
      <c r="K60" s="285"/>
      <c r="L60" s="285"/>
      <c r="M60" s="285"/>
      <c r="N60" s="285"/>
      <c r="O60" s="285"/>
      <c r="P60" s="285"/>
      <c r="Q60" s="285"/>
      <c r="R60" s="285"/>
      <c r="S60" s="283"/>
      <c r="T60" s="285"/>
      <c r="U60" s="286">
        <f>COUNTIF(C60:T60,"&gt;=R")</f>
        <v>4</v>
      </c>
      <c r="V60" s="287">
        <f>U60</f>
        <v>4</v>
      </c>
      <c r="W60" s="357"/>
      <c r="X60" s="357"/>
      <c r="Y60" s="357"/>
      <c r="Z60" s="357"/>
      <c r="AA60" s="357"/>
      <c r="AB60" s="357"/>
      <c r="AC60" s="357"/>
      <c r="AD60" s="357"/>
      <c r="AE60" s="357"/>
      <c r="AF60" s="357"/>
      <c r="AG60" s="357"/>
      <c r="AH60" s="357"/>
      <c r="AI60" s="357"/>
      <c r="AJ60" s="357"/>
      <c r="AK60" s="357"/>
      <c r="AL60" s="357"/>
      <c r="AM60" s="357"/>
      <c r="AN60" s="357"/>
      <c r="AO60" s="357"/>
      <c r="AP60" s="357"/>
    </row>
    <row r="61" spans="1:42" ht="40.049999999999997" customHeight="1" x14ac:dyDescent="0.65">
      <c r="A61" s="461" t="s">
        <v>193</v>
      </c>
      <c r="B61" s="913" t="s">
        <v>194</v>
      </c>
      <c r="C61" s="291"/>
      <c r="D61" s="292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5"/>
      <c r="W61" s="357"/>
      <c r="X61" s="357"/>
      <c r="Y61" s="357"/>
      <c r="Z61" s="357"/>
      <c r="AA61" s="357"/>
      <c r="AB61" s="357"/>
      <c r="AC61" s="357"/>
      <c r="AD61" s="357"/>
      <c r="AE61" s="357"/>
      <c r="AF61" s="357"/>
      <c r="AG61" s="357"/>
      <c r="AH61" s="357"/>
      <c r="AI61" s="357"/>
      <c r="AJ61" s="357"/>
      <c r="AK61" s="357"/>
      <c r="AL61" s="357"/>
      <c r="AM61" s="357"/>
      <c r="AN61" s="357"/>
      <c r="AO61" s="357"/>
      <c r="AP61" s="357"/>
    </row>
    <row r="62" spans="1:42" ht="40.049999999999997" customHeight="1" x14ac:dyDescent="0.3">
      <c r="A62" s="462" t="s">
        <v>195</v>
      </c>
      <c r="B62" s="915" t="s">
        <v>196</v>
      </c>
      <c r="C62" s="283"/>
      <c r="D62" s="284"/>
      <c r="E62" s="285"/>
      <c r="F62" s="285"/>
      <c r="G62" s="288"/>
      <c r="H62" s="285"/>
      <c r="I62" s="288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6"/>
      <c r="V62" s="287"/>
    </row>
    <row r="63" spans="1:42" ht="40.049999999999997" customHeight="1" x14ac:dyDescent="0.65">
      <c r="A63" s="467" t="s">
        <v>197</v>
      </c>
      <c r="B63" s="902" t="s">
        <v>139</v>
      </c>
      <c r="C63" s="283" t="s">
        <v>55</v>
      </c>
      <c r="D63" s="284"/>
      <c r="E63" s="285" t="s">
        <v>55</v>
      </c>
      <c r="F63" s="285"/>
      <c r="G63" s="285" t="s">
        <v>55</v>
      </c>
      <c r="H63" s="285"/>
      <c r="I63" s="285" t="s">
        <v>55</v>
      </c>
      <c r="J63" s="285"/>
      <c r="K63" s="285" t="s">
        <v>46</v>
      </c>
      <c r="L63" s="285"/>
      <c r="M63" s="285" t="s">
        <v>46</v>
      </c>
      <c r="N63" s="285"/>
      <c r="O63" s="285" t="s">
        <v>36</v>
      </c>
      <c r="P63" s="285"/>
      <c r="Q63" s="285" t="s">
        <v>36</v>
      </c>
      <c r="R63" s="285"/>
      <c r="S63" s="285" t="s">
        <v>36</v>
      </c>
      <c r="T63" s="285"/>
      <c r="U63" s="286">
        <f>COUNTIF(C63:T63,"&gt;=R")</f>
        <v>9</v>
      </c>
      <c r="V63" s="287">
        <f>U63</f>
        <v>9</v>
      </c>
      <c r="W63" s="357"/>
      <c r="X63" s="357"/>
      <c r="Y63" s="357"/>
      <c r="Z63" s="357"/>
      <c r="AA63" s="357"/>
      <c r="AB63" s="357"/>
      <c r="AC63" s="357"/>
      <c r="AD63" s="357"/>
      <c r="AE63" s="357"/>
      <c r="AF63" s="357"/>
      <c r="AG63" s="357"/>
      <c r="AH63" s="357"/>
      <c r="AI63" s="357"/>
      <c r="AJ63" s="357"/>
      <c r="AK63" s="357"/>
      <c r="AL63" s="357"/>
      <c r="AM63" s="357"/>
      <c r="AN63" s="357"/>
      <c r="AO63" s="357"/>
      <c r="AP63" s="357"/>
    </row>
    <row r="64" spans="1:42" ht="40.049999999999997" customHeight="1" x14ac:dyDescent="0.65">
      <c r="A64" s="462" t="s">
        <v>198</v>
      </c>
      <c r="B64" s="915" t="s">
        <v>199</v>
      </c>
      <c r="C64" s="283"/>
      <c r="D64" s="284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6"/>
      <c r="V64" s="287"/>
      <c r="W64" s="357"/>
      <c r="X64" s="357"/>
      <c r="Y64" s="357"/>
      <c r="Z64" s="357"/>
      <c r="AA64" s="357"/>
      <c r="AB64" s="357"/>
      <c r="AC64" s="357"/>
      <c r="AD64" s="357"/>
      <c r="AE64" s="357"/>
      <c r="AF64" s="357"/>
      <c r="AG64" s="357"/>
      <c r="AH64" s="357"/>
      <c r="AI64" s="357"/>
      <c r="AJ64" s="357"/>
      <c r="AK64" s="357"/>
      <c r="AL64" s="357"/>
      <c r="AM64" s="357"/>
      <c r="AN64" s="357"/>
      <c r="AO64" s="357"/>
      <c r="AP64" s="357"/>
    </row>
    <row r="65" spans="1:42" ht="40.049999999999997" customHeight="1" x14ac:dyDescent="0.3">
      <c r="A65" s="467" t="s">
        <v>200</v>
      </c>
      <c r="B65" s="902" t="s">
        <v>176</v>
      </c>
      <c r="C65" s="283" t="s">
        <v>85</v>
      </c>
      <c r="D65" s="284"/>
      <c r="E65" s="283" t="s">
        <v>85</v>
      </c>
      <c r="F65" s="285"/>
      <c r="G65" s="288" t="s">
        <v>85</v>
      </c>
      <c r="H65" s="285"/>
      <c r="I65" s="285" t="s">
        <v>85</v>
      </c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6">
        <f>COUNTIF(C65:T65,"&gt;=R")</f>
        <v>4</v>
      </c>
      <c r="V65" s="287">
        <f>U65</f>
        <v>4</v>
      </c>
    </row>
    <row r="66" spans="1:42" ht="40.049999999999997" customHeight="1" x14ac:dyDescent="0.3">
      <c r="A66" s="462" t="s">
        <v>201</v>
      </c>
      <c r="B66" s="915" t="s">
        <v>202</v>
      </c>
      <c r="C66" s="283"/>
      <c r="D66" s="284"/>
      <c r="E66" s="285"/>
      <c r="F66" s="285"/>
      <c r="G66" s="288"/>
      <c r="H66" s="285"/>
      <c r="I66" s="288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6"/>
      <c r="V66" s="287"/>
    </row>
    <row r="67" spans="1:42" ht="40.049999999999997" customHeight="1" x14ac:dyDescent="0.3">
      <c r="A67" s="467" t="s">
        <v>203</v>
      </c>
      <c r="B67" s="902" t="s">
        <v>204</v>
      </c>
      <c r="C67" s="283" t="s">
        <v>85</v>
      </c>
      <c r="D67" s="284"/>
      <c r="E67" s="285" t="s">
        <v>85</v>
      </c>
      <c r="F67" s="285"/>
      <c r="G67" s="285" t="s">
        <v>85</v>
      </c>
      <c r="H67" s="285"/>
      <c r="I67" s="285" t="s">
        <v>85</v>
      </c>
      <c r="J67" s="285"/>
      <c r="K67" s="718" t="s">
        <v>84</v>
      </c>
      <c r="L67" s="285"/>
      <c r="M67" s="718" t="s">
        <v>84</v>
      </c>
      <c r="N67" s="285"/>
      <c r="O67" s="718" t="s">
        <v>84</v>
      </c>
      <c r="P67" s="285"/>
      <c r="Q67" s="738" t="s">
        <v>84</v>
      </c>
      <c r="R67" s="285"/>
      <c r="S67" s="738" t="s">
        <v>84</v>
      </c>
      <c r="T67" s="285"/>
      <c r="U67" s="286">
        <f>COUNTIF(C67:T67,"&gt;=R")</f>
        <v>9</v>
      </c>
      <c r="V67" s="287">
        <f>U67</f>
        <v>9</v>
      </c>
    </row>
    <row r="68" spans="1:42" ht="40.049999999999997" customHeight="1" x14ac:dyDescent="0.65">
      <c r="A68" s="461" t="s">
        <v>205</v>
      </c>
      <c r="B68" s="913" t="s">
        <v>206</v>
      </c>
      <c r="C68" s="291"/>
      <c r="D68" s="292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5"/>
      <c r="W68" s="357"/>
      <c r="X68" s="357"/>
      <c r="Y68" s="357"/>
      <c r="Z68" s="357"/>
      <c r="AA68" s="357"/>
      <c r="AB68" s="357"/>
      <c r="AC68" s="357"/>
      <c r="AD68" s="357"/>
      <c r="AE68" s="357"/>
      <c r="AF68" s="357"/>
      <c r="AG68" s="357"/>
      <c r="AH68" s="357"/>
      <c r="AI68" s="357"/>
      <c r="AJ68" s="357"/>
      <c r="AK68" s="357"/>
      <c r="AL68" s="357"/>
      <c r="AM68" s="357"/>
      <c r="AN68" s="357"/>
      <c r="AO68" s="357"/>
      <c r="AP68" s="357"/>
    </row>
    <row r="69" spans="1:42" ht="40.049999999999997" customHeight="1" x14ac:dyDescent="0.3">
      <c r="A69" s="460" t="s">
        <v>207</v>
      </c>
      <c r="B69" s="900" t="s">
        <v>208</v>
      </c>
      <c r="C69" s="729" t="s">
        <v>84</v>
      </c>
      <c r="D69" s="284"/>
      <c r="E69" s="718" t="s">
        <v>84</v>
      </c>
      <c r="F69" s="285"/>
      <c r="G69" s="285" t="s">
        <v>92</v>
      </c>
      <c r="H69" s="285"/>
      <c r="I69" s="679" t="s">
        <v>37</v>
      </c>
      <c r="J69" s="285"/>
      <c r="K69" s="679" t="s">
        <v>37</v>
      </c>
      <c r="L69" s="285"/>
      <c r="M69" s="679" t="s">
        <v>37</v>
      </c>
      <c r="N69" s="285"/>
      <c r="O69" s="679" t="s">
        <v>37</v>
      </c>
      <c r="P69" s="285"/>
      <c r="Q69" s="679" t="s">
        <v>37</v>
      </c>
      <c r="R69" s="285"/>
      <c r="S69" s="679" t="s">
        <v>37</v>
      </c>
      <c r="T69" s="285"/>
      <c r="U69" s="286">
        <f>COUNTIF(C69:T69,"&gt;=R")</f>
        <v>9</v>
      </c>
      <c r="V69" s="287">
        <f>U69</f>
        <v>9</v>
      </c>
    </row>
    <row r="70" spans="1:42" ht="40.049999999999997" customHeight="1" x14ac:dyDescent="0.3">
      <c r="A70" s="461" t="s">
        <v>209</v>
      </c>
      <c r="B70" s="913" t="s">
        <v>210</v>
      </c>
      <c r="C70" s="291"/>
      <c r="D70" s="292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5"/>
    </row>
    <row r="71" spans="1:42" ht="40.049999999999997" customHeight="1" x14ac:dyDescent="0.3">
      <c r="A71" s="460" t="s">
        <v>211</v>
      </c>
      <c r="B71" s="900" t="s">
        <v>212</v>
      </c>
      <c r="C71" s="283" t="s">
        <v>92</v>
      </c>
      <c r="D71" s="284"/>
      <c r="E71" s="285" t="s">
        <v>92</v>
      </c>
      <c r="F71" s="285"/>
      <c r="G71" s="285" t="s">
        <v>92</v>
      </c>
      <c r="H71" s="285"/>
      <c r="I71" s="285" t="s">
        <v>92</v>
      </c>
      <c r="J71" s="285"/>
      <c r="K71" s="750" t="s">
        <v>8</v>
      </c>
      <c r="L71" s="285"/>
      <c r="M71" s="750" t="s">
        <v>8</v>
      </c>
      <c r="N71" s="285"/>
      <c r="O71" s="285"/>
      <c r="P71" s="285"/>
      <c r="Q71" s="285"/>
      <c r="R71" s="285"/>
      <c r="S71" s="285" t="s">
        <v>18</v>
      </c>
      <c r="T71" s="285"/>
      <c r="U71" s="286">
        <f>COUNTIF(C71:T71,"&gt;=R")</f>
        <v>7</v>
      </c>
      <c r="V71" s="287">
        <f>U71</f>
        <v>7</v>
      </c>
    </row>
    <row r="72" spans="1:42" ht="40.049999999999997" customHeight="1" x14ac:dyDescent="0.3">
      <c r="A72" s="460" t="s">
        <v>213</v>
      </c>
      <c r="B72" s="900" t="s">
        <v>214</v>
      </c>
      <c r="C72" s="283" t="s">
        <v>48</v>
      </c>
      <c r="D72" s="284"/>
      <c r="E72" s="299" t="s">
        <v>48</v>
      </c>
      <c r="F72" s="285"/>
      <c r="G72" s="285" t="s">
        <v>68</v>
      </c>
      <c r="H72" s="285"/>
      <c r="I72" s="285" t="s">
        <v>57</v>
      </c>
      <c r="J72" s="285"/>
      <c r="K72" s="285" t="s">
        <v>57</v>
      </c>
      <c r="L72" s="285"/>
      <c r="M72" s="288" t="s">
        <v>57</v>
      </c>
      <c r="N72" s="285"/>
      <c r="O72" s="285" t="s">
        <v>57</v>
      </c>
      <c r="P72" s="285"/>
      <c r="Q72" s="285" t="s">
        <v>38</v>
      </c>
      <c r="R72" s="285"/>
      <c r="S72" s="285" t="s">
        <v>38</v>
      </c>
      <c r="T72" s="285"/>
      <c r="U72" s="286">
        <f>COUNTIF(C72:T72,"&gt;=R")</f>
        <v>9</v>
      </c>
      <c r="V72" s="287">
        <f>U72</f>
        <v>9</v>
      </c>
    </row>
    <row r="73" spans="1:42" ht="40.049999999999997" customHeight="1" x14ac:dyDescent="0.65">
      <c r="A73" s="461" t="s">
        <v>215</v>
      </c>
      <c r="B73" s="913" t="s">
        <v>216</v>
      </c>
      <c r="C73" s="291"/>
      <c r="D73" s="292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5"/>
      <c r="W73" s="357"/>
      <c r="X73" s="357"/>
      <c r="Y73" s="357"/>
      <c r="Z73" s="357"/>
      <c r="AA73" s="357"/>
      <c r="AB73" s="357"/>
      <c r="AC73" s="357"/>
      <c r="AD73" s="357"/>
      <c r="AE73" s="357"/>
      <c r="AF73" s="357"/>
      <c r="AG73" s="357"/>
      <c r="AH73" s="357"/>
      <c r="AI73" s="357"/>
      <c r="AJ73" s="357"/>
      <c r="AK73" s="357"/>
      <c r="AL73" s="357"/>
      <c r="AM73" s="357"/>
      <c r="AN73" s="357"/>
      <c r="AO73" s="357"/>
      <c r="AP73" s="357"/>
    </row>
    <row r="74" spans="1:42" ht="40.049999999999997" customHeight="1" x14ac:dyDescent="0.3">
      <c r="A74" s="460" t="s">
        <v>217</v>
      </c>
      <c r="B74" s="900" t="s">
        <v>218</v>
      </c>
      <c r="C74" s="283" t="s">
        <v>38</v>
      </c>
      <c r="D74" s="284"/>
      <c r="E74" s="283" t="s">
        <v>38</v>
      </c>
      <c r="F74" s="285"/>
      <c r="G74" s="283" t="s">
        <v>68</v>
      </c>
      <c r="H74" s="285"/>
      <c r="I74" s="283" t="s">
        <v>68</v>
      </c>
      <c r="J74" s="285"/>
      <c r="K74" s="285" t="s">
        <v>68</v>
      </c>
      <c r="L74" s="285"/>
      <c r="M74" s="285" t="s">
        <v>68</v>
      </c>
      <c r="N74" s="285"/>
      <c r="O74" s="285" t="s">
        <v>68</v>
      </c>
      <c r="P74" s="285"/>
      <c r="Q74" s="285" t="s">
        <v>38</v>
      </c>
      <c r="R74" s="285"/>
      <c r="S74" s="285" t="s">
        <v>38</v>
      </c>
      <c r="T74" s="288"/>
      <c r="U74" s="286">
        <f>COUNTIF(C74:T74,"&gt;=R")</f>
        <v>9</v>
      </c>
      <c r="V74" s="287">
        <f>U74</f>
        <v>9</v>
      </c>
    </row>
    <row r="75" spans="1:42" ht="40.049999999999997" customHeight="1" x14ac:dyDescent="0.65">
      <c r="A75" s="461" t="s">
        <v>219</v>
      </c>
      <c r="B75" s="913" t="s">
        <v>220</v>
      </c>
      <c r="C75" s="291"/>
      <c r="D75" s="292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5"/>
      <c r="W75" s="357"/>
      <c r="X75" s="357"/>
      <c r="Y75" s="357"/>
      <c r="Z75" s="357"/>
      <c r="AA75" s="357"/>
      <c r="AB75" s="357"/>
      <c r="AC75" s="357"/>
      <c r="AD75" s="357"/>
      <c r="AE75" s="357"/>
      <c r="AF75" s="357"/>
      <c r="AG75" s="357"/>
      <c r="AH75" s="357"/>
      <c r="AI75" s="357"/>
      <c r="AJ75" s="357"/>
      <c r="AK75" s="357"/>
      <c r="AL75" s="357"/>
      <c r="AM75" s="357"/>
      <c r="AN75" s="357"/>
      <c r="AO75" s="357"/>
      <c r="AP75" s="357"/>
    </row>
    <row r="76" spans="1:42" ht="40.049999999999997" customHeight="1" x14ac:dyDescent="0.3">
      <c r="A76" s="460" t="s">
        <v>221</v>
      </c>
      <c r="B76" s="900" t="s">
        <v>222</v>
      </c>
      <c r="C76" s="284" t="s">
        <v>75</v>
      </c>
      <c r="D76" s="284"/>
      <c r="E76" s="285" t="s">
        <v>75</v>
      </c>
      <c r="F76" s="285"/>
      <c r="G76" s="285" t="s">
        <v>75</v>
      </c>
      <c r="H76" s="285"/>
      <c r="I76" s="285" t="s">
        <v>75</v>
      </c>
      <c r="J76" s="285"/>
      <c r="K76" s="285" t="s">
        <v>75</v>
      </c>
      <c r="L76" s="285"/>
      <c r="M76" s="285" t="s">
        <v>75</v>
      </c>
      <c r="N76" s="285"/>
      <c r="O76" s="285" t="s">
        <v>76</v>
      </c>
      <c r="P76" s="285"/>
      <c r="Q76" s="285" t="s">
        <v>91</v>
      </c>
      <c r="R76" s="285"/>
      <c r="S76" s="285" t="s">
        <v>91</v>
      </c>
      <c r="T76" s="285"/>
      <c r="U76" s="286">
        <f t="shared" ref="U76:U82" si="6">COUNTIF(C76:T76,"&gt;=R")</f>
        <v>9</v>
      </c>
      <c r="V76" s="287">
        <f t="shared" ref="V76:V82" si="7">U76</f>
        <v>9</v>
      </c>
    </row>
    <row r="77" spans="1:42" ht="40.049999999999997" customHeight="1" x14ac:dyDescent="0.3">
      <c r="A77" s="464" t="s">
        <v>223</v>
      </c>
      <c r="B77" s="914" t="s">
        <v>224</v>
      </c>
      <c r="C77" s="284"/>
      <c r="D77" s="284"/>
      <c r="E77" s="285"/>
      <c r="F77" s="285"/>
      <c r="G77" s="285"/>
      <c r="H77" s="285"/>
      <c r="I77" s="285"/>
      <c r="J77" s="285"/>
      <c r="K77" s="285"/>
      <c r="L77" s="285"/>
      <c r="M77" s="285"/>
      <c r="N77" s="285"/>
      <c r="O77" s="285"/>
      <c r="P77" s="285"/>
      <c r="Q77" s="285"/>
      <c r="R77" s="285"/>
      <c r="S77" s="285"/>
      <c r="T77" s="285"/>
      <c r="U77" s="286">
        <f t="shared" si="6"/>
        <v>0</v>
      </c>
      <c r="V77" s="287">
        <f t="shared" si="7"/>
        <v>0</v>
      </c>
    </row>
    <row r="78" spans="1:42" ht="40.049999999999997" customHeight="1" x14ac:dyDescent="0.3">
      <c r="A78" s="460" t="s">
        <v>225</v>
      </c>
      <c r="B78" s="900" t="s">
        <v>226</v>
      </c>
      <c r="C78" s="284" t="s">
        <v>75</v>
      </c>
      <c r="D78" s="284"/>
      <c r="E78" s="285" t="s">
        <v>75</v>
      </c>
      <c r="F78" s="285"/>
      <c r="G78" s="285" t="s">
        <v>75</v>
      </c>
      <c r="H78" s="285"/>
      <c r="I78" s="285" t="s">
        <v>75</v>
      </c>
      <c r="J78" s="285"/>
      <c r="K78" s="285" t="s">
        <v>75</v>
      </c>
      <c r="L78" s="285"/>
      <c r="M78" s="285" t="s">
        <v>75</v>
      </c>
      <c r="N78" s="285"/>
      <c r="O78" s="285" t="s">
        <v>37</v>
      </c>
      <c r="P78" s="285"/>
      <c r="Q78" s="285" t="s">
        <v>91</v>
      </c>
      <c r="R78" s="285"/>
      <c r="S78" s="285" t="s">
        <v>91</v>
      </c>
      <c r="T78" s="285"/>
      <c r="U78" s="286">
        <f t="shared" si="6"/>
        <v>9</v>
      </c>
      <c r="V78" s="287">
        <f t="shared" si="7"/>
        <v>9</v>
      </c>
    </row>
    <row r="79" spans="1:42" ht="40.049999999999997" customHeight="1" x14ac:dyDescent="0.65">
      <c r="A79" s="460" t="s">
        <v>227</v>
      </c>
      <c r="B79" s="900" t="s">
        <v>228</v>
      </c>
      <c r="C79" s="284"/>
      <c r="D79" s="284"/>
      <c r="E79" s="285"/>
      <c r="F79" s="285"/>
      <c r="G79" s="285"/>
      <c r="H79" s="285"/>
      <c r="I79" s="285"/>
      <c r="J79" s="285"/>
      <c r="K79" s="285"/>
      <c r="L79" s="285"/>
      <c r="M79" s="285"/>
      <c r="N79" s="285"/>
      <c r="O79" s="283"/>
      <c r="P79" s="285"/>
      <c r="Q79" s="283"/>
      <c r="R79" s="285"/>
      <c r="S79" s="283"/>
      <c r="T79" s="285"/>
      <c r="U79" s="286">
        <f t="shared" si="6"/>
        <v>0</v>
      </c>
      <c r="V79" s="287">
        <f t="shared" si="7"/>
        <v>0</v>
      </c>
      <c r="W79" s="357"/>
      <c r="X79" s="357"/>
      <c r="Y79" s="357"/>
      <c r="Z79" s="357"/>
      <c r="AA79" s="357"/>
      <c r="AB79" s="357"/>
      <c r="AC79" s="357"/>
      <c r="AD79" s="357"/>
      <c r="AE79" s="357"/>
      <c r="AF79" s="357"/>
      <c r="AG79" s="357"/>
      <c r="AH79" s="357"/>
      <c r="AI79" s="357"/>
      <c r="AJ79" s="357"/>
      <c r="AK79" s="357"/>
      <c r="AL79" s="357"/>
      <c r="AM79" s="357"/>
      <c r="AN79" s="357"/>
      <c r="AO79" s="357"/>
      <c r="AP79" s="357"/>
    </row>
    <row r="80" spans="1:42" ht="40.049999999999997" customHeight="1" x14ac:dyDescent="0.3">
      <c r="A80" s="460" t="s">
        <v>229</v>
      </c>
      <c r="B80" s="900" t="s">
        <v>230</v>
      </c>
      <c r="C80" s="284"/>
      <c r="D80" s="284"/>
      <c r="E80" s="285"/>
      <c r="F80" s="285"/>
      <c r="G80" s="285"/>
      <c r="H80" s="285"/>
      <c r="I80" s="285"/>
      <c r="J80" s="285"/>
      <c r="K80" s="285"/>
      <c r="L80" s="285"/>
      <c r="M80" s="285"/>
      <c r="N80" s="285"/>
      <c r="O80" s="283"/>
      <c r="P80" s="285"/>
      <c r="Q80" s="283"/>
      <c r="R80" s="285"/>
      <c r="S80" s="283"/>
      <c r="T80" s="285"/>
      <c r="U80" s="286">
        <f t="shared" si="6"/>
        <v>0</v>
      </c>
      <c r="V80" s="287">
        <f t="shared" si="7"/>
        <v>0</v>
      </c>
    </row>
    <row r="81" spans="1:42" ht="40.049999999999997" customHeight="1" x14ac:dyDescent="0.65">
      <c r="A81" s="460" t="s">
        <v>231</v>
      </c>
      <c r="B81" s="900" t="s">
        <v>232</v>
      </c>
      <c r="C81" s="284" t="s">
        <v>75</v>
      </c>
      <c r="D81" s="284"/>
      <c r="E81" s="285" t="s">
        <v>75</v>
      </c>
      <c r="F81" s="285"/>
      <c r="G81" s="285" t="s">
        <v>75</v>
      </c>
      <c r="H81" s="285"/>
      <c r="I81" s="285" t="s">
        <v>75</v>
      </c>
      <c r="J81" s="285"/>
      <c r="K81" s="285" t="s">
        <v>75</v>
      </c>
      <c r="L81" s="285"/>
      <c r="M81" s="285" t="s">
        <v>75</v>
      </c>
      <c r="N81" s="285"/>
      <c r="O81" s="285" t="s">
        <v>76</v>
      </c>
      <c r="P81" s="285"/>
      <c r="Q81" s="285" t="s">
        <v>37</v>
      </c>
      <c r="R81" s="285"/>
      <c r="S81" s="285" t="s">
        <v>37</v>
      </c>
      <c r="T81" s="285"/>
      <c r="U81" s="286">
        <f t="shared" si="6"/>
        <v>9</v>
      </c>
      <c r="V81" s="287">
        <f t="shared" si="7"/>
        <v>9</v>
      </c>
      <c r="W81" s="357"/>
      <c r="X81" s="357"/>
      <c r="Y81" s="357"/>
      <c r="Z81" s="357"/>
      <c r="AA81" s="357"/>
      <c r="AB81" s="357"/>
      <c r="AC81" s="357"/>
      <c r="AD81" s="357"/>
      <c r="AE81" s="357"/>
      <c r="AF81" s="357"/>
      <c r="AG81" s="357"/>
      <c r="AH81" s="357"/>
      <c r="AI81" s="357"/>
      <c r="AJ81" s="357"/>
      <c r="AK81" s="357"/>
      <c r="AL81" s="357"/>
      <c r="AM81" s="357"/>
      <c r="AN81" s="357"/>
      <c r="AO81" s="357"/>
      <c r="AP81" s="357"/>
    </row>
    <row r="82" spans="1:42" ht="40.049999999999997" customHeight="1" x14ac:dyDescent="0.65">
      <c r="A82" s="908" t="s">
        <v>233</v>
      </c>
      <c r="B82" s="903" t="s">
        <v>234</v>
      </c>
      <c r="C82" s="284" t="s">
        <v>75</v>
      </c>
      <c r="D82" s="284"/>
      <c r="E82" s="285" t="s">
        <v>75</v>
      </c>
      <c r="F82" s="285"/>
      <c r="G82" s="285" t="s">
        <v>75</v>
      </c>
      <c r="H82" s="285"/>
      <c r="I82" s="285" t="s">
        <v>75</v>
      </c>
      <c r="J82" s="285"/>
      <c r="K82" s="285" t="s">
        <v>75</v>
      </c>
      <c r="L82" s="285"/>
      <c r="M82" s="285" t="s">
        <v>75</v>
      </c>
      <c r="N82" s="285"/>
      <c r="O82" s="285" t="s">
        <v>76</v>
      </c>
      <c r="P82" s="285"/>
      <c r="Q82" s="285" t="s">
        <v>91</v>
      </c>
      <c r="R82" s="285"/>
      <c r="S82" s="285" t="s">
        <v>91</v>
      </c>
      <c r="T82" s="285"/>
      <c r="U82" s="286">
        <f t="shared" si="6"/>
        <v>9</v>
      </c>
      <c r="V82" s="287">
        <f t="shared" si="7"/>
        <v>9</v>
      </c>
    </row>
    <row r="83" spans="1:42" ht="40.049999999999997" customHeight="1" x14ac:dyDescent="0.3">
      <c r="A83" s="461" t="s">
        <v>235</v>
      </c>
      <c r="B83" s="913" t="s">
        <v>236</v>
      </c>
      <c r="C83" s="291"/>
      <c r="D83" s="292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5"/>
    </row>
    <row r="84" spans="1:42" ht="40.049999999999997" customHeight="1" x14ac:dyDescent="0.3">
      <c r="A84" s="462" t="s">
        <v>237</v>
      </c>
      <c r="B84" s="915" t="s">
        <v>238</v>
      </c>
      <c r="C84" s="283"/>
      <c r="D84" s="283"/>
      <c r="E84" s="299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6"/>
      <c r="V84" s="287"/>
    </row>
    <row r="85" spans="1:42" ht="40.049999999999997" customHeight="1" x14ac:dyDescent="0.65">
      <c r="A85" s="460" t="s">
        <v>239</v>
      </c>
      <c r="B85" s="900" t="s">
        <v>139</v>
      </c>
      <c r="C85" s="284" t="s">
        <v>48</v>
      </c>
      <c r="D85" s="283"/>
      <c r="E85" s="285" t="s">
        <v>48</v>
      </c>
      <c r="F85" s="285"/>
      <c r="G85" s="285" t="s">
        <v>68</v>
      </c>
      <c r="H85" s="285"/>
      <c r="I85" s="285" t="s">
        <v>68</v>
      </c>
      <c r="J85" s="285"/>
      <c r="K85" s="285" t="s">
        <v>68</v>
      </c>
      <c r="L85" s="285"/>
      <c r="M85" s="285" t="s">
        <v>68</v>
      </c>
      <c r="N85" s="285"/>
      <c r="O85" s="285" t="s">
        <v>68</v>
      </c>
      <c r="P85" s="285"/>
      <c r="Q85" s="285" t="s">
        <v>38</v>
      </c>
      <c r="R85" s="285"/>
      <c r="S85" s="285" t="s">
        <v>38</v>
      </c>
      <c r="T85" s="285"/>
      <c r="U85" s="286">
        <f>COUNTIF(C85:T85,"&gt;=R")</f>
        <v>9</v>
      </c>
      <c r="V85" s="287">
        <f>U85</f>
        <v>9</v>
      </c>
      <c r="W85" s="357"/>
      <c r="X85" s="357"/>
      <c r="Y85" s="357"/>
      <c r="Z85" s="357"/>
      <c r="AA85" s="357"/>
      <c r="AB85" s="357"/>
      <c r="AC85" s="357"/>
      <c r="AD85" s="357"/>
      <c r="AE85" s="357"/>
      <c r="AF85" s="357"/>
      <c r="AG85" s="357"/>
      <c r="AH85" s="357"/>
      <c r="AI85" s="357"/>
      <c r="AJ85" s="357"/>
      <c r="AK85" s="357"/>
      <c r="AL85" s="357"/>
      <c r="AM85" s="357"/>
      <c r="AN85" s="357"/>
      <c r="AO85" s="357"/>
      <c r="AP85" s="357"/>
    </row>
    <row r="86" spans="1:42" ht="40.049999999999997" customHeight="1" x14ac:dyDescent="0.3">
      <c r="A86" s="462" t="s">
        <v>240</v>
      </c>
      <c r="B86" s="915" t="s">
        <v>241</v>
      </c>
      <c r="C86" s="283"/>
      <c r="D86" s="283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6"/>
      <c r="V86" s="287"/>
    </row>
    <row r="87" spans="1:42" ht="40.049999999999997" customHeight="1" x14ac:dyDescent="0.3">
      <c r="A87" s="467" t="s">
        <v>242</v>
      </c>
      <c r="B87" s="902" t="s">
        <v>243</v>
      </c>
      <c r="C87" s="284" t="s">
        <v>48</v>
      </c>
      <c r="D87" s="283"/>
      <c r="E87" s="285" t="s">
        <v>48</v>
      </c>
      <c r="F87" s="285"/>
      <c r="G87" s="285" t="s">
        <v>68</v>
      </c>
      <c r="H87" s="285"/>
      <c r="I87" s="285" t="s">
        <v>68</v>
      </c>
      <c r="J87" s="285"/>
      <c r="K87" s="285" t="s">
        <v>68</v>
      </c>
      <c r="L87" s="285"/>
      <c r="M87" s="285" t="s">
        <v>68</v>
      </c>
      <c r="N87" s="285"/>
      <c r="O87" s="285" t="s">
        <v>68</v>
      </c>
      <c r="P87" s="285"/>
      <c r="Q87" s="285" t="s">
        <v>38</v>
      </c>
      <c r="R87" s="285"/>
      <c r="S87" s="285" t="s">
        <v>38</v>
      </c>
      <c r="T87" s="285"/>
      <c r="U87" s="286">
        <f>COUNTIF(C87:T87,"&gt;=R")</f>
        <v>9</v>
      </c>
      <c r="V87" s="287">
        <f>U87</f>
        <v>9</v>
      </c>
    </row>
    <row r="88" spans="1:42" ht="40.049999999999997" customHeight="1" x14ac:dyDescent="0.3">
      <c r="A88" s="467" t="s">
        <v>244</v>
      </c>
      <c r="B88" s="902" t="s">
        <v>245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6">
        <f>COUNTIF(C88:T88,"&gt;=R")</f>
        <v>0</v>
      </c>
      <c r="V88" s="287">
        <f>U88</f>
        <v>0</v>
      </c>
    </row>
    <row r="89" spans="1:42" ht="40.049999999999997" customHeight="1" x14ac:dyDescent="0.3">
      <c r="A89" s="462" t="s">
        <v>246</v>
      </c>
      <c r="B89" s="915" t="s">
        <v>247</v>
      </c>
      <c r="C89" s="283"/>
      <c r="D89" s="283"/>
      <c r="E89" s="299"/>
      <c r="F89" s="285"/>
      <c r="G89" s="285"/>
      <c r="H89" s="285"/>
      <c r="I89" s="285"/>
      <c r="J89" s="285"/>
      <c r="K89" s="285"/>
      <c r="L89" s="285"/>
      <c r="M89" s="307"/>
      <c r="N89" s="285"/>
      <c r="O89" s="285"/>
      <c r="P89" s="285"/>
      <c r="Q89" s="285"/>
      <c r="R89" s="285"/>
      <c r="S89" s="285"/>
      <c r="T89" s="285"/>
      <c r="U89" s="286"/>
      <c r="V89" s="287"/>
    </row>
    <row r="90" spans="1:42" ht="40.049999999999997" customHeight="1" x14ac:dyDescent="0.3">
      <c r="A90" s="467" t="s">
        <v>248</v>
      </c>
      <c r="B90" s="902" t="s">
        <v>249</v>
      </c>
      <c r="C90" s="284" t="s">
        <v>68</v>
      </c>
      <c r="D90" s="283"/>
      <c r="E90" s="285" t="s">
        <v>18</v>
      </c>
      <c r="F90" s="285"/>
      <c r="G90" s="285" t="s">
        <v>68</v>
      </c>
      <c r="H90" s="285"/>
      <c r="I90" s="285" t="s">
        <v>18</v>
      </c>
      <c r="J90" s="285"/>
      <c r="K90" s="285" t="s">
        <v>68</v>
      </c>
      <c r="L90" s="285"/>
      <c r="M90" s="285" t="s">
        <v>68</v>
      </c>
      <c r="N90" s="285"/>
      <c r="O90" s="285" t="s">
        <v>68</v>
      </c>
      <c r="P90" s="285"/>
      <c r="Q90" s="285" t="s">
        <v>68</v>
      </c>
      <c r="R90" s="285"/>
      <c r="S90" s="285" t="s">
        <v>68</v>
      </c>
      <c r="T90" s="285"/>
      <c r="U90" s="286">
        <f>COUNTIF(C90:T90,"&gt;=R")</f>
        <v>9</v>
      </c>
      <c r="V90" s="287">
        <f>U90</f>
        <v>9</v>
      </c>
    </row>
    <row r="91" spans="1:42" ht="40.049999999999997" customHeight="1" x14ac:dyDescent="0.3">
      <c r="A91" s="467" t="s">
        <v>250</v>
      </c>
      <c r="B91" s="902" t="s">
        <v>251</v>
      </c>
      <c r="C91" s="284" t="s">
        <v>68</v>
      </c>
      <c r="D91" s="283"/>
      <c r="E91" s="285" t="s">
        <v>18</v>
      </c>
      <c r="F91" s="285"/>
      <c r="G91" s="285" t="s">
        <v>68</v>
      </c>
      <c r="H91" s="285"/>
      <c r="I91" s="285" t="s">
        <v>18</v>
      </c>
      <c r="J91" s="285"/>
      <c r="K91" s="285" t="s">
        <v>68</v>
      </c>
      <c r="L91" s="285"/>
      <c r="M91" s="285" t="s">
        <v>68</v>
      </c>
      <c r="N91" s="285"/>
      <c r="O91" s="285" t="s">
        <v>68</v>
      </c>
      <c r="P91" s="285"/>
      <c r="Q91" s="285" t="s">
        <v>68</v>
      </c>
      <c r="R91" s="285"/>
      <c r="S91" s="285" t="s">
        <v>68</v>
      </c>
      <c r="T91" s="285"/>
      <c r="U91" s="286">
        <f>COUNTIF(C91:T91,"&gt;=R")</f>
        <v>9</v>
      </c>
      <c r="V91" s="287">
        <f>U91</f>
        <v>9</v>
      </c>
    </row>
    <row r="92" spans="1:42" ht="40.049999999999997" customHeight="1" x14ac:dyDescent="0.65">
      <c r="A92" s="462" t="s">
        <v>252</v>
      </c>
      <c r="B92" s="915" t="s">
        <v>253</v>
      </c>
      <c r="C92" s="283"/>
      <c r="D92" s="283"/>
      <c r="E92" s="299"/>
      <c r="F92" s="285"/>
      <c r="G92" s="288"/>
      <c r="H92" s="285"/>
      <c r="I92" s="288"/>
      <c r="J92" s="285"/>
      <c r="K92" s="285"/>
      <c r="L92" s="285"/>
      <c r="M92" s="285"/>
      <c r="N92" s="285"/>
      <c r="O92" s="285"/>
      <c r="P92" s="285"/>
      <c r="Q92" s="285"/>
      <c r="R92" s="285"/>
      <c r="S92" s="285"/>
      <c r="T92" s="285"/>
      <c r="U92" s="286"/>
      <c r="V92" s="287"/>
      <c r="W92" s="357"/>
      <c r="X92" s="357"/>
      <c r="Y92" s="357"/>
      <c r="Z92" s="357"/>
      <c r="AA92" s="357"/>
      <c r="AB92" s="357"/>
      <c r="AC92" s="357"/>
      <c r="AD92" s="357"/>
      <c r="AE92" s="357"/>
      <c r="AF92" s="357"/>
      <c r="AG92" s="357"/>
      <c r="AH92" s="357"/>
      <c r="AI92" s="357"/>
      <c r="AJ92" s="357"/>
      <c r="AK92" s="357"/>
      <c r="AL92" s="357"/>
      <c r="AM92" s="357"/>
      <c r="AN92" s="357"/>
      <c r="AO92" s="357"/>
      <c r="AP92" s="357"/>
    </row>
    <row r="93" spans="1:42" ht="40.049999999999997" customHeight="1" x14ac:dyDescent="0.65">
      <c r="A93" s="460" t="s">
        <v>254</v>
      </c>
      <c r="B93" s="900" t="s">
        <v>255</v>
      </c>
      <c r="C93" s="283" t="s">
        <v>48</v>
      </c>
      <c r="D93" s="283"/>
      <c r="E93" s="283" t="s">
        <v>48</v>
      </c>
      <c r="F93" s="285"/>
      <c r="G93" s="283" t="s">
        <v>68</v>
      </c>
      <c r="H93" s="285"/>
      <c r="I93" s="283" t="s">
        <v>68</v>
      </c>
      <c r="J93" s="285"/>
      <c r="K93" s="283" t="s">
        <v>68</v>
      </c>
      <c r="L93" s="285"/>
      <c r="M93" s="283" t="s">
        <v>68</v>
      </c>
      <c r="N93" s="285"/>
      <c r="O93" s="283" t="s">
        <v>68</v>
      </c>
      <c r="P93" s="285"/>
      <c r="Q93" s="283" t="s">
        <v>48</v>
      </c>
      <c r="R93" s="285"/>
      <c r="S93" s="283" t="s">
        <v>48</v>
      </c>
      <c r="T93" s="285"/>
      <c r="U93" s="286">
        <f>COUNTIF(C93:T93,"&gt;=R")</f>
        <v>9</v>
      </c>
      <c r="V93" s="287">
        <f>U93</f>
        <v>9</v>
      </c>
      <c r="W93" s="357"/>
      <c r="X93" s="357"/>
      <c r="Y93" s="357"/>
      <c r="Z93" s="357"/>
      <c r="AA93" s="357"/>
      <c r="AB93" s="357"/>
      <c r="AC93" s="357"/>
      <c r="AD93" s="357"/>
      <c r="AE93" s="357"/>
      <c r="AF93" s="357"/>
      <c r="AG93" s="357"/>
      <c r="AH93" s="357"/>
      <c r="AI93" s="357"/>
      <c r="AJ93" s="357"/>
      <c r="AK93" s="357"/>
      <c r="AL93" s="357"/>
      <c r="AM93" s="357"/>
      <c r="AN93" s="357"/>
      <c r="AO93" s="357"/>
      <c r="AP93" s="357"/>
    </row>
    <row r="94" spans="1:42" ht="40.049999999999997" customHeight="1" x14ac:dyDescent="0.3">
      <c r="A94" s="460" t="s">
        <v>256</v>
      </c>
      <c r="B94" s="900" t="s">
        <v>257</v>
      </c>
      <c r="C94" s="283" t="s">
        <v>48</v>
      </c>
      <c r="D94" s="284"/>
      <c r="E94" s="283" t="s">
        <v>48</v>
      </c>
      <c r="F94" s="285"/>
      <c r="G94" s="283" t="s">
        <v>68</v>
      </c>
      <c r="H94" s="285"/>
      <c r="I94" s="283" t="s">
        <v>68</v>
      </c>
      <c r="J94" s="285"/>
      <c r="K94" s="283" t="s">
        <v>68</v>
      </c>
      <c r="L94" s="285"/>
      <c r="M94" s="283" t="s">
        <v>68</v>
      </c>
      <c r="N94" s="285"/>
      <c r="O94" s="283" t="s">
        <v>68</v>
      </c>
      <c r="P94" s="285"/>
      <c r="Q94" s="283" t="s">
        <v>48</v>
      </c>
      <c r="R94" s="285"/>
      <c r="S94" s="283" t="s">
        <v>48</v>
      </c>
      <c r="T94" s="285"/>
      <c r="U94" s="286">
        <f>COUNTIF(C94:T94,"&gt;=R")</f>
        <v>9</v>
      </c>
      <c r="V94" s="287">
        <f>U94</f>
        <v>9</v>
      </c>
    </row>
    <row r="95" spans="1:42" ht="40.049999999999997" customHeight="1" x14ac:dyDescent="0.65">
      <c r="A95" s="460" t="s">
        <v>258</v>
      </c>
      <c r="B95" s="900" t="s">
        <v>259</v>
      </c>
      <c r="C95" s="283" t="s">
        <v>48</v>
      </c>
      <c r="D95" s="284"/>
      <c r="E95" s="283" t="s">
        <v>48</v>
      </c>
      <c r="F95" s="285"/>
      <c r="G95" s="283" t="s">
        <v>68</v>
      </c>
      <c r="H95" s="285"/>
      <c r="I95" s="283" t="s">
        <v>68</v>
      </c>
      <c r="J95" s="285"/>
      <c r="K95" s="283" t="s">
        <v>68</v>
      </c>
      <c r="L95" s="285"/>
      <c r="M95" s="283" t="s">
        <v>68</v>
      </c>
      <c r="N95" s="285"/>
      <c r="O95" s="283" t="s">
        <v>68</v>
      </c>
      <c r="P95" s="285"/>
      <c r="Q95" s="283" t="s">
        <v>38</v>
      </c>
      <c r="R95" s="285"/>
      <c r="S95" s="283" t="s">
        <v>38</v>
      </c>
      <c r="T95" s="285"/>
      <c r="U95" s="286">
        <f>COUNTIF(C95:T95,"&gt;=R")</f>
        <v>9</v>
      </c>
      <c r="V95" s="287">
        <f>U95</f>
        <v>9</v>
      </c>
      <c r="W95" s="357"/>
      <c r="X95" s="357"/>
      <c r="Y95" s="357"/>
      <c r="Z95" s="357"/>
      <c r="AA95" s="357"/>
      <c r="AB95" s="357"/>
      <c r="AC95" s="357"/>
      <c r="AD95" s="357"/>
      <c r="AE95" s="357"/>
      <c r="AF95" s="357"/>
      <c r="AG95" s="357"/>
      <c r="AH95" s="357"/>
      <c r="AI95" s="357"/>
      <c r="AJ95" s="357"/>
      <c r="AK95" s="357"/>
      <c r="AL95" s="357"/>
      <c r="AM95" s="357"/>
      <c r="AN95" s="357"/>
      <c r="AO95" s="357"/>
      <c r="AP95" s="357"/>
    </row>
    <row r="96" spans="1:42" ht="40.049999999999997" customHeight="1" x14ac:dyDescent="0.65">
      <c r="A96" s="460" t="s">
        <v>260</v>
      </c>
      <c r="B96" s="900" t="s">
        <v>261</v>
      </c>
      <c r="C96" s="283" t="s">
        <v>48</v>
      </c>
      <c r="D96" s="284"/>
      <c r="E96" s="283" t="s">
        <v>48</v>
      </c>
      <c r="F96" s="285"/>
      <c r="G96" s="283" t="s">
        <v>68</v>
      </c>
      <c r="H96" s="285"/>
      <c r="I96" s="283" t="s">
        <v>68</v>
      </c>
      <c r="J96" s="285"/>
      <c r="K96" s="283" t="s">
        <v>68</v>
      </c>
      <c r="L96" s="285"/>
      <c r="M96" s="283" t="s">
        <v>68</v>
      </c>
      <c r="N96" s="285"/>
      <c r="O96" s="283" t="s">
        <v>68</v>
      </c>
      <c r="P96" s="285"/>
      <c r="Q96" s="283" t="s">
        <v>68</v>
      </c>
      <c r="R96" s="285"/>
      <c r="S96" s="283" t="s">
        <v>68</v>
      </c>
      <c r="T96" s="285"/>
      <c r="U96" s="286">
        <f>COUNTIF(C96:T96,"&gt;=R")</f>
        <v>9</v>
      </c>
      <c r="V96" s="287">
        <f>U96</f>
        <v>9</v>
      </c>
      <c r="W96" s="357"/>
      <c r="X96" s="357"/>
      <c r="Y96" s="357"/>
      <c r="Z96" s="357"/>
      <c r="AA96" s="357"/>
      <c r="AB96" s="357"/>
      <c r="AC96" s="357"/>
      <c r="AD96" s="357"/>
      <c r="AE96" s="357"/>
      <c r="AF96" s="357"/>
      <c r="AG96" s="357"/>
      <c r="AH96" s="357"/>
      <c r="AI96" s="357"/>
      <c r="AJ96" s="357"/>
      <c r="AK96" s="357"/>
      <c r="AL96" s="357"/>
      <c r="AM96" s="357"/>
      <c r="AN96" s="357"/>
      <c r="AO96" s="357"/>
      <c r="AP96" s="357"/>
    </row>
    <row r="97" spans="1:42" ht="40.049999999999997" customHeight="1" x14ac:dyDescent="0.3">
      <c r="A97" s="462" t="s">
        <v>262</v>
      </c>
      <c r="B97" s="915" t="s">
        <v>263</v>
      </c>
      <c r="C97" s="283"/>
      <c r="D97" s="284"/>
      <c r="E97" s="285"/>
      <c r="F97" s="285"/>
      <c r="G97" s="288"/>
      <c r="H97" s="285"/>
      <c r="I97" s="288"/>
      <c r="J97" s="285"/>
      <c r="K97" s="288"/>
      <c r="L97" s="285"/>
      <c r="M97" s="285"/>
      <c r="N97" s="285"/>
      <c r="O97" s="285"/>
      <c r="P97" s="285"/>
      <c r="Q97" s="285"/>
      <c r="R97" s="285"/>
      <c r="S97" s="285"/>
      <c r="T97" s="285"/>
      <c r="U97" s="286"/>
      <c r="V97" s="287"/>
    </row>
    <row r="98" spans="1:42" ht="40.049999999999997" customHeight="1" x14ac:dyDescent="0.3">
      <c r="A98" s="467" t="s">
        <v>264</v>
      </c>
      <c r="B98" s="902" t="s">
        <v>265</v>
      </c>
      <c r="C98" s="283" t="s">
        <v>57</v>
      </c>
      <c r="D98" s="284"/>
      <c r="E98" s="285" t="s">
        <v>75</v>
      </c>
      <c r="F98" s="285"/>
      <c r="G98" s="285" t="s">
        <v>36</v>
      </c>
      <c r="H98" s="285"/>
      <c r="I98" s="285" t="s">
        <v>36</v>
      </c>
      <c r="J98" s="285"/>
      <c r="K98" s="285" t="s">
        <v>26</v>
      </c>
      <c r="L98" s="285"/>
      <c r="M98" s="285" t="s">
        <v>36</v>
      </c>
      <c r="N98" s="285"/>
      <c r="O98" s="285" t="s">
        <v>36</v>
      </c>
      <c r="P98" s="285"/>
      <c r="Q98" s="285" t="s">
        <v>36</v>
      </c>
      <c r="R98" s="285"/>
      <c r="S98" s="285" t="s">
        <v>46</v>
      </c>
      <c r="T98" s="285"/>
      <c r="U98" s="286">
        <f>COUNTIF(C98:T98,"&gt;=R")</f>
        <v>9</v>
      </c>
      <c r="V98" s="287">
        <f>U98</f>
        <v>9</v>
      </c>
    </row>
    <row r="99" spans="1:42" ht="40.049999999999997" customHeight="1" x14ac:dyDescent="0.3">
      <c r="A99" s="468" t="s">
        <v>266</v>
      </c>
      <c r="B99" s="913" t="s">
        <v>267</v>
      </c>
      <c r="C99" s="291"/>
      <c r="D99" s="292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5"/>
    </row>
    <row r="100" spans="1:42" ht="40.049999999999997" customHeight="1" x14ac:dyDescent="0.3">
      <c r="A100" s="460" t="s">
        <v>268</v>
      </c>
      <c r="B100" s="900" t="s">
        <v>269</v>
      </c>
      <c r="C100" s="284" t="s">
        <v>48</v>
      </c>
      <c r="D100" s="284"/>
      <c r="E100" s="285" t="s">
        <v>48</v>
      </c>
      <c r="F100" s="285"/>
      <c r="G100" s="285" t="s">
        <v>68</v>
      </c>
      <c r="H100" s="285"/>
      <c r="I100" s="285" t="s">
        <v>68</v>
      </c>
      <c r="J100" s="285"/>
      <c r="K100" s="285" t="s">
        <v>68</v>
      </c>
      <c r="L100" s="285"/>
      <c r="M100" s="285" t="s">
        <v>68</v>
      </c>
      <c r="N100" s="285"/>
      <c r="O100" s="285" t="s">
        <v>68</v>
      </c>
      <c r="P100" s="285"/>
      <c r="Q100" s="285" t="s">
        <v>38</v>
      </c>
      <c r="R100" s="285"/>
      <c r="S100" s="285" t="s">
        <v>38</v>
      </c>
      <c r="T100" s="285"/>
      <c r="U100" s="286">
        <f>COUNTIF(C100:T100,"&gt;=R")</f>
        <v>9</v>
      </c>
      <c r="V100" s="287">
        <f>U100</f>
        <v>9</v>
      </c>
    </row>
    <row r="101" spans="1:42" ht="40.049999999999997" customHeight="1" x14ac:dyDescent="0.3">
      <c r="A101" s="460" t="s">
        <v>270</v>
      </c>
      <c r="B101" s="900" t="s">
        <v>271</v>
      </c>
      <c r="C101" s="284" t="s">
        <v>48</v>
      </c>
      <c r="D101" s="284"/>
      <c r="E101" s="285" t="s">
        <v>48</v>
      </c>
      <c r="F101" s="285"/>
      <c r="G101" s="285" t="s">
        <v>68</v>
      </c>
      <c r="H101" s="285"/>
      <c r="I101" s="285" t="s">
        <v>68</v>
      </c>
      <c r="J101" s="285"/>
      <c r="K101" s="285" t="s">
        <v>68</v>
      </c>
      <c r="L101" s="285"/>
      <c r="M101" s="285" t="s">
        <v>68</v>
      </c>
      <c r="N101" s="285"/>
      <c r="O101" s="285" t="s">
        <v>68</v>
      </c>
      <c r="P101" s="285"/>
      <c r="Q101" s="285" t="s">
        <v>38</v>
      </c>
      <c r="R101" s="285"/>
      <c r="S101" s="285" t="s">
        <v>38</v>
      </c>
      <c r="T101" s="285"/>
      <c r="U101" s="286">
        <f>COUNTIF(C101:T101,"&gt;=R")</f>
        <v>9</v>
      </c>
      <c r="V101" s="287">
        <f>U101</f>
        <v>9</v>
      </c>
    </row>
    <row r="102" spans="1:42" ht="40.049999999999997" customHeight="1" x14ac:dyDescent="0.65">
      <c r="A102" s="468" t="s">
        <v>272</v>
      </c>
      <c r="B102" s="913" t="s">
        <v>273</v>
      </c>
      <c r="C102" s="291"/>
      <c r="D102" s="292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5"/>
      <c r="W102" s="357"/>
      <c r="X102" s="357"/>
      <c r="Y102" s="357"/>
      <c r="Z102" s="357"/>
      <c r="AA102" s="357"/>
      <c r="AB102" s="357"/>
      <c r="AC102" s="357"/>
      <c r="AD102" s="357"/>
      <c r="AE102" s="357"/>
      <c r="AF102" s="357"/>
      <c r="AG102" s="357"/>
      <c r="AH102" s="357"/>
      <c r="AI102" s="357"/>
      <c r="AJ102" s="357"/>
      <c r="AK102" s="357"/>
      <c r="AL102" s="357"/>
      <c r="AM102" s="357"/>
      <c r="AN102" s="357"/>
      <c r="AO102" s="357"/>
      <c r="AP102" s="357"/>
    </row>
    <row r="103" spans="1:42" ht="40.049999999999997" customHeight="1" x14ac:dyDescent="0.3">
      <c r="A103" s="460" t="s">
        <v>274</v>
      </c>
      <c r="B103" s="900" t="s">
        <v>275</v>
      </c>
      <c r="C103" s="283" t="s">
        <v>93</v>
      </c>
      <c r="D103" s="283"/>
      <c r="E103" s="283" t="s">
        <v>93</v>
      </c>
      <c r="F103" s="285"/>
      <c r="G103" s="283" t="s">
        <v>93</v>
      </c>
      <c r="H103" s="285"/>
      <c r="I103" s="283" t="s">
        <v>93</v>
      </c>
      <c r="J103" s="285"/>
      <c r="K103" s="283" t="s">
        <v>93</v>
      </c>
      <c r="L103" s="285"/>
      <c r="M103" s="283" t="s">
        <v>93</v>
      </c>
      <c r="N103" s="285"/>
      <c r="O103" s="283" t="s">
        <v>93</v>
      </c>
      <c r="P103" s="285"/>
      <c r="Q103" s="283" t="s">
        <v>93</v>
      </c>
      <c r="R103" s="285"/>
      <c r="S103" s="283" t="s">
        <v>93</v>
      </c>
      <c r="T103" s="285"/>
      <c r="U103" s="286">
        <f>COUNTIF(C103:T103,"&gt;=R")</f>
        <v>9</v>
      </c>
      <c r="V103" s="287">
        <f>U103</f>
        <v>9</v>
      </c>
    </row>
    <row r="104" spans="1:42" ht="40.049999999999997" customHeight="1" x14ac:dyDescent="0.65">
      <c r="A104" s="460" t="s">
        <v>276</v>
      </c>
      <c r="B104" s="900" t="s">
        <v>277</v>
      </c>
      <c r="C104" s="283" t="s">
        <v>76</v>
      </c>
      <c r="D104" s="284"/>
      <c r="E104" s="283" t="s">
        <v>76</v>
      </c>
      <c r="F104" s="285"/>
      <c r="G104" s="283" t="s">
        <v>76</v>
      </c>
      <c r="H104" s="285"/>
      <c r="I104" s="283" t="s">
        <v>76</v>
      </c>
      <c r="J104" s="285"/>
      <c r="K104" s="307" t="s">
        <v>76</v>
      </c>
      <c r="L104" s="285"/>
      <c r="M104" s="307" t="s">
        <v>76</v>
      </c>
      <c r="N104" s="285"/>
      <c r="O104" s="307" t="s">
        <v>76</v>
      </c>
      <c r="P104" s="285"/>
      <c r="Q104" s="307" t="s">
        <v>76</v>
      </c>
      <c r="R104" s="285"/>
      <c r="S104" s="285" t="s">
        <v>76</v>
      </c>
      <c r="T104" s="285"/>
      <c r="U104" s="286">
        <f>COUNTIF(C104:T104,"&gt;=R")</f>
        <v>9</v>
      </c>
      <c r="V104" s="287">
        <f>U104</f>
        <v>9</v>
      </c>
      <c r="W104" s="357"/>
      <c r="X104" s="357"/>
      <c r="Y104" s="357"/>
      <c r="Z104" s="357"/>
      <c r="AA104" s="357"/>
      <c r="AB104" s="357"/>
      <c r="AC104" s="357"/>
      <c r="AD104" s="357"/>
      <c r="AE104" s="357"/>
      <c r="AF104" s="357"/>
      <c r="AG104" s="357"/>
      <c r="AH104" s="357"/>
      <c r="AI104" s="357"/>
      <c r="AJ104" s="357"/>
      <c r="AK104" s="357"/>
      <c r="AL104" s="357"/>
      <c r="AM104" s="357"/>
      <c r="AN104" s="357"/>
      <c r="AO104" s="357"/>
      <c r="AP104" s="357"/>
    </row>
    <row r="105" spans="1:42" ht="40.049999999999997" customHeight="1" x14ac:dyDescent="0.65">
      <c r="A105" s="461" t="s">
        <v>278</v>
      </c>
      <c r="B105" s="913" t="s">
        <v>279</v>
      </c>
      <c r="C105" s="291"/>
      <c r="D105" s="292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5"/>
      <c r="W105" s="357"/>
      <c r="X105" s="357"/>
      <c r="Y105" s="357"/>
      <c r="Z105" s="357"/>
      <c r="AA105" s="357"/>
      <c r="AB105" s="357"/>
      <c r="AC105" s="357"/>
      <c r="AD105" s="357"/>
      <c r="AE105" s="357"/>
      <c r="AF105" s="357"/>
      <c r="AG105" s="357"/>
      <c r="AH105" s="357"/>
      <c r="AI105" s="357"/>
      <c r="AJ105" s="357"/>
      <c r="AK105" s="357"/>
      <c r="AL105" s="357"/>
      <c r="AM105" s="357"/>
      <c r="AN105" s="357"/>
      <c r="AO105" s="357"/>
      <c r="AP105" s="357"/>
    </row>
    <row r="106" spans="1:42" ht="40.049999999999997" customHeight="1" x14ac:dyDescent="0.3">
      <c r="A106" s="462" t="s">
        <v>280</v>
      </c>
      <c r="B106" s="915" t="s">
        <v>281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6">
        <f t="shared" ref="U106:U112" si="8">COUNTIF(C106:T106,"&gt;=R")</f>
        <v>0</v>
      </c>
      <c r="V106" s="287">
        <f t="shared" ref="V106:V112" si="9">U106</f>
        <v>0</v>
      </c>
    </row>
    <row r="107" spans="1:42" ht="40.049999999999997" customHeight="1" x14ac:dyDescent="0.65">
      <c r="A107" s="908" t="s">
        <v>282</v>
      </c>
      <c r="B107" s="903" t="s">
        <v>283</v>
      </c>
      <c r="C107" s="283"/>
      <c r="D107" s="284"/>
      <c r="E107" s="283"/>
      <c r="F107" s="285"/>
      <c r="G107" s="283"/>
      <c r="H107" s="285"/>
      <c r="I107" s="283"/>
      <c r="J107" s="285"/>
      <c r="K107" s="283"/>
      <c r="L107" s="285"/>
      <c r="M107" s="283"/>
      <c r="N107" s="285"/>
      <c r="O107" s="283"/>
      <c r="P107" s="285"/>
      <c r="Q107" s="283"/>
      <c r="R107" s="285"/>
      <c r="S107" s="283"/>
      <c r="T107" s="285"/>
      <c r="U107" s="286">
        <f t="shared" si="8"/>
        <v>0</v>
      </c>
      <c r="V107" s="287">
        <f t="shared" si="9"/>
        <v>0</v>
      </c>
    </row>
    <row r="108" spans="1:42" ht="40.049999999999997" customHeight="1" x14ac:dyDescent="0.65">
      <c r="A108" s="467" t="s">
        <v>284</v>
      </c>
      <c r="B108" s="902" t="s">
        <v>285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6">
        <f t="shared" si="8"/>
        <v>0</v>
      </c>
      <c r="V108" s="287">
        <f t="shared" si="9"/>
        <v>0</v>
      </c>
      <c r="W108" s="357"/>
      <c r="X108" s="357"/>
      <c r="Y108" s="357"/>
      <c r="Z108" s="357"/>
      <c r="AA108" s="357"/>
      <c r="AB108" s="357"/>
      <c r="AC108" s="357"/>
      <c r="AD108" s="357"/>
      <c r="AE108" s="357"/>
      <c r="AF108" s="357"/>
      <c r="AG108" s="357"/>
      <c r="AH108" s="357"/>
      <c r="AI108" s="357"/>
      <c r="AJ108" s="357"/>
      <c r="AK108" s="357"/>
      <c r="AL108" s="357"/>
      <c r="AM108" s="357"/>
      <c r="AN108" s="357"/>
      <c r="AO108" s="357"/>
      <c r="AP108" s="357"/>
    </row>
    <row r="109" spans="1:42" ht="40.049999999999997" customHeight="1" x14ac:dyDescent="0.3">
      <c r="A109" s="462" t="s">
        <v>286</v>
      </c>
      <c r="B109" s="915" t="s">
        <v>287</v>
      </c>
      <c r="C109" s="283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6">
        <f t="shared" si="8"/>
        <v>0</v>
      </c>
      <c r="V109" s="287">
        <f t="shared" si="9"/>
        <v>0</v>
      </c>
    </row>
    <row r="110" spans="1:42" ht="40.049999999999997" customHeight="1" x14ac:dyDescent="0.65">
      <c r="A110" s="460" t="s">
        <v>288</v>
      </c>
      <c r="B110" s="900" t="s">
        <v>289</v>
      </c>
      <c r="C110" s="284"/>
      <c r="D110" s="284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6">
        <f t="shared" si="8"/>
        <v>0</v>
      </c>
      <c r="V110" s="287">
        <f t="shared" si="9"/>
        <v>0</v>
      </c>
      <c r="W110" s="357"/>
      <c r="X110" s="357"/>
      <c r="Y110" s="357"/>
      <c r="Z110" s="357"/>
      <c r="AA110" s="357"/>
      <c r="AB110" s="357"/>
      <c r="AC110" s="357"/>
      <c r="AD110" s="357"/>
      <c r="AE110" s="357"/>
      <c r="AF110" s="357"/>
      <c r="AG110" s="357"/>
      <c r="AH110" s="357"/>
      <c r="AI110" s="357"/>
      <c r="AJ110" s="357"/>
      <c r="AK110" s="357"/>
      <c r="AL110" s="357"/>
      <c r="AM110" s="357"/>
      <c r="AN110" s="357"/>
      <c r="AO110" s="357"/>
      <c r="AP110" s="357"/>
    </row>
    <row r="111" spans="1:42" ht="40.049999999999997" customHeight="1" x14ac:dyDescent="0.3">
      <c r="A111" s="460" t="s">
        <v>290</v>
      </c>
      <c r="B111" s="900" t="s">
        <v>291</v>
      </c>
      <c r="C111" s="283"/>
      <c r="D111" s="284"/>
      <c r="E111" s="283"/>
      <c r="F111" s="285"/>
      <c r="G111" s="283"/>
      <c r="H111" s="285"/>
      <c r="I111" s="283"/>
      <c r="J111" s="285"/>
      <c r="K111" s="283"/>
      <c r="L111" s="285"/>
      <c r="M111" s="283"/>
      <c r="N111" s="285"/>
      <c r="O111" s="283"/>
      <c r="P111" s="285"/>
      <c r="Q111" s="283"/>
      <c r="R111" s="285"/>
      <c r="S111" s="283"/>
      <c r="T111" s="285"/>
      <c r="U111" s="286">
        <f t="shared" si="8"/>
        <v>0</v>
      </c>
      <c r="V111" s="287">
        <f t="shared" si="9"/>
        <v>0</v>
      </c>
    </row>
    <row r="112" spans="1:42" ht="40.049999999999997" customHeight="1" x14ac:dyDescent="0.65">
      <c r="A112" s="908" t="s">
        <v>292</v>
      </c>
      <c r="B112" s="903" t="s">
        <v>293</v>
      </c>
      <c r="C112" s="283"/>
      <c r="D112" s="284"/>
      <c r="E112" s="283"/>
      <c r="F112" s="285"/>
      <c r="G112" s="283"/>
      <c r="H112" s="285"/>
      <c r="I112" s="283"/>
      <c r="J112" s="285"/>
      <c r="K112" s="283"/>
      <c r="L112" s="285"/>
      <c r="M112" s="283"/>
      <c r="N112" s="285"/>
      <c r="O112" s="283"/>
      <c r="P112" s="285"/>
      <c r="Q112" s="283"/>
      <c r="R112" s="285"/>
      <c r="S112" s="283"/>
      <c r="T112" s="285"/>
      <c r="U112" s="286">
        <f t="shared" si="8"/>
        <v>0</v>
      </c>
      <c r="V112" s="287">
        <f t="shared" si="9"/>
        <v>0</v>
      </c>
    </row>
    <row r="113" spans="1:42" ht="40.049999999999997" customHeight="1" x14ac:dyDescent="0.65">
      <c r="A113" s="461" t="s">
        <v>294</v>
      </c>
      <c r="B113" s="916" t="s">
        <v>295</v>
      </c>
      <c r="C113" s="291"/>
      <c r="D113" s="292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5"/>
      <c r="W113" s="357"/>
      <c r="X113" s="357"/>
      <c r="Y113" s="357"/>
      <c r="Z113" s="357"/>
      <c r="AA113" s="357"/>
      <c r="AB113" s="357"/>
      <c r="AC113" s="357"/>
      <c r="AD113" s="357"/>
      <c r="AE113" s="357"/>
      <c r="AF113" s="357"/>
      <c r="AG113" s="357"/>
      <c r="AH113" s="357"/>
      <c r="AI113" s="357"/>
      <c r="AJ113" s="357"/>
      <c r="AK113" s="357"/>
      <c r="AL113" s="357"/>
      <c r="AM113" s="357"/>
      <c r="AN113" s="357"/>
      <c r="AO113" s="357"/>
      <c r="AP113" s="357"/>
    </row>
    <row r="114" spans="1:42" ht="40.049999999999997" customHeight="1" x14ac:dyDescent="0.65">
      <c r="A114" s="469" t="s">
        <v>296</v>
      </c>
      <c r="B114" s="313" t="s">
        <v>297</v>
      </c>
      <c r="C114" s="743" t="s">
        <v>8</v>
      </c>
      <c r="D114" s="284"/>
      <c r="E114" s="750" t="s">
        <v>8</v>
      </c>
      <c r="F114" s="285"/>
      <c r="G114" s="750" t="s">
        <v>8</v>
      </c>
      <c r="H114" s="285"/>
      <c r="I114" s="750" t="s">
        <v>8</v>
      </c>
      <c r="J114" s="285"/>
      <c r="K114" s="285" t="s">
        <v>67</v>
      </c>
      <c r="L114" s="285"/>
      <c r="M114" s="285" t="s">
        <v>67</v>
      </c>
      <c r="N114" s="285"/>
      <c r="O114" s="285" t="s">
        <v>67</v>
      </c>
      <c r="P114" s="285"/>
      <c r="Q114" s="285" t="s">
        <v>67</v>
      </c>
      <c r="R114" s="285"/>
      <c r="S114" s="285" t="s">
        <v>67</v>
      </c>
      <c r="T114" s="285"/>
      <c r="U114" s="286">
        <f t="shared" ref="U114:U125" si="10">COUNTIF(C114:T114,"&gt;=R")</f>
        <v>9</v>
      </c>
      <c r="V114" s="287">
        <f t="shared" ref="V114:V125" si="11">U114</f>
        <v>9</v>
      </c>
      <c r="W114" s="357"/>
      <c r="X114" s="357"/>
      <c r="Y114" s="357"/>
      <c r="Z114" s="357"/>
      <c r="AA114" s="357"/>
      <c r="AB114" s="357"/>
      <c r="AC114" s="357"/>
      <c r="AD114" s="357"/>
      <c r="AE114" s="357"/>
      <c r="AF114" s="357"/>
      <c r="AG114" s="357"/>
      <c r="AH114" s="357"/>
      <c r="AI114" s="357"/>
      <c r="AJ114" s="357"/>
      <c r="AK114" s="357"/>
      <c r="AL114" s="357"/>
      <c r="AM114" s="357"/>
      <c r="AN114" s="357"/>
      <c r="AO114" s="357"/>
      <c r="AP114" s="357"/>
    </row>
    <row r="115" spans="1:42" ht="40.049999999999997" customHeight="1" x14ac:dyDescent="0.3">
      <c r="A115" s="469" t="s">
        <v>298</v>
      </c>
      <c r="B115" s="313" t="s">
        <v>299</v>
      </c>
      <c r="C115" s="283" t="s">
        <v>27</v>
      </c>
      <c r="D115" s="284"/>
      <c r="E115" s="285" t="s">
        <v>27</v>
      </c>
      <c r="F115" s="285"/>
      <c r="G115" s="307" t="s">
        <v>27</v>
      </c>
      <c r="H115" s="285"/>
      <c r="I115" s="307" t="s">
        <v>27</v>
      </c>
      <c r="J115" s="285"/>
      <c r="K115" s="307" t="s">
        <v>27</v>
      </c>
      <c r="L115" s="285"/>
      <c r="M115" s="285" t="s">
        <v>27</v>
      </c>
      <c r="N115" s="285"/>
      <c r="O115" s="285" t="s">
        <v>27</v>
      </c>
      <c r="P115" s="285"/>
      <c r="Q115" s="307" t="s">
        <v>27</v>
      </c>
      <c r="R115" s="285"/>
      <c r="S115" s="307" t="s">
        <v>27</v>
      </c>
      <c r="T115" s="285"/>
      <c r="U115" s="286">
        <f t="shared" si="10"/>
        <v>9</v>
      </c>
      <c r="V115" s="287">
        <f t="shared" si="11"/>
        <v>9</v>
      </c>
    </row>
    <row r="116" spans="1:42" ht="40.049999999999997" customHeight="1" x14ac:dyDescent="0.3">
      <c r="A116" s="469" t="s">
        <v>300</v>
      </c>
      <c r="B116" s="313" t="s">
        <v>301</v>
      </c>
      <c r="C116" s="283"/>
      <c r="D116" s="284"/>
      <c r="E116" s="283"/>
      <c r="F116" s="285"/>
      <c r="G116" s="283"/>
      <c r="H116" s="285"/>
      <c r="I116" s="283"/>
      <c r="J116" s="285"/>
      <c r="K116" s="283"/>
      <c r="L116" s="285"/>
      <c r="M116" s="283"/>
      <c r="N116" s="285"/>
      <c r="O116" s="283"/>
      <c r="P116" s="285"/>
      <c r="Q116" s="283"/>
      <c r="R116" s="285"/>
      <c r="S116" s="283"/>
      <c r="T116" s="285"/>
      <c r="U116" s="286">
        <f t="shared" si="10"/>
        <v>0</v>
      </c>
      <c r="V116" s="287">
        <f t="shared" si="11"/>
        <v>0</v>
      </c>
    </row>
    <row r="117" spans="1:42" ht="40.049999999999997" customHeight="1" x14ac:dyDescent="0.65">
      <c r="A117" s="469" t="s">
        <v>302</v>
      </c>
      <c r="B117" s="313" t="s">
        <v>303</v>
      </c>
      <c r="C117" s="284"/>
      <c r="D117" s="284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6">
        <f t="shared" si="10"/>
        <v>0</v>
      </c>
      <c r="V117" s="287">
        <f t="shared" si="11"/>
        <v>0</v>
      </c>
      <c r="W117" s="357"/>
      <c r="X117" s="357"/>
      <c r="Y117" s="357"/>
      <c r="Z117" s="357"/>
      <c r="AA117" s="357"/>
      <c r="AB117" s="357"/>
      <c r="AC117" s="357"/>
      <c r="AD117" s="357"/>
      <c r="AE117" s="357"/>
      <c r="AF117" s="357"/>
      <c r="AG117" s="357"/>
      <c r="AH117" s="357"/>
      <c r="AI117" s="357"/>
      <c r="AJ117" s="357"/>
      <c r="AK117" s="357"/>
      <c r="AL117" s="357"/>
      <c r="AM117" s="357"/>
      <c r="AN117" s="357"/>
      <c r="AO117" s="357"/>
      <c r="AP117" s="357"/>
    </row>
    <row r="118" spans="1:42" ht="40.049999999999997" customHeight="1" x14ac:dyDescent="0.3">
      <c r="A118" s="469" t="s">
        <v>304</v>
      </c>
      <c r="B118" s="313" t="s">
        <v>305</v>
      </c>
      <c r="C118" s="283" t="s">
        <v>93</v>
      </c>
      <c r="D118" s="284"/>
      <c r="E118" s="285" t="s">
        <v>93</v>
      </c>
      <c r="F118" s="285"/>
      <c r="G118" s="307" t="s">
        <v>93</v>
      </c>
      <c r="H118" s="285"/>
      <c r="I118" s="307" t="s">
        <v>93</v>
      </c>
      <c r="J118" s="285"/>
      <c r="K118" s="307" t="s">
        <v>93</v>
      </c>
      <c r="L118" s="285"/>
      <c r="M118" s="285" t="s">
        <v>93</v>
      </c>
      <c r="N118" s="285"/>
      <c r="O118" s="285" t="s">
        <v>93</v>
      </c>
      <c r="P118" s="285"/>
      <c r="Q118" s="307" t="s">
        <v>93</v>
      </c>
      <c r="R118" s="285"/>
      <c r="S118" s="307" t="s">
        <v>93</v>
      </c>
      <c r="T118" s="285"/>
      <c r="U118" s="286">
        <f t="shared" si="10"/>
        <v>9</v>
      </c>
      <c r="V118" s="287">
        <f t="shared" si="11"/>
        <v>9</v>
      </c>
    </row>
    <row r="119" spans="1:42" ht="40.049999999999997" customHeight="1" x14ac:dyDescent="0.3">
      <c r="A119" s="469" t="s">
        <v>306</v>
      </c>
      <c r="B119" s="313" t="s">
        <v>307</v>
      </c>
      <c r="C119" s="302" t="s">
        <v>57</v>
      </c>
      <c r="D119" s="284"/>
      <c r="E119" s="288" t="s">
        <v>57</v>
      </c>
      <c r="F119" s="285"/>
      <c r="G119" s="288" t="s">
        <v>68</v>
      </c>
      <c r="H119" s="285"/>
      <c r="I119" s="288" t="s">
        <v>68</v>
      </c>
      <c r="J119" s="285"/>
      <c r="K119" s="288" t="s">
        <v>68</v>
      </c>
      <c r="L119" s="285"/>
      <c r="M119" s="288" t="s">
        <v>68</v>
      </c>
      <c r="N119" s="285"/>
      <c r="O119" s="288" t="s">
        <v>68</v>
      </c>
      <c r="P119" s="285"/>
      <c r="Q119" s="288" t="s">
        <v>48</v>
      </c>
      <c r="R119" s="285"/>
      <c r="S119" s="288" t="s">
        <v>48</v>
      </c>
      <c r="T119" s="285"/>
      <c r="U119" s="286">
        <f t="shared" si="10"/>
        <v>9</v>
      </c>
      <c r="V119" s="287">
        <f t="shared" si="11"/>
        <v>9</v>
      </c>
    </row>
    <row r="120" spans="1:42" ht="40.049999999999997" customHeight="1" x14ac:dyDescent="0.3">
      <c r="A120" s="469" t="s">
        <v>308</v>
      </c>
      <c r="B120" s="313" t="s">
        <v>309</v>
      </c>
      <c r="C120" s="283"/>
      <c r="D120" s="284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6">
        <f t="shared" si="10"/>
        <v>0</v>
      </c>
      <c r="V120" s="287">
        <f t="shared" si="11"/>
        <v>0</v>
      </c>
    </row>
    <row r="121" spans="1:42" ht="40.049999999999997" customHeight="1" x14ac:dyDescent="0.3">
      <c r="A121" s="469" t="s">
        <v>310</v>
      </c>
      <c r="B121" s="313" t="s">
        <v>311</v>
      </c>
      <c r="C121" s="283"/>
      <c r="D121" s="302"/>
      <c r="E121" s="288"/>
      <c r="F121" s="288"/>
      <c r="G121" s="307"/>
      <c r="H121" s="288"/>
      <c r="I121" s="307"/>
      <c r="J121" s="288"/>
      <c r="K121" s="307"/>
      <c r="L121" s="288"/>
      <c r="M121" s="288"/>
      <c r="N121" s="288"/>
      <c r="O121" s="288"/>
      <c r="P121" s="288"/>
      <c r="Q121" s="307"/>
      <c r="R121" s="288"/>
      <c r="S121" s="307"/>
      <c r="T121" s="288"/>
      <c r="U121" s="286">
        <f t="shared" si="10"/>
        <v>0</v>
      </c>
      <c r="V121" s="287">
        <f t="shared" si="11"/>
        <v>0</v>
      </c>
    </row>
    <row r="122" spans="1:42" ht="40.049999999999997" customHeight="1" x14ac:dyDescent="0.3">
      <c r="A122" s="469" t="s">
        <v>312</v>
      </c>
      <c r="B122" s="313" t="s">
        <v>313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6">
        <f t="shared" si="10"/>
        <v>0</v>
      </c>
      <c r="V122" s="287">
        <f t="shared" si="11"/>
        <v>0</v>
      </c>
    </row>
    <row r="123" spans="1:42" ht="40.049999999999997" customHeight="1" x14ac:dyDescent="0.3">
      <c r="A123" s="469" t="s">
        <v>314</v>
      </c>
      <c r="B123" s="313" t="s">
        <v>315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6">
        <f t="shared" si="10"/>
        <v>0</v>
      </c>
      <c r="V123" s="287">
        <f t="shared" si="11"/>
        <v>0</v>
      </c>
    </row>
    <row r="124" spans="1:42" ht="40.049999999999997" customHeight="1" x14ac:dyDescent="0.3">
      <c r="A124" s="469" t="s">
        <v>316</v>
      </c>
      <c r="B124" s="313" t="s">
        <v>317</v>
      </c>
      <c r="C124" s="283"/>
      <c r="D124" s="302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6">
        <f t="shared" si="10"/>
        <v>0</v>
      </c>
      <c r="V124" s="287">
        <f t="shared" si="11"/>
        <v>0</v>
      </c>
    </row>
    <row r="125" spans="1:42" ht="40.049999999999997" customHeight="1" x14ac:dyDescent="0.3">
      <c r="A125" s="469" t="s">
        <v>318</v>
      </c>
      <c r="B125" s="313" t="s">
        <v>319</v>
      </c>
      <c r="C125" s="283"/>
      <c r="D125" s="302"/>
      <c r="E125" s="302"/>
      <c r="F125" s="288"/>
      <c r="G125" s="302"/>
      <c r="H125" s="288"/>
      <c r="I125" s="302"/>
      <c r="J125" s="288"/>
      <c r="K125" s="302"/>
      <c r="L125" s="288"/>
      <c r="M125" s="302"/>
      <c r="N125" s="288"/>
      <c r="O125" s="302"/>
      <c r="P125" s="288"/>
      <c r="Q125" s="302"/>
      <c r="R125" s="288"/>
      <c r="S125" s="302"/>
      <c r="T125" s="288"/>
      <c r="U125" s="286">
        <f t="shared" si="10"/>
        <v>0</v>
      </c>
      <c r="V125" s="287">
        <f t="shared" si="11"/>
        <v>0</v>
      </c>
    </row>
    <row r="126" spans="1:42" ht="40.049999999999997" customHeight="1" thickBot="1" x14ac:dyDescent="0.35">
      <c r="A126" s="465" t="s">
        <v>320</v>
      </c>
      <c r="B126" s="304" t="s">
        <v>321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5"/>
    </row>
    <row r="127" spans="1:42" ht="40.049999999999997" customHeight="1" x14ac:dyDescent="0.3">
      <c r="A127" s="459" t="s">
        <v>322</v>
      </c>
      <c r="B127" s="314" t="s">
        <v>323</v>
      </c>
      <c r="C127" s="291"/>
      <c r="D127" s="292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5"/>
    </row>
    <row r="128" spans="1:42" ht="40.049999999999997" customHeight="1" x14ac:dyDescent="0.3">
      <c r="A128" s="467" t="s">
        <v>324</v>
      </c>
      <c r="B128" s="905" t="s">
        <v>325</v>
      </c>
      <c r="C128" s="283"/>
      <c r="D128" s="302"/>
      <c r="E128" s="283"/>
      <c r="F128" s="288"/>
      <c r="G128" s="283"/>
      <c r="H128" s="288"/>
      <c r="I128" s="283"/>
      <c r="J128" s="288"/>
      <c r="K128" s="283"/>
      <c r="L128" s="288"/>
      <c r="M128" s="283"/>
      <c r="N128" s="288"/>
      <c r="O128" s="283"/>
      <c r="P128" s="288"/>
      <c r="Q128" s="283"/>
      <c r="R128" s="288"/>
      <c r="S128" s="283"/>
      <c r="T128" s="288"/>
      <c r="U128" s="286">
        <f t="shared" ref="U128:U139" si="12">COUNTIF(C128:T128,"&gt;=R")</f>
        <v>0</v>
      </c>
      <c r="V128" s="287">
        <f t="shared" ref="V128:V139" si="13">U128</f>
        <v>0</v>
      </c>
    </row>
    <row r="129" spans="1:22" ht="40.049999999999997" customHeight="1" x14ac:dyDescent="0.3">
      <c r="A129" s="470" t="s">
        <v>326</v>
      </c>
      <c r="B129" s="317" t="s">
        <v>327</v>
      </c>
      <c r="C129" s="283"/>
      <c r="D129" s="302"/>
      <c r="E129" s="283"/>
      <c r="F129" s="288"/>
      <c r="G129" s="283"/>
      <c r="H129" s="288"/>
      <c r="I129" s="283"/>
      <c r="J129" s="288"/>
      <c r="K129" s="283"/>
      <c r="L129" s="288"/>
      <c r="M129" s="283"/>
      <c r="N129" s="288"/>
      <c r="O129" s="283"/>
      <c r="P129" s="288"/>
      <c r="Q129" s="283"/>
      <c r="R129" s="288"/>
      <c r="S129" s="283"/>
      <c r="T129" s="288"/>
      <c r="U129" s="286">
        <f t="shared" si="12"/>
        <v>0</v>
      </c>
      <c r="V129" s="287">
        <f t="shared" si="13"/>
        <v>0</v>
      </c>
    </row>
    <row r="130" spans="1:22" ht="40.049999999999997" customHeight="1" x14ac:dyDescent="0.3">
      <c r="A130" s="467" t="s">
        <v>328</v>
      </c>
      <c r="B130" s="905" t="s">
        <v>329</v>
      </c>
      <c r="C130" s="283"/>
      <c r="D130" s="302"/>
      <c r="E130" s="307"/>
      <c r="F130" s="288"/>
      <c r="G130" s="288"/>
      <c r="H130" s="288"/>
      <c r="I130" s="288"/>
      <c r="J130" s="288"/>
      <c r="K130" s="288"/>
      <c r="L130" s="288"/>
      <c r="M130" s="307"/>
      <c r="N130" s="288"/>
      <c r="O130" s="285"/>
      <c r="P130" s="288"/>
      <c r="Q130" s="285"/>
      <c r="R130" s="288"/>
      <c r="S130" s="285"/>
      <c r="T130" s="288"/>
      <c r="U130" s="286">
        <f t="shared" si="12"/>
        <v>0</v>
      </c>
      <c r="V130" s="287">
        <f t="shared" si="13"/>
        <v>0</v>
      </c>
    </row>
    <row r="131" spans="1:22" ht="40.049999999999997" customHeight="1" x14ac:dyDescent="0.3">
      <c r="A131" s="467" t="s">
        <v>330</v>
      </c>
      <c r="B131" s="905" t="s">
        <v>331</v>
      </c>
      <c r="C131" s="284"/>
      <c r="D131" s="302"/>
      <c r="E131" s="285"/>
      <c r="F131" s="288"/>
      <c r="G131" s="285"/>
      <c r="H131" s="288"/>
      <c r="I131" s="285"/>
      <c r="J131" s="288"/>
      <c r="K131" s="285"/>
      <c r="L131" s="288"/>
      <c r="M131" s="285"/>
      <c r="N131" s="288"/>
      <c r="O131" s="285"/>
      <c r="P131" s="288"/>
      <c r="Q131" s="285"/>
      <c r="R131" s="288"/>
      <c r="S131" s="285"/>
      <c r="T131" s="288"/>
      <c r="U131" s="286">
        <f t="shared" si="12"/>
        <v>0</v>
      </c>
      <c r="V131" s="287">
        <f t="shared" si="13"/>
        <v>0</v>
      </c>
    </row>
    <row r="132" spans="1:22" ht="40.049999999999997" customHeight="1" x14ac:dyDescent="0.3">
      <c r="A132" s="467" t="s">
        <v>332</v>
      </c>
      <c r="B132" s="905" t="s">
        <v>333</v>
      </c>
      <c r="C132" s="283"/>
      <c r="D132" s="302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6">
        <f t="shared" si="12"/>
        <v>0</v>
      </c>
      <c r="V132" s="287">
        <f t="shared" si="13"/>
        <v>0</v>
      </c>
    </row>
    <row r="133" spans="1:22" ht="40.049999999999997" customHeight="1" x14ac:dyDescent="0.3">
      <c r="A133" s="467" t="s">
        <v>334</v>
      </c>
      <c r="B133" s="905" t="s">
        <v>335</v>
      </c>
      <c r="C133" s="283"/>
      <c r="D133" s="284"/>
      <c r="E133" s="283"/>
      <c r="F133" s="285"/>
      <c r="G133" s="283"/>
      <c r="H133" s="285"/>
      <c r="I133" s="283"/>
      <c r="J133" s="285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6">
        <f t="shared" si="12"/>
        <v>0</v>
      </c>
      <c r="V133" s="287">
        <f t="shared" si="13"/>
        <v>0</v>
      </c>
    </row>
    <row r="134" spans="1:22" ht="40.049999999999997" customHeight="1" x14ac:dyDescent="0.3">
      <c r="A134" s="467" t="s">
        <v>336</v>
      </c>
      <c r="B134" s="905" t="s">
        <v>337</v>
      </c>
      <c r="C134" s="283"/>
      <c r="D134" s="302"/>
      <c r="E134" s="283"/>
      <c r="F134" s="288"/>
      <c r="G134" s="283"/>
      <c r="H134" s="288"/>
      <c r="I134" s="283"/>
      <c r="J134" s="288"/>
      <c r="K134" s="283"/>
      <c r="L134" s="288"/>
      <c r="M134" s="283"/>
      <c r="N134" s="288"/>
      <c r="O134" s="283"/>
      <c r="P134" s="288"/>
      <c r="Q134" s="283"/>
      <c r="R134" s="288"/>
      <c r="S134" s="283"/>
      <c r="T134" s="288"/>
      <c r="U134" s="286">
        <f t="shared" si="12"/>
        <v>0</v>
      </c>
      <c r="V134" s="287">
        <f t="shared" si="13"/>
        <v>0</v>
      </c>
    </row>
    <row r="135" spans="1:22" ht="40.049999999999997" customHeight="1" x14ac:dyDescent="0.3">
      <c r="A135" s="467" t="s">
        <v>338</v>
      </c>
      <c r="B135" s="905" t="s">
        <v>339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6">
        <f t="shared" si="12"/>
        <v>0</v>
      </c>
      <c r="V135" s="287">
        <f t="shared" si="13"/>
        <v>0</v>
      </c>
    </row>
    <row r="136" spans="1:22" ht="40.049999999999997" customHeight="1" x14ac:dyDescent="0.3">
      <c r="A136" s="467" t="s">
        <v>340</v>
      </c>
      <c r="B136" s="905" t="s">
        <v>341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6">
        <f t="shared" si="12"/>
        <v>0</v>
      </c>
      <c r="V136" s="287">
        <f t="shared" si="13"/>
        <v>0</v>
      </c>
    </row>
    <row r="137" spans="1:22" ht="40.049999999999997" customHeight="1" x14ac:dyDescent="0.3">
      <c r="A137" s="467" t="s">
        <v>342</v>
      </c>
      <c r="B137" s="905" t="s">
        <v>343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6">
        <f t="shared" si="12"/>
        <v>0</v>
      </c>
      <c r="V137" s="287">
        <f t="shared" si="13"/>
        <v>0</v>
      </c>
    </row>
    <row r="138" spans="1:22" ht="40.049999999999997" customHeight="1" x14ac:dyDescent="0.3">
      <c r="A138" s="467" t="s">
        <v>344</v>
      </c>
      <c r="B138" s="905" t="s">
        <v>345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6">
        <f t="shared" si="12"/>
        <v>0</v>
      </c>
      <c r="V138" s="287">
        <f t="shared" si="13"/>
        <v>0</v>
      </c>
    </row>
    <row r="139" spans="1:22" ht="40.049999999999997" customHeight="1" x14ac:dyDescent="0.3">
      <c r="A139" s="467" t="s">
        <v>346</v>
      </c>
      <c r="B139" s="905" t="s">
        <v>347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6">
        <f t="shared" si="12"/>
        <v>0</v>
      </c>
      <c r="V139" s="287">
        <f t="shared" si="13"/>
        <v>0</v>
      </c>
    </row>
    <row r="140" spans="1:22" ht="40.049999999999997" customHeight="1" x14ac:dyDescent="0.3">
      <c r="A140" s="461" t="s">
        <v>348</v>
      </c>
      <c r="B140" s="916" t="s">
        <v>349</v>
      </c>
      <c r="C140" s="291"/>
      <c r="D140" s="292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5"/>
    </row>
    <row r="141" spans="1:22" ht="40.049999999999997" customHeight="1" x14ac:dyDescent="0.3">
      <c r="A141" s="467" t="s">
        <v>350</v>
      </c>
      <c r="B141" s="902" t="s">
        <v>351</v>
      </c>
      <c r="C141" s="283"/>
      <c r="D141" s="302"/>
      <c r="E141" s="283"/>
      <c r="F141" s="288"/>
      <c r="G141" s="283"/>
      <c r="H141" s="288"/>
      <c r="I141" s="283"/>
      <c r="J141" s="288"/>
      <c r="K141" s="283"/>
      <c r="L141" s="288"/>
      <c r="M141" s="283"/>
      <c r="N141" s="288"/>
      <c r="O141" s="283"/>
      <c r="P141" s="288"/>
      <c r="Q141" s="283"/>
      <c r="R141" s="288"/>
      <c r="S141" s="283"/>
      <c r="T141" s="288"/>
      <c r="U141" s="286">
        <f>COUNTIF(C141:T141,"&gt;=R")</f>
        <v>0</v>
      </c>
      <c r="V141" s="287">
        <f>U141</f>
        <v>0</v>
      </c>
    </row>
    <row r="142" spans="1:22" ht="40.049999999999997" customHeight="1" x14ac:dyDescent="0.3">
      <c r="A142" s="467" t="s">
        <v>352</v>
      </c>
      <c r="B142" s="902" t="s">
        <v>353</v>
      </c>
      <c r="C142" s="283" t="s">
        <v>83</v>
      </c>
      <c r="D142" s="302"/>
      <c r="E142" s="288" t="s">
        <v>83</v>
      </c>
      <c r="F142" s="288"/>
      <c r="G142" s="288" t="s">
        <v>83</v>
      </c>
      <c r="H142" s="288"/>
      <c r="I142" s="288" t="s">
        <v>83</v>
      </c>
      <c r="J142" s="288"/>
      <c r="K142" s="288" t="s">
        <v>83</v>
      </c>
      <c r="L142" s="288"/>
      <c r="M142" s="288" t="s">
        <v>83</v>
      </c>
      <c r="N142" s="288"/>
      <c r="O142" s="288" t="s">
        <v>56</v>
      </c>
      <c r="P142" s="288"/>
      <c r="Q142" s="288" t="s">
        <v>56</v>
      </c>
      <c r="R142" s="288"/>
      <c r="S142" s="288" t="s">
        <v>56</v>
      </c>
      <c r="T142" s="288"/>
      <c r="U142" s="286">
        <f>COUNTIF(C142:T142,"&gt;=R")</f>
        <v>9</v>
      </c>
      <c r="V142" s="287">
        <f>U142</f>
        <v>9</v>
      </c>
    </row>
    <row r="143" spans="1:22" ht="40.049999999999997" customHeight="1" x14ac:dyDescent="0.3">
      <c r="A143" s="467" t="s">
        <v>354</v>
      </c>
      <c r="B143" s="902" t="s">
        <v>355</v>
      </c>
      <c r="C143" s="283" t="s">
        <v>83</v>
      </c>
      <c r="D143" s="302"/>
      <c r="E143" s="288" t="s">
        <v>83</v>
      </c>
      <c r="F143" s="288"/>
      <c r="G143" s="288" t="s">
        <v>83</v>
      </c>
      <c r="H143" s="288"/>
      <c r="I143" s="288" t="s">
        <v>83</v>
      </c>
      <c r="J143" s="288"/>
      <c r="K143" s="288" t="s">
        <v>83</v>
      </c>
      <c r="L143" s="288"/>
      <c r="M143" s="288" t="s">
        <v>83</v>
      </c>
      <c r="N143" s="288"/>
      <c r="O143" s="288" t="s">
        <v>56</v>
      </c>
      <c r="P143" s="288"/>
      <c r="Q143" s="288" t="s">
        <v>56</v>
      </c>
      <c r="R143" s="288"/>
      <c r="S143" s="288" t="s">
        <v>56</v>
      </c>
      <c r="T143" s="288"/>
      <c r="U143" s="286">
        <f>COUNTIF(C143:T143,"&gt;=R")</f>
        <v>9</v>
      </c>
      <c r="V143" s="287">
        <f>U143</f>
        <v>9</v>
      </c>
    </row>
    <row r="144" spans="1:22" ht="40.049999999999997" customHeight="1" x14ac:dyDescent="0.3">
      <c r="A144" s="461" t="s">
        <v>356</v>
      </c>
      <c r="B144" s="916" t="s">
        <v>357</v>
      </c>
      <c r="C144" s="291"/>
      <c r="D144" s="292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5"/>
    </row>
    <row r="145" spans="1:22" ht="40.049999999999997" customHeight="1" x14ac:dyDescent="0.3">
      <c r="A145" s="467" t="s">
        <v>358</v>
      </c>
      <c r="B145" s="902" t="s">
        <v>359</v>
      </c>
      <c r="C145" s="283" t="s">
        <v>28</v>
      </c>
      <c r="D145" s="302"/>
      <c r="E145" s="283" t="s">
        <v>28</v>
      </c>
      <c r="F145" s="288"/>
      <c r="G145" s="283" t="s">
        <v>83</v>
      </c>
      <c r="H145" s="288"/>
      <c r="I145" s="283" t="s">
        <v>83</v>
      </c>
      <c r="J145" s="288"/>
      <c r="K145" s="283" t="s">
        <v>75</v>
      </c>
      <c r="L145" s="288"/>
      <c r="M145" s="283" t="s">
        <v>75</v>
      </c>
      <c r="N145" s="288"/>
      <c r="O145" s="283" t="s">
        <v>75</v>
      </c>
      <c r="P145" s="288"/>
      <c r="Q145" s="283" t="s">
        <v>75</v>
      </c>
      <c r="R145" s="288"/>
      <c r="S145" s="283" t="s">
        <v>75</v>
      </c>
      <c r="T145" s="288"/>
      <c r="U145" s="286">
        <f>COUNTIF(C145:T145,"&gt;=R")</f>
        <v>9</v>
      </c>
      <c r="V145" s="287">
        <f>U145</f>
        <v>9</v>
      </c>
    </row>
    <row r="146" spans="1:22" ht="40.049999999999997" customHeight="1" x14ac:dyDescent="0.3">
      <c r="A146" s="467" t="s">
        <v>360</v>
      </c>
      <c r="B146" s="902" t="s">
        <v>361</v>
      </c>
      <c r="C146" s="912" t="s">
        <v>409</v>
      </c>
      <c r="D146" s="302"/>
      <c r="E146" s="673" t="s">
        <v>409</v>
      </c>
      <c r="F146" s="288"/>
      <c r="G146" s="673" t="s">
        <v>409</v>
      </c>
      <c r="H146" s="288"/>
      <c r="I146" s="673" t="s">
        <v>409</v>
      </c>
      <c r="J146" s="288"/>
      <c r="K146" s="285" t="s">
        <v>408</v>
      </c>
      <c r="L146" s="288"/>
      <c r="M146" s="285" t="s">
        <v>408</v>
      </c>
      <c r="N146" s="288"/>
      <c r="O146" s="285" t="s">
        <v>408</v>
      </c>
      <c r="P146" s="288"/>
      <c r="Q146" s="674" t="s">
        <v>16</v>
      </c>
      <c r="R146" s="288"/>
      <c r="S146" s="673" t="s">
        <v>409</v>
      </c>
      <c r="T146" s="288"/>
      <c r="U146" s="286">
        <f>COUNTIF(C146:T146,"&gt;=R")</f>
        <v>9</v>
      </c>
      <c r="V146" s="287">
        <f>U146</f>
        <v>9</v>
      </c>
    </row>
    <row r="147" spans="1:22" ht="40.049999999999997" customHeight="1" x14ac:dyDescent="0.3">
      <c r="A147" s="467" t="s">
        <v>362</v>
      </c>
      <c r="B147" s="902" t="s">
        <v>363</v>
      </c>
      <c r="C147" s="283" t="s">
        <v>85</v>
      </c>
      <c r="D147" s="302"/>
      <c r="E147" s="283" t="s">
        <v>85</v>
      </c>
      <c r="F147" s="288"/>
      <c r="G147" s="283" t="s">
        <v>91</v>
      </c>
      <c r="H147" s="288"/>
      <c r="I147" s="283" t="s">
        <v>91</v>
      </c>
      <c r="J147" s="288"/>
      <c r="K147" s="283" t="s">
        <v>83</v>
      </c>
      <c r="L147" s="288"/>
      <c r="M147" s="283" t="s">
        <v>83</v>
      </c>
      <c r="N147" s="288"/>
      <c r="O147" s="283" t="s">
        <v>83</v>
      </c>
      <c r="P147" s="288"/>
      <c r="Q147" s="283" t="s">
        <v>83</v>
      </c>
      <c r="R147" s="288"/>
      <c r="S147" s="283" t="s">
        <v>83</v>
      </c>
      <c r="T147" s="288"/>
      <c r="U147" s="286">
        <f>COUNTIF(C147:T147,"&gt;=R")</f>
        <v>9</v>
      </c>
      <c r="V147" s="287">
        <f>U147</f>
        <v>9</v>
      </c>
    </row>
    <row r="148" spans="1:22" ht="40.049999999999997" customHeight="1" x14ac:dyDescent="0.3">
      <c r="A148" s="461" t="s">
        <v>364</v>
      </c>
      <c r="B148" s="913" t="s">
        <v>365</v>
      </c>
      <c r="C148" s="291"/>
      <c r="D148" s="292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5"/>
    </row>
    <row r="149" spans="1:22" ht="40.049999999999997" customHeight="1" x14ac:dyDescent="0.3">
      <c r="A149" s="909" t="s">
        <v>366</v>
      </c>
      <c r="B149" s="496" t="s">
        <v>367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6">
        <f t="shared" ref="U149:U156" si="14">COUNTIF(C149:T149,"&gt;=R")</f>
        <v>0</v>
      </c>
      <c r="V149" s="287">
        <f t="shared" ref="V149:V156" si="15">U149</f>
        <v>0</v>
      </c>
    </row>
    <row r="150" spans="1:22" ht="40.049999999999997" customHeight="1" x14ac:dyDescent="0.3">
      <c r="A150" s="910" t="s">
        <v>368</v>
      </c>
      <c r="B150" s="313" t="s">
        <v>369</v>
      </c>
      <c r="C150" s="302"/>
      <c r="D150" s="302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6">
        <f t="shared" si="14"/>
        <v>0</v>
      </c>
      <c r="V150" s="287">
        <f t="shared" si="15"/>
        <v>0</v>
      </c>
    </row>
    <row r="151" spans="1:22" ht="40.049999999999997" customHeight="1" x14ac:dyDescent="0.3">
      <c r="A151" s="910" t="s">
        <v>370</v>
      </c>
      <c r="B151" s="313" t="s">
        <v>371</v>
      </c>
      <c r="C151" s="284"/>
      <c r="D151" s="302"/>
      <c r="E151" s="285"/>
      <c r="F151" s="288"/>
      <c r="G151" s="285"/>
      <c r="H151" s="288"/>
      <c r="I151" s="285"/>
      <c r="J151" s="288"/>
      <c r="K151" s="285"/>
      <c r="L151" s="288"/>
      <c r="M151" s="285"/>
      <c r="N151" s="288"/>
      <c r="O151" s="285"/>
      <c r="P151" s="288"/>
      <c r="Q151" s="285"/>
      <c r="R151" s="288"/>
      <c r="S151" s="285"/>
      <c r="T151" s="288"/>
      <c r="U151" s="286">
        <f t="shared" si="14"/>
        <v>0</v>
      </c>
      <c r="V151" s="287">
        <f t="shared" si="15"/>
        <v>0</v>
      </c>
    </row>
    <row r="152" spans="1:22" ht="40.049999999999997" customHeight="1" x14ac:dyDescent="0.3">
      <c r="A152" s="469" t="s">
        <v>372</v>
      </c>
      <c r="B152" s="497" t="s">
        <v>373</v>
      </c>
      <c r="C152" s="284" t="s">
        <v>83</v>
      </c>
      <c r="D152" s="302"/>
      <c r="E152" s="288" t="s">
        <v>83</v>
      </c>
      <c r="F152" s="288"/>
      <c r="G152" s="288" t="s">
        <v>83</v>
      </c>
      <c r="H152" s="288"/>
      <c r="I152" s="285" t="s">
        <v>83</v>
      </c>
      <c r="J152" s="288"/>
      <c r="K152" s="285" t="s">
        <v>91</v>
      </c>
      <c r="L152" s="288"/>
      <c r="M152" s="285" t="s">
        <v>91</v>
      </c>
      <c r="N152" s="288"/>
      <c r="O152" s="285" t="s">
        <v>56</v>
      </c>
      <c r="P152" s="288"/>
      <c r="Q152" s="285" t="s">
        <v>56</v>
      </c>
      <c r="R152" s="288"/>
      <c r="S152" s="285" t="s">
        <v>56</v>
      </c>
      <c r="T152" s="288"/>
      <c r="U152" s="286">
        <f t="shared" si="14"/>
        <v>9</v>
      </c>
      <c r="V152" s="287">
        <f t="shared" si="15"/>
        <v>9</v>
      </c>
    </row>
    <row r="153" spans="1:22" ht="40.049999999999997" customHeight="1" x14ac:dyDescent="0.3">
      <c r="A153" s="469" t="s">
        <v>374</v>
      </c>
      <c r="B153" s="497" t="s">
        <v>375</v>
      </c>
      <c r="C153" s="284"/>
      <c r="D153" s="302"/>
      <c r="E153" s="288"/>
      <c r="F153" s="288"/>
      <c r="G153" s="288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6">
        <f t="shared" si="14"/>
        <v>0</v>
      </c>
      <c r="V153" s="287">
        <f t="shared" si="15"/>
        <v>0</v>
      </c>
    </row>
    <row r="154" spans="1:22" ht="40.049999999999997" customHeight="1" x14ac:dyDescent="0.3">
      <c r="A154" s="469" t="s">
        <v>376</v>
      </c>
      <c r="B154" s="497" t="s">
        <v>377</v>
      </c>
      <c r="C154" s="284"/>
      <c r="D154" s="302"/>
      <c r="E154" s="285"/>
      <c r="F154" s="288"/>
      <c r="G154" s="285"/>
      <c r="H154" s="288"/>
      <c r="I154" s="285"/>
      <c r="J154" s="288"/>
      <c r="K154" s="285"/>
      <c r="L154" s="288"/>
      <c r="M154" s="285" t="s">
        <v>93</v>
      </c>
      <c r="N154" s="288"/>
      <c r="O154" s="285" t="s">
        <v>93</v>
      </c>
      <c r="P154" s="288"/>
      <c r="Q154" s="285"/>
      <c r="R154" s="288"/>
      <c r="S154" s="285"/>
      <c r="T154" s="288"/>
      <c r="U154" s="286">
        <f t="shared" si="14"/>
        <v>2</v>
      </c>
      <c r="V154" s="287">
        <f t="shared" si="15"/>
        <v>2</v>
      </c>
    </row>
    <row r="155" spans="1:22" ht="40.049999999999997" customHeight="1" x14ac:dyDescent="0.3">
      <c r="A155" s="469" t="s">
        <v>374</v>
      </c>
      <c r="B155" s="498" t="s">
        <v>375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6">
        <f t="shared" si="14"/>
        <v>0</v>
      </c>
      <c r="V155" s="287">
        <f t="shared" si="15"/>
        <v>0</v>
      </c>
    </row>
    <row r="156" spans="1:22" ht="40.049999999999997" customHeight="1" x14ac:dyDescent="0.65">
      <c r="A156" s="908" t="s">
        <v>378</v>
      </c>
      <c r="B156" s="903" t="s">
        <v>379</v>
      </c>
      <c r="C156" s="302"/>
      <c r="D156" s="302"/>
      <c r="E156" s="288"/>
      <c r="F156" s="288"/>
      <c r="G156" s="288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8"/>
      <c r="T156" s="288"/>
      <c r="U156" s="286">
        <f t="shared" si="14"/>
        <v>0</v>
      </c>
      <c r="V156" s="287">
        <f t="shared" si="15"/>
        <v>0</v>
      </c>
    </row>
    <row r="157" spans="1:22" ht="40.049999999999997" customHeight="1" x14ac:dyDescent="0.3">
      <c r="A157" s="461" t="s">
        <v>380</v>
      </c>
      <c r="B157" s="913" t="s">
        <v>381</v>
      </c>
      <c r="C157" s="291"/>
      <c r="D157" s="292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5"/>
    </row>
    <row r="158" spans="1:22" ht="40.049999999999997" customHeight="1" x14ac:dyDescent="0.3">
      <c r="A158" s="467" t="s">
        <v>382</v>
      </c>
      <c r="B158" s="902" t="s">
        <v>383</v>
      </c>
      <c r="C158" s="283"/>
      <c r="D158" s="302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6">
        <f>COUNTIF(C158:T158,"&gt;=R")</f>
        <v>0</v>
      </c>
      <c r="V158" s="287">
        <f>U158</f>
        <v>0</v>
      </c>
    </row>
    <row r="159" spans="1:22" ht="40.049999999999997" customHeight="1" x14ac:dyDescent="0.3">
      <c r="A159" s="467" t="s">
        <v>384</v>
      </c>
      <c r="B159" s="902" t="s">
        <v>385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6">
        <f>COUNTIF(C159:T159,"&gt;=R")</f>
        <v>0</v>
      </c>
      <c r="V159" s="287">
        <f>U159</f>
        <v>0</v>
      </c>
    </row>
    <row r="160" spans="1:22" ht="40.049999999999997" customHeight="1" x14ac:dyDescent="0.3">
      <c r="A160" s="467" t="s">
        <v>386</v>
      </c>
      <c r="B160" s="902" t="s">
        <v>387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6">
        <f>COUNTIF(C160:T160,"&gt;=R")</f>
        <v>0</v>
      </c>
      <c r="V160" s="287">
        <f>U160</f>
        <v>0</v>
      </c>
    </row>
    <row r="161" spans="1:66" ht="40.049999999999997" customHeight="1" x14ac:dyDescent="0.3">
      <c r="A161" s="467" t="s">
        <v>388</v>
      </c>
      <c r="B161" s="902" t="s">
        <v>389</v>
      </c>
      <c r="C161" s="283"/>
      <c r="D161" s="302"/>
      <c r="E161" s="283"/>
      <c r="F161" s="288"/>
      <c r="G161" s="283"/>
      <c r="H161" s="288"/>
      <c r="I161" s="283"/>
      <c r="J161" s="288"/>
      <c r="K161" s="283"/>
      <c r="L161" s="288"/>
      <c r="M161" s="283"/>
      <c r="N161" s="288"/>
      <c r="O161" s="283"/>
      <c r="P161" s="288"/>
      <c r="Q161" s="283"/>
      <c r="R161" s="288"/>
      <c r="S161" s="283"/>
      <c r="T161" s="288"/>
      <c r="U161" s="286">
        <f>COUNTIF(C161:T161,"&gt;=R")</f>
        <v>0</v>
      </c>
      <c r="V161" s="287">
        <f>U161</f>
        <v>0</v>
      </c>
    </row>
    <row r="162" spans="1:66" ht="40.049999999999997" customHeight="1" x14ac:dyDescent="0.3">
      <c r="A162" s="461" t="s">
        <v>390</v>
      </c>
      <c r="B162" s="916" t="s">
        <v>391</v>
      </c>
      <c r="C162" s="291"/>
      <c r="D162" s="292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5"/>
    </row>
    <row r="163" spans="1:66" ht="40.049999999999997" customHeight="1" x14ac:dyDescent="0.3">
      <c r="A163" s="910" t="s">
        <v>392</v>
      </c>
      <c r="B163" s="313" t="s">
        <v>393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6">
        <f>COUNTIF(C163:T163,"&gt;=R")</f>
        <v>0</v>
      </c>
      <c r="V163" s="287">
        <f>U163</f>
        <v>0</v>
      </c>
    </row>
    <row r="164" spans="1:66" ht="40.049999999999997" customHeight="1" x14ac:dyDescent="0.65">
      <c r="A164" s="910" t="s">
        <v>394</v>
      </c>
      <c r="B164" s="313" t="s">
        <v>395</v>
      </c>
      <c r="C164" s="283"/>
      <c r="D164" s="302"/>
      <c r="E164" s="283"/>
      <c r="F164" s="288"/>
      <c r="G164" s="283"/>
      <c r="H164" s="288"/>
      <c r="I164" s="288"/>
      <c r="J164" s="288"/>
      <c r="K164" s="283"/>
      <c r="L164" s="288"/>
      <c r="M164" s="283"/>
      <c r="N164" s="288"/>
      <c r="O164" s="283"/>
      <c r="P164" s="288"/>
      <c r="Q164" s="283"/>
      <c r="R164" s="288"/>
      <c r="S164" s="283"/>
      <c r="T164" s="288"/>
      <c r="U164" s="286">
        <f>COUNTIF(C164:T164,"&gt;=R")</f>
        <v>0</v>
      </c>
      <c r="V164" s="287">
        <f>U164</f>
        <v>0</v>
      </c>
      <c r="W164" s="393"/>
      <c r="X164" s="393"/>
      <c r="Y164" s="393"/>
      <c r="Z164" s="393"/>
      <c r="AA164" s="393"/>
      <c r="AB164" s="393"/>
      <c r="AC164" s="393"/>
      <c r="AD164" s="393"/>
      <c r="AE164" s="393"/>
      <c r="AF164" s="393"/>
      <c r="AG164" s="393"/>
      <c r="AH164" s="393"/>
      <c r="AI164" s="393"/>
      <c r="AJ164" s="393"/>
      <c r="AK164" s="393"/>
      <c r="AL164" s="393"/>
      <c r="AM164" s="393"/>
      <c r="AN164" s="393"/>
      <c r="AO164" s="393"/>
      <c r="AP164" s="393"/>
    </row>
    <row r="165" spans="1:66" ht="40.049999999999997" customHeight="1" thickBot="1" x14ac:dyDescent="0.7">
      <c r="A165" s="911" t="s">
        <v>396</v>
      </c>
      <c r="B165" s="499" t="s">
        <v>397</v>
      </c>
      <c r="C165" s="327"/>
      <c r="D165" s="328"/>
      <c r="E165" s="327"/>
      <c r="F165" s="329"/>
      <c r="G165" s="327"/>
      <c r="H165" s="329"/>
      <c r="I165" s="329"/>
      <c r="J165" s="329"/>
      <c r="K165" s="327"/>
      <c r="L165" s="329"/>
      <c r="M165" s="327"/>
      <c r="N165" s="329"/>
      <c r="O165" s="327"/>
      <c r="P165" s="329"/>
      <c r="Q165" s="327"/>
      <c r="R165" s="329"/>
      <c r="S165" s="327"/>
      <c r="T165" s="329"/>
      <c r="U165" s="286">
        <f>COUNTIF(C165:T165,"&gt;=R")</f>
        <v>0</v>
      </c>
      <c r="V165" s="287">
        <f>U165</f>
        <v>0</v>
      </c>
      <c r="W165" s="393"/>
      <c r="X165" s="393"/>
      <c r="Y165" s="393"/>
      <c r="Z165" s="393"/>
      <c r="AA165" s="393"/>
      <c r="AB165" s="393"/>
      <c r="AC165" s="393"/>
      <c r="AD165" s="393"/>
      <c r="AE165" s="393"/>
      <c r="AF165" s="393"/>
      <c r="AG165" s="393"/>
      <c r="AH165" s="393"/>
      <c r="AI165" s="393"/>
      <c r="AJ165" s="393"/>
      <c r="AK165" s="393"/>
      <c r="AL165" s="393"/>
      <c r="AM165" s="393"/>
      <c r="AN165" s="393"/>
      <c r="AO165" s="393"/>
      <c r="AP165" s="393"/>
    </row>
    <row r="166" spans="1:66" ht="25.2" customHeight="1" x14ac:dyDescent="0.45">
      <c r="A166" s="225"/>
      <c r="B166" s="2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</row>
    <row r="167" spans="1:66" ht="25.2" customHeight="1" x14ac:dyDescent="0.45">
      <c r="A167" s="225"/>
      <c r="B167" s="2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</row>
    <row r="168" spans="1:66" ht="25.2" customHeight="1" x14ac:dyDescent="0.45">
      <c r="A168" s="225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ht="25.2" customHeight="1" x14ac:dyDescent="0.45">
      <c r="A169" s="225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ht="25.2" customHeight="1" x14ac:dyDescent="0.45">
      <c r="A170" s="225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ht="25.2" customHeight="1" x14ac:dyDescent="0.45">
      <c r="A171" s="225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ht="25.2" customHeight="1" x14ac:dyDescent="0.45">
      <c r="A172" s="225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ht="25.2" customHeight="1" x14ac:dyDescent="0.45">
      <c r="A173" s="226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ht="25.2" customHeight="1" x14ac:dyDescent="0.45">
      <c r="A174" s="22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ht="25.2" customHeight="1" x14ac:dyDescent="0.45">
      <c r="A175" s="22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ht="25.2" customHeight="1" x14ac:dyDescent="0.45">
      <c r="A176" s="226"/>
      <c r="B176" s="2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ht="25.2" customHeight="1" x14ac:dyDescent="0.45">
      <c r="A177" s="217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3"/>
      <c r="Y177" s="3"/>
      <c r="Z177" s="3"/>
      <c r="AA177" s="4"/>
      <c r="AB177" s="4"/>
      <c r="AC177" s="4"/>
      <c r="AD177" s="4"/>
      <c r="AE177" s="4"/>
      <c r="AF177" s="4"/>
      <c r="AG177" s="4"/>
      <c r="AH177" s="4"/>
      <c r="AI177" s="3"/>
      <c r="AJ177" s="3"/>
      <c r="AK177" s="3"/>
      <c r="AL177" s="3"/>
      <c r="AM177" s="3"/>
      <c r="AN177" s="3"/>
      <c r="AO177" s="3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ht="25.2" customHeight="1" x14ac:dyDescent="0.45">
      <c r="A178" s="229"/>
      <c r="B178" s="219"/>
      <c r="C178" s="220"/>
      <c r="D178" s="219"/>
      <c r="E178" s="219"/>
      <c r="F178" s="219"/>
      <c r="G178" s="219"/>
      <c r="H178" s="219"/>
      <c r="I178" s="115"/>
      <c r="J178" s="222"/>
      <c r="K178" s="222"/>
      <c r="L178" s="222"/>
      <c r="M178" s="222"/>
      <c r="N178" s="222"/>
      <c r="O178" s="222"/>
      <c r="P178" s="220"/>
      <c r="Q178" s="1201"/>
      <c r="R178" s="1143"/>
      <c r="S178" s="1143"/>
      <c r="T178" s="1143"/>
      <c r="U178" s="1143"/>
      <c r="V178" s="1143"/>
      <c r="W178" s="223"/>
      <c r="X178" s="133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3"/>
      <c r="AJ178" s="3"/>
      <c r="AK178" s="3"/>
      <c r="AL178" s="3"/>
      <c r="AM178" s="3"/>
      <c r="AN178" s="3"/>
      <c r="AO178" s="4"/>
      <c r="AP178" s="8"/>
      <c r="AQ178" s="8"/>
      <c r="AR178" s="8"/>
      <c r="AS178" s="8"/>
      <c r="AT178" s="8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s="357" customFormat="1" ht="25.2" customHeight="1" x14ac:dyDescent="0.65">
      <c r="A179" s="385"/>
      <c r="B179" s="330" t="s">
        <v>398</v>
      </c>
      <c r="C179" s="330"/>
      <c r="D179" s="1097" t="s">
        <v>44</v>
      </c>
      <c r="E179" s="1042"/>
      <c r="F179" s="1042"/>
      <c r="G179" s="1042"/>
      <c r="H179" s="1042"/>
      <c r="I179" s="474"/>
      <c r="J179" s="1070" t="s">
        <v>399</v>
      </c>
      <c r="K179" s="1009"/>
      <c r="L179" s="1009"/>
      <c r="M179" s="1009"/>
      <c r="N179" s="1009"/>
      <c r="O179" s="1009"/>
      <c r="P179" s="474"/>
      <c r="Q179" s="1083" t="s">
        <v>73</v>
      </c>
      <c r="R179" s="1042"/>
      <c r="S179" s="1042"/>
      <c r="T179" s="1042"/>
      <c r="U179" s="1042"/>
      <c r="V179" s="1042"/>
      <c r="W179" s="393"/>
      <c r="X179" s="393"/>
      <c r="AN179" s="475"/>
      <c r="AO179" s="475"/>
      <c r="AP179" s="475"/>
      <c r="AQ179" s="475"/>
      <c r="AR179" s="475"/>
      <c r="AS179" s="475"/>
      <c r="AT179" s="475"/>
      <c r="AU179" s="475"/>
      <c r="AV179" s="475"/>
      <c r="AW179" s="475"/>
      <c r="AX179" s="475"/>
      <c r="AY179" s="393"/>
      <c r="AZ179" s="393"/>
      <c r="BA179" s="393"/>
      <c r="BB179" s="393"/>
      <c r="BC179" s="393"/>
      <c r="BD179" s="393"/>
      <c r="BE179" s="393"/>
      <c r="BF179" s="393"/>
      <c r="BG179" s="393"/>
      <c r="BH179" s="393"/>
      <c r="BI179" s="1083"/>
      <c r="BJ179" s="1042"/>
      <c r="BK179" s="1042"/>
      <c r="BL179" s="1042"/>
      <c r="BM179" s="1042"/>
      <c r="BN179" s="393"/>
    </row>
    <row r="180" spans="1:66" s="357" customFormat="1" ht="25.2" customHeight="1" x14ac:dyDescent="0.65">
      <c r="A180" s="385"/>
      <c r="B180" s="476" t="s">
        <v>35</v>
      </c>
      <c r="C180" s="476"/>
      <c r="D180" s="1092" t="s">
        <v>54</v>
      </c>
      <c r="E180" s="1042"/>
      <c r="F180" s="1042"/>
      <c r="G180" s="1042"/>
      <c r="H180" s="1042"/>
      <c r="I180" s="477"/>
      <c r="J180" s="1041" t="s">
        <v>400</v>
      </c>
      <c r="K180" s="1042"/>
      <c r="L180" s="1042"/>
      <c r="M180" s="1042"/>
      <c r="N180" s="1042"/>
      <c r="O180" s="1042"/>
      <c r="P180" s="477"/>
      <c r="Q180" s="1147" t="s">
        <v>74</v>
      </c>
      <c r="R180" s="1042"/>
      <c r="S180" s="1042"/>
      <c r="T180" s="1042"/>
      <c r="U180" s="1042"/>
      <c r="V180" s="1042"/>
      <c r="W180" s="393"/>
      <c r="X180" s="393"/>
      <c r="AO180" s="482"/>
      <c r="AP180" s="482"/>
      <c r="AQ180" s="482"/>
      <c r="AR180" s="482"/>
      <c r="AS180" s="482"/>
      <c r="AT180" s="482"/>
      <c r="AU180" s="479"/>
      <c r="AV180" s="479"/>
      <c r="AW180" s="479"/>
      <c r="AX180" s="479"/>
      <c r="AY180" s="393"/>
      <c r="AZ180" s="393"/>
      <c r="BA180" s="393"/>
      <c r="BB180" s="393"/>
      <c r="BC180" s="393"/>
      <c r="BD180" s="393"/>
      <c r="BE180" s="393"/>
      <c r="BF180" s="393"/>
      <c r="BG180" s="393"/>
      <c r="BH180" s="393"/>
      <c r="BI180" s="1071"/>
      <c r="BJ180" s="1042"/>
      <c r="BK180" s="1042"/>
      <c r="BL180" s="1042"/>
      <c r="BM180" s="1042"/>
      <c r="BN180" s="393"/>
    </row>
    <row r="181" spans="1:66" ht="18" customHeight="1" x14ac:dyDescent="0.45">
      <c r="A181" s="114"/>
      <c r="B181" s="116"/>
      <c r="C181" s="116"/>
      <c r="D181" s="116"/>
      <c r="E181" s="116"/>
      <c r="F181" s="116"/>
      <c r="G181" s="224"/>
      <c r="H181" s="224"/>
      <c r="I181" s="115"/>
      <c r="J181" s="115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93"/>
      <c r="W181" s="193"/>
      <c r="X181" s="193"/>
      <c r="Y181" s="193"/>
      <c r="Z181" s="193"/>
      <c r="AA181" s="193"/>
      <c r="AB181" s="3"/>
      <c r="AC181" s="134"/>
      <c r="AD181" s="3"/>
      <c r="AE181" s="3"/>
      <c r="AF181" s="3"/>
      <c r="AG181" s="3"/>
      <c r="AH181" s="3"/>
      <c r="AI181" s="43"/>
      <c r="AJ181" s="43"/>
      <c r="AK181" s="43"/>
      <c r="AL181" s="43"/>
      <c r="AM181" s="43"/>
      <c r="AN181" s="5"/>
      <c r="AO181" s="5"/>
      <c r="AP181" s="9"/>
      <c r="AQ181" s="9"/>
      <c r="AR181" s="9"/>
      <c r="AS181" s="9"/>
      <c r="AT181" s="9"/>
      <c r="AU181" s="9"/>
      <c r="AV181" s="9"/>
      <c r="AW181" s="9"/>
      <c r="AX181" s="9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</row>
  </sheetData>
  <mergeCells count="59">
    <mergeCell ref="A1:A3"/>
    <mergeCell ref="S5:U5"/>
    <mergeCell ref="S11:U11"/>
    <mergeCell ref="K10:M10"/>
    <mergeCell ref="K6:M6"/>
    <mergeCell ref="C1:V3"/>
    <mergeCell ref="G10:I13"/>
    <mergeCell ref="K4:M4"/>
    <mergeCell ref="S4:U4"/>
    <mergeCell ref="O13:Q13"/>
    <mergeCell ref="O7:Q7"/>
    <mergeCell ref="S12:U12"/>
    <mergeCell ref="O10:Q10"/>
    <mergeCell ref="B1:B3"/>
    <mergeCell ref="O6:Q6"/>
    <mergeCell ref="K9:M9"/>
    <mergeCell ref="A15:A17"/>
    <mergeCell ref="S9:U9"/>
    <mergeCell ref="O8:Q8"/>
    <mergeCell ref="K7:M7"/>
    <mergeCell ref="D179:H179"/>
    <mergeCell ref="O11:Q11"/>
    <mergeCell ref="Q178:V178"/>
    <mergeCell ref="K13:M13"/>
    <mergeCell ref="C17:D17"/>
    <mergeCell ref="I17:J17"/>
    <mergeCell ref="K17:L17"/>
    <mergeCell ref="M17:N17"/>
    <mergeCell ref="O17:P17"/>
    <mergeCell ref="Q17:R17"/>
    <mergeCell ref="Q179:V179"/>
    <mergeCell ref="O9:Q9"/>
    <mergeCell ref="BI180:BM180"/>
    <mergeCell ref="O16:T16"/>
    <mergeCell ref="C10:F13"/>
    <mergeCell ref="S10:U10"/>
    <mergeCell ref="K8:M8"/>
    <mergeCell ref="S17:T17"/>
    <mergeCell ref="BI179:BM179"/>
    <mergeCell ref="C4:F9"/>
    <mergeCell ref="O12:Q12"/>
    <mergeCell ref="U16:V16"/>
    <mergeCell ref="D180:H180"/>
    <mergeCell ref="J180:O180"/>
    <mergeCell ref="K5:M5"/>
    <mergeCell ref="S8:U8"/>
    <mergeCell ref="K11:M11"/>
    <mergeCell ref="B15:B17"/>
    <mergeCell ref="G4:I9"/>
    <mergeCell ref="K12:M12"/>
    <mergeCell ref="E17:F17"/>
    <mergeCell ref="Q180:V180"/>
    <mergeCell ref="G17:H17"/>
    <mergeCell ref="S6:U6"/>
    <mergeCell ref="O5:Q5"/>
    <mergeCell ref="S7:U7"/>
    <mergeCell ref="O4:Q4"/>
    <mergeCell ref="J179:O179"/>
    <mergeCell ref="S13:U13"/>
  </mergeCells>
  <conditionalFormatting sqref="C82 E82 G82">
    <cfRule type="cellIs" dxfId="1118" priority="27" stopIfTrue="1" operator="notEqual">
      <formula>0</formula>
    </cfRule>
    <cfRule type="cellIs" dxfId="1117" priority="28" stopIfTrue="1" operator="equal">
      <formula>0</formula>
    </cfRule>
  </conditionalFormatting>
  <conditionalFormatting sqref="C34:H34">
    <cfRule type="cellIs" dxfId="1116" priority="96" stopIfTrue="1" operator="notEqual">
      <formula>0</formula>
    </cfRule>
    <cfRule type="cellIs" dxfId="1115" priority="97" stopIfTrue="1" operator="equal">
      <formula>0</formula>
    </cfRule>
  </conditionalFormatting>
  <conditionalFormatting sqref="C34:J34">
    <cfRule type="cellIs" dxfId="1114" priority="73" stopIfTrue="1" operator="equal">
      <formula>0</formula>
    </cfRule>
    <cfRule type="cellIs" dxfId="1113" priority="72" stopIfTrue="1" operator="notEqual">
      <formula>0</formula>
    </cfRule>
    <cfRule type="containsText" dxfId="1112" priority="71" operator="containsText" text="R12">
      <formula>NOT(ISERROR(SEARCH("R12",C34)))</formula>
    </cfRule>
  </conditionalFormatting>
  <conditionalFormatting sqref="C34:T34">
    <cfRule type="containsText" dxfId="1111" priority="84" operator="containsText" text="R9">
      <formula>NOT(ISERROR(SEARCH("R9",C34)))</formula>
    </cfRule>
    <cfRule type="containsText" dxfId="1110" priority="83" operator="containsText" text="R10">
      <formula>NOT(ISERROR(SEARCH("R10",C34)))</formula>
    </cfRule>
    <cfRule type="containsText" dxfId="1109" priority="82" operator="containsText" text="R11">
      <formula>NOT(ISERROR(SEARCH("R11",C34)))</formula>
    </cfRule>
    <cfRule type="containsText" dxfId="1108" priority="81" stopIfTrue="1" operator="containsText" text="R12">
      <formula>NOT(ISERROR(SEARCH("R12",C34)))</formula>
    </cfRule>
    <cfRule type="containsText" dxfId="1107" priority="80" operator="containsText" text="R14">
      <formula>NOT(ISERROR(SEARCH("R14",C34)))</formula>
    </cfRule>
    <cfRule type="containsText" dxfId="1106" priority="79" operator="containsText" text="R15">
      <formula>NOT(ISERROR(SEARCH("R15",C34)))</formula>
    </cfRule>
    <cfRule type="containsText" dxfId="1105" priority="78" operator="containsText" text="R16">
      <formula>NOT(ISERROR(SEARCH("R16",C34)))</formula>
    </cfRule>
    <cfRule type="containsText" dxfId="1104" priority="77" operator="containsText" text="R20">
      <formula>NOT(ISERROR(SEARCH("R20",C34)))</formula>
    </cfRule>
    <cfRule type="containsText" dxfId="1103" priority="76" operator="containsText" text="R21">
      <formula>NOT(ISERROR(SEARCH("R21",C34)))</formula>
    </cfRule>
    <cfRule type="containsText" dxfId="1102" priority="75" operator="containsText" text="R23">
      <formula>NOT(ISERROR(SEARCH("R23",C34)))</formula>
    </cfRule>
    <cfRule type="containsText" dxfId="1101" priority="74" operator="containsText" text="R24">
      <formula>NOT(ISERROR(SEARCH("R24",C34)))</formula>
    </cfRule>
    <cfRule type="containsText" dxfId="1100" priority="85" operator="containsText" text="R8">
      <formula>NOT(ISERROR(SEARCH("R8",C34)))</formula>
    </cfRule>
    <cfRule type="containsText" dxfId="1099" priority="89" operator="containsText" text="R4">
      <formula>NOT(ISERROR(SEARCH("R4",C34)))</formula>
    </cfRule>
    <cfRule type="containsText" dxfId="1098" priority="88" operator="containsText" text="R5">
      <formula>NOT(ISERROR(SEARCH("R5",C34)))</formula>
    </cfRule>
    <cfRule type="containsText" dxfId="1097" priority="70" operator="containsText" text="R25">
      <formula>NOT(ISERROR(SEARCH("R25",C34)))</formula>
    </cfRule>
    <cfRule type="containsText" dxfId="1096" priority="69" operator="containsText" text="R27">
      <formula>NOT(ISERROR(SEARCH("R27",C34)))</formula>
    </cfRule>
    <cfRule type="containsText" dxfId="1095" priority="68" operator="containsText" text="R29">
      <formula>NOT(ISERROR(SEARCH("R29",C34)))</formula>
    </cfRule>
    <cfRule type="containsText" dxfId="1094" priority="67" operator="containsText" text="R31">
      <formula>NOT(ISERROR(SEARCH("R31",C34)))</formula>
    </cfRule>
    <cfRule type="containsText" dxfId="1093" priority="66" operator="containsText" text="R32">
      <formula>NOT(ISERROR(SEARCH("R32",C34)))</formula>
    </cfRule>
    <cfRule type="containsText" dxfId="1092" priority="87" operator="containsText" text="R6">
      <formula>NOT(ISERROR(SEARCH("R6",C34)))</formula>
    </cfRule>
    <cfRule type="containsText" dxfId="1091" priority="86" operator="containsText" text="R7">
      <formula>NOT(ISERROR(SEARCH("R7",C34)))</formula>
    </cfRule>
    <cfRule type="containsText" dxfId="1090" priority="65" operator="containsText" text="R30">
      <formula>NOT(ISERROR(SEARCH("R30",C34)))</formula>
    </cfRule>
    <cfRule type="containsText" dxfId="1089" priority="64" operator="containsText" text="R33">
      <formula>NOT(ISERROR(SEARCH("R33",C34)))</formula>
    </cfRule>
    <cfRule type="containsText" dxfId="1088" priority="63" operator="containsText" text="R34">
      <formula>NOT(ISERROR(SEARCH("R34",C34)))</formula>
    </cfRule>
    <cfRule type="containsText" dxfId="1087" priority="62" operator="containsText" text="R36">
      <formula>NOT(ISERROR(SEARCH("R36",C34)))</formula>
    </cfRule>
    <cfRule type="containsText" dxfId="1086" priority="61" operator="containsText" text="R37">
      <formula>NOT(ISERROR(SEARCH("R37",C34)))</formula>
    </cfRule>
  </conditionalFormatting>
  <conditionalFormatting sqref="C60:T60">
    <cfRule type="containsText" dxfId="1085" priority="33" operator="containsText" text="R37">
      <formula>NOT(ISERROR(SEARCH("R37",C60)))</formula>
    </cfRule>
    <cfRule type="containsText" dxfId="1084" priority="34" operator="containsText" text="R36">
      <formula>NOT(ISERROR(SEARCH("R36",C60)))</formula>
    </cfRule>
    <cfRule type="containsText" dxfId="1083" priority="35" operator="containsText" text="R34">
      <formula>NOT(ISERROR(SEARCH("R34",C60)))</formula>
    </cfRule>
    <cfRule type="containsText" dxfId="1082" priority="36" operator="containsText" text="R33">
      <formula>NOT(ISERROR(SEARCH("R33",C60)))</formula>
    </cfRule>
    <cfRule type="containsText" dxfId="1081" priority="38" operator="containsText" text="R32">
      <formula>NOT(ISERROR(SEARCH("R32",C60)))</formula>
    </cfRule>
    <cfRule type="containsText" dxfId="1080" priority="39" operator="containsText" text="R31">
      <formula>NOT(ISERROR(SEARCH("R31",C60)))</formula>
    </cfRule>
    <cfRule type="containsText" dxfId="1079" priority="40" operator="containsText" text="R29">
      <formula>NOT(ISERROR(SEARCH("R29",C60)))</formula>
    </cfRule>
    <cfRule type="containsText" dxfId="1078" priority="41" operator="containsText" text="R27">
      <formula>NOT(ISERROR(SEARCH("R27",C60)))</formula>
    </cfRule>
    <cfRule type="containsText" dxfId="1077" priority="42" operator="containsText" text="R25">
      <formula>NOT(ISERROR(SEARCH("R25",C60)))</formula>
    </cfRule>
    <cfRule type="containsText" dxfId="1076" priority="43" operator="containsText" text="R24">
      <formula>NOT(ISERROR(SEARCH("R24",C60)))</formula>
    </cfRule>
    <cfRule type="containsText" dxfId="1075" priority="44" operator="containsText" text="R23">
      <formula>NOT(ISERROR(SEARCH("R23",C60)))</formula>
    </cfRule>
    <cfRule type="containsText" dxfId="1074" priority="45" operator="containsText" text="R21">
      <formula>NOT(ISERROR(SEARCH("R21",C60)))</formula>
    </cfRule>
    <cfRule type="containsText" dxfId="1073" priority="46" operator="containsText" text="R20">
      <formula>NOT(ISERROR(SEARCH("R20",C60)))</formula>
    </cfRule>
    <cfRule type="containsText" dxfId="1072" priority="47" operator="containsText" text="R16">
      <formula>NOT(ISERROR(SEARCH("R16",C60)))</formula>
    </cfRule>
    <cfRule type="containsText" dxfId="1071" priority="48" operator="containsText" text="R15">
      <formula>NOT(ISERROR(SEARCH("R15",C60)))</formula>
    </cfRule>
    <cfRule type="containsText" dxfId="1070" priority="37" operator="containsText" text="R30">
      <formula>NOT(ISERROR(SEARCH("R30",C60)))</formula>
    </cfRule>
    <cfRule type="containsText" dxfId="1069" priority="50" stopIfTrue="1" operator="containsText" text="R12">
      <formula>NOT(ISERROR(SEARCH("R12",C60)))</formula>
    </cfRule>
    <cfRule type="containsText" dxfId="1068" priority="51" operator="containsText" text="R11">
      <formula>NOT(ISERROR(SEARCH("R11",C60)))</formula>
    </cfRule>
    <cfRule type="containsText" dxfId="1067" priority="52" operator="containsText" text="R10">
      <formula>NOT(ISERROR(SEARCH("R10",C60)))</formula>
    </cfRule>
    <cfRule type="containsText" dxfId="1066" priority="53" operator="containsText" text="R9">
      <formula>NOT(ISERROR(SEARCH("R9",C60)))</formula>
    </cfRule>
    <cfRule type="containsText" dxfId="1065" priority="54" operator="containsText" text="R8">
      <formula>NOT(ISERROR(SEARCH("R8",C60)))</formula>
    </cfRule>
    <cfRule type="containsText" dxfId="1064" priority="55" operator="containsText" text="R7">
      <formula>NOT(ISERROR(SEARCH("R7",C60)))</formula>
    </cfRule>
    <cfRule type="containsText" dxfId="1063" priority="56" operator="containsText" text="R6">
      <formula>NOT(ISERROR(SEARCH("R6",C60)))</formula>
    </cfRule>
    <cfRule type="containsText" dxfId="1062" priority="57" operator="containsText" text="R5">
      <formula>NOT(ISERROR(SEARCH("R5",C60)))</formula>
    </cfRule>
    <cfRule type="containsText" dxfId="1061" priority="58" operator="containsText" text="R4">
      <formula>NOT(ISERROR(SEARCH("R4",C60)))</formula>
    </cfRule>
    <cfRule type="cellIs" dxfId="1060" priority="59" stopIfTrue="1" operator="notEqual">
      <formula>0</formula>
    </cfRule>
    <cfRule type="cellIs" dxfId="1059" priority="60" stopIfTrue="1" operator="equal">
      <formula>0</formula>
    </cfRule>
    <cfRule type="containsText" dxfId="1058" priority="49" operator="containsText" text="R14">
      <formula>NOT(ISERROR(SEARCH("R14",C60)))</formula>
    </cfRule>
  </conditionalFormatting>
  <conditionalFormatting sqref="C82:T82">
    <cfRule type="containsText" dxfId="1057" priority="11" operator="containsText" text="R24">
      <formula>NOT(ISERROR(SEARCH("R24",C82)))</formula>
    </cfRule>
    <cfRule type="containsText" dxfId="1056" priority="4" operator="containsText" text="R33">
      <formula>NOT(ISERROR(SEARCH("R33",C82)))</formula>
    </cfRule>
    <cfRule type="containsText" dxfId="1055" priority="3" operator="containsText" text="R34">
      <formula>NOT(ISERROR(SEARCH("R34",C82)))</formula>
    </cfRule>
    <cfRule type="containsText" dxfId="1054" priority="2" operator="containsText" text="R36">
      <formula>NOT(ISERROR(SEARCH("R36",C82)))</formula>
    </cfRule>
    <cfRule type="containsText" dxfId="1053" priority="26" operator="containsText" text="R4">
      <formula>NOT(ISERROR(SEARCH("R4",C82)))</formula>
    </cfRule>
    <cfRule type="containsText" dxfId="1052" priority="25" operator="containsText" text="R5">
      <formula>NOT(ISERROR(SEARCH("R5",C82)))</formula>
    </cfRule>
    <cfRule type="containsText" dxfId="1051" priority="24" operator="containsText" text="R6">
      <formula>NOT(ISERROR(SEARCH("R6",C82)))</formula>
    </cfRule>
    <cfRule type="containsText" dxfId="1050" priority="23" operator="containsText" text="R7">
      <formula>NOT(ISERROR(SEARCH("R7",C82)))</formula>
    </cfRule>
    <cfRule type="containsText" dxfId="1049" priority="22" operator="containsText" text="R8">
      <formula>NOT(ISERROR(SEARCH("R8",C82)))</formula>
    </cfRule>
    <cfRule type="containsText" dxfId="1048" priority="21" operator="containsText" text="R9">
      <formula>NOT(ISERROR(SEARCH("R9",C82)))</formula>
    </cfRule>
    <cfRule type="containsText" dxfId="1047" priority="20" operator="containsText" text="R10">
      <formula>NOT(ISERROR(SEARCH("R10",C82)))</formula>
    </cfRule>
    <cfRule type="containsText" dxfId="1046" priority="19" operator="containsText" text="R11">
      <formula>NOT(ISERROR(SEARCH("R11",C82)))</formula>
    </cfRule>
    <cfRule type="containsText" dxfId="1045" priority="18" stopIfTrue="1" operator="containsText" text="R12">
      <formula>NOT(ISERROR(SEARCH("R12",C82)))</formula>
    </cfRule>
    <cfRule type="containsText" dxfId="1044" priority="17" operator="containsText" text="R14">
      <formula>NOT(ISERROR(SEARCH("R14",C82)))</formula>
    </cfRule>
    <cfRule type="containsText" dxfId="1043" priority="16" operator="containsText" text="R15">
      <formula>NOT(ISERROR(SEARCH("R15",C82)))</formula>
    </cfRule>
    <cfRule type="containsText" dxfId="1042" priority="15" operator="containsText" text="R16">
      <formula>NOT(ISERROR(SEARCH("R16",C82)))</formula>
    </cfRule>
    <cfRule type="containsText" dxfId="1041" priority="14" operator="containsText" text="R20">
      <formula>NOT(ISERROR(SEARCH("R20",C82)))</formula>
    </cfRule>
    <cfRule type="containsText" dxfId="1040" priority="12" operator="containsText" text="R23">
      <formula>NOT(ISERROR(SEARCH("R23",C82)))</formula>
    </cfRule>
    <cfRule type="containsText" dxfId="1039" priority="1" operator="containsText" text="R37">
      <formula>NOT(ISERROR(SEARCH("R37",C82)))</formula>
    </cfRule>
    <cfRule type="containsText" dxfId="1038" priority="10" operator="containsText" text="R25">
      <formula>NOT(ISERROR(SEARCH("R25",C82)))</formula>
    </cfRule>
    <cfRule type="containsText" dxfId="1037" priority="9" operator="containsText" text="R27">
      <formula>NOT(ISERROR(SEARCH("R27",C82)))</formula>
    </cfRule>
    <cfRule type="containsText" dxfId="1036" priority="8" operator="containsText" text="R29">
      <formula>NOT(ISERROR(SEARCH("R29",C82)))</formula>
    </cfRule>
    <cfRule type="containsText" dxfId="1035" priority="7" operator="containsText" text="R31">
      <formula>NOT(ISERROR(SEARCH("R31",C82)))</formula>
    </cfRule>
    <cfRule type="containsText" dxfId="1034" priority="13" operator="containsText" text="R21">
      <formula>NOT(ISERROR(SEARCH("R21",C82)))</formula>
    </cfRule>
    <cfRule type="containsText" dxfId="1033" priority="6" operator="containsText" text="R32">
      <formula>NOT(ISERROR(SEARCH("R32",C82)))</formula>
    </cfRule>
    <cfRule type="containsText" dxfId="1032" priority="5" operator="containsText" text="R30">
      <formula>NOT(ISERROR(SEARCH("R30",C82)))</formula>
    </cfRule>
  </conditionalFormatting>
  <conditionalFormatting sqref="D34 F34">
    <cfRule type="cellIs" dxfId="1031" priority="94" stopIfTrue="1" operator="notEqual">
      <formula>0</formula>
    </cfRule>
    <cfRule type="cellIs" dxfId="1030" priority="95" stopIfTrue="1" operator="equal">
      <formula>0</formula>
    </cfRule>
  </conditionalFormatting>
  <conditionalFormatting sqref="G82">
    <cfRule type="cellIs" dxfId="1029" priority="31" stopIfTrue="1" operator="notEqual">
      <formula>0</formula>
    </cfRule>
    <cfRule type="cellIs" dxfId="1028" priority="32" stopIfTrue="1" operator="equal">
      <formula>0</formula>
    </cfRule>
  </conditionalFormatting>
  <conditionalFormatting sqref="I82 K82 M82">
    <cfRule type="cellIs" dxfId="1027" priority="30" stopIfTrue="1" operator="equal">
      <formula>0</formula>
    </cfRule>
    <cfRule type="cellIs" dxfId="1026" priority="29" stopIfTrue="1" operator="notEqual">
      <formula>0</formula>
    </cfRule>
  </conditionalFormatting>
  <conditionalFormatting sqref="I34:T34">
    <cfRule type="cellIs" dxfId="1025" priority="92" stopIfTrue="1" operator="notEqual">
      <formula>0</formula>
    </cfRule>
    <cfRule type="cellIs" dxfId="1024" priority="93" stopIfTrue="1" operator="equal">
      <formula>0</formula>
    </cfRule>
  </conditionalFormatting>
  <conditionalFormatting sqref="N34:S34">
    <cfRule type="cellIs" dxfId="1023" priority="91" stopIfTrue="1" operator="equal">
      <formula>0</formula>
    </cfRule>
    <cfRule type="cellIs" dxfId="1022" priority="90" stopIfTrue="1" operator="notEqual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/>
  <dimension ref="A1:BA181"/>
  <sheetViews>
    <sheetView topLeftCell="A37" zoomScale="40" zoomScaleNormal="40" workbookViewId="0">
      <selection activeCell="B56" sqref="B56"/>
    </sheetView>
  </sheetViews>
  <sheetFormatPr baseColWidth="10" defaultRowHeight="14.4" x14ac:dyDescent="0.3"/>
  <cols>
    <col min="1" max="1" width="44.33203125" bestFit="1" customWidth="1"/>
    <col min="2" max="2" width="148.21875" bestFit="1" customWidth="1"/>
    <col min="27" max="28" width="15.109375" bestFit="1" customWidth="1"/>
  </cols>
  <sheetData>
    <row r="1" spans="1:32" ht="34.799999999999997" customHeight="1" x14ac:dyDescent="0.3">
      <c r="A1" s="1075"/>
      <c r="B1" s="1049" t="s">
        <v>0</v>
      </c>
      <c r="C1" s="1220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984"/>
      <c r="AB1" s="985"/>
      <c r="AC1" s="15"/>
      <c r="AD1" s="15"/>
    </row>
    <row r="2" spans="1:32" ht="34.799999999999997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9"/>
      <c r="AC2" s="15"/>
      <c r="AD2" s="15"/>
    </row>
    <row r="3" spans="1:32" ht="35.4" customHeight="1" thickBot="1" x14ac:dyDescent="0.35">
      <c r="A3" s="997"/>
      <c r="B3" s="997"/>
      <c r="C3" s="987"/>
      <c r="D3" s="975"/>
      <c r="E3" s="975"/>
      <c r="F3" s="975"/>
      <c r="G3" s="975"/>
      <c r="H3" s="975"/>
      <c r="I3" s="975"/>
      <c r="J3" s="975"/>
      <c r="K3" s="975"/>
      <c r="L3" s="975"/>
      <c r="M3" s="975"/>
      <c r="N3" s="975"/>
      <c r="O3" s="975"/>
      <c r="P3" s="975"/>
      <c r="Q3" s="975"/>
      <c r="R3" s="975"/>
      <c r="S3" s="975"/>
      <c r="T3" s="975"/>
      <c r="U3" s="975"/>
      <c r="V3" s="975"/>
      <c r="W3" s="975"/>
      <c r="X3" s="975"/>
      <c r="Y3" s="975"/>
      <c r="Z3" s="975"/>
      <c r="AA3" s="975"/>
      <c r="AB3" s="976"/>
      <c r="AC3" s="15"/>
      <c r="AD3" s="15"/>
    </row>
    <row r="4" spans="1:32" s="357" customFormat="1" ht="34.200000000000003" customHeight="1" x14ac:dyDescent="0.65">
      <c r="A4" s="337" t="s">
        <v>2</v>
      </c>
      <c r="B4" s="338" t="s">
        <v>3</v>
      </c>
      <c r="C4" s="1068" t="s">
        <v>4</v>
      </c>
      <c r="D4" s="1042"/>
      <c r="E4" s="1042"/>
      <c r="F4" s="979"/>
      <c r="G4" s="1065">
        <v>46037</v>
      </c>
      <c r="H4" s="984"/>
      <c r="I4" s="984"/>
      <c r="J4" s="456" t="s">
        <v>407</v>
      </c>
      <c r="K4" s="1217">
        <v>45814</v>
      </c>
      <c r="L4" s="984"/>
      <c r="M4" s="984"/>
      <c r="N4" s="661" t="s">
        <v>75</v>
      </c>
      <c r="O4" s="1208">
        <v>45891</v>
      </c>
      <c r="P4" s="984"/>
      <c r="Q4" s="985"/>
      <c r="R4" s="720" t="s">
        <v>76</v>
      </c>
      <c r="S4" s="1115">
        <v>45968</v>
      </c>
      <c r="T4" s="1042"/>
      <c r="U4" s="979"/>
      <c r="V4" s="829" t="s">
        <v>77</v>
      </c>
      <c r="W4" s="1043">
        <v>46038</v>
      </c>
      <c r="X4" s="1042"/>
      <c r="Y4" s="979"/>
      <c r="Z4" s="370"/>
      <c r="AA4" s="1216"/>
      <c r="AB4" s="985"/>
      <c r="AC4" s="355"/>
      <c r="AD4" s="355"/>
      <c r="AE4" s="356"/>
      <c r="AF4" s="356"/>
    </row>
    <row r="5" spans="1:32" s="357" customFormat="1" ht="34.200000000000003" customHeight="1" x14ac:dyDescent="0.65">
      <c r="A5" s="339" t="s">
        <v>14</v>
      </c>
      <c r="B5" s="340" t="s">
        <v>15</v>
      </c>
      <c r="C5" s="986"/>
      <c r="D5" s="1042"/>
      <c r="E5" s="1042"/>
      <c r="F5" s="979"/>
      <c r="G5" s="986"/>
      <c r="H5" s="1042"/>
      <c r="I5" s="1042"/>
      <c r="J5" s="332" t="s">
        <v>408</v>
      </c>
      <c r="K5" s="1177">
        <v>45821</v>
      </c>
      <c r="L5" s="1042"/>
      <c r="M5" s="1042"/>
      <c r="N5" s="523" t="s">
        <v>83</v>
      </c>
      <c r="O5" s="1212">
        <v>45898</v>
      </c>
      <c r="P5" s="1042"/>
      <c r="Q5" s="979"/>
      <c r="R5" s="721" t="s">
        <v>84</v>
      </c>
      <c r="S5" s="1106">
        <v>45975</v>
      </c>
      <c r="T5" s="1042"/>
      <c r="U5" s="979"/>
      <c r="V5" s="831" t="s">
        <v>85</v>
      </c>
      <c r="W5" s="1031">
        <v>46045</v>
      </c>
      <c r="X5" s="1042"/>
      <c r="Y5" s="979"/>
      <c r="Z5" s="364"/>
      <c r="AA5" s="1107"/>
      <c r="AB5" s="979"/>
      <c r="AC5" s="362"/>
      <c r="AD5" s="362"/>
      <c r="AE5" s="356"/>
      <c r="AF5" s="356"/>
    </row>
    <row r="6" spans="1:32" s="357" customFormat="1" ht="34.200000000000003" customHeight="1" x14ac:dyDescent="0.65">
      <c r="A6" s="339" t="s">
        <v>24</v>
      </c>
      <c r="B6" s="340" t="s">
        <v>25</v>
      </c>
      <c r="C6" s="986"/>
      <c r="D6" s="1042"/>
      <c r="E6" s="1042"/>
      <c r="F6" s="979"/>
      <c r="G6" s="986"/>
      <c r="H6" s="1042"/>
      <c r="I6" s="1042"/>
      <c r="J6" s="788" t="s">
        <v>409</v>
      </c>
      <c r="K6" s="1179">
        <v>45827</v>
      </c>
      <c r="L6" s="1042"/>
      <c r="M6" s="1042"/>
      <c r="N6" s="559" t="s">
        <v>91</v>
      </c>
      <c r="O6" s="1197">
        <v>45905</v>
      </c>
      <c r="P6" s="1042"/>
      <c r="Q6" s="979"/>
      <c r="R6" s="740" t="s">
        <v>92</v>
      </c>
      <c r="S6" s="1122">
        <v>45982</v>
      </c>
      <c r="T6" s="1042"/>
      <c r="U6" s="979"/>
      <c r="V6" s="841" t="s">
        <v>93</v>
      </c>
      <c r="W6" s="1061">
        <v>46052</v>
      </c>
      <c r="X6" s="1042"/>
      <c r="Y6" s="979"/>
      <c r="Z6" s="364"/>
      <c r="AA6" s="1107"/>
      <c r="AB6" s="979"/>
      <c r="AC6" s="362"/>
      <c r="AD6" s="362"/>
      <c r="AE6" s="356"/>
      <c r="AF6" s="356"/>
    </row>
    <row r="7" spans="1:32" s="357" customFormat="1" ht="34.200000000000003" customHeight="1" x14ac:dyDescent="0.65">
      <c r="A7" s="339" t="s">
        <v>34</v>
      </c>
      <c r="B7" s="340" t="s">
        <v>35</v>
      </c>
      <c r="C7" s="986"/>
      <c r="D7" s="1042"/>
      <c r="E7" s="1042"/>
      <c r="F7" s="979"/>
      <c r="G7" s="986"/>
      <c r="H7" s="1042"/>
      <c r="I7" s="1042"/>
      <c r="J7" s="333" t="s">
        <v>16</v>
      </c>
      <c r="K7" s="1180">
        <v>45835</v>
      </c>
      <c r="L7" s="1042"/>
      <c r="M7" s="1042"/>
      <c r="N7" s="793" t="s">
        <v>410</v>
      </c>
      <c r="O7" s="1156">
        <v>45912</v>
      </c>
      <c r="P7" s="1042"/>
      <c r="Q7" s="979"/>
      <c r="R7" s="775" t="s">
        <v>8</v>
      </c>
      <c r="S7" s="1117">
        <v>45989</v>
      </c>
      <c r="T7" s="1042"/>
      <c r="U7" s="979"/>
      <c r="V7" s="396"/>
      <c r="W7" s="1101"/>
      <c r="X7" s="1042"/>
      <c r="Y7" s="979"/>
      <c r="Z7" s="373"/>
      <c r="AA7" s="1175"/>
      <c r="AB7" s="979"/>
      <c r="AC7" s="362"/>
      <c r="AD7" s="362"/>
    </row>
    <row r="8" spans="1:32" s="357" customFormat="1" ht="34.200000000000003" customHeight="1" x14ac:dyDescent="0.65">
      <c r="A8" s="339" t="s">
        <v>44</v>
      </c>
      <c r="B8" s="340" t="s">
        <v>54</v>
      </c>
      <c r="C8" s="986"/>
      <c r="D8" s="1042"/>
      <c r="E8" s="1042"/>
      <c r="F8" s="979"/>
      <c r="G8" s="986"/>
      <c r="H8" s="1042"/>
      <c r="I8" s="1042"/>
      <c r="J8" s="798" t="s">
        <v>411</v>
      </c>
      <c r="K8" s="1215">
        <v>45842</v>
      </c>
      <c r="L8" s="1042"/>
      <c r="M8" s="1042"/>
      <c r="N8" s="799" t="s">
        <v>7</v>
      </c>
      <c r="O8" s="1127">
        <v>45916</v>
      </c>
      <c r="P8" s="1042"/>
      <c r="Q8" s="979"/>
      <c r="R8" s="791" t="s">
        <v>18</v>
      </c>
      <c r="S8" s="1109">
        <v>45996</v>
      </c>
      <c r="T8" s="1042"/>
      <c r="U8" s="979"/>
      <c r="V8" s="396"/>
      <c r="W8" s="1101"/>
      <c r="X8" s="1042"/>
      <c r="Y8" s="979"/>
      <c r="Z8" s="373"/>
      <c r="AA8" s="1175"/>
      <c r="AB8" s="979"/>
      <c r="AC8" s="362"/>
      <c r="AD8" s="362"/>
      <c r="AE8" s="356"/>
      <c r="AF8" s="356"/>
    </row>
    <row r="9" spans="1:32" s="357" customFormat="1" ht="34.200000000000003" customHeight="1" thickBot="1" x14ac:dyDescent="0.7">
      <c r="A9" s="339" t="s">
        <v>62</v>
      </c>
      <c r="B9" s="340" t="s">
        <v>63</v>
      </c>
      <c r="C9" s="987"/>
      <c r="D9" s="975"/>
      <c r="E9" s="975"/>
      <c r="F9" s="976"/>
      <c r="G9" s="987"/>
      <c r="H9" s="975"/>
      <c r="I9" s="975"/>
      <c r="J9" s="335" t="s">
        <v>26</v>
      </c>
      <c r="K9" s="1210">
        <v>45849</v>
      </c>
      <c r="L9" s="1042"/>
      <c r="M9" s="1042"/>
      <c r="N9" s="797" t="s">
        <v>27</v>
      </c>
      <c r="O9" s="1133">
        <v>45933</v>
      </c>
      <c r="P9" s="1042"/>
      <c r="Q9" s="979"/>
      <c r="R9" s="789" t="s">
        <v>28</v>
      </c>
      <c r="S9" s="1105">
        <v>46003</v>
      </c>
      <c r="T9" s="975"/>
      <c r="U9" s="976"/>
      <c r="V9" s="396"/>
      <c r="W9" s="1101"/>
      <c r="X9" s="1042"/>
      <c r="Y9" s="979"/>
      <c r="Z9" s="373"/>
      <c r="AA9" s="1175"/>
      <c r="AB9" s="979"/>
      <c r="AC9" s="362"/>
      <c r="AD9" s="362"/>
      <c r="AE9" s="356"/>
      <c r="AF9" s="356"/>
    </row>
    <row r="10" spans="1:32" s="357" customFormat="1" ht="34.200000000000003" customHeight="1" thickBot="1" x14ac:dyDescent="0.7">
      <c r="A10" s="339" t="s">
        <v>73</v>
      </c>
      <c r="B10" s="340" t="s">
        <v>74</v>
      </c>
      <c r="C10" s="1056" t="s">
        <v>64</v>
      </c>
      <c r="D10" s="984"/>
      <c r="E10" s="984"/>
      <c r="F10" s="985"/>
      <c r="G10" s="1056" t="s">
        <v>65</v>
      </c>
      <c r="H10" s="984"/>
      <c r="I10" s="985"/>
      <c r="J10" s="336" t="s">
        <v>36</v>
      </c>
      <c r="K10" s="1209">
        <v>45855</v>
      </c>
      <c r="L10" s="1042"/>
      <c r="M10" s="1042"/>
      <c r="N10" s="785" t="s">
        <v>37</v>
      </c>
      <c r="O10" s="1168">
        <v>45940</v>
      </c>
      <c r="P10" s="1042"/>
      <c r="Q10" s="979"/>
      <c r="R10" s="792" t="s">
        <v>38</v>
      </c>
      <c r="S10" s="1114">
        <v>46010</v>
      </c>
      <c r="T10" s="984"/>
      <c r="U10" s="984"/>
      <c r="V10" s="396"/>
      <c r="W10" s="1101"/>
      <c r="X10" s="1042"/>
      <c r="Y10" s="979"/>
      <c r="Z10" s="373"/>
      <c r="AA10" s="1175"/>
      <c r="AB10" s="979"/>
      <c r="AC10" s="362"/>
      <c r="AD10" s="362"/>
      <c r="AE10" s="356"/>
      <c r="AF10" s="356"/>
    </row>
    <row r="11" spans="1:32" s="357" customFormat="1" ht="34.200000000000003" customHeight="1" thickBot="1" x14ac:dyDescent="0.7">
      <c r="A11" s="339" t="s">
        <v>82</v>
      </c>
      <c r="B11" s="340" t="s">
        <v>400</v>
      </c>
      <c r="C11" s="986"/>
      <c r="D11" s="1042"/>
      <c r="E11" s="1042"/>
      <c r="F11" s="979"/>
      <c r="G11" s="986"/>
      <c r="H11" s="1042"/>
      <c r="I11" s="979"/>
      <c r="J11" s="375" t="s">
        <v>46</v>
      </c>
      <c r="K11" s="1211">
        <v>45863</v>
      </c>
      <c r="L11" s="1042"/>
      <c r="M11" s="1042"/>
      <c r="N11" s="660" t="s">
        <v>47</v>
      </c>
      <c r="O11" s="1221">
        <v>45947</v>
      </c>
      <c r="P11" s="1042"/>
      <c r="Q11" s="979"/>
      <c r="R11" s="795" t="s">
        <v>48</v>
      </c>
      <c r="S11" s="1069">
        <v>46015</v>
      </c>
      <c r="T11" s="1042"/>
      <c r="U11" s="1042"/>
      <c r="V11" s="396"/>
      <c r="W11" s="1101"/>
      <c r="X11" s="1042"/>
      <c r="Y11" s="979"/>
      <c r="Z11" s="373"/>
      <c r="AA11" s="1175"/>
      <c r="AB11" s="979"/>
      <c r="AC11" s="362"/>
      <c r="AD11" s="362"/>
      <c r="AE11" s="356"/>
      <c r="AF11" s="356"/>
    </row>
    <row r="12" spans="1:32" s="357" customFormat="1" ht="34.200000000000003" customHeight="1" thickBot="1" x14ac:dyDescent="0.7">
      <c r="A12" s="377" t="s">
        <v>90</v>
      </c>
      <c r="B12" s="378">
        <v>182948</v>
      </c>
      <c r="C12" s="986"/>
      <c r="D12" s="1042"/>
      <c r="E12" s="1042"/>
      <c r="F12" s="979"/>
      <c r="G12" s="986"/>
      <c r="H12" s="1042"/>
      <c r="I12" s="979"/>
      <c r="J12" s="363" t="s">
        <v>55</v>
      </c>
      <c r="K12" s="1112">
        <v>45870</v>
      </c>
      <c r="L12" s="1042"/>
      <c r="M12" s="1042"/>
      <c r="N12" s="665" t="s">
        <v>56</v>
      </c>
      <c r="O12" s="1095">
        <v>45954</v>
      </c>
      <c r="P12" s="1042"/>
      <c r="Q12" s="979"/>
      <c r="R12" s="824" t="s">
        <v>57</v>
      </c>
      <c r="S12" s="1093">
        <v>46022</v>
      </c>
      <c r="T12" s="1042"/>
      <c r="U12" s="1042"/>
      <c r="V12" s="396"/>
      <c r="W12" s="1107"/>
      <c r="X12" s="1042"/>
      <c r="Y12" s="979"/>
      <c r="Z12" s="373"/>
      <c r="AA12" s="1175"/>
      <c r="AB12" s="979"/>
      <c r="AC12" s="362"/>
      <c r="AD12" s="362"/>
      <c r="AE12" s="356"/>
      <c r="AF12" s="356"/>
    </row>
    <row r="13" spans="1:32" s="357" customFormat="1" ht="34.200000000000003" customHeight="1" thickBot="1" x14ac:dyDescent="0.7">
      <c r="A13" s="379"/>
      <c r="C13" s="987"/>
      <c r="D13" s="975"/>
      <c r="E13" s="975"/>
      <c r="F13" s="976"/>
      <c r="G13" s="987"/>
      <c r="H13" s="975"/>
      <c r="I13" s="976"/>
      <c r="J13" s="471" t="s">
        <v>66</v>
      </c>
      <c r="K13" s="1219">
        <v>45883</v>
      </c>
      <c r="L13" s="975"/>
      <c r="M13" s="975"/>
      <c r="N13" s="666" t="s">
        <v>67</v>
      </c>
      <c r="O13" s="1218">
        <v>45960</v>
      </c>
      <c r="P13" s="975"/>
      <c r="Q13" s="976"/>
      <c r="R13" s="825" t="s">
        <v>68</v>
      </c>
      <c r="S13" s="1079">
        <v>46031</v>
      </c>
      <c r="T13" s="1042"/>
      <c r="U13" s="1042"/>
      <c r="V13" s="397"/>
      <c r="W13" s="1102"/>
      <c r="X13" s="975"/>
      <c r="Y13" s="976"/>
      <c r="Z13" s="380"/>
      <c r="AA13" s="1184"/>
      <c r="AB13" s="976"/>
      <c r="AC13" s="362"/>
      <c r="AD13" s="362"/>
      <c r="AE13" s="356"/>
      <c r="AF13" s="356"/>
    </row>
    <row r="14" spans="1:32" s="357" customFormat="1" ht="34.200000000000003" customHeight="1" thickBot="1" x14ac:dyDescent="0.7">
      <c r="A14" s="1214"/>
      <c r="B14" s="1000"/>
      <c r="C14" s="1000"/>
      <c r="D14" s="1000"/>
      <c r="E14" s="1000"/>
      <c r="F14" s="1000"/>
      <c r="G14" s="1000"/>
      <c r="H14" s="1000"/>
      <c r="I14" s="1000"/>
      <c r="J14" s="1000"/>
      <c r="K14" s="1000"/>
      <c r="L14" s="1000"/>
      <c r="M14" s="1000"/>
      <c r="N14" s="1000"/>
      <c r="O14" s="1000"/>
      <c r="P14" s="1000"/>
      <c r="Q14" s="1000"/>
      <c r="R14" s="1000"/>
      <c r="S14" s="1000"/>
      <c r="T14" s="1000"/>
      <c r="U14" s="1000"/>
      <c r="V14" s="1000"/>
      <c r="W14" s="1000"/>
      <c r="X14" s="1000"/>
      <c r="Y14" s="1000"/>
      <c r="Z14" s="1000"/>
      <c r="AA14" s="1000"/>
      <c r="AB14" s="1000"/>
    </row>
    <row r="15" spans="1:32" s="357" customFormat="1" ht="34.200000000000003" customHeight="1" thickBot="1" x14ac:dyDescent="0.7">
      <c r="A15" s="1057" t="s">
        <v>98</v>
      </c>
      <c r="B15" s="1072" t="s">
        <v>99</v>
      </c>
      <c r="C15" s="343" t="s">
        <v>100</v>
      </c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344"/>
    </row>
    <row r="16" spans="1:32" s="357" customFormat="1" ht="34.200000000000003" customHeight="1" thickBot="1" x14ac:dyDescent="0.7">
      <c r="A16" s="986"/>
      <c r="B16" s="997"/>
      <c r="C16" s="345" t="s">
        <v>101</v>
      </c>
      <c r="D16" s="346"/>
      <c r="E16" s="347"/>
      <c r="F16" s="347"/>
      <c r="G16" s="348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1038" t="s">
        <v>102</v>
      </c>
      <c r="V16" s="1000"/>
      <c r="W16" s="1000"/>
      <c r="X16" s="1000"/>
      <c r="Y16" s="1000"/>
      <c r="Z16" s="1001"/>
      <c r="AA16" s="1091" t="s">
        <v>421</v>
      </c>
      <c r="AB16" s="1001"/>
    </row>
    <row r="17" spans="1:35" s="357" customFormat="1" ht="34.200000000000003" customHeight="1" thickBot="1" x14ac:dyDescent="0.7">
      <c r="A17" s="987"/>
      <c r="B17" s="1013"/>
      <c r="C17" s="1085">
        <v>1</v>
      </c>
      <c r="D17" s="994"/>
      <c r="E17" s="1046">
        <v>2</v>
      </c>
      <c r="F17" s="994"/>
      <c r="G17" s="1046">
        <v>3</v>
      </c>
      <c r="H17" s="994"/>
      <c r="I17" s="1046">
        <v>4</v>
      </c>
      <c r="J17" s="994"/>
      <c r="K17" s="1046">
        <v>5</v>
      </c>
      <c r="L17" s="994"/>
      <c r="M17" s="1046">
        <v>6</v>
      </c>
      <c r="N17" s="994"/>
      <c r="O17" s="1046">
        <v>7</v>
      </c>
      <c r="P17" s="994"/>
      <c r="Q17" s="1046">
        <v>8</v>
      </c>
      <c r="R17" s="994"/>
      <c r="S17" s="1046">
        <v>9</v>
      </c>
      <c r="T17" s="994"/>
      <c r="U17" s="1046">
        <v>10</v>
      </c>
      <c r="V17" s="994"/>
      <c r="W17" s="1046">
        <v>11</v>
      </c>
      <c r="X17" s="994"/>
      <c r="Y17" s="1046">
        <v>12</v>
      </c>
      <c r="Z17" s="994"/>
      <c r="AA17" s="266" t="s">
        <v>104</v>
      </c>
      <c r="AB17" s="267" t="s">
        <v>105</v>
      </c>
    </row>
    <row r="18" spans="1:35" ht="40.049999999999997" customHeight="1" thickBot="1" x14ac:dyDescent="0.35">
      <c r="A18" s="268" t="s">
        <v>106</v>
      </c>
      <c r="B18" s="269" t="s">
        <v>107</v>
      </c>
      <c r="C18" s="270" t="s">
        <v>108</v>
      </c>
      <c r="D18" s="271" t="s">
        <v>109</v>
      </c>
      <c r="E18" s="272" t="s">
        <v>108</v>
      </c>
      <c r="F18" s="271" t="s">
        <v>109</v>
      </c>
      <c r="G18" s="272" t="s">
        <v>108</v>
      </c>
      <c r="H18" s="271" t="s">
        <v>109</v>
      </c>
      <c r="I18" s="272" t="s">
        <v>108</v>
      </c>
      <c r="J18" s="271" t="s">
        <v>109</v>
      </c>
      <c r="K18" s="272" t="s">
        <v>108</v>
      </c>
      <c r="L18" s="271" t="s">
        <v>109</v>
      </c>
      <c r="M18" s="272" t="s">
        <v>108</v>
      </c>
      <c r="N18" s="271" t="s">
        <v>109</v>
      </c>
      <c r="O18" s="272" t="s">
        <v>108</v>
      </c>
      <c r="P18" s="271" t="s">
        <v>109</v>
      </c>
      <c r="Q18" s="272" t="s">
        <v>108</v>
      </c>
      <c r="R18" s="271" t="s">
        <v>109</v>
      </c>
      <c r="S18" s="272" t="s">
        <v>108</v>
      </c>
      <c r="T18" s="271" t="s">
        <v>109</v>
      </c>
      <c r="U18" s="272" t="s">
        <v>108</v>
      </c>
      <c r="V18" s="271" t="s">
        <v>109</v>
      </c>
      <c r="W18" s="272" t="s">
        <v>108</v>
      </c>
      <c r="X18" s="271" t="s">
        <v>109</v>
      </c>
      <c r="Y18" s="272" t="s">
        <v>108</v>
      </c>
      <c r="Z18" s="271" t="s">
        <v>109</v>
      </c>
      <c r="AA18" s="271"/>
      <c r="AB18" s="273"/>
    </row>
    <row r="19" spans="1:35" ht="40.049999999999997" customHeight="1" x14ac:dyDescent="0.65">
      <c r="A19" s="274" t="s">
        <v>110</v>
      </c>
      <c r="B19" s="275" t="s">
        <v>111</v>
      </c>
      <c r="C19" s="276"/>
      <c r="D19" s="277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80"/>
      <c r="AC19" s="357"/>
      <c r="AD19" s="357"/>
      <c r="AE19" s="357"/>
      <c r="AF19" s="357"/>
      <c r="AG19" s="357"/>
      <c r="AH19" s="357"/>
      <c r="AI19" s="357"/>
    </row>
    <row r="20" spans="1:35" ht="40.049999999999997" customHeight="1" x14ac:dyDescent="0.3">
      <c r="A20" s="281" t="s">
        <v>112</v>
      </c>
      <c r="B20" s="900" t="s">
        <v>113</v>
      </c>
      <c r="C20" s="283" t="s">
        <v>408</v>
      </c>
      <c r="D20" s="284"/>
      <c r="E20" s="283" t="s">
        <v>408</v>
      </c>
      <c r="F20" s="285"/>
      <c r="G20" s="283" t="s">
        <v>408</v>
      </c>
      <c r="H20" s="285"/>
      <c r="I20" s="283" t="s">
        <v>408</v>
      </c>
      <c r="J20" s="285"/>
      <c r="K20" s="283" t="s">
        <v>407</v>
      </c>
      <c r="L20" s="285"/>
      <c r="M20" s="283" t="s">
        <v>407</v>
      </c>
      <c r="N20" s="285"/>
      <c r="O20" s="283" t="s">
        <v>407</v>
      </c>
      <c r="P20" s="285"/>
      <c r="Q20" s="283" t="s">
        <v>408</v>
      </c>
      <c r="R20" s="285"/>
      <c r="S20" s="283" t="s">
        <v>408</v>
      </c>
      <c r="T20" s="285"/>
      <c r="U20" s="283" t="s">
        <v>408</v>
      </c>
      <c r="V20" s="285"/>
      <c r="W20" s="283" t="s">
        <v>408</v>
      </c>
      <c r="X20" s="285"/>
      <c r="Y20" s="285" t="s">
        <v>408</v>
      </c>
      <c r="Z20" s="285"/>
      <c r="AA20" s="286">
        <f t="shared" ref="AA20:AA26" si="0">COUNTIF(C20:Z20,"&gt;=R")</f>
        <v>12</v>
      </c>
      <c r="AB20" s="287">
        <f t="shared" ref="AB20:AB26" si="1">AA20</f>
        <v>12</v>
      </c>
    </row>
    <row r="21" spans="1:35" ht="40.049999999999997" customHeight="1" x14ac:dyDescent="0.3">
      <c r="A21" s="281" t="s">
        <v>114</v>
      </c>
      <c r="B21" s="900" t="s">
        <v>115</v>
      </c>
      <c r="C21" s="912" t="s">
        <v>409</v>
      </c>
      <c r="D21" s="284"/>
      <c r="E21" s="673" t="s">
        <v>409</v>
      </c>
      <c r="F21" s="285"/>
      <c r="G21" s="726" t="s">
        <v>84</v>
      </c>
      <c r="H21" s="285"/>
      <c r="I21" s="726" t="s">
        <v>84</v>
      </c>
      <c r="J21" s="285"/>
      <c r="K21" s="283" t="s">
        <v>407</v>
      </c>
      <c r="L21" s="285"/>
      <c r="M21" s="283" t="s">
        <v>407</v>
      </c>
      <c r="N21" s="285"/>
      <c r="O21" s="283" t="s">
        <v>407</v>
      </c>
      <c r="P21" s="285"/>
      <c r="Q21" s="283" t="s">
        <v>76</v>
      </c>
      <c r="R21" s="285"/>
      <c r="S21" s="283" t="s">
        <v>408</v>
      </c>
      <c r="T21" s="285"/>
      <c r="U21" s="283" t="s">
        <v>408</v>
      </c>
      <c r="V21" s="285"/>
      <c r="W21" s="283" t="s">
        <v>408</v>
      </c>
      <c r="X21" s="285"/>
      <c r="Y21" s="285" t="s">
        <v>408</v>
      </c>
      <c r="Z21" s="285"/>
      <c r="AA21" s="286">
        <f t="shared" si="0"/>
        <v>12</v>
      </c>
      <c r="AB21" s="287">
        <f t="shared" si="1"/>
        <v>12</v>
      </c>
    </row>
    <row r="22" spans="1:35" ht="40.049999999999997" customHeight="1" x14ac:dyDescent="0.3">
      <c r="A22" s="281" t="s">
        <v>116</v>
      </c>
      <c r="B22" s="900" t="s">
        <v>117</v>
      </c>
      <c r="C22" s="912" t="s">
        <v>409</v>
      </c>
      <c r="D22" s="284"/>
      <c r="E22" s="673" t="s">
        <v>409</v>
      </c>
      <c r="F22" s="285"/>
      <c r="G22" s="674" t="s">
        <v>16</v>
      </c>
      <c r="H22" s="285"/>
      <c r="I22" s="674" t="s">
        <v>16</v>
      </c>
      <c r="J22" s="285"/>
      <c r="K22" s="283" t="s">
        <v>408</v>
      </c>
      <c r="L22" s="285"/>
      <c r="M22" s="283" t="s">
        <v>408</v>
      </c>
      <c r="N22" s="285"/>
      <c r="O22" s="283" t="s">
        <v>408</v>
      </c>
      <c r="P22" s="285"/>
      <c r="Q22" s="283" t="s">
        <v>76</v>
      </c>
      <c r="R22" s="285"/>
      <c r="S22" s="673" t="s">
        <v>409</v>
      </c>
      <c r="T22" s="285"/>
      <c r="U22" s="673" t="s">
        <v>409</v>
      </c>
      <c r="V22" s="285"/>
      <c r="W22" s="673" t="s">
        <v>409</v>
      </c>
      <c r="X22" s="285"/>
      <c r="Y22" s="673" t="s">
        <v>409</v>
      </c>
      <c r="Z22" s="285"/>
      <c r="AA22" s="286">
        <f t="shared" si="0"/>
        <v>12</v>
      </c>
      <c r="AB22" s="287">
        <f t="shared" si="1"/>
        <v>12</v>
      </c>
    </row>
    <row r="23" spans="1:35" ht="40.049999999999997" customHeight="1" x14ac:dyDescent="0.3">
      <c r="A23" s="281" t="s">
        <v>118</v>
      </c>
      <c r="B23" s="900" t="s">
        <v>119</v>
      </c>
      <c r="C23" s="912" t="s">
        <v>409</v>
      </c>
      <c r="D23" s="284"/>
      <c r="E23" s="673" t="s">
        <v>409</v>
      </c>
      <c r="F23" s="285"/>
      <c r="G23" s="674" t="s">
        <v>16</v>
      </c>
      <c r="H23" s="285"/>
      <c r="I23" s="674" t="s">
        <v>16</v>
      </c>
      <c r="J23" s="285"/>
      <c r="K23" s="283" t="s">
        <v>408</v>
      </c>
      <c r="L23" s="285"/>
      <c r="M23" s="283" t="s">
        <v>408</v>
      </c>
      <c r="N23" s="285"/>
      <c r="O23" s="283" t="s">
        <v>408</v>
      </c>
      <c r="P23" s="285"/>
      <c r="Q23" s="726" t="s">
        <v>84</v>
      </c>
      <c r="R23" s="285"/>
      <c r="S23" s="673" t="s">
        <v>409</v>
      </c>
      <c r="T23" s="285"/>
      <c r="U23" s="673" t="s">
        <v>409</v>
      </c>
      <c r="V23" s="285"/>
      <c r="W23" s="673" t="s">
        <v>409</v>
      </c>
      <c r="X23" s="285"/>
      <c r="Y23" s="673" t="s">
        <v>409</v>
      </c>
      <c r="Z23" s="285"/>
      <c r="AA23" s="286">
        <f t="shared" si="0"/>
        <v>12</v>
      </c>
      <c r="AB23" s="287">
        <f t="shared" si="1"/>
        <v>12</v>
      </c>
    </row>
    <row r="24" spans="1:35" ht="40.049999999999997" customHeight="1" x14ac:dyDescent="0.3">
      <c r="A24" s="281" t="s">
        <v>120</v>
      </c>
      <c r="B24" s="900" t="s">
        <v>121</v>
      </c>
      <c r="C24" s="284" t="s">
        <v>411</v>
      </c>
      <c r="D24" s="284"/>
      <c r="E24" s="285" t="s">
        <v>411</v>
      </c>
      <c r="F24" s="285"/>
      <c r="G24" s="285" t="s">
        <v>26</v>
      </c>
      <c r="H24" s="285"/>
      <c r="I24" s="285" t="s">
        <v>26</v>
      </c>
      <c r="J24" s="285"/>
      <c r="K24" s="672" t="s">
        <v>408</v>
      </c>
      <c r="L24" s="285"/>
      <c r="M24" s="672" t="s">
        <v>408</v>
      </c>
      <c r="N24" s="285"/>
      <c r="O24" s="674" t="s">
        <v>16</v>
      </c>
      <c r="P24" s="285"/>
      <c r="Q24" s="285" t="s">
        <v>91</v>
      </c>
      <c r="R24" s="285"/>
      <c r="S24" s="285" t="s">
        <v>26</v>
      </c>
      <c r="T24" s="285"/>
      <c r="U24" s="285" t="s">
        <v>411</v>
      </c>
      <c r="V24" s="288"/>
      <c r="W24" s="285" t="s">
        <v>46</v>
      </c>
      <c r="X24" s="285"/>
      <c r="Y24" s="285" t="s">
        <v>46</v>
      </c>
      <c r="Z24" s="288"/>
      <c r="AA24" s="286">
        <f t="shared" si="0"/>
        <v>12</v>
      </c>
      <c r="AB24" s="287">
        <f t="shared" si="1"/>
        <v>12</v>
      </c>
    </row>
    <row r="25" spans="1:35" ht="40.049999999999997" customHeight="1" x14ac:dyDescent="0.3">
      <c r="A25" s="281" t="s">
        <v>122</v>
      </c>
      <c r="B25" s="900" t="s">
        <v>123</v>
      </c>
      <c r="C25" s="284" t="s">
        <v>411</v>
      </c>
      <c r="D25" s="284"/>
      <c r="E25" s="285" t="s">
        <v>411</v>
      </c>
      <c r="F25" s="285"/>
      <c r="G25" s="285" t="s">
        <v>26</v>
      </c>
      <c r="H25" s="285"/>
      <c r="I25" s="285" t="s">
        <v>26</v>
      </c>
      <c r="J25" s="285"/>
      <c r="K25" s="672" t="s">
        <v>408</v>
      </c>
      <c r="L25" s="285"/>
      <c r="M25" s="672" t="s">
        <v>408</v>
      </c>
      <c r="N25" s="285"/>
      <c r="O25" s="674" t="s">
        <v>16</v>
      </c>
      <c r="P25" s="285"/>
      <c r="Q25" s="283" t="s">
        <v>91</v>
      </c>
      <c r="R25" s="285"/>
      <c r="S25" s="285" t="s">
        <v>26</v>
      </c>
      <c r="T25" s="285"/>
      <c r="U25" s="285" t="s">
        <v>411</v>
      </c>
      <c r="V25" s="288"/>
      <c r="W25" s="674" t="s">
        <v>16</v>
      </c>
      <c r="X25" s="285"/>
      <c r="Y25" s="674" t="s">
        <v>16</v>
      </c>
      <c r="Z25" s="285"/>
      <c r="AA25" s="286">
        <f t="shared" si="0"/>
        <v>12</v>
      </c>
      <c r="AB25" s="287">
        <f t="shared" si="1"/>
        <v>12</v>
      </c>
    </row>
    <row r="26" spans="1:35" ht="40.049999999999997" customHeight="1" x14ac:dyDescent="0.3">
      <c r="A26" s="281" t="s">
        <v>124</v>
      </c>
      <c r="B26" s="900" t="s">
        <v>125</v>
      </c>
      <c r="C26" s="284" t="s">
        <v>411</v>
      </c>
      <c r="D26" s="284"/>
      <c r="E26" s="285" t="s">
        <v>411</v>
      </c>
      <c r="F26" s="285"/>
      <c r="G26" s="285" t="s">
        <v>26</v>
      </c>
      <c r="H26" s="285"/>
      <c r="I26" s="285" t="s">
        <v>26</v>
      </c>
      <c r="J26" s="285"/>
      <c r="K26" s="672" t="s">
        <v>408</v>
      </c>
      <c r="L26" s="285"/>
      <c r="M26" s="672" t="s">
        <v>408</v>
      </c>
      <c r="N26" s="285"/>
      <c r="O26" s="674" t="s">
        <v>16</v>
      </c>
      <c r="P26" s="285"/>
      <c r="Q26" s="285" t="s">
        <v>91</v>
      </c>
      <c r="R26" s="285"/>
      <c r="S26" s="285" t="s">
        <v>26</v>
      </c>
      <c r="T26" s="285"/>
      <c r="U26" s="285" t="s">
        <v>411</v>
      </c>
      <c r="V26" s="288"/>
      <c r="W26" s="674" t="s">
        <v>16</v>
      </c>
      <c r="X26" s="285"/>
      <c r="Y26" s="674" t="s">
        <v>16</v>
      </c>
      <c r="Z26" s="285"/>
      <c r="AA26" s="286">
        <f t="shared" si="0"/>
        <v>12</v>
      </c>
      <c r="AB26" s="287">
        <f t="shared" si="1"/>
        <v>12</v>
      </c>
    </row>
    <row r="27" spans="1:35" ht="40.049999999999997" customHeight="1" x14ac:dyDescent="0.65">
      <c r="A27" s="289" t="s">
        <v>126</v>
      </c>
      <c r="B27" s="913" t="s">
        <v>127</v>
      </c>
      <c r="C27" s="291"/>
      <c r="D27" s="292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  <c r="U27" s="293"/>
      <c r="V27" s="293"/>
      <c r="W27" s="293"/>
      <c r="X27" s="293"/>
      <c r="Y27" s="293"/>
      <c r="Z27" s="293"/>
      <c r="AA27" s="293"/>
      <c r="AB27" s="295"/>
      <c r="AC27" s="357"/>
      <c r="AD27" s="357"/>
      <c r="AE27" s="357"/>
      <c r="AF27" s="357"/>
      <c r="AG27" s="357"/>
      <c r="AH27" s="357"/>
      <c r="AI27" s="357"/>
    </row>
    <row r="28" spans="1:35" ht="40.049999999999997" customHeight="1" x14ac:dyDescent="0.3">
      <c r="A28" s="281" t="s">
        <v>128</v>
      </c>
      <c r="B28" s="900" t="s">
        <v>129</v>
      </c>
      <c r="C28" s="284" t="s">
        <v>411</v>
      </c>
      <c r="D28" s="284"/>
      <c r="E28" s="285" t="s">
        <v>411</v>
      </c>
      <c r="F28" s="285"/>
      <c r="G28" s="285" t="s">
        <v>26</v>
      </c>
      <c r="H28" s="285"/>
      <c r="I28" s="285" t="s">
        <v>26</v>
      </c>
      <c r="J28" s="285"/>
      <c r="K28" s="672" t="s">
        <v>408</v>
      </c>
      <c r="L28" s="285"/>
      <c r="M28" s="672" t="s">
        <v>408</v>
      </c>
      <c r="N28" s="285"/>
      <c r="O28" s="283" t="s">
        <v>411</v>
      </c>
      <c r="P28" s="285"/>
      <c r="Q28" s="285" t="s">
        <v>91</v>
      </c>
      <c r="R28" s="285"/>
      <c r="S28" s="285" t="s">
        <v>26</v>
      </c>
      <c r="T28" s="285"/>
      <c r="U28" s="285" t="s">
        <v>411</v>
      </c>
      <c r="V28" s="288"/>
      <c r="W28" s="283" t="s">
        <v>411</v>
      </c>
      <c r="X28" s="285"/>
      <c r="Y28" s="283" t="s">
        <v>411</v>
      </c>
      <c r="Z28" s="285"/>
      <c r="AA28" s="286">
        <f>COUNTIF(C28:Z28,"&gt;=R")</f>
        <v>12</v>
      </c>
      <c r="AB28" s="287">
        <f>AA28</f>
        <v>12</v>
      </c>
    </row>
    <row r="29" spans="1:35" ht="40.049999999999997" customHeight="1" x14ac:dyDescent="0.65">
      <c r="A29" s="281" t="s">
        <v>130</v>
      </c>
      <c r="B29" s="900" t="s">
        <v>131</v>
      </c>
      <c r="C29" s="284" t="s">
        <v>411</v>
      </c>
      <c r="D29" s="284"/>
      <c r="E29" s="285" t="s">
        <v>411</v>
      </c>
      <c r="F29" s="285"/>
      <c r="G29" s="285" t="s">
        <v>26</v>
      </c>
      <c r="H29" s="285"/>
      <c r="I29" s="285" t="s">
        <v>26</v>
      </c>
      <c r="J29" s="285"/>
      <c r="K29" s="672" t="s">
        <v>408</v>
      </c>
      <c r="L29" s="285"/>
      <c r="M29" s="672" t="s">
        <v>408</v>
      </c>
      <c r="N29" s="285"/>
      <c r="O29" s="283" t="s">
        <v>411</v>
      </c>
      <c r="P29" s="285"/>
      <c r="Q29" s="283" t="s">
        <v>91</v>
      </c>
      <c r="R29" s="285"/>
      <c r="S29" s="285" t="s">
        <v>26</v>
      </c>
      <c r="T29" s="285"/>
      <c r="U29" s="285" t="s">
        <v>411</v>
      </c>
      <c r="V29" s="288"/>
      <c r="W29" s="283" t="s">
        <v>411</v>
      </c>
      <c r="X29" s="285"/>
      <c r="Y29" s="283" t="s">
        <v>411</v>
      </c>
      <c r="Z29" s="285"/>
      <c r="AA29" s="286">
        <f>COUNTIF(C29:Z29,"&gt;=R")</f>
        <v>12</v>
      </c>
      <c r="AB29" s="287">
        <f>AA29</f>
        <v>12</v>
      </c>
      <c r="AC29" s="357"/>
      <c r="AD29" s="357"/>
      <c r="AE29" s="357"/>
      <c r="AF29" s="357"/>
      <c r="AG29" s="357"/>
      <c r="AH29" s="357"/>
      <c r="AI29" s="357"/>
    </row>
    <row r="30" spans="1:35" ht="40.049999999999997" customHeight="1" x14ac:dyDescent="0.65">
      <c r="A30" s="289" t="s">
        <v>132</v>
      </c>
      <c r="B30" s="913" t="s">
        <v>133</v>
      </c>
      <c r="C30" s="291"/>
      <c r="D30" s="292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  <c r="U30" s="293"/>
      <c r="V30" s="293"/>
      <c r="W30" s="293"/>
      <c r="X30" s="293"/>
      <c r="Y30" s="293"/>
      <c r="Z30" s="293"/>
      <c r="AA30" s="293"/>
      <c r="AB30" s="295"/>
      <c r="AC30" s="357"/>
      <c r="AD30" s="357"/>
      <c r="AE30" s="357"/>
      <c r="AF30" s="357"/>
      <c r="AG30" s="357"/>
      <c r="AH30" s="357"/>
      <c r="AI30" s="357"/>
    </row>
    <row r="31" spans="1:35" ht="40.049999999999997" customHeight="1" x14ac:dyDescent="0.65">
      <c r="A31" s="298" t="s">
        <v>134</v>
      </c>
      <c r="B31" s="900" t="s">
        <v>135</v>
      </c>
      <c r="C31" s="283" t="s">
        <v>76</v>
      </c>
      <c r="D31" s="284"/>
      <c r="E31" s="283" t="s">
        <v>83</v>
      </c>
      <c r="F31" s="285"/>
      <c r="G31" s="283" t="s">
        <v>83</v>
      </c>
      <c r="H31" s="285"/>
      <c r="I31" s="285" t="s">
        <v>83</v>
      </c>
      <c r="J31" s="285"/>
      <c r="K31" s="285" t="s">
        <v>46</v>
      </c>
      <c r="L31" s="285"/>
      <c r="M31" s="285" t="s">
        <v>46</v>
      </c>
      <c r="N31" s="285"/>
      <c r="O31" s="285" t="s">
        <v>46</v>
      </c>
      <c r="P31" s="285"/>
      <c r="Q31" s="718" t="s">
        <v>84</v>
      </c>
      <c r="R31" s="285"/>
      <c r="S31" s="285" t="s">
        <v>83</v>
      </c>
      <c r="T31" s="285"/>
      <c r="U31" s="285" t="s">
        <v>83</v>
      </c>
      <c r="V31" s="285"/>
      <c r="W31" s="285" t="s">
        <v>83</v>
      </c>
      <c r="X31" s="285"/>
      <c r="Y31" s="285" t="s">
        <v>83</v>
      </c>
      <c r="Z31" s="285"/>
      <c r="AA31" s="286">
        <f>COUNTIF(C31:Z31,"&gt;=R")</f>
        <v>12</v>
      </c>
      <c r="AB31" s="287">
        <f>AA31</f>
        <v>12</v>
      </c>
      <c r="AC31" s="357"/>
      <c r="AD31" s="357"/>
      <c r="AE31" s="357"/>
      <c r="AF31" s="357"/>
      <c r="AG31" s="357"/>
      <c r="AH31" s="357"/>
      <c r="AI31" s="357"/>
    </row>
    <row r="32" spans="1:35" ht="40.049999999999997" customHeight="1" x14ac:dyDescent="0.65">
      <c r="A32" s="289" t="s">
        <v>136</v>
      </c>
      <c r="B32" s="913" t="s">
        <v>137</v>
      </c>
      <c r="C32" s="291"/>
      <c r="D32" s="292"/>
      <c r="E32" s="292"/>
      <c r="F32" s="292"/>
      <c r="G32" s="292"/>
      <c r="H32" s="292"/>
      <c r="I32" s="292"/>
      <c r="J32" s="292"/>
      <c r="K32" s="292"/>
      <c r="L32" s="292"/>
      <c r="M32" s="292"/>
      <c r="N32" s="292"/>
      <c r="O32" s="292"/>
      <c r="P32" s="292"/>
      <c r="Q32" s="292"/>
      <c r="R32" s="292"/>
      <c r="S32" s="292"/>
      <c r="T32" s="292"/>
      <c r="U32" s="292"/>
      <c r="V32" s="292"/>
      <c r="W32" s="292"/>
      <c r="X32" s="292"/>
      <c r="Y32" s="292"/>
      <c r="Z32" s="293"/>
      <c r="AA32" s="293"/>
      <c r="AB32" s="295"/>
      <c r="AC32" s="357"/>
      <c r="AD32" s="357"/>
      <c r="AE32" s="357"/>
      <c r="AF32" s="357"/>
      <c r="AG32" s="357"/>
      <c r="AH32" s="357"/>
      <c r="AI32" s="357"/>
    </row>
    <row r="33" spans="1:35" ht="40.049999999999997" customHeight="1" x14ac:dyDescent="0.3">
      <c r="A33" s="281" t="s">
        <v>138</v>
      </c>
      <c r="B33" s="900" t="s">
        <v>139</v>
      </c>
      <c r="C33" s="283"/>
      <c r="D33" s="284"/>
      <c r="E33" s="283" t="s">
        <v>83</v>
      </c>
      <c r="F33" s="285"/>
      <c r="G33" s="283" t="s">
        <v>83</v>
      </c>
      <c r="H33" s="285"/>
      <c r="I33" s="285" t="s">
        <v>83</v>
      </c>
      <c r="J33" s="285"/>
      <c r="K33" s="285" t="s">
        <v>46</v>
      </c>
      <c r="L33" s="285"/>
      <c r="M33" s="285" t="s">
        <v>46</v>
      </c>
      <c r="N33" s="285"/>
      <c r="O33" s="285" t="s">
        <v>46</v>
      </c>
      <c r="P33" s="285"/>
      <c r="Q33" s="285"/>
      <c r="R33" s="285"/>
      <c r="S33" s="285" t="s">
        <v>83</v>
      </c>
      <c r="T33" s="285"/>
      <c r="U33" s="285" t="s">
        <v>83</v>
      </c>
      <c r="V33" s="285"/>
      <c r="W33" s="285" t="s">
        <v>83</v>
      </c>
      <c r="X33" s="299"/>
      <c r="Y33" s="285" t="s">
        <v>83</v>
      </c>
      <c r="Z33" s="299"/>
      <c r="AA33" s="286">
        <f>COUNTIF(C33:Z33,"&gt;=R")</f>
        <v>10</v>
      </c>
      <c r="AB33" s="287">
        <f>AA33</f>
        <v>10</v>
      </c>
    </row>
    <row r="34" spans="1:35" ht="40.049999999999997" customHeight="1" x14ac:dyDescent="0.65">
      <c r="A34" s="357" t="s">
        <v>140</v>
      </c>
      <c r="B34" s="903" t="s">
        <v>141</v>
      </c>
      <c r="C34" s="283"/>
      <c r="D34" s="284"/>
      <c r="E34" s="283" t="s">
        <v>83</v>
      </c>
      <c r="F34" s="285"/>
      <c r="G34" s="283" t="s">
        <v>83</v>
      </c>
      <c r="H34" s="285"/>
      <c r="I34" s="285" t="s">
        <v>83</v>
      </c>
      <c r="J34" s="285"/>
      <c r="K34" s="285" t="s">
        <v>46</v>
      </c>
      <c r="L34" s="285"/>
      <c r="M34" s="285" t="s">
        <v>46</v>
      </c>
      <c r="N34" s="285"/>
      <c r="O34" s="285" t="s">
        <v>46</v>
      </c>
      <c r="P34" s="285"/>
      <c r="Q34" s="285"/>
      <c r="R34" s="285"/>
      <c r="S34" s="285" t="s">
        <v>83</v>
      </c>
      <c r="T34" s="285"/>
      <c r="U34" s="285" t="s">
        <v>83</v>
      </c>
      <c r="V34" s="285"/>
      <c r="W34" s="285" t="s">
        <v>83</v>
      </c>
      <c r="X34" s="285"/>
      <c r="Y34" s="285" t="s">
        <v>83</v>
      </c>
      <c r="Z34" s="285"/>
      <c r="AA34" s="286">
        <f>COUNTIF(C34:Z34,"&gt;=R")</f>
        <v>10</v>
      </c>
      <c r="AB34" s="287">
        <f>AA34</f>
        <v>10</v>
      </c>
    </row>
    <row r="35" spans="1:35" ht="40.049999999999997" customHeight="1" x14ac:dyDescent="0.3">
      <c r="A35" s="289" t="s">
        <v>142</v>
      </c>
      <c r="B35" s="913" t="s">
        <v>143</v>
      </c>
      <c r="C35" s="291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92"/>
      <c r="S35" s="292"/>
      <c r="T35" s="292"/>
      <c r="U35" s="292"/>
      <c r="V35" s="292"/>
      <c r="W35" s="292"/>
      <c r="X35" s="292"/>
      <c r="Y35" s="292"/>
      <c r="Z35" s="293"/>
      <c r="AA35" s="293"/>
      <c r="AB35" s="295"/>
    </row>
    <row r="36" spans="1:35" ht="40.049999999999997" customHeight="1" x14ac:dyDescent="0.3">
      <c r="A36" s="298" t="s">
        <v>144</v>
      </c>
      <c r="B36" s="900" t="s">
        <v>145</v>
      </c>
      <c r="C36" s="284"/>
      <c r="D36" s="284"/>
      <c r="E36" s="283" t="s">
        <v>83</v>
      </c>
      <c r="F36" s="285"/>
      <c r="G36" s="283" t="s">
        <v>83</v>
      </c>
      <c r="H36" s="285"/>
      <c r="I36" s="285" t="s">
        <v>83</v>
      </c>
      <c r="J36" s="285"/>
      <c r="K36" s="285" t="s">
        <v>46</v>
      </c>
      <c r="L36" s="285"/>
      <c r="M36" s="285" t="s">
        <v>46</v>
      </c>
      <c r="N36" s="285"/>
      <c r="O36" s="285" t="s">
        <v>46</v>
      </c>
      <c r="P36" s="285"/>
      <c r="Q36" s="285"/>
      <c r="R36" s="285"/>
      <c r="S36" s="285" t="s">
        <v>83</v>
      </c>
      <c r="T36" s="285"/>
      <c r="U36" s="285" t="s">
        <v>83</v>
      </c>
      <c r="V36" s="285"/>
      <c r="W36" s="285" t="s">
        <v>83</v>
      </c>
      <c r="X36" s="285"/>
      <c r="Y36" s="285" t="s">
        <v>83</v>
      </c>
      <c r="Z36" s="285"/>
      <c r="AA36" s="286">
        <f>COUNTIF(C36:Z36,"&gt;=R")</f>
        <v>10</v>
      </c>
      <c r="AB36" s="287">
        <f>AA36</f>
        <v>10</v>
      </c>
    </row>
    <row r="37" spans="1:35" ht="40.049999999999997" customHeight="1" x14ac:dyDescent="0.3">
      <c r="A37" s="289" t="s">
        <v>146</v>
      </c>
      <c r="B37" s="913" t="s">
        <v>147</v>
      </c>
      <c r="C37" s="291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2"/>
      <c r="V37" s="292"/>
      <c r="W37" s="292"/>
      <c r="X37" s="292"/>
      <c r="Y37" s="292"/>
      <c r="Z37" s="293"/>
      <c r="AA37" s="293"/>
      <c r="AB37" s="295"/>
    </row>
    <row r="38" spans="1:35" ht="40.049999999999997" customHeight="1" x14ac:dyDescent="0.3">
      <c r="A38" s="281" t="s">
        <v>148</v>
      </c>
      <c r="B38" s="900" t="s">
        <v>139</v>
      </c>
      <c r="C38" s="284" t="s">
        <v>18</v>
      </c>
      <c r="D38" s="284"/>
      <c r="E38" s="283" t="s">
        <v>83</v>
      </c>
      <c r="F38" s="285"/>
      <c r="G38" s="283" t="s">
        <v>83</v>
      </c>
      <c r="H38" s="285"/>
      <c r="I38" s="285" t="s">
        <v>83</v>
      </c>
      <c r="J38" s="285"/>
      <c r="K38" s="285" t="s">
        <v>46</v>
      </c>
      <c r="L38" s="285"/>
      <c r="M38" s="285" t="s">
        <v>46</v>
      </c>
      <c r="N38" s="285"/>
      <c r="O38" s="285" t="s">
        <v>46</v>
      </c>
      <c r="P38" s="285"/>
      <c r="Q38" s="285" t="s">
        <v>18</v>
      </c>
      <c r="R38" s="285"/>
      <c r="S38" s="285" t="s">
        <v>83</v>
      </c>
      <c r="T38" s="285"/>
      <c r="U38" s="285" t="s">
        <v>83</v>
      </c>
      <c r="V38" s="285"/>
      <c r="W38" s="285" t="s">
        <v>83</v>
      </c>
      <c r="X38" s="285"/>
      <c r="Y38" s="285" t="s">
        <v>83</v>
      </c>
      <c r="Z38" s="285"/>
      <c r="AA38" s="286">
        <f>COUNTIF(C38:Z38,"&gt;=R")</f>
        <v>12</v>
      </c>
      <c r="AB38" s="287">
        <f>AA38</f>
        <v>12</v>
      </c>
    </row>
    <row r="39" spans="1:35" ht="40.049999999999997" customHeight="1" x14ac:dyDescent="0.65">
      <c r="A39" s="281" t="s">
        <v>149</v>
      </c>
      <c r="B39" s="900" t="s">
        <v>150</v>
      </c>
      <c r="C39" s="284" t="s">
        <v>38</v>
      </c>
      <c r="D39" s="284"/>
      <c r="E39" s="283" t="s">
        <v>83</v>
      </c>
      <c r="F39" s="285"/>
      <c r="G39" s="283" t="s">
        <v>83</v>
      </c>
      <c r="H39" s="285"/>
      <c r="I39" s="285" t="s">
        <v>83</v>
      </c>
      <c r="J39" s="285"/>
      <c r="K39" s="299" t="s">
        <v>36</v>
      </c>
      <c r="L39" s="285"/>
      <c r="M39" s="299" t="s">
        <v>36</v>
      </c>
      <c r="N39" s="285"/>
      <c r="O39" s="299" t="s">
        <v>36</v>
      </c>
      <c r="P39" s="285"/>
      <c r="Q39" s="285" t="s">
        <v>68</v>
      </c>
      <c r="R39" s="285"/>
      <c r="S39" s="285" t="s">
        <v>83</v>
      </c>
      <c r="T39" s="285"/>
      <c r="U39" s="285" t="s">
        <v>83</v>
      </c>
      <c r="V39" s="285"/>
      <c r="W39" s="288" t="s">
        <v>55</v>
      </c>
      <c r="X39" s="285"/>
      <c r="Y39" s="288" t="s">
        <v>55</v>
      </c>
      <c r="Z39" s="285"/>
      <c r="AA39" s="286">
        <f>COUNTIF(C39:Z39,"&gt;=R")</f>
        <v>12</v>
      </c>
      <c r="AB39" s="287">
        <f>AA39</f>
        <v>12</v>
      </c>
      <c r="AC39" s="357"/>
      <c r="AD39" s="357"/>
      <c r="AE39" s="357"/>
      <c r="AF39" s="357"/>
      <c r="AG39" s="357"/>
      <c r="AH39" s="357"/>
      <c r="AI39" s="357"/>
    </row>
    <row r="40" spans="1:35" ht="40.049999999999997" customHeight="1" x14ac:dyDescent="0.3">
      <c r="A40" s="300" t="s">
        <v>151</v>
      </c>
      <c r="B40" s="914" t="s">
        <v>152</v>
      </c>
      <c r="C40" s="283"/>
      <c r="D40" s="284"/>
      <c r="E40" s="285"/>
      <c r="F40" s="285"/>
      <c r="G40" s="285"/>
      <c r="H40" s="285"/>
      <c r="I40" s="285"/>
      <c r="J40" s="285"/>
      <c r="K40" s="285"/>
      <c r="L40" s="285"/>
      <c r="M40" s="299"/>
      <c r="N40" s="285"/>
      <c r="O40" s="285"/>
      <c r="P40" s="285"/>
      <c r="Q40" s="285"/>
      <c r="R40" s="285"/>
      <c r="S40" s="285"/>
      <c r="T40" s="285"/>
      <c r="U40" s="288"/>
      <c r="V40" s="285"/>
      <c r="W40" s="285"/>
      <c r="X40" s="285"/>
      <c r="Y40" s="288"/>
      <c r="Z40" s="285"/>
      <c r="AA40" s="286"/>
      <c r="AB40" s="287"/>
    </row>
    <row r="41" spans="1:35" ht="40.049999999999997" customHeight="1" x14ac:dyDescent="0.3">
      <c r="A41" s="281" t="s">
        <v>153</v>
      </c>
      <c r="B41" s="900" t="s">
        <v>154</v>
      </c>
      <c r="C41" s="283"/>
      <c r="D41" s="284"/>
      <c r="E41" s="283"/>
      <c r="F41" s="285"/>
      <c r="G41" s="283"/>
      <c r="H41" s="285"/>
      <c r="I41" s="283"/>
      <c r="J41" s="285"/>
      <c r="K41" s="283"/>
      <c r="L41" s="285"/>
      <c r="M41" s="285"/>
      <c r="N41" s="285"/>
      <c r="O41" s="285"/>
      <c r="P41" s="285"/>
      <c r="Q41" s="285"/>
      <c r="R41" s="285"/>
      <c r="S41" s="285"/>
      <c r="T41" s="285"/>
      <c r="U41" s="285"/>
      <c r="V41" s="285"/>
      <c r="W41" s="285"/>
      <c r="X41" s="285"/>
      <c r="Y41" s="285"/>
      <c r="Z41" s="285"/>
      <c r="AA41" s="286">
        <f t="shared" ref="AA41:AA46" si="2">COUNTIF(C41:Z41,"&gt;=R")</f>
        <v>0</v>
      </c>
      <c r="AB41" s="287">
        <f t="shared" ref="AB41:AB46" si="3">AA41</f>
        <v>0</v>
      </c>
    </row>
    <row r="42" spans="1:35" ht="40.049999999999997" customHeight="1" x14ac:dyDescent="0.65">
      <c r="A42" s="281" t="s">
        <v>155</v>
      </c>
      <c r="B42" s="900" t="s">
        <v>156</v>
      </c>
      <c r="C42" s="302"/>
      <c r="D42" s="284"/>
      <c r="E42" s="288"/>
      <c r="F42" s="285"/>
      <c r="G42" s="288"/>
      <c r="H42" s="285"/>
      <c r="I42" s="288"/>
      <c r="J42" s="285"/>
      <c r="K42" s="288"/>
      <c r="L42" s="285"/>
      <c r="M42" s="288"/>
      <c r="N42" s="285"/>
      <c r="O42" s="288"/>
      <c r="P42" s="285"/>
      <c r="Q42" s="288"/>
      <c r="R42" s="285"/>
      <c r="S42" s="288"/>
      <c r="T42" s="285"/>
      <c r="U42" s="288"/>
      <c r="V42" s="285"/>
      <c r="W42" s="288"/>
      <c r="X42" s="285"/>
      <c r="Y42" s="288"/>
      <c r="Z42" s="285"/>
      <c r="AA42" s="286">
        <f t="shared" si="2"/>
        <v>0</v>
      </c>
      <c r="AB42" s="287">
        <f t="shared" si="3"/>
        <v>0</v>
      </c>
      <c r="AC42" s="357"/>
      <c r="AD42" s="357"/>
      <c r="AE42" s="357"/>
      <c r="AF42" s="357"/>
      <c r="AG42" s="357"/>
      <c r="AH42" s="357"/>
      <c r="AI42" s="357"/>
    </row>
    <row r="43" spans="1:35" ht="40.049999999999997" customHeight="1" x14ac:dyDescent="0.3">
      <c r="A43" s="281" t="s">
        <v>157</v>
      </c>
      <c r="B43" s="900" t="s">
        <v>158</v>
      </c>
      <c r="C43" s="284"/>
      <c r="D43" s="284"/>
      <c r="E43" s="285"/>
      <c r="F43" s="285"/>
      <c r="G43" s="285"/>
      <c r="H43" s="285"/>
      <c r="I43" s="299"/>
      <c r="J43" s="285"/>
      <c r="K43" s="299" t="s">
        <v>36</v>
      </c>
      <c r="L43" s="285"/>
      <c r="M43" s="299" t="s">
        <v>36</v>
      </c>
      <c r="N43" s="285"/>
      <c r="O43" s="299" t="s">
        <v>36</v>
      </c>
      <c r="P43" s="285"/>
      <c r="Q43" s="285" t="s">
        <v>68</v>
      </c>
      <c r="R43" s="285"/>
      <c r="S43" s="285"/>
      <c r="T43" s="285"/>
      <c r="U43" s="288"/>
      <c r="V43" s="285"/>
      <c r="W43" s="288"/>
      <c r="X43" s="285"/>
      <c r="Y43" s="288"/>
      <c r="Z43" s="285"/>
      <c r="AA43" s="286">
        <f t="shared" si="2"/>
        <v>4</v>
      </c>
      <c r="AB43" s="287">
        <f t="shared" si="3"/>
        <v>4</v>
      </c>
    </row>
    <row r="44" spans="1:35" ht="40.049999999999997" customHeight="1" x14ac:dyDescent="0.65">
      <c r="A44" s="281" t="s">
        <v>159</v>
      </c>
      <c r="B44" s="900" t="s">
        <v>160</v>
      </c>
      <c r="C44" s="283" t="s">
        <v>93</v>
      </c>
      <c r="D44" s="284"/>
      <c r="E44" s="285" t="s">
        <v>83</v>
      </c>
      <c r="F44" s="285"/>
      <c r="G44" s="285" t="s">
        <v>83</v>
      </c>
      <c r="H44" s="285"/>
      <c r="I44" s="285" t="s">
        <v>83</v>
      </c>
      <c r="J44" s="285"/>
      <c r="K44" s="285" t="s">
        <v>83</v>
      </c>
      <c r="L44" s="285"/>
      <c r="M44" s="285" t="s">
        <v>83</v>
      </c>
      <c r="N44" s="285"/>
      <c r="O44" s="285" t="s">
        <v>83</v>
      </c>
      <c r="P44" s="285"/>
      <c r="Q44" s="285"/>
      <c r="R44" s="285"/>
      <c r="S44" s="285" t="s">
        <v>83</v>
      </c>
      <c r="T44" s="285"/>
      <c r="U44" s="285" t="s">
        <v>83</v>
      </c>
      <c r="V44" s="285"/>
      <c r="W44" s="285" t="s">
        <v>83</v>
      </c>
      <c r="X44" s="285"/>
      <c r="Y44" s="285" t="s">
        <v>83</v>
      </c>
      <c r="Z44" s="285"/>
      <c r="AA44" s="286">
        <f t="shared" si="2"/>
        <v>11</v>
      </c>
      <c r="AB44" s="287">
        <f t="shared" si="3"/>
        <v>11</v>
      </c>
      <c r="AC44" s="357"/>
      <c r="AD44" s="357"/>
      <c r="AE44" s="357"/>
      <c r="AF44" s="357"/>
      <c r="AG44" s="357"/>
      <c r="AH44" s="357"/>
      <c r="AI44" s="357"/>
    </row>
    <row r="45" spans="1:35" ht="40.049999999999997" customHeight="1" x14ac:dyDescent="0.3">
      <c r="A45" s="281" t="s">
        <v>161</v>
      </c>
      <c r="B45" s="900" t="s">
        <v>162</v>
      </c>
      <c r="C45" s="283" t="s">
        <v>93</v>
      </c>
      <c r="D45" s="284"/>
      <c r="E45" s="285" t="s">
        <v>83</v>
      </c>
      <c r="F45" s="285"/>
      <c r="G45" s="285" t="s">
        <v>83</v>
      </c>
      <c r="H45" s="285"/>
      <c r="I45" s="285" t="s">
        <v>83</v>
      </c>
      <c r="J45" s="285"/>
      <c r="K45" s="285" t="s">
        <v>83</v>
      </c>
      <c r="L45" s="285"/>
      <c r="M45" s="285" t="s">
        <v>83</v>
      </c>
      <c r="N45" s="285"/>
      <c r="O45" s="285" t="s">
        <v>83</v>
      </c>
      <c r="P45" s="285"/>
      <c r="Q45" s="285"/>
      <c r="R45" s="285"/>
      <c r="S45" s="285" t="s">
        <v>83</v>
      </c>
      <c r="T45" s="285"/>
      <c r="U45" s="285" t="s">
        <v>83</v>
      </c>
      <c r="V45" s="285"/>
      <c r="W45" s="285" t="s">
        <v>83</v>
      </c>
      <c r="X45" s="285"/>
      <c r="Y45" s="285" t="s">
        <v>83</v>
      </c>
      <c r="Z45" s="285"/>
      <c r="AA45" s="286">
        <f t="shared" si="2"/>
        <v>11</v>
      </c>
      <c r="AB45" s="287">
        <f t="shared" si="3"/>
        <v>11</v>
      </c>
    </row>
    <row r="46" spans="1:35" ht="40.049999999999997" customHeight="1" x14ac:dyDescent="0.65">
      <c r="A46" s="281" t="s">
        <v>163</v>
      </c>
      <c r="B46" s="900" t="s">
        <v>164</v>
      </c>
      <c r="C46" s="283" t="s">
        <v>93</v>
      </c>
      <c r="D46" s="284"/>
      <c r="E46" s="285" t="s">
        <v>83</v>
      </c>
      <c r="F46" s="285"/>
      <c r="G46" s="285" t="s">
        <v>83</v>
      </c>
      <c r="H46" s="285"/>
      <c r="I46" s="285" t="s">
        <v>83</v>
      </c>
      <c r="J46" s="285"/>
      <c r="K46" s="718" t="s">
        <v>84</v>
      </c>
      <c r="L46" s="285"/>
      <c r="M46" s="288" t="s">
        <v>36</v>
      </c>
      <c r="N46" s="285"/>
      <c r="O46" s="285" t="s">
        <v>36</v>
      </c>
      <c r="P46" s="285"/>
      <c r="Q46" s="285"/>
      <c r="R46" s="285"/>
      <c r="S46" s="285" t="s">
        <v>83</v>
      </c>
      <c r="T46" s="285"/>
      <c r="U46" s="285" t="s">
        <v>83</v>
      </c>
      <c r="V46" s="285"/>
      <c r="W46" s="285" t="s">
        <v>83</v>
      </c>
      <c r="X46" s="285"/>
      <c r="Y46" s="285" t="s">
        <v>83</v>
      </c>
      <c r="Z46" s="285"/>
      <c r="AA46" s="286">
        <f t="shared" si="2"/>
        <v>11</v>
      </c>
      <c r="AB46" s="287">
        <f t="shared" si="3"/>
        <v>11</v>
      </c>
      <c r="AC46" s="357"/>
      <c r="AD46" s="357"/>
      <c r="AE46" s="357"/>
      <c r="AF46" s="357"/>
      <c r="AG46" s="357"/>
      <c r="AH46" s="357"/>
      <c r="AI46" s="357"/>
    </row>
    <row r="47" spans="1:35" ht="40.049999999999997" customHeight="1" x14ac:dyDescent="0.65">
      <c r="A47" s="274" t="s">
        <v>165</v>
      </c>
      <c r="B47" s="275" t="s">
        <v>166</v>
      </c>
      <c r="C47" s="291"/>
      <c r="D47" s="292"/>
      <c r="E47" s="293"/>
      <c r="F47" s="293"/>
      <c r="G47" s="293"/>
      <c r="H47" s="293"/>
      <c r="I47" s="293"/>
      <c r="J47" s="293"/>
      <c r="K47" s="293"/>
      <c r="L47" s="293"/>
      <c r="M47" s="293"/>
      <c r="N47" s="293"/>
      <c r="O47" s="293"/>
      <c r="P47" s="293"/>
      <c r="Q47" s="293"/>
      <c r="R47" s="293"/>
      <c r="S47" s="293"/>
      <c r="T47" s="293"/>
      <c r="U47" s="293"/>
      <c r="V47" s="293"/>
      <c r="W47" s="293"/>
      <c r="X47" s="293"/>
      <c r="Y47" s="293"/>
      <c r="Z47" s="293"/>
      <c r="AA47" s="293"/>
      <c r="AB47" s="295"/>
      <c r="AC47" s="357"/>
      <c r="AD47" s="357"/>
      <c r="AE47" s="357"/>
      <c r="AF47" s="357"/>
      <c r="AG47" s="357"/>
      <c r="AH47" s="357"/>
      <c r="AI47" s="357"/>
    </row>
    <row r="48" spans="1:35" ht="40.049999999999997" customHeight="1" x14ac:dyDescent="0.3">
      <c r="A48" s="305" t="s">
        <v>167</v>
      </c>
      <c r="B48" s="306" t="s">
        <v>168</v>
      </c>
      <c r="C48" s="283"/>
      <c r="D48" s="284"/>
      <c r="E48" s="285"/>
      <c r="F48" s="285"/>
      <c r="G48" s="288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  <c r="W48" s="307"/>
      <c r="X48" s="285"/>
      <c r="Y48" s="307"/>
      <c r="Z48" s="285"/>
      <c r="AA48" s="286"/>
      <c r="AB48" s="287"/>
    </row>
    <row r="49" spans="1:35" ht="40.049999999999997" customHeight="1" x14ac:dyDescent="0.65">
      <c r="A49" s="308" t="s">
        <v>169</v>
      </c>
      <c r="B49" s="902" t="s">
        <v>170</v>
      </c>
      <c r="C49" s="283" t="s">
        <v>38</v>
      </c>
      <c r="D49" s="284"/>
      <c r="E49" s="285" t="s">
        <v>91</v>
      </c>
      <c r="F49" s="285"/>
      <c r="G49" s="285" t="s">
        <v>91</v>
      </c>
      <c r="H49" s="285"/>
      <c r="I49" s="285" t="s">
        <v>91</v>
      </c>
      <c r="J49" s="285"/>
      <c r="K49" s="285" t="s">
        <v>91</v>
      </c>
      <c r="L49" s="285"/>
      <c r="M49" s="285" t="s">
        <v>91</v>
      </c>
      <c r="N49" s="285"/>
      <c r="O49" s="285" t="s">
        <v>91</v>
      </c>
      <c r="P49" s="285"/>
      <c r="Q49" s="285"/>
      <c r="R49" s="285"/>
      <c r="S49" s="285" t="s">
        <v>91</v>
      </c>
      <c r="T49" s="285"/>
      <c r="U49" s="285" t="s">
        <v>91</v>
      </c>
      <c r="V49" s="285"/>
      <c r="W49" s="285" t="s">
        <v>91</v>
      </c>
      <c r="X49" s="285"/>
      <c r="Y49" s="285" t="s">
        <v>91</v>
      </c>
      <c r="Z49" s="285"/>
      <c r="AA49" s="286">
        <f>COUNTIF(C49:Z49,"&gt;=R")</f>
        <v>11</v>
      </c>
      <c r="AB49" s="287">
        <f>AA49</f>
        <v>11</v>
      </c>
      <c r="AC49" s="357"/>
      <c r="AD49" s="357"/>
      <c r="AE49" s="357"/>
      <c r="AF49" s="357"/>
      <c r="AG49" s="357"/>
      <c r="AH49" s="357"/>
      <c r="AI49" s="357"/>
    </row>
    <row r="50" spans="1:35" ht="40.049999999999997" customHeight="1" x14ac:dyDescent="0.65">
      <c r="A50" s="308" t="s">
        <v>171</v>
      </c>
      <c r="B50" s="902" t="s">
        <v>172</v>
      </c>
      <c r="C50" s="283"/>
      <c r="D50" s="284"/>
      <c r="E50" s="776" t="s">
        <v>28</v>
      </c>
      <c r="F50" s="285"/>
      <c r="G50" s="776" t="s">
        <v>28</v>
      </c>
      <c r="H50" s="285"/>
      <c r="I50" s="776" t="s">
        <v>28</v>
      </c>
      <c r="J50" s="285"/>
      <c r="K50" s="776" t="s">
        <v>28</v>
      </c>
      <c r="L50" s="285">
        <v>0</v>
      </c>
      <c r="M50" s="776" t="s">
        <v>28</v>
      </c>
      <c r="N50" s="285"/>
      <c r="O50" s="776" t="s">
        <v>28</v>
      </c>
      <c r="P50" s="285"/>
      <c r="Q50" s="283"/>
      <c r="R50" s="285"/>
      <c r="S50" s="777" t="s">
        <v>28</v>
      </c>
      <c r="T50" s="285"/>
      <c r="U50" s="777" t="s">
        <v>28</v>
      </c>
      <c r="V50" s="285"/>
      <c r="W50" s="777" t="s">
        <v>28</v>
      </c>
      <c r="X50" s="285"/>
      <c r="Y50" s="777" t="s">
        <v>28</v>
      </c>
      <c r="Z50" s="285"/>
      <c r="AA50" s="286">
        <f>COUNTIF(C50:Z50,"&gt;=R")</f>
        <v>10</v>
      </c>
      <c r="AB50" s="287">
        <f>AA50</f>
        <v>10</v>
      </c>
      <c r="AC50" s="357"/>
      <c r="AD50" s="357"/>
      <c r="AE50" s="357"/>
      <c r="AF50" s="357"/>
      <c r="AG50" s="357"/>
      <c r="AH50" s="357"/>
      <c r="AI50" s="357"/>
    </row>
    <row r="51" spans="1:35" ht="40.049999999999997" customHeight="1" x14ac:dyDescent="0.3">
      <c r="A51" s="296" t="s">
        <v>173</v>
      </c>
      <c r="B51" s="915" t="s">
        <v>174</v>
      </c>
      <c r="C51" s="283"/>
      <c r="D51" s="284"/>
      <c r="E51" s="285"/>
      <c r="F51" s="285"/>
      <c r="G51" s="288"/>
      <c r="H51" s="285"/>
      <c r="I51" s="288"/>
      <c r="J51" s="285"/>
      <c r="K51" s="288"/>
      <c r="L51" s="285"/>
      <c r="M51" s="285"/>
      <c r="N51" s="285"/>
      <c r="O51" s="285"/>
      <c r="P51" s="285"/>
      <c r="Q51" s="285"/>
      <c r="R51" s="285"/>
      <c r="S51" s="285"/>
      <c r="T51" s="285"/>
      <c r="U51" s="285"/>
      <c r="V51" s="285"/>
      <c r="W51" s="285"/>
      <c r="X51" s="285"/>
      <c r="Y51" s="307"/>
      <c r="Z51" s="285"/>
      <c r="AA51" s="286"/>
      <c r="AB51" s="287"/>
    </row>
    <row r="52" spans="1:35" ht="40.049999999999997" customHeight="1" x14ac:dyDescent="0.3">
      <c r="A52" s="308" t="s">
        <v>175</v>
      </c>
      <c r="B52" s="902" t="s">
        <v>176</v>
      </c>
      <c r="C52" s="283"/>
      <c r="D52" s="284"/>
      <c r="E52" s="283" t="s">
        <v>56</v>
      </c>
      <c r="F52" s="285"/>
      <c r="G52" s="285" t="s">
        <v>56</v>
      </c>
      <c r="H52" s="285"/>
      <c r="I52" s="285" t="s">
        <v>47</v>
      </c>
      <c r="J52" s="285"/>
      <c r="K52" s="285" t="s">
        <v>47</v>
      </c>
      <c r="L52" s="285"/>
      <c r="M52" s="285" t="s">
        <v>47</v>
      </c>
      <c r="N52" s="285"/>
      <c r="O52" s="285" t="s">
        <v>47</v>
      </c>
      <c r="P52" s="285"/>
      <c r="Q52" s="285"/>
      <c r="R52" s="285"/>
      <c r="S52" s="285" t="s">
        <v>47</v>
      </c>
      <c r="T52" s="285"/>
      <c r="U52" s="288" t="s">
        <v>56</v>
      </c>
      <c r="V52" s="285"/>
      <c r="W52" s="288" t="s">
        <v>56</v>
      </c>
      <c r="X52" s="285"/>
      <c r="Y52" s="288" t="s">
        <v>56</v>
      </c>
      <c r="Z52" s="285"/>
      <c r="AA52" s="286">
        <f>COUNTIF(C52:Z52,"&gt;=R")</f>
        <v>10</v>
      </c>
      <c r="AB52" s="287">
        <f>AA52</f>
        <v>10</v>
      </c>
    </row>
    <row r="53" spans="1:35" ht="40.049999999999997" customHeight="1" x14ac:dyDescent="0.65">
      <c r="A53" s="308" t="s">
        <v>177</v>
      </c>
      <c r="B53" s="902" t="s">
        <v>178</v>
      </c>
      <c r="C53" s="283"/>
      <c r="D53" s="284"/>
      <c r="E53" s="285" t="s">
        <v>47</v>
      </c>
      <c r="F53" s="285"/>
      <c r="G53" s="285" t="s">
        <v>47</v>
      </c>
      <c r="H53" s="285"/>
      <c r="I53" s="285" t="s">
        <v>47</v>
      </c>
      <c r="J53" s="285"/>
      <c r="K53" s="285" t="s">
        <v>47</v>
      </c>
      <c r="L53" s="285"/>
      <c r="M53" s="285" t="s">
        <v>47</v>
      </c>
      <c r="N53" s="285"/>
      <c r="O53" s="285" t="s">
        <v>47</v>
      </c>
      <c r="P53" s="285"/>
      <c r="Q53" s="285"/>
      <c r="R53" s="285"/>
      <c r="S53" s="285" t="s">
        <v>47</v>
      </c>
      <c r="T53" s="285"/>
      <c r="U53" s="285" t="s">
        <v>47</v>
      </c>
      <c r="V53" s="285"/>
      <c r="W53" s="285" t="s">
        <v>47</v>
      </c>
      <c r="X53" s="285"/>
      <c r="Y53" s="285" t="s">
        <v>47</v>
      </c>
      <c r="Z53" s="285"/>
      <c r="AA53" s="286">
        <f>COUNTIF(C53:Z53,"&gt;=R")</f>
        <v>10</v>
      </c>
      <c r="AB53" s="287">
        <f>AA53</f>
        <v>10</v>
      </c>
      <c r="AC53" s="357"/>
      <c r="AD53" s="357"/>
      <c r="AE53" s="357"/>
      <c r="AF53" s="357"/>
      <c r="AG53" s="357"/>
      <c r="AH53" s="357"/>
      <c r="AI53" s="357"/>
    </row>
    <row r="54" spans="1:35" ht="40.049999999999997" customHeight="1" x14ac:dyDescent="0.3">
      <c r="A54" s="296" t="s">
        <v>179</v>
      </c>
      <c r="B54" s="915" t="s">
        <v>180</v>
      </c>
      <c r="C54" s="283"/>
      <c r="D54" s="284"/>
      <c r="E54" s="285"/>
      <c r="F54" s="285"/>
      <c r="G54" s="285"/>
      <c r="H54" s="285"/>
      <c r="I54" s="285"/>
      <c r="J54" s="285"/>
      <c r="K54" s="285"/>
      <c r="L54" s="285"/>
      <c r="M54" s="285"/>
      <c r="N54" s="285"/>
      <c r="O54" s="285"/>
      <c r="P54" s="285"/>
      <c r="Q54" s="285"/>
      <c r="R54" s="285"/>
      <c r="S54" s="285"/>
      <c r="T54" s="285"/>
      <c r="U54" s="285"/>
      <c r="V54" s="285"/>
      <c r="W54" s="307"/>
      <c r="X54" s="285"/>
      <c r="Y54" s="307"/>
      <c r="Z54" s="285"/>
      <c r="AA54" s="286">
        <f>COUNTIF(C54:Z54,"&gt;=R")</f>
        <v>0</v>
      </c>
      <c r="AB54" s="287">
        <f>AA54</f>
        <v>0</v>
      </c>
    </row>
    <row r="55" spans="1:35" ht="40.049999999999997" customHeight="1" x14ac:dyDescent="0.65">
      <c r="A55" s="357" t="s">
        <v>181</v>
      </c>
      <c r="B55" s="903" t="s">
        <v>182</v>
      </c>
      <c r="C55" s="283"/>
      <c r="D55" s="284"/>
      <c r="E55" s="283" t="s">
        <v>67</v>
      </c>
      <c r="F55" s="285"/>
      <c r="G55" s="283" t="s">
        <v>67</v>
      </c>
      <c r="H55" s="285"/>
      <c r="I55" s="283" t="s">
        <v>67</v>
      </c>
      <c r="J55" s="285"/>
      <c r="K55" s="285" t="s">
        <v>67</v>
      </c>
      <c r="L55" s="285"/>
      <c r="M55" s="285" t="s">
        <v>67</v>
      </c>
      <c r="N55" s="285"/>
      <c r="O55" s="285" t="s">
        <v>67</v>
      </c>
      <c r="P55" s="285"/>
      <c r="Q55" s="285"/>
      <c r="R55" s="285"/>
      <c r="S55" s="283"/>
      <c r="T55" s="285"/>
      <c r="U55" s="283" t="s">
        <v>67</v>
      </c>
      <c r="V55" s="285"/>
      <c r="W55" s="283" t="s">
        <v>67</v>
      </c>
      <c r="X55" s="285"/>
      <c r="Y55" s="283" t="s">
        <v>67</v>
      </c>
      <c r="Z55" s="285"/>
      <c r="AA55" s="286">
        <f>COUNTIF(C55:Z55,"&gt;=R")</f>
        <v>9</v>
      </c>
      <c r="AB55" s="287">
        <f>AA55</f>
        <v>9</v>
      </c>
    </row>
    <row r="56" spans="1:35" ht="40.049999999999997" customHeight="1" x14ac:dyDescent="0.65">
      <c r="A56" s="289" t="s">
        <v>183</v>
      </c>
      <c r="B56" s="913" t="s">
        <v>184</v>
      </c>
      <c r="C56" s="291"/>
      <c r="D56" s="292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3"/>
      <c r="W56" s="293"/>
      <c r="X56" s="293"/>
      <c r="Y56" s="293"/>
      <c r="Z56" s="293"/>
      <c r="AA56" s="293"/>
      <c r="AB56" s="295"/>
      <c r="AC56" s="357"/>
      <c r="AD56" s="357"/>
      <c r="AE56" s="357"/>
      <c r="AF56" s="357"/>
      <c r="AG56" s="357"/>
      <c r="AH56" s="357"/>
      <c r="AI56" s="357"/>
    </row>
    <row r="57" spans="1:35" ht="40.049999999999997" customHeight="1" x14ac:dyDescent="0.65">
      <c r="A57" s="281" t="s">
        <v>185</v>
      </c>
      <c r="B57" s="900" t="s">
        <v>186</v>
      </c>
      <c r="C57" s="283"/>
      <c r="D57" s="284"/>
      <c r="E57" s="285" t="s">
        <v>76</v>
      </c>
      <c r="F57" s="285"/>
      <c r="G57" s="285" t="s">
        <v>76</v>
      </c>
      <c r="H57" s="285"/>
      <c r="I57" s="285" t="s">
        <v>76</v>
      </c>
      <c r="J57" s="285"/>
      <c r="K57" s="285" t="s">
        <v>76</v>
      </c>
      <c r="L57" s="285"/>
      <c r="M57" s="285" t="s">
        <v>76</v>
      </c>
      <c r="N57" s="285"/>
      <c r="O57" s="285" t="s">
        <v>76</v>
      </c>
      <c r="P57" s="285"/>
      <c r="Q57" s="285"/>
      <c r="R57" s="285"/>
      <c r="S57" s="285" t="s">
        <v>76</v>
      </c>
      <c r="T57" s="285"/>
      <c r="U57" s="285" t="s">
        <v>76</v>
      </c>
      <c r="V57" s="285"/>
      <c r="W57" s="285" t="s">
        <v>76</v>
      </c>
      <c r="X57" s="285"/>
      <c r="Y57" s="285" t="s">
        <v>76</v>
      </c>
      <c r="Z57" s="285"/>
      <c r="AA57" s="286">
        <f>COUNTIF(C57:Z57,"&gt;=R")</f>
        <v>10</v>
      </c>
      <c r="AB57" s="287">
        <f>AA57</f>
        <v>10</v>
      </c>
      <c r="AC57" s="357"/>
      <c r="AD57" s="357"/>
      <c r="AE57" s="357"/>
      <c r="AF57" s="357"/>
      <c r="AG57" s="357"/>
      <c r="AH57" s="357"/>
      <c r="AI57" s="357"/>
    </row>
    <row r="58" spans="1:35" ht="40.049999999999997" customHeight="1" x14ac:dyDescent="0.65">
      <c r="A58" s="281" t="s">
        <v>187</v>
      </c>
      <c r="B58" s="900" t="s">
        <v>188</v>
      </c>
      <c r="C58" s="283"/>
      <c r="D58" s="284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5"/>
      <c r="V58" s="285"/>
      <c r="W58" s="285"/>
      <c r="X58" s="285"/>
      <c r="Y58" s="285"/>
      <c r="Z58" s="285"/>
      <c r="AA58" s="286">
        <f>COUNTIF(C58:Z58,"&gt;=R")</f>
        <v>0</v>
      </c>
      <c r="AB58" s="287">
        <f>AA58</f>
        <v>0</v>
      </c>
      <c r="AC58" s="357"/>
      <c r="AD58" s="357"/>
      <c r="AE58" s="357"/>
      <c r="AF58" s="357"/>
      <c r="AG58" s="357"/>
      <c r="AH58" s="357"/>
      <c r="AI58" s="357"/>
    </row>
    <row r="59" spans="1:35" ht="40.049999999999997" customHeight="1" x14ac:dyDescent="0.3">
      <c r="A59" s="281" t="s">
        <v>189</v>
      </c>
      <c r="B59" s="900" t="s">
        <v>190</v>
      </c>
      <c r="C59" s="284"/>
      <c r="D59" s="284"/>
      <c r="E59" s="285" t="s">
        <v>27</v>
      </c>
      <c r="F59" s="285"/>
      <c r="G59" s="285" t="s">
        <v>37</v>
      </c>
      <c r="H59" s="285"/>
      <c r="I59" s="285" t="s">
        <v>27</v>
      </c>
      <c r="J59" s="285"/>
      <c r="K59" s="285" t="s">
        <v>27</v>
      </c>
      <c r="L59" s="285"/>
      <c r="M59" s="285" t="s">
        <v>27</v>
      </c>
      <c r="N59" s="285"/>
      <c r="O59" s="285" t="s">
        <v>27</v>
      </c>
      <c r="P59" s="285"/>
      <c r="Q59" s="285"/>
      <c r="R59" s="285"/>
      <c r="S59" s="285" t="s">
        <v>27</v>
      </c>
      <c r="T59" s="285"/>
      <c r="U59" s="285" t="s">
        <v>27</v>
      </c>
      <c r="V59" s="285"/>
      <c r="W59" s="285" t="s">
        <v>27</v>
      </c>
      <c r="X59" s="285"/>
      <c r="Y59" s="285" t="s">
        <v>37</v>
      </c>
      <c r="Z59" s="285"/>
      <c r="AA59" s="286">
        <f>COUNTIF(C59:Z59,"&gt;=R")</f>
        <v>10</v>
      </c>
      <c r="AB59" s="287">
        <f>AA59</f>
        <v>10</v>
      </c>
    </row>
    <row r="60" spans="1:35" ht="40.049999999999997" customHeight="1" x14ac:dyDescent="0.65">
      <c r="A60" s="281" t="s">
        <v>191</v>
      </c>
      <c r="B60" s="900" t="s">
        <v>192</v>
      </c>
      <c r="C60" s="284"/>
      <c r="D60" s="284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307"/>
      <c r="X60" s="285"/>
      <c r="Y60" s="307" t="s">
        <v>76</v>
      </c>
      <c r="Z60" s="285"/>
      <c r="AA60" s="286">
        <f>COUNTIF(C60:Z60,"&gt;=R")</f>
        <v>1</v>
      </c>
      <c r="AB60" s="287">
        <f>AA60</f>
        <v>1</v>
      </c>
      <c r="AC60" s="357"/>
      <c r="AD60" s="357"/>
      <c r="AE60" s="357"/>
      <c r="AF60" s="357"/>
      <c r="AG60" s="357"/>
      <c r="AH60" s="357"/>
      <c r="AI60" s="357"/>
    </row>
    <row r="61" spans="1:35" ht="40.049999999999997" customHeight="1" x14ac:dyDescent="0.65">
      <c r="A61" s="289" t="s">
        <v>193</v>
      </c>
      <c r="B61" s="913" t="s">
        <v>194</v>
      </c>
      <c r="C61" s="291"/>
      <c r="D61" s="292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3"/>
      <c r="AA61" s="293"/>
      <c r="AB61" s="295"/>
      <c r="AC61" s="357"/>
      <c r="AD61" s="357"/>
      <c r="AE61" s="357"/>
      <c r="AF61" s="357"/>
      <c r="AG61" s="357"/>
      <c r="AH61" s="357"/>
      <c r="AI61" s="357"/>
    </row>
    <row r="62" spans="1:35" ht="40.049999999999997" customHeight="1" x14ac:dyDescent="0.3">
      <c r="A62" s="296" t="s">
        <v>195</v>
      </c>
      <c r="B62" s="915" t="s">
        <v>196</v>
      </c>
      <c r="C62" s="283"/>
      <c r="D62" s="284"/>
      <c r="E62" s="285"/>
      <c r="F62" s="285"/>
      <c r="G62" s="288"/>
      <c r="H62" s="285"/>
      <c r="I62" s="288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307"/>
      <c r="X62" s="285"/>
      <c r="Y62" s="307"/>
      <c r="Z62" s="285"/>
      <c r="AA62" s="286"/>
      <c r="AB62" s="287"/>
    </row>
    <row r="63" spans="1:35" ht="40.049999999999997" customHeight="1" x14ac:dyDescent="0.65">
      <c r="A63" s="308" t="s">
        <v>197</v>
      </c>
      <c r="B63" s="902" t="s">
        <v>139</v>
      </c>
      <c r="C63" s="283" t="s">
        <v>68</v>
      </c>
      <c r="D63" s="284"/>
      <c r="E63" s="285" t="s">
        <v>75</v>
      </c>
      <c r="F63" s="285"/>
      <c r="G63" s="285" t="s">
        <v>75</v>
      </c>
      <c r="H63" s="285"/>
      <c r="I63" s="285" t="s">
        <v>75</v>
      </c>
      <c r="J63" s="285"/>
      <c r="K63" s="285" t="s">
        <v>75</v>
      </c>
      <c r="L63" s="285"/>
      <c r="M63" s="285" t="s">
        <v>75</v>
      </c>
      <c r="N63" s="285"/>
      <c r="O63" s="285" t="s">
        <v>75</v>
      </c>
      <c r="P63" s="285"/>
      <c r="Q63" s="285" t="s">
        <v>68</v>
      </c>
      <c r="R63" s="285"/>
      <c r="S63" s="285" t="s">
        <v>75</v>
      </c>
      <c r="T63" s="285"/>
      <c r="U63" s="285" t="s">
        <v>75</v>
      </c>
      <c r="V63" s="285"/>
      <c r="W63" s="285" t="s">
        <v>75</v>
      </c>
      <c r="X63" s="285"/>
      <c r="Y63" s="285" t="s">
        <v>75</v>
      </c>
      <c r="Z63" s="285"/>
      <c r="AA63" s="286">
        <f>COUNTIF(C63:Z63,"&gt;=R")</f>
        <v>12</v>
      </c>
      <c r="AB63" s="287">
        <f>AA63</f>
        <v>12</v>
      </c>
      <c r="AC63" s="357"/>
      <c r="AD63" s="357"/>
      <c r="AE63" s="357"/>
      <c r="AF63" s="357"/>
      <c r="AG63" s="357"/>
      <c r="AH63" s="357"/>
      <c r="AI63" s="357"/>
    </row>
    <row r="64" spans="1:35" ht="40.049999999999997" customHeight="1" x14ac:dyDescent="0.65">
      <c r="A64" s="296" t="s">
        <v>198</v>
      </c>
      <c r="B64" s="915" t="s">
        <v>199</v>
      </c>
      <c r="C64" s="283"/>
      <c r="D64" s="284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  <c r="W64" s="285"/>
      <c r="X64" s="285"/>
      <c r="Y64" s="285"/>
      <c r="Z64" s="285"/>
      <c r="AA64" s="286"/>
      <c r="AB64" s="287"/>
      <c r="AC64" s="357"/>
      <c r="AD64" s="357"/>
      <c r="AE64" s="357"/>
      <c r="AF64" s="357"/>
      <c r="AG64" s="357"/>
      <c r="AH64" s="357"/>
      <c r="AI64" s="357"/>
    </row>
    <row r="65" spans="1:35" ht="40.049999999999997" customHeight="1" x14ac:dyDescent="0.3">
      <c r="A65" s="308" t="s">
        <v>200</v>
      </c>
      <c r="B65" s="902" t="s">
        <v>176</v>
      </c>
      <c r="C65" s="283"/>
      <c r="D65" s="284"/>
      <c r="E65" s="283" t="s">
        <v>67</v>
      </c>
      <c r="F65" s="285"/>
      <c r="G65" s="288" t="s">
        <v>56</v>
      </c>
      <c r="H65" s="285"/>
      <c r="I65" s="285" t="s">
        <v>47</v>
      </c>
      <c r="J65" s="285"/>
      <c r="K65" s="285" t="s">
        <v>47</v>
      </c>
      <c r="L65" s="285"/>
      <c r="M65" s="285" t="s">
        <v>47</v>
      </c>
      <c r="N65" s="285"/>
      <c r="O65" s="285" t="s">
        <v>47</v>
      </c>
      <c r="P65" s="285"/>
      <c r="Q65" s="285"/>
      <c r="R65" s="285"/>
      <c r="S65" s="285" t="s">
        <v>47</v>
      </c>
      <c r="T65" s="285"/>
      <c r="U65" s="288" t="s">
        <v>56</v>
      </c>
      <c r="V65" s="285"/>
      <c r="W65" s="288" t="s">
        <v>56</v>
      </c>
      <c r="X65" s="285"/>
      <c r="Y65" s="288" t="s">
        <v>67</v>
      </c>
      <c r="Z65" s="285"/>
      <c r="AA65" s="286">
        <f>COUNTIF(C65:Z65,"&gt;=R")</f>
        <v>10</v>
      </c>
      <c r="AB65" s="287">
        <f>AA65</f>
        <v>10</v>
      </c>
    </row>
    <row r="66" spans="1:35" ht="40.049999999999997" customHeight="1" x14ac:dyDescent="0.3">
      <c r="A66" s="296" t="s">
        <v>201</v>
      </c>
      <c r="B66" s="915" t="s">
        <v>202</v>
      </c>
      <c r="C66" s="283"/>
      <c r="D66" s="284"/>
      <c r="E66" s="285"/>
      <c r="F66" s="285"/>
      <c r="G66" s="288"/>
      <c r="H66" s="285"/>
      <c r="I66" s="288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  <c r="W66" s="285"/>
      <c r="X66" s="285"/>
      <c r="Y66" s="285"/>
      <c r="Z66" s="285"/>
      <c r="AA66" s="286"/>
      <c r="AB66" s="287"/>
    </row>
    <row r="67" spans="1:35" ht="40.049999999999997" customHeight="1" x14ac:dyDescent="0.3">
      <c r="A67" s="308" t="s">
        <v>203</v>
      </c>
      <c r="B67" s="902" t="s">
        <v>204</v>
      </c>
      <c r="C67" s="283"/>
      <c r="D67" s="284"/>
      <c r="E67" s="285" t="s">
        <v>67</v>
      </c>
      <c r="F67" s="285"/>
      <c r="G67" s="285" t="s">
        <v>67</v>
      </c>
      <c r="H67" s="285"/>
      <c r="I67" s="285" t="s">
        <v>47</v>
      </c>
      <c r="J67" s="285"/>
      <c r="K67" s="285" t="s">
        <v>47</v>
      </c>
      <c r="L67" s="285"/>
      <c r="M67" s="285" t="s">
        <v>47</v>
      </c>
      <c r="N67" s="285"/>
      <c r="O67" s="285" t="s">
        <v>47</v>
      </c>
      <c r="P67" s="285"/>
      <c r="Q67" s="307"/>
      <c r="R67" s="285"/>
      <c r="S67" s="307" t="s">
        <v>67</v>
      </c>
      <c r="T67" s="285"/>
      <c r="U67" s="307" t="s">
        <v>67</v>
      </c>
      <c r="V67" s="285"/>
      <c r="W67" s="307" t="s">
        <v>67</v>
      </c>
      <c r="X67" s="285"/>
      <c r="Y67" s="307" t="s">
        <v>67</v>
      </c>
      <c r="Z67" s="285"/>
      <c r="AA67" s="286">
        <f>COUNTIF(C67:Z67,"&gt;=R")</f>
        <v>10</v>
      </c>
      <c r="AB67" s="287">
        <f>AA67</f>
        <v>10</v>
      </c>
    </row>
    <row r="68" spans="1:35" ht="40.049999999999997" customHeight="1" x14ac:dyDescent="0.65">
      <c r="A68" s="289" t="s">
        <v>205</v>
      </c>
      <c r="B68" s="913" t="s">
        <v>206</v>
      </c>
      <c r="C68" s="291"/>
      <c r="D68" s="292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5"/>
      <c r="AC68" s="357"/>
      <c r="AD68" s="357"/>
      <c r="AE68" s="357"/>
      <c r="AF68" s="357"/>
      <c r="AG68" s="357"/>
      <c r="AH68" s="357"/>
      <c r="AI68" s="357"/>
    </row>
    <row r="69" spans="1:35" ht="40.049999999999997" customHeight="1" x14ac:dyDescent="0.3">
      <c r="A69" s="281" t="s">
        <v>207</v>
      </c>
      <c r="B69" s="900" t="s">
        <v>208</v>
      </c>
      <c r="C69" s="284"/>
      <c r="D69" s="284"/>
      <c r="E69" s="285" t="s">
        <v>27</v>
      </c>
      <c r="F69" s="285"/>
      <c r="G69" s="285" t="s">
        <v>37</v>
      </c>
      <c r="H69" s="285"/>
      <c r="I69" s="285" t="s">
        <v>27</v>
      </c>
      <c r="J69" s="285"/>
      <c r="K69" s="285" t="s">
        <v>27</v>
      </c>
      <c r="L69" s="285"/>
      <c r="M69" s="285" t="s">
        <v>27</v>
      </c>
      <c r="N69" s="285"/>
      <c r="O69" s="285" t="s">
        <v>27</v>
      </c>
      <c r="P69" s="285"/>
      <c r="Q69" s="285"/>
      <c r="R69" s="285"/>
      <c r="S69" s="285" t="s">
        <v>27</v>
      </c>
      <c r="T69" s="285"/>
      <c r="U69" s="285" t="s">
        <v>27</v>
      </c>
      <c r="V69" s="285"/>
      <c r="W69" s="285" t="s">
        <v>27</v>
      </c>
      <c r="X69" s="285"/>
      <c r="Y69" s="285" t="s">
        <v>37</v>
      </c>
      <c r="Z69" s="285"/>
      <c r="AA69" s="286">
        <f>COUNTIF(C69:Z69,"&gt;=R")</f>
        <v>10</v>
      </c>
      <c r="AB69" s="287">
        <f>AA69</f>
        <v>10</v>
      </c>
    </row>
    <row r="70" spans="1:35" ht="40.049999999999997" customHeight="1" x14ac:dyDescent="0.3">
      <c r="A70" s="289" t="s">
        <v>209</v>
      </c>
      <c r="B70" s="913" t="s">
        <v>210</v>
      </c>
      <c r="C70" s="291"/>
      <c r="D70" s="292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5"/>
    </row>
    <row r="71" spans="1:35" ht="40.049999999999997" customHeight="1" x14ac:dyDescent="0.3">
      <c r="A71" s="281" t="s">
        <v>211</v>
      </c>
      <c r="B71" s="900" t="s">
        <v>212</v>
      </c>
      <c r="C71" s="283"/>
      <c r="D71" s="284"/>
      <c r="E71" s="285" t="s">
        <v>38</v>
      </c>
      <c r="F71" s="285"/>
      <c r="G71" s="285" t="s">
        <v>38</v>
      </c>
      <c r="H71" s="285"/>
      <c r="I71" s="285" t="s">
        <v>38</v>
      </c>
      <c r="J71" s="285"/>
      <c r="K71" s="285" t="s">
        <v>18</v>
      </c>
      <c r="L71" s="285"/>
      <c r="M71" s="285" t="s">
        <v>38</v>
      </c>
      <c r="N71" s="285"/>
      <c r="O71" s="285" t="s">
        <v>38</v>
      </c>
      <c r="P71" s="285"/>
      <c r="Q71" s="285"/>
      <c r="R71" s="285"/>
      <c r="S71" s="285" t="s">
        <v>38</v>
      </c>
      <c r="T71" s="285"/>
      <c r="U71" s="285" t="s">
        <v>38</v>
      </c>
      <c r="V71" s="285"/>
      <c r="W71" s="285" t="s">
        <v>38</v>
      </c>
      <c r="X71" s="285"/>
      <c r="Y71" s="285" t="s">
        <v>38</v>
      </c>
      <c r="Z71" s="285"/>
      <c r="AA71" s="286">
        <f>COUNTIF(C71:Z71,"&gt;=R")</f>
        <v>10</v>
      </c>
      <c r="AB71" s="287">
        <f>AA71</f>
        <v>10</v>
      </c>
    </row>
    <row r="72" spans="1:35" ht="40.049999999999997" customHeight="1" x14ac:dyDescent="0.3">
      <c r="A72" s="281" t="s">
        <v>213</v>
      </c>
      <c r="B72" s="900" t="s">
        <v>214</v>
      </c>
      <c r="C72" s="283"/>
      <c r="D72" s="284"/>
      <c r="E72" s="299" t="s">
        <v>68</v>
      </c>
      <c r="F72" s="285"/>
      <c r="G72" s="285" t="s">
        <v>68</v>
      </c>
      <c r="H72" s="285"/>
      <c r="I72" s="285" t="s">
        <v>77</v>
      </c>
      <c r="J72" s="285"/>
      <c r="K72" s="285" t="s">
        <v>77</v>
      </c>
      <c r="L72" s="285"/>
      <c r="M72" s="288" t="s">
        <v>77</v>
      </c>
      <c r="N72" s="285"/>
      <c r="O72" s="285" t="s">
        <v>77</v>
      </c>
      <c r="P72" s="285"/>
      <c r="Q72" s="285"/>
      <c r="R72" s="285"/>
      <c r="S72" s="285" t="s">
        <v>77</v>
      </c>
      <c r="T72" s="285"/>
      <c r="U72" s="285" t="s">
        <v>77</v>
      </c>
      <c r="V72" s="285"/>
      <c r="W72" s="285" t="s">
        <v>85</v>
      </c>
      <c r="X72" s="285"/>
      <c r="Y72" s="285" t="s">
        <v>77</v>
      </c>
      <c r="Z72" s="285"/>
      <c r="AA72" s="286">
        <f>COUNTIF(C72:Z72,"&gt;=R")</f>
        <v>10</v>
      </c>
      <c r="AB72" s="287">
        <f>AA72</f>
        <v>10</v>
      </c>
    </row>
    <row r="73" spans="1:35" ht="40.049999999999997" customHeight="1" x14ac:dyDescent="0.65">
      <c r="A73" s="289" t="s">
        <v>215</v>
      </c>
      <c r="B73" s="913" t="s">
        <v>216</v>
      </c>
      <c r="C73" s="291"/>
      <c r="D73" s="292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5"/>
      <c r="AC73" s="357"/>
      <c r="AD73" s="357"/>
      <c r="AE73" s="357"/>
      <c r="AF73" s="357"/>
      <c r="AG73" s="357"/>
      <c r="AH73" s="357"/>
      <c r="AI73" s="357"/>
    </row>
    <row r="74" spans="1:35" ht="40.049999999999997" customHeight="1" x14ac:dyDescent="0.3">
      <c r="A74" s="281" t="s">
        <v>217</v>
      </c>
      <c r="B74" s="900" t="s">
        <v>218</v>
      </c>
      <c r="C74" s="283"/>
      <c r="D74" s="284"/>
      <c r="E74" s="283" t="s">
        <v>85</v>
      </c>
      <c r="F74" s="285"/>
      <c r="G74" s="283" t="s">
        <v>85</v>
      </c>
      <c r="H74" s="285"/>
      <c r="I74" s="283" t="s">
        <v>85</v>
      </c>
      <c r="J74" s="285"/>
      <c r="K74" s="285" t="s">
        <v>85</v>
      </c>
      <c r="L74" s="285"/>
      <c r="M74" s="285" t="s">
        <v>85</v>
      </c>
      <c r="N74" s="285"/>
      <c r="O74" s="285" t="s">
        <v>85</v>
      </c>
      <c r="P74" s="285"/>
      <c r="Q74" s="285"/>
      <c r="R74" s="285"/>
      <c r="S74" s="285" t="s">
        <v>85</v>
      </c>
      <c r="T74" s="288"/>
      <c r="U74" s="285" t="s">
        <v>85</v>
      </c>
      <c r="V74" s="288"/>
      <c r="W74" s="285" t="s">
        <v>85</v>
      </c>
      <c r="X74" s="288"/>
      <c r="Y74" s="307" t="s">
        <v>85</v>
      </c>
      <c r="Z74" s="285"/>
      <c r="AA74" s="286">
        <f>COUNTIF(C74:Z74,"&gt;=R")</f>
        <v>10</v>
      </c>
      <c r="AB74" s="287">
        <f>AA74</f>
        <v>10</v>
      </c>
    </row>
    <row r="75" spans="1:35" ht="40.049999999999997" customHeight="1" x14ac:dyDescent="0.65">
      <c r="A75" s="289" t="s">
        <v>219</v>
      </c>
      <c r="B75" s="913" t="s">
        <v>220</v>
      </c>
      <c r="C75" s="291"/>
      <c r="D75" s="292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3"/>
      <c r="W75" s="293"/>
      <c r="X75" s="293"/>
      <c r="Y75" s="293"/>
      <c r="Z75" s="293"/>
      <c r="AA75" s="293"/>
      <c r="AB75" s="295"/>
      <c r="AC75" s="357"/>
      <c r="AD75" s="357"/>
      <c r="AE75" s="357"/>
      <c r="AF75" s="357"/>
      <c r="AG75" s="357"/>
      <c r="AH75" s="357"/>
      <c r="AI75" s="357"/>
    </row>
    <row r="76" spans="1:35" ht="40.049999999999997" customHeight="1" x14ac:dyDescent="0.3">
      <c r="A76" s="281" t="s">
        <v>221</v>
      </c>
      <c r="B76" s="900" t="s">
        <v>222</v>
      </c>
      <c r="C76" s="284" t="s">
        <v>38</v>
      </c>
      <c r="D76" s="284"/>
      <c r="E76" s="735" t="s">
        <v>91</v>
      </c>
      <c r="F76" s="285"/>
      <c r="G76" s="285" t="s">
        <v>91</v>
      </c>
      <c r="H76" s="285"/>
      <c r="I76" s="285" t="s">
        <v>91</v>
      </c>
      <c r="J76" s="285"/>
      <c r="K76" s="285" t="s">
        <v>91</v>
      </c>
      <c r="L76" s="285"/>
      <c r="M76" s="285" t="s">
        <v>91</v>
      </c>
      <c r="N76" s="285"/>
      <c r="O76" s="285" t="s">
        <v>91</v>
      </c>
      <c r="P76" s="285"/>
      <c r="Q76" s="285"/>
      <c r="R76" s="285"/>
      <c r="S76" s="285" t="s">
        <v>91</v>
      </c>
      <c r="T76" s="285"/>
      <c r="U76" s="285" t="s">
        <v>91</v>
      </c>
      <c r="V76" s="285"/>
      <c r="W76" s="285" t="s">
        <v>91</v>
      </c>
      <c r="X76" s="285"/>
      <c r="Y76" s="285" t="s">
        <v>91</v>
      </c>
      <c r="Z76" s="285"/>
      <c r="AA76" s="286">
        <f t="shared" ref="AA76:AA82" si="4">COUNTIF(C76:Z76,"&gt;=R")</f>
        <v>11</v>
      </c>
      <c r="AB76" s="287">
        <f t="shared" ref="AB76:AB82" si="5">AA76</f>
        <v>11</v>
      </c>
    </row>
    <row r="77" spans="1:35" ht="40.049999999999997" customHeight="1" x14ac:dyDescent="0.3">
      <c r="A77" s="300" t="s">
        <v>223</v>
      </c>
      <c r="B77" s="914" t="s">
        <v>224</v>
      </c>
      <c r="C77" s="283"/>
      <c r="D77" s="284"/>
      <c r="E77" s="285"/>
      <c r="F77" s="285"/>
      <c r="G77" s="285"/>
      <c r="H77" s="285"/>
      <c r="I77" s="285"/>
      <c r="J77" s="285"/>
      <c r="K77" s="285"/>
      <c r="L77" s="285"/>
      <c r="M77" s="285"/>
      <c r="N77" s="285"/>
      <c r="O77" s="285"/>
      <c r="P77" s="285"/>
      <c r="Q77" s="285"/>
      <c r="R77" s="285"/>
      <c r="S77" s="285"/>
      <c r="T77" s="285"/>
      <c r="U77" s="285"/>
      <c r="V77" s="285"/>
      <c r="W77" s="285"/>
      <c r="X77" s="285"/>
      <c r="Y77" s="285"/>
      <c r="Z77" s="285"/>
      <c r="AA77" s="286">
        <f t="shared" si="4"/>
        <v>0</v>
      </c>
      <c r="AB77" s="287">
        <f t="shared" si="5"/>
        <v>0</v>
      </c>
    </row>
    <row r="78" spans="1:35" ht="40.049999999999997" customHeight="1" x14ac:dyDescent="0.3">
      <c r="A78" s="281" t="s">
        <v>225</v>
      </c>
      <c r="B78" s="900" t="s">
        <v>226</v>
      </c>
      <c r="C78" s="284" t="s">
        <v>38</v>
      </c>
      <c r="D78" s="284"/>
      <c r="E78" s="735" t="s">
        <v>91</v>
      </c>
      <c r="F78" s="285"/>
      <c r="G78" s="735" t="s">
        <v>91</v>
      </c>
      <c r="H78" s="285"/>
      <c r="I78" s="285" t="s">
        <v>91</v>
      </c>
      <c r="J78" s="285"/>
      <c r="K78" s="285" t="s">
        <v>91</v>
      </c>
      <c r="L78" s="285"/>
      <c r="M78" s="285" t="s">
        <v>91</v>
      </c>
      <c r="N78" s="285"/>
      <c r="O78" s="285" t="s">
        <v>91</v>
      </c>
      <c r="P78" s="285"/>
      <c r="Q78" s="285"/>
      <c r="R78" s="285"/>
      <c r="S78" s="285" t="s">
        <v>91</v>
      </c>
      <c r="T78" s="285"/>
      <c r="U78" s="285" t="s">
        <v>91</v>
      </c>
      <c r="V78" s="285"/>
      <c r="W78" s="285" t="s">
        <v>91</v>
      </c>
      <c r="X78" s="285"/>
      <c r="Y78" s="285" t="s">
        <v>91</v>
      </c>
      <c r="Z78" s="285"/>
      <c r="AA78" s="286">
        <f t="shared" si="4"/>
        <v>11</v>
      </c>
      <c r="AB78" s="287">
        <f t="shared" si="5"/>
        <v>11</v>
      </c>
    </row>
    <row r="79" spans="1:35" ht="40.049999999999997" customHeight="1" x14ac:dyDescent="0.65">
      <c r="A79" s="281" t="s">
        <v>227</v>
      </c>
      <c r="B79" s="900" t="s">
        <v>228</v>
      </c>
      <c r="C79" s="283"/>
      <c r="D79" s="284"/>
      <c r="E79" s="283"/>
      <c r="F79" s="285"/>
      <c r="G79" s="283"/>
      <c r="H79" s="285"/>
      <c r="I79" s="283"/>
      <c r="J79" s="285"/>
      <c r="K79" s="283"/>
      <c r="L79" s="285"/>
      <c r="M79" s="283"/>
      <c r="N79" s="285"/>
      <c r="O79" s="283"/>
      <c r="P79" s="285"/>
      <c r="Q79" s="283"/>
      <c r="R79" s="285"/>
      <c r="S79" s="283"/>
      <c r="T79" s="285"/>
      <c r="U79" s="283"/>
      <c r="V79" s="285"/>
      <c r="W79" s="283"/>
      <c r="X79" s="285"/>
      <c r="Y79" s="283"/>
      <c r="Z79" s="285"/>
      <c r="AA79" s="286">
        <f t="shared" si="4"/>
        <v>0</v>
      </c>
      <c r="AB79" s="287">
        <f t="shared" si="5"/>
        <v>0</v>
      </c>
      <c r="AC79" s="357"/>
      <c r="AD79" s="357"/>
      <c r="AE79" s="357"/>
      <c r="AF79" s="357"/>
      <c r="AG79" s="357"/>
      <c r="AH79" s="357"/>
      <c r="AI79" s="357"/>
    </row>
    <row r="80" spans="1:35" ht="40.049999999999997" customHeight="1" x14ac:dyDescent="0.3">
      <c r="A80" s="281" t="s">
        <v>229</v>
      </c>
      <c r="B80" s="900" t="s">
        <v>230</v>
      </c>
      <c r="C80" s="283"/>
      <c r="D80" s="284"/>
      <c r="E80" s="283"/>
      <c r="F80" s="285"/>
      <c r="G80" s="283"/>
      <c r="H80" s="285"/>
      <c r="I80" s="283"/>
      <c r="J80" s="285"/>
      <c r="K80" s="283"/>
      <c r="L80" s="285"/>
      <c r="M80" s="283"/>
      <c r="N80" s="285"/>
      <c r="O80" s="283"/>
      <c r="P80" s="285"/>
      <c r="Q80" s="283"/>
      <c r="R80" s="285"/>
      <c r="S80" s="283"/>
      <c r="T80" s="285"/>
      <c r="U80" s="283"/>
      <c r="V80" s="285"/>
      <c r="W80" s="283"/>
      <c r="X80" s="285"/>
      <c r="Y80" s="283"/>
      <c r="Z80" s="285"/>
      <c r="AA80" s="286">
        <f t="shared" si="4"/>
        <v>0</v>
      </c>
      <c r="AB80" s="287">
        <f t="shared" si="5"/>
        <v>0</v>
      </c>
    </row>
    <row r="81" spans="1:35" ht="40.049999999999997" customHeight="1" x14ac:dyDescent="0.65">
      <c r="A81" s="281" t="s">
        <v>231</v>
      </c>
      <c r="B81" s="900" t="s">
        <v>232</v>
      </c>
      <c r="C81" s="283" t="s">
        <v>38</v>
      </c>
      <c r="D81" s="283"/>
      <c r="E81" s="307" t="s">
        <v>37</v>
      </c>
      <c r="F81" s="285"/>
      <c r="G81" s="285" t="s">
        <v>37</v>
      </c>
      <c r="H81" s="285"/>
      <c r="I81" s="285" t="s">
        <v>37</v>
      </c>
      <c r="J81" s="285"/>
      <c r="K81" s="285" t="s">
        <v>37</v>
      </c>
      <c r="L81" s="285"/>
      <c r="M81" s="285" t="s">
        <v>37</v>
      </c>
      <c r="N81" s="285"/>
      <c r="O81" s="285" t="s">
        <v>37</v>
      </c>
      <c r="P81" s="285"/>
      <c r="Q81" s="285"/>
      <c r="R81" s="285"/>
      <c r="S81" s="285" t="s">
        <v>37</v>
      </c>
      <c r="T81" s="285"/>
      <c r="U81" s="285" t="s">
        <v>37</v>
      </c>
      <c r="V81" s="285"/>
      <c r="W81" s="285" t="s">
        <v>37</v>
      </c>
      <c r="X81" s="285"/>
      <c r="Y81" s="285" t="s">
        <v>37</v>
      </c>
      <c r="Z81" s="285"/>
      <c r="AA81" s="286">
        <f t="shared" si="4"/>
        <v>11</v>
      </c>
      <c r="AB81" s="287">
        <f t="shared" si="5"/>
        <v>11</v>
      </c>
      <c r="AC81" s="357"/>
      <c r="AD81" s="357"/>
      <c r="AE81" s="357"/>
      <c r="AF81" s="357"/>
      <c r="AG81" s="357"/>
      <c r="AH81" s="357"/>
      <c r="AI81" s="357"/>
    </row>
    <row r="82" spans="1:35" ht="40.049999999999997" customHeight="1" x14ac:dyDescent="0.65">
      <c r="A82" s="357" t="s">
        <v>233</v>
      </c>
      <c r="B82" s="903" t="s">
        <v>234</v>
      </c>
      <c r="C82" s="283" t="s">
        <v>38</v>
      </c>
      <c r="D82" s="284"/>
      <c r="E82" s="735" t="s">
        <v>91</v>
      </c>
      <c r="F82" s="285"/>
      <c r="G82" s="735" t="s">
        <v>91</v>
      </c>
      <c r="H82" s="285"/>
      <c r="I82" s="285" t="s">
        <v>91</v>
      </c>
      <c r="J82" s="285"/>
      <c r="K82" s="285" t="s">
        <v>91</v>
      </c>
      <c r="L82" s="285"/>
      <c r="M82" s="285" t="s">
        <v>91</v>
      </c>
      <c r="N82" s="285"/>
      <c r="O82" s="285" t="s">
        <v>91</v>
      </c>
      <c r="P82" s="285"/>
      <c r="Q82" s="285"/>
      <c r="R82" s="285"/>
      <c r="S82" s="285" t="s">
        <v>91</v>
      </c>
      <c r="T82" s="285"/>
      <c r="U82" s="285" t="s">
        <v>91</v>
      </c>
      <c r="V82" s="285"/>
      <c r="W82" s="285" t="s">
        <v>91</v>
      </c>
      <c r="X82" s="285"/>
      <c r="Y82" s="285" t="s">
        <v>91</v>
      </c>
      <c r="Z82" s="285"/>
      <c r="AA82" s="286">
        <f t="shared" si="4"/>
        <v>11</v>
      </c>
      <c r="AB82" s="287">
        <f t="shared" si="5"/>
        <v>11</v>
      </c>
    </row>
    <row r="83" spans="1:35" ht="40.049999999999997" customHeight="1" x14ac:dyDescent="0.3">
      <c r="A83" s="289" t="s">
        <v>235</v>
      </c>
      <c r="B83" s="913" t="s">
        <v>236</v>
      </c>
      <c r="C83" s="291"/>
      <c r="D83" s="292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/>
      <c r="W83" s="293"/>
      <c r="X83" s="293"/>
      <c r="Y83" s="293"/>
      <c r="Z83" s="293"/>
      <c r="AA83" s="293"/>
      <c r="AB83" s="295"/>
    </row>
    <row r="84" spans="1:35" ht="40.049999999999997" customHeight="1" x14ac:dyDescent="0.3">
      <c r="A84" s="296" t="s">
        <v>237</v>
      </c>
      <c r="B84" s="915" t="s">
        <v>238</v>
      </c>
      <c r="C84" s="283"/>
      <c r="D84" s="283"/>
      <c r="E84" s="299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5"/>
      <c r="V84" s="285"/>
      <c r="W84" s="285"/>
      <c r="X84" s="285"/>
      <c r="Y84" s="285"/>
      <c r="Z84" s="285"/>
      <c r="AA84" s="286"/>
      <c r="AB84" s="287"/>
    </row>
    <row r="85" spans="1:35" ht="40.049999999999997" customHeight="1" x14ac:dyDescent="0.65">
      <c r="A85" s="281" t="s">
        <v>239</v>
      </c>
      <c r="B85" s="900" t="s">
        <v>139</v>
      </c>
      <c r="C85" s="284"/>
      <c r="D85" s="283"/>
      <c r="E85" s="285"/>
      <c r="F85" s="285"/>
      <c r="G85" s="285"/>
      <c r="H85" s="285"/>
      <c r="I85" s="285"/>
      <c r="J85" s="285"/>
      <c r="K85" s="285"/>
      <c r="L85" s="285"/>
      <c r="M85" s="285" t="s">
        <v>77</v>
      </c>
      <c r="N85" s="285"/>
      <c r="O85" s="285" t="s">
        <v>77</v>
      </c>
      <c r="P85" s="285"/>
      <c r="Q85" s="285"/>
      <c r="R85" s="285"/>
      <c r="S85" s="285" t="s">
        <v>77</v>
      </c>
      <c r="T85" s="285"/>
      <c r="U85" s="285"/>
      <c r="V85" s="285"/>
      <c r="W85" s="285"/>
      <c r="X85" s="285"/>
      <c r="Y85" s="283"/>
      <c r="Z85" s="285"/>
      <c r="AA85" s="286">
        <f>COUNTIF(C85:Z85,"&gt;=R")</f>
        <v>3</v>
      </c>
      <c r="AB85" s="287">
        <f>AA85</f>
        <v>3</v>
      </c>
      <c r="AC85" s="357"/>
      <c r="AD85" s="357"/>
      <c r="AE85" s="357"/>
      <c r="AF85" s="357"/>
      <c r="AG85" s="357"/>
      <c r="AH85" s="357"/>
      <c r="AI85" s="357"/>
    </row>
    <row r="86" spans="1:35" ht="40.049999999999997" customHeight="1" x14ac:dyDescent="0.3">
      <c r="A86" s="296" t="s">
        <v>240</v>
      </c>
      <c r="B86" s="915" t="s">
        <v>241</v>
      </c>
      <c r="C86" s="283"/>
      <c r="D86" s="283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5"/>
      <c r="V86" s="285"/>
      <c r="W86" s="285"/>
      <c r="X86" s="285"/>
      <c r="Y86" s="285"/>
      <c r="Z86" s="285"/>
      <c r="AA86" s="286"/>
      <c r="AB86" s="287"/>
    </row>
    <row r="87" spans="1:35" ht="40.049999999999997" customHeight="1" x14ac:dyDescent="0.3">
      <c r="A87" s="308" t="s">
        <v>242</v>
      </c>
      <c r="B87" s="902" t="s">
        <v>243</v>
      </c>
      <c r="C87" s="284"/>
      <c r="D87" s="283"/>
      <c r="E87" s="285"/>
      <c r="F87" s="285"/>
      <c r="G87" s="285"/>
      <c r="H87" s="285"/>
      <c r="I87" s="285"/>
      <c r="J87" s="285"/>
      <c r="K87" s="285"/>
      <c r="L87" s="285"/>
      <c r="M87" s="285" t="s">
        <v>77</v>
      </c>
      <c r="N87" s="285"/>
      <c r="O87" s="285" t="s">
        <v>77</v>
      </c>
      <c r="P87" s="285"/>
      <c r="Q87" s="285"/>
      <c r="R87" s="285"/>
      <c r="S87" s="285" t="s">
        <v>77</v>
      </c>
      <c r="T87" s="285"/>
      <c r="U87" s="285"/>
      <c r="V87" s="285"/>
      <c r="W87" s="285"/>
      <c r="X87" s="285"/>
      <c r="Y87" s="283"/>
      <c r="Z87" s="285"/>
      <c r="AA87" s="286">
        <f>COUNTIF(C87:Z87,"&gt;=R")</f>
        <v>3</v>
      </c>
      <c r="AB87" s="287">
        <f>AA87</f>
        <v>3</v>
      </c>
    </row>
    <row r="88" spans="1:35" ht="40.049999999999997" customHeight="1" x14ac:dyDescent="0.3">
      <c r="A88" s="308" t="s">
        <v>244</v>
      </c>
      <c r="B88" s="902" t="s">
        <v>245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5"/>
      <c r="Z88" s="285"/>
      <c r="AA88" s="286">
        <f>COUNTIF(C88:Z88,"&gt;=R")</f>
        <v>0</v>
      </c>
      <c r="AB88" s="287">
        <f>AA88</f>
        <v>0</v>
      </c>
    </row>
    <row r="89" spans="1:35" ht="40.049999999999997" customHeight="1" x14ac:dyDescent="0.3">
      <c r="A89" s="296" t="s">
        <v>246</v>
      </c>
      <c r="B89" s="915" t="s">
        <v>247</v>
      </c>
      <c r="C89" s="283"/>
      <c r="D89" s="283"/>
      <c r="E89" s="299"/>
      <c r="F89" s="285"/>
      <c r="G89" s="285"/>
      <c r="H89" s="285"/>
      <c r="I89" s="285"/>
      <c r="J89" s="285"/>
      <c r="K89" s="285"/>
      <c r="L89" s="285"/>
      <c r="M89" s="307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5"/>
      <c r="Z89" s="285"/>
      <c r="AA89" s="286"/>
      <c r="AB89" s="287"/>
    </row>
    <row r="90" spans="1:35" ht="40.049999999999997" customHeight="1" x14ac:dyDescent="0.3">
      <c r="A90" s="308" t="s">
        <v>248</v>
      </c>
      <c r="B90" s="902" t="s">
        <v>249</v>
      </c>
      <c r="C90" s="284"/>
      <c r="D90" s="283"/>
      <c r="E90" s="285" t="s">
        <v>18</v>
      </c>
      <c r="F90" s="285"/>
      <c r="G90" s="285" t="s">
        <v>68</v>
      </c>
      <c r="H90" s="285"/>
      <c r="I90" s="285" t="s">
        <v>68</v>
      </c>
      <c r="J90" s="285"/>
      <c r="K90" s="285" t="s">
        <v>68</v>
      </c>
      <c r="L90" s="285"/>
      <c r="M90" s="285" t="s">
        <v>68</v>
      </c>
      <c r="N90" s="285"/>
      <c r="O90" s="285" t="s">
        <v>68</v>
      </c>
      <c r="P90" s="285"/>
      <c r="Q90" s="285"/>
      <c r="R90" s="285"/>
      <c r="S90" s="285" t="s">
        <v>18</v>
      </c>
      <c r="T90" s="285"/>
      <c r="U90" s="285" t="s">
        <v>18</v>
      </c>
      <c r="V90" s="285"/>
      <c r="W90" s="285" t="s">
        <v>18</v>
      </c>
      <c r="X90" s="285"/>
      <c r="Y90" s="283" t="s">
        <v>18</v>
      </c>
      <c r="Z90" s="285"/>
      <c r="AA90" s="286">
        <f>COUNTIF(C90:Z90,"&gt;=R")</f>
        <v>10</v>
      </c>
      <c r="AB90" s="287">
        <f>AA90</f>
        <v>10</v>
      </c>
    </row>
    <row r="91" spans="1:35" ht="40.049999999999997" customHeight="1" x14ac:dyDescent="0.3">
      <c r="A91" s="308" t="s">
        <v>250</v>
      </c>
      <c r="B91" s="902" t="s">
        <v>251</v>
      </c>
      <c r="C91" s="284"/>
      <c r="D91" s="283"/>
      <c r="E91" s="285" t="s">
        <v>18</v>
      </c>
      <c r="F91" s="285"/>
      <c r="G91" s="285" t="s">
        <v>68</v>
      </c>
      <c r="H91" s="285"/>
      <c r="I91" s="285" t="s">
        <v>68</v>
      </c>
      <c r="J91" s="285"/>
      <c r="K91" s="285" t="s">
        <v>68</v>
      </c>
      <c r="L91" s="285"/>
      <c r="M91" s="285" t="s">
        <v>68</v>
      </c>
      <c r="N91" s="285"/>
      <c r="O91" s="285" t="s">
        <v>68</v>
      </c>
      <c r="P91" s="285"/>
      <c r="Q91" s="285"/>
      <c r="R91" s="285"/>
      <c r="S91" s="285" t="s">
        <v>18</v>
      </c>
      <c r="T91" s="285"/>
      <c r="U91" s="285" t="s">
        <v>18</v>
      </c>
      <c r="V91" s="285"/>
      <c r="W91" s="285" t="s">
        <v>18</v>
      </c>
      <c r="X91" s="285"/>
      <c r="Y91" s="283" t="s">
        <v>18</v>
      </c>
      <c r="Z91" s="285"/>
      <c r="AA91" s="286">
        <f>COUNTIF(C91:Z91,"&gt;=R")</f>
        <v>10</v>
      </c>
      <c r="AB91" s="287">
        <f>AA91</f>
        <v>10</v>
      </c>
    </row>
    <row r="92" spans="1:35" ht="40.049999999999997" customHeight="1" x14ac:dyDescent="0.65">
      <c r="A92" s="296" t="s">
        <v>252</v>
      </c>
      <c r="B92" s="915" t="s">
        <v>253</v>
      </c>
      <c r="C92" s="283"/>
      <c r="D92" s="283"/>
      <c r="E92" s="299"/>
      <c r="F92" s="285"/>
      <c r="G92" s="288"/>
      <c r="H92" s="285"/>
      <c r="I92" s="288"/>
      <c r="J92" s="285"/>
      <c r="K92" s="285"/>
      <c r="L92" s="285"/>
      <c r="M92" s="285"/>
      <c r="N92" s="285"/>
      <c r="O92" s="285"/>
      <c r="P92" s="285"/>
      <c r="Q92" s="285"/>
      <c r="R92" s="285"/>
      <c r="S92" s="285"/>
      <c r="T92" s="285"/>
      <c r="U92" s="285"/>
      <c r="V92" s="285"/>
      <c r="W92" s="285"/>
      <c r="X92" s="285"/>
      <c r="Y92" s="285"/>
      <c r="Z92" s="285"/>
      <c r="AA92" s="286"/>
      <c r="AB92" s="287"/>
      <c r="AC92" s="357"/>
      <c r="AD92" s="357"/>
      <c r="AE92" s="357"/>
      <c r="AF92" s="357"/>
      <c r="AG92" s="357"/>
      <c r="AH92" s="357"/>
      <c r="AI92" s="357"/>
    </row>
    <row r="93" spans="1:35" ht="40.049999999999997" customHeight="1" x14ac:dyDescent="0.65">
      <c r="A93" s="281" t="s">
        <v>254</v>
      </c>
      <c r="B93" s="900" t="s">
        <v>255</v>
      </c>
      <c r="C93" s="283"/>
      <c r="D93" s="283"/>
      <c r="E93" s="283"/>
      <c r="F93" s="285"/>
      <c r="G93" s="283"/>
      <c r="H93" s="285"/>
      <c r="I93" s="283" t="s">
        <v>68</v>
      </c>
      <c r="J93" s="285"/>
      <c r="K93" s="283" t="s">
        <v>68</v>
      </c>
      <c r="L93" s="285"/>
      <c r="M93" s="283" t="s">
        <v>77</v>
      </c>
      <c r="N93" s="285"/>
      <c r="O93" s="283" t="s">
        <v>68</v>
      </c>
      <c r="P93" s="285"/>
      <c r="Q93" s="283"/>
      <c r="R93" s="285"/>
      <c r="S93" s="283" t="s">
        <v>77</v>
      </c>
      <c r="T93" s="285"/>
      <c r="U93" s="283"/>
      <c r="V93" s="285"/>
      <c r="W93" s="283"/>
      <c r="X93" s="285"/>
      <c r="Y93" s="283"/>
      <c r="Z93" s="285"/>
      <c r="AA93" s="286">
        <f>COUNTIF(C93:Z93,"&gt;=R")</f>
        <v>5</v>
      </c>
      <c r="AB93" s="287">
        <f>AA93</f>
        <v>5</v>
      </c>
      <c r="AC93" s="357"/>
      <c r="AD93" s="357"/>
      <c r="AE93" s="357"/>
      <c r="AF93" s="357"/>
      <c r="AG93" s="357"/>
      <c r="AH93" s="357"/>
      <c r="AI93" s="357"/>
    </row>
    <row r="94" spans="1:35" ht="40.049999999999997" customHeight="1" x14ac:dyDescent="0.3">
      <c r="A94" s="281" t="s">
        <v>256</v>
      </c>
      <c r="B94" s="900" t="s">
        <v>257</v>
      </c>
      <c r="C94" s="283"/>
      <c r="D94" s="284"/>
      <c r="E94" s="283"/>
      <c r="F94" s="285"/>
      <c r="G94" s="283"/>
      <c r="H94" s="285"/>
      <c r="I94" s="283"/>
      <c r="J94" s="285"/>
      <c r="K94" s="283"/>
      <c r="L94" s="285"/>
      <c r="M94" s="283" t="s">
        <v>77</v>
      </c>
      <c r="N94" s="285"/>
      <c r="O94" s="283" t="s">
        <v>77</v>
      </c>
      <c r="P94" s="285"/>
      <c r="Q94" s="283"/>
      <c r="R94" s="285"/>
      <c r="S94" s="283" t="s">
        <v>77</v>
      </c>
      <c r="T94" s="285"/>
      <c r="U94" s="283"/>
      <c r="V94" s="285"/>
      <c r="W94" s="283"/>
      <c r="X94" s="285"/>
      <c r="Y94" s="283"/>
      <c r="Z94" s="285"/>
      <c r="AA94" s="286">
        <f>COUNTIF(C94:Z94,"&gt;=R")</f>
        <v>3</v>
      </c>
      <c r="AB94" s="287">
        <f>AA94</f>
        <v>3</v>
      </c>
    </row>
    <row r="95" spans="1:35" ht="40.049999999999997" customHeight="1" x14ac:dyDescent="0.65">
      <c r="A95" s="281" t="s">
        <v>258</v>
      </c>
      <c r="B95" s="900" t="s">
        <v>259</v>
      </c>
      <c r="C95" s="283"/>
      <c r="D95" s="284"/>
      <c r="E95" s="283"/>
      <c r="F95" s="285"/>
      <c r="G95" s="283"/>
      <c r="H95" s="285"/>
      <c r="I95" s="283"/>
      <c r="J95" s="285"/>
      <c r="K95" s="283"/>
      <c r="L95" s="285"/>
      <c r="M95" s="283" t="s">
        <v>77</v>
      </c>
      <c r="N95" s="285"/>
      <c r="O95" s="283" t="s">
        <v>77</v>
      </c>
      <c r="P95" s="285"/>
      <c r="Q95" s="283"/>
      <c r="R95" s="285"/>
      <c r="S95" s="283" t="s">
        <v>77</v>
      </c>
      <c r="T95" s="285"/>
      <c r="U95" s="283"/>
      <c r="V95" s="285"/>
      <c r="W95" s="283"/>
      <c r="X95" s="285"/>
      <c r="Y95" s="283"/>
      <c r="Z95" s="285"/>
      <c r="AA95" s="286">
        <f>COUNTIF(C95:Z95,"&gt;=R")</f>
        <v>3</v>
      </c>
      <c r="AB95" s="287">
        <f>AA95</f>
        <v>3</v>
      </c>
      <c r="AC95" s="357"/>
      <c r="AD95" s="357"/>
      <c r="AE95" s="357"/>
      <c r="AF95" s="357"/>
      <c r="AG95" s="357"/>
      <c r="AH95" s="357"/>
      <c r="AI95" s="357"/>
    </row>
    <row r="96" spans="1:35" ht="40.049999999999997" customHeight="1" x14ac:dyDescent="0.65">
      <c r="A96" s="281" t="s">
        <v>260</v>
      </c>
      <c r="B96" s="900" t="s">
        <v>261</v>
      </c>
      <c r="C96" s="283"/>
      <c r="D96" s="284"/>
      <c r="E96" s="283"/>
      <c r="F96" s="285"/>
      <c r="G96" s="283"/>
      <c r="H96" s="285"/>
      <c r="I96" s="283" t="s">
        <v>68</v>
      </c>
      <c r="J96" s="285"/>
      <c r="K96" s="283" t="s">
        <v>68</v>
      </c>
      <c r="L96" s="285"/>
      <c r="M96" s="283" t="s">
        <v>77</v>
      </c>
      <c r="N96" s="285"/>
      <c r="O96" s="283" t="s">
        <v>68</v>
      </c>
      <c r="P96" s="285"/>
      <c r="Q96" s="283"/>
      <c r="R96" s="285"/>
      <c r="S96" s="283" t="s">
        <v>77</v>
      </c>
      <c r="T96" s="285"/>
      <c r="U96" s="283"/>
      <c r="V96" s="285"/>
      <c r="W96" s="283"/>
      <c r="X96" s="285"/>
      <c r="Y96" s="283"/>
      <c r="Z96" s="285"/>
      <c r="AA96" s="286">
        <f>COUNTIF(C96:Z96,"&gt;=R")</f>
        <v>5</v>
      </c>
      <c r="AB96" s="287">
        <f>AA96</f>
        <v>5</v>
      </c>
      <c r="AC96" s="357"/>
      <c r="AD96" s="357"/>
      <c r="AE96" s="357"/>
      <c r="AF96" s="357"/>
      <c r="AG96" s="357"/>
      <c r="AH96" s="357"/>
      <c r="AI96" s="357"/>
    </row>
    <row r="97" spans="1:35" ht="40.049999999999997" customHeight="1" x14ac:dyDescent="0.3">
      <c r="A97" s="296" t="s">
        <v>262</v>
      </c>
      <c r="B97" s="915" t="s">
        <v>263</v>
      </c>
      <c r="C97" s="283"/>
      <c r="D97" s="284"/>
      <c r="E97" s="285"/>
      <c r="F97" s="285"/>
      <c r="G97" s="288"/>
      <c r="H97" s="285"/>
      <c r="I97" s="288"/>
      <c r="J97" s="285"/>
      <c r="K97" s="288"/>
      <c r="L97" s="285"/>
      <c r="M97" s="285"/>
      <c r="N97" s="285"/>
      <c r="O97" s="285"/>
      <c r="P97" s="285"/>
      <c r="Q97" s="285"/>
      <c r="R97" s="285"/>
      <c r="S97" s="285"/>
      <c r="T97" s="285"/>
      <c r="U97" s="288"/>
      <c r="V97" s="285"/>
      <c r="W97" s="288"/>
      <c r="X97" s="285"/>
      <c r="Y97" s="288"/>
      <c r="Z97" s="285"/>
      <c r="AA97" s="286"/>
      <c r="AB97" s="287"/>
    </row>
    <row r="98" spans="1:35" ht="40.049999999999997" customHeight="1" x14ac:dyDescent="0.3">
      <c r="A98" s="308" t="s">
        <v>264</v>
      </c>
      <c r="B98" s="902" t="s">
        <v>265</v>
      </c>
      <c r="C98" s="283"/>
      <c r="D98" s="284"/>
      <c r="E98" s="285" t="s">
        <v>26</v>
      </c>
      <c r="F98" s="285"/>
      <c r="G98" s="285" t="s">
        <v>83</v>
      </c>
      <c r="H98" s="285"/>
      <c r="I98" s="285" t="s">
        <v>83</v>
      </c>
      <c r="J98" s="285"/>
      <c r="K98" s="285" t="s">
        <v>26</v>
      </c>
      <c r="L98" s="285"/>
      <c r="M98" s="285" t="s">
        <v>26</v>
      </c>
      <c r="N98" s="285"/>
      <c r="O98" s="285" t="s">
        <v>26</v>
      </c>
      <c r="P98" s="285"/>
      <c r="Q98" s="285"/>
      <c r="R98" s="285"/>
      <c r="S98" s="285" t="s">
        <v>83</v>
      </c>
      <c r="T98" s="285"/>
      <c r="U98" s="285" t="s">
        <v>83</v>
      </c>
      <c r="V98" s="285"/>
      <c r="W98" s="285" t="s">
        <v>83</v>
      </c>
      <c r="X98" s="285"/>
      <c r="Y98" s="285" t="s">
        <v>83</v>
      </c>
      <c r="Z98" s="285"/>
      <c r="AA98" s="286">
        <f>COUNTIF(C98:Z98,"&gt;=R")</f>
        <v>10</v>
      </c>
      <c r="AB98" s="287">
        <f>AA98</f>
        <v>10</v>
      </c>
    </row>
    <row r="99" spans="1:35" ht="40.049999999999997" customHeight="1" x14ac:dyDescent="0.3">
      <c r="A99" s="310" t="s">
        <v>266</v>
      </c>
      <c r="B99" s="913" t="s">
        <v>267</v>
      </c>
      <c r="C99" s="291"/>
      <c r="D99" s="292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3"/>
      <c r="AA99" s="293"/>
      <c r="AB99" s="295"/>
    </row>
    <row r="100" spans="1:35" ht="40.049999999999997" customHeight="1" x14ac:dyDescent="0.3">
      <c r="A100" s="281" t="s">
        <v>268</v>
      </c>
      <c r="B100" s="900" t="s">
        <v>269</v>
      </c>
      <c r="C100" s="284"/>
      <c r="D100" s="284"/>
      <c r="E100" s="285"/>
      <c r="F100" s="285"/>
      <c r="G100" s="285"/>
      <c r="H100" s="285"/>
      <c r="I100" s="285"/>
      <c r="J100" s="285"/>
      <c r="K100" s="285"/>
      <c r="L100" s="285"/>
      <c r="M100" s="285"/>
      <c r="N100" s="285"/>
      <c r="O100" s="285"/>
      <c r="P100" s="285"/>
      <c r="Q100" s="285"/>
      <c r="R100" s="285"/>
      <c r="S100" s="285"/>
      <c r="T100" s="285"/>
      <c r="U100" s="285"/>
      <c r="V100" s="285"/>
      <c r="W100" s="285"/>
      <c r="X100" s="285"/>
      <c r="Y100" s="285"/>
      <c r="Z100" s="285"/>
      <c r="AA100" s="286">
        <f>COUNTIF(C100:Z100,"&gt;=R")</f>
        <v>0</v>
      </c>
      <c r="AB100" s="287">
        <f>AA100</f>
        <v>0</v>
      </c>
    </row>
    <row r="101" spans="1:35" ht="40.049999999999997" customHeight="1" x14ac:dyDescent="0.3">
      <c r="A101" s="281" t="s">
        <v>270</v>
      </c>
      <c r="B101" s="900" t="s">
        <v>271</v>
      </c>
      <c r="C101" s="284"/>
      <c r="D101" s="284"/>
      <c r="E101" s="285"/>
      <c r="F101" s="285"/>
      <c r="G101" s="285"/>
      <c r="H101" s="285"/>
      <c r="I101" s="285"/>
      <c r="J101" s="285"/>
      <c r="K101" s="285"/>
      <c r="L101" s="285"/>
      <c r="M101" s="285"/>
      <c r="N101" s="285"/>
      <c r="O101" s="285"/>
      <c r="P101" s="285"/>
      <c r="Q101" s="285"/>
      <c r="R101" s="285"/>
      <c r="S101" s="285"/>
      <c r="T101" s="285"/>
      <c r="U101" s="285"/>
      <c r="V101" s="285"/>
      <c r="W101" s="285"/>
      <c r="X101" s="285"/>
      <c r="Y101" s="285"/>
      <c r="Z101" s="285"/>
      <c r="AA101" s="286">
        <f>COUNTIF(C101:Z101,"&gt;=R")</f>
        <v>0</v>
      </c>
      <c r="AB101" s="287">
        <f>AA101</f>
        <v>0</v>
      </c>
    </row>
    <row r="102" spans="1:35" ht="40.049999999999997" customHeight="1" x14ac:dyDescent="0.65">
      <c r="A102" s="310" t="s">
        <v>272</v>
      </c>
      <c r="B102" s="913" t="s">
        <v>273</v>
      </c>
      <c r="C102" s="291"/>
      <c r="D102" s="292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3"/>
      <c r="AA102" s="293"/>
      <c r="AB102" s="295"/>
      <c r="AC102" s="357"/>
      <c r="AD102" s="357"/>
      <c r="AE102" s="357"/>
      <c r="AF102" s="357"/>
      <c r="AG102" s="357"/>
      <c r="AH102" s="357"/>
      <c r="AI102" s="357"/>
    </row>
    <row r="103" spans="1:35" ht="40.049999999999997" customHeight="1" x14ac:dyDescent="0.3">
      <c r="A103" s="281" t="s">
        <v>274</v>
      </c>
      <c r="B103" s="900" t="s">
        <v>275</v>
      </c>
      <c r="C103" s="283"/>
      <c r="D103" s="283"/>
      <c r="E103" s="283"/>
      <c r="F103" s="285"/>
      <c r="G103" s="283"/>
      <c r="H103" s="285"/>
      <c r="I103" s="283"/>
      <c r="J103" s="285"/>
      <c r="K103" s="283"/>
      <c r="L103" s="285"/>
      <c r="M103" s="283"/>
      <c r="N103" s="285"/>
      <c r="O103" s="283"/>
      <c r="P103" s="285"/>
      <c r="Q103" s="283"/>
      <c r="R103" s="285"/>
      <c r="S103" s="283"/>
      <c r="T103" s="285"/>
      <c r="U103" s="283"/>
      <c r="V103" s="285"/>
      <c r="W103" s="283"/>
      <c r="X103" s="285"/>
      <c r="Y103" s="283"/>
      <c r="Z103" s="285"/>
      <c r="AA103" s="286">
        <f>COUNTIF(C103:Z103,"&gt;=R")</f>
        <v>0</v>
      </c>
      <c r="AB103" s="287">
        <f>AA103</f>
        <v>0</v>
      </c>
    </row>
    <row r="104" spans="1:35" ht="40.049999999999997" customHeight="1" x14ac:dyDescent="0.65">
      <c r="A104" s="281" t="s">
        <v>276</v>
      </c>
      <c r="B104" s="900" t="s">
        <v>277</v>
      </c>
      <c r="C104" s="283" t="s">
        <v>68</v>
      </c>
      <c r="D104" s="284"/>
      <c r="E104" s="283" t="s">
        <v>76</v>
      </c>
      <c r="F104" s="285"/>
      <c r="G104" s="283" t="s">
        <v>76</v>
      </c>
      <c r="H104" s="285"/>
      <c r="I104" s="283" t="s">
        <v>76</v>
      </c>
      <c r="J104" s="285"/>
      <c r="K104" s="307" t="s">
        <v>76</v>
      </c>
      <c r="L104" s="285"/>
      <c r="M104" s="307" t="s">
        <v>76</v>
      </c>
      <c r="N104" s="285"/>
      <c r="O104" s="307" t="s">
        <v>76</v>
      </c>
      <c r="P104" s="285"/>
      <c r="Q104" s="307"/>
      <c r="R104" s="285"/>
      <c r="S104" s="285" t="s">
        <v>76</v>
      </c>
      <c r="T104" s="285"/>
      <c r="U104" s="285" t="s">
        <v>76</v>
      </c>
      <c r="V104" s="285"/>
      <c r="W104" s="285" t="s">
        <v>76</v>
      </c>
      <c r="X104" s="285"/>
      <c r="Y104" s="285" t="s">
        <v>76</v>
      </c>
      <c r="Z104" s="285"/>
      <c r="AA104" s="286">
        <f>COUNTIF(C104:Z104,"&gt;=R")</f>
        <v>11</v>
      </c>
      <c r="AB104" s="287">
        <f>AA104</f>
        <v>11</v>
      </c>
      <c r="AC104" s="357"/>
      <c r="AD104" s="357"/>
      <c r="AE104" s="357"/>
      <c r="AF104" s="357"/>
      <c r="AG104" s="357"/>
      <c r="AH104" s="357"/>
      <c r="AI104" s="357"/>
    </row>
    <row r="105" spans="1:35" ht="40.049999999999997" customHeight="1" x14ac:dyDescent="0.65">
      <c r="A105" s="289" t="s">
        <v>278</v>
      </c>
      <c r="B105" s="913" t="s">
        <v>279</v>
      </c>
      <c r="C105" s="291"/>
      <c r="D105" s="292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3"/>
      <c r="AA105" s="293"/>
      <c r="AB105" s="295"/>
      <c r="AC105" s="357"/>
      <c r="AD105" s="357"/>
      <c r="AE105" s="357"/>
      <c r="AF105" s="357"/>
      <c r="AG105" s="357"/>
      <c r="AH105" s="357"/>
      <c r="AI105" s="357"/>
    </row>
    <row r="106" spans="1:35" ht="40.049999999999997" customHeight="1" x14ac:dyDescent="0.3">
      <c r="A106" s="296" t="s">
        <v>280</v>
      </c>
      <c r="B106" s="915" t="s">
        <v>281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  <c r="W106" s="285"/>
      <c r="X106" s="285"/>
      <c r="Y106" s="285"/>
      <c r="Z106" s="285"/>
      <c r="AA106" s="286"/>
      <c r="AB106" s="287"/>
    </row>
    <row r="107" spans="1:35" ht="40.049999999999997" customHeight="1" x14ac:dyDescent="0.65">
      <c r="A107" s="357" t="s">
        <v>282</v>
      </c>
      <c r="B107" s="903" t="s">
        <v>283</v>
      </c>
      <c r="C107" s="283"/>
      <c r="D107" s="284"/>
      <c r="E107" s="285"/>
      <c r="F107" s="285"/>
      <c r="G107" s="288"/>
      <c r="H107" s="285"/>
      <c r="I107" s="288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  <c r="W107" s="285"/>
      <c r="X107" s="285"/>
      <c r="Y107" s="285"/>
      <c r="Z107" s="285"/>
      <c r="AA107" s="286">
        <f t="shared" ref="AA107:AA112" si="6">COUNTIF(C107:Z107,"&gt;=R")</f>
        <v>0</v>
      </c>
      <c r="AB107" s="287">
        <f t="shared" ref="AB107:AB112" si="7">AA107</f>
        <v>0</v>
      </c>
    </row>
    <row r="108" spans="1:35" ht="40.049999999999997" customHeight="1" x14ac:dyDescent="0.65">
      <c r="A108" s="308" t="s">
        <v>284</v>
      </c>
      <c r="B108" s="902" t="s">
        <v>285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  <c r="W108" s="285"/>
      <c r="X108" s="285"/>
      <c r="Y108" s="285"/>
      <c r="Z108" s="285"/>
      <c r="AA108" s="286">
        <f t="shared" si="6"/>
        <v>0</v>
      </c>
      <c r="AB108" s="287">
        <f t="shared" si="7"/>
        <v>0</v>
      </c>
      <c r="AC108" s="357"/>
      <c r="AD108" s="357"/>
      <c r="AE108" s="357"/>
      <c r="AF108" s="357"/>
      <c r="AG108" s="357"/>
      <c r="AH108" s="357"/>
      <c r="AI108" s="357"/>
    </row>
    <row r="109" spans="1:35" ht="40.049999999999997" customHeight="1" x14ac:dyDescent="0.3">
      <c r="A109" s="296" t="s">
        <v>286</v>
      </c>
      <c r="B109" s="915" t="s">
        <v>287</v>
      </c>
      <c r="C109" s="283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6">
        <f t="shared" si="6"/>
        <v>0</v>
      </c>
      <c r="AB109" s="287">
        <f t="shared" si="7"/>
        <v>0</v>
      </c>
    </row>
    <row r="110" spans="1:35" ht="40.049999999999997" customHeight="1" x14ac:dyDescent="0.65">
      <c r="A110" s="281" t="s">
        <v>288</v>
      </c>
      <c r="B110" s="900" t="s">
        <v>289</v>
      </c>
      <c r="C110" s="284"/>
      <c r="D110" s="284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  <c r="W110" s="285"/>
      <c r="X110" s="285"/>
      <c r="Y110" s="285"/>
      <c r="Z110" s="285"/>
      <c r="AA110" s="286">
        <f t="shared" si="6"/>
        <v>0</v>
      </c>
      <c r="AB110" s="287">
        <f t="shared" si="7"/>
        <v>0</v>
      </c>
      <c r="AC110" s="357"/>
      <c r="AD110" s="357"/>
      <c r="AE110" s="357"/>
      <c r="AF110" s="357"/>
      <c r="AG110" s="357"/>
      <c r="AH110" s="357"/>
      <c r="AI110" s="357"/>
    </row>
    <row r="111" spans="1:35" ht="40.049999999999997" customHeight="1" x14ac:dyDescent="0.3">
      <c r="A111" s="281" t="s">
        <v>290</v>
      </c>
      <c r="B111" s="900" t="s">
        <v>291</v>
      </c>
      <c r="C111" s="283"/>
      <c r="D111" s="284"/>
      <c r="E111" s="283"/>
      <c r="F111" s="285"/>
      <c r="G111" s="283"/>
      <c r="H111" s="285"/>
      <c r="I111" s="283"/>
      <c r="J111" s="285"/>
      <c r="K111" s="283"/>
      <c r="L111" s="285"/>
      <c r="M111" s="283"/>
      <c r="N111" s="285"/>
      <c r="O111" s="283"/>
      <c r="P111" s="285"/>
      <c r="Q111" s="283"/>
      <c r="R111" s="285"/>
      <c r="S111" s="283"/>
      <c r="T111" s="285"/>
      <c r="U111" s="283"/>
      <c r="V111" s="285"/>
      <c r="W111" s="283"/>
      <c r="X111" s="285"/>
      <c r="Y111" s="283"/>
      <c r="Z111" s="285"/>
      <c r="AA111" s="286">
        <f t="shared" si="6"/>
        <v>0</v>
      </c>
      <c r="AB111" s="287">
        <f t="shared" si="7"/>
        <v>0</v>
      </c>
    </row>
    <row r="112" spans="1:35" ht="40.049999999999997" customHeight="1" x14ac:dyDescent="0.65">
      <c r="A112" s="357" t="s">
        <v>292</v>
      </c>
      <c r="B112" s="903" t="s">
        <v>293</v>
      </c>
      <c r="C112" s="283"/>
      <c r="D112" s="284"/>
      <c r="E112" s="285"/>
      <c r="F112" s="285"/>
      <c r="G112" s="288"/>
      <c r="H112" s="285"/>
      <c r="I112" s="288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5"/>
      <c r="Z112" s="285"/>
      <c r="AA112" s="286">
        <f t="shared" si="6"/>
        <v>0</v>
      </c>
      <c r="AB112" s="287">
        <f t="shared" si="7"/>
        <v>0</v>
      </c>
    </row>
    <row r="113" spans="1:35" ht="40.049999999999997" customHeight="1" x14ac:dyDescent="0.65">
      <c r="A113" s="289" t="s">
        <v>294</v>
      </c>
      <c r="B113" s="916" t="s">
        <v>295</v>
      </c>
      <c r="C113" s="291"/>
      <c r="D113" s="292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3"/>
      <c r="W113" s="293"/>
      <c r="X113" s="293"/>
      <c r="Y113" s="293"/>
      <c r="Z113" s="293"/>
      <c r="AA113" s="293"/>
      <c r="AB113" s="295"/>
      <c r="AC113" s="357"/>
      <c r="AD113" s="357"/>
      <c r="AE113" s="357"/>
      <c r="AF113" s="357"/>
      <c r="AG113" s="357"/>
      <c r="AH113" s="357"/>
      <c r="AI113" s="357"/>
    </row>
    <row r="114" spans="1:35" ht="40.049999999999997" customHeight="1" x14ac:dyDescent="0.65">
      <c r="A114" s="312" t="s">
        <v>296</v>
      </c>
      <c r="B114" s="313" t="s">
        <v>297</v>
      </c>
      <c r="C114" s="283"/>
      <c r="D114" s="284"/>
      <c r="E114" s="285" t="s">
        <v>37</v>
      </c>
      <c r="F114" s="285"/>
      <c r="G114" s="285" t="s">
        <v>37</v>
      </c>
      <c r="H114" s="285"/>
      <c r="I114" s="285" t="s">
        <v>37</v>
      </c>
      <c r="J114" s="285"/>
      <c r="K114" s="285" t="s">
        <v>37</v>
      </c>
      <c r="L114" s="285"/>
      <c r="M114" s="285" t="s">
        <v>37</v>
      </c>
      <c r="N114" s="285"/>
      <c r="O114" s="285" t="s">
        <v>27</v>
      </c>
      <c r="P114" s="285"/>
      <c r="Q114" s="285"/>
      <c r="R114" s="285"/>
      <c r="S114" s="285" t="s">
        <v>37</v>
      </c>
      <c r="T114" s="285"/>
      <c r="U114" s="285" t="s">
        <v>37</v>
      </c>
      <c r="V114" s="285"/>
      <c r="W114" s="285" t="s">
        <v>37</v>
      </c>
      <c r="X114" s="285"/>
      <c r="Y114" s="285" t="s">
        <v>37</v>
      </c>
      <c r="Z114" s="285"/>
      <c r="AA114" s="286">
        <f t="shared" ref="AA114:AA125" si="8">COUNTIF(C114:Z114,"&gt;=R")</f>
        <v>10</v>
      </c>
      <c r="AB114" s="287">
        <f t="shared" ref="AB114:AB125" si="9">AA114</f>
        <v>10</v>
      </c>
      <c r="AC114" s="357"/>
      <c r="AD114" s="357"/>
      <c r="AE114" s="357"/>
      <c r="AF114" s="357"/>
      <c r="AG114" s="357"/>
      <c r="AH114" s="357"/>
      <c r="AI114" s="357"/>
    </row>
    <row r="115" spans="1:35" ht="40.049999999999997" customHeight="1" x14ac:dyDescent="0.3">
      <c r="A115" s="312" t="s">
        <v>298</v>
      </c>
      <c r="B115" s="313" t="s">
        <v>299</v>
      </c>
      <c r="C115" s="283" t="s">
        <v>48</v>
      </c>
      <c r="D115" s="284"/>
      <c r="E115" s="285" t="s">
        <v>410</v>
      </c>
      <c r="F115" s="285"/>
      <c r="G115" s="307" t="s">
        <v>410</v>
      </c>
      <c r="H115" s="285"/>
      <c r="I115" s="307" t="s">
        <v>410</v>
      </c>
      <c r="J115" s="285"/>
      <c r="K115" s="307" t="s">
        <v>410</v>
      </c>
      <c r="L115" s="285"/>
      <c r="M115" s="285" t="s">
        <v>410</v>
      </c>
      <c r="N115" s="285"/>
      <c r="O115" s="285" t="s">
        <v>410</v>
      </c>
      <c r="P115" s="285"/>
      <c r="Q115" s="307"/>
      <c r="R115" s="285"/>
      <c r="S115" s="307" t="s">
        <v>410</v>
      </c>
      <c r="T115" s="285"/>
      <c r="U115" s="307" t="s">
        <v>410</v>
      </c>
      <c r="V115" s="285"/>
      <c r="W115" s="307" t="s">
        <v>410</v>
      </c>
      <c r="X115" s="285"/>
      <c r="Y115" s="307" t="s">
        <v>410</v>
      </c>
      <c r="Z115" s="285"/>
      <c r="AA115" s="286">
        <f t="shared" si="8"/>
        <v>11</v>
      </c>
      <c r="AB115" s="287">
        <f t="shared" si="9"/>
        <v>11</v>
      </c>
    </row>
    <row r="116" spans="1:35" ht="40.049999999999997" customHeight="1" x14ac:dyDescent="0.3">
      <c r="A116" s="312" t="s">
        <v>300</v>
      </c>
      <c r="B116" s="313" t="s">
        <v>301</v>
      </c>
      <c r="C116" s="283"/>
      <c r="D116" s="284"/>
      <c r="E116" s="283"/>
      <c r="F116" s="285"/>
      <c r="G116" s="283"/>
      <c r="H116" s="285"/>
      <c r="I116" s="283"/>
      <c r="J116" s="285"/>
      <c r="K116" s="283"/>
      <c r="L116" s="285"/>
      <c r="M116" s="283"/>
      <c r="N116" s="285"/>
      <c r="O116" s="283"/>
      <c r="P116" s="285"/>
      <c r="Q116" s="283"/>
      <c r="R116" s="285"/>
      <c r="S116" s="283"/>
      <c r="T116" s="285"/>
      <c r="U116" s="283"/>
      <c r="V116" s="285"/>
      <c r="W116" s="283"/>
      <c r="X116" s="285"/>
      <c r="Y116" s="283"/>
      <c r="Z116" s="285"/>
      <c r="AA116" s="286">
        <f t="shared" si="8"/>
        <v>0</v>
      </c>
      <c r="AB116" s="287">
        <f t="shared" si="9"/>
        <v>0</v>
      </c>
    </row>
    <row r="117" spans="1:35" ht="40.049999999999997" customHeight="1" x14ac:dyDescent="0.65">
      <c r="A117" s="312" t="s">
        <v>302</v>
      </c>
      <c r="B117" s="313" t="s">
        <v>303</v>
      </c>
      <c r="C117" s="284"/>
      <c r="D117" s="284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5"/>
      <c r="V117" s="285"/>
      <c r="W117" s="285"/>
      <c r="X117" s="285"/>
      <c r="Y117" s="283"/>
      <c r="Z117" s="285"/>
      <c r="AA117" s="286">
        <f t="shared" si="8"/>
        <v>0</v>
      </c>
      <c r="AB117" s="287">
        <f t="shared" si="9"/>
        <v>0</v>
      </c>
      <c r="AC117" s="357"/>
      <c r="AD117" s="357"/>
      <c r="AE117" s="357"/>
      <c r="AF117" s="357"/>
      <c r="AG117" s="357"/>
      <c r="AH117" s="357"/>
      <c r="AI117" s="357"/>
    </row>
    <row r="118" spans="1:35" ht="40.049999999999997" customHeight="1" x14ac:dyDescent="0.3">
      <c r="A118" s="312" t="s">
        <v>304</v>
      </c>
      <c r="B118" s="313" t="s">
        <v>305</v>
      </c>
      <c r="C118" s="283"/>
      <c r="D118" s="284"/>
      <c r="E118" s="285"/>
      <c r="F118" s="285"/>
      <c r="G118" s="307"/>
      <c r="H118" s="285"/>
      <c r="I118" s="307"/>
      <c r="J118" s="285"/>
      <c r="K118" s="307"/>
      <c r="L118" s="285"/>
      <c r="M118" s="285"/>
      <c r="N118" s="285"/>
      <c r="O118" s="285"/>
      <c r="P118" s="285"/>
      <c r="Q118" s="307"/>
      <c r="R118" s="285"/>
      <c r="S118" s="307"/>
      <c r="T118" s="285"/>
      <c r="U118" s="285"/>
      <c r="V118" s="285"/>
      <c r="W118" s="285"/>
      <c r="X118" s="285"/>
      <c r="Y118" s="285"/>
      <c r="Z118" s="285"/>
      <c r="AA118" s="286">
        <f t="shared" si="8"/>
        <v>0</v>
      </c>
      <c r="AB118" s="287">
        <f t="shared" si="9"/>
        <v>0</v>
      </c>
    </row>
    <row r="119" spans="1:35" ht="40.049999999999997" customHeight="1" x14ac:dyDescent="0.3">
      <c r="A119" s="312" t="s">
        <v>306</v>
      </c>
      <c r="B119" s="313" t="s">
        <v>307</v>
      </c>
      <c r="C119" s="302"/>
      <c r="D119" s="284"/>
      <c r="E119" s="288"/>
      <c r="F119" s="285"/>
      <c r="G119" s="288"/>
      <c r="H119" s="285"/>
      <c r="I119" s="288"/>
      <c r="J119" s="285"/>
      <c r="K119" s="288"/>
      <c r="L119" s="285"/>
      <c r="M119" s="288"/>
      <c r="N119" s="285"/>
      <c r="O119" s="288"/>
      <c r="P119" s="285"/>
      <c r="Q119" s="288"/>
      <c r="R119" s="285"/>
      <c r="S119" s="288"/>
      <c r="T119" s="285"/>
      <c r="U119" s="288"/>
      <c r="V119" s="288"/>
      <c r="W119" s="288"/>
      <c r="X119" s="288"/>
      <c r="Y119" s="288"/>
      <c r="Z119" s="288"/>
      <c r="AA119" s="286">
        <f t="shared" si="8"/>
        <v>0</v>
      </c>
      <c r="AB119" s="287">
        <f t="shared" si="9"/>
        <v>0</v>
      </c>
    </row>
    <row r="120" spans="1:35" ht="40.049999999999997" customHeight="1" x14ac:dyDescent="0.3">
      <c r="A120" s="312" t="s">
        <v>308</v>
      </c>
      <c r="B120" s="313" t="s">
        <v>309</v>
      </c>
      <c r="C120" s="283"/>
      <c r="D120" s="284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8"/>
      <c r="V120" s="288"/>
      <c r="W120" s="288"/>
      <c r="X120" s="288"/>
      <c r="Y120" s="288"/>
      <c r="Z120" s="288"/>
      <c r="AA120" s="286">
        <f t="shared" si="8"/>
        <v>0</v>
      </c>
      <c r="AB120" s="287">
        <f t="shared" si="9"/>
        <v>0</v>
      </c>
    </row>
    <row r="121" spans="1:35" ht="40.049999999999997" customHeight="1" x14ac:dyDescent="0.3">
      <c r="A121" s="312" t="s">
        <v>310</v>
      </c>
      <c r="B121" s="313" t="s">
        <v>311</v>
      </c>
      <c r="C121" s="283"/>
      <c r="D121" s="302"/>
      <c r="E121" s="288"/>
      <c r="F121" s="288"/>
      <c r="G121" s="307"/>
      <c r="H121" s="288"/>
      <c r="I121" s="307"/>
      <c r="J121" s="288"/>
      <c r="K121" s="307"/>
      <c r="L121" s="288"/>
      <c r="M121" s="288"/>
      <c r="N121" s="288"/>
      <c r="O121" s="288"/>
      <c r="P121" s="288"/>
      <c r="Q121" s="307"/>
      <c r="R121" s="288"/>
      <c r="S121" s="307"/>
      <c r="T121" s="288"/>
      <c r="U121" s="307"/>
      <c r="V121" s="288"/>
      <c r="W121" s="307"/>
      <c r="X121" s="288"/>
      <c r="Y121" s="307"/>
      <c r="Z121" s="288"/>
      <c r="AA121" s="286">
        <f t="shared" si="8"/>
        <v>0</v>
      </c>
      <c r="AB121" s="287">
        <f t="shared" si="9"/>
        <v>0</v>
      </c>
    </row>
    <row r="122" spans="1:35" ht="40.049999999999997" customHeight="1" x14ac:dyDescent="0.3">
      <c r="A122" s="312" t="s">
        <v>312</v>
      </c>
      <c r="B122" s="313" t="s">
        <v>313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6">
        <f t="shared" si="8"/>
        <v>0</v>
      </c>
      <c r="AB122" s="287">
        <f t="shared" si="9"/>
        <v>0</v>
      </c>
    </row>
    <row r="123" spans="1:35" ht="40.049999999999997" customHeight="1" x14ac:dyDescent="0.3">
      <c r="A123" s="312" t="s">
        <v>314</v>
      </c>
      <c r="B123" s="313" t="s">
        <v>315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8"/>
      <c r="Z123" s="288"/>
      <c r="AA123" s="286">
        <f t="shared" si="8"/>
        <v>0</v>
      </c>
      <c r="AB123" s="287">
        <f t="shared" si="9"/>
        <v>0</v>
      </c>
    </row>
    <row r="124" spans="1:35" ht="40.049999999999997" customHeight="1" x14ac:dyDescent="0.3">
      <c r="A124" s="312" t="s">
        <v>316</v>
      </c>
      <c r="B124" s="313" t="s">
        <v>317</v>
      </c>
      <c r="C124" s="283"/>
      <c r="D124" s="302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8"/>
      <c r="Z124" s="288"/>
      <c r="AA124" s="286">
        <f t="shared" si="8"/>
        <v>0</v>
      </c>
      <c r="AB124" s="287">
        <f t="shared" si="9"/>
        <v>0</v>
      </c>
    </row>
    <row r="125" spans="1:35" ht="40.049999999999997" customHeight="1" x14ac:dyDescent="0.3">
      <c r="A125" s="312" t="s">
        <v>318</v>
      </c>
      <c r="B125" s="313" t="s">
        <v>319</v>
      </c>
      <c r="C125" s="283"/>
      <c r="D125" s="302"/>
      <c r="E125" s="302"/>
      <c r="F125" s="288"/>
      <c r="G125" s="302"/>
      <c r="H125" s="288"/>
      <c r="I125" s="302"/>
      <c r="J125" s="288"/>
      <c r="K125" s="302"/>
      <c r="L125" s="288"/>
      <c r="M125" s="302"/>
      <c r="N125" s="288"/>
      <c r="O125" s="302"/>
      <c r="P125" s="288"/>
      <c r="Q125" s="302"/>
      <c r="R125" s="288"/>
      <c r="S125" s="302"/>
      <c r="T125" s="288"/>
      <c r="U125" s="302"/>
      <c r="V125" s="288"/>
      <c r="W125" s="302"/>
      <c r="X125" s="288"/>
      <c r="Y125" s="302"/>
      <c r="Z125" s="288"/>
      <c r="AA125" s="286">
        <f t="shared" si="8"/>
        <v>0</v>
      </c>
      <c r="AB125" s="287">
        <f t="shared" si="9"/>
        <v>0</v>
      </c>
    </row>
    <row r="126" spans="1:35" ht="40.049999999999997" customHeight="1" x14ac:dyDescent="0.3">
      <c r="A126" s="303" t="s">
        <v>320</v>
      </c>
      <c r="B126" s="304" t="s">
        <v>321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3"/>
      <c r="AA126" s="293"/>
      <c r="AB126" s="295"/>
    </row>
    <row r="127" spans="1:35" ht="40.049999999999997" customHeight="1" x14ac:dyDescent="0.3">
      <c r="A127" s="274" t="s">
        <v>322</v>
      </c>
      <c r="B127" s="314" t="s">
        <v>323</v>
      </c>
      <c r="C127" s="291"/>
      <c r="D127" s="292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3"/>
      <c r="W127" s="293"/>
      <c r="X127" s="293"/>
      <c r="Y127" s="293"/>
      <c r="Z127" s="293"/>
      <c r="AA127" s="293"/>
      <c r="AB127" s="295"/>
    </row>
    <row r="128" spans="1:35" ht="40.049999999999997" customHeight="1" x14ac:dyDescent="0.3">
      <c r="A128" s="308" t="s">
        <v>324</v>
      </c>
      <c r="B128" s="905" t="s">
        <v>325</v>
      </c>
      <c r="C128" s="283"/>
      <c r="D128" s="302"/>
      <c r="E128" s="283"/>
      <c r="F128" s="288"/>
      <c r="G128" s="283"/>
      <c r="H128" s="288"/>
      <c r="I128" s="283"/>
      <c r="J128" s="288"/>
      <c r="K128" s="283"/>
      <c r="L128" s="288"/>
      <c r="M128" s="283"/>
      <c r="N128" s="288"/>
      <c r="O128" s="283"/>
      <c r="P128" s="288"/>
      <c r="Q128" s="283"/>
      <c r="R128" s="288"/>
      <c r="S128" s="283"/>
      <c r="T128" s="288"/>
      <c r="U128" s="283"/>
      <c r="V128" s="288"/>
      <c r="W128" s="283"/>
      <c r="X128" s="288"/>
      <c r="Y128" s="283"/>
      <c r="Z128" s="288"/>
      <c r="AA128" s="286">
        <f t="shared" ref="AA128:AA139" si="10">COUNTIF(C128:Z128,"&gt;=R")</f>
        <v>0</v>
      </c>
      <c r="AB128" s="287">
        <f t="shared" ref="AB128:AB139" si="11">AA128</f>
        <v>0</v>
      </c>
    </row>
    <row r="129" spans="1:28" ht="40.049999999999997" customHeight="1" x14ac:dyDescent="0.3">
      <c r="A129" s="316" t="s">
        <v>326</v>
      </c>
      <c r="B129" s="317" t="s">
        <v>327</v>
      </c>
      <c r="C129" s="283"/>
      <c r="D129" s="302"/>
      <c r="E129" s="283"/>
      <c r="F129" s="288"/>
      <c r="G129" s="283"/>
      <c r="H129" s="288"/>
      <c r="I129" s="283"/>
      <c r="J129" s="288"/>
      <c r="K129" s="283"/>
      <c r="L129" s="288"/>
      <c r="M129" s="283"/>
      <c r="N129" s="288"/>
      <c r="O129" s="283"/>
      <c r="P129" s="288"/>
      <c r="Q129" s="283"/>
      <c r="R129" s="288"/>
      <c r="S129" s="283"/>
      <c r="T129" s="288"/>
      <c r="U129" s="283"/>
      <c r="V129" s="288"/>
      <c r="W129" s="283"/>
      <c r="X129" s="288"/>
      <c r="Y129" s="283"/>
      <c r="Z129" s="288"/>
      <c r="AA129" s="286">
        <f t="shared" si="10"/>
        <v>0</v>
      </c>
      <c r="AB129" s="287">
        <f t="shared" si="11"/>
        <v>0</v>
      </c>
    </row>
    <row r="130" spans="1:28" ht="40.049999999999997" customHeight="1" x14ac:dyDescent="0.3">
      <c r="A130" s="308" t="s">
        <v>328</v>
      </c>
      <c r="B130" s="905" t="s">
        <v>329</v>
      </c>
      <c r="C130" s="283"/>
      <c r="D130" s="302"/>
      <c r="E130" s="307"/>
      <c r="F130" s="288"/>
      <c r="G130" s="288"/>
      <c r="H130" s="288"/>
      <c r="I130" s="288"/>
      <c r="J130" s="288"/>
      <c r="K130" s="288"/>
      <c r="L130" s="288"/>
      <c r="M130" s="307"/>
      <c r="N130" s="288"/>
      <c r="O130" s="285"/>
      <c r="P130" s="288"/>
      <c r="Q130" s="285"/>
      <c r="R130" s="288"/>
      <c r="S130" s="285"/>
      <c r="T130" s="288"/>
      <c r="U130" s="285"/>
      <c r="V130" s="288"/>
      <c r="W130" s="285"/>
      <c r="X130" s="288"/>
      <c r="Y130" s="285"/>
      <c r="Z130" s="288"/>
      <c r="AA130" s="286">
        <f t="shared" si="10"/>
        <v>0</v>
      </c>
      <c r="AB130" s="287">
        <f t="shared" si="11"/>
        <v>0</v>
      </c>
    </row>
    <row r="131" spans="1:28" ht="40.049999999999997" customHeight="1" x14ac:dyDescent="0.3">
      <c r="A131" s="308" t="s">
        <v>330</v>
      </c>
      <c r="B131" s="905" t="s">
        <v>331</v>
      </c>
      <c r="C131" s="284"/>
      <c r="D131" s="302"/>
      <c r="E131" s="285" t="s">
        <v>28</v>
      </c>
      <c r="F131" s="288"/>
      <c r="G131" s="285" t="s">
        <v>28</v>
      </c>
      <c r="H131" s="288"/>
      <c r="I131" s="285" t="s">
        <v>28</v>
      </c>
      <c r="J131" s="288"/>
      <c r="K131" s="285" t="s">
        <v>28</v>
      </c>
      <c r="L131" s="288"/>
      <c r="M131" s="285" t="s">
        <v>28</v>
      </c>
      <c r="N131" s="288"/>
      <c r="O131" s="285" t="s">
        <v>28</v>
      </c>
      <c r="P131" s="288"/>
      <c r="Q131" s="285"/>
      <c r="R131" s="288"/>
      <c r="S131" s="285" t="s">
        <v>28</v>
      </c>
      <c r="T131" s="288"/>
      <c r="U131" s="285" t="s">
        <v>28</v>
      </c>
      <c r="V131" s="288"/>
      <c r="W131" s="285" t="s">
        <v>28</v>
      </c>
      <c r="X131" s="288"/>
      <c r="Y131" s="285" t="s">
        <v>28</v>
      </c>
      <c r="Z131" s="288"/>
      <c r="AA131" s="286">
        <f t="shared" si="10"/>
        <v>10</v>
      </c>
      <c r="AB131" s="287">
        <f t="shared" si="11"/>
        <v>10</v>
      </c>
    </row>
    <row r="132" spans="1:28" ht="40.049999999999997" customHeight="1" x14ac:dyDescent="0.3">
      <c r="A132" s="308" t="s">
        <v>332</v>
      </c>
      <c r="B132" s="905" t="s">
        <v>333</v>
      </c>
      <c r="C132" s="283"/>
      <c r="D132" s="302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6">
        <f t="shared" si="10"/>
        <v>0</v>
      </c>
      <c r="AB132" s="287">
        <f t="shared" si="11"/>
        <v>0</v>
      </c>
    </row>
    <row r="133" spans="1:28" ht="40.049999999999997" customHeight="1" x14ac:dyDescent="0.3">
      <c r="A133" s="308" t="s">
        <v>334</v>
      </c>
      <c r="B133" s="905" t="s">
        <v>335</v>
      </c>
      <c r="C133" s="283"/>
      <c r="D133" s="284"/>
      <c r="E133" s="283"/>
      <c r="F133" s="285"/>
      <c r="G133" s="283"/>
      <c r="H133" s="285"/>
      <c r="I133" s="283"/>
      <c r="J133" s="285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3"/>
      <c r="V133" s="288"/>
      <c r="W133" s="283"/>
      <c r="X133" s="288"/>
      <c r="Y133" s="283"/>
      <c r="Z133" s="288"/>
      <c r="AA133" s="286">
        <f t="shared" si="10"/>
        <v>0</v>
      </c>
      <c r="AB133" s="287">
        <f t="shared" si="11"/>
        <v>0</v>
      </c>
    </row>
    <row r="134" spans="1:28" ht="40.049999999999997" customHeight="1" x14ac:dyDescent="0.3">
      <c r="A134" s="308" t="s">
        <v>336</v>
      </c>
      <c r="B134" s="905" t="s">
        <v>337</v>
      </c>
      <c r="C134" s="283"/>
      <c r="D134" s="302"/>
      <c r="E134" s="283"/>
      <c r="F134" s="288"/>
      <c r="G134" s="283"/>
      <c r="H134" s="288"/>
      <c r="I134" s="283"/>
      <c r="J134" s="288"/>
      <c r="K134" s="283"/>
      <c r="L134" s="288"/>
      <c r="M134" s="283"/>
      <c r="N134" s="288"/>
      <c r="O134" s="283"/>
      <c r="P134" s="288"/>
      <c r="Q134" s="283"/>
      <c r="R134" s="288"/>
      <c r="S134" s="283"/>
      <c r="T134" s="288"/>
      <c r="U134" s="283"/>
      <c r="V134" s="288"/>
      <c r="W134" s="283"/>
      <c r="X134" s="288"/>
      <c r="Y134" s="283"/>
      <c r="Z134" s="288"/>
      <c r="AA134" s="286">
        <f t="shared" si="10"/>
        <v>0</v>
      </c>
      <c r="AB134" s="287">
        <f t="shared" si="11"/>
        <v>0</v>
      </c>
    </row>
    <row r="135" spans="1:28" ht="40.049999999999997" customHeight="1" x14ac:dyDescent="0.3">
      <c r="A135" s="308" t="s">
        <v>338</v>
      </c>
      <c r="B135" s="905" t="s">
        <v>339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6">
        <f t="shared" si="10"/>
        <v>0</v>
      </c>
      <c r="AB135" s="287">
        <f t="shared" si="11"/>
        <v>0</v>
      </c>
    </row>
    <row r="136" spans="1:28" ht="40.049999999999997" customHeight="1" x14ac:dyDescent="0.3">
      <c r="A136" s="308" t="s">
        <v>340</v>
      </c>
      <c r="B136" s="905" t="s">
        <v>341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6">
        <f t="shared" si="10"/>
        <v>0</v>
      </c>
      <c r="AB136" s="287">
        <f t="shared" si="11"/>
        <v>0</v>
      </c>
    </row>
    <row r="137" spans="1:28" ht="40.049999999999997" customHeight="1" x14ac:dyDescent="0.3">
      <c r="A137" s="308" t="s">
        <v>342</v>
      </c>
      <c r="B137" s="905" t="s">
        <v>343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6">
        <f t="shared" si="10"/>
        <v>0</v>
      </c>
      <c r="AB137" s="287">
        <f t="shared" si="11"/>
        <v>0</v>
      </c>
    </row>
    <row r="138" spans="1:28" ht="40.049999999999997" customHeight="1" x14ac:dyDescent="0.3">
      <c r="A138" s="308" t="s">
        <v>344</v>
      </c>
      <c r="B138" s="905" t="s">
        <v>345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6">
        <f t="shared" si="10"/>
        <v>0</v>
      </c>
      <c r="AB138" s="287">
        <f t="shared" si="11"/>
        <v>0</v>
      </c>
    </row>
    <row r="139" spans="1:28" ht="40.049999999999997" customHeight="1" x14ac:dyDescent="0.3">
      <c r="A139" s="308" t="s">
        <v>346</v>
      </c>
      <c r="B139" s="905" t="s">
        <v>347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6">
        <f t="shared" si="10"/>
        <v>0</v>
      </c>
      <c r="AB139" s="287">
        <f t="shared" si="11"/>
        <v>0</v>
      </c>
    </row>
    <row r="140" spans="1:28" ht="40.049999999999997" customHeight="1" x14ac:dyDescent="0.3">
      <c r="A140" s="289" t="s">
        <v>348</v>
      </c>
      <c r="B140" s="916" t="s">
        <v>349</v>
      </c>
      <c r="C140" s="291"/>
      <c r="D140" s="292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3"/>
      <c r="W140" s="293"/>
      <c r="X140" s="293"/>
      <c r="Y140" s="293"/>
      <c r="Z140" s="293"/>
      <c r="AA140" s="293"/>
      <c r="AB140" s="295"/>
    </row>
    <row r="141" spans="1:28" ht="40.049999999999997" customHeight="1" x14ac:dyDescent="0.3">
      <c r="A141" s="308" t="s">
        <v>350</v>
      </c>
      <c r="B141" s="902" t="s">
        <v>351</v>
      </c>
      <c r="C141" s="283"/>
      <c r="D141" s="302"/>
      <c r="E141" s="283"/>
      <c r="F141" s="288"/>
      <c r="G141" s="283"/>
      <c r="H141" s="288"/>
      <c r="I141" s="283"/>
      <c r="J141" s="288"/>
      <c r="K141" s="283"/>
      <c r="L141" s="288"/>
      <c r="M141" s="283"/>
      <c r="N141" s="288"/>
      <c r="O141" s="283"/>
      <c r="P141" s="288"/>
      <c r="Q141" s="283"/>
      <c r="R141" s="288"/>
      <c r="S141" s="283"/>
      <c r="T141" s="288"/>
      <c r="U141" s="283"/>
      <c r="V141" s="288"/>
      <c r="W141" s="283"/>
      <c r="X141" s="288"/>
      <c r="Y141" s="283"/>
      <c r="Z141" s="288"/>
      <c r="AA141" s="286">
        <f>COUNTIF(C141:Z141,"&gt;=R")</f>
        <v>0</v>
      </c>
      <c r="AB141" s="287">
        <f>AA141</f>
        <v>0</v>
      </c>
    </row>
    <row r="142" spans="1:28" ht="40.049999999999997" customHeight="1" x14ac:dyDescent="0.3">
      <c r="A142" s="308" t="s">
        <v>352</v>
      </c>
      <c r="B142" s="902" t="s">
        <v>353</v>
      </c>
      <c r="C142" s="283"/>
      <c r="D142" s="302"/>
      <c r="E142" s="288" t="s">
        <v>66</v>
      </c>
      <c r="F142" s="288"/>
      <c r="G142" s="288" t="s">
        <v>66</v>
      </c>
      <c r="H142" s="288"/>
      <c r="I142" s="288" t="s">
        <v>66</v>
      </c>
      <c r="J142" s="288"/>
      <c r="K142" s="288" t="s">
        <v>66</v>
      </c>
      <c r="L142" s="288"/>
      <c r="M142" s="288" t="s">
        <v>66</v>
      </c>
      <c r="N142" s="288"/>
      <c r="O142" s="288" t="s">
        <v>66</v>
      </c>
      <c r="P142" s="288"/>
      <c r="Q142" s="288"/>
      <c r="R142" s="288"/>
      <c r="S142" s="288" t="s">
        <v>66</v>
      </c>
      <c r="T142" s="288"/>
      <c r="U142" s="288" t="s">
        <v>66</v>
      </c>
      <c r="V142" s="288"/>
      <c r="W142" s="285" t="s">
        <v>75</v>
      </c>
      <c r="X142" s="288"/>
      <c r="Y142" s="285" t="s">
        <v>75</v>
      </c>
      <c r="Z142" s="288"/>
      <c r="AA142" s="286">
        <f>COUNTIF(C142:Z142,"&gt;=R")</f>
        <v>10</v>
      </c>
      <c r="AB142" s="287">
        <f>AA142</f>
        <v>10</v>
      </c>
    </row>
    <row r="143" spans="1:28" ht="40.049999999999997" customHeight="1" x14ac:dyDescent="0.3">
      <c r="A143" s="308" t="s">
        <v>354</v>
      </c>
      <c r="B143" s="902" t="s">
        <v>355</v>
      </c>
      <c r="C143" s="283"/>
      <c r="D143" s="302"/>
      <c r="E143" s="288" t="s">
        <v>66</v>
      </c>
      <c r="F143" s="288"/>
      <c r="G143" s="288" t="s">
        <v>66</v>
      </c>
      <c r="H143" s="288"/>
      <c r="I143" s="288" t="s">
        <v>66</v>
      </c>
      <c r="J143" s="288"/>
      <c r="K143" s="288" t="s">
        <v>66</v>
      </c>
      <c r="L143" s="288"/>
      <c r="M143" s="288" t="s">
        <v>66</v>
      </c>
      <c r="N143" s="288"/>
      <c r="O143" s="288" t="s">
        <v>66</v>
      </c>
      <c r="P143" s="288"/>
      <c r="Q143" s="288"/>
      <c r="R143" s="288"/>
      <c r="S143" s="288" t="s">
        <v>66</v>
      </c>
      <c r="T143" s="288"/>
      <c r="U143" s="288" t="s">
        <v>66</v>
      </c>
      <c r="V143" s="288"/>
      <c r="W143" s="285" t="s">
        <v>75</v>
      </c>
      <c r="X143" s="288"/>
      <c r="Y143" s="285" t="s">
        <v>75</v>
      </c>
      <c r="Z143" s="288"/>
      <c r="AA143" s="286">
        <f>COUNTIF(C143:Z143,"&gt;=R")</f>
        <v>10</v>
      </c>
      <c r="AB143" s="287">
        <f>AA143</f>
        <v>10</v>
      </c>
    </row>
    <row r="144" spans="1:28" ht="40.049999999999997" customHeight="1" x14ac:dyDescent="0.3">
      <c r="A144" s="289" t="s">
        <v>356</v>
      </c>
      <c r="B144" s="916" t="s">
        <v>357</v>
      </c>
      <c r="C144" s="291"/>
      <c r="D144" s="292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3"/>
      <c r="W144" s="293"/>
      <c r="X144" s="293"/>
      <c r="Y144" s="293"/>
      <c r="Z144" s="293"/>
      <c r="AA144" s="293"/>
      <c r="AB144" s="295"/>
    </row>
    <row r="145" spans="1:28" ht="40.049999999999997" customHeight="1" x14ac:dyDescent="0.3">
      <c r="A145" s="308" t="s">
        <v>358</v>
      </c>
      <c r="B145" s="902" t="s">
        <v>359</v>
      </c>
      <c r="C145" s="283" t="s">
        <v>28</v>
      </c>
      <c r="D145" s="302"/>
      <c r="E145" s="283" t="s">
        <v>28</v>
      </c>
      <c r="F145" s="288"/>
      <c r="G145" s="283" t="s">
        <v>76</v>
      </c>
      <c r="H145" s="288"/>
      <c r="I145" s="283" t="s">
        <v>76</v>
      </c>
      <c r="J145" s="288"/>
      <c r="K145" s="283" t="s">
        <v>410</v>
      </c>
      <c r="L145" s="288"/>
      <c r="M145" s="283" t="s">
        <v>410</v>
      </c>
      <c r="N145" s="288"/>
      <c r="O145" s="283" t="s">
        <v>410</v>
      </c>
      <c r="P145" s="288"/>
      <c r="Q145" s="283" t="s">
        <v>410</v>
      </c>
      <c r="R145" s="288"/>
      <c r="S145" s="283" t="s">
        <v>83</v>
      </c>
      <c r="T145" s="288"/>
      <c r="U145" s="283" t="s">
        <v>83</v>
      </c>
      <c r="V145" s="288"/>
      <c r="W145" s="286" t="s">
        <v>28</v>
      </c>
      <c r="X145" s="288"/>
      <c r="Y145" s="286" t="s">
        <v>28</v>
      </c>
      <c r="Z145" s="288"/>
      <c r="AA145" s="286">
        <f>COUNTIF(C145:Z145,"&gt;=R")</f>
        <v>12</v>
      </c>
      <c r="AB145" s="287">
        <f>AA145</f>
        <v>12</v>
      </c>
    </row>
    <row r="146" spans="1:28" ht="40.049999999999997" customHeight="1" x14ac:dyDescent="0.3">
      <c r="A146" s="308" t="s">
        <v>360</v>
      </c>
      <c r="B146" s="902" t="s">
        <v>361</v>
      </c>
      <c r="C146" s="284" t="s">
        <v>411</v>
      </c>
      <c r="D146" s="302"/>
      <c r="E146" s="673" t="s">
        <v>409</v>
      </c>
      <c r="F146" s="288"/>
      <c r="G146" s="285" t="s">
        <v>36</v>
      </c>
      <c r="H146" s="288"/>
      <c r="I146" s="285" t="s">
        <v>36</v>
      </c>
      <c r="J146" s="288"/>
      <c r="K146" s="283" t="s">
        <v>407</v>
      </c>
      <c r="L146" s="285"/>
      <c r="M146" s="283" t="s">
        <v>407</v>
      </c>
      <c r="N146" s="285"/>
      <c r="O146" s="283" t="s">
        <v>407</v>
      </c>
      <c r="P146" s="288"/>
      <c r="Q146" s="285" t="s">
        <v>91</v>
      </c>
      <c r="R146" s="288"/>
      <c r="S146" s="285" t="s">
        <v>411</v>
      </c>
      <c r="T146" s="288"/>
      <c r="U146" s="673" t="s">
        <v>409</v>
      </c>
      <c r="V146" s="288"/>
      <c r="W146" s="673" t="s">
        <v>409</v>
      </c>
      <c r="X146" s="288"/>
      <c r="Y146" s="673" t="s">
        <v>409</v>
      </c>
      <c r="Z146" s="288"/>
      <c r="AA146" s="286">
        <f>COUNTIF(C146:Z146,"&gt;=R")</f>
        <v>12</v>
      </c>
      <c r="AB146" s="287">
        <f>AA146</f>
        <v>12</v>
      </c>
    </row>
    <row r="147" spans="1:28" ht="40.049999999999997" customHeight="1" x14ac:dyDescent="0.3">
      <c r="A147" s="308" t="s">
        <v>362</v>
      </c>
      <c r="B147" s="902" t="s">
        <v>363</v>
      </c>
      <c r="C147" s="283"/>
      <c r="D147" s="302"/>
      <c r="E147" s="283"/>
      <c r="F147" s="288"/>
      <c r="G147" s="283" t="s">
        <v>410</v>
      </c>
      <c r="H147" s="288"/>
      <c r="I147" s="283" t="s">
        <v>410</v>
      </c>
      <c r="J147" s="288"/>
      <c r="K147" s="283"/>
      <c r="L147" s="288"/>
      <c r="M147" s="283"/>
      <c r="N147" s="288"/>
      <c r="O147" s="283"/>
      <c r="P147" s="288"/>
      <c r="Q147" s="283"/>
      <c r="R147" s="288"/>
      <c r="S147" s="283" t="s">
        <v>91</v>
      </c>
      <c r="T147" s="288"/>
      <c r="U147" s="283" t="s">
        <v>91</v>
      </c>
      <c r="V147" s="288"/>
      <c r="W147" s="283"/>
      <c r="X147" s="288"/>
      <c r="Y147" s="283"/>
      <c r="Z147" s="288"/>
      <c r="AA147" s="286">
        <f>COUNTIF(C147:Z147,"&gt;=R")</f>
        <v>4</v>
      </c>
      <c r="AB147" s="287">
        <f>AA147</f>
        <v>4</v>
      </c>
    </row>
    <row r="148" spans="1:28" ht="40.049999999999997" customHeight="1" x14ac:dyDescent="0.3">
      <c r="A148" s="289" t="s">
        <v>364</v>
      </c>
      <c r="B148" s="913" t="s">
        <v>365</v>
      </c>
      <c r="C148" s="291"/>
      <c r="D148" s="292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3"/>
      <c r="W148" s="293"/>
      <c r="X148" s="293"/>
      <c r="Y148" s="293"/>
      <c r="Z148" s="293"/>
      <c r="AA148" s="293"/>
      <c r="AB148" s="295"/>
    </row>
    <row r="149" spans="1:28" ht="40.049999999999997" customHeight="1" x14ac:dyDescent="0.3">
      <c r="A149" s="917" t="s">
        <v>366</v>
      </c>
      <c r="B149" s="496" t="s">
        <v>367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8"/>
      <c r="Z149" s="288"/>
      <c r="AA149" s="286">
        <f t="shared" ref="AA149:AA156" si="12">COUNTIF(C149:Z149,"&gt;=R")</f>
        <v>0</v>
      </c>
      <c r="AB149" s="287">
        <f t="shared" ref="AB149:AB156" si="13">AA149</f>
        <v>0</v>
      </c>
    </row>
    <row r="150" spans="1:28" ht="40.049999999999997" customHeight="1" x14ac:dyDescent="0.3">
      <c r="A150" s="918" t="s">
        <v>368</v>
      </c>
      <c r="B150" s="313" t="s">
        <v>369</v>
      </c>
      <c r="C150" s="302"/>
      <c r="D150" s="302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8"/>
      <c r="V150" s="288"/>
      <c r="W150" s="288"/>
      <c r="X150" s="288"/>
      <c r="Y150" s="288"/>
      <c r="Z150" s="288"/>
      <c r="AA150" s="286">
        <f t="shared" si="12"/>
        <v>0</v>
      </c>
      <c r="AB150" s="287">
        <f t="shared" si="13"/>
        <v>0</v>
      </c>
    </row>
    <row r="151" spans="1:28" ht="40.049999999999997" customHeight="1" x14ac:dyDescent="0.3">
      <c r="A151" s="918" t="s">
        <v>370</v>
      </c>
      <c r="B151" s="313" t="s">
        <v>371</v>
      </c>
      <c r="C151" s="284"/>
      <c r="D151" s="302"/>
      <c r="E151" s="285"/>
      <c r="F151" s="288"/>
      <c r="G151" s="285"/>
      <c r="H151" s="288"/>
      <c r="I151" s="285"/>
      <c r="J151" s="288"/>
      <c r="K151" s="285"/>
      <c r="L151" s="288"/>
      <c r="M151" s="285"/>
      <c r="N151" s="288"/>
      <c r="O151" s="285"/>
      <c r="P151" s="288"/>
      <c r="Q151" s="285"/>
      <c r="R151" s="288"/>
      <c r="S151" s="285"/>
      <c r="T151" s="288"/>
      <c r="U151" s="285"/>
      <c r="V151" s="288"/>
      <c r="W151" s="285"/>
      <c r="X151" s="288"/>
      <c r="Y151" s="285"/>
      <c r="Z151" s="288"/>
      <c r="AA151" s="286">
        <f t="shared" si="12"/>
        <v>0</v>
      </c>
      <c r="AB151" s="287">
        <f t="shared" si="13"/>
        <v>0</v>
      </c>
    </row>
    <row r="152" spans="1:28" ht="40.049999999999997" customHeight="1" x14ac:dyDescent="0.3">
      <c r="A152" s="312" t="s">
        <v>372</v>
      </c>
      <c r="B152" s="497" t="s">
        <v>373</v>
      </c>
      <c r="C152" s="284" t="s">
        <v>77</v>
      </c>
      <c r="D152" s="302"/>
      <c r="E152" s="288" t="s">
        <v>75</v>
      </c>
      <c r="F152" s="288"/>
      <c r="G152" s="288" t="s">
        <v>75</v>
      </c>
      <c r="H152" s="288"/>
      <c r="I152" s="285" t="s">
        <v>75</v>
      </c>
      <c r="J152" s="288"/>
      <c r="K152" s="285" t="s">
        <v>75</v>
      </c>
      <c r="L152" s="288"/>
      <c r="M152" s="285" t="s">
        <v>66</v>
      </c>
      <c r="N152" s="288"/>
      <c r="O152" s="285" t="s">
        <v>66</v>
      </c>
      <c r="P152" s="288"/>
      <c r="Q152" s="285" t="s">
        <v>77</v>
      </c>
      <c r="R152" s="288"/>
      <c r="S152" s="285" t="s">
        <v>75</v>
      </c>
      <c r="T152" s="288"/>
      <c r="U152" s="285" t="s">
        <v>75</v>
      </c>
      <c r="V152" s="288"/>
      <c r="W152" s="288" t="s">
        <v>75</v>
      </c>
      <c r="X152" s="288"/>
      <c r="Y152" s="288" t="s">
        <v>75</v>
      </c>
      <c r="Z152" s="288"/>
      <c r="AA152" s="286">
        <f t="shared" si="12"/>
        <v>12</v>
      </c>
      <c r="AB152" s="287">
        <f t="shared" si="13"/>
        <v>12</v>
      </c>
    </row>
    <row r="153" spans="1:28" ht="40.049999999999997" customHeight="1" x14ac:dyDescent="0.3">
      <c r="A153" s="312" t="s">
        <v>374</v>
      </c>
      <c r="B153" s="497" t="s">
        <v>375</v>
      </c>
      <c r="C153" s="284"/>
      <c r="D153" s="302"/>
      <c r="E153" s="288"/>
      <c r="F153" s="288"/>
      <c r="G153" s="288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5"/>
      <c r="V153" s="288"/>
      <c r="W153" s="288"/>
      <c r="X153" s="288"/>
      <c r="Y153" s="288"/>
      <c r="Z153" s="288"/>
      <c r="AA153" s="286">
        <f t="shared" si="12"/>
        <v>0</v>
      </c>
      <c r="AB153" s="287">
        <f t="shared" si="13"/>
        <v>0</v>
      </c>
    </row>
    <row r="154" spans="1:28" ht="40.049999999999997" customHeight="1" x14ac:dyDescent="0.3">
      <c r="A154" s="312" t="s">
        <v>376</v>
      </c>
      <c r="B154" s="497" t="s">
        <v>377</v>
      </c>
      <c r="C154" s="284"/>
      <c r="D154" s="302"/>
      <c r="E154" s="285"/>
      <c r="F154" s="288"/>
      <c r="G154" s="285"/>
      <c r="H154" s="288"/>
      <c r="I154" s="285"/>
      <c r="J154" s="288"/>
      <c r="K154" s="285"/>
      <c r="L154" s="288"/>
      <c r="M154" s="285"/>
      <c r="N154" s="288"/>
      <c r="O154" s="285"/>
      <c r="P154" s="288"/>
      <c r="Q154" s="285"/>
      <c r="R154" s="288"/>
      <c r="S154" s="285"/>
      <c r="T154" s="288"/>
      <c r="U154" s="285"/>
      <c r="V154" s="288"/>
      <c r="W154" s="285"/>
      <c r="X154" s="288"/>
      <c r="Y154" s="285"/>
      <c r="Z154" s="288"/>
      <c r="AA154" s="286">
        <f t="shared" si="12"/>
        <v>0</v>
      </c>
      <c r="AB154" s="287">
        <f t="shared" si="13"/>
        <v>0</v>
      </c>
    </row>
    <row r="155" spans="1:28" ht="40.049999999999997" customHeight="1" x14ac:dyDescent="0.3">
      <c r="A155" s="312" t="s">
        <v>374</v>
      </c>
      <c r="B155" s="498" t="s">
        <v>375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8"/>
      <c r="Z155" s="288"/>
      <c r="AA155" s="286">
        <f t="shared" si="12"/>
        <v>0</v>
      </c>
      <c r="AB155" s="287">
        <f t="shared" si="13"/>
        <v>0</v>
      </c>
    </row>
    <row r="156" spans="1:28" ht="40.049999999999997" customHeight="1" x14ac:dyDescent="0.65">
      <c r="A156" s="357" t="s">
        <v>378</v>
      </c>
      <c r="B156" s="903" t="s">
        <v>379</v>
      </c>
      <c r="C156" s="302"/>
      <c r="D156" s="302"/>
      <c r="E156" s="288"/>
      <c r="F156" s="288"/>
      <c r="G156" s="288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8"/>
      <c r="T156" s="288"/>
      <c r="U156" s="288"/>
      <c r="V156" s="288"/>
      <c r="W156" s="288"/>
      <c r="X156" s="288"/>
      <c r="Y156" s="288"/>
      <c r="Z156" s="288"/>
      <c r="AA156" s="286">
        <f t="shared" si="12"/>
        <v>0</v>
      </c>
      <c r="AB156" s="287">
        <f t="shared" si="13"/>
        <v>0</v>
      </c>
    </row>
    <row r="157" spans="1:28" ht="40.049999999999997" customHeight="1" x14ac:dyDescent="0.3">
      <c r="A157" s="289" t="s">
        <v>380</v>
      </c>
      <c r="B157" s="913" t="s">
        <v>381</v>
      </c>
      <c r="C157" s="291"/>
      <c r="D157" s="292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3"/>
      <c r="W157" s="293"/>
      <c r="X157" s="293"/>
      <c r="Y157" s="293"/>
      <c r="Z157" s="293"/>
      <c r="AA157" s="293"/>
      <c r="AB157" s="295"/>
    </row>
    <row r="158" spans="1:28" ht="40.049999999999997" customHeight="1" x14ac:dyDescent="0.3">
      <c r="A158" s="308" t="s">
        <v>382</v>
      </c>
      <c r="B158" s="902" t="s">
        <v>383</v>
      </c>
      <c r="C158" s="283"/>
      <c r="D158" s="302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8"/>
      <c r="Z158" s="288"/>
      <c r="AA158" s="286">
        <f>COUNTIF(C158:Z158,"&gt;=R")</f>
        <v>0</v>
      </c>
      <c r="AB158" s="287">
        <f>AA158</f>
        <v>0</v>
      </c>
    </row>
    <row r="159" spans="1:28" ht="40.049999999999997" customHeight="1" x14ac:dyDescent="0.3">
      <c r="A159" s="308" t="s">
        <v>384</v>
      </c>
      <c r="B159" s="902" t="s">
        <v>385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3"/>
      <c r="V159" s="288"/>
      <c r="W159" s="283"/>
      <c r="X159" s="288"/>
      <c r="Y159" s="283"/>
      <c r="Z159" s="288"/>
      <c r="AA159" s="286">
        <f>COUNTIF(C159:Z159,"&gt;=R")</f>
        <v>0</v>
      </c>
      <c r="AB159" s="287">
        <f>AA159</f>
        <v>0</v>
      </c>
    </row>
    <row r="160" spans="1:28" ht="40.049999999999997" customHeight="1" x14ac:dyDescent="0.3">
      <c r="A160" s="308" t="s">
        <v>386</v>
      </c>
      <c r="B160" s="902" t="s">
        <v>387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3"/>
      <c r="V160" s="288"/>
      <c r="W160" s="283"/>
      <c r="X160" s="288"/>
      <c r="Y160" s="283"/>
      <c r="Z160" s="288"/>
      <c r="AA160" s="286">
        <f>COUNTIF(C160:Z160,"&gt;=R")</f>
        <v>0</v>
      </c>
      <c r="AB160" s="287">
        <f>AA160</f>
        <v>0</v>
      </c>
    </row>
    <row r="161" spans="1:53" ht="40.049999999999997" customHeight="1" x14ac:dyDescent="0.3">
      <c r="A161" s="308" t="s">
        <v>388</v>
      </c>
      <c r="B161" s="902" t="s">
        <v>389</v>
      </c>
      <c r="C161" s="283"/>
      <c r="D161" s="302"/>
      <c r="E161" s="283"/>
      <c r="F161" s="288"/>
      <c r="G161" s="283"/>
      <c r="H161" s="288"/>
      <c r="I161" s="283"/>
      <c r="J161" s="288"/>
      <c r="K161" s="283"/>
      <c r="L161" s="288"/>
      <c r="M161" s="283"/>
      <c r="N161" s="288"/>
      <c r="O161" s="283"/>
      <c r="P161" s="288"/>
      <c r="Q161" s="283"/>
      <c r="R161" s="288"/>
      <c r="S161" s="283"/>
      <c r="T161" s="288"/>
      <c r="U161" s="283"/>
      <c r="V161" s="288"/>
      <c r="W161" s="283"/>
      <c r="X161" s="288"/>
      <c r="Y161" s="283"/>
      <c r="Z161" s="288"/>
      <c r="AA161" s="286">
        <f>COUNTIF(C161:Z161,"&gt;=R")</f>
        <v>0</v>
      </c>
      <c r="AB161" s="287">
        <f>AA161</f>
        <v>0</v>
      </c>
    </row>
    <row r="162" spans="1:53" ht="40.049999999999997" customHeight="1" x14ac:dyDescent="0.3">
      <c r="A162" s="289" t="s">
        <v>390</v>
      </c>
      <c r="B162" s="916" t="s">
        <v>391</v>
      </c>
      <c r="C162" s="291"/>
      <c r="D162" s="292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3"/>
      <c r="W162" s="293"/>
      <c r="X162" s="293"/>
      <c r="Y162" s="293"/>
      <c r="Z162" s="293"/>
      <c r="AA162" s="293"/>
      <c r="AB162" s="295"/>
    </row>
    <row r="163" spans="1:53" ht="40.049999999999997" customHeight="1" x14ac:dyDescent="0.3">
      <c r="A163" s="918" t="s">
        <v>392</v>
      </c>
      <c r="B163" s="313" t="s">
        <v>393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3"/>
      <c r="Z163" s="288"/>
      <c r="AA163" s="286">
        <f>COUNTIF(C163:Z163,"&gt;=R")</f>
        <v>0</v>
      </c>
      <c r="AB163" s="287">
        <f>AA163</f>
        <v>0</v>
      </c>
    </row>
    <row r="164" spans="1:53" ht="40.049999999999997" customHeight="1" x14ac:dyDescent="0.65">
      <c r="A164" s="918" t="s">
        <v>394</v>
      </c>
      <c r="B164" s="313" t="s">
        <v>395</v>
      </c>
      <c r="C164" s="283"/>
      <c r="D164" s="302"/>
      <c r="E164" s="283"/>
      <c r="F164" s="288"/>
      <c r="G164" s="283"/>
      <c r="H164" s="288"/>
      <c r="I164" s="288"/>
      <c r="J164" s="288"/>
      <c r="K164" s="283"/>
      <c r="L164" s="288"/>
      <c r="M164" s="283"/>
      <c r="N164" s="288"/>
      <c r="O164" s="283"/>
      <c r="P164" s="288"/>
      <c r="Q164" s="283"/>
      <c r="R164" s="288"/>
      <c r="S164" s="283"/>
      <c r="T164" s="288"/>
      <c r="U164" s="283"/>
      <c r="V164" s="288"/>
      <c r="W164" s="283"/>
      <c r="X164" s="288"/>
      <c r="Y164" s="283"/>
      <c r="Z164" s="288"/>
      <c r="AA164" s="286">
        <f>COUNTIF(C164:Z164,"&gt;=R")</f>
        <v>0</v>
      </c>
      <c r="AB164" s="287">
        <f>AA164</f>
        <v>0</v>
      </c>
      <c r="AC164" s="393"/>
      <c r="AD164" s="393"/>
      <c r="AE164" s="393"/>
      <c r="AF164" s="393"/>
      <c r="AG164" s="393"/>
      <c r="AH164" s="393"/>
      <c r="AI164" s="393"/>
    </row>
    <row r="165" spans="1:53" ht="40.049999999999997" customHeight="1" thickBot="1" x14ac:dyDescent="0.7">
      <c r="A165" s="919" t="s">
        <v>396</v>
      </c>
      <c r="B165" s="499" t="s">
        <v>397</v>
      </c>
      <c r="C165" s="327"/>
      <c r="D165" s="328"/>
      <c r="E165" s="327"/>
      <c r="F165" s="329"/>
      <c r="G165" s="327"/>
      <c r="H165" s="329"/>
      <c r="I165" s="329"/>
      <c r="J165" s="329"/>
      <c r="K165" s="327"/>
      <c r="L165" s="329"/>
      <c r="M165" s="327"/>
      <c r="N165" s="329"/>
      <c r="O165" s="327"/>
      <c r="P165" s="329"/>
      <c r="Q165" s="327"/>
      <c r="R165" s="329"/>
      <c r="S165" s="327"/>
      <c r="T165" s="329"/>
      <c r="U165" s="327"/>
      <c r="V165" s="329"/>
      <c r="W165" s="327"/>
      <c r="X165" s="329"/>
      <c r="Y165" s="327"/>
      <c r="Z165" s="329"/>
      <c r="AA165" s="286">
        <f>COUNTIF(C165:Z165,"&gt;=R")</f>
        <v>0</v>
      </c>
      <c r="AB165" s="287">
        <f>AA165</f>
        <v>0</v>
      </c>
      <c r="AC165" s="393"/>
      <c r="AD165" s="393"/>
      <c r="AE165" s="393"/>
      <c r="AF165" s="393"/>
      <c r="AG165" s="393"/>
      <c r="AH165" s="393"/>
      <c r="AI165" s="393"/>
    </row>
    <row r="166" spans="1:53" ht="25.2" customHeight="1" x14ac:dyDescent="0.4">
      <c r="A166" s="214"/>
      <c r="B166" s="2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"/>
      <c r="AD166" s="1"/>
      <c r="AE166" s="1"/>
      <c r="AF166" s="1"/>
      <c r="AG166" s="1"/>
      <c r="AH166" s="1"/>
      <c r="AI166" s="1"/>
    </row>
    <row r="167" spans="1:53" ht="25.2" customHeight="1" x14ac:dyDescent="0.4">
      <c r="A167" s="214"/>
      <c r="B167" s="2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ht="25.2" customHeight="1" x14ac:dyDescent="0.4">
      <c r="A168" s="214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ht="25.2" customHeight="1" x14ac:dyDescent="0.4">
      <c r="A169" s="214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ht="25.2" customHeight="1" x14ac:dyDescent="0.4">
      <c r="A170" s="214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ht="25.2" customHeight="1" x14ac:dyDescent="0.4">
      <c r="A171" s="214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ht="25.2" customHeight="1" x14ac:dyDescent="0.4">
      <c r="A172" s="214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ht="25.2" customHeight="1" x14ac:dyDescent="0.4">
      <c r="A173" s="216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ht="25.2" customHeight="1" x14ac:dyDescent="0.4">
      <c r="A174" s="21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ht="25.2" customHeight="1" x14ac:dyDescent="0.4">
      <c r="A175" s="21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ht="25.2" customHeight="1" x14ac:dyDescent="0.4">
      <c r="A176" s="216"/>
      <c r="B176" s="2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ht="25.2" customHeight="1" x14ac:dyDescent="0.4">
      <c r="A177" s="217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ht="25.2" customHeight="1" x14ac:dyDescent="0.4">
      <c r="A178" s="218"/>
      <c r="B178" s="219"/>
      <c r="C178" s="220"/>
      <c r="D178" s="220"/>
      <c r="E178" s="220"/>
      <c r="F178" s="1213"/>
      <c r="G178" s="1143"/>
      <c r="H178" s="1143"/>
      <c r="I178" s="1143"/>
      <c r="J178" s="1143"/>
      <c r="K178" s="115"/>
      <c r="L178" s="115"/>
      <c r="M178" s="115"/>
      <c r="N178" s="1213"/>
      <c r="O178" s="1143"/>
      <c r="P178" s="1143"/>
      <c r="Q178" s="1143"/>
      <c r="R178" s="1143"/>
      <c r="S178" s="220"/>
      <c r="T178" s="220"/>
      <c r="U178" s="221"/>
      <c r="V178" s="221"/>
      <c r="W178" s="221"/>
      <c r="X178" s="221"/>
      <c r="Y178" s="221"/>
      <c r="Z178" s="115"/>
      <c r="AA178" s="115"/>
      <c r="AB178" s="114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s="357" customFormat="1" ht="25.2" customHeight="1" x14ac:dyDescent="0.65">
      <c r="A179" s="480"/>
      <c r="B179" s="330" t="s">
        <v>398</v>
      </c>
      <c r="C179" s="330"/>
      <c r="D179" s="330"/>
      <c r="E179" s="330"/>
      <c r="F179" s="1097" t="s">
        <v>44</v>
      </c>
      <c r="G179" s="1042"/>
      <c r="H179" s="1042"/>
      <c r="I179" s="1042"/>
      <c r="J179" s="1042"/>
      <c r="K179" s="474"/>
      <c r="L179" s="474"/>
      <c r="M179" s="474"/>
      <c r="N179" s="1097" t="s">
        <v>399</v>
      </c>
      <c r="O179" s="1042"/>
      <c r="P179" s="1042"/>
      <c r="Q179" s="1042"/>
      <c r="R179" s="1042"/>
      <c r="S179" s="474"/>
      <c r="T179" s="474"/>
      <c r="U179" s="1070" t="s">
        <v>422</v>
      </c>
      <c r="V179" s="1009"/>
      <c r="W179" s="1009"/>
      <c r="X179" s="1009"/>
      <c r="Y179" s="1009"/>
      <c r="Z179" s="474"/>
      <c r="AA179" s="474"/>
      <c r="AJ179" s="475"/>
      <c r="AK179" s="475"/>
      <c r="AL179" s="393"/>
      <c r="AM179" s="393"/>
      <c r="AN179" s="393"/>
      <c r="AO179" s="393"/>
      <c r="AP179" s="393"/>
      <c r="AQ179" s="393"/>
      <c r="AR179" s="393"/>
      <c r="AS179" s="393"/>
      <c r="AT179" s="393"/>
      <c r="AU179" s="393"/>
      <c r="AV179" s="1083"/>
      <c r="AW179" s="1042"/>
      <c r="AX179" s="1042"/>
      <c r="AY179" s="1042"/>
      <c r="AZ179" s="1042"/>
      <c r="BA179" s="393"/>
    </row>
    <row r="180" spans="1:53" s="357" customFormat="1" ht="25.2" customHeight="1" x14ac:dyDescent="0.65">
      <c r="A180" s="480"/>
      <c r="B180" s="476" t="s">
        <v>35</v>
      </c>
      <c r="C180" s="476"/>
      <c r="D180" s="476"/>
      <c r="E180" s="476"/>
      <c r="F180" s="1092" t="s">
        <v>54</v>
      </c>
      <c r="G180" s="1042"/>
      <c r="H180" s="1042"/>
      <c r="I180" s="1042"/>
      <c r="J180" s="1042"/>
      <c r="K180" s="477"/>
      <c r="L180" s="477"/>
      <c r="M180" s="477"/>
      <c r="N180" s="1041" t="s">
        <v>400</v>
      </c>
      <c r="O180" s="1042"/>
      <c r="P180" s="1042"/>
      <c r="Q180" s="1042"/>
      <c r="R180" s="1042"/>
      <c r="S180" s="481"/>
      <c r="T180" s="481"/>
      <c r="U180" s="1041" t="s">
        <v>74</v>
      </c>
      <c r="V180" s="1042"/>
      <c r="W180" s="1042"/>
      <c r="X180" s="1042"/>
      <c r="Y180" s="1042"/>
      <c r="Z180" s="481"/>
      <c r="AA180" s="481"/>
      <c r="AJ180" s="479"/>
      <c r="AK180" s="479"/>
      <c r="AL180" s="393"/>
      <c r="AM180" s="393"/>
      <c r="AN180" s="393"/>
      <c r="AO180" s="393"/>
      <c r="AP180" s="393"/>
      <c r="AQ180" s="393"/>
      <c r="AR180" s="393"/>
      <c r="AS180" s="393"/>
      <c r="AT180" s="393"/>
      <c r="AU180" s="393"/>
      <c r="AV180" s="1071"/>
      <c r="AW180" s="1042"/>
      <c r="AX180" s="1042"/>
      <c r="AY180" s="1042"/>
      <c r="AZ180" s="1042"/>
      <c r="BA180" s="393"/>
    </row>
    <row r="181" spans="1:53" ht="18" customHeight="1" x14ac:dyDescent="0.4">
      <c r="A181" s="897"/>
      <c r="B181" s="116"/>
      <c r="C181" s="116"/>
      <c r="D181" s="116"/>
      <c r="E181" s="116"/>
      <c r="F181" s="116"/>
      <c r="G181" s="224"/>
      <c r="H181" s="224"/>
      <c r="I181" s="115"/>
      <c r="J181" s="115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081"/>
      <c r="W181" s="978"/>
      <c r="X181" s="978"/>
      <c r="Y181" s="978"/>
      <c r="Z181" s="978"/>
      <c r="AA181" s="978"/>
      <c r="AB181" s="115"/>
      <c r="AC181" s="9"/>
      <c r="AD181" s="9"/>
      <c r="AE181" s="9"/>
      <c r="AF181" s="9"/>
      <c r="AG181" s="9"/>
      <c r="AH181" s="9"/>
      <c r="AI181" s="9"/>
      <c r="AJ181" s="9"/>
      <c r="AK181" s="9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</sheetData>
  <mergeCells count="85">
    <mergeCell ref="K6:M6"/>
    <mergeCell ref="G10:I13"/>
    <mergeCell ref="AA12:AB12"/>
    <mergeCell ref="W5:Y5"/>
    <mergeCell ref="A1:A3"/>
    <mergeCell ref="K13:M13"/>
    <mergeCell ref="S4:U4"/>
    <mergeCell ref="C1:AB3"/>
    <mergeCell ref="W13:Y13"/>
    <mergeCell ref="S12:U12"/>
    <mergeCell ref="W6:Y6"/>
    <mergeCell ref="O6:Q6"/>
    <mergeCell ref="S7:U7"/>
    <mergeCell ref="G4:I9"/>
    <mergeCell ref="S10:U10"/>
    <mergeCell ref="C4:F9"/>
    <mergeCell ref="S9:U9"/>
    <mergeCell ref="O8:Q8"/>
    <mergeCell ref="W11:Y11"/>
    <mergeCell ref="O11:Q11"/>
    <mergeCell ref="V181:AA181"/>
    <mergeCell ref="AA10:AB10"/>
    <mergeCell ref="B15:B17"/>
    <mergeCell ref="AA9:AB9"/>
    <mergeCell ref="C10:F13"/>
    <mergeCell ref="F179:J179"/>
    <mergeCell ref="E17:F17"/>
    <mergeCell ref="G17:H17"/>
    <mergeCell ref="S17:T17"/>
    <mergeCell ref="U17:V17"/>
    <mergeCell ref="N180:R180"/>
    <mergeCell ref="Y17:Z17"/>
    <mergeCell ref="K7:M7"/>
    <mergeCell ref="AA4:AB4"/>
    <mergeCell ref="K4:M4"/>
    <mergeCell ref="AV180:AZ180"/>
    <mergeCell ref="O13:Q13"/>
    <mergeCell ref="O7:Q7"/>
    <mergeCell ref="W4:Y4"/>
    <mergeCell ref="U180:Y180"/>
    <mergeCell ref="K17:L17"/>
    <mergeCell ref="N178:R178"/>
    <mergeCell ref="W10:Y10"/>
    <mergeCell ref="AV179:AZ179"/>
    <mergeCell ref="W17:X17"/>
    <mergeCell ref="S8:U8"/>
    <mergeCell ref="AA8:AB8"/>
    <mergeCell ref="AA5:AB5"/>
    <mergeCell ref="B1:B3"/>
    <mergeCell ref="Q17:R17"/>
    <mergeCell ref="K9:M9"/>
    <mergeCell ref="K5:M5"/>
    <mergeCell ref="AA11:AB11"/>
    <mergeCell ref="O9:Q9"/>
    <mergeCell ref="S11:U11"/>
    <mergeCell ref="K11:M11"/>
    <mergeCell ref="O5:Q5"/>
    <mergeCell ref="U16:Z16"/>
    <mergeCell ref="A14:AB14"/>
    <mergeCell ref="K12:M12"/>
    <mergeCell ref="W12:Y12"/>
    <mergeCell ref="K8:M8"/>
    <mergeCell ref="AA6:AB6"/>
    <mergeCell ref="O12:Q12"/>
    <mergeCell ref="F180:J180"/>
    <mergeCell ref="AA16:AB16"/>
    <mergeCell ref="C17:D17"/>
    <mergeCell ref="O10:Q10"/>
    <mergeCell ref="M17:N17"/>
    <mergeCell ref="O17:P17"/>
    <mergeCell ref="F178:J178"/>
    <mergeCell ref="I17:J17"/>
    <mergeCell ref="U179:Y179"/>
    <mergeCell ref="A15:A17"/>
    <mergeCell ref="W8:Y8"/>
    <mergeCell ref="N179:R179"/>
    <mergeCell ref="K10:M10"/>
    <mergeCell ref="W9:Y9"/>
    <mergeCell ref="O4:Q4"/>
    <mergeCell ref="S13:U13"/>
    <mergeCell ref="AA13:AB13"/>
    <mergeCell ref="W7:Y7"/>
    <mergeCell ref="S6:U6"/>
    <mergeCell ref="AA7:AB7"/>
    <mergeCell ref="S5:U5"/>
  </mergeCells>
  <conditionalFormatting sqref="C34:Z34">
    <cfRule type="containsText" dxfId="1021" priority="72" operator="containsText" text="R31">
      <formula>NOT(ISERROR(SEARCH("R31",C34)))</formula>
    </cfRule>
    <cfRule type="containsText" dxfId="1020" priority="71" operator="containsText" text="R32">
      <formula>NOT(ISERROR(SEARCH("R32",C34)))</formula>
    </cfRule>
    <cfRule type="containsText" dxfId="1019" priority="70" operator="containsText" text="R34">
      <formula>NOT(ISERROR(SEARCH("R34",C34)))</formula>
    </cfRule>
    <cfRule type="containsText" dxfId="1018" priority="69" operator="containsText" text="R35">
      <formula>NOT(ISERROR(SEARCH("R35",C34)))</formula>
    </cfRule>
    <cfRule type="containsText" dxfId="1017" priority="68" operator="containsText" text="R36">
      <formula>NOT(ISERROR(SEARCH("R36",C34)))</formula>
    </cfRule>
    <cfRule type="containsText" dxfId="1016" priority="67" operator="containsText" text="R37">
      <formula>NOT(ISERROR(SEARCH("R37",C34)))</formula>
    </cfRule>
    <cfRule type="cellIs" dxfId="1015" priority="100" stopIfTrue="1" operator="equal">
      <formula>0</formula>
    </cfRule>
    <cfRule type="cellIs" dxfId="1014" priority="99" stopIfTrue="1" operator="notEqual">
      <formula>0</formula>
    </cfRule>
    <cfRule type="containsText" dxfId="1013" priority="94" operator="containsText" text="R4">
      <formula>NOT(ISERROR(SEARCH("R4",C34)))</formula>
    </cfRule>
    <cfRule type="containsText" dxfId="1012" priority="93" operator="containsText" text="R5">
      <formula>NOT(ISERROR(SEARCH("R5",C34)))</formula>
    </cfRule>
    <cfRule type="containsText" dxfId="1011" priority="92" operator="containsText" text="R6">
      <formula>NOT(ISERROR(SEARCH("R6",C34)))</formula>
    </cfRule>
    <cfRule type="containsText" dxfId="1010" priority="91" operator="containsText" text="R7">
      <formula>NOT(ISERROR(SEARCH("R7",C34)))</formula>
    </cfRule>
    <cfRule type="containsText" dxfId="1009" priority="90" operator="containsText" text="R8">
      <formula>NOT(ISERROR(SEARCH("R8",C34)))</formula>
    </cfRule>
    <cfRule type="containsText" dxfId="1008" priority="89" operator="containsText" text="R9">
      <formula>NOT(ISERROR(SEARCH("R9",C34)))</formula>
    </cfRule>
    <cfRule type="containsText" dxfId="1007" priority="88" operator="containsText" text="R10">
      <formula>NOT(ISERROR(SEARCH("R10",C34)))</formula>
    </cfRule>
    <cfRule type="containsText" dxfId="1006" priority="87" operator="containsText" text="R11">
      <formula>NOT(ISERROR(SEARCH("R11",C34)))</formula>
    </cfRule>
    <cfRule type="containsText" dxfId="1005" priority="86" operator="containsText" text="R12">
      <formula>NOT(ISERROR(SEARCH("R12",C34)))</formula>
    </cfRule>
    <cfRule type="containsText" dxfId="1004" priority="85" operator="containsText" text="R14">
      <formula>NOT(ISERROR(SEARCH("R14",C34)))</formula>
    </cfRule>
    <cfRule type="containsText" dxfId="1003" priority="84" operator="containsText" text="R13">
      <formula>NOT(ISERROR(SEARCH("R13",C34)))</formula>
    </cfRule>
    <cfRule type="containsText" dxfId="1002" priority="83" operator="containsText" text="R15">
      <formula>NOT(ISERROR(SEARCH("R15",C34)))</formula>
    </cfRule>
    <cfRule type="containsText" dxfId="1001" priority="82" operator="containsText" text="R16">
      <formula>NOT(ISERROR(SEARCH("R16",C34)))</formula>
    </cfRule>
    <cfRule type="containsText" dxfId="1000" priority="81" operator="containsText" text="R17">
      <formula>NOT(ISERROR(SEARCH("R17",C34)))</formula>
    </cfRule>
    <cfRule type="containsText" dxfId="999" priority="80" operator="containsText" text="R20">
      <formula>NOT(ISERROR(SEARCH("R20",C34)))</formula>
    </cfRule>
    <cfRule type="containsText" dxfId="998" priority="79" operator="containsText" text="R21">
      <formula>NOT(ISERROR(SEARCH("R21",C34)))</formula>
    </cfRule>
    <cfRule type="containsText" dxfId="997" priority="78" operator="containsText" text="R22">
      <formula>NOT(ISERROR(SEARCH("R22",C34)))</formula>
    </cfRule>
    <cfRule type="containsText" dxfId="996" priority="77" operator="containsText" text="R23">
      <formula>NOT(ISERROR(SEARCH("R23",C34)))</formula>
    </cfRule>
    <cfRule type="containsText" dxfId="995" priority="76" operator="containsText" text="R24">
      <formula>NOT(ISERROR(SEARCH("R24",C34)))</formula>
    </cfRule>
    <cfRule type="containsText" dxfId="994" priority="75" operator="containsText" text="R25">
      <formula>NOT(ISERROR(SEARCH("R25",C34)))</formula>
    </cfRule>
    <cfRule type="containsText" dxfId="993" priority="74" operator="containsText" text="R29">
      <formula>NOT(ISERROR(SEARCH("R29",C34)))</formula>
    </cfRule>
    <cfRule type="containsText" dxfId="992" priority="73" operator="containsText" text="R30">
      <formula>NOT(ISERROR(SEARCH("R30",C34)))</formula>
    </cfRule>
  </conditionalFormatting>
  <conditionalFormatting sqref="C55:Z55">
    <cfRule type="containsText" dxfId="991" priority="61" operator="containsText" text="R7">
      <formula>NOT(ISERROR(SEARCH("R7",C55)))</formula>
    </cfRule>
    <cfRule type="containsText" dxfId="990" priority="62" operator="containsText" text="R6">
      <formula>NOT(ISERROR(SEARCH("R6",C55)))</formula>
    </cfRule>
    <cfRule type="containsText" dxfId="989" priority="63" operator="containsText" text="R5">
      <formula>NOT(ISERROR(SEARCH("R5",C55)))</formula>
    </cfRule>
    <cfRule type="containsText" dxfId="988" priority="64" operator="containsText" text="R4">
      <formula>NOT(ISERROR(SEARCH("R4",C55)))</formula>
    </cfRule>
    <cfRule type="cellIs" dxfId="987" priority="65" stopIfTrue="1" operator="notEqual">
      <formula>0</formula>
    </cfRule>
    <cfRule type="cellIs" dxfId="986" priority="66" stopIfTrue="1" operator="equal">
      <formula>0</formula>
    </cfRule>
    <cfRule type="containsText" dxfId="985" priority="37" operator="containsText" text="R37">
      <formula>NOT(ISERROR(SEARCH("R37",C55)))</formula>
    </cfRule>
    <cfRule type="containsText" dxfId="984" priority="38" operator="containsText" text="R36">
      <formula>NOT(ISERROR(SEARCH("R36",C55)))</formula>
    </cfRule>
    <cfRule type="containsText" dxfId="983" priority="39" operator="containsText" text="R35">
      <formula>NOT(ISERROR(SEARCH("R35",C55)))</formula>
    </cfRule>
    <cfRule type="containsText" dxfId="982" priority="40" operator="containsText" text="R34">
      <formula>NOT(ISERROR(SEARCH("R34",C55)))</formula>
    </cfRule>
    <cfRule type="containsText" dxfId="981" priority="41" operator="containsText" text="R32">
      <formula>NOT(ISERROR(SEARCH("R32",C55)))</formula>
    </cfRule>
    <cfRule type="containsText" dxfId="980" priority="42" operator="containsText" text="R31">
      <formula>NOT(ISERROR(SEARCH("R31",C55)))</formula>
    </cfRule>
    <cfRule type="containsText" dxfId="979" priority="43" operator="containsText" text="R30">
      <formula>NOT(ISERROR(SEARCH("R30",C55)))</formula>
    </cfRule>
    <cfRule type="containsText" dxfId="978" priority="44" operator="containsText" text="R29">
      <formula>NOT(ISERROR(SEARCH("R29",C55)))</formula>
    </cfRule>
    <cfRule type="containsText" dxfId="977" priority="45" operator="containsText" text="R25">
      <formula>NOT(ISERROR(SEARCH("R25",C55)))</formula>
    </cfRule>
    <cfRule type="containsText" dxfId="976" priority="46" operator="containsText" text="R24">
      <formula>NOT(ISERROR(SEARCH("R24",C55)))</formula>
    </cfRule>
    <cfRule type="containsText" dxfId="975" priority="47" operator="containsText" text="R23">
      <formula>NOT(ISERROR(SEARCH("R23",C55)))</formula>
    </cfRule>
    <cfRule type="containsText" dxfId="974" priority="48" operator="containsText" text="R22">
      <formula>NOT(ISERROR(SEARCH("R22",C55)))</formula>
    </cfRule>
    <cfRule type="containsText" dxfId="973" priority="49" operator="containsText" text="R21">
      <formula>NOT(ISERROR(SEARCH("R21",C55)))</formula>
    </cfRule>
    <cfRule type="containsText" dxfId="972" priority="50" operator="containsText" text="R20">
      <formula>NOT(ISERROR(SEARCH("R20",C55)))</formula>
    </cfRule>
    <cfRule type="containsText" dxfId="971" priority="51" operator="containsText" text="R17">
      <formula>NOT(ISERROR(SEARCH("R17",C55)))</formula>
    </cfRule>
    <cfRule type="containsText" dxfId="970" priority="52" operator="containsText" text="R16">
      <formula>NOT(ISERROR(SEARCH("R16",C55)))</formula>
    </cfRule>
    <cfRule type="containsText" dxfId="969" priority="53" operator="containsText" text="R15">
      <formula>NOT(ISERROR(SEARCH("R15",C55)))</formula>
    </cfRule>
    <cfRule type="containsText" dxfId="968" priority="54" operator="containsText" text="R13">
      <formula>NOT(ISERROR(SEARCH("R13",C55)))</formula>
    </cfRule>
    <cfRule type="containsText" dxfId="967" priority="55" operator="containsText" text="R14">
      <formula>NOT(ISERROR(SEARCH("R14",C55)))</formula>
    </cfRule>
    <cfRule type="containsText" dxfId="966" priority="56" operator="containsText" text="R12">
      <formula>NOT(ISERROR(SEARCH("R12",C55)))</formula>
    </cfRule>
    <cfRule type="containsText" dxfId="965" priority="57" operator="containsText" text="R11">
      <formula>NOT(ISERROR(SEARCH("R11",C55)))</formula>
    </cfRule>
    <cfRule type="containsText" dxfId="964" priority="58" operator="containsText" text="R10">
      <formula>NOT(ISERROR(SEARCH("R10",C55)))</formula>
    </cfRule>
    <cfRule type="containsText" dxfId="963" priority="59" operator="containsText" text="R9">
      <formula>NOT(ISERROR(SEARCH("R9",C55)))</formula>
    </cfRule>
    <cfRule type="containsText" dxfId="962" priority="60" operator="containsText" text="R8">
      <formula>NOT(ISERROR(SEARCH("R8",C55)))</formula>
    </cfRule>
  </conditionalFormatting>
  <conditionalFormatting sqref="C82:Z82">
    <cfRule type="containsText" dxfId="961" priority="1" operator="containsText" text="R37">
      <formula>NOT(ISERROR(SEARCH("R37",C82)))</formula>
    </cfRule>
    <cfRule type="containsText" dxfId="960" priority="2" operator="containsText" text="R36">
      <formula>NOT(ISERROR(SEARCH("R36",C82)))</formula>
    </cfRule>
    <cfRule type="containsText" dxfId="959" priority="3" operator="containsText" text="R35">
      <formula>NOT(ISERROR(SEARCH("R35",C82)))</formula>
    </cfRule>
    <cfRule type="containsText" dxfId="958" priority="4" operator="containsText" text="R34">
      <formula>NOT(ISERROR(SEARCH("R34",C82)))</formula>
    </cfRule>
    <cfRule type="containsText" dxfId="957" priority="5" operator="containsText" text="R32">
      <formula>NOT(ISERROR(SEARCH("R32",C82)))</formula>
    </cfRule>
    <cfRule type="containsText" dxfId="956" priority="6" operator="containsText" text="R31">
      <formula>NOT(ISERROR(SEARCH("R31",C82)))</formula>
    </cfRule>
    <cfRule type="containsText" dxfId="955" priority="14" operator="containsText" text="R24">
      <formula>NOT(ISERROR(SEARCH("R24",C82)))</formula>
    </cfRule>
    <cfRule type="containsText" dxfId="954" priority="25" operator="containsText" text="R11">
      <formula>NOT(ISERROR(SEARCH("R11",C82)))</formula>
    </cfRule>
    <cfRule type="containsText" dxfId="953" priority="9" operator="containsText" text="R25">
      <formula>NOT(ISERROR(SEARCH("R25",C82)))</formula>
    </cfRule>
    <cfRule type="containsText" dxfId="952" priority="8" operator="containsText" text="R29">
      <formula>NOT(ISERROR(SEARCH("R29",C82)))</formula>
    </cfRule>
    <cfRule type="containsText" dxfId="951" priority="32" operator="containsText" text="R4">
      <formula>NOT(ISERROR(SEARCH("R4",C82)))</formula>
    </cfRule>
    <cfRule type="containsText" dxfId="950" priority="31" operator="containsText" text="R5">
      <formula>NOT(ISERROR(SEARCH("R5",C82)))</formula>
    </cfRule>
    <cfRule type="containsText" dxfId="949" priority="30" operator="containsText" text="R6">
      <formula>NOT(ISERROR(SEARCH("R6",C82)))</formula>
    </cfRule>
    <cfRule type="containsText" dxfId="948" priority="29" operator="containsText" text="R7">
      <formula>NOT(ISERROR(SEARCH("R7",C82)))</formula>
    </cfRule>
    <cfRule type="containsText" dxfId="947" priority="28" operator="containsText" text="R8">
      <formula>NOT(ISERROR(SEARCH("R8",C82)))</formula>
    </cfRule>
    <cfRule type="containsText" dxfId="946" priority="27" operator="containsText" text="R9">
      <formula>NOT(ISERROR(SEARCH("R9",C82)))</formula>
    </cfRule>
    <cfRule type="containsText" dxfId="945" priority="26" operator="containsText" text="R10">
      <formula>NOT(ISERROR(SEARCH("R10",C82)))</formula>
    </cfRule>
    <cfRule type="containsText" dxfId="944" priority="7" operator="containsText" text="R30">
      <formula>NOT(ISERROR(SEARCH("R30",C82)))</formula>
    </cfRule>
    <cfRule type="containsText" dxfId="943" priority="24" operator="containsText" text="R12">
      <formula>NOT(ISERROR(SEARCH("R12",C82)))</formula>
    </cfRule>
    <cfRule type="containsText" dxfId="942" priority="23" operator="containsText" text="R14">
      <formula>NOT(ISERROR(SEARCH("R14",C82)))</formula>
    </cfRule>
    <cfRule type="containsText" dxfId="941" priority="22" operator="containsText" text="R13">
      <formula>NOT(ISERROR(SEARCH("R13",C82)))</formula>
    </cfRule>
    <cfRule type="containsText" dxfId="940" priority="21" operator="containsText" text="R15">
      <formula>NOT(ISERROR(SEARCH("R15",C82)))</formula>
    </cfRule>
    <cfRule type="containsText" dxfId="939" priority="20" operator="containsText" text="R16">
      <formula>NOT(ISERROR(SEARCH("R16",C82)))</formula>
    </cfRule>
    <cfRule type="containsText" dxfId="938" priority="19" operator="containsText" text="R17">
      <formula>NOT(ISERROR(SEARCH("R17",C82)))</formula>
    </cfRule>
    <cfRule type="containsText" dxfId="937" priority="18" operator="containsText" text="R20">
      <formula>NOT(ISERROR(SEARCH("R20",C82)))</formula>
    </cfRule>
    <cfRule type="containsText" dxfId="936" priority="17" operator="containsText" text="R21">
      <formula>NOT(ISERROR(SEARCH("R21",C82)))</formula>
    </cfRule>
    <cfRule type="containsText" dxfId="935" priority="16" operator="containsText" text="R22">
      <formula>NOT(ISERROR(SEARCH("R22",C82)))</formula>
    </cfRule>
    <cfRule type="containsText" dxfId="934" priority="15" operator="containsText" text="R23">
      <formula>NOT(ISERROR(SEARCH("R23",C82)))</formula>
    </cfRule>
  </conditionalFormatting>
  <conditionalFormatting sqref="E82 G82">
    <cfRule type="cellIs" dxfId="933" priority="13" stopIfTrue="1" operator="equal">
      <formula>0</formula>
    </cfRule>
  </conditionalFormatting>
  <conditionalFormatting sqref="E34:W34 Y34">
    <cfRule type="cellIs" dxfId="932" priority="95" stopIfTrue="1" operator="notEqual">
      <formula>0</formula>
    </cfRule>
    <cfRule type="cellIs" dxfId="931" priority="96" stopIfTrue="1" operator="equal">
      <formula>0</formula>
    </cfRule>
  </conditionalFormatting>
  <conditionalFormatting sqref="G82 E82">
    <cfRule type="cellIs" dxfId="930" priority="12" stopIfTrue="1" operator="notEqual">
      <formula>0</formula>
    </cfRule>
  </conditionalFormatting>
  <conditionalFormatting sqref="G82">
    <cfRule type="cellIs" dxfId="929" priority="36" stopIfTrue="1" operator="equal">
      <formula>0</formula>
    </cfRule>
    <cfRule type="cellIs" dxfId="928" priority="35" stopIfTrue="1" operator="notEqual">
      <formula>0</formula>
    </cfRule>
    <cfRule type="cellIs" dxfId="927" priority="11" stopIfTrue="1" operator="equal">
      <formula>0</formula>
    </cfRule>
    <cfRule type="cellIs" dxfId="926" priority="10" stopIfTrue="1" operator="notEqual">
      <formula>0</formula>
    </cfRule>
  </conditionalFormatting>
  <conditionalFormatting sqref="I82 K82 M82 O82 Q82 S82 U82 W82 Y82">
    <cfRule type="cellIs" dxfId="925" priority="34" stopIfTrue="1" operator="equal">
      <formula>0</formula>
    </cfRule>
    <cfRule type="cellIs" dxfId="924" priority="33" stopIfTrue="1" operator="notEqual">
      <formula>0</formula>
    </cfRule>
  </conditionalFormatting>
  <conditionalFormatting sqref="N34:O34">
    <cfRule type="cellIs" dxfId="923" priority="97" stopIfTrue="1" operator="notEqual">
      <formula>0</formula>
    </cfRule>
    <cfRule type="cellIs" dxfId="922" priority="98" stopIfTrue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/>
  <dimension ref="A1:BN179"/>
  <sheetViews>
    <sheetView zoomScale="25" zoomScaleNormal="25" workbookViewId="0">
      <selection activeCell="B188" sqref="B188"/>
    </sheetView>
  </sheetViews>
  <sheetFormatPr baseColWidth="10" defaultRowHeight="14.4" x14ac:dyDescent="0.3"/>
  <cols>
    <col min="1" max="1" width="57" bestFit="1" customWidth="1"/>
    <col min="2" max="2" width="233.88671875" bestFit="1" customWidth="1"/>
    <col min="45" max="45" width="19.21875" bestFit="1" customWidth="1"/>
    <col min="46" max="46" width="19.6640625" bestFit="1" customWidth="1"/>
  </cols>
  <sheetData>
    <row r="1" spans="1:48" ht="28.8" customHeight="1" x14ac:dyDescent="0.55000000000000004">
      <c r="A1" s="501"/>
      <c r="B1" s="501"/>
      <c r="C1" s="501"/>
      <c r="D1" s="501"/>
      <c r="E1" s="501"/>
      <c r="F1" s="501"/>
      <c r="G1" s="501"/>
      <c r="H1" s="501"/>
      <c r="I1" s="501"/>
      <c r="J1" s="501"/>
      <c r="K1" s="501"/>
      <c r="L1" s="501"/>
      <c r="M1" s="501"/>
      <c r="N1" s="501"/>
      <c r="O1" s="501"/>
      <c r="P1" s="501"/>
      <c r="Q1" s="501"/>
      <c r="R1" s="501"/>
      <c r="S1" s="501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1"/>
      <c r="AJ1" s="501"/>
      <c r="AK1" s="501"/>
      <c r="AL1" s="501"/>
      <c r="AM1" s="501"/>
      <c r="AN1" s="501"/>
      <c r="AO1" s="501"/>
      <c r="AP1" s="501"/>
      <c r="AQ1" s="501"/>
      <c r="AR1" s="501"/>
      <c r="AS1" s="501"/>
      <c r="AT1" s="501"/>
      <c r="AU1" s="4"/>
      <c r="AV1" s="114"/>
    </row>
    <row r="2" spans="1:48" ht="29.4" customHeight="1" thickBot="1" x14ac:dyDescent="0.6">
      <c r="A2" s="501"/>
      <c r="B2" s="501"/>
      <c r="C2" s="501"/>
      <c r="D2" s="501"/>
      <c r="E2" s="501"/>
      <c r="F2" s="501"/>
      <c r="G2" s="501"/>
      <c r="H2" s="501"/>
      <c r="I2" s="501"/>
      <c r="J2" s="501"/>
      <c r="K2" s="501"/>
      <c r="L2" s="501"/>
      <c r="M2" s="501"/>
      <c r="N2" s="501"/>
      <c r="O2" s="501"/>
      <c r="P2" s="501"/>
      <c r="Q2" s="501"/>
      <c r="R2" s="501"/>
      <c r="S2" s="501"/>
      <c r="T2" s="501"/>
      <c r="U2" s="501"/>
      <c r="V2" s="501"/>
      <c r="W2" s="501"/>
      <c r="X2" s="501"/>
      <c r="Y2" s="501"/>
      <c r="Z2" s="501"/>
      <c r="AA2" s="501"/>
      <c r="AB2" s="501"/>
      <c r="AC2" s="501"/>
      <c r="AD2" s="501"/>
      <c r="AE2" s="501"/>
      <c r="AF2" s="501"/>
      <c r="AG2" s="501"/>
      <c r="AH2" s="501"/>
      <c r="AI2" s="501"/>
      <c r="AJ2" s="501"/>
      <c r="AK2" s="501"/>
      <c r="AL2" s="501"/>
      <c r="AM2" s="501"/>
      <c r="AN2" s="501"/>
      <c r="AO2" s="501"/>
      <c r="AP2" s="501"/>
      <c r="AQ2" s="501"/>
      <c r="AR2" s="501"/>
      <c r="AS2" s="501"/>
      <c r="AT2" s="501"/>
      <c r="AU2" s="4"/>
      <c r="AV2" s="114"/>
    </row>
    <row r="3" spans="1:48" ht="28.8" customHeight="1" x14ac:dyDescent="0.55000000000000004">
      <c r="A3" s="1229"/>
      <c r="B3" s="1229" t="s">
        <v>0</v>
      </c>
      <c r="C3" s="1229" t="s">
        <v>1</v>
      </c>
      <c r="D3" s="984"/>
      <c r="E3" s="984"/>
      <c r="F3" s="984"/>
      <c r="G3" s="984"/>
      <c r="H3" s="984"/>
      <c r="I3" s="984"/>
      <c r="J3" s="984"/>
      <c r="K3" s="984"/>
      <c r="L3" s="984"/>
      <c r="M3" s="984"/>
      <c r="N3" s="984"/>
      <c r="O3" s="984"/>
      <c r="P3" s="984"/>
      <c r="Q3" s="984"/>
      <c r="R3" s="984"/>
      <c r="S3" s="984"/>
      <c r="T3" s="984"/>
      <c r="U3" s="984"/>
      <c r="V3" s="984"/>
      <c r="W3" s="984"/>
      <c r="X3" s="984"/>
      <c r="Y3" s="984"/>
      <c r="Z3" s="984"/>
      <c r="AA3" s="984"/>
      <c r="AB3" s="984"/>
      <c r="AC3" s="984"/>
      <c r="AD3" s="984"/>
      <c r="AE3" s="984"/>
      <c r="AF3" s="984"/>
      <c r="AG3" s="984"/>
      <c r="AH3" s="984"/>
      <c r="AI3" s="984"/>
      <c r="AJ3" s="984"/>
      <c r="AK3" s="984"/>
      <c r="AL3" s="984"/>
      <c r="AM3" s="984"/>
      <c r="AN3" s="984"/>
      <c r="AO3" s="985"/>
      <c r="AP3" s="561"/>
      <c r="AQ3" s="561"/>
      <c r="AR3" s="501"/>
      <c r="AS3" s="501"/>
      <c r="AT3" s="501"/>
      <c r="AU3" s="4"/>
      <c r="AV3" s="114"/>
    </row>
    <row r="4" spans="1:48" ht="28.8" customHeight="1" x14ac:dyDescent="0.55000000000000004">
      <c r="A4" s="997"/>
      <c r="B4" s="997"/>
      <c r="C4" s="986"/>
      <c r="D4" s="978"/>
      <c r="E4" s="978"/>
      <c r="F4" s="978"/>
      <c r="G4" s="978"/>
      <c r="H4" s="978"/>
      <c r="I4" s="978"/>
      <c r="J4" s="978"/>
      <c r="K4" s="978"/>
      <c r="L4" s="978"/>
      <c r="M4" s="978"/>
      <c r="N4" s="978"/>
      <c r="O4" s="978"/>
      <c r="P4" s="978"/>
      <c r="Q4" s="978"/>
      <c r="R4" s="978"/>
      <c r="S4" s="978"/>
      <c r="T4" s="978"/>
      <c r="U4" s="978"/>
      <c r="V4" s="978"/>
      <c r="W4" s="978"/>
      <c r="X4" s="978"/>
      <c r="Y4" s="978"/>
      <c r="Z4" s="978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9"/>
      <c r="AP4" s="561"/>
      <c r="AQ4" s="561"/>
      <c r="AR4" s="501"/>
      <c r="AS4" s="501"/>
      <c r="AT4" s="501"/>
      <c r="AU4" s="4"/>
      <c r="AV4" s="114"/>
    </row>
    <row r="5" spans="1:48" ht="29.4" customHeight="1" thickBot="1" x14ac:dyDescent="0.6">
      <c r="A5" s="997"/>
      <c r="B5" s="997"/>
      <c r="C5" s="986"/>
      <c r="D5" s="978"/>
      <c r="E5" s="978"/>
      <c r="F5" s="978"/>
      <c r="G5" s="978"/>
      <c r="H5" s="978"/>
      <c r="I5" s="978"/>
      <c r="J5" s="978"/>
      <c r="K5" s="978"/>
      <c r="L5" s="978"/>
      <c r="M5" s="978"/>
      <c r="N5" s="978"/>
      <c r="O5" s="978"/>
      <c r="P5" s="978"/>
      <c r="Q5" s="978"/>
      <c r="R5" s="978"/>
      <c r="S5" s="978"/>
      <c r="T5" s="978"/>
      <c r="U5" s="978"/>
      <c r="V5" s="978"/>
      <c r="W5" s="978"/>
      <c r="X5" s="978"/>
      <c r="Y5" s="978"/>
      <c r="Z5" s="978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9"/>
      <c r="AP5" s="561"/>
      <c r="AQ5" s="561"/>
      <c r="AR5" s="501"/>
      <c r="AS5" s="501"/>
      <c r="AT5" s="501"/>
      <c r="AU5" s="4"/>
      <c r="AV5" s="114"/>
    </row>
    <row r="6" spans="1:48" s="501" customFormat="1" ht="34.200000000000003" customHeight="1" x14ac:dyDescent="0.55000000000000004">
      <c r="A6" s="1224"/>
      <c r="B6" s="1229" t="s">
        <v>0</v>
      </c>
      <c r="C6" s="1233" t="s">
        <v>1</v>
      </c>
      <c r="D6" s="984"/>
      <c r="E6" s="984"/>
      <c r="F6" s="984"/>
      <c r="G6" s="984"/>
      <c r="H6" s="984"/>
      <c r="I6" s="984"/>
      <c r="J6" s="984"/>
      <c r="K6" s="984"/>
      <c r="L6" s="984"/>
      <c r="M6" s="984"/>
      <c r="N6" s="984"/>
      <c r="O6" s="984"/>
      <c r="P6" s="984"/>
      <c r="Q6" s="984"/>
      <c r="R6" s="984"/>
      <c r="S6" s="984"/>
      <c r="T6" s="984"/>
      <c r="U6" s="984"/>
      <c r="V6" s="984"/>
      <c r="W6" s="984"/>
      <c r="X6" s="984"/>
      <c r="Y6" s="984"/>
      <c r="Z6" s="984"/>
      <c r="AA6" s="984"/>
      <c r="AB6" s="985"/>
      <c r="AC6" s="500"/>
      <c r="AD6" s="500"/>
    </row>
    <row r="7" spans="1:48" s="501" customFormat="1" ht="63.6" customHeight="1" x14ac:dyDescent="0.55000000000000004">
      <c r="A7" s="997"/>
      <c r="B7" s="997"/>
      <c r="C7" s="986"/>
      <c r="D7" s="1222"/>
      <c r="E7" s="1222"/>
      <c r="F7" s="1222"/>
      <c r="G7" s="1222"/>
      <c r="H7" s="1222"/>
      <c r="I7" s="1222"/>
      <c r="J7" s="1222"/>
      <c r="K7" s="1222"/>
      <c r="L7" s="1222"/>
      <c r="M7" s="1222"/>
      <c r="N7" s="1222"/>
      <c r="O7" s="1222"/>
      <c r="P7" s="1222"/>
      <c r="Q7" s="1222"/>
      <c r="R7" s="1222"/>
      <c r="S7" s="1222"/>
      <c r="T7" s="1222"/>
      <c r="U7" s="1222"/>
      <c r="V7" s="1222"/>
      <c r="W7" s="1222"/>
      <c r="X7" s="1222"/>
      <c r="Y7" s="1222"/>
      <c r="Z7" s="1222"/>
      <c r="AA7" s="1222"/>
      <c r="AB7" s="979"/>
      <c r="AC7" s="500"/>
      <c r="AD7" s="500"/>
    </row>
    <row r="8" spans="1:48" s="501" customFormat="1" ht="85.95" customHeight="1" thickBot="1" x14ac:dyDescent="0.6">
      <c r="A8" s="997"/>
      <c r="B8" s="997"/>
      <c r="C8" s="987"/>
      <c r="D8" s="975"/>
      <c r="E8" s="975"/>
      <c r="F8" s="975"/>
      <c r="G8" s="975"/>
      <c r="H8" s="975"/>
      <c r="I8" s="975"/>
      <c r="J8" s="975"/>
      <c r="K8" s="975"/>
      <c r="L8" s="975"/>
      <c r="M8" s="975"/>
      <c r="N8" s="975"/>
      <c r="O8" s="975"/>
      <c r="P8" s="975"/>
      <c r="Q8" s="975"/>
      <c r="R8" s="975"/>
      <c r="S8" s="975"/>
      <c r="T8" s="975"/>
      <c r="U8" s="975"/>
      <c r="V8" s="975"/>
      <c r="W8" s="975"/>
      <c r="X8" s="975"/>
      <c r="Y8" s="975"/>
      <c r="Z8" s="975"/>
      <c r="AA8" s="975"/>
      <c r="AB8" s="976"/>
      <c r="AC8" s="500"/>
      <c r="AD8" s="500"/>
    </row>
    <row r="9" spans="1:48" s="501" customFormat="1" ht="34.200000000000003" customHeight="1" x14ac:dyDescent="0.65">
      <c r="A9" s="502" t="s">
        <v>2</v>
      </c>
      <c r="B9" s="503" t="s">
        <v>3</v>
      </c>
      <c r="C9" s="1150" t="s">
        <v>4</v>
      </c>
      <c r="D9" s="1222"/>
      <c r="E9" s="1222"/>
      <c r="F9" s="979"/>
      <c r="G9" s="1172">
        <v>46037</v>
      </c>
      <c r="H9" s="984"/>
      <c r="I9" s="984"/>
      <c r="J9" s="485" t="s">
        <v>75</v>
      </c>
      <c r="K9" s="1103">
        <v>45891</v>
      </c>
      <c r="L9" s="1222"/>
      <c r="M9" s="1222"/>
      <c r="N9" s="784" t="s">
        <v>47</v>
      </c>
      <c r="O9" s="1226">
        <v>45947</v>
      </c>
      <c r="P9" s="984"/>
      <c r="Q9" s="985"/>
      <c r="R9" s="792" t="s">
        <v>38</v>
      </c>
      <c r="S9" s="1114">
        <v>46010</v>
      </c>
      <c r="T9" s="984"/>
      <c r="U9" s="984"/>
      <c r="V9" s="507"/>
      <c r="W9" s="1228"/>
      <c r="X9" s="984"/>
      <c r="Y9" s="985"/>
      <c r="Z9" s="508"/>
      <c r="AA9" s="1167"/>
      <c r="AB9" s="985"/>
      <c r="AC9" s="509"/>
      <c r="AD9" s="509"/>
      <c r="AE9" s="510"/>
      <c r="AF9" s="510"/>
    </row>
    <row r="10" spans="1:48" s="501" customFormat="1" ht="34.200000000000003" customHeight="1" x14ac:dyDescent="0.55000000000000004">
      <c r="A10" s="511" t="s">
        <v>14</v>
      </c>
      <c r="B10" s="512" t="s">
        <v>15</v>
      </c>
      <c r="C10" s="986"/>
      <c r="D10" s="1222"/>
      <c r="E10" s="1222"/>
      <c r="F10" s="979"/>
      <c r="G10" s="986"/>
      <c r="H10" s="1222"/>
      <c r="I10" s="1222"/>
      <c r="J10" s="523" t="s">
        <v>83</v>
      </c>
      <c r="K10" s="1120">
        <v>45898</v>
      </c>
      <c r="L10" s="1222"/>
      <c r="M10" s="1222"/>
      <c r="N10" s="665" t="s">
        <v>56</v>
      </c>
      <c r="O10" s="1095">
        <v>45954</v>
      </c>
      <c r="P10" s="1222"/>
      <c r="Q10" s="979"/>
      <c r="R10" s="795" t="s">
        <v>48</v>
      </c>
      <c r="S10" s="1069">
        <v>46015</v>
      </c>
      <c r="T10" s="1222"/>
      <c r="U10" s="1222"/>
      <c r="V10" s="513"/>
      <c r="W10" s="1157"/>
      <c r="X10" s="1222"/>
      <c r="Y10" s="979"/>
      <c r="Z10" s="514"/>
      <c r="AA10" s="1158"/>
      <c r="AB10" s="979"/>
      <c r="AC10" s="515"/>
      <c r="AD10" s="515"/>
      <c r="AE10" s="510"/>
      <c r="AF10" s="510"/>
    </row>
    <row r="11" spans="1:48" s="501" customFormat="1" ht="34.200000000000003" customHeight="1" x14ac:dyDescent="0.55000000000000004">
      <c r="A11" s="511" t="s">
        <v>24</v>
      </c>
      <c r="B11" s="512" t="s">
        <v>25</v>
      </c>
      <c r="C11" s="986"/>
      <c r="D11" s="1222"/>
      <c r="E11" s="1222"/>
      <c r="F11" s="979"/>
      <c r="G11" s="986"/>
      <c r="H11" s="1222"/>
      <c r="I11" s="1222"/>
      <c r="J11" s="559" t="s">
        <v>91</v>
      </c>
      <c r="K11" s="1199">
        <v>45905</v>
      </c>
      <c r="L11" s="1222"/>
      <c r="M11" s="1222"/>
      <c r="N11" s="667" t="s">
        <v>67</v>
      </c>
      <c r="O11" s="1119">
        <v>45960</v>
      </c>
      <c r="P11" s="1222"/>
      <c r="Q11" s="979"/>
      <c r="R11" s="824" t="s">
        <v>57</v>
      </c>
      <c r="S11" s="1093">
        <v>46022</v>
      </c>
      <c r="T11" s="1222"/>
      <c r="U11" s="1222"/>
      <c r="V11" s="516"/>
      <c r="W11" s="1157"/>
      <c r="X11" s="1222"/>
      <c r="Y11" s="979"/>
      <c r="Z11" s="514"/>
      <c r="AA11" s="1158"/>
      <c r="AB11" s="979"/>
      <c r="AC11" s="515"/>
      <c r="AD11" s="515"/>
      <c r="AE11" s="510"/>
      <c r="AF11" s="510"/>
    </row>
    <row r="12" spans="1:48" s="501" customFormat="1" ht="34.200000000000003" customHeight="1" x14ac:dyDescent="0.55000000000000004">
      <c r="A12" s="511" t="s">
        <v>34</v>
      </c>
      <c r="B12" s="512" t="s">
        <v>35</v>
      </c>
      <c r="C12" s="986"/>
      <c r="D12" s="1222"/>
      <c r="E12" s="1222"/>
      <c r="F12" s="979"/>
      <c r="G12" s="986"/>
      <c r="H12" s="1222"/>
      <c r="I12" s="1222"/>
      <c r="J12" s="793" t="s">
        <v>410</v>
      </c>
      <c r="K12" s="1111">
        <v>45912</v>
      </c>
      <c r="L12" s="1222"/>
      <c r="M12" s="1222"/>
      <c r="N12" s="720" t="s">
        <v>76</v>
      </c>
      <c r="O12" s="1115">
        <v>45968</v>
      </c>
      <c r="P12" s="1222"/>
      <c r="Q12" s="979"/>
      <c r="R12" s="825" t="s">
        <v>68</v>
      </c>
      <c r="S12" s="1079">
        <v>46031</v>
      </c>
      <c r="T12" s="1222"/>
      <c r="U12" s="1222"/>
      <c r="V12" s="516"/>
      <c r="W12" s="1157"/>
      <c r="X12" s="1222"/>
      <c r="Y12" s="979"/>
      <c r="Z12" s="517"/>
      <c r="AA12" s="1154"/>
      <c r="AB12" s="979"/>
      <c r="AC12" s="515"/>
      <c r="AD12" s="515"/>
    </row>
    <row r="13" spans="1:48" s="501" customFormat="1" ht="34.200000000000003" customHeight="1" x14ac:dyDescent="0.55000000000000004">
      <c r="A13" s="511" t="s">
        <v>44</v>
      </c>
      <c r="B13" s="512" t="s">
        <v>54</v>
      </c>
      <c r="C13" s="986"/>
      <c r="D13" s="1222"/>
      <c r="E13" s="1222"/>
      <c r="F13" s="979"/>
      <c r="G13" s="986"/>
      <c r="H13" s="1222"/>
      <c r="I13" s="1222"/>
      <c r="J13" s="796" t="s">
        <v>7</v>
      </c>
      <c r="K13" s="1231">
        <v>45916</v>
      </c>
      <c r="L13" s="1222"/>
      <c r="M13" s="1222"/>
      <c r="N13" s="721" t="s">
        <v>84</v>
      </c>
      <c r="O13" s="1106">
        <v>45975</v>
      </c>
      <c r="P13" s="1222"/>
      <c r="Q13" s="979"/>
      <c r="R13" s="829" t="s">
        <v>77</v>
      </c>
      <c r="S13" s="1043">
        <v>46038</v>
      </c>
      <c r="T13" s="1222"/>
      <c r="U13" s="979"/>
      <c r="V13" s="516"/>
      <c r="W13" s="1157"/>
      <c r="X13" s="1222"/>
      <c r="Y13" s="979"/>
      <c r="Z13" s="517"/>
      <c r="AA13" s="1154"/>
      <c r="AB13" s="979"/>
      <c r="AC13" s="515"/>
      <c r="AD13" s="515"/>
      <c r="AE13" s="510"/>
      <c r="AF13" s="510"/>
    </row>
    <row r="14" spans="1:48" s="501" customFormat="1" ht="34.200000000000003" customHeight="1" thickBot="1" x14ac:dyDescent="0.6">
      <c r="A14" s="511" t="s">
        <v>62</v>
      </c>
      <c r="B14" s="512" t="s">
        <v>63</v>
      </c>
      <c r="C14" s="987"/>
      <c r="D14" s="975"/>
      <c r="E14" s="975"/>
      <c r="F14" s="976"/>
      <c r="G14" s="987"/>
      <c r="H14" s="975"/>
      <c r="I14" s="975"/>
      <c r="J14" s="794" t="s">
        <v>17</v>
      </c>
      <c r="K14" s="1123">
        <v>45926</v>
      </c>
      <c r="L14" s="1222"/>
      <c r="M14" s="1222"/>
      <c r="N14" s="740" t="s">
        <v>92</v>
      </c>
      <c r="O14" s="1122">
        <v>45982</v>
      </c>
      <c r="P14" s="1222"/>
      <c r="Q14" s="979"/>
      <c r="R14" s="831" t="s">
        <v>85</v>
      </c>
      <c r="S14" s="1031">
        <v>46045</v>
      </c>
      <c r="T14" s="1222"/>
      <c r="U14" s="979"/>
      <c r="V14" s="516"/>
      <c r="W14" s="1157"/>
      <c r="X14" s="1222"/>
      <c r="Y14" s="979"/>
      <c r="Z14" s="517"/>
      <c r="AA14" s="1154"/>
      <c r="AB14" s="979"/>
      <c r="AC14" s="515"/>
      <c r="AD14" s="515"/>
      <c r="AE14" s="510"/>
      <c r="AF14" s="510"/>
    </row>
    <row r="15" spans="1:48" s="501" customFormat="1" ht="34.200000000000003" customHeight="1" x14ac:dyDescent="0.55000000000000004">
      <c r="A15" s="511" t="s">
        <v>73</v>
      </c>
      <c r="B15" s="512" t="s">
        <v>74</v>
      </c>
      <c r="C15" s="504"/>
      <c r="D15" s="505"/>
      <c r="E15" s="505"/>
      <c r="F15" s="506"/>
      <c r="G15" s="504"/>
      <c r="H15" s="505"/>
      <c r="I15" s="506"/>
      <c r="J15" s="797" t="s">
        <v>27</v>
      </c>
      <c r="K15" s="1232">
        <v>45933</v>
      </c>
      <c r="L15" s="1222"/>
      <c r="M15" s="1222"/>
      <c r="N15" s="775" t="s">
        <v>8</v>
      </c>
      <c r="O15" s="1117">
        <v>45989</v>
      </c>
      <c r="P15" s="1222"/>
      <c r="Q15" s="979"/>
      <c r="R15" s="841" t="s">
        <v>93</v>
      </c>
      <c r="S15" s="1061">
        <v>46052</v>
      </c>
      <c r="T15" s="1222"/>
      <c r="U15" s="979"/>
      <c r="V15" s="516"/>
      <c r="W15" s="1157"/>
      <c r="X15" s="1222"/>
      <c r="Y15" s="979"/>
      <c r="Z15" s="517"/>
      <c r="AA15" s="1154"/>
      <c r="AB15" s="979"/>
      <c r="AC15" s="515"/>
      <c r="AD15" s="515"/>
      <c r="AE15" s="510"/>
      <c r="AF15" s="510"/>
    </row>
    <row r="16" spans="1:48" s="501" customFormat="1" ht="34.200000000000003" customHeight="1" thickBot="1" x14ac:dyDescent="0.6">
      <c r="A16" s="511" t="s">
        <v>82</v>
      </c>
      <c r="B16" s="512" t="s">
        <v>400</v>
      </c>
      <c r="C16" s="518"/>
      <c r="D16" s="519"/>
      <c r="E16" s="519"/>
      <c r="F16" s="520"/>
      <c r="G16" s="518"/>
      <c r="H16" s="519"/>
      <c r="I16" s="520"/>
      <c r="J16" s="785" t="s">
        <v>37</v>
      </c>
      <c r="K16" s="1223">
        <v>45939</v>
      </c>
      <c r="L16" s="1222"/>
      <c r="M16" s="1222"/>
      <c r="N16" s="791" t="s">
        <v>18</v>
      </c>
      <c r="O16" s="1109">
        <v>45996</v>
      </c>
      <c r="P16" s="1222"/>
      <c r="Q16" s="979"/>
      <c r="R16" s="779"/>
      <c r="S16" s="1125"/>
      <c r="T16" s="1222"/>
      <c r="U16" s="1222"/>
      <c r="V16" s="516"/>
      <c r="W16" s="1157"/>
      <c r="X16" s="1222"/>
      <c r="Y16" s="979"/>
      <c r="Z16" s="517"/>
      <c r="AA16" s="1154"/>
      <c r="AB16" s="979"/>
      <c r="AC16" s="515"/>
      <c r="AD16" s="515"/>
      <c r="AE16" s="510"/>
      <c r="AF16" s="510"/>
    </row>
    <row r="17" spans="1:48" s="501" customFormat="1" ht="34.200000000000003" customHeight="1" thickBot="1" x14ac:dyDescent="0.6">
      <c r="A17" s="521" t="s">
        <v>90</v>
      </c>
      <c r="B17" s="522">
        <v>182948</v>
      </c>
      <c r="C17" s="560"/>
      <c r="D17" s="560"/>
      <c r="E17" s="560"/>
      <c r="F17" s="560"/>
      <c r="G17" s="560"/>
      <c r="H17" s="560"/>
      <c r="I17" s="560"/>
      <c r="J17" s="778"/>
      <c r="K17" s="1125"/>
      <c r="L17" s="1222"/>
      <c r="M17" s="1222"/>
      <c r="N17" s="789" t="s">
        <v>28</v>
      </c>
      <c r="O17" s="1105">
        <v>46003</v>
      </c>
      <c r="P17" s="975"/>
      <c r="Q17" s="976"/>
      <c r="R17" s="779"/>
      <c r="S17" s="1125"/>
      <c r="T17" s="1222"/>
      <c r="U17" s="1222"/>
      <c r="V17" s="516"/>
      <c r="W17" s="1158"/>
      <c r="X17" s="1222"/>
      <c r="Y17" s="979"/>
      <c r="Z17" s="517"/>
      <c r="AA17" s="1154"/>
      <c r="AB17" s="979"/>
      <c r="AC17" s="515"/>
      <c r="AD17" s="515"/>
      <c r="AE17" s="510"/>
      <c r="AF17" s="510"/>
    </row>
    <row r="18" spans="1:48" ht="34.200000000000003" customHeight="1" thickBot="1" x14ac:dyDescent="0.6">
      <c r="A18" s="1161" t="s">
        <v>98</v>
      </c>
      <c r="B18" s="1234" t="s">
        <v>99</v>
      </c>
      <c r="C18" s="562" t="s">
        <v>100</v>
      </c>
      <c r="D18" s="563"/>
      <c r="E18" s="563"/>
      <c r="F18" s="563"/>
      <c r="G18" s="563"/>
      <c r="H18" s="563"/>
      <c r="I18" s="563"/>
      <c r="J18" s="563"/>
      <c r="K18" s="563"/>
      <c r="L18" s="563"/>
      <c r="M18" s="563"/>
      <c r="N18" s="563"/>
      <c r="O18" s="563"/>
      <c r="P18" s="563"/>
      <c r="Q18" s="563"/>
      <c r="R18" s="563"/>
      <c r="S18" s="563"/>
      <c r="T18" s="563"/>
      <c r="U18" s="563"/>
      <c r="V18" s="563"/>
      <c r="W18" s="563"/>
      <c r="X18" s="563"/>
      <c r="Y18" s="563"/>
      <c r="Z18" s="563"/>
      <c r="AA18" s="563"/>
      <c r="AB18" s="563"/>
      <c r="AC18" s="563"/>
      <c r="AD18" s="564"/>
      <c r="AE18" s="564"/>
      <c r="AF18" s="564"/>
      <c r="AG18" s="564"/>
      <c r="AH18" s="564"/>
      <c r="AI18" s="565"/>
      <c r="AJ18" s="566"/>
      <c r="AK18" s="567"/>
      <c r="AL18" s="501"/>
      <c r="AM18" s="501"/>
      <c r="AN18" s="501"/>
      <c r="AO18" s="501"/>
      <c r="AP18" s="501"/>
      <c r="AQ18" s="501"/>
      <c r="AR18" s="501"/>
      <c r="AS18" s="501"/>
      <c r="AT18" s="501"/>
      <c r="AU18" s="4"/>
      <c r="AV18" s="114"/>
    </row>
    <row r="19" spans="1:48" ht="34.200000000000003" customHeight="1" thickBot="1" x14ac:dyDescent="0.6">
      <c r="A19" s="997"/>
      <c r="B19" s="997"/>
      <c r="C19" s="568" t="s">
        <v>101</v>
      </c>
      <c r="D19" s="569"/>
      <c r="E19" s="570"/>
      <c r="F19" s="570"/>
      <c r="G19" s="571"/>
      <c r="H19" s="572"/>
      <c r="I19" s="572"/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Y19" s="572"/>
      <c r="Z19" s="572"/>
      <c r="AA19" s="572"/>
      <c r="AB19" s="572"/>
      <c r="AC19" s="572"/>
      <c r="AD19" s="1161" t="s">
        <v>102</v>
      </c>
      <c r="AE19" s="1000"/>
      <c r="AF19" s="1000"/>
      <c r="AG19" s="1000"/>
      <c r="AH19" s="1000"/>
      <c r="AI19" s="1001"/>
      <c r="AJ19" s="1034" t="s">
        <v>423</v>
      </c>
      <c r="AK19" s="1001"/>
      <c r="AL19" s="501"/>
      <c r="AM19" s="501"/>
      <c r="AN19" s="501"/>
      <c r="AO19" s="501"/>
      <c r="AP19" s="501"/>
      <c r="AQ19" s="501"/>
      <c r="AR19" s="501"/>
      <c r="AS19" s="501"/>
      <c r="AT19" s="501"/>
      <c r="AU19" s="4"/>
      <c r="AV19" s="114"/>
    </row>
    <row r="20" spans="1:48" ht="34.200000000000003" customHeight="1" thickBot="1" x14ac:dyDescent="0.5">
      <c r="A20" s="1013"/>
      <c r="B20" s="1013"/>
      <c r="C20" s="1230">
        <v>1</v>
      </c>
      <c r="D20" s="994"/>
      <c r="E20" s="1152">
        <v>2</v>
      </c>
      <c r="F20" s="994"/>
      <c r="G20" s="1152">
        <v>3</v>
      </c>
      <c r="H20" s="994"/>
      <c r="I20" s="1152">
        <v>4</v>
      </c>
      <c r="J20" s="994"/>
      <c r="K20" s="1152">
        <v>5</v>
      </c>
      <c r="L20" s="994"/>
      <c r="M20" s="1152">
        <v>6</v>
      </c>
      <c r="N20" s="994"/>
      <c r="O20" s="1152">
        <v>7</v>
      </c>
      <c r="P20" s="994"/>
      <c r="Q20" s="1152">
        <v>8</v>
      </c>
      <c r="R20" s="994"/>
      <c r="S20" s="1152">
        <v>9</v>
      </c>
      <c r="T20" s="994"/>
      <c r="U20" s="1152">
        <v>10</v>
      </c>
      <c r="V20" s="994"/>
      <c r="W20" s="1152">
        <v>11</v>
      </c>
      <c r="X20" s="994"/>
      <c r="Y20" s="1152">
        <v>12</v>
      </c>
      <c r="Z20" s="994"/>
      <c r="AA20" s="1152">
        <v>13</v>
      </c>
      <c r="AB20" s="994"/>
      <c r="AC20" s="1152">
        <v>14</v>
      </c>
      <c r="AD20" s="994"/>
      <c r="AE20" s="1152">
        <v>15</v>
      </c>
      <c r="AF20" s="994"/>
      <c r="AG20" s="1152">
        <v>16</v>
      </c>
      <c r="AH20" s="994"/>
      <c r="AI20" s="1152">
        <v>17</v>
      </c>
      <c r="AJ20" s="994"/>
      <c r="AK20" s="1152">
        <v>18</v>
      </c>
      <c r="AL20" s="994"/>
      <c r="AM20" s="1152">
        <v>19</v>
      </c>
      <c r="AN20" s="994"/>
      <c r="AO20" s="1152">
        <v>20</v>
      </c>
      <c r="AP20" s="994"/>
      <c r="AQ20" s="1152">
        <v>21</v>
      </c>
      <c r="AR20" s="994"/>
      <c r="AS20" s="573" t="s">
        <v>104</v>
      </c>
      <c r="AT20" s="574" t="s">
        <v>105</v>
      </c>
      <c r="AU20" s="4"/>
      <c r="AV20" s="114"/>
    </row>
    <row r="21" spans="1:48" ht="45" customHeight="1" thickBot="1" x14ac:dyDescent="0.35">
      <c r="A21" s="920" t="s">
        <v>106</v>
      </c>
      <c r="B21" s="921" t="s">
        <v>107</v>
      </c>
      <c r="C21" s="937" t="s">
        <v>108</v>
      </c>
      <c r="D21" s="938" t="s">
        <v>109</v>
      </c>
      <c r="E21" s="939" t="s">
        <v>108</v>
      </c>
      <c r="F21" s="938" t="s">
        <v>109</v>
      </c>
      <c r="G21" s="939" t="s">
        <v>108</v>
      </c>
      <c r="H21" s="938" t="s">
        <v>109</v>
      </c>
      <c r="I21" s="939" t="s">
        <v>108</v>
      </c>
      <c r="J21" s="938" t="s">
        <v>109</v>
      </c>
      <c r="K21" s="939" t="s">
        <v>108</v>
      </c>
      <c r="L21" s="938" t="s">
        <v>109</v>
      </c>
      <c r="M21" s="939" t="s">
        <v>108</v>
      </c>
      <c r="N21" s="938" t="s">
        <v>109</v>
      </c>
      <c r="O21" s="939" t="s">
        <v>108</v>
      </c>
      <c r="P21" s="938" t="s">
        <v>109</v>
      </c>
      <c r="Q21" s="939" t="s">
        <v>108</v>
      </c>
      <c r="R21" s="938" t="s">
        <v>109</v>
      </c>
      <c r="S21" s="939" t="s">
        <v>108</v>
      </c>
      <c r="T21" s="938" t="s">
        <v>109</v>
      </c>
      <c r="U21" s="939" t="s">
        <v>108</v>
      </c>
      <c r="V21" s="938" t="s">
        <v>109</v>
      </c>
      <c r="W21" s="939" t="s">
        <v>108</v>
      </c>
      <c r="X21" s="938" t="s">
        <v>109</v>
      </c>
      <c r="Y21" s="939" t="s">
        <v>108</v>
      </c>
      <c r="Z21" s="938" t="s">
        <v>109</v>
      </c>
      <c r="AA21" s="939" t="s">
        <v>108</v>
      </c>
      <c r="AB21" s="938" t="s">
        <v>109</v>
      </c>
      <c r="AC21" s="939" t="s">
        <v>108</v>
      </c>
      <c r="AD21" s="938" t="s">
        <v>109</v>
      </c>
      <c r="AE21" s="939" t="s">
        <v>108</v>
      </c>
      <c r="AF21" s="938" t="s">
        <v>109</v>
      </c>
      <c r="AG21" s="939" t="s">
        <v>108</v>
      </c>
      <c r="AH21" s="938" t="s">
        <v>109</v>
      </c>
      <c r="AI21" s="939" t="s">
        <v>108</v>
      </c>
      <c r="AJ21" s="938" t="s">
        <v>109</v>
      </c>
      <c r="AK21" s="939" t="s">
        <v>108</v>
      </c>
      <c r="AL21" s="938" t="s">
        <v>109</v>
      </c>
      <c r="AM21" s="939" t="s">
        <v>108</v>
      </c>
      <c r="AN21" s="938" t="s">
        <v>109</v>
      </c>
      <c r="AO21" s="939" t="s">
        <v>108</v>
      </c>
      <c r="AP21" s="938" t="s">
        <v>109</v>
      </c>
      <c r="AQ21" s="939" t="s">
        <v>108</v>
      </c>
      <c r="AR21" s="938" t="s">
        <v>109</v>
      </c>
      <c r="AS21" s="938"/>
      <c r="AT21" s="940"/>
    </row>
    <row r="22" spans="1:48" ht="45" customHeight="1" x14ac:dyDescent="0.65">
      <c r="A22" s="922" t="s">
        <v>110</v>
      </c>
      <c r="B22" s="275" t="s">
        <v>111</v>
      </c>
      <c r="C22" s="276"/>
      <c r="D22" s="277"/>
      <c r="E22" s="278"/>
      <c r="F22" s="278"/>
      <c r="G22" s="278"/>
      <c r="H22" s="278"/>
      <c r="I22" s="278"/>
      <c r="J22" s="278"/>
      <c r="K22" s="278"/>
      <c r="L22" s="278"/>
      <c r="M22" s="278"/>
      <c r="N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  <c r="Y22" s="278"/>
      <c r="Z22" s="278"/>
      <c r="AA22" s="278"/>
      <c r="AB22" s="278"/>
      <c r="AC22" s="278"/>
      <c r="AD22" s="278"/>
      <c r="AE22" s="278"/>
      <c r="AF22" s="278"/>
      <c r="AG22" s="278"/>
      <c r="AH22" s="278"/>
      <c r="AI22" s="279"/>
      <c r="AJ22" s="279"/>
      <c r="AK22" s="279"/>
      <c r="AL22" s="279"/>
      <c r="AM22" s="279"/>
      <c r="AN22" s="279"/>
      <c r="AO22" s="279"/>
      <c r="AP22" s="279"/>
      <c r="AQ22" s="279"/>
      <c r="AR22" s="279"/>
      <c r="AS22" s="278"/>
      <c r="AT22" s="280"/>
      <c r="AU22" s="4"/>
      <c r="AV22" s="114"/>
    </row>
    <row r="23" spans="1:48" ht="45" customHeight="1" x14ac:dyDescent="0.65">
      <c r="A23" s="923" t="s">
        <v>112</v>
      </c>
      <c r="B23" s="900" t="s">
        <v>113</v>
      </c>
      <c r="C23" s="283" t="s">
        <v>410</v>
      </c>
      <c r="D23" s="284"/>
      <c r="E23" s="283" t="s">
        <v>410</v>
      </c>
      <c r="F23" s="285"/>
      <c r="G23" s="283" t="s">
        <v>410</v>
      </c>
      <c r="H23" s="285"/>
      <c r="I23" s="283" t="s">
        <v>410</v>
      </c>
      <c r="J23" s="285"/>
      <c r="K23" s="283" t="s">
        <v>410</v>
      </c>
      <c r="L23" s="285"/>
      <c r="M23" s="283" t="s">
        <v>410</v>
      </c>
      <c r="N23" s="285"/>
      <c r="O23" s="283" t="s">
        <v>410</v>
      </c>
      <c r="P23" s="285"/>
      <c r="Q23" s="283" t="s">
        <v>410</v>
      </c>
      <c r="R23" s="285"/>
      <c r="S23" s="283" t="s">
        <v>410</v>
      </c>
      <c r="T23" s="285"/>
      <c r="U23" s="283" t="s">
        <v>7</v>
      </c>
      <c r="V23" s="285"/>
      <c r="W23" s="283" t="s">
        <v>7</v>
      </c>
      <c r="X23" s="285"/>
      <c r="Y23" s="283" t="s">
        <v>7</v>
      </c>
      <c r="Z23" s="285"/>
      <c r="AA23" s="283" t="s">
        <v>7</v>
      </c>
      <c r="AB23" s="285"/>
      <c r="AC23" s="283" t="s">
        <v>37</v>
      </c>
      <c r="AD23" s="285"/>
      <c r="AE23" s="283" t="s">
        <v>37</v>
      </c>
      <c r="AF23" s="285"/>
      <c r="AG23" s="283" t="s">
        <v>37</v>
      </c>
      <c r="AH23" s="285"/>
      <c r="AI23" s="283" t="s">
        <v>76</v>
      </c>
      <c r="AJ23" s="285"/>
      <c r="AK23" s="283" t="s">
        <v>75</v>
      </c>
      <c r="AL23" s="285"/>
      <c r="AM23" s="285" t="s">
        <v>75</v>
      </c>
      <c r="AN23" s="288"/>
      <c r="AO23" s="285" t="s">
        <v>75</v>
      </c>
      <c r="AP23" s="285"/>
      <c r="AQ23" s="285" t="s">
        <v>75</v>
      </c>
      <c r="AR23" s="288"/>
      <c r="AS23" s="286">
        <f t="shared" ref="AS23:AS29" si="0">COUNTIF(C23:AR23,"&gt;=R")</f>
        <v>21</v>
      </c>
      <c r="AT23" s="287">
        <f t="shared" ref="AT23:AT29" si="1">AS23</f>
        <v>21</v>
      </c>
    </row>
    <row r="24" spans="1:48" ht="45" customHeight="1" x14ac:dyDescent="0.65">
      <c r="A24" s="923" t="s">
        <v>114</v>
      </c>
      <c r="B24" s="900" t="s">
        <v>115</v>
      </c>
      <c r="C24" s="283" t="s">
        <v>410</v>
      </c>
      <c r="D24" s="284"/>
      <c r="E24" s="283" t="s">
        <v>410</v>
      </c>
      <c r="F24" s="285"/>
      <c r="G24" s="283" t="s">
        <v>410</v>
      </c>
      <c r="H24" s="285"/>
      <c r="I24" s="283" t="s">
        <v>410</v>
      </c>
      <c r="J24" s="285"/>
      <c r="K24" s="283" t="s">
        <v>7</v>
      </c>
      <c r="L24" s="285"/>
      <c r="M24" s="283" t="s">
        <v>7</v>
      </c>
      <c r="N24" s="285"/>
      <c r="O24" s="283" t="s">
        <v>7</v>
      </c>
      <c r="P24" s="285"/>
      <c r="Q24" s="283" t="s">
        <v>17</v>
      </c>
      <c r="R24" s="285"/>
      <c r="S24" s="283" t="s">
        <v>17</v>
      </c>
      <c r="T24" s="285"/>
      <c r="U24" s="283" t="s">
        <v>17</v>
      </c>
      <c r="V24" s="285"/>
      <c r="W24" s="283" t="s">
        <v>27</v>
      </c>
      <c r="X24" s="285"/>
      <c r="Y24" s="283" t="s">
        <v>27</v>
      </c>
      <c r="Z24" s="285"/>
      <c r="AA24" s="283" t="s">
        <v>27</v>
      </c>
      <c r="AB24" s="285"/>
      <c r="AC24" s="283" t="s">
        <v>37</v>
      </c>
      <c r="AD24" s="285"/>
      <c r="AE24" s="283" t="s">
        <v>37</v>
      </c>
      <c r="AF24" s="285"/>
      <c r="AG24" s="283" t="s">
        <v>37</v>
      </c>
      <c r="AH24" s="285"/>
      <c r="AI24" s="283" t="s">
        <v>76</v>
      </c>
      <c r="AJ24" s="285"/>
      <c r="AK24" s="283" t="s">
        <v>75</v>
      </c>
      <c r="AL24" s="285"/>
      <c r="AM24" s="285" t="s">
        <v>75</v>
      </c>
      <c r="AN24" s="288"/>
      <c r="AO24" s="285" t="s">
        <v>75</v>
      </c>
      <c r="AP24" s="285"/>
      <c r="AQ24" s="285" t="s">
        <v>75</v>
      </c>
      <c r="AR24" s="288"/>
      <c r="AS24" s="286">
        <f t="shared" si="0"/>
        <v>21</v>
      </c>
      <c r="AT24" s="287">
        <f t="shared" si="1"/>
        <v>21</v>
      </c>
    </row>
    <row r="25" spans="1:48" ht="45" customHeight="1" x14ac:dyDescent="0.65">
      <c r="A25" s="923" t="s">
        <v>116</v>
      </c>
      <c r="B25" s="900" t="s">
        <v>117</v>
      </c>
      <c r="C25" s="283" t="s">
        <v>410</v>
      </c>
      <c r="D25" s="284"/>
      <c r="E25" s="283" t="s">
        <v>410</v>
      </c>
      <c r="F25" s="285"/>
      <c r="G25" s="283" t="s">
        <v>410</v>
      </c>
      <c r="H25" s="285"/>
      <c r="I25" s="283" t="s">
        <v>17</v>
      </c>
      <c r="J25" s="285"/>
      <c r="K25" s="283" t="s">
        <v>17</v>
      </c>
      <c r="L25" s="285"/>
      <c r="M25" s="283" t="s">
        <v>17</v>
      </c>
      <c r="N25" s="285"/>
      <c r="O25" s="283" t="s">
        <v>17</v>
      </c>
      <c r="P25" s="285"/>
      <c r="Q25" s="283" t="s">
        <v>17</v>
      </c>
      <c r="R25" s="285"/>
      <c r="S25" s="283" t="s">
        <v>17</v>
      </c>
      <c r="T25" s="285"/>
      <c r="U25" s="283" t="s">
        <v>17</v>
      </c>
      <c r="V25" s="285"/>
      <c r="W25" s="283" t="s">
        <v>27</v>
      </c>
      <c r="X25" s="285"/>
      <c r="Y25" s="283" t="s">
        <v>27</v>
      </c>
      <c r="Z25" s="285"/>
      <c r="AA25" s="283" t="s">
        <v>27</v>
      </c>
      <c r="AB25" s="285"/>
      <c r="AC25" s="283" t="s">
        <v>37</v>
      </c>
      <c r="AD25" s="285"/>
      <c r="AE25" s="283" t="s">
        <v>37</v>
      </c>
      <c r="AF25" s="285"/>
      <c r="AG25" s="283" t="s">
        <v>37</v>
      </c>
      <c r="AH25" s="285"/>
      <c r="AI25" s="283" t="s">
        <v>76</v>
      </c>
      <c r="AJ25" s="285"/>
      <c r="AK25" s="726" t="s">
        <v>84</v>
      </c>
      <c r="AL25" s="285"/>
      <c r="AM25" s="718" t="s">
        <v>84</v>
      </c>
      <c r="AN25" s="288"/>
      <c r="AO25" s="285" t="s">
        <v>83</v>
      </c>
      <c r="AP25" s="285"/>
      <c r="AQ25" s="285" t="s">
        <v>83</v>
      </c>
      <c r="AR25" s="288"/>
      <c r="AS25" s="286">
        <f t="shared" si="0"/>
        <v>21</v>
      </c>
      <c r="AT25" s="287">
        <f t="shared" si="1"/>
        <v>21</v>
      </c>
    </row>
    <row r="26" spans="1:48" ht="45" customHeight="1" x14ac:dyDescent="0.65">
      <c r="A26" s="923" t="s">
        <v>118</v>
      </c>
      <c r="B26" s="900" t="s">
        <v>119</v>
      </c>
      <c r="C26" s="283" t="s">
        <v>410</v>
      </c>
      <c r="D26" s="284"/>
      <c r="E26" s="283" t="s">
        <v>410</v>
      </c>
      <c r="F26" s="285"/>
      <c r="G26" s="283" t="s">
        <v>410</v>
      </c>
      <c r="H26" s="285"/>
      <c r="I26" s="283" t="s">
        <v>17</v>
      </c>
      <c r="J26" s="285"/>
      <c r="K26" s="283" t="s">
        <v>17</v>
      </c>
      <c r="L26" s="285"/>
      <c r="M26" s="283" t="s">
        <v>17</v>
      </c>
      <c r="N26" s="285"/>
      <c r="O26" s="283" t="s">
        <v>17</v>
      </c>
      <c r="P26" s="285"/>
      <c r="Q26" s="283" t="s">
        <v>17</v>
      </c>
      <c r="R26" s="285"/>
      <c r="S26" s="283" t="s">
        <v>17</v>
      </c>
      <c r="T26" s="285"/>
      <c r="U26" s="283" t="s">
        <v>17</v>
      </c>
      <c r="V26" s="285"/>
      <c r="W26" s="283" t="s">
        <v>27</v>
      </c>
      <c r="X26" s="285"/>
      <c r="Y26" s="283" t="s">
        <v>27</v>
      </c>
      <c r="Z26" s="285"/>
      <c r="AA26" s="283" t="s">
        <v>27</v>
      </c>
      <c r="AB26" s="285"/>
      <c r="AC26" s="283" t="s">
        <v>37</v>
      </c>
      <c r="AD26" s="285"/>
      <c r="AE26" s="283" t="s">
        <v>37</v>
      </c>
      <c r="AF26" s="285"/>
      <c r="AG26" s="283" t="s">
        <v>37</v>
      </c>
      <c r="AH26" s="285"/>
      <c r="AI26" s="283" t="s">
        <v>76</v>
      </c>
      <c r="AJ26" s="285"/>
      <c r="AK26" s="726" t="s">
        <v>84</v>
      </c>
      <c r="AL26" s="285"/>
      <c r="AM26" s="718" t="s">
        <v>84</v>
      </c>
      <c r="AN26" s="288"/>
      <c r="AO26" s="285" t="s">
        <v>83</v>
      </c>
      <c r="AP26" s="285"/>
      <c r="AQ26" s="285" t="s">
        <v>83</v>
      </c>
      <c r="AR26" s="288"/>
      <c r="AS26" s="286">
        <f t="shared" si="0"/>
        <v>21</v>
      </c>
      <c r="AT26" s="287">
        <f t="shared" si="1"/>
        <v>21</v>
      </c>
    </row>
    <row r="27" spans="1:48" ht="45" customHeight="1" x14ac:dyDescent="0.65">
      <c r="A27" s="923" t="s">
        <v>120</v>
      </c>
      <c r="B27" s="900" t="s">
        <v>121</v>
      </c>
      <c r="C27" s="284" t="s">
        <v>17</v>
      </c>
      <c r="D27" s="284"/>
      <c r="E27" s="285" t="s">
        <v>17</v>
      </c>
      <c r="F27" s="285"/>
      <c r="G27" s="285" t="s">
        <v>17</v>
      </c>
      <c r="H27" s="285"/>
      <c r="I27" s="285" t="s">
        <v>17</v>
      </c>
      <c r="J27" s="285"/>
      <c r="K27" s="285" t="s">
        <v>27</v>
      </c>
      <c r="L27" s="285"/>
      <c r="M27" s="285" t="s">
        <v>27</v>
      </c>
      <c r="N27" s="285"/>
      <c r="O27" s="285" t="s">
        <v>27</v>
      </c>
      <c r="P27" s="285"/>
      <c r="Q27" s="285" t="s">
        <v>27</v>
      </c>
      <c r="R27" s="285"/>
      <c r="S27" s="285" t="s">
        <v>27</v>
      </c>
      <c r="T27" s="285"/>
      <c r="U27" s="285" t="s">
        <v>27</v>
      </c>
      <c r="V27" s="285"/>
      <c r="W27" s="285" t="s">
        <v>27</v>
      </c>
      <c r="X27" s="285"/>
      <c r="Y27" s="285" t="s">
        <v>37</v>
      </c>
      <c r="Z27" s="288"/>
      <c r="AA27" s="285" t="s">
        <v>37</v>
      </c>
      <c r="AB27" s="288"/>
      <c r="AC27" s="285" t="s">
        <v>37</v>
      </c>
      <c r="AD27" s="285"/>
      <c r="AE27" s="718" t="s">
        <v>84</v>
      </c>
      <c r="AF27" s="288"/>
      <c r="AG27" s="285" t="s">
        <v>56</v>
      </c>
      <c r="AH27" s="288"/>
      <c r="AI27" s="285" t="s">
        <v>56</v>
      </c>
      <c r="AJ27" s="288"/>
      <c r="AK27" s="283" t="s">
        <v>37</v>
      </c>
      <c r="AL27" s="288"/>
      <c r="AM27" s="285" t="s">
        <v>91</v>
      </c>
      <c r="AN27" s="288"/>
      <c r="AO27" s="285" t="s">
        <v>91</v>
      </c>
      <c r="AP27" s="285"/>
      <c r="AQ27" s="285" t="s">
        <v>91</v>
      </c>
      <c r="AR27" s="288"/>
      <c r="AS27" s="286">
        <f t="shared" si="0"/>
        <v>21</v>
      </c>
      <c r="AT27" s="287">
        <f t="shared" si="1"/>
        <v>21</v>
      </c>
    </row>
    <row r="28" spans="1:48" ht="45" customHeight="1" x14ac:dyDescent="0.65">
      <c r="A28" s="923" t="s">
        <v>122</v>
      </c>
      <c r="B28" s="900" t="s">
        <v>123</v>
      </c>
      <c r="C28" s="284" t="s">
        <v>17</v>
      </c>
      <c r="D28" s="284"/>
      <c r="E28" s="285" t="s">
        <v>17</v>
      </c>
      <c r="F28" s="285"/>
      <c r="G28" s="285" t="s">
        <v>17</v>
      </c>
      <c r="H28" s="285"/>
      <c r="I28" s="285" t="s">
        <v>17</v>
      </c>
      <c r="J28" s="285"/>
      <c r="K28" s="285" t="s">
        <v>27</v>
      </c>
      <c r="L28" s="285"/>
      <c r="M28" s="285" t="s">
        <v>27</v>
      </c>
      <c r="N28" s="285"/>
      <c r="O28" s="285" t="s">
        <v>27</v>
      </c>
      <c r="P28" s="285"/>
      <c r="Q28" s="285" t="s">
        <v>27</v>
      </c>
      <c r="R28" s="285"/>
      <c r="S28" s="285" t="s">
        <v>27</v>
      </c>
      <c r="T28" s="285"/>
      <c r="U28" s="285" t="s">
        <v>27</v>
      </c>
      <c r="V28" s="285"/>
      <c r="W28" s="285" t="s">
        <v>27</v>
      </c>
      <c r="X28" s="285"/>
      <c r="Y28" s="285" t="s">
        <v>37</v>
      </c>
      <c r="Z28" s="288"/>
      <c r="AA28" s="285" t="s">
        <v>37</v>
      </c>
      <c r="AB28" s="288"/>
      <c r="AC28" s="285" t="s">
        <v>37</v>
      </c>
      <c r="AD28" s="285"/>
      <c r="AE28" s="718" t="s">
        <v>84</v>
      </c>
      <c r="AF28" s="285"/>
      <c r="AG28" s="285" t="s">
        <v>56</v>
      </c>
      <c r="AH28" s="288"/>
      <c r="AI28" s="285" t="s">
        <v>56</v>
      </c>
      <c r="AJ28" s="288"/>
      <c r="AK28" s="283" t="s">
        <v>37</v>
      </c>
      <c r="AL28" s="288"/>
      <c r="AM28" s="285" t="s">
        <v>91</v>
      </c>
      <c r="AN28" s="288"/>
      <c r="AO28" s="285" t="s">
        <v>91</v>
      </c>
      <c r="AP28" s="285"/>
      <c r="AQ28" s="285" t="s">
        <v>91</v>
      </c>
      <c r="AR28" s="288"/>
      <c r="AS28" s="286">
        <f t="shared" si="0"/>
        <v>21</v>
      </c>
      <c r="AT28" s="287">
        <f t="shared" si="1"/>
        <v>21</v>
      </c>
    </row>
    <row r="29" spans="1:48" ht="45" customHeight="1" x14ac:dyDescent="0.65">
      <c r="A29" s="923" t="s">
        <v>124</v>
      </c>
      <c r="B29" s="900" t="s">
        <v>125</v>
      </c>
      <c r="C29" s="284" t="s">
        <v>17</v>
      </c>
      <c r="D29" s="284"/>
      <c r="E29" s="285" t="s">
        <v>17</v>
      </c>
      <c r="F29" s="285"/>
      <c r="G29" s="285" t="s">
        <v>17</v>
      </c>
      <c r="H29" s="285"/>
      <c r="I29" s="285" t="s">
        <v>17</v>
      </c>
      <c r="J29" s="285"/>
      <c r="K29" s="285" t="s">
        <v>27</v>
      </c>
      <c r="L29" s="285"/>
      <c r="M29" s="285" t="s">
        <v>27</v>
      </c>
      <c r="N29" s="285"/>
      <c r="O29" s="285" t="s">
        <v>27</v>
      </c>
      <c r="P29" s="285"/>
      <c r="Q29" s="285" t="s">
        <v>27</v>
      </c>
      <c r="R29" s="285"/>
      <c r="S29" s="285" t="s">
        <v>27</v>
      </c>
      <c r="T29" s="285"/>
      <c r="U29" s="285" t="s">
        <v>27</v>
      </c>
      <c r="V29" s="285"/>
      <c r="W29" s="285" t="s">
        <v>27</v>
      </c>
      <c r="X29" s="285"/>
      <c r="Y29" s="285" t="s">
        <v>37</v>
      </c>
      <c r="Z29" s="288"/>
      <c r="AA29" s="285" t="s">
        <v>37</v>
      </c>
      <c r="AB29" s="288"/>
      <c r="AC29" s="285" t="s">
        <v>37</v>
      </c>
      <c r="AD29" s="285"/>
      <c r="AE29" s="718" t="s">
        <v>84</v>
      </c>
      <c r="AF29" s="285"/>
      <c r="AG29" s="285" t="s">
        <v>56</v>
      </c>
      <c r="AH29" s="288"/>
      <c r="AI29" s="285" t="s">
        <v>56</v>
      </c>
      <c r="AJ29" s="288"/>
      <c r="AK29" s="283" t="s">
        <v>37</v>
      </c>
      <c r="AL29" s="288"/>
      <c r="AM29" s="285" t="s">
        <v>91</v>
      </c>
      <c r="AN29" s="288"/>
      <c r="AO29" s="285" t="s">
        <v>91</v>
      </c>
      <c r="AP29" s="285"/>
      <c r="AQ29" s="285" t="s">
        <v>91</v>
      </c>
      <c r="AR29" s="288"/>
      <c r="AS29" s="286">
        <f t="shared" si="0"/>
        <v>21</v>
      </c>
      <c r="AT29" s="287">
        <f t="shared" si="1"/>
        <v>21</v>
      </c>
    </row>
    <row r="30" spans="1:48" ht="45" customHeight="1" x14ac:dyDescent="0.65">
      <c r="A30" s="924" t="s">
        <v>126</v>
      </c>
      <c r="B30" s="913" t="s">
        <v>127</v>
      </c>
      <c r="C30" s="292"/>
      <c r="D30" s="293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  <c r="U30" s="293"/>
      <c r="V30" s="293"/>
      <c r="W30" s="293"/>
      <c r="X30" s="293"/>
      <c r="Y30" s="293"/>
      <c r="Z30" s="293"/>
      <c r="AA30" s="293"/>
      <c r="AB30" s="293"/>
      <c r="AC30" s="293"/>
      <c r="AD30" s="293"/>
      <c r="AE30" s="293"/>
      <c r="AF30" s="293"/>
      <c r="AG30" s="293"/>
      <c r="AH30" s="293"/>
      <c r="AI30" s="294"/>
      <c r="AJ30" s="294"/>
      <c r="AK30" s="294"/>
      <c r="AL30" s="294"/>
      <c r="AM30" s="294"/>
      <c r="AN30" s="294"/>
      <c r="AO30" s="294"/>
      <c r="AP30" s="294"/>
      <c r="AQ30" s="294"/>
      <c r="AR30" s="294"/>
      <c r="AS30" s="294"/>
      <c r="AT30" s="941"/>
      <c r="AU30" s="4"/>
      <c r="AV30" s="114"/>
    </row>
    <row r="31" spans="1:48" ht="45" customHeight="1" x14ac:dyDescent="0.65">
      <c r="A31" s="923" t="s">
        <v>128</v>
      </c>
      <c r="B31" s="900" t="s">
        <v>129</v>
      </c>
      <c r="C31" s="284" t="s">
        <v>17</v>
      </c>
      <c r="D31" s="284"/>
      <c r="E31" s="285" t="s">
        <v>17</v>
      </c>
      <c r="F31" s="285"/>
      <c r="G31" s="285" t="s">
        <v>17</v>
      </c>
      <c r="H31" s="285"/>
      <c r="I31" s="285" t="s">
        <v>17</v>
      </c>
      <c r="J31" s="285"/>
      <c r="K31" s="285" t="s">
        <v>27</v>
      </c>
      <c r="L31" s="285"/>
      <c r="M31" s="285" t="s">
        <v>27</v>
      </c>
      <c r="N31" s="285"/>
      <c r="O31" s="285" t="s">
        <v>27</v>
      </c>
      <c r="P31" s="285"/>
      <c r="Q31" s="285" t="s">
        <v>27</v>
      </c>
      <c r="R31" s="285"/>
      <c r="S31" s="285" t="s">
        <v>27</v>
      </c>
      <c r="T31" s="285"/>
      <c r="U31" s="285" t="s">
        <v>27</v>
      </c>
      <c r="V31" s="285"/>
      <c r="W31" s="285" t="s">
        <v>27</v>
      </c>
      <c r="X31" s="285"/>
      <c r="Y31" s="285" t="s">
        <v>37</v>
      </c>
      <c r="Z31" s="288"/>
      <c r="AA31" s="285" t="s">
        <v>37</v>
      </c>
      <c r="AB31" s="288"/>
      <c r="AC31" s="285" t="s">
        <v>37</v>
      </c>
      <c r="AD31" s="285"/>
      <c r="AE31" s="718" t="s">
        <v>84</v>
      </c>
      <c r="AF31" s="285"/>
      <c r="AG31" s="285" t="s">
        <v>56</v>
      </c>
      <c r="AH31" s="285"/>
      <c r="AI31" s="285" t="s">
        <v>56</v>
      </c>
      <c r="AJ31" s="288"/>
      <c r="AK31" s="283" t="s">
        <v>37</v>
      </c>
      <c r="AL31" s="288"/>
      <c r="AM31" s="285" t="s">
        <v>91</v>
      </c>
      <c r="AN31" s="288"/>
      <c r="AO31" s="285" t="s">
        <v>91</v>
      </c>
      <c r="AP31" s="285"/>
      <c r="AQ31" s="285" t="s">
        <v>91</v>
      </c>
      <c r="AR31" s="288"/>
      <c r="AS31" s="286">
        <f>COUNTIF(C31:AR31,"&gt;=R")</f>
        <v>21</v>
      </c>
      <c r="AT31" s="287">
        <f>AS31</f>
        <v>21</v>
      </c>
    </row>
    <row r="32" spans="1:48" ht="45" customHeight="1" x14ac:dyDescent="0.65">
      <c r="A32" s="923" t="s">
        <v>130</v>
      </c>
      <c r="B32" s="900" t="s">
        <v>131</v>
      </c>
      <c r="C32" s="284" t="s">
        <v>17</v>
      </c>
      <c r="D32" s="284"/>
      <c r="E32" s="285" t="s">
        <v>17</v>
      </c>
      <c r="F32" s="285"/>
      <c r="G32" s="285" t="s">
        <v>17</v>
      </c>
      <c r="H32" s="285"/>
      <c r="I32" s="285" t="s">
        <v>17</v>
      </c>
      <c r="J32" s="285"/>
      <c r="K32" s="285" t="s">
        <v>27</v>
      </c>
      <c r="L32" s="285"/>
      <c r="M32" s="285" t="s">
        <v>27</v>
      </c>
      <c r="N32" s="285"/>
      <c r="O32" s="285" t="s">
        <v>27</v>
      </c>
      <c r="P32" s="285"/>
      <c r="Q32" s="285" t="s">
        <v>27</v>
      </c>
      <c r="R32" s="285"/>
      <c r="S32" s="285" t="s">
        <v>27</v>
      </c>
      <c r="T32" s="285"/>
      <c r="U32" s="285" t="s">
        <v>27</v>
      </c>
      <c r="V32" s="285"/>
      <c r="W32" s="285" t="s">
        <v>27</v>
      </c>
      <c r="X32" s="285"/>
      <c r="Y32" s="285" t="s">
        <v>37</v>
      </c>
      <c r="Z32" s="288"/>
      <c r="AA32" s="285" t="s">
        <v>37</v>
      </c>
      <c r="AB32" s="288"/>
      <c r="AC32" s="285" t="s">
        <v>37</v>
      </c>
      <c r="AD32" s="285"/>
      <c r="AE32" s="718" t="s">
        <v>84</v>
      </c>
      <c r="AF32" s="285"/>
      <c r="AG32" s="285" t="s">
        <v>56</v>
      </c>
      <c r="AH32" s="285"/>
      <c r="AI32" s="285" t="s">
        <v>56</v>
      </c>
      <c r="AJ32" s="288"/>
      <c r="AK32" s="283" t="s">
        <v>37</v>
      </c>
      <c r="AL32" s="288"/>
      <c r="AM32" s="285" t="s">
        <v>91</v>
      </c>
      <c r="AN32" s="288"/>
      <c r="AO32" s="285" t="s">
        <v>91</v>
      </c>
      <c r="AP32" s="285"/>
      <c r="AQ32" s="285" t="s">
        <v>91</v>
      </c>
      <c r="AR32" s="288"/>
      <c r="AS32" s="286">
        <f>COUNTIF(C32:AR32,"&gt;=R")</f>
        <v>21</v>
      </c>
      <c r="AT32" s="287">
        <f>AS32</f>
        <v>21</v>
      </c>
      <c r="AU32" s="4"/>
      <c r="AV32" s="114"/>
    </row>
    <row r="33" spans="1:48" ht="45" customHeight="1" x14ac:dyDescent="0.65">
      <c r="A33" s="924" t="s">
        <v>132</v>
      </c>
      <c r="B33" s="913" t="s">
        <v>133</v>
      </c>
      <c r="C33" s="291"/>
      <c r="D33" s="292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3"/>
      <c r="AI33" s="294"/>
      <c r="AJ33" s="294"/>
      <c r="AK33" s="294"/>
      <c r="AL33" s="294"/>
      <c r="AM33" s="294"/>
      <c r="AN33" s="294"/>
      <c r="AO33" s="294"/>
      <c r="AP33" s="294"/>
      <c r="AQ33" s="294"/>
      <c r="AR33" s="294"/>
      <c r="AS33" s="294"/>
      <c r="AT33" s="941"/>
      <c r="AU33" s="4"/>
      <c r="AV33" s="114"/>
    </row>
    <row r="34" spans="1:48" ht="45" customHeight="1" x14ac:dyDescent="0.65">
      <c r="A34" s="925" t="s">
        <v>134</v>
      </c>
      <c r="B34" s="900" t="s">
        <v>135</v>
      </c>
      <c r="C34" s="283" t="s">
        <v>37</v>
      </c>
      <c r="D34" s="284"/>
      <c r="E34" s="283" t="s">
        <v>37</v>
      </c>
      <c r="F34" s="285"/>
      <c r="G34" s="283" t="s">
        <v>37</v>
      </c>
      <c r="H34" s="285"/>
      <c r="I34" s="285" t="s">
        <v>37</v>
      </c>
      <c r="J34" s="285"/>
      <c r="K34" s="285" t="s">
        <v>67</v>
      </c>
      <c r="L34" s="285"/>
      <c r="M34" s="285" t="s">
        <v>67</v>
      </c>
      <c r="N34" s="285"/>
      <c r="O34" s="285" t="s">
        <v>67</v>
      </c>
      <c r="P34" s="285"/>
      <c r="Q34" s="285" t="s">
        <v>67</v>
      </c>
      <c r="R34" s="285"/>
      <c r="S34" s="285" t="s">
        <v>67</v>
      </c>
      <c r="T34" s="285"/>
      <c r="U34" s="285" t="s">
        <v>67</v>
      </c>
      <c r="V34" s="285"/>
      <c r="W34" s="285" t="s">
        <v>67</v>
      </c>
      <c r="X34" s="285"/>
      <c r="Y34" s="285" t="s">
        <v>67</v>
      </c>
      <c r="Z34" s="285"/>
      <c r="AA34" s="285" t="s">
        <v>67</v>
      </c>
      <c r="AB34" s="285"/>
      <c r="AC34" s="285" t="s">
        <v>67</v>
      </c>
      <c r="AD34" s="285"/>
      <c r="AE34" s="285" t="s">
        <v>28</v>
      </c>
      <c r="AF34" s="285"/>
      <c r="AG34" s="285" t="s">
        <v>28</v>
      </c>
      <c r="AH34" s="285"/>
      <c r="AI34" s="285" t="s">
        <v>18</v>
      </c>
      <c r="AJ34" s="288"/>
      <c r="AK34" s="285" t="s">
        <v>28</v>
      </c>
      <c r="AL34" s="288"/>
      <c r="AM34" s="288" t="s">
        <v>37</v>
      </c>
      <c r="AN34" s="288"/>
      <c r="AO34" s="285" t="s">
        <v>37</v>
      </c>
      <c r="AP34" s="285"/>
      <c r="AQ34" s="285" t="s">
        <v>37</v>
      </c>
      <c r="AR34" s="288"/>
      <c r="AS34" s="286">
        <f>COUNTIF(C34:AR34,"&gt;=R")</f>
        <v>21</v>
      </c>
      <c r="AT34" s="287">
        <f>AS34</f>
        <v>21</v>
      </c>
      <c r="AU34" s="4"/>
      <c r="AV34" s="114"/>
    </row>
    <row r="35" spans="1:48" ht="45" customHeight="1" x14ac:dyDescent="0.65">
      <c r="A35" s="924" t="s">
        <v>136</v>
      </c>
      <c r="B35" s="913" t="s">
        <v>137</v>
      </c>
      <c r="C35" s="291"/>
      <c r="D35" s="292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93"/>
      <c r="S35" s="293"/>
      <c r="T35" s="293"/>
      <c r="U35" s="293"/>
      <c r="V35" s="293"/>
      <c r="W35" s="293"/>
      <c r="X35" s="293"/>
      <c r="Y35" s="293"/>
      <c r="Z35" s="293"/>
      <c r="AA35" s="293"/>
      <c r="AB35" s="293"/>
      <c r="AC35" s="293"/>
      <c r="AD35" s="293"/>
      <c r="AE35" s="293"/>
      <c r="AF35" s="293"/>
      <c r="AG35" s="293"/>
      <c r="AH35" s="293"/>
      <c r="AI35" s="294"/>
      <c r="AJ35" s="294"/>
      <c r="AK35" s="294"/>
      <c r="AL35" s="294"/>
      <c r="AM35" s="294"/>
      <c r="AN35" s="294"/>
      <c r="AO35" s="294"/>
      <c r="AP35" s="294"/>
      <c r="AQ35" s="294"/>
      <c r="AR35" s="294"/>
      <c r="AS35" s="294"/>
      <c r="AT35" s="941"/>
      <c r="AU35" s="4"/>
      <c r="AV35" s="114"/>
    </row>
    <row r="36" spans="1:48" ht="45" customHeight="1" x14ac:dyDescent="0.65">
      <c r="A36" s="923" t="s">
        <v>138</v>
      </c>
      <c r="B36" s="900" t="s">
        <v>139</v>
      </c>
      <c r="C36" s="283" t="s">
        <v>37</v>
      </c>
      <c r="D36" s="284"/>
      <c r="E36" s="299" t="s">
        <v>37</v>
      </c>
      <c r="F36" s="285"/>
      <c r="G36" s="299" t="s">
        <v>37</v>
      </c>
      <c r="H36" s="285"/>
      <c r="I36" s="285" t="s">
        <v>37</v>
      </c>
      <c r="J36" s="285"/>
      <c r="K36" s="285" t="s">
        <v>67</v>
      </c>
      <c r="L36" s="285"/>
      <c r="M36" s="285" t="s">
        <v>424</v>
      </c>
      <c r="N36" s="285"/>
      <c r="O36" s="285" t="s">
        <v>67</v>
      </c>
      <c r="P36" s="285"/>
      <c r="Q36" s="285" t="s">
        <v>67</v>
      </c>
      <c r="R36" s="285"/>
      <c r="S36" s="942" t="s">
        <v>67</v>
      </c>
      <c r="T36" s="285"/>
      <c r="U36" s="942" t="s">
        <v>67</v>
      </c>
      <c r="V36" s="299"/>
      <c r="W36" s="942" t="s">
        <v>67</v>
      </c>
      <c r="X36" s="285"/>
      <c r="Y36" s="942" t="s">
        <v>67</v>
      </c>
      <c r="Z36" s="299"/>
      <c r="AA36" s="942" t="s">
        <v>67</v>
      </c>
      <c r="AB36" s="299"/>
      <c r="AC36" s="942" t="s">
        <v>67</v>
      </c>
      <c r="AD36" s="299"/>
      <c r="AE36" s="299" t="s">
        <v>28</v>
      </c>
      <c r="AF36" s="299"/>
      <c r="AG36" s="299" t="s">
        <v>28</v>
      </c>
      <c r="AH36" s="299"/>
      <c r="AI36" s="299"/>
      <c r="AJ36" s="288"/>
      <c r="AK36" s="299" t="s">
        <v>28</v>
      </c>
      <c r="AL36" s="288"/>
      <c r="AM36" s="288" t="s">
        <v>37</v>
      </c>
      <c r="AN36" s="288"/>
      <c r="AO36" s="285" t="s">
        <v>37</v>
      </c>
      <c r="AP36" s="285"/>
      <c r="AQ36" s="285" t="s">
        <v>37</v>
      </c>
      <c r="AR36" s="288"/>
      <c r="AS36" s="286">
        <f>COUNTIF(C36:AR36,"&gt;=R")</f>
        <v>19</v>
      </c>
      <c r="AT36" s="287">
        <f>AS36</f>
        <v>19</v>
      </c>
    </row>
    <row r="37" spans="1:48" ht="45" customHeight="1" x14ac:dyDescent="0.65">
      <c r="A37" s="357" t="s">
        <v>140</v>
      </c>
      <c r="B37" s="903" t="s">
        <v>141</v>
      </c>
      <c r="C37" s="578" t="s">
        <v>37</v>
      </c>
      <c r="D37" s="579"/>
      <c r="E37" s="578" t="s">
        <v>37</v>
      </c>
      <c r="F37" s="580"/>
      <c r="G37" s="578" t="s">
        <v>37</v>
      </c>
      <c r="H37" s="580"/>
      <c r="I37" s="580" t="s">
        <v>37</v>
      </c>
      <c r="J37" s="580"/>
      <c r="K37" s="580" t="s">
        <v>67</v>
      </c>
      <c r="L37" s="580"/>
      <c r="M37" s="580" t="s">
        <v>424</v>
      </c>
      <c r="N37" s="580"/>
      <c r="O37" s="580" t="s">
        <v>67</v>
      </c>
      <c r="P37" s="580"/>
      <c r="Q37" s="580" t="s">
        <v>67</v>
      </c>
      <c r="R37" s="580"/>
      <c r="S37" s="676" t="s">
        <v>67</v>
      </c>
      <c r="T37" s="580"/>
      <c r="U37" s="676" t="s">
        <v>67</v>
      </c>
      <c r="V37" s="584"/>
      <c r="W37" s="676" t="s">
        <v>67</v>
      </c>
      <c r="X37" s="580"/>
      <c r="Y37" s="676" t="s">
        <v>67</v>
      </c>
      <c r="Z37" s="584"/>
      <c r="AA37" s="676" t="s">
        <v>67</v>
      </c>
      <c r="AB37" s="584"/>
      <c r="AC37" s="676" t="s">
        <v>67</v>
      </c>
      <c r="AD37" s="584"/>
      <c r="AE37" s="584" t="s">
        <v>28</v>
      </c>
      <c r="AF37" s="584"/>
      <c r="AG37" s="584" t="s">
        <v>28</v>
      </c>
      <c r="AH37" s="584"/>
      <c r="AI37" s="584"/>
      <c r="AJ37" s="581"/>
      <c r="AK37" s="584" t="s">
        <v>28</v>
      </c>
      <c r="AL37" s="581"/>
      <c r="AM37" s="581" t="s">
        <v>37</v>
      </c>
      <c r="AN37" s="581"/>
      <c r="AO37" s="580" t="s">
        <v>37</v>
      </c>
      <c r="AP37" s="580"/>
      <c r="AQ37" s="580" t="s">
        <v>37</v>
      </c>
      <c r="AR37" s="581"/>
      <c r="AS37" s="286">
        <f>COUNTIF(C37:AR37,"&gt;=R")</f>
        <v>19</v>
      </c>
      <c r="AT37" s="287">
        <f>AS37</f>
        <v>19</v>
      </c>
    </row>
    <row r="38" spans="1:48" ht="45" customHeight="1" x14ac:dyDescent="0.65">
      <c r="A38" s="924" t="s">
        <v>142</v>
      </c>
      <c r="B38" s="913" t="s">
        <v>143</v>
      </c>
      <c r="C38" s="291"/>
      <c r="D38" s="292"/>
      <c r="E38" s="293"/>
      <c r="F38" s="293"/>
      <c r="G38" s="293"/>
      <c r="H38" s="293"/>
      <c r="I38" s="293"/>
      <c r="J38" s="293"/>
      <c r="K38" s="293"/>
      <c r="L38" s="293"/>
      <c r="M38" s="293"/>
      <c r="N38" s="293"/>
      <c r="O38" s="293"/>
      <c r="P38" s="293"/>
      <c r="Q38" s="293"/>
      <c r="R38" s="293"/>
      <c r="S38" s="293"/>
      <c r="T38" s="293"/>
      <c r="U38" s="293"/>
      <c r="V38" s="293"/>
      <c r="W38" s="293"/>
      <c r="X38" s="293"/>
      <c r="Y38" s="293"/>
      <c r="Z38" s="293"/>
      <c r="AA38" s="293"/>
      <c r="AB38" s="293"/>
      <c r="AC38" s="293"/>
      <c r="AD38" s="293"/>
      <c r="AE38" s="293"/>
      <c r="AF38" s="293"/>
      <c r="AG38" s="293"/>
      <c r="AH38" s="293"/>
      <c r="AI38" s="294"/>
      <c r="AJ38" s="294"/>
      <c r="AK38" s="294"/>
      <c r="AL38" s="294"/>
      <c r="AM38" s="294"/>
      <c r="AN38" s="294"/>
      <c r="AO38" s="294"/>
      <c r="AP38" s="294"/>
      <c r="AQ38" s="294"/>
      <c r="AR38" s="294"/>
      <c r="AS38" s="294"/>
      <c r="AT38" s="941"/>
    </row>
    <row r="39" spans="1:48" ht="45" customHeight="1" x14ac:dyDescent="0.65">
      <c r="A39" s="925" t="s">
        <v>144</v>
      </c>
      <c r="B39" s="900" t="s">
        <v>145</v>
      </c>
      <c r="C39" s="284" t="s">
        <v>37</v>
      </c>
      <c r="D39" s="284"/>
      <c r="E39" s="285" t="s">
        <v>37</v>
      </c>
      <c r="F39" s="285"/>
      <c r="G39" s="285" t="s">
        <v>37</v>
      </c>
      <c r="H39" s="285"/>
      <c r="I39" s="285" t="s">
        <v>37</v>
      </c>
      <c r="J39" s="285"/>
      <c r="K39" s="942" t="s">
        <v>67</v>
      </c>
      <c r="L39" s="285"/>
      <c r="M39" s="942" t="s">
        <v>424</v>
      </c>
      <c r="N39" s="285"/>
      <c r="O39" s="942" t="s">
        <v>67</v>
      </c>
      <c r="P39" s="285"/>
      <c r="Q39" s="942" t="s">
        <v>67</v>
      </c>
      <c r="R39" s="285"/>
      <c r="S39" s="942" t="s">
        <v>67</v>
      </c>
      <c r="T39" s="285"/>
      <c r="U39" s="942" t="s">
        <v>67</v>
      </c>
      <c r="V39" s="299"/>
      <c r="W39" s="942" t="s">
        <v>67</v>
      </c>
      <c r="X39" s="285"/>
      <c r="Y39" s="942" t="s">
        <v>67</v>
      </c>
      <c r="Z39" s="285"/>
      <c r="AA39" s="942" t="s">
        <v>67</v>
      </c>
      <c r="AB39" s="285"/>
      <c r="AC39" s="942" t="s">
        <v>67</v>
      </c>
      <c r="AD39" s="285"/>
      <c r="AE39" s="299" t="s">
        <v>28</v>
      </c>
      <c r="AF39" s="285"/>
      <c r="AG39" s="299" t="s">
        <v>28</v>
      </c>
      <c r="AH39" s="285"/>
      <c r="AI39" s="285"/>
      <c r="AJ39" s="288"/>
      <c r="AK39" s="299" t="s">
        <v>28</v>
      </c>
      <c r="AL39" s="288"/>
      <c r="AM39" s="288" t="s">
        <v>37</v>
      </c>
      <c r="AN39" s="288"/>
      <c r="AO39" s="285" t="s">
        <v>37</v>
      </c>
      <c r="AP39" s="285"/>
      <c r="AQ39" s="285" t="s">
        <v>37</v>
      </c>
      <c r="AR39" s="288"/>
      <c r="AS39" s="286">
        <f>COUNTIF(C39:AR39,"&gt;=R")</f>
        <v>19</v>
      </c>
      <c r="AT39" s="287">
        <f>AS39</f>
        <v>19</v>
      </c>
    </row>
    <row r="40" spans="1:48" ht="45" customHeight="1" x14ac:dyDescent="0.65">
      <c r="A40" s="924" t="s">
        <v>146</v>
      </c>
      <c r="B40" s="913" t="s">
        <v>147</v>
      </c>
      <c r="C40" s="291"/>
      <c r="D40" s="292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3"/>
      <c r="T40" s="293"/>
      <c r="U40" s="293"/>
      <c r="V40" s="293"/>
      <c r="W40" s="293"/>
      <c r="X40" s="293"/>
      <c r="Y40" s="293"/>
      <c r="Z40" s="293"/>
      <c r="AA40" s="293"/>
      <c r="AB40" s="293"/>
      <c r="AC40" s="293"/>
      <c r="AD40" s="293"/>
      <c r="AE40" s="293"/>
      <c r="AF40" s="293"/>
      <c r="AG40" s="293"/>
      <c r="AH40" s="293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941"/>
    </row>
    <row r="41" spans="1:48" ht="45" customHeight="1" x14ac:dyDescent="0.65">
      <c r="A41" s="923" t="s">
        <v>148</v>
      </c>
      <c r="B41" s="900" t="s">
        <v>139</v>
      </c>
      <c r="C41" s="284" t="s">
        <v>37</v>
      </c>
      <c r="D41" s="284"/>
      <c r="E41" s="285" t="s">
        <v>37</v>
      </c>
      <c r="F41" s="285"/>
      <c r="G41" s="299" t="s">
        <v>37</v>
      </c>
      <c r="H41" s="285"/>
      <c r="I41" s="285" t="s">
        <v>37</v>
      </c>
      <c r="J41" s="285"/>
      <c r="K41" s="285" t="s">
        <v>67</v>
      </c>
      <c r="L41" s="285"/>
      <c r="M41" s="285" t="s">
        <v>67</v>
      </c>
      <c r="N41" s="285"/>
      <c r="O41" s="285" t="s">
        <v>67</v>
      </c>
      <c r="P41" s="285"/>
      <c r="Q41" s="285" t="s">
        <v>67</v>
      </c>
      <c r="R41" s="285"/>
      <c r="S41" s="942" t="s">
        <v>67</v>
      </c>
      <c r="T41" s="285"/>
      <c r="U41" s="942" t="s">
        <v>67</v>
      </c>
      <c r="V41" s="299"/>
      <c r="W41" s="942" t="s">
        <v>67</v>
      </c>
      <c r="X41" s="285"/>
      <c r="Y41" s="942" t="s">
        <v>67</v>
      </c>
      <c r="Z41" s="285"/>
      <c r="AA41" s="942" t="s">
        <v>67</v>
      </c>
      <c r="AB41" s="285"/>
      <c r="AC41" s="942" t="s">
        <v>67</v>
      </c>
      <c r="AD41" s="285"/>
      <c r="AE41" s="285" t="s">
        <v>18</v>
      </c>
      <c r="AF41" s="285"/>
      <c r="AG41" s="285" t="s">
        <v>18</v>
      </c>
      <c r="AH41" s="285"/>
      <c r="AI41" s="288"/>
      <c r="AJ41" s="288"/>
      <c r="AK41" s="285" t="s">
        <v>18</v>
      </c>
      <c r="AL41" s="288"/>
      <c r="AM41" s="288" t="s">
        <v>37</v>
      </c>
      <c r="AN41" s="288"/>
      <c r="AO41" s="285" t="s">
        <v>37</v>
      </c>
      <c r="AP41" s="285"/>
      <c r="AQ41" s="285" t="s">
        <v>425</v>
      </c>
      <c r="AR41" s="288"/>
      <c r="AS41" s="286">
        <f>COUNTIF(C41:AR41,"&gt;=R")</f>
        <v>20</v>
      </c>
      <c r="AT41" s="287">
        <f>AS41</f>
        <v>20</v>
      </c>
    </row>
    <row r="42" spans="1:48" ht="45" customHeight="1" x14ac:dyDescent="0.65">
      <c r="A42" s="923" t="s">
        <v>149</v>
      </c>
      <c r="B42" s="900" t="s">
        <v>150</v>
      </c>
      <c r="C42" s="284" t="s">
        <v>37</v>
      </c>
      <c r="D42" s="284"/>
      <c r="E42" s="285" t="s">
        <v>37</v>
      </c>
      <c r="F42" s="285"/>
      <c r="G42" s="285" t="s">
        <v>37</v>
      </c>
      <c r="H42" s="285"/>
      <c r="I42" s="299" t="s">
        <v>37</v>
      </c>
      <c r="J42" s="285"/>
      <c r="K42" s="285" t="s">
        <v>76</v>
      </c>
      <c r="L42" s="285"/>
      <c r="M42" s="285" t="s">
        <v>76</v>
      </c>
      <c r="N42" s="285"/>
      <c r="O42" s="285" t="s">
        <v>76</v>
      </c>
      <c r="P42" s="285"/>
      <c r="Q42" s="285" t="s">
        <v>76</v>
      </c>
      <c r="R42" s="285"/>
      <c r="S42" s="942" t="s">
        <v>67</v>
      </c>
      <c r="T42" s="285"/>
      <c r="U42" s="942" t="s">
        <v>67</v>
      </c>
      <c r="V42" s="299"/>
      <c r="W42" s="942" t="s">
        <v>67</v>
      </c>
      <c r="X42" s="285"/>
      <c r="Y42" s="942" t="s">
        <v>67</v>
      </c>
      <c r="Z42" s="285"/>
      <c r="AA42" s="942" t="s">
        <v>67</v>
      </c>
      <c r="AB42" s="285"/>
      <c r="AC42" s="942" t="s">
        <v>67</v>
      </c>
      <c r="AD42" s="285"/>
      <c r="AE42" s="285" t="s">
        <v>18</v>
      </c>
      <c r="AF42" s="285"/>
      <c r="AG42" s="285" t="s">
        <v>18</v>
      </c>
      <c r="AH42" s="285"/>
      <c r="AI42" s="285"/>
      <c r="AJ42" s="288"/>
      <c r="AK42" s="750" t="s">
        <v>8</v>
      </c>
      <c r="AL42" s="288"/>
      <c r="AM42" s="718" t="s">
        <v>84</v>
      </c>
      <c r="AN42" s="288"/>
      <c r="AO42" s="728" t="s">
        <v>84</v>
      </c>
      <c r="AP42" s="288"/>
      <c r="AQ42" s="728" t="s">
        <v>84</v>
      </c>
      <c r="AR42" s="288"/>
      <c r="AS42" s="286">
        <f>COUNTIF(C42:AR42,"&gt;=R")</f>
        <v>20</v>
      </c>
      <c r="AT42" s="287">
        <f>AS42</f>
        <v>20</v>
      </c>
      <c r="AU42" s="4"/>
      <c r="AV42" s="114"/>
    </row>
    <row r="43" spans="1:48" ht="45" customHeight="1" x14ac:dyDescent="0.65">
      <c r="A43" s="926" t="s">
        <v>151</v>
      </c>
      <c r="B43" s="914" t="s">
        <v>152</v>
      </c>
      <c r="C43" s="283"/>
      <c r="D43" s="284"/>
      <c r="E43" s="285"/>
      <c r="F43" s="285"/>
      <c r="G43" s="285"/>
      <c r="H43" s="285"/>
      <c r="I43" s="285"/>
      <c r="J43" s="285"/>
      <c r="K43" s="285"/>
      <c r="L43" s="285"/>
      <c r="M43" s="299"/>
      <c r="N43" s="285"/>
      <c r="O43" s="285"/>
      <c r="P43" s="285"/>
      <c r="Q43" s="285"/>
      <c r="R43" s="285"/>
      <c r="S43" s="285"/>
      <c r="T43" s="285"/>
      <c r="U43" s="288"/>
      <c r="V43" s="285"/>
      <c r="W43" s="285"/>
      <c r="X43" s="285"/>
      <c r="Y43" s="288"/>
      <c r="Z43" s="285"/>
      <c r="AA43" s="285"/>
      <c r="AB43" s="285"/>
      <c r="AC43" s="285"/>
      <c r="AD43" s="285"/>
      <c r="AE43" s="285"/>
      <c r="AF43" s="285"/>
      <c r="AG43" s="285"/>
      <c r="AH43" s="285"/>
      <c r="AI43" s="285"/>
      <c r="AJ43" s="288"/>
      <c r="AK43" s="285"/>
      <c r="AL43" s="288"/>
      <c r="AM43" s="285"/>
      <c r="AN43" s="288"/>
      <c r="AO43" s="285"/>
      <c r="AP43" s="285"/>
      <c r="AQ43" s="285"/>
      <c r="AR43" s="288"/>
      <c r="AS43" s="286"/>
      <c r="AT43" s="287"/>
    </row>
    <row r="44" spans="1:48" ht="45" customHeight="1" x14ac:dyDescent="0.65">
      <c r="A44" s="923" t="s">
        <v>153</v>
      </c>
      <c r="B44" s="900" t="s">
        <v>154</v>
      </c>
      <c r="C44" s="283"/>
      <c r="D44" s="284"/>
      <c r="E44" s="283"/>
      <c r="F44" s="285"/>
      <c r="G44" s="283"/>
      <c r="H44" s="285"/>
      <c r="I44" s="283"/>
      <c r="J44" s="285"/>
      <c r="K44" s="283"/>
      <c r="L44" s="285"/>
      <c r="M44" s="285"/>
      <c r="N44" s="285"/>
      <c r="O44" s="285"/>
      <c r="P44" s="285"/>
      <c r="Q44" s="285"/>
      <c r="R44" s="285"/>
      <c r="S44" s="285"/>
      <c r="T44" s="285"/>
      <c r="U44" s="285"/>
      <c r="V44" s="285"/>
      <c r="W44" s="285"/>
      <c r="X44" s="285"/>
      <c r="Y44" s="285"/>
      <c r="Z44" s="285"/>
      <c r="AA44" s="285"/>
      <c r="AB44" s="285"/>
      <c r="AC44" s="285"/>
      <c r="AD44" s="285"/>
      <c r="AE44" s="285"/>
      <c r="AF44" s="285"/>
      <c r="AG44" s="285"/>
      <c r="AH44" s="285"/>
      <c r="AI44" s="285"/>
      <c r="AJ44" s="288"/>
      <c r="AK44" s="285"/>
      <c r="AL44" s="288"/>
      <c r="AM44" s="285"/>
      <c r="AN44" s="288"/>
      <c r="AO44" s="285"/>
      <c r="AP44" s="285"/>
      <c r="AQ44" s="285"/>
      <c r="AR44" s="288"/>
      <c r="AS44" s="286">
        <f t="shared" ref="AS44:AS49" si="2">COUNTIF(C44:AR44,"&gt;=R")</f>
        <v>0</v>
      </c>
      <c r="AT44" s="287">
        <f t="shared" ref="AT44:AT49" si="3">AS44</f>
        <v>0</v>
      </c>
    </row>
    <row r="45" spans="1:48" ht="45" customHeight="1" x14ac:dyDescent="0.65">
      <c r="A45" s="923" t="s">
        <v>155</v>
      </c>
      <c r="B45" s="900" t="s">
        <v>156</v>
      </c>
      <c r="C45" s="302"/>
      <c r="D45" s="284"/>
      <c r="E45" s="288"/>
      <c r="F45" s="285"/>
      <c r="G45" s="288"/>
      <c r="H45" s="285"/>
      <c r="I45" s="288"/>
      <c r="J45" s="285"/>
      <c r="K45" s="288"/>
      <c r="L45" s="285"/>
      <c r="M45" s="288"/>
      <c r="N45" s="285"/>
      <c r="O45" s="288"/>
      <c r="P45" s="285"/>
      <c r="Q45" s="288"/>
      <c r="R45" s="285"/>
      <c r="S45" s="288"/>
      <c r="T45" s="285"/>
      <c r="U45" s="288"/>
      <c r="V45" s="285"/>
      <c r="W45" s="288"/>
      <c r="X45" s="285"/>
      <c r="Y45" s="288"/>
      <c r="Z45" s="285"/>
      <c r="AA45" s="288"/>
      <c r="AB45" s="285"/>
      <c r="AC45" s="288"/>
      <c r="AD45" s="285"/>
      <c r="AE45" s="288"/>
      <c r="AF45" s="285"/>
      <c r="AG45" s="288"/>
      <c r="AH45" s="285"/>
      <c r="AI45" s="288"/>
      <c r="AJ45" s="288"/>
      <c r="AK45" s="288"/>
      <c r="AL45" s="288"/>
      <c r="AM45" s="285"/>
      <c r="AN45" s="288"/>
      <c r="AO45" s="285"/>
      <c r="AP45" s="285"/>
      <c r="AQ45" s="285"/>
      <c r="AR45" s="288"/>
      <c r="AS45" s="286">
        <f t="shared" si="2"/>
        <v>0</v>
      </c>
      <c r="AT45" s="287">
        <f t="shared" si="3"/>
        <v>0</v>
      </c>
      <c r="AU45" s="4"/>
      <c r="AV45" s="114"/>
    </row>
    <row r="46" spans="1:48" ht="45" customHeight="1" x14ac:dyDescent="0.65">
      <c r="A46" s="923" t="s">
        <v>157</v>
      </c>
      <c r="B46" s="900" t="s">
        <v>158</v>
      </c>
      <c r="C46" s="284" t="s">
        <v>67</v>
      </c>
      <c r="D46" s="284"/>
      <c r="E46" s="285" t="s">
        <v>67</v>
      </c>
      <c r="F46" s="285"/>
      <c r="G46" s="285" t="s">
        <v>67</v>
      </c>
      <c r="H46" s="285"/>
      <c r="I46" s="299" t="s">
        <v>67</v>
      </c>
      <c r="J46" s="285"/>
      <c r="K46" s="299" t="s">
        <v>67</v>
      </c>
      <c r="L46" s="285"/>
      <c r="M46" s="299" t="s">
        <v>67</v>
      </c>
      <c r="N46" s="285"/>
      <c r="O46" s="299" t="s">
        <v>67</v>
      </c>
      <c r="P46" s="285"/>
      <c r="Q46" s="285" t="s">
        <v>67</v>
      </c>
      <c r="R46" s="285"/>
      <c r="S46" s="285" t="s">
        <v>67</v>
      </c>
      <c r="T46" s="285"/>
      <c r="U46" s="288" t="s">
        <v>67</v>
      </c>
      <c r="V46" s="285"/>
      <c r="W46" s="288" t="s">
        <v>84</v>
      </c>
      <c r="X46" s="285"/>
      <c r="Y46" s="288" t="s">
        <v>84</v>
      </c>
      <c r="Z46" s="285"/>
      <c r="AA46" s="288" t="s">
        <v>92</v>
      </c>
      <c r="AB46" s="285"/>
      <c r="AC46" s="288" t="s">
        <v>92</v>
      </c>
      <c r="AD46" s="285"/>
      <c r="AE46" s="285" t="s">
        <v>18</v>
      </c>
      <c r="AF46" s="285"/>
      <c r="AG46" s="285" t="s">
        <v>18</v>
      </c>
      <c r="AH46" s="285"/>
      <c r="AI46" s="285"/>
      <c r="AJ46" s="288"/>
      <c r="AK46" s="285" t="s">
        <v>48</v>
      </c>
      <c r="AL46" s="288"/>
      <c r="AM46" s="288" t="s">
        <v>37</v>
      </c>
      <c r="AN46" s="288"/>
      <c r="AO46" s="288" t="s">
        <v>37</v>
      </c>
      <c r="AP46" s="288"/>
      <c r="AQ46" s="288" t="s">
        <v>37</v>
      </c>
      <c r="AR46" s="288"/>
      <c r="AS46" s="286">
        <f t="shared" si="2"/>
        <v>20</v>
      </c>
      <c r="AT46" s="287">
        <f t="shared" si="3"/>
        <v>20</v>
      </c>
    </row>
    <row r="47" spans="1:48" ht="45" customHeight="1" x14ac:dyDescent="0.65">
      <c r="A47" s="923" t="s">
        <v>159</v>
      </c>
      <c r="B47" s="900" t="s">
        <v>160</v>
      </c>
      <c r="C47" s="283" t="s">
        <v>76</v>
      </c>
      <c r="D47" s="284"/>
      <c r="E47" s="285" t="s">
        <v>76</v>
      </c>
      <c r="F47" s="285"/>
      <c r="G47" s="285" t="s">
        <v>76</v>
      </c>
      <c r="H47" s="285"/>
      <c r="I47" s="285" t="s">
        <v>76</v>
      </c>
      <c r="J47" s="285"/>
      <c r="K47" s="285" t="s">
        <v>76</v>
      </c>
      <c r="L47" s="285"/>
      <c r="M47" s="285" t="s">
        <v>84</v>
      </c>
      <c r="N47" s="285"/>
      <c r="O47" s="285" t="s">
        <v>84</v>
      </c>
      <c r="P47" s="285"/>
      <c r="Q47" s="285" t="s">
        <v>84</v>
      </c>
      <c r="R47" s="285"/>
      <c r="S47" s="285" t="s">
        <v>76</v>
      </c>
      <c r="T47" s="285"/>
      <c r="U47" s="285" t="s">
        <v>76</v>
      </c>
      <c r="V47" s="285"/>
      <c r="W47" s="750" t="s">
        <v>8</v>
      </c>
      <c r="X47" s="285"/>
      <c r="Y47" s="285" t="s">
        <v>92</v>
      </c>
      <c r="Z47" s="285"/>
      <c r="AA47" s="285" t="s">
        <v>84</v>
      </c>
      <c r="AB47" s="285"/>
      <c r="AC47" s="285" t="s">
        <v>84</v>
      </c>
      <c r="AD47" s="285"/>
      <c r="AE47" s="285" t="s">
        <v>18</v>
      </c>
      <c r="AF47" s="285"/>
      <c r="AG47" s="285" t="s">
        <v>18</v>
      </c>
      <c r="AH47" s="285"/>
      <c r="AI47" s="285"/>
      <c r="AJ47" s="288"/>
      <c r="AK47" s="285" t="s">
        <v>28</v>
      </c>
      <c r="AL47" s="288"/>
      <c r="AM47" s="288" t="s">
        <v>92</v>
      </c>
      <c r="AN47" s="288"/>
      <c r="AO47" s="288" t="s">
        <v>92</v>
      </c>
      <c r="AP47" s="288"/>
      <c r="AQ47" s="288" t="s">
        <v>92</v>
      </c>
      <c r="AR47" s="288"/>
      <c r="AS47" s="286">
        <f t="shared" si="2"/>
        <v>20</v>
      </c>
      <c r="AT47" s="287">
        <f t="shared" si="3"/>
        <v>20</v>
      </c>
      <c r="AU47" s="4"/>
      <c r="AV47" s="114"/>
    </row>
    <row r="48" spans="1:48" ht="45" customHeight="1" x14ac:dyDescent="0.65">
      <c r="A48" s="923" t="s">
        <v>161</v>
      </c>
      <c r="B48" s="900" t="s">
        <v>162</v>
      </c>
      <c r="C48" s="283" t="s">
        <v>67</v>
      </c>
      <c r="D48" s="284"/>
      <c r="E48" s="285" t="s">
        <v>67</v>
      </c>
      <c r="F48" s="285"/>
      <c r="G48" s="285" t="s">
        <v>67</v>
      </c>
      <c r="H48" s="285"/>
      <c r="I48" s="285" t="s">
        <v>67</v>
      </c>
      <c r="J48" s="285"/>
      <c r="K48" s="285" t="s">
        <v>76</v>
      </c>
      <c r="L48" s="285"/>
      <c r="M48" s="285" t="s">
        <v>84</v>
      </c>
      <c r="N48" s="285"/>
      <c r="O48" s="285" t="s">
        <v>84</v>
      </c>
      <c r="P48" s="285"/>
      <c r="Q48" s="285" t="s">
        <v>84</v>
      </c>
      <c r="R48" s="285"/>
      <c r="S48" s="285" t="s">
        <v>76</v>
      </c>
      <c r="T48" s="285"/>
      <c r="U48" s="285" t="s">
        <v>76</v>
      </c>
      <c r="V48" s="285"/>
      <c r="W48" s="750" t="s">
        <v>8</v>
      </c>
      <c r="X48" s="285"/>
      <c r="Y48" s="750" t="s">
        <v>8</v>
      </c>
      <c r="Z48" s="285"/>
      <c r="AA48" s="285" t="s">
        <v>84</v>
      </c>
      <c r="AB48" s="285"/>
      <c r="AC48" s="285" t="s">
        <v>84</v>
      </c>
      <c r="AD48" s="285"/>
      <c r="AE48" s="285" t="s">
        <v>68</v>
      </c>
      <c r="AF48" s="285"/>
      <c r="AG48" s="285" t="s">
        <v>18</v>
      </c>
      <c r="AH48" s="285"/>
      <c r="AI48" s="288"/>
      <c r="AJ48" s="288"/>
      <c r="AK48" s="288" t="s">
        <v>28</v>
      </c>
      <c r="AL48" s="288"/>
      <c r="AM48" s="288" t="s">
        <v>92</v>
      </c>
      <c r="AN48" s="288"/>
      <c r="AO48" s="288" t="s">
        <v>92</v>
      </c>
      <c r="AP48" s="288"/>
      <c r="AQ48" s="288" t="s">
        <v>92</v>
      </c>
      <c r="AR48" s="288"/>
      <c r="AS48" s="286">
        <f t="shared" si="2"/>
        <v>20</v>
      </c>
      <c r="AT48" s="287">
        <f t="shared" si="3"/>
        <v>20</v>
      </c>
    </row>
    <row r="49" spans="1:48" ht="45" customHeight="1" thickBot="1" x14ac:dyDescent="0.7">
      <c r="A49" s="923" t="s">
        <v>163</v>
      </c>
      <c r="B49" s="900" t="s">
        <v>164</v>
      </c>
      <c r="C49" s="283" t="s">
        <v>67</v>
      </c>
      <c r="D49" s="284"/>
      <c r="E49" s="285" t="s">
        <v>67</v>
      </c>
      <c r="F49" s="285"/>
      <c r="G49" s="285" t="s">
        <v>67</v>
      </c>
      <c r="H49" s="285"/>
      <c r="I49" s="285" t="s">
        <v>67</v>
      </c>
      <c r="J49" s="285"/>
      <c r="K49" s="285" t="s">
        <v>76</v>
      </c>
      <c r="L49" s="285"/>
      <c r="M49" s="288" t="s">
        <v>84</v>
      </c>
      <c r="N49" s="285"/>
      <c r="O49" s="285" t="s">
        <v>84</v>
      </c>
      <c r="P49" s="285"/>
      <c r="Q49" s="285" t="s">
        <v>84</v>
      </c>
      <c r="R49" s="285"/>
      <c r="S49" s="285" t="s">
        <v>76</v>
      </c>
      <c r="T49" s="285"/>
      <c r="U49" s="285" t="s">
        <v>76</v>
      </c>
      <c r="V49" s="285"/>
      <c r="W49" s="285" t="s">
        <v>92</v>
      </c>
      <c r="X49" s="285"/>
      <c r="Y49" s="285" t="s">
        <v>92</v>
      </c>
      <c r="Z49" s="285"/>
      <c r="AA49" s="285" t="s">
        <v>84</v>
      </c>
      <c r="AB49" s="285"/>
      <c r="AC49" s="285" t="s">
        <v>84</v>
      </c>
      <c r="AD49" s="285"/>
      <c r="AE49" s="285" t="s">
        <v>18</v>
      </c>
      <c r="AF49" s="285"/>
      <c r="AG49" s="285" t="s">
        <v>18</v>
      </c>
      <c r="AH49" s="285"/>
      <c r="AI49" s="285"/>
      <c r="AJ49" s="288"/>
      <c r="AK49" s="285" t="s">
        <v>28</v>
      </c>
      <c r="AL49" s="288"/>
      <c r="AM49" s="728" t="s">
        <v>84</v>
      </c>
      <c r="AN49" s="288"/>
      <c r="AO49" s="288" t="s">
        <v>37</v>
      </c>
      <c r="AP49" s="288"/>
      <c r="AQ49" s="288" t="s">
        <v>37</v>
      </c>
      <c r="AR49" s="288"/>
      <c r="AS49" s="286">
        <f t="shared" si="2"/>
        <v>20</v>
      </c>
      <c r="AT49" s="287">
        <f t="shared" si="3"/>
        <v>20</v>
      </c>
      <c r="AU49" s="4"/>
      <c r="AV49" s="114"/>
    </row>
    <row r="50" spans="1:48" ht="45" customHeight="1" x14ac:dyDescent="0.65">
      <c r="A50" s="922" t="s">
        <v>165</v>
      </c>
      <c r="B50" s="275" t="s">
        <v>166</v>
      </c>
      <c r="C50" s="291"/>
      <c r="D50" s="292"/>
      <c r="E50" s="293"/>
      <c r="F50" s="293"/>
      <c r="G50" s="293"/>
      <c r="H50" s="293"/>
      <c r="I50" s="293"/>
      <c r="J50" s="293"/>
      <c r="K50" s="293"/>
      <c r="L50" s="293"/>
      <c r="M50" s="293"/>
      <c r="N50" s="293"/>
      <c r="O50" s="293"/>
      <c r="P50" s="293"/>
      <c r="Q50" s="293"/>
      <c r="R50" s="293"/>
      <c r="S50" s="293"/>
      <c r="T50" s="293"/>
      <c r="U50" s="293"/>
      <c r="V50" s="293"/>
      <c r="W50" s="293"/>
      <c r="X50" s="293"/>
      <c r="Y50" s="293"/>
      <c r="Z50" s="293"/>
      <c r="AA50" s="293"/>
      <c r="AB50" s="293"/>
      <c r="AC50" s="293"/>
      <c r="AD50" s="293"/>
      <c r="AE50" s="293"/>
      <c r="AF50" s="293"/>
      <c r="AG50" s="293"/>
      <c r="AH50" s="293"/>
      <c r="AI50" s="294"/>
      <c r="AJ50" s="294"/>
      <c r="AK50" s="294"/>
      <c r="AL50" s="294"/>
      <c r="AM50" s="294"/>
      <c r="AN50" s="294"/>
      <c r="AO50" s="294"/>
      <c r="AP50" s="294"/>
      <c r="AQ50" s="294"/>
      <c r="AR50" s="294"/>
      <c r="AS50" s="294"/>
      <c r="AT50" s="941"/>
      <c r="AU50" s="4"/>
      <c r="AV50" s="114"/>
    </row>
    <row r="51" spans="1:48" ht="45" customHeight="1" x14ac:dyDescent="0.65">
      <c r="A51" s="927" t="s">
        <v>167</v>
      </c>
      <c r="B51" s="306" t="s">
        <v>168</v>
      </c>
      <c r="C51" s="283"/>
      <c r="D51" s="284"/>
      <c r="E51" s="285"/>
      <c r="F51" s="285"/>
      <c r="G51" s="288"/>
      <c r="H51" s="285"/>
      <c r="I51" s="285"/>
      <c r="J51" s="285"/>
      <c r="K51" s="285"/>
      <c r="L51" s="285"/>
      <c r="M51" s="285"/>
      <c r="N51" s="285"/>
      <c r="O51" s="285"/>
      <c r="P51" s="285"/>
      <c r="Q51" s="285"/>
      <c r="R51" s="285"/>
      <c r="S51" s="285"/>
      <c r="T51" s="285"/>
      <c r="U51" s="285"/>
      <c r="V51" s="285"/>
      <c r="W51" s="307"/>
      <c r="X51" s="285"/>
      <c r="Y51" s="307"/>
      <c r="Z51" s="285"/>
      <c r="AA51" s="307"/>
      <c r="AB51" s="285"/>
      <c r="AC51" s="307"/>
      <c r="AD51" s="285"/>
      <c r="AE51" s="288"/>
      <c r="AF51" s="285"/>
      <c r="AG51" s="285"/>
      <c r="AH51" s="285"/>
      <c r="AI51" s="285"/>
      <c r="AJ51" s="288"/>
      <c r="AK51" s="285"/>
      <c r="AL51" s="288"/>
      <c r="AM51" s="285"/>
      <c r="AN51" s="288"/>
      <c r="AO51" s="285"/>
      <c r="AP51" s="285"/>
      <c r="AQ51" s="285"/>
      <c r="AR51" s="288"/>
      <c r="AS51" s="286"/>
      <c r="AT51" s="287"/>
    </row>
    <row r="52" spans="1:48" ht="45" customHeight="1" x14ac:dyDescent="0.65">
      <c r="A52" s="928" t="s">
        <v>169</v>
      </c>
      <c r="B52" s="902" t="s">
        <v>170</v>
      </c>
      <c r="C52" s="283" t="s">
        <v>67</v>
      </c>
      <c r="D52" s="284"/>
      <c r="E52" s="285" t="s">
        <v>56</v>
      </c>
      <c r="F52" s="285"/>
      <c r="G52" s="285" t="s">
        <v>56</v>
      </c>
      <c r="H52" s="285"/>
      <c r="I52" s="285" t="s">
        <v>67</v>
      </c>
      <c r="J52" s="285"/>
      <c r="K52" s="285" t="s">
        <v>76</v>
      </c>
      <c r="L52" s="285"/>
      <c r="M52" s="285" t="s">
        <v>84</v>
      </c>
      <c r="N52" s="285"/>
      <c r="O52" s="285" t="s">
        <v>84</v>
      </c>
      <c r="P52" s="285"/>
      <c r="Q52" s="285" t="s">
        <v>84</v>
      </c>
      <c r="R52" s="285"/>
      <c r="S52" s="285" t="s">
        <v>76</v>
      </c>
      <c r="T52" s="285"/>
      <c r="U52" s="285" t="s">
        <v>76</v>
      </c>
      <c r="V52" s="285"/>
      <c r="W52" s="750" t="s">
        <v>8</v>
      </c>
      <c r="X52" s="285"/>
      <c r="Y52" s="285" t="s">
        <v>92</v>
      </c>
      <c r="Z52" s="285"/>
      <c r="AA52" s="285" t="s">
        <v>84</v>
      </c>
      <c r="AB52" s="285"/>
      <c r="AC52" s="285" t="s">
        <v>84</v>
      </c>
      <c r="AD52" s="285"/>
      <c r="AE52" s="285" t="s">
        <v>18</v>
      </c>
      <c r="AF52" s="285"/>
      <c r="AG52" s="285" t="s">
        <v>18</v>
      </c>
      <c r="AH52" s="285"/>
      <c r="AI52" s="285"/>
      <c r="AJ52" s="288"/>
      <c r="AK52" s="285" t="s">
        <v>28</v>
      </c>
      <c r="AL52" s="288"/>
      <c r="AM52" s="288" t="s">
        <v>47</v>
      </c>
      <c r="AN52" s="288"/>
      <c r="AO52" s="288" t="s">
        <v>37</v>
      </c>
      <c r="AP52" s="288"/>
      <c r="AQ52" s="288" t="s">
        <v>37</v>
      </c>
      <c r="AR52" s="288"/>
      <c r="AS52" s="286">
        <f>COUNTIF(C52:AR52,"&gt;=R")</f>
        <v>20</v>
      </c>
      <c r="AT52" s="287">
        <f>AS52</f>
        <v>20</v>
      </c>
      <c r="AU52" s="4"/>
      <c r="AV52" s="114"/>
    </row>
    <row r="53" spans="1:48" ht="45" customHeight="1" x14ac:dyDescent="0.65">
      <c r="A53" s="928" t="s">
        <v>171</v>
      </c>
      <c r="B53" s="902" t="s">
        <v>172</v>
      </c>
      <c r="C53" s="283" t="s">
        <v>68</v>
      </c>
      <c r="D53" s="284"/>
      <c r="E53" s="283" t="s">
        <v>68</v>
      </c>
      <c r="F53" s="285"/>
      <c r="G53" s="283" t="s">
        <v>68</v>
      </c>
      <c r="H53" s="285"/>
      <c r="I53" s="283" t="s">
        <v>68</v>
      </c>
      <c r="J53" s="285"/>
      <c r="K53" s="283" t="s">
        <v>68</v>
      </c>
      <c r="L53" s="285"/>
      <c r="M53" s="283"/>
      <c r="N53" s="285"/>
      <c r="O53" s="283"/>
      <c r="P53" s="285"/>
      <c r="Q53" s="283"/>
      <c r="R53" s="285"/>
      <c r="S53" s="285"/>
      <c r="T53" s="285"/>
      <c r="U53" s="285"/>
      <c r="V53" s="285"/>
      <c r="W53" s="285" t="s">
        <v>68</v>
      </c>
      <c r="X53" s="285"/>
      <c r="Y53" s="285" t="s">
        <v>68</v>
      </c>
      <c r="Z53" s="285"/>
      <c r="AA53" s="285" t="s">
        <v>68</v>
      </c>
      <c r="AB53" s="285"/>
      <c r="AC53" s="285" t="s">
        <v>68</v>
      </c>
      <c r="AD53" s="285"/>
      <c r="AE53" s="285" t="s">
        <v>68</v>
      </c>
      <c r="AF53" s="285"/>
      <c r="AG53" s="285" t="s">
        <v>68</v>
      </c>
      <c r="AH53" s="285"/>
      <c r="AI53" s="285"/>
      <c r="AJ53" s="288"/>
      <c r="AK53" s="285" t="s">
        <v>68</v>
      </c>
      <c r="AL53" s="288"/>
      <c r="AM53" s="288" t="s">
        <v>68</v>
      </c>
      <c r="AN53" s="288"/>
      <c r="AO53" s="285" t="s">
        <v>68</v>
      </c>
      <c r="AP53" s="285"/>
      <c r="AQ53" s="285" t="s">
        <v>68</v>
      </c>
      <c r="AR53" s="288"/>
      <c r="AS53" s="286">
        <f>COUNTIF(C53:AR53,"&gt;=R")</f>
        <v>15</v>
      </c>
      <c r="AT53" s="287">
        <f>AS53</f>
        <v>15</v>
      </c>
      <c r="AU53" s="4"/>
      <c r="AV53" s="114"/>
    </row>
    <row r="54" spans="1:48" ht="45" customHeight="1" x14ac:dyDescent="0.65">
      <c r="A54" s="929" t="s">
        <v>173</v>
      </c>
      <c r="B54" s="915" t="s">
        <v>174</v>
      </c>
      <c r="C54" s="283"/>
      <c r="D54" s="284"/>
      <c r="E54" s="285"/>
      <c r="F54" s="285"/>
      <c r="G54" s="288"/>
      <c r="H54" s="285"/>
      <c r="I54" s="288"/>
      <c r="J54" s="285"/>
      <c r="K54" s="288"/>
      <c r="L54" s="285"/>
      <c r="M54" s="285"/>
      <c r="N54" s="285"/>
      <c r="O54" s="285"/>
      <c r="P54" s="285"/>
      <c r="Q54" s="285"/>
      <c r="R54" s="285"/>
      <c r="S54" s="285"/>
      <c r="T54" s="285"/>
      <c r="U54" s="285"/>
      <c r="V54" s="285"/>
      <c r="W54" s="285"/>
      <c r="X54" s="285"/>
      <c r="Y54" s="307"/>
      <c r="Z54" s="285"/>
      <c r="AA54" s="307"/>
      <c r="AB54" s="285"/>
      <c r="AC54" s="307"/>
      <c r="AD54" s="285"/>
      <c r="AE54" s="288"/>
      <c r="AF54" s="285"/>
      <c r="AG54" s="285"/>
      <c r="AH54" s="285"/>
      <c r="AI54" s="285"/>
      <c r="AJ54" s="288"/>
      <c r="AK54" s="285"/>
      <c r="AL54" s="288"/>
      <c r="AM54" s="285"/>
      <c r="AN54" s="288"/>
      <c r="AO54" s="285"/>
      <c r="AP54" s="285"/>
      <c r="AQ54" s="285"/>
      <c r="AR54" s="288"/>
      <c r="AS54" s="286"/>
      <c r="AT54" s="287"/>
    </row>
    <row r="55" spans="1:48" ht="45" customHeight="1" x14ac:dyDescent="0.65">
      <c r="A55" s="928" t="s">
        <v>175</v>
      </c>
      <c r="B55" s="902" t="s">
        <v>176</v>
      </c>
      <c r="C55" s="283" t="s">
        <v>68</v>
      </c>
      <c r="D55" s="284"/>
      <c r="E55" s="283" t="s">
        <v>68</v>
      </c>
      <c r="F55" s="285"/>
      <c r="G55" s="285" t="s">
        <v>68</v>
      </c>
      <c r="H55" s="285"/>
      <c r="I55" s="285" t="s">
        <v>68</v>
      </c>
      <c r="J55" s="285"/>
      <c r="K55" s="285" t="s">
        <v>68</v>
      </c>
      <c r="L55" s="285"/>
      <c r="M55" s="285"/>
      <c r="N55" s="285"/>
      <c r="O55" s="285"/>
      <c r="P55" s="285"/>
      <c r="Q55" s="285"/>
      <c r="R55" s="285"/>
      <c r="S55" s="285"/>
      <c r="T55" s="285"/>
      <c r="U55" s="288" t="s">
        <v>68</v>
      </c>
      <c r="V55" s="285"/>
      <c r="W55" s="288" t="s">
        <v>38</v>
      </c>
      <c r="X55" s="285"/>
      <c r="Y55" s="288" t="s">
        <v>48</v>
      </c>
      <c r="Z55" s="285"/>
      <c r="AA55" s="288" t="s">
        <v>48</v>
      </c>
      <c r="AB55" s="285"/>
      <c r="AC55" s="288" t="s">
        <v>48</v>
      </c>
      <c r="AD55" s="285"/>
      <c r="AE55" s="285" t="s">
        <v>85</v>
      </c>
      <c r="AF55" s="285"/>
      <c r="AG55" s="285" t="s">
        <v>85</v>
      </c>
      <c r="AH55" s="285"/>
      <c r="AI55" s="288"/>
      <c r="AJ55" s="288"/>
      <c r="AK55" s="288" t="s">
        <v>93</v>
      </c>
      <c r="AL55" s="288"/>
      <c r="AM55" s="288" t="s">
        <v>57</v>
      </c>
      <c r="AN55" s="288"/>
      <c r="AO55" s="288" t="s">
        <v>57</v>
      </c>
      <c r="AP55" s="288"/>
      <c r="AQ55" s="288" t="s">
        <v>48</v>
      </c>
      <c r="AR55" s="288"/>
      <c r="AS55" s="286">
        <f>COUNTIF(C55:AR55,"&gt;=R")</f>
        <v>16</v>
      </c>
      <c r="AT55" s="287">
        <f>AS55</f>
        <v>16</v>
      </c>
    </row>
    <row r="56" spans="1:48" ht="45" customHeight="1" x14ac:dyDescent="0.65">
      <c r="A56" s="928" t="s">
        <v>177</v>
      </c>
      <c r="B56" s="902" t="s">
        <v>178</v>
      </c>
      <c r="C56" s="283" t="s">
        <v>68</v>
      </c>
      <c r="D56" s="284"/>
      <c r="E56" s="285" t="s">
        <v>68</v>
      </c>
      <c r="F56" s="285"/>
      <c r="G56" s="285" t="s">
        <v>68</v>
      </c>
      <c r="H56" s="285"/>
      <c r="I56" s="285" t="s">
        <v>68</v>
      </c>
      <c r="J56" s="285"/>
      <c r="K56" s="285" t="s">
        <v>68</v>
      </c>
      <c r="L56" s="285"/>
      <c r="M56" s="285"/>
      <c r="N56" s="285"/>
      <c r="O56" s="285"/>
      <c r="P56" s="285"/>
      <c r="Q56" s="285"/>
      <c r="R56" s="285"/>
      <c r="S56" s="285"/>
      <c r="T56" s="285"/>
      <c r="U56" s="285" t="s">
        <v>68</v>
      </c>
      <c r="V56" s="285"/>
      <c r="W56" s="285" t="s">
        <v>57</v>
      </c>
      <c r="X56" s="285"/>
      <c r="Y56" s="285" t="s">
        <v>57</v>
      </c>
      <c r="Z56" s="285"/>
      <c r="AA56" s="285" t="s">
        <v>48</v>
      </c>
      <c r="AB56" s="285"/>
      <c r="AC56" s="285" t="s">
        <v>57</v>
      </c>
      <c r="AD56" s="285"/>
      <c r="AE56" s="285" t="s">
        <v>85</v>
      </c>
      <c r="AF56" s="285"/>
      <c r="AG56" s="285" t="s">
        <v>85</v>
      </c>
      <c r="AH56" s="285"/>
      <c r="AI56" s="288"/>
      <c r="AJ56" s="288"/>
      <c r="AK56" s="288" t="s">
        <v>93</v>
      </c>
      <c r="AL56" s="288"/>
      <c r="AM56" s="288" t="s">
        <v>57</v>
      </c>
      <c r="AN56" s="288"/>
      <c r="AO56" s="288" t="s">
        <v>57</v>
      </c>
      <c r="AP56" s="288"/>
      <c r="AQ56" s="288" t="s">
        <v>48</v>
      </c>
      <c r="AR56" s="288"/>
      <c r="AS56" s="286">
        <f>COUNTIF(C56:AR56,"&gt;=R")</f>
        <v>16</v>
      </c>
      <c r="AT56" s="287">
        <f>AS56</f>
        <v>16</v>
      </c>
      <c r="AU56" s="4"/>
      <c r="AV56" s="114"/>
    </row>
    <row r="57" spans="1:48" ht="45" customHeight="1" x14ac:dyDescent="0.65">
      <c r="A57" s="929" t="s">
        <v>179</v>
      </c>
      <c r="B57" s="915" t="s">
        <v>180</v>
      </c>
      <c r="C57" s="283"/>
      <c r="D57" s="284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285"/>
      <c r="P57" s="285"/>
      <c r="Q57" s="285"/>
      <c r="R57" s="285"/>
      <c r="S57" s="285"/>
      <c r="T57" s="285"/>
      <c r="U57" s="285"/>
      <c r="V57" s="285"/>
      <c r="W57" s="307"/>
      <c r="X57" s="285"/>
      <c r="Y57" s="307"/>
      <c r="Z57" s="285"/>
      <c r="AA57" s="307"/>
      <c r="AB57" s="285"/>
      <c r="AC57" s="307"/>
      <c r="AD57" s="285"/>
      <c r="AE57" s="285"/>
      <c r="AF57" s="285"/>
      <c r="AG57" s="288"/>
      <c r="AH57" s="285"/>
      <c r="AI57" s="288"/>
      <c r="AJ57" s="288"/>
      <c r="AK57" s="285"/>
      <c r="AL57" s="288"/>
      <c r="AM57" s="285"/>
      <c r="AN57" s="288"/>
      <c r="AO57" s="285"/>
      <c r="AP57" s="285"/>
      <c r="AQ57" s="285"/>
      <c r="AR57" s="288"/>
      <c r="AS57" s="286"/>
      <c r="AT57" s="287"/>
    </row>
    <row r="58" spans="1:48" ht="45" customHeight="1" x14ac:dyDescent="0.65">
      <c r="A58" s="357" t="s">
        <v>181</v>
      </c>
      <c r="B58" s="903" t="s">
        <v>182</v>
      </c>
      <c r="C58" s="578" t="s">
        <v>68</v>
      </c>
      <c r="D58" s="579"/>
      <c r="E58" s="578" t="s">
        <v>68</v>
      </c>
      <c r="F58" s="580"/>
      <c r="G58" s="578" t="s">
        <v>68</v>
      </c>
      <c r="H58" s="580"/>
      <c r="I58" s="578" t="s">
        <v>68</v>
      </c>
      <c r="J58" s="580"/>
      <c r="K58" s="580" t="s">
        <v>68</v>
      </c>
      <c r="L58" s="580"/>
      <c r="M58" s="580"/>
      <c r="N58" s="580"/>
      <c r="O58" s="580"/>
      <c r="P58" s="580"/>
      <c r="Q58" s="580"/>
      <c r="R58" s="580"/>
      <c r="S58" s="578"/>
      <c r="T58" s="580"/>
      <c r="U58" s="578" t="s">
        <v>68</v>
      </c>
      <c r="V58" s="580"/>
      <c r="W58" s="578" t="s">
        <v>68</v>
      </c>
      <c r="X58" s="580"/>
      <c r="Y58" s="578" t="s">
        <v>68</v>
      </c>
      <c r="Z58" s="580"/>
      <c r="AA58" s="578" t="s">
        <v>68</v>
      </c>
      <c r="AB58" s="580"/>
      <c r="AC58" s="578" t="s">
        <v>68</v>
      </c>
      <c r="AD58" s="580"/>
      <c r="AE58" s="578"/>
      <c r="AF58" s="580"/>
      <c r="AG58" s="578"/>
      <c r="AH58" s="580"/>
      <c r="AI58" s="581"/>
      <c r="AJ58" s="581"/>
      <c r="AK58" s="578"/>
      <c r="AL58" s="581"/>
      <c r="AM58" s="581" t="s">
        <v>68</v>
      </c>
      <c r="AN58" s="581"/>
      <c r="AO58" s="581" t="s">
        <v>68</v>
      </c>
      <c r="AP58" s="581"/>
      <c r="AQ58" s="581" t="s">
        <v>68</v>
      </c>
      <c r="AR58" s="581"/>
      <c r="AS58" s="286">
        <f>COUNTIF(C58:AR58,"&gt;=R")</f>
        <v>13</v>
      </c>
      <c r="AT58" s="287">
        <f>AS58</f>
        <v>13</v>
      </c>
    </row>
    <row r="59" spans="1:48" ht="45" customHeight="1" x14ac:dyDescent="0.65">
      <c r="A59" s="924" t="s">
        <v>183</v>
      </c>
      <c r="B59" s="913" t="s">
        <v>184</v>
      </c>
      <c r="C59" s="291"/>
      <c r="D59" s="292"/>
      <c r="E59" s="293"/>
      <c r="F59" s="293"/>
      <c r="G59" s="293"/>
      <c r="H59" s="293"/>
      <c r="I59" s="293"/>
      <c r="J59" s="293"/>
      <c r="K59" s="293"/>
      <c r="L59" s="293"/>
      <c r="M59" s="293"/>
      <c r="N59" s="293"/>
      <c r="O59" s="293"/>
      <c r="P59" s="293"/>
      <c r="Q59" s="293"/>
      <c r="R59" s="293"/>
      <c r="S59" s="293"/>
      <c r="T59" s="293"/>
      <c r="U59" s="293"/>
      <c r="V59" s="293"/>
      <c r="W59" s="293"/>
      <c r="X59" s="293"/>
      <c r="Y59" s="293"/>
      <c r="Z59" s="293"/>
      <c r="AA59" s="293"/>
      <c r="AB59" s="293"/>
      <c r="AC59" s="293"/>
      <c r="AD59" s="293"/>
      <c r="AE59" s="293"/>
      <c r="AF59" s="293"/>
      <c r="AG59" s="293"/>
      <c r="AH59" s="293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941"/>
      <c r="AU59" s="4"/>
      <c r="AV59" s="114"/>
    </row>
    <row r="60" spans="1:48" ht="45" customHeight="1" x14ac:dyDescent="0.65">
      <c r="A60" s="923" t="s">
        <v>185</v>
      </c>
      <c r="B60" s="900" t="s">
        <v>186</v>
      </c>
      <c r="C60" s="283" t="s">
        <v>93</v>
      </c>
      <c r="D60" s="284"/>
      <c r="E60" s="285" t="s">
        <v>93</v>
      </c>
      <c r="F60" s="285"/>
      <c r="G60" s="285" t="s">
        <v>93</v>
      </c>
      <c r="H60" s="285"/>
      <c r="I60" s="285" t="s">
        <v>93</v>
      </c>
      <c r="J60" s="285"/>
      <c r="K60" s="285" t="s">
        <v>93</v>
      </c>
      <c r="L60" s="285"/>
      <c r="M60" s="285"/>
      <c r="N60" s="285"/>
      <c r="O60" s="285"/>
      <c r="P60" s="285"/>
      <c r="Q60" s="285"/>
      <c r="R60" s="285"/>
      <c r="S60" s="285"/>
      <c r="T60" s="285"/>
      <c r="U60" s="285" t="s">
        <v>93</v>
      </c>
      <c r="V60" s="285"/>
      <c r="W60" s="285" t="s">
        <v>93</v>
      </c>
      <c r="X60" s="285"/>
      <c r="Y60" s="285" t="s">
        <v>93</v>
      </c>
      <c r="Z60" s="285"/>
      <c r="AA60" s="285" t="s">
        <v>93</v>
      </c>
      <c r="AB60" s="285"/>
      <c r="AC60" s="285" t="s">
        <v>93</v>
      </c>
      <c r="AD60" s="285"/>
      <c r="AE60" s="285" t="s">
        <v>85</v>
      </c>
      <c r="AF60" s="285"/>
      <c r="AG60" s="285" t="s">
        <v>85</v>
      </c>
      <c r="AH60" s="285"/>
      <c r="AI60" s="288" t="s">
        <v>93</v>
      </c>
      <c r="AJ60" s="288"/>
      <c r="AK60" s="288" t="s">
        <v>93</v>
      </c>
      <c r="AL60" s="288"/>
      <c r="AM60" s="288" t="s">
        <v>85</v>
      </c>
      <c r="AN60" s="288"/>
      <c r="AO60" s="288" t="s">
        <v>85</v>
      </c>
      <c r="AP60" s="288"/>
      <c r="AQ60" s="288" t="s">
        <v>85</v>
      </c>
      <c r="AR60" s="288"/>
      <c r="AS60" s="286">
        <f>COUNTIF(C60:AR60,"&gt;=R")</f>
        <v>17</v>
      </c>
      <c r="AT60" s="287">
        <f>AS60</f>
        <v>17</v>
      </c>
      <c r="AU60" s="4"/>
      <c r="AV60" s="114"/>
    </row>
    <row r="61" spans="1:48" ht="45" customHeight="1" x14ac:dyDescent="0.65">
      <c r="A61" s="923" t="s">
        <v>187</v>
      </c>
      <c r="B61" s="900" t="s">
        <v>188</v>
      </c>
      <c r="C61" s="283"/>
      <c r="D61" s="284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  <c r="W61" s="285"/>
      <c r="X61" s="285"/>
      <c r="Y61" s="285"/>
      <c r="Z61" s="285"/>
      <c r="AA61" s="285"/>
      <c r="AB61" s="285"/>
      <c r="AC61" s="285"/>
      <c r="AD61" s="285"/>
      <c r="AE61" s="285"/>
      <c r="AF61" s="285"/>
      <c r="AG61" s="285"/>
      <c r="AH61" s="285"/>
      <c r="AI61" s="288"/>
      <c r="AJ61" s="288"/>
      <c r="AK61" s="288"/>
      <c r="AL61" s="288"/>
      <c r="AM61" s="288"/>
      <c r="AN61" s="288"/>
      <c r="AO61" s="288"/>
      <c r="AP61" s="288"/>
      <c r="AQ61" s="288"/>
      <c r="AR61" s="288"/>
      <c r="AS61" s="286">
        <f>COUNTIF(C61:AR61,"&gt;=R")</f>
        <v>0</v>
      </c>
      <c r="AT61" s="287">
        <f>AS61</f>
        <v>0</v>
      </c>
      <c r="AU61" s="4"/>
      <c r="AV61" s="114"/>
    </row>
    <row r="62" spans="1:48" ht="45" customHeight="1" x14ac:dyDescent="0.65">
      <c r="A62" s="923" t="s">
        <v>189</v>
      </c>
      <c r="B62" s="900" t="s">
        <v>190</v>
      </c>
      <c r="C62" s="284" t="s">
        <v>84</v>
      </c>
      <c r="D62" s="284"/>
      <c r="E62" s="285" t="s">
        <v>84</v>
      </c>
      <c r="F62" s="285"/>
      <c r="G62" s="285" t="s">
        <v>84</v>
      </c>
      <c r="H62" s="285"/>
      <c r="I62" s="285" t="s">
        <v>84</v>
      </c>
      <c r="J62" s="285"/>
      <c r="K62" s="285" t="s">
        <v>84</v>
      </c>
      <c r="L62" s="285"/>
      <c r="M62" s="285" t="s">
        <v>92</v>
      </c>
      <c r="N62" s="285"/>
      <c r="O62" s="285" t="s">
        <v>92</v>
      </c>
      <c r="P62" s="285"/>
      <c r="Q62" s="285" t="s">
        <v>68</v>
      </c>
      <c r="R62" s="285"/>
      <c r="S62" s="285" t="s">
        <v>92</v>
      </c>
      <c r="T62" s="285"/>
      <c r="U62" s="285" t="s">
        <v>92</v>
      </c>
      <c r="V62" s="285"/>
      <c r="W62" s="750" t="s">
        <v>8</v>
      </c>
      <c r="X62" s="285"/>
      <c r="Y62" s="750" t="s">
        <v>8</v>
      </c>
      <c r="Z62" s="285"/>
      <c r="AA62" s="750" t="s">
        <v>8</v>
      </c>
      <c r="AB62" s="285"/>
      <c r="AC62" s="750" t="s">
        <v>8</v>
      </c>
      <c r="AD62" s="285"/>
      <c r="AE62" s="285" t="s">
        <v>77</v>
      </c>
      <c r="AF62" s="285"/>
      <c r="AG62" s="285" t="s">
        <v>77</v>
      </c>
      <c r="AH62" s="285"/>
      <c r="AI62" s="285"/>
      <c r="AJ62" s="288"/>
      <c r="AK62" s="285" t="s">
        <v>77</v>
      </c>
      <c r="AL62" s="288"/>
      <c r="AM62" s="285" t="s">
        <v>18</v>
      </c>
      <c r="AN62" s="288"/>
      <c r="AO62" s="288" t="s">
        <v>18</v>
      </c>
      <c r="AP62" s="288"/>
      <c r="AQ62" s="288" t="s">
        <v>18</v>
      </c>
      <c r="AR62" s="288"/>
      <c r="AS62" s="286">
        <f>COUNTIF(C62:AR62,"&gt;=R")</f>
        <v>20</v>
      </c>
      <c r="AT62" s="287">
        <f>AS62</f>
        <v>20</v>
      </c>
    </row>
    <row r="63" spans="1:48" ht="45" customHeight="1" x14ac:dyDescent="0.65">
      <c r="A63" s="923" t="s">
        <v>191</v>
      </c>
      <c r="B63" s="900" t="s">
        <v>192</v>
      </c>
      <c r="C63" s="284"/>
      <c r="D63" s="284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285"/>
      <c r="P63" s="285"/>
      <c r="Q63" s="285"/>
      <c r="R63" s="285"/>
      <c r="S63" s="285"/>
      <c r="T63" s="285"/>
      <c r="U63" s="285"/>
      <c r="V63" s="285"/>
      <c r="W63" s="307"/>
      <c r="X63" s="285"/>
      <c r="Y63" s="307"/>
      <c r="Z63" s="285"/>
      <c r="AA63" s="285"/>
      <c r="AB63" s="285"/>
      <c r="AC63" s="285"/>
      <c r="AD63" s="285"/>
      <c r="AE63" s="288"/>
      <c r="AF63" s="285"/>
      <c r="AG63" s="285"/>
      <c r="AH63" s="285"/>
      <c r="AI63" s="285"/>
      <c r="AJ63" s="288"/>
      <c r="AK63" s="285"/>
      <c r="AL63" s="288"/>
      <c r="AM63" s="285"/>
      <c r="AN63" s="288"/>
      <c r="AO63" s="288"/>
      <c r="AP63" s="288"/>
      <c r="AQ63" s="288" t="s">
        <v>18</v>
      </c>
      <c r="AR63" s="288"/>
      <c r="AS63" s="286">
        <f>COUNTIF(C63:AR63,"&gt;=R")</f>
        <v>1</v>
      </c>
      <c r="AT63" s="287">
        <f>AS63</f>
        <v>1</v>
      </c>
      <c r="AU63" s="4"/>
      <c r="AV63" s="114"/>
    </row>
    <row r="64" spans="1:48" ht="45" customHeight="1" x14ac:dyDescent="0.65">
      <c r="A64" s="924" t="s">
        <v>193</v>
      </c>
      <c r="B64" s="913" t="s">
        <v>194</v>
      </c>
      <c r="C64" s="291"/>
      <c r="D64" s="292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3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3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941"/>
      <c r="AU64" s="4"/>
      <c r="AV64" s="114"/>
    </row>
    <row r="65" spans="1:48" ht="45" customHeight="1" x14ac:dyDescent="0.65">
      <c r="A65" s="929" t="s">
        <v>195</v>
      </c>
      <c r="B65" s="915" t="s">
        <v>196</v>
      </c>
      <c r="C65" s="283"/>
      <c r="D65" s="284"/>
      <c r="E65" s="285"/>
      <c r="F65" s="285"/>
      <c r="G65" s="288"/>
      <c r="H65" s="285"/>
      <c r="I65" s="288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307"/>
      <c r="X65" s="285"/>
      <c r="Y65" s="307"/>
      <c r="Z65" s="285"/>
      <c r="AA65" s="307"/>
      <c r="AB65" s="285"/>
      <c r="AC65" s="307"/>
      <c r="AD65" s="285"/>
      <c r="AE65" s="288"/>
      <c r="AF65" s="285"/>
      <c r="AG65" s="285"/>
      <c r="AH65" s="285"/>
      <c r="AI65" s="285"/>
      <c r="AJ65" s="288"/>
      <c r="AK65" s="285"/>
      <c r="AL65" s="288"/>
      <c r="AM65" s="285"/>
      <c r="AN65" s="288"/>
      <c r="AO65" s="285"/>
      <c r="AP65" s="285"/>
      <c r="AQ65" s="285"/>
      <c r="AR65" s="288"/>
      <c r="AS65" s="286"/>
      <c r="AT65" s="287"/>
    </row>
    <row r="66" spans="1:48" ht="45" customHeight="1" x14ac:dyDescent="0.65">
      <c r="A66" s="928" t="s">
        <v>197</v>
      </c>
      <c r="B66" s="902" t="s">
        <v>139</v>
      </c>
      <c r="C66" s="283" t="s">
        <v>76</v>
      </c>
      <c r="D66" s="284"/>
      <c r="E66" s="285" t="s">
        <v>76</v>
      </c>
      <c r="F66" s="285"/>
      <c r="G66" s="285" t="s">
        <v>76</v>
      </c>
      <c r="H66" s="285"/>
      <c r="I66" s="285" t="s">
        <v>76</v>
      </c>
      <c r="J66" s="285"/>
      <c r="K66" s="285" t="s">
        <v>84</v>
      </c>
      <c r="L66" s="285"/>
      <c r="M66" s="285" t="s">
        <v>84</v>
      </c>
      <c r="N66" s="285"/>
      <c r="O66" s="285" t="s">
        <v>84</v>
      </c>
      <c r="P66" s="285"/>
      <c r="Q66" s="285" t="s">
        <v>92</v>
      </c>
      <c r="R66" s="285"/>
      <c r="S66" s="285" t="s">
        <v>92</v>
      </c>
      <c r="T66" s="285"/>
      <c r="U66" s="285" t="s">
        <v>92</v>
      </c>
      <c r="V66" s="285"/>
      <c r="W66" s="285" t="s">
        <v>92</v>
      </c>
      <c r="X66" s="285"/>
      <c r="Y66" s="285" t="s">
        <v>92</v>
      </c>
      <c r="Z66" s="285"/>
      <c r="AA66" s="285" t="s">
        <v>92</v>
      </c>
      <c r="AB66" s="285"/>
      <c r="AC66" s="285" t="s">
        <v>92</v>
      </c>
      <c r="AD66" s="285"/>
      <c r="AE66" s="285" t="s">
        <v>93</v>
      </c>
      <c r="AF66" s="285"/>
      <c r="AG66" s="285" t="s">
        <v>93</v>
      </c>
      <c r="AH66" s="285"/>
      <c r="AI66" s="288"/>
      <c r="AJ66" s="288"/>
      <c r="AK66" s="288" t="s">
        <v>93</v>
      </c>
      <c r="AL66" s="288"/>
      <c r="AM66" s="288" t="s">
        <v>92</v>
      </c>
      <c r="AN66" s="288"/>
      <c r="AO66" s="288" t="s">
        <v>92</v>
      </c>
      <c r="AP66" s="288"/>
      <c r="AQ66" s="749" t="s">
        <v>8</v>
      </c>
      <c r="AR66" s="288"/>
      <c r="AS66" s="286">
        <f>COUNTIF(C66:AR66,"&gt;=R")</f>
        <v>20</v>
      </c>
      <c r="AT66" s="287">
        <f>AS66</f>
        <v>20</v>
      </c>
      <c r="AU66" s="4"/>
      <c r="AV66" s="114"/>
    </row>
    <row r="67" spans="1:48" ht="45" customHeight="1" x14ac:dyDescent="0.65">
      <c r="A67" s="929" t="s">
        <v>198</v>
      </c>
      <c r="B67" s="915" t="s">
        <v>199</v>
      </c>
      <c r="C67" s="283"/>
      <c r="D67" s="284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8"/>
      <c r="AJ67" s="288"/>
      <c r="AK67" s="288"/>
      <c r="AL67" s="288"/>
      <c r="AM67" s="288"/>
      <c r="AN67" s="288"/>
      <c r="AO67" s="288"/>
      <c r="AP67" s="288"/>
      <c r="AQ67" s="288"/>
      <c r="AR67" s="288"/>
      <c r="AS67" s="286"/>
      <c r="AT67" s="287"/>
      <c r="AU67" s="4"/>
      <c r="AV67" s="114"/>
    </row>
    <row r="68" spans="1:48" ht="45" customHeight="1" x14ac:dyDescent="0.65">
      <c r="A68" s="928" t="s">
        <v>200</v>
      </c>
      <c r="B68" s="902" t="s">
        <v>176</v>
      </c>
      <c r="C68" s="283" t="s">
        <v>68</v>
      </c>
      <c r="D68" s="284"/>
      <c r="E68" s="283" t="s">
        <v>68</v>
      </c>
      <c r="F68" s="285"/>
      <c r="G68" s="288" t="s">
        <v>68</v>
      </c>
      <c r="H68" s="285"/>
      <c r="I68" s="285" t="s">
        <v>68</v>
      </c>
      <c r="J68" s="285"/>
      <c r="K68" s="285" t="s">
        <v>68</v>
      </c>
      <c r="L68" s="285"/>
      <c r="M68" s="285"/>
      <c r="N68" s="285"/>
      <c r="O68" s="285"/>
      <c r="P68" s="285"/>
      <c r="Q68" s="285"/>
      <c r="R68" s="285"/>
      <c r="S68" s="285"/>
      <c r="T68" s="285"/>
      <c r="U68" s="288" t="s">
        <v>68</v>
      </c>
      <c r="V68" s="285"/>
      <c r="W68" s="288" t="s">
        <v>68</v>
      </c>
      <c r="X68" s="285"/>
      <c r="Y68" s="288" t="s">
        <v>68</v>
      </c>
      <c r="Z68" s="285"/>
      <c r="AA68" s="288" t="s">
        <v>57</v>
      </c>
      <c r="AB68" s="285"/>
      <c r="AC68" s="288" t="s">
        <v>57</v>
      </c>
      <c r="AD68" s="285"/>
      <c r="AE68" s="285" t="s">
        <v>85</v>
      </c>
      <c r="AF68" s="285"/>
      <c r="AG68" s="285" t="s">
        <v>85</v>
      </c>
      <c r="AH68" s="285"/>
      <c r="AI68" s="288"/>
      <c r="AJ68" s="288"/>
      <c r="AK68" s="288" t="s">
        <v>93</v>
      </c>
      <c r="AL68" s="288"/>
      <c r="AM68" s="288" t="s">
        <v>57</v>
      </c>
      <c r="AN68" s="288"/>
      <c r="AO68" s="288" t="s">
        <v>57</v>
      </c>
      <c r="AP68" s="288"/>
      <c r="AQ68" s="288" t="s">
        <v>57</v>
      </c>
      <c r="AR68" s="288"/>
      <c r="AS68" s="286">
        <f>COUNTIF(C68:AR68,"&gt;=R")</f>
        <v>16</v>
      </c>
      <c r="AT68" s="287">
        <f>AS68</f>
        <v>16</v>
      </c>
    </row>
    <row r="69" spans="1:48" ht="45" customHeight="1" x14ac:dyDescent="0.65">
      <c r="A69" s="929" t="s">
        <v>201</v>
      </c>
      <c r="B69" s="915" t="s">
        <v>202</v>
      </c>
      <c r="C69" s="283"/>
      <c r="D69" s="284"/>
      <c r="E69" s="285"/>
      <c r="F69" s="285"/>
      <c r="G69" s="288"/>
      <c r="H69" s="285"/>
      <c r="I69" s="288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8"/>
      <c r="AF69" s="285"/>
      <c r="AG69" s="285"/>
      <c r="AH69" s="285"/>
      <c r="AI69" s="285"/>
      <c r="AJ69" s="288"/>
      <c r="AK69" s="285"/>
      <c r="AL69" s="288"/>
      <c r="AM69" s="285"/>
      <c r="AN69" s="288"/>
      <c r="AO69" s="285"/>
      <c r="AP69" s="285"/>
      <c r="AQ69" s="285"/>
      <c r="AR69" s="288"/>
      <c r="AS69" s="286"/>
      <c r="AT69" s="287"/>
    </row>
    <row r="70" spans="1:48" ht="45" customHeight="1" x14ac:dyDescent="0.65">
      <c r="A70" s="928" t="s">
        <v>203</v>
      </c>
      <c r="B70" s="902" t="s">
        <v>204</v>
      </c>
      <c r="C70" s="283" t="s">
        <v>68</v>
      </c>
      <c r="D70" s="284"/>
      <c r="E70" s="285" t="s">
        <v>68</v>
      </c>
      <c r="F70" s="285"/>
      <c r="G70" s="285" t="s">
        <v>68</v>
      </c>
      <c r="H70" s="285"/>
      <c r="I70" s="285" t="s">
        <v>68</v>
      </c>
      <c r="J70" s="285"/>
      <c r="K70" s="285" t="s">
        <v>68</v>
      </c>
      <c r="L70" s="285"/>
      <c r="M70" s="285"/>
      <c r="N70" s="285"/>
      <c r="O70" s="285"/>
      <c r="P70" s="285"/>
      <c r="Q70" s="307"/>
      <c r="R70" s="285"/>
      <c r="S70" s="307"/>
      <c r="T70" s="285"/>
      <c r="U70" s="307" t="s">
        <v>68</v>
      </c>
      <c r="V70" s="285"/>
      <c r="W70" s="307" t="s">
        <v>68</v>
      </c>
      <c r="X70" s="285"/>
      <c r="Y70" s="307" t="s">
        <v>68</v>
      </c>
      <c r="Z70" s="285"/>
      <c r="AA70" s="307" t="s">
        <v>57</v>
      </c>
      <c r="AB70" s="285"/>
      <c r="AC70" s="307" t="s">
        <v>57</v>
      </c>
      <c r="AD70" s="285"/>
      <c r="AE70" s="307"/>
      <c r="AF70" s="285"/>
      <c r="AG70" s="285"/>
      <c r="AH70" s="285"/>
      <c r="AI70" s="285"/>
      <c r="AJ70" s="288"/>
      <c r="AK70" s="285"/>
      <c r="AL70" s="288"/>
      <c r="AM70" s="288" t="s">
        <v>68</v>
      </c>
      <c r="AN70" s="288"/>
      <c r="AO70" s="285" t="s">
        <v>68</v>
      </c>
      <c r="AP70" s="285"/>
      <c r="AQ70" s="285" t="s">
        <v>57</v>
      </c>
      <c r="AR70" s="288"/>
      <c r="AS70" s="286">
        <f>COUNTIF(C70:AR70,"&gt;=R")</f>
        <v>13</v>
      </c>
      <c r="AT70" s="287">
        <f>AS70</f>
        <v>13</v>
      </c>
    </row>
    <row r="71" spans="1:48" ht="45" customHeight="1" x14ac:dyDescent="0.65">
      <c r="A71" s="924" t="s">
        <v>205</v>
      </c>
      <c r="B71" s="913" t="s">
        <v>206</v>
      </c>
      <c r="C71" s="291"/>
      <c r="D71" s="292"/>
      <c r="E71" s="293"/>
      <c r="F71" s="293"/>
      <c r="G71" s="293"/>
      <c r="H71" s="293"/>
      <c r="I71" s="293"/>
      <c r="J71" s="293"/>
      <c r="K71" s="293"/>
      <c r="L71" s="293"/>
      <c r="M71" s="293"/>
      <c r="N71" s="293"/>
      <c r="O71" s="293"/>
      <c r="P71" s="293"/>
      <c r="Q71" s="293"/>
      <c r="R71" s="293"/>
      <c r="S71" s="293"/>
      <c r="T71" s="293"/>
      <c r="U71" s="293"/>
      <c r="V71" s="293"/>
      <c r="W71" s="293"/>
      <c r="X71" s="293"/>
      <c r="Y71" s="293"/>
      <c r="Z71" s="293"/>
      <c r="AA71" s="293"/>
      <c r="AB71" s="293"/>
      <c r="AC71" s="293"/>
      <c r="AD71" s="293"/>
      <c r="AE71" s="293"/>
      <c r="AF71" s="293"/>
      <c r="AG71" s="293"/>
      <c r="AH71" s="293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941"/>
      <c r="AU71" s="4"/>
      <c r="AV71" s="114"/>
    </row>
    <row r="72" spans="1:48" ht="45" customHeight="1" x14ac:dyDescent="0.65">
      <c r="A72" s="923" t="s">
        <v>207</v>
      </c>
      <c r="B72" s="900" t="s">
        <v>208</v>
      </c>
      <c r="C72" s="284" t="s">
        <v>84</v>
      </c>
      <c r="D72" s="284"/>
      <c r="E72" s="285" t="s">
        <v>84</v>
      </c>
      <c r="F72" s="285"/>
      <c r="G72" s="285" t="s">
        <v>84</v>
      </c>
      <c r="H72" s="285"/>
      <c r="I72" s="285" t="s">
        <v>84</v>
      </c>
      <c r="J72" s="285"/>
      <c r="K72" s="285" t="s">
        <v>84</v>
      </c>
      <c r="L72" s="285"/>
      <c r="M72" s="285" t="s">
        <v>92</v>
      </c>
      <c r="N72" s="285"/>
      <c r="O72" s="285" t="s">
        <v>92</v>
      </c>
      <c r="P72" s="285"/>
      <c r="Q72" s="285" t="s">
        <v>68</v>
      </c>
      <c r="R72" s="285"/>
      <c r="S72" s="285" t="s">
        <v>92</v>
      </c>
      <c r="T72" s="285"/>
      <c r="U72" s="285" t="s">
        <v>92</v>
      </c>
      <c r="V72" s="285"/>
      <c r="W72" s="750" t="s">
        <v>8</v>
      </c>
      <c r="X72" s="285"/>
      <c r="Y72" s="750" t="s">
        <v>8</v>
      </c>
      <c r="Z72" s="285"/>
      <c r="AA72" s="750" t="s">
        <v>8</v>
      </c>
      <c r="AB72" s="285"/>
      <c r="AC72" s="750" t="s">
        <v>8</v>
      </c>
      <c r="AD72" s="285"/>
      <c r="AE72" s="285" t="s">
        <v>77</v>
      </c>
      <c r="AF72" s="285"/>
      <c r="AG72" s="285" t="s">
        <v>77</v>
      </c>
      <c r="AH72" s="285"/>
      <c r="AI72" s="288"/>
      <c r="AJ72" s="288"/>
      <c r="AK72" s="288" t="s">
        <v>77</v>
      </c>
      <c r="AL72" s="288"/>
      <c r="AM72" s="285" t="s">
        <v>18</v>
      </c>
      <c r="AN72" s="288"/>
      <c r="AO72" s="288" t="s">
        <v>18</v>
      </c>
      <c r="AP72" s="288"/>
      <c r="AQ72" s="288" t="s">
        <v>18</v>
      </c>
      <c r="AR72" s="288"/>
      <c r="AS72" s="286">
        <f>COUNTIF(C72:AR72,"&gt;=R")</f>
        <v>20</v>
      </c>
      <c r="AT72" s="287">
        <f>AS72</f>
        <v>20</v>
      </c>
    </row>
    <row r="73" spans="1:48" ht="45" customHeight="1" x14ac:dyDescent="0.65">
      <c r="A73" s="924" t="s">
        <v>209</v>
      </c>
      <c r="B73" s="913" t="s">
        <v>210</v>
      </c>
      <c r="C73" s="291"/>
      <c r="D73" s="292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3"/>
      <c r="AC73" s="293"/>
      <c r="AD73" s="293"/>
      <c r="AE73" s="293"/>
      <c r="AF73" s="293"/>
      <c r="AG73" s="293"/>
      <c r="AH73" s="293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941"/>
    </row>
    <row r="74" spans="1:48" ht="45" customHeight="1" x14ac:dyDescent="0.65">
      <c r="A74" s="923" t="s">
        <v>211</v>
      </c>
      <c r="B74" s="900" t="s">
        <v>212</v>
      </c>
      <c r="C74" s="283" t="s">
        <v>68</v>
      </c>
      <c r="D74" s="284"/>
      <c r="E74" s="285" t="s">
        <v>68</v>
      </c>
      <c r="F74" s="285"/>
      <c r="G74" s="285" t="s">
        <v>68</v>
      </c>
      <c r="H74" s="285"/>
      <c r="I74" s="285" t="s">
        <v>68</v>
      </c>
      <c r="J74" s="285"/>
      <c r="K74" s="285" t="s">
        <v>68</v>
      </c>
      <c r="L74" s="285"/>
      <c r="M74" s="285"/>
      <c r="N74" s="285"/>
      <c r="O74" s="285"/>
      <c r="P74" s="285"/>
      <c r="Q74" s="285"/>
      <c r="R74" s="285"/>
      <c r="S74" s="285"/>
      <c r="T74" s="285"/>
      <c r="U74" s="285" t="s">
        <v>68</v>
      </c>
      <c r="V74" s="285"/>
      <c r="W74" s="285" t="s">
        <v>68</v>
      </c>
      <c r="X74" s="285"/>
      <c r="Y74" s="285" t="s">
        <v>68</v>
      </c>
      <c r="Z74" s="285"/>
      <c r="AA74" s="285" t="s">
        <v>68</v>
      </c>
      <c r="AB74" s="285"/>
      <c r="AC74" s="285" t="s">
        <v>77</v>
      </c>
      <c r="AD74" s="285"/>
      <c r="AE74" s="285" t="s">
        <v>77</v>
      </c>
      <c r="AF74" s="285"/>
      <c r="AG74" s="285" t="s">
        <v>77</v>
      </c>
      <c r="AH74" s="285"/>
      <c r="AI74" s="288"/>
      <c r="AJ74" s="288"/>
      <c r="AK74" s="288" t="s">
        <v>77</v>
      </c>
      <c r="AL74" s="288"/>
      <c r="AM74" s="288" t="s">
        <v>77</v>
      </c>
      <c r="AN74" s="288"/>
      <c r="AO74" s="288" t="s">
        <v>77</v>
      </c>
      <c r="AP74" s="288"/>
      <c r="AQ74" s="288" t="s">
        <v>77</v>
      </c>
      <c r="AR74" s="288"/>
      <c r="AS74" s="286">
        <f>COUNTIF(C74:AR74,"&gt;=R")</f>
        <v>16</v>
      </c>
      <c r="AT74" s="287">
        <f>AS74</f>
        <v>16</v>
      </c>
    </row>
    <row r="75" spans="1:48" ht="45" customHeight="1" x14ac:dyDescent="0.65">
      <c r="A75" s="923" t="s">
        <v>213</v>
      </c>
      <c r="B75" s="900" t="s">
        <v>214</v>
      </c>
      <c r="C75" s="283" t="s">
        <v>77</v>
      </c>
      <c r="D75" s="284"/>
      <c r="E75" s="299" t="s">
        <v>85</v>
      </c>
      <c r="F75" s="285"/>
      <c r="G75" s="285" t="s">
        <v>77</v>
      </c>
      <c r="H75" s="285"/>
      <c r="I75" s="285" t="s">
        <v>77</v>
      </c>
      <c r="J75" s="285"/>
      <c r="K75" s="285" t="s">
        <v>85</v>
      </c>
      <c r="L75" s="285"/>
      <c r="M75" s="288"/>
      <c r="N75" s="285"/>
      <c r="O75" s="285"/>
      <c r="P75" s="285"/>
      <c r="Q75" s="285"/>
      <c r="R75" s="285"/>
      <c r="S75" s="285" t="s">
        <v>85</v>
      </c>
      <c r="T75" s="285"/>
      <c r="U75" s="285" t="s">
        <v>85</v>
      </c>
      <c r="V75" s="285"/>
      <c r="W75" s="285" t="s">
        <v>93</v>
      </c>
      <c r="X75" s="285"/>
      <c r="Y75" s="285" t="s">
        <v>93</v>
      </c>
      <c r="Z75" s="285"/>
      <c r="AA75" s="285" t="s">
        <v>93</v>
      </c>
      <c r="AB75" s="285"/>
      <c r="AC75" s="285" t="s">
        <v>93</v>
      </c>
      <c r="AD75" s="285"/>
      <c r="AE75" s="285" t="s">
        <v>93</v>
      </c>
      <c r="AF75" s="285"/>
      <c r="AG75" s="285" t="s">
        <v>93</v>
      </c>
      <c r="AH75" s="285"/>
      <c r="AI75" s="285"/>
      <c r="AJ75" s="288"/>
      <c r="AK75" s="285" t="s">
        <v>93</v>
      </c>
      <c r="AL75" s="288"/>
      <c r="AM75" s="285" t="s">
        <v>85</v>
      </c>
      <c r="AN75" s="288"/>
      <c r="AO75" s="288" t="s">
        <v>85</v>
      </c>
      <c r="AP75" s="288"/>
      <c r="AQ75" s="288" t="s">
        <v>85</v>
      </c>
      <c r="AR75" s="288"/>
      <c r="AS75" s="286">
        <f>COUNTIF(C75:AR75,"&gt;=R")</f>
        <v>17</v>
      </c>
      <c r="AT75" s="287">
        <f>AS75</f>
        <v>17</v>
      </c>
    </row>
    <row r="76" spans="1:48" ht="45" customHeight="1" x14ac:dyDescent="0.65">
      <c r="A76" s="924" t="s">
        <v>215</v>
      </c>
      <c r="B76" s="913" t="s">
        <v>216</v>
      </c>
      <c r="C76" s="291"/>
      <c r="D76" s="292"/>
      <c r="E76" s="293"/>
      <c r="F76" s="293"/>
      <c r="G76" s="293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3"/>
      <c r="W76" s="293"/>
      <c r="X76" s="293"/>
      <c r="Y76" s="293"/>
      <c r="Z76" s="293"/>
      <c r="AA76" s="293"/>
      <c r="AB76" s="293"/>
      <c r="AC76" s="293"/>
      <c r="AD76" s="293"/>
      <c r="AE76" s="293"/>
      <c r="AF76" s="293"/>
      <c r="AG76" s="293"/>
      <c r="AH76" s="293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941"/>
      <c r="AU76" s="4"/>
      <c r="AV76" s="114"/>
    </row>
    <row r="77" spans="1:48" ht="45" customHeight="1" x14ac:dyDescent="0.65">
      <c r="A77" s="923" t="s">
        <v>217</v>
      </c>
      <c r="B77" s="900" t="s">
        <v>218</v>
      </c>
      <c r="C77" s="283" t="s">
        <v>68</v>
      </c>
      <c r="D77" s="284"/>
      <c r="E77" s="283" t="s">
        <v>68</v>
      </c>
      <c r="F77" s="285"/>
      <c r="G77" s="283" t="s">
        <v>68</v>
      </c>
      <c r="H77" s="285"/>
      <c r="I77" s="283" t="s">
        <v>77</v>
      </c>
      <c r="J77" s="285"/>
      <c r="K77" s="285" t="s">
        <v>77</v>
      </c>
      <c r="L77" s="285"/>
      <c r="M77" s="285"/>
      <c r="N77" s="285"/>
      <c r="O77" s="285"/>
      <c r="P77" s="285"/>
      <c r="Q77" s="285"/>
      <c r="R77" s="285"/>
      <c r="S77" s="285"/>
      <c r="T77" s="288"/>
      <c r="U77" s="285" t="s">
        <v>77</v>
      </c>
      <c r="V77" s="288"/>
      <c r="W77" s="285" t="s">
        <v>77</v>
      </c>
      <c r="X77" s="288"/>
      <c r="Y77" s="307" t="s">
        <v>77</v>
      </c>
      <c r="Z77" s="285"/>
      <c r="AA77" s="307" t="s">
        <v>77</v>
      </c>
      <c r="AB77" s="285"/>
      <c r="AC77" s="307" t="s">
        <v>77</v>
      </c>
      <c r="AD77" s="285"/>
      <c r="AE77" s="283"/>
      <c r="AF77" s="285"/>
      <c r="AG77" s="307"/>
      <c r="AH77" s="285"/>
      <c r="AI77" s="283"/>
      <c r="AJ77" s="288"/>
      <c r="AK77" s="283"/>
      <c r="AL77" s="288"/>
      <c r="AM77" s="288" t="s">
        <v>85</v>
      </c>
      <c r="AN77" s="288"/>
      <c r="AO77" s="288" t="s">
        <v>85</v>
      </c>
      <c r="AP77" s="288"/>
      <c r="AQ77" s="288" t="s">
        <v>85</v>
      </c>
      <c r="AR77" s="288"/>
      <c r="AS77" s="286">
        <f>COUNTIF(C77:AR77,"&gt;=R")</f>
        <v>13</v>
      </c>
      <c r="AT77" s="287">
        <f>AS77</f>
        <v>13</v>
      </c>
    </row>
    <row r="78" spans="1:48" ht="45" customHeight="1" x14ac:dyDescent="0.65">
      <c r="A78" s="924" t="s">
        <v>219</v>
      </c>
      <c r="B78" s="913" t="s">
        <v>220</v>
      </c>
      <c r="C78" s="291"/>
      <c r="D78" s="292"/>
      <c r="E78" s="293"/>
      <c r="F78" s="293"/>
      <c r="G78" s="293"/>
      <c r="H78" s="293"/>
      <c r="I78" s="293"/>
      <c r="J78" s="293"/>
      <c r="K78" s="293"/>
      <c r="L78" s="293"/>
      <c r="M78" s="293"/>
      <c r="N78" s="293"/>
      <c r="O78" s="293"/>
      <c r="P78" s="293"/>
      <c r="Q78" s="293"/>
      <c r="R78" s="293"/>
      <c r="S78" s="293"/>
      <c r="T78" s="293"/>
      <c r="U78" s="293"/>
      <c r="V78" s="293"/>
      <c r="W78" s="293"/>
      <c r="X78" s="293"/>
      <c r="Y78" s="293"/>
      <c r="Z78" s="293"/>
      <c r="AA78" s="293"/>
      <c r="AB78" s="293"/>
      <c r="AC78" s="293"/>
      <c r="AD78" s="293"/>
      <c r="AE78" s="293"/>
      <c r="AF78" s="293"/>
      <c r="AG78" s="293"/>
      <c r="AH78" s="293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941"/>
      <c r="AU78" s="4"/>
      <c r="AV78" s="114"/>
    </row>
    <row r="79" spans="1:48" ht="45" customHeight="1" x14ac:dyDescent="0.65">
      <c r="A79" s="923" t="s">
        <v>221</v>
      </c>
      <c r="B79" s="900" t="s">
        <v>222</v>
      </c>
      <c r="C79" s="284" t="s">
        <v>76</v>
      </c>
      <c r="D79" s="284"/>
      <c r="E79" s="285" t="s">
        <v>56</v>
      </c>
      <c r="F79" s="285"/>
      <c r="G79" s="285" t="s">
        <v>56</v>
      </c>
      <c r="H79" s="285"/>
      <c r="I79" s="285" t="s">
        <v>76</v>
      </c>
      <c r="J79" s="285"/>
      <c r="K79" s="285" t="s">
        <v>76</v>
      </c>
      <c r="L79" s="285"/>
      <c r="M79" s="285" t="s">
        <v>84</v>
      </c>
      <c r="N79" s="285"/>
      <c r="O79" s="285" t="s">
        <v>84</v>
      </c>
      <c r="P79" s="285"/>
      <c r="Q79" s="285" t="s">
        <v>84</v>
      </c>
      <c r="R79" s="285"/>
      <c r="S79" s="285" t="s">
        <v>76</v>
      </c>
      <c r="T79" s="285"/>
      <c r="U79" s="285" t="s">
        <v>76</v>
      </c>
      <c r="V79" s="285"/>
      <c r="W79" s="750" t="s">
        <v>8</v>
      </c>
      <c r="X79" s="285"/>
      <c r="Y79" s="750" t="s">
        <v>8</v>
      </c>
      <c r="Z79" s="285"/>
      <c r="AA79" s="288" t="s">
        <v>84</v>
      </c>
      <c r="AB79" s="285"/>
      <c r="AC79" s="285" t="s">
        <v>84</v>
      </c>
      <c r="AD79" s="285"/>
      <c r="AE79" s="285" t="s">
        <v>18</v>
      </c>
      <c r="AF79" s="285"/>
      <c r="AG79" s="285" t="s">
        <v>18</v>
      </c>
      <c r="AH79" s="285"/>
      <c r="AI79" s="288"/>
      <c r="AJ79" s="288"/>
      <c r="AK79" s="285" t="s">
        <v>28</v>
      </c>
      <c r="AL79" s="288"/>
      <c r="AM79" s="288" t="s">
        <v>47</v>
      </c>
      <c r="AN79" s="288"/>
      <c r="AO79" s="288" t="s">
        <v>47</v>
      </c>
      <c r="AP79" s="288"/>
      <c r="AQ79" s="288" t="s">
        <v>76</v>
      </c>
      <c r="AR79" s="288"/>
      <c r="AS79" s="286">
        <f t="shared" ref="AS79:AS85" si="4">COUNTIF(C79:AR79,"&gt;=R")</f>
        <v>20</v>
      </c>
      <c r="AT79" s="287">
        <f t="shared" ref="AT79:AT85" si="5">AS79</f>
        <v>20</v>
      </c>
    </row>
    <row r="80" spans="1:48" ht="45" customHeight="1" x14ac:dyDescent="0.65">
      <c r="A80" s="926" t="s">
        <v>223</v>
      </c>
      <c r="B80" s="914" t="s">
        <v>224</v>
      </c>
      <c r="C80" s="283"/>
      <c r="D80" s="284"/>
      <c r="E80" s="285"/>
      <c r="F80" s="285"/>
      <c r="G80" s="285"/>
      <c r="H80" s="285"/>
      <c r="I80" s="285"/>
      <c r="J80" s="285"/>
      <c r="K80" s="285"/>
      <c r="L80" s="285"/>
      <c r="M80" s="285"/>
      <c r="N80" s="285"/>
      <c r="O80" s="285"/>
      <c r="P80" s="285"/>
      <c r="Q80" s="285"/>
      <c r="R80" s="285"/>
      <c r="S80" s="285"/>
      <c r="T80" s="285"/>
      <c r="U80" s="285"/>
      <c r="V80" s="285"/>
      <c r="W80" s="285"/>
      <c r="X80" s="285"/>
      <c r="Y80" s="285"/>
      <c r="Z80" s="285"/>
      <c r="AA80" s="285"/>
      <c r="AB80" s="285"/>
      <c r="AC80" s="285"/>
      <c r="AD80" s="285"/>
      <c r="AE80" s="285"/>
      <c r="AF80" s="285"/>
      <c r="AG80" s="285"/>
      <c r="AH80" s="285"/>
      <c r="AI80" s="285"/>
      <c r="AJ80" s="288"/>
      <c r="AK80" s="288"/>
      <c r="AL80" s="288"/>
      <c r="AM80" s="288"/>
      <c r="AN80" s="288"/>
      <c r="AO80" s="288"/>
      <c r="AP80" s="288"/>
      <c r="AQ80" s="288"/>
      <c r="AR80" s="288"/>
      <c r="AS80" s="286">
        <f t="shared" si="4"/>
        <v>0</v>
      </c>
      <c r="AT80" s="287">
        <f t="shared" si="5"/>
        <v>0</v>
      </c>
    </row>
    <row r="81" spans="1:48" ht="45" customHeight="1" x14ac:dyDescent="0.65">
      <c r="A81" s="923" t="s">
        <v>225</v>
      </c>
      <c r="B81" s="900" t="s">
        <v>226</v>
      </c>
      <c r="C81" s="283" t="s">
        <v>76</v>
      </c>
      <c r="D81" s="284"/>
      <c r="E81" s="285" t="s">
        <v>56</v>
      </c>
      <c r="F81" s="285"/>
      <c r="G81" s="285" t="s">
        <v>56</v>
      </c>
      <c r="H81" s="285"/>
      <c r="I81" s="285" t="s">
        <v>76</v>
      </c>
      <c r="J81" s="285"/>
      <c r="K81" s="285" t="s">
        <v>76</v>
      </c>
      <c r="L81" s="285"/>
      <c r="M81" s="285" t="s">
        <v>84</v>
      </c>
      <c r="N81" s="285"/>
      <c r="O81" s="285" t="s">
        <v>84</v>
      </c>
      <c r="P81" s="285"/>
      <c r="Q81" s="285" t="s">
        <v>84</v>
      </c>
      <c r="R81" s="285"/>
      <c r="S81" s="285" t="s">
        <v>76</v>
      </c>
      <c r="T81" s="285"/>
      <c r="U81" s="285" t="s">
        <v>76</v>
      </c>
      <c r="V81" s="285"/>
      <c r="W81" s="750" t="s">
        <v>8</v>
      </c>
      <c r="X81" s="285"/>
      <c r="Y81" s="750" t="s">
        <v>8</v>
      </c>
      <c r="Z81" s="285"/>
      <c r="AA81" s="285" t="s">
        <v>84</v>
      </c>
      <c r="AB81" s="285"/>
      <c r="AC81" s="285" t="s">
        <v>84</v>
      </c>
      <c r="AD81" s="285"/>
      <c r="AE81" s="285" t="s">
        <v>18</v>
      </c>
      <c r="AF81" s="285"/>
      <c r="AG81" s="285" t="s">
        <v>18</v>
      </c>
      <c r="AH81" s="285"/>
      <c r="AI81" s="285"/>
      <c r="AJ81" s="288"/>
      <c r="AK81" s="285" t="s">
        <v>28</v>
      </c>
      <c r="AL81" s="288"/>
      <c r="AM81" s="288" t="s">
        <v>47</v>
      </c>
      <c r="AN81" s="288"/>
      <c r="AO81" s="288" t="s">
        <v>47</v>
      </c>
      <c r="AP81" s="288"/>
      <c r="AQ81" s="288" t="s">
        <v>37</v>
      </c>
      <c r="AR81" s="288"/>
      <c r="AS81" s="286">
        <f t="shared" si="4"/>
        <v>20</v>
      </c>
      <c r="AT81" s="287">
        <f t="shared" si="5"/>
        <v>20</v>
      </c>
    </row>
    <row r="82" spans="1:48" ht="45" customHeight="1" x14ac:dyDescent="0.65">
      <c r="A82" s="923" t="s">
        <v>227</v>
      </c>
      <c r="B82" s="900" t="s">
        <v>228</v>
      </c>
      <c r="C82" s="283"/>
      <c r="D82" s="284"/>
      <c r="E82" s="283"/>
      <c r="F82" s="285"/>
      <c r="G82" s="283"/>
      <c r="H82" s="285"/>
      <c r="I82" s="283"/>
      <c r="J82" s="285"/>
      <c r="K82" s="283"/>
      <c r="L82" s="285"/>
      <c r="M82" s="283"/>
      <c r="N82" s="285"/>
      <c r="O82" s="283"/>
      <c r="P82" s="285"/>
      <c r="Q82" s="283"/>
      <c r="R82" s="285"/>
      <c r="S82" s="283"/>
      <c r="T82" s="285"/>
      <c r="U82" s="283"/>
      <c r="V82" s="285"/>
      <c r="W82" s="283"/>
      <c r="X82" s="285"/>
      <c r="Y82" s="283"/>
      <c r="Z82" s="285"/>
      <c r="AA82" s="283"/>
      <c r="AB82" s="285"/>
      <c r="AC82" s="283"/>
      <c r="AD82" s="285"/>
      <c r="AE82" s="283"/>
      <c r="AF82" s="285"/>
      <c r="AG82" s="283"/>
      <c r="AH82" s="285"/>
      <c r="AI82" s="283"/>
      <c r="AJ82" s="288"/>
      <c r="AK82" s="283"/>
      <c r="AL82" s="288"/>
      <c r="AM82" s="288"/>
      <c r="AN82" s="288"/>
      <c r="AO82" s="288"/>
      <c r="AP82" s="288"/>
      <c r="AQ82" s="288"/>
      <c r="AR82" s="288"/>
      <c r="AS82" s="286">
        <f t="shared" si="4"/>
        <v>0</v>
      </c>
      <c r="AT82" s="287">
        <f t="shared" si="5"/>
        <v>0</v>
      </c>
      <c r="AU82" s="4"/>
      <c r="AV82" s="114"/>
    </row>
    <row r="83" spans="1:48" ht="45" customHeight="1" x14ac:dyDescent="0.65">
      <c r="A83" s="923" t="s">
        <v>229</v>
      </c>
      <c r="B83" s="900" t="s">
        <v>230</v>
      </c>
      <c r="C83" s="283"/>
      <c r="D83" s="284"/>
      <c r="E83" s="283"/>
      <c r="F83" s="285"/>
      <c r="G83" s="283"/>
      <c r="H83" s="285"/>
      <c r="I83" s="283"/>
      <c r="J83" s="285"/>
      <c r="K83" s="283"/>
      <c r="L83" s="285"/>
      <c r="M83" s="283"/>
      <c r="N83" s="285"/>
      <c r="O83" s="283"/>
      <c r="P83" s="285"/>
      <c r="Q83" s="283"/>
      <c r="R83" s="285"/>
      <c r="S83" s="283"/>
      <c r="T83" s="285"/>
      <c r="U83" s="283"/>
      <c r="V83" s="285"/>
      <c r="W83" s="283"/>
      <c r="X83" s="285"/>
      <c r="Y83" s="283"/>
      <c r="Z83" s="285"/>
      <c r="AA83" s="283"/>
      <c r="AB83" s="285"/>
      <c r="AC83" s="283"/>
      <c r="AD83" s="285"/>
      <c r="AE83" s="283"/>
      <c r="AF83" s="285"/>
      <c r="AG83" s="283"/>
      <c r="AH83" s="285"/>
      <c r="AI83" s="283"/>
      <c r="AJ83" s="288"/>
      <c r="AK83" s="283"/>
      <c r="AL83" s="288"/>
      <c r="AM83" s="288"/>
      <c r="AN83" s="288"/>
      <c r="AO83" s="288"/>
      <c r="AP83" s="285"/>
      <c r="AQ83" s="285"/>
      <c r="AR83" s="288"/>
      <c r="AS83" s="286">
        <f t="shared" si="4"/>
        <v>0</v>
      </c>
      <c r="AT83" s="287">
        <f t="shared" si="5"/>
        <v>0</v>
      </c>
    </row>
    <row r="84" spans="1:48" ht="45" customHeight="1" x14ac:dyDescent="0.65">
      <c r="A84" s="923" t="s">
        <v>231</v>
      </c>
      <c r="B84" s="900" t="s">
        <v>232</v>
      </c>
      <c r="C84" s="283" t="s">
        <v>76</v>
      </c>
      <c r="D84" s="283"/>
      <c r="E84" s="307" t="s">
        <v>56</v>
      </c>
      <c r="F84" s="285"/>
      <c r="G84" s="285" t="s">
        <v>56</v>
      </c>
      <c r="H84" s="285"/>
      <c r="I84" s="285" t="s">
        <v>76</v>
      </c>
      <c r="J84" s="285"/>
      <c r="K84" s="285" t="s">
        <v>76</v>
      </c>
      <c r="L84" s="285"/>
      <c r="M84" s="285" t="s">
        <v>84</v>
      </c>
      <c r="N84" s="285"/>
      <c r="O84" s="285" t="s">
        <v>84</v>
      </c>
      <c r="P84" s="285"/>
      <c r="Q84" s="285" t="s">
        <v>84</v>
      </c>
      <c r="R84" s="285"/>
      <c r="S84" s="285" t="s">
        <v>76</v>
      </c>
      <c r="T84" s="285"/>
      <c r="U84" s="285" t="s">
        <v>76</v>
      </c>
      <c r="V84" s="285"/>
      <c r="W84" s="750" t="s">
        <v>8</v>
      </c>
      <c r="X84" s="285"/>
      <c r="Y84" s="750" t="s">
        <v>8</v>
      </c>
      <c r="Z84" s="285"/>
      <c r="AA84" s="285" t="s">
        <v>84</v>
      </c>
      <c r="AB84" s="285"/>
      <c r="AC84" s="285" t="s">
        <v>84</v>
      </c>
      <c r="AD84" s="285"/>
      <c r="AE84" s="285" t="s">
        <v>18</v>
      </c>
      <c r="AF84" s="285"/>
      <c r="AG84" s="285" t="s">
        <v>18</v>
      </c>
      <c r="AH84" s="285"/>
      <c r="AI84" s="285"/>
      <c r="AJ84" s="288"/>
      <c r="AK84" s="285" t="s">
        <v>28</v>
      </c>
      <c r="AL84" s="288"/>
      <c r="AM84" s="288" t="s">
        <v>47</v>
      </c>
      <c r="AN84" s="288"/>
      <c r="AO84" s="288" t="s">
        <v>47</v>
      </c>
      <c r="AP84" s="288"/>
      <c r="AQ84" s="288" t="s">
        <v>37</v>
      </c>
      <c r="AR84" s="288"/>
      <c r="AS84" s="286">
        <f t="shared" si="4"/>
        <v>20</v>
      </c>
      <c r="AT84" s="287">
        <f t="shared" si="5"/>
        <v>20</v>
      </c>
      <c r="AU84" s="4"/>
      <c r="AV84" s="114"/>
    </row>
    <row r="85" spans="1:48" ht="45" customHeight="1" x14ac:dyDescent="0.65">
      <c r="A85" s="357" t="s">
        <v>233</v>
      </c>
      <c r="B85" s="903" t="s">
        <v>234</v>
      </c>
      <c r="C85" s="578" t="s">
        <v>76</v>
      </c>
      <c r="D85" s="579"/>
      <c r="E85" s="580" t="s">
        <v>56</v>
      </c>
      <c r="F85" s="580"/>
      <c r="G85" s="580" t="s">
        <v>56</v>
      </c>
      <c r="H85" s="580"/>
      <c r="I85" s="580" t="s">
        <v>76</v>
      </c>
      <c r="J85" s="580"/>
      <c r="K85" s="727" t="s">
        <v>84</v>
      </c>
      <c r="L85" s="580"/>
      <c r="M85" s="580" t="s">
        <v>84</v>
      </c>
      <c r="N85" s="580"/>
      <c r="O85" s="580" t="s">
        <v>84</v>
      </c>
      <c r="P85" s="580"/>
      <c r="Q85" s="580" t="s">
        <v>84</v>
      </c>
      <c r="R85" s="580"/>
      <c r="S85" s="727" t="s">
        <v>84</v>
      </c>
      <c r="T85" s="580"/>
      <c r="U85" s="727" t="s">
        <v>84</v>
      </c>
      <c r="V85" s="580"/>
      <c r="W85" s="580" t="s">
        <v>68</v>
      </c>
      <c r="X85" s="580"/>
      <c r="Y85" s="580" t="s">
        <v>68</v>
      </c>
      <c r="Z85" s="580"/>
      <c r="AA85" s="580" t="s">
        <v>84</v>
      </c>
      <c r="AB85" s="580"/>
      <c r="AC85" s="580" t="s">
        <v>84</v>
      </c>
      <c r="AD85" s="580"/>
      <c r="AE85" s="580" t="s">
        <v>68</v>
      </c>
      <c r="AF85" s="580"/>
      <c r="AG85" s="580" t="s">
        <v>68</v>
      </c>
      <c r="AH85" s="580"/>
      <c r="AI85" s="580"/>
      <c r="AJ85" s="581"/>
      <c r="AK85" s="580" t="s">
        <v>28</v>
      </c>
      <c r="AL85" s="581"/>
      <c r="AM85" s="581" t="s">
        <v>47</v>
      </c>
      <c r="AN85" s="581"/>
      <c r="AO85" s="581" t="s">
        <v>47</v>
      </c>
      <c r="AP85" s="581"/>
      <c r="AQ85" s="581" t="s">
        <v>37</v>
      </c>
      <c r="AR85" s="581"/>
      <c r="AS85" s="286">
        <f t="shared" si="4"/>
        <v>20</v>
      </c>
      <c r="AT85" s="287">
        <f t="shared" si="5"/>
        <v>20</v>
      </c>
    </row>
    <row r="86" spans="1:48" ht="45" customHeight="1" x14ac:dyDescent="0.65">
      <c r="A86" s="924" t="s">
        <v>235</v>
      </c>
      <c r="B86" s="913" t="s">
        <v>236</v>
      </c>
      <c r="C86" s="291"/>
      <c r="D86" s="292"/>
      <c r="E86" s="293"/>
      <c r="F86" s="293"/>
      <c r="G86" s="293"/>
      <c r="H86" s="293"/>
      <c r="I86" s="293"/>
      <c r="J86" s="293"/>
      <c r="K86" s="293"/>
      <c r="L86" s="293"/>
      <c r="M86" s="293"/>
      <c r="N86" s="293"/>
      <c r="O86" s="293"/>
      <c r="P86" s="293"/>
      <c r="Q86" s="293"/>
      <c r="R86" s="293"/>
      <c r="S86" s="293"/>
      <c r="T86" s="293"/>
      <c r="U86" s="293"/>
      <c r="V86" s="293"/>
      <c r="W86" s="293"/>
      <c r="X86" s="293"/>
      <c r="Y86" s="293"/>
      <c r="Z86" s="293"/>
      <c r="AA86" s="293"/>
      <c r="AB86" s="293"/>
      <c r="AC86" s="293"/>
      <c r="AD86" s="293"/>
      <c r="AE86" s="293"/>
      <c r="AF86" s="293"/>
      <c r="AG86" s="293"/>
      <c r="AH86" s="293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941"/>
    </row>
    <row r="87" spans="1:48" ht="45" customHeight="1" x14ac:dyDescent="0.65">
      <c r="A87" s="929" t="s">
        <v>237</v>
      </c>
      <c r="B87" s="915" t="s">
        <v>238</v>
      </c>
      <c r="C87" s="283"/>
      <c r="D87" s="283"/>
      <c r="E87" s="299"/>
      <c r="F87" s="285"/>
      <c r="G87" s="285"/>
      <c r="H87" s="285"/>
      <c r="I87" s="285"/>
      <c r="J87" s="285"/>
      <c r="K87" s="285"/>
      <c r="L87" s="285"/>
      <c r="M87" s="285"/>
      <c r="N87" s="285"/>
      <c r="O87" s="285"/>
      <c r="P87" s="285"/>
      <c r="Q87" s="285"/>
      <c r="R87" s="285"/>
      <c r="S87" s="285"/>
      <c r="T87" s="285"/>
      <c r="U87" s="285"/>
      <c r="V87" s="285"/>
      <c r="W87" s="285"/>
      <c r="X87" s="285"/>
      <c r="Y87" s="285"/>
      <c r="Z87" s="285"/>
      <c r="AA87" s="285"/>
      <c r="AB87" s="285"/>
      <c r="AC87" s="285"/>
      <c r="AD87" s="285"/>
      <c r="AE87" s="285"/>
      <c r="AF87" s="285"/>
      <c r="AG87" s="285"/>
      <c r="AH87" s="285"/>
      <c r="AI87" s="288"/>
      <c r="AJ87" s="288"/>
      <c r="AK87" s="288"/>
      <c r="AL87" s="288"/>
      <c r="AM87" s="288"/>
      <c r="AN87" s="288"/>
      <c r="AO87" s="288"/>
      <c r="AP87" s="288"/>
      <c r="AQ87" s="288"/>
      <c r="AR87" s="288"/>
      <c r="AS87" s="286"/>
      <c r="AT87" s="287"/>
    </row>
    <row r="88" spans="1:48" ht="45" customHeight="1" x14ac:dyDescent="0.65">
      <c r="A88" s="923" t="s">
        <v>239</v>
      </c>
      <c r="B88" s="900" t="s">
        <v>139</v>
      </c>
      <c r="C88" s="284" t="s">
        <v>77</v>
      </c>
      <c r="D88" s="283"/>
      <c r="E88" s="285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3"/>
      <c r="Z88" s="285"/>
      <c r="AA88" s="283"/>
      <c r="AB88" s="285"/>
      <c r="AC88" s="283"/>
      <c r="AD88" s="285"/>
      <c r="AE88" s="283"/>
      <c r="AF88" s="285"/>
      <c r="AG88" s="283"/>
      <c r="AH88" s="285"/>
      <c r="AI88" s="283"/>
      <c r="AJ88" s="288"/>
      <c r="AK88" s="283"/>
      <c r="AL88" s="288"/>
      <c r="AM88" s="283"/>
      <c r="AN88" s="288"/>
      <c r="AO88" s="285"/>
      <c r="AP88" s="285"/>
      <c r="AQ88" s="285"/>
      <c r="AR88" s="288"/>
      <c r="AS88" s="286">
        <f>COUNTIF(C88:AR88,"&gt;=R")</f>
        <v>1</v>
      </c>
      <c r="AT88" s="287">
        <f>AS88</f>
        <v>1</v>
      </c>
      <c r="AU88" s="4"/>
      <c r="AV88" s="114"/>
    </row>
    <row r="89" spans="1:48" ht="45" customHeight="1" x14ac:dyDescent="0.65">
      <c r="A89" s="929" t="s">
        <v>240</v>
      </c>
      <c r="B89" s="915" t="s">
        <v>241</v>
      </c>
      <c r="C89" s="283"/>
      <c r="D89" s="283"/>
      <c r="E89" s="285"/>
      <c r="F89" s="285"/>
      <c r="G89" s="285"/>
      <c r="H89" s="285"/>
      <c r="I89" s="285"/>
      <c r="J89" s="285"/>
      <c r="K89" s="285"/>
      <c r="L89" s="285"/>
      <c r="M89" s="285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5"/>
      <c r="Z89" s="285"/>
      <c r="AA89" s="285"/>
      <c r="AB89" s="285"/>
      <c r="AC89" s="285"/>
      <c r="AD89" s="285"/>
      <c r="AE89" s="285"/>
      <c r="AF89" s="285"/>
      <c r="AG89" s="285"/>
      <c r="AH89" s="285"/>
      <c r="AI89" s="285"/>
      <c r="AJ89" s="288"/>
      <c r="AK89" s="285"/>
      <c r="AL89" s="288"/>
      <c r="AM89" s="285"/>
      <c r="AN89" s="288"/>
      <c r="AO89" s="285"/>
      <c r="AP89" s="285"/>
      <c r="AQ89" s="285"/>
      <c r="AR89" s="288"/>
      <c r="AS89" s="286"/>
      <c r="AT89" s="287"/>
    </row>
    <row r="90" spans="1:48" ht="45" customHeight="1" x14ac:dyDescent="0.65">
      <c r="A90" s="928" t="s">
        <v>242</v>
      </c>
      <c r="B90" s="902" t="s">
        <v>243</v>
      </c>
      <c r="C90" s="284" t="s">
        <v>77</v>
      </c>
      <c r="D90" s="283"/>
      <c r="E90" s="285"/>
      <c r="F90" s="285"/>
      <c r="G90" s="285"/>
      <c r="H90" s="285"/>
      <c r="I90" s="285"/>
      <c r="J90" s="285"/>
      <c r="K90" s="285"/>
      <c r="L90" s="285"/>
      <c r="M90" s="285"/>
      <c r="N90" s="285"/>
      <c r="O90" s="285"/>
      <c r="P90" s="285"/>
      <c r="Q90" s="285"/>
      <c r="R90" s="285"/>
      <c r="S90" s="285"/>
      <c r="T90" s="285"/>
      <c r="U90" s="285"/>
      <c r="V90" s="285"/>
      <c r="W90" s="285"/>
      <c r="X90" s="285"/>
      <c r="Y90" s="283"/>
      <c r="Z90" s="285"/>
      <c r="AA90" s="283"/>
      <c r="AB90" s="285"/>
      <c r="AC90" s="283"/>
      <c r="AD90" s="285"/>
      <c r="AE90" s="283"/>
      <c r="AF90" s="285"/>
      <c r="AG90" s="283"/>
      <c r="AH90" s="285"/>
      <c r="AI90" s="283"/>
      <c r="AJ90" s="288"/>
      <c r="AK90" s="283"/>
      <c r="AL90" s="288"/>
      <c r="AM90" s="285"/>
      <c r="AN90" s="288"/>
      <c r="AO90" s="285"/>
      <c r="AP90" s="285"/>
      <c r="AQ90" s="285"/>
      <c r="AR90" s="288"/>
      <c r="AS90" s="286">
        <f>COUNTIF(C90:AR90,"&gt;=R")</f>
        <v>1</v>
      </c>
      <c r="AT90" s="287">
        <f>AS90</f>
        <v>1</v>
      </c>
    </row>
    <row r="91" spans="1:48" ht="45" customHeight="1" x14ac:dyDescent="0.65">
      <c r="A91" s="928" t="s">
        <v>244</v>
      </c>
      <c r="B91" s="902" t="s">
        <v>245</v>
      </c>
      <c r="C91" s="283"/>
      <c r="D91" s="283"/>
      <c r="E91" s="299"/>
      <c r="F91" s="285"/>
      <c r="G91" s="285"/>
      <c r="H91" s="285"/>
      <c r="I91" s="285"/>
      <c r="J91" s="285"/>
      <c r="K91" s="285"/>
      <c r="L91" s="285"/>
      <c r="M91" s="285"/>
      <c r="N91" s="285"/>
      <c r="O91" s="285"/>
      <c r="P91" s="285"/>
      <c r="Q91" s="285"/>
      <c r="R91" s="285"/>
      <c r="S91" s="285"/>
      <c r="T91" s="285"/>
      <c r="U91" s="285"/>
      <c r="V91" s="285"/>
      <c r="W91" s="285"/>
      <c r="X91" s="285"/>
      <c r="Y91" s="285"/>
      <c r="Z91" s="285"/>
      <c r="AA91" s="285"/>
      <c r="AB91" s="285"/>
      <c r="AC91" s="285"/>
      <c r="AD91" s="285"/>
      <c r="AE91" s="285"/>
      <c r="AF91" s="285"/>
      <c r="AG91" s="285"/>
      <c r="AH91" s="285"/>
      <c r="AI91" s="288"/>
      <c r="AJ91" s="288"/>
      <c r="AK91" s="288"/>
      <c r="AL91" s="288"/>
      <c r="AM91" s="283"/>
      <c r="AN91" s="288"/>
      <c r="AO91" s="285"/>
      <c r="AP91" s="285"/>
      <c r="AQ91" s="285"/>
      <c r="AR91" s="288"/>
      <c r="AS91" s="286">
        <f>COUNTIF(C91:AR91,"&gt;=R")</f>
        <v>0</v>
      </c>
      <c r="AT91" s="287">
        <f>AS91</f>
        <v>0</v>
      </c>
    </row>
    <row r="92" spans="1:48" ht="45" customHeight="1" x14ac:dyDescent="0.65">
      <c r="A92" s="929" t="s">
        <v>246</v>
      </c>
      <c r="B92" s="915" t="s">
        <v>247</v>
      </c>
      <c r="C92" s="283"/>
      <c r="D92" s="283"/>
      <c r="E92" s="299"/>
      <c r="F92" s="285"/>
      <c r="G92" s="285"/>
      <c r="H92" s="285"/>
      <c r="I92" s="285"/>
      <c r="J92" s="285"/>
      <c r="K92" s="285"/>
      <c r="L92" s="285"/>
      <c r="M92" s="307"/>
      <c r="N92" s="285"/>
      <c r="O92" s="285"/>
      <c r="P92" s="285"/>
      <c r="Q92" s="285"/>
      <c r="R92" s="285"/>
      <c r="S92" s="285"/>
      <c r="T92" s="285"/>
      <c r="U92" s="285"/>
      <c r="V92" s="285"/>
      <c r="W92" s="285"/>
      <c r="X92" s="285"/>
      <c r="Y92" s="285"/>
      <c r="Z92" s="285"/>
      <c r="AA92" s="285"/>
      <c r="AB92" s="285"/>
      <c r="AC92" s="285"/>
      <c r="AD92" s="285"/>
      <c r="AE92" s="285"/>
      <c r="AF92" s="285"/>
      <c r="AG92" s="285"/>
      <c r="AH92" s="285"/>
      <c r="AI92" s="285"/>
      <c r="AJ92" s="288"/>
      <c r="AK92" s="285"/>
      <c r="AL92" s="288"/>
      <c r="AM92" s="285"/>
      <c r="AN92" s="288"/>
      <c r="AO92" s="285"/>
      <c r="AP92" s="285"/>
      <c r="AQ92" s="285"/>
      <c r="AR92" s="288"/>
      <c r="AS92" s="286"/>
      <c r="AT92" s="287"/>
    </row>
    <row r="93" spans="1:48" ht="45" customHeight="1" x14ac:dyDescent="0.65">
      <c r="A93" s="928" t="s">
        <v>248</v>
      </c>
      <c r="B93" s="902" t="s">
        <v>249</v>
      </c>
      <c r="C93" s="284" t="s">
        <v>68</v>
      </c>
      <c r="D93" s="283"/>
      <c r="E93" s="285" t="s">
        <v>68</v>
      </c>
      <c r="F93" s="285"/>
      <c r="G93" s="285" t="s">
        <v>68</v>
      </c>
      <c r="H93" s="285"/>
      <c r="I93" s="285" t="s">
        <v>68</v>
      </c>
      <c r="J93" s="285"/>
      <c r="K93" s="285" t="s">
        <v>68</v>
      </c>
      <c r="L93" s="285"/>
      <c r="M93" s="285"/>
      <c r="N93" s="285"/>
      <c r="O93" s="285"/>
      <c r="P93" s="285"/>
      <c r="Q93" s="285"/>
      <c r="R93" s="285"/>
      <c r="S93" s="285"/>
      <c r="T93" s="285"/>
      <c r="U93" s="285" t="s">
        <v>68</v>
      </c>
      <c r="V93" s="285"/>
      <c r="W93" s="285" t="s">
        <v>68</v>
      </c>
      <c r="X93" s="285"/>
      <c r="Y93" s="283" t="s">
        <v>68</v>
      </c>
      <c r="Z93" s="285"/>
      <c r="AA93" s="283" t="s">
        <v>68</v>
      </c>
      <c r="AB93" s="285"/>
      <c r="AC93" s="283" t="s">
        <v>68</v>
      </c>
      <c r="AD93" s="285"/>
      <c r="AE93" s="283" t="s">
        <v>68</v>
      </c>
      <c r="AF93" s="285"/>
      <c r="AG93" s="283" t="s">
        <v>68</v>
      </c>
      <c r="AH93" s="285"/>
      <c r="AI93" s="283"/>
      <c r="AJ93" s="288"/>
      <c r="AK93" s="283" t="s">
        <v>68</v>
      </c>
      <c r="AL93" s="288"/>
      <c r="AM93" s="288" t="s">
        <v>68</v>
      </c>
      <c r="AN93" s="288"/>
      <c r="AO93" s="288" t="s">
        <v>68</v>
      </c>
      <c r="AP93" s="288"/>
      <c r="AQ93" s="288" t="s">
        <v>68</v>
      </c>
      <c r="AR93" s="288"/>
      <c r="AS93" s="286">
        <f>COUNTIF(C93:AR93,"&gt;=R")</f>
        <v>16</v>
      </c>
      <c r="AT93" s="287">
        <f>AS93</f>
        <v>16</v>
      </c>
    </row>
    <row r="94" spans="1:48" ht="45" customHeight="1" x14ac:dyDescent="0.65">
      <c r="A94" s="928" t="s">
        <v>250</v>
      </c>
      <c r="B94" s="902" t="s">
        <v>251</v>
      </c>
      <c r="C94" s="284" t="s">
        <v>68</v>
      </c>
      <c r="D94" s="283"/>
      <c r="E94" s="285" t="s">
        <v>68</v>
      </c>
      <c r="F94" s="285"/>
      <c r="G94" s="285" t="s">
        <v>68</v>
      </c>
      <c r="H94" s="285"/>
      <c r="I94" s="285" t="s">
        <v>68</v>
      </c>
      <c r="J94" s="285"/>
      <c r="K94" s="285" t="s">
        <v>68</v>
      </c>
      <c r="L94" s="285"/>
      <c r="M94" s="285"/>
      <c r="N94" s="285"/>
      <c r="O94" s="285"/>
      <c r="P94" s="285"/>
      <c r="Q94" s="285"/>
      <c r="R94" s="285"/>
      <c r="S94" s="285"/>
      <c r="T94" s="285"/>
      <c r="U94" s="285" t="s">
        <v>68</v>
      </c>
      <c r="V94" s="285"/>
      <c r="W94" s="285" t="s">
        <v>68</v>
      </c>
      <c r="X94" s="285"/>
      <c r="Y94" s="283" t="s">
        <v>68</v>
      </c>
      <c r="Z94" s="285"/>
      <c r="AA94" s="283" t="s">
        <v>68</v>
      </c>
      <c r="AB94" s="285"/>
      <c r="AC94" s="283" t="s">
        <v>68</v>
      </c>
      <c r="AD94" s="285"/>
      <c r="AE94" s="283" t="s">
        <v>68</v>
      </c>
      <c r="AF94" s="285"/>
      <c r="AG94" s="283" t="s">
        <v>68</v>
      </c>
      <c r="AH94" s="285"/>
      <c r="AI94" s="283"/>
      <c r="AJ94" s="288"/>
      <c r="AK94" s="283" t="s">
        <v>68</v>
      </c>
      <c r="AL94" s="288"/>
      <c r="AM94" s="288" t="s">
        <v>68</v>
      </c>
      <c r="AN94" s="288"/>
      <c r="AO94" s="288" t="s">
        <v>68</v>
      </c>
      <c r="AP94" s="285"/>
      <c r="AQ94" s="285" t="s">
        <v>68</v>
      </c>
      <c r="AR94" s="288"/>
      <c r="AS94" s="286">
        <f>COUNTIF(C94:AR94,"&gt;=R")</f>
        <v>16</v>
      </c>
      <c r="AT94" s="287">
        <f>AS94</f>
        <v>16</v>
      </c>
    </row>
    <row r="95" spans="1:48" ht="45" customHeight="1" x14ac:dyDescent="0.65">
      <c r="A95" s="929" t="s">
        <v>252</v>
      </c>
      <c r="B95" s="915" t="s">
        <v>253</v>
      </c>
      <c r="C95" s="283"/>
      <c r="D95" s="283"/>
      <c r="E95" s="299"/>
      <c r="F95" s="285"/>
      <c r="G95" s="288"/>
      <c r="H95" s="285"/>
      <c r="I95" s="288"/>
      <c r="J95" s="285"/>
      <c r="K95" s="285"/>
      <c r="L95" s="285"/>
      <c r="M95" s="285"/>
      <c r="N95" s="285"/>
      <c r="O95" s="285"/>
      <c r="P95" s="285"/>
      <c r="Q95" s="285"/>
      <c r="R95" s="285"/>
      <c r="S95" s="285"/>
      <c r="T95" s="285"/>
      <c r="U95" s="285"/>
      <c r="V95" s="285"/>
      <c r="W95" s="285"/>
      <c r="X95" s="285"/>
      <c r="Y95" s="285"/>
      <c r="Z95" s="285"/>
      <c r="AA95" s="285"/>
      <c r="AB95" s="285"/>
      <c r="AC95" s="285"/>
      <c r="AD95" s="285"/>
      <c r="AE95" s="285"/>
      <c r="AF95" s="285"/>
      <c r="AG95" s="285"/>
      <c r="AH95" s="285"/>
      <c r="AI95" s="288"/>
      <c r="AJ95" s="288"/>
      <c r="AK95" s="288"/>
      <c r="AL95" s="288"/>
      <c r="AM95" s="288"/>
      <c r="AN95" s="288"/>
      <c r="AO95" s="299"/>
      <c r="AP95" s="299"/>
      <c r="AQ95" s="299"/>
      <c r="AR95" s="288"/>
      <c r="AS95" s="286"/>
      <c r="AT95" s="287"/>
      <c r="AU95" s="4"/>
      <c r="AV95" s="114"/>
    </row>
    <row r="96" spans="1:48" ht="45" customHeight="1" x14ac:dyDescent="0.65">
      <c r="A96" s="923" t="s">
        <v>254</v>
      </c>
      <c r="B96" s="900" t="s">
        <v>255</v>
      </c>
      <c r="C96" s="283" t="s">
        <v>68</v>
      </c>
      <c r="D96" s="283"/>
      <c r="E96" s="283"/>
      <c r="F96" s="285"/>
      <c r="G96" s="283"/>
      <c r="H96" s="285"/>
      <c r="I96" s="283"/>
      <c r="J96" s="285"/>
      <c r="K96" s="283"/>
      <c r="L96" s="285"/>
      <c r="M96" s="283"/>
      <c r="N96" s="285"/>
      <c r="O96" s="283"/>
      <c r="P96" s="285"/>
      <c r="Q96" s="283"/>
      <c r="R96" s="285"/>
      <c r="S96" s="283"/>
      <c r="T96" s="285"/>
      <c r="U96" s="283" t="s">
        <v>68</v>
      </c>
      <c r="V96" s="285"/>
      <c r="W96" s="283" t="s">
        <v>68</v>
      </c>
      <c r="X96" s="285"/>
      <c r="Y96" s="283" t="s">
        <v>68</v>
      </c>
      <c r="Z96" s="285"/>
      <c r="AA96" s="283" t="s">
        <v>68</v>
      </c>
      <c r="AB96" s="285"/>
      <c r="AC96" s="283" t="s">
        <v>68</v>
      </c>
      <c r="AD96" s="285"/>
      <c r="AE96" s="283" t="s">
        <v>68</v>
      </c>
      <c r="AF96" s="285"/>
      <c r="AG96" s="283" t="s">
        <v>68</v>
      </c>
      <c r="AH96" s="285"/>
      <c r="AI96" s="283"/>
      <c r="AJ96" s="288"/>
      <c r="AK96" s="283" t="s">
        <v>68</v>
      </c>
      <c r="AL96" s="288"/>
      <c r="AM96" s="283" t="s">
        <v>68</v>
      </c>
      <c r="AN96" s="288"/>
      <c r="AO96" s="285" t="s">
        <v>68</v>
      </c>
      <c r="AP96" s="285"/>
      <c r="AQ96" s="285" t="s">
        <v>68</v>
      </c>
      <c r="AR96" s="288"/>
      <c r="AS96" s="286">
        <f>COUNTIF(C96:AR96,"&gt;=R")</f>
        <v>12</v>
      </c>
      <c r="AT96" s="287">
        <f>AS96</f>
        <v>12</v>
      </c>
      <c r="AU96" s="4"/>
      <c r="AV96" s="114"/>
    </row>
    <row r="97" spans="1:48" ht="45" customHeight="1" x14ac:dyDescent="0.65">
      <c r="A97" s="923" t="s">
        <v>256</v>
      </c>
      <c r="B97" s="900" t="s">
        <v>257</v>
      </c>
      <c r="C97" s="283" t="s">
        <v>77</v>
      </c>
      <c r="D97" s="284"/>
      <c r="E97" s="283"/>
      <c r="F97" s="285"/>
      <c r="G97" s="283"/>
      <c r="H97" s="285"/>
      <c r="I97" s="283"/>
      <c r="J97" s="285"/>
      <c r="K97" s="283"/>
      <c r="L97" s="285"/>
      <c r="M97" s="283"/>
      <c r="N97" s="285"/>
      <c r="O97" s="283"/>
      <c r="P97" s="285"/>
      <c r="Q97" s="283"/>
      <c r="R97" s="285"/>
      <c r="S97" s="283"/>
      <c r="T97" s="285"/>
      <c r="U97" s="283"/>
      <c r="V97" s="285"/>
      <c r="W97" s="283"/>
      <c r="X97" s="285"/>
      <c r="Y97" s="283"/>
      <c r="Z97" s="285"/>
      <c r="AA97" s="283"/>
      <c r="AB97" s="285"/>
      <c r="AC97" s="283"/>
      <c r="AD97" s="285"/>
      <c r="AE97" s="283"/>
      <c r="AF97" s="285"/>
      <c r="AG97" s="283"/>
      <c r="AH97" s="285"/>
      <c r="AI97" s="283"/>
      <c r="AJ97" s="288"/>
      <c r="AK97" s="283"/>
      <c r="AL97" s="288"/>
      <c r="AM97" s="283"/>
      <c r="AN97" s="288"/>
      <c r="AO97" s="285"/>
      <c r="AP97" s="285"/>
      <c r="AQ97" s="285"/>
      <c r="AR97" s="288"/>
      <c r="AS97" s="286">
        <f>COUNTIF(C97:AR97,"&gt;=R")</f>
        <v>1</v>
      </c>
      <c r="AT97" s="287">
        <f>AS97</f>
        <v>1</v>
      </c>
    </row>
    <row r="98" spans="1:48" ht="45" customHeight="1" x14ac:dyDescent="0.65">
      <c r="A98" s="923" t="s">
        <v>258</v>
      </c>
      <c r="B98" s="900" t="s">
        <v>259</v>
      </c>
      <c r="C98" s="283" t="s">
        <v>77</v>
      </c>
      <c r="D98" s="284"/>
      <c r="E98" s="283"/>
      <c r="F98" s="285"/>
      <c r="G98" s="283"/>
      <c r="H98" s="285"/>
      <c r="I98" s="283"/>
      <c r="J98" s="285"/>
      <c r="K98" s="283"/>
      <c r="L98" s="285"/>
      <c r="M98" s="283"/>
      <c r="N98" s="285"/>
      <c r="O98" s="283"/>
      <c r="P98" s="285"/>
      <c r="Q98" s="283"/>
      <c r="R98" s="285"/>
      <c r="S98" s="283"/>
      <c r="T98" s="285"/>
      <c r="U98" s="283"/>
      <c r="V98" s="285"/>
      <c r="W98" s="283"/>
      <c r="X98" s="285"/>
      <c r="Y98" s="283"/>
      <c r="Z98" s="285"/>
      <c r="AA98" s="283"/>
      <c r="AB98" s="285"/>
      <c r="AC98" s="283"/>
      <c r="AD98" s="285"/>
      <c r="AE98" s="283"/>
      <c r="AF98" s="285"/>
      <c r="AG98" s="283"/>
      <c r="AH98" s="285"/>
      <c r="AI98" s="283"/>
      <c r="AJ98" s="288"/>
      <c r="AK98" s="283"/>
      <c r="AL98" s="288"/>
      <c r="AM98" s="283"/>
      <c r="AN98" s="288"/>
      <c r="AO98" s="285"/>
      <c r="AP98" s="285"/>
      <c r="AQ98" s="285"/>
      <c r="AR98" s="288"/>
      <c r="AS98" s="286">
        <f>COUNTIF(C98:AR98,"&gt;=R")</f>
        <v>1</v>
      </c>
      <c r="AT98" s="287">
        <f>AS98</f>
        <v>1</v>
      </c>
      <c r="AU98" s="4"/>
      <c r="AV98" s="114"/>
    </row>
    <row r="99" spans="1:48" ht="45" customHeight="1" x14ac:dyDescent="0.65">
      <c r="A99" s="923" t="s">
        <v>260</v>
      </c>
      <c r="B99" s="900" t="s">
        <v>261</v>
      </c>
      <c r="C99" s="283" t="s">
        <v>68</v>
      </c>
      <c r="D99" s="284"/>
      <c r="E99" s="283"/>
      <c r="F99" s="285"/>
      <c r="G99" s="283"/>
      <c r="H99" s="285"/>
      <c r="I99" s="283"/>
      <c r="J99" s="285"/>
      <c r="K99" s="283"/>
      <c r="L99" s="285"/>
      <c r="M99" s="283"/>
      <c r="N99" s="285"/>
      <c r="O99" s="283"/>
      <c r="P99" s="285"/>
      <c r="Q99" s="283"/>
      <c r="R99" s="285"/>
      <c r="S99" s="283"/>
      <c r="T99" s="285"/>
      <c r="U99" s="283" t="s">
        <v>68</v>
      </c>
      <c r="V99" s="285"/>
      <c r="W99" s="283" t="s">
        <v>68</v>
      </c>
      <c r="X99" s="285"/>
      <c r="Y99" s="283" t="s">
        <v>68</v>
      </c>
      <c r="Z99" s="285"/>
      <c r="AA99" s="283" t="s">
        <v>68</v>
      </c>
      <c r="AB99" s="285"/>
      <c r="AC99" s="283" t="s">
        <v>68</v>
      </c>
      <c r="AD99" s="285"/>
      <c r="AE99" s="283" t="s">
        <v>68</v>
      </c>
      <c r="AF99" s="285"/>
      <c r="AG99" s="283" t="s">
        <v>68</v>
      </c>
      <c r="AH99" s="285"/>
      <c r="AI99" s="283"/>
      <c r="AJ99" s="288"/>
      <c r="AK99" s="283" t="s">
        <v>68</v>
      </c>
      <c r="AL99" s="288"/>
      <c r="AM99" s="283" t="s">
        <v>68</v>
      </c>
      <c r="AN99" s="288"/>
      <c r="AO99" s="285" t="s">
        <v>68</v>
      </c>
      <c r="AP99" s="285"/>
      <c r="AQ99" s="285" t="s">
        <v>68</v>
      </c>
      <c r="AR99" s="288"/>
      <c r="AS99" s="286">
        <f>COUNTIF(C99:AR99,"&gt;=R")</f>
        <v>12</v>
      </c>
      <c r="AT99" s="287">
        <f>AS99</f>
        <v>12</v>
      </c>
      <c r="AU99" s="4"/>
      <c r="AV99" s="114"/>
    </row>
    <row r="100" spans="1:48" ht="45" customHeight="1" x14ac:dyDescent="0.65">
      <c r="A100" s="929" t="s">
        <v>262</v>
      </c>
      <c r="B100" s="915" t="s">
        <v>263</v>
      </c>
      <c r="C100" s="283"/>
      <c r="D100" s="284"/>
      <c r="E100" s="285"/>
      <c r="F100" s="285"/>
      <c r="G100" s="288"/>
      <c r="H100" s="285"/>
      <c r="I100" s="288"/>
      <c r="J100" s="285"/>
      <c r="K100" s="288"/>
      <c r="L100" s="285"/>
      <c r="M100" s="285"/>
      <c r="N100" s="285"/>
      <c r="O100" s="285"/>
      <c r="P100" s="285"/>
      <c r="Q100" s="285"/>
      <c r="R100" s="285"/>
      <c r="S100" s="285"/>
      <c r="T100" s="285"/>
      <c r="U100" s="288"/>
      <c r="V100" s="285"/>
      <c r="W100" s="288"/>
      <c r="X100" s="285"/>
      <c r="Y100" s="288"/>
      <c r="Z100" s="285"/>
      <c r="AA100" s="288"/>
      <c r="AB100" s="285"/>
      <c r="AC100" s="285"/>
      <c r="AD100" s="285"/>
      <c r="AE100" s="285"/>
      <c r="AF100" s="285"/>
      <c r="AG100" s="285"/>
      <c r="AH100" s="285"/>
      <c r="AI100" s="285"/>
      <c r="AJ100" s="288"/>
      <c r="AK100" s="285"/>
      <c r="AL100" s="288"/>
      <c r="AM100" s="285"/>
      <c r="AN100" s="288"/>
      <c r="AO100" s="285"/>
      <c r="AP100" s="285"/>
      <c r="AQ100" s="285"/>
      <c r="AR100" s="288"/>
      <c r="AS100" s="286"/>
      <c r="AT100" s="287"/>
    </row>
    <row r="101" spans="1:48" ht="45" customHeight="1" x14ac:dyDescent="0.65">
      <c r="A101" s="928" t="s">
        <v>264</v>
      </c>
      <c r="B101" s="902" t="s">
        <v>265</v>
      </c>
      <c r="C101" s="283" t="s">
        <v>76</v>
      </c>
      <c r="D101" s="284"/>
      <c r="E101" s="285" t="s">
        <v>76</v>
      </c>
      <c r="F101" s="285"/>
      <c r="G101" s="285" t="s">
        <v>76</v>
      </c>
      <c r="H101" s="285"/>
      <c r="I101" s="285" t="s">
        <v>76</v>
      </c>
      <c r="J101" s="285"/>
      <c r="K101" s="285" t="s">
        <v>57</v>
      </c>
      <c r="L101" s="285"/>
      <c r="M101" s="285" t="s">
        <v>57</v>
      </c>
      <c r="N101" s="285"/>
      <c r="O101" s="285" t="s">
        <v>57</v>
      </c>
      <c r="P101" s="285"/>
      <c r="Q101" s="285" t="s">
        <v>57</v>
      </c>
      <c r="R101" s="285"/>
      <c r="S101" s="285" t="s">
        <v>57</v>
      </c>
      <c r="T101" s="285"/>
      <c r="U101" s="285" t="s">
        <v>57</v>
      </c>
      <c r="V101" s="285"/>
      <c r="W101" s="285" t="s">
        <v>57</v>
      </c>
      <c r="X101" s="285"/>
      <c r="Y101" s="285" t="s">
        <v>57</v>
      </c>
      <c r="Z101" s="285"/>
      <c r="AA101" s="285" t="s">
        <v>57</v>
      </c>
      <c r="AB101" s="285"/>
      <c r="AC101" s="285" t="s">
        <v>57</v>
      </c>
      <c r="AD101" s="285"/>
      <c r="AE101" s="285" t="s">
        <v>57</v>
      </c>
      <c r="AF101" s="285"/>
      <c r="AG101" s="285" t="s">
        <v>57</v>
      </c>
      <c r="AH101" s="285"/>
      <c r="AI101" s="285"/>
      <c r="AJ101" s="288"/>
      <c r="AK101" s="285" t="s">
        <v>57</v>
      </c>
      <c r="AL101" s="288"/>
      <c r="AM101" s="288" t="s">
        <v>76</v>
      </c>
      <c r="AN101" s="288"/>
      <c r="AO101" s="288" t="s">
        <v>76</v>
      </c>
      <c r="AP101" s="288"/>
      <c r="AQ101" s="288" t="s">
        <v>76</v>
      </c>
      <c r="AR101" s="288"/>
      <c r="AS101" s="286">
        <f>COUNTIF(C101:AR101,"&gt;=R")</f>
        <v>20</v>
      </c>
      <c r="AT101" s="287">
        <f>AS101</f>
        <v>20</v>
      </c>
    </row>
    <row r="102" spans="1:48" ht="45" customHeight="1" x14ac:dyDescent="0.65">
      <c r="A102" s="930" t="s">
        <v>266</v>
      </c>
      <c r="B102" s="913" t="s">
        <v>267</v>
      </c>
      <c r="C102" s="291"/>
      <c r="D102" s="292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3"/>
      <c r="AA102" s="293"/>
      <c r="AB102" s="293"/>
      <c r="AC102" s="293"/>
      <c r="AD102" s="293"/>
      <c r="AE102" s="293"/>
      <c r="AF102" s="293"/>
      <c r="AG102" s="293"/>
      <c r="AH102" s="293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941"/>
    </row>
    <row r="103" spans="1:48" ht="45" customHeight="1" x14ac:dyDescent="0.65">
      <c r="A103" s="923" t="s">
        <v>268</v>
      </c>
      <c r="B103" s="900" t="s">
        <v>269</v>
      </c>
      <c r="C103" s="284" t="s">
        <v>85</v>
      </c>
      <c r="D103" s="284"/>
      <c r="E103" s="285" t="s">
        <v>85</v>
      </c>
      <c r="F103" s="285"/>
      <c r="G103" s="285" t="s">
        <v>85</v>
      </c>
      <c r="H103" s="285"/>
      <c r="I103" s="285" t="s">
        <v>85</v>
      </c>
      <c r="J103" s="285"/>
      <c r="K103" s="285" t="s">
        <v>85</v>
      </c>
      <c r="L103" s="285"/>
      <c r="M103" s="285"/>
      <c r="N103" s="285"/>
      <c r="O103" s="285"/>
      <c r="P103" s="285"/>
      <c r="Q103" s="285"/>
      <c r="R103" s="285"/>
      <c r="S103" s="285"/>
      <c r="T103" s="285"/>
      <c r="U103" s="285"/>
      <c r="V103" s="285"/>
      <c r="W103" s="285"/>
      <c r="X103" s="285"/>
      <c r="Y103" s="285"/>
      <c r="Z103" s="285"/>
      <c r="AA103" s="285"/>
      <c r="AB103" s="285"/>
      <c r="AC103" s="285"/>
      <c r="AD103" s="285"/>
      <c r="AE103" s="285"/>
      <c r="AF103" s="285"/>
      <c r="AG103" s="285"/>
      <c r="AH103" s="285"/>
      <c r="AI103" s="285"/>
      <c r="AJ103" s="288"/>
      <c r="AK103" s="288"/>
      <c r="AL103" s="288"/>
      <c r="AM103" s="288" t="s">
        <v>85</v>
      </c>
      <c r="AN103" s="288"/>
      <c r="AO103" s="285"/>
      <c r="AP103" s="285"/>
      <c r="AQ103" s="285"/>
      <c r="AR103" s="288"/>
      <c r="AS103" s="286">
        <f>COUNTIF(C103:AR103,"&gt;=R")</f>
        <v>6</v>
      </c>
      <c r="AT103" s="287">
        <f>AS103</f>
        <v>6</v>
      </c>
    </row>
    <row r="104" spans="1:48" ht="45" customHeight="1" x14ac:dyDescent="0.65">
      <c r="A104" s="923" t="s">
        <v>270</v>
      </c>
      <c r="B104" s="900" t="s">
        <v>271</v>
      </c>
      <c r="C104" s="284" t="s">
        <v>85</v>
      </c>
      <c r="D104" s="284"/>
      <c r="E104" s="285" t="s">
        <v>85</v>
      </c>
      <c r="F104" s="285"/>
      <c r="G104" s="285" t="s">
        <v>85</v>
      </c>
      <c r="H104" s="285"/>
      <c r="I104" s="285" t="s">
        <v>85</v>
      </c>
      <c r="J104" s="285"/>
      <c r="K104" s="285" t="s">
        <v>85</v>
      </c>
      <c r="L104" s="285"/>
      <c r="M104" s="285"/>
      <c r="N104" s="285"/>
      <c r="O104" s="285"/>
      <c r="P104" s="285"/>
      <c r="Q104" s="285"/>
      <c r="R104" s="285"/>
      <c r="S104" s="285"/>
      <c r="T104" s="285"/>
      <c r="U104" s="285"/>
      <c r="V104" s="285"/>
      <c r="W104" s="285"/>
      <c r="X104" s="285"/>
      <c r="Y104" s="285"/>
      <c r="Z104" s="285"/>
      <c r="AA104" s="285"/>
      <c r="AB104" s="285"/>
      <c r="AC104" s="285"/>
      <c r="AD104" s="285"/>
      <c r="AE104" s="285"/>
      <c r="AF104" s="285"/>
      <c r="AG104" s="285"/>
      <c r="AH104" s="285"/>
      <c r="AI104" s="285"/>
      <c r="AJ104" s="288"/>
      <c r="AK104" s="288"/>
      <c r="AL104" s="288"/>
      <c r="AM104" s="288" t="s">
        <v>85</v>
      </c>
      <c r="AN104" s="288"/>
      <c r="AO104" s="285"/>
      <c r="AP104" s="285"/>
      <c r="AQ104" s="285"/>
      <c r="AR104" s="288"/>
      <c r="AS104" s="286">
        <f>COUNTIF(C104:AR104,"&gt;=R")</f>
        <v>6</v>
      </c>
      <c r="AT104" s="287">
        <f>AS104</f>
        <v>6</v>
      </c>
    </row>
    <row r="105" spans="1:48" ht="45" customHeight="1" x14ac:dyDescent="0.65">
      <c r="A105" s="930" t="s">
        <v>272</v>
      </c>
      <c r="B105" s="913" t="s">
        <v>273</v>
      </c>
      <c r="C105" s="291"/>
      <c r="D105" s="292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3"/>
      <c r="AA105" s="293"/>
      <c r="AB105" s="293"/>
      <c r="AC105" s="293"/>
      <c r="AD105" s="293"/>
      <c r="AE105" s="293"/>
      <c r="AF105" s="293"/>
      <c r="AG105" s="293"/>
      <c r="AH105" s="293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941"/>
      <c r="AU105" s="4"/>
      <c r="AV105" s="114"/>
    </row>
    <row r="106" spans="1:48" ht="45" customHeight="1" x14ac:dyDescent="0.65">
      <c r="A106" s="923" t="s">
        <v>274</v>
      </c>
      <c r="B106" s="900" t="s">
        <v>275</v>
      </c>
      <c r="C106" s="283"/>
      <c r="D106" s="283"/>
      <c r="E106" s="283"/>
      <c r="F106" s="285"/>
      <c r="G106" s="283"/>
      <c r="H106" s="285"/>
      <c r="I106" s="283"/>
      <c r="J106" s="285"/>
      <c r="K106" s="283"/>
      <c r="L106" s="285"/>
      <c r="M106" s="283"/>
      <c r="N106" s="285"/>
      <c r="O106" s="283"/>
      <c r="P106" s="285"/>
      <c r="Q106" s="283"/>
      <c r="R106" s="285"/>
      <c r="S106" s="283"/>
      <c r="T106" s="285"/>
      <c r="U106" s="283"/>
      <c r="V106" s="285"/>
      <c r="W106" s="283"/>
      <c r="X106" s="285"/>
      <c r="Y106" s="283"/>
      <c r="Z106" s="285"/>
      <c r="AA106" s="283"/>
      <c r="AB106" s="285"/>
      <c r="AC106" s="283"/>
      <c r="AD106" s="285"/>
      <c r="AE106" s="283"/>
      <c r="AF106" s="285"/>
      <c r="AG106" s="283"/>
      <c r="AH106" s="285"/>
      <c r="AI106" s="283"/>
      <c r="AJ106" s="288"/>
      <c r="AK106" s="283"/>
      <c r="AL106" s="288"/>
      <c r="AM106" s="283"/>
      <c r="AN106" s="288"/>
      <c r="AO106" s="283"/>
      <c r="AP106" s="283"/>
      <c r="AQ106" s="283"/>
      <c r="AR106" s="288"/>
      <c r="AS106" s="286">
        <f>COUNTIF(C106:AR106,"&gt;=R")</f>
        <v>0</v>
      </c>
      <c r="AT106" s="287">
        <f>AS106</f>
        <v>0</v>
      </c>
    </row>
    <row r="107" spans="1:48" ht="45" customHeight="1" x14ac:dyDescent="0.65">
      <c r="A107" s="923" t="s">
        <v>276</v>
      </c>
      <c r="B107" s="900" t="s">
        <v>277</v>
      </c>
      <c r="C107" s="283" t="s">
        <v>68</v>
      </c>
      <c r="D107" s="284"/>
      <c r="E107" s="283" t="s">
        <v>68</v>
      </c>
      <c r="F107" s="285"/>
      <c r="G107" s="283" t="s">
        <v>68</v>
      </c>
      <c r="H107" s="285"/>
      <c r="I107" s="283" t="s">
        <v>68</v>
      </c>
      <c r="J107" s="285"/>
      <c r="K107" s="307" t="s">
        <v>68</v>
      </c>
      <c r="L107" s="285"/>
      <c r="M107" s="307"/>
      <c r="N107" s="285"/>
      <c r="O107" s="307"/>
      <c r="P107" s="285"/>
      <c r="Q107" s="307"/>
      <c r="R107" s="285"/>
      <c r="S107" s="285"/>
      <c r="T107" s="285"/>
      <c r="U107" s="285" t="s">
        <v>68</v>
      </c>
      <c r="V107" s="285"/>
      <c r="W107" s="285" t="s">
        <v>57</v>
      </c>
      <c r="X107" s="285"/>
      <c r="Y107" s="285" t="s">
        <v>57</v>
      </c>
      <c r="Z107" s="285"/>
      <c r="AA107" s="285" t="s">
        <v>57</v>
      </c>
      <c r="AB107" s="285"/>
      <c r="AC107" s="285" t="s">
        <v>57</v>
      </c>
      <c r="AD107" s="285"/>
      <c r="AE107" s="285" t="s">
        <v>57</v>
      </c>
      <c r="AF107" s="285"/>
      <c r="AG107" s="283" t="s">
        <v>77</v>
      </c>
      <c r="AH107" s="285"/>
      <c r="AI107" s="283"/>
      <c r="AJ107" s="288"/>
      <c r="AK107" s="283" t="s">
        <v>77</v>
      </c>
      <c r="AL107" s="288"/>
      <c r="AM107" s="283" t="s">
        <v>68</v>
      </c>
      <c r="AN107" s="288"/>
      <c r="AO107" s="283" t="s">
        <v>68</v>
      </c>
      <c r="AP107" s="283"/>
      <c r="AQ107" s="283" t="s">
        <v>68</v>
      </c>
      <c r="AR107" s="288"/>
      <c r="AS107" s="286">
        <f>COUNTIF(C107:AR107,"&gt;=R")</f>
        <v>16</v>
      </c>
      <c r="AT107" s="287">
        <f>AS107</f>
        <v>16</v>
      </c>
      <c r="AU107" s="4"/>
      <c r="AV107" s="114"/>
    </row>
    <row r="108" spans="1:48" ht="45" customHeight="1" x14ac:dyDescent="0.65">
      <c r="A108" s="924" t="s">
        <v>278</v>
      </c>
      <c r="B108" s="913" t="s">
        <v>279</v>
      </c>
      <c r="C108" s="291"/>
      <c r="D108" s="292"/>
      <c r="E108" s="293"/>
      <c r="F108" s="293"/>
      <c r="G108" s="293"/>
      <c r="H108" s="293"/>
      <c r="I108" s="293"/>
      <c r="J108" s="293"/>
      <c r="K108" s="293"/>
      <c r="L108" s="293"/>
      <c r="M108" s="293"/>
      <c r="N108" s="293"/>
      <c r="O108" s="293"/>
      <c r="P108" s="293"/>
      <c r="Q108" s="293"/>
      <c r="R108" s="293"/>
      <c r="S108" s="293"/>
      <c r="T108" s="293"/>
      <c r="U108" s="293"/>
      <c r="V108" s="293"/>
      <c r="W108" s="293"/>
      <c r="X108" s="293"/>
      <c r="Y108" s="293"/>
      <c r="Z108" s="293"/>
      <c r="AA108" s="293"/>
      <c r="AB108" s="293"/>
      <c r="AC108" s="293"/>
      <c r="AD108" s="293"/>
      <c r="AE108" s="293"/>
      <c r="AF108" s="293"/>
      <c r="AG108" s="293"/>
      <c r="AH108" s="293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941"/>
      <c r="AU108" s="4"/>
      <c r="AV108" s="114"/>
    </row>
    <row r="109" spans="1:48" ht="45" customHeight="1" x14ac:dyDescent="0.65">
      <c r="A109" s="929" t="s">
        <v>280</v>
      </c>
      <c r="B109" s="915" t="s">
        <v>281</v>
      </c>
      <c r="C109" s="283"/>
      <c r="D109" s="284"/>
      <c r="E109" s="285"/>
      <c r="F109" s="285"/>
      <c r="G109" s="288"/>
      <c r="H109" s="285"/>
      <c r="I109" s="288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5"/>
      <c r="AB109" s="285"/>
      <c r="AC109" s="285"/>
      <c r="AD109" s="285"/>
      <c r="AE109" s="285"/>
      <c r="AF109" s="285"/>
      <c r="AG109" s="285"/>
      <c r="AH109" s="285"/>
      <c r="AI109" s="288"/>
      <c r="AJ109" s="288"/>
      <c r="AK109" s="288"/>
      <c r="AL109" s="288"/>
      <c r="AM109" s="288"/>
      <c r="AN109" s="288"/>
      <c r="AO109" s="299"/>
      <c r="AP109" s="299"/>
      <c r="AQ109" s="299"/>
      <c r="AR109" s="288"/>
      <c r="AS109" s="286"/>
      <c r="AT109" s="287"/>
    </row>
    <row r="110" spans="1:48" ht="45" customHeight="1" x14ac:dyDescent="0.65">
      <c r="A110" s="357" t="s">
        <v>282</v>
      </c>
      <c r="B110" s="903" t="s">
        <v>283</v>
      </c>
      <c r="C110" s="579"/>
      <c r="D110" s="579"/>
      <c r="E110" s="580"/>
      <c r="F110" s="580"/>
      <c r="G110" s="580"/>
      <c r="H110" s="580"/>
      <c r="I110" s="580"/>
      <c r="J110" s="580"/>
      <c r="K110" s="580"/>
      <c r="L110" s="580"/>
      <c r="M110" s="580"/>
      <c r="N110" s="580"/>
      <c r="O110" s="580"/>
      <c r="P110" s="580"/>
      <c r="Q110" s="580"/>
      <c r="R110" s="580"/>
      <c r="S110" s="580"/>
      <c r="T110" s="580"/>
      <c r="U110" s="580"/>
      <c r="V110" s="580"/>
      <c r="W110" s="580"/>
      <c r="X110" s="580"/>
      <c r="Y110" s="580"/>
      <c r="Z110" s="580"/>
      <c r="AA110" s="580"/>
      <c r="AB110" s="580"/>
      <c r="AC110" s="580"/>
      <c r="AD110" s="580"/>
      <c r="AE110" s="580"/>
      <c r="AF110" s="580"/>
      <c r="AG110" s="580"/>
      <c r="AH110" s="580"/>
      <c r="AI110" s="580"/>
      <c r="AJ110" s="581"/>
      <c r="AK110" s="580"/>
      <c r="AL110" s="581"/>
      <c r="AM110" s="580"/>
      <c r="AN110" s="581"/>
      <c r="AO110" s="580"/>
      <c r="AP110" s="580"/>
      <c r="AQ110" s="580"/>
      <c r="AR110" s="581"/>
      <c r="AS110" s="286">
        <f>COUNTIF(C110:AR110,"&gt;=R")</f>
        <v>0</v>
      </c>
      <c r="AT110" s="287">
        <f>AS110</f>
        <v>0</v>
      </c>
    </row>
    <row r="111" spans="1:48" ht="45" customHeight="1" x14ac:dyDescent="0.65">
      <c r="A111" s="928" t="s">
        <v>284</v>
      </c>
      <c r="B111" s="902" t="s">
        <v>285</v>
      </c>
      <c r="C111" s="283"/>
      <c r="D111" s="284"/>
      <c r="E111" s="285"/>
      <c r="F111" s="285"/>
      <c r="G111" s="285"/>
      <c r="H111" s="285"/>
      <c r="I111" s="285"/>
      <c r="J111" s="285"/>
      <c r="K111" s="285"/>
      <c r="L111" s="285"/>
      <c r="M111" s="285"/>
      <c r="N111" s="285"/>
      <c r="O111" s="285"/>
      <c r="P111" s="285"/>
      <c r="Q111" s="285"/>
      <c r="R111" s="285"/>
      <c r="S111" s="285"/>
      <c r="T111" s="285"/>
      <c r="U111" s="285"/>
      <c r="V111" s="285"/>
      <c r="W111" s="285"/>
      <c r="X111" s="285"/>
      <c r="Y111" s="285"/>
      <c r="Z111" s="285"/>
      <c r="AA111" s="285"/>
      <c r="AB111" s="285"/>
      <c r="AC111" s="285"/>
      <c r="AD111" s="285"/>
      <c r="AE111" s="285"/>
      <c r="AF111" s="285"/>
      <c r="AG111" s="285"/>
      <c r="AH111" s="285"/>
      <c r="AI111" s="288"/>
      <c r="AJ111" s="288"/>
      <c r="AK111" s="288"/>
      <c r="AL111" s="288"/>
      <c r="AM111" s="288"/>
      <c r="AN111" s="288"/>
      <c r="AO111" s="288"/>
      <c r="AP111" s="288"/>
      <c r="AQ111" s="288"/>
      <c r="AR111" s="288"/>
      <c r="AS111" s="286">
        <f>COUNTIF(C111:AR111,"&gt;=R")</f>
        <v>0</v>
      </c>
      <c r="AT111" s="287">
        <f>AS111</f>
        <v>0</v>
      </c>
      <c r="AU111" s="4"/>
      <c r="AV111" s="114"/>
    </row>
    <row r="112" spans="1:48" ht="45" customHeight="1" x14ac:dyDescent="0.65">
      <c r="A112" s="929" t="s">
        <v>286</v>
      </c>
      <c r="B112" s="915" t="s">
        <v>287</v>
      </c>
      <c r="C112" s="283"/>
      <c r="D112" s="284"/>
      <c r="E112" s="285"/>
      <c r="F112" s="285"/>
      <c r="G112" s="285"/>
      <c r="H112" s="285"/>
      <c r="I112" s="285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5"/>
      <c r="Z112" s="285"/>
      <c r="AA112" s="285"/>
      <c r="AB112" s="285"/>
      <c r="AC112" s="285"/>
      <c r="AD112" s="285"/>
      <c r="AE112" s="285"/>
      <c r="AF112" s="285"/>
      <c r="AG112" s="285"/>
      <c r="AH112" s="285"/>
      <c r="AI112" s="288"/>
      <c r="AJ112" s="288"/>
      <c r="AK112" s="288"/>
      <c r="AL112" s="288"/>
      <c r="AM112" s="288"/>
      <c r="AN112" s="288"/>
      <c r="AO112" s="288"/>
      <c r="AP112" s="288"/>
      <c r="AQ112" s="288"/>
      <c r="AR112" s="288"/>
      <c r="AS112" s="286"/>
      <c r="AT112" s="287"/>
    </row>
    <row r="113" spans="1:48" ht="45" customHeight="1" x14ac:dyDescent="0.65">
      <c r="A113" s="923" t="s">
        <v>288</v>
      </c>
      <c r="B113" s="900" t="s">
        <v>289</v>
      </c>
      <c r="C113" s="284"/>
      <c r="D113" s="284"/>
      <c r="E113" s="285"/>
      <c r="F113" s="285"/>
      <c r="G113" s="285"/>
      <c r="H113" s="285"/>
      <c r="I113" s="285"/>
      <c r="J113" s="285"/>
      <c r="K113" s="285"/>
      <c r="L113" s="285"/>
      <c r="M113" s="285"/>
      <c r="N113" s="285"/>
      <c r="O113" s="285"/>
      <c r="P113" s="285"/>
      <c r="Q113" s="285"/>
      <c r="R113" s="285"/>
      <c r="S113" s="285"/>
      <c r="T113" s="285"/>
      <c r="U113" s="285"/>
      <c r="V113" s="285"/>
      <c r="W113" s="285"/>
      <c r="X113" s="285"/>
      <c r="Y113" s="285"/>
      <c r="Z113" s="285"/>
      <c r="AA113" s="285"/>
      <c r="AB113" s="285"/>
      <c r="AC113" s="285"/>
      <c r="AD113" s="285"/>
      <c r="AE113" s="285"/>
      <c r="AF113" s="285"/>
      <c r="AG113" s="285"/>
      <c r="AH113" s="285"/>
      <c r="AI113" s="285"/>
      <c r="AJ113" s="288"/>
      <c r="AK113" s="285"/>
      <c r="AL113" s="288"/>
      <c r="AM113" s="283"/>
      <c r="AN113" s="288"/>
      <c r="AO113" s="283"/>
      <c r="AP113" s="283"/>
      <c r="AQ113" s="283"/>
      <c r="AR113" s="288"/>
      <c r="AS113" s="286">
        <f>COUNTIF(C113:AR113,"&gt;=R")</f>
        <v>0</v>
      </c>
      <c r="AT113" s="287">
        <f>AS113</f>
        <v>0</v>
      </c>
      <c r="AU113" s="4"/>
      <c r="AV113" s="114"/>
    </row>
    <row r="114" spans="1:48" ht="45" customHeight="1" x14ac:dyDescent="0.65">
      <c r="A114" s="923" t="s">
        <v>290</v>
      </c>
      <c r="B114" s="900" t="s">
        <v>291</v>
      </c>
      <c r="C114" s="283"/>
      <c r="D114" s="284"/>
      <c r="E114" s="283"/>
      <c r="F114" s="285"/>
      <c r="G114" s="283"/>
      <c r="H114" s="285"/>
      <c r="I114" s="283"/>
      <c r="J114" s="285"/>
      <c r="K114" s="283"/>
      <c r="L114" s="285"/>
      <c r="M114" s="283"/>
      <c r="N114" s="285"/>
      <c r="O114" s="283"/>
      <c r="P114" s="285"/>
      <c r="Q114" s="283"/>
      <c r="R114" s="285"/>
      <c r="S114" s="283"/>
      <c r="T114" s="285"/>
      <c r="U114" s="283"/>
      <c r="V114" s="285"/>
      <c r="W114" s="283"/>
      <c r="X114" s="285"/>
      <c r="Y114" s="283"/>
      <c r="Z114" s="285"/>
      <c r="AA114" s="283"/>
      <c r="AB114" s="285"/>
      <c r="AC114" s="283"/>
      <c r="AD114" s="285"/>
      <c r="AE114" s="283"/>
      <c r="AF114" s="285"/>
      <c r="AG114" s="283"/>
      <c r="AH114" s="285"/>
      <c r="AI114" s="283"/>
      <c r="AJ114" s="288"/>
      <c r="AK114" s="283"/>
      <c r="AL114" s="288"/>
      <c r="AM114" s="285"/>
      <c r="AN114" s="288"/>
      <c r="AO114" s="285"/>
      <c r="AP114" s="285"/>
      <c r="AQ114" s="285"/>
      <c r="AR114" s="288"/>
      <c r="AS114" s="286">
        <f>COUNTIF(C114:AR114,"&gt;=R")</f>
        <v>0</v>
      </c>
      <c r="AT114" s="287">
        <f>AS114</f>
        <v>0</v>
      </c>
    </row>
    <row r="115" spans="1:48" ht="45" customHeight="1" x14ac:dyDescent="0.65">
      <c r="A115" s="357" t="s">
        <v>292</v>
      </c>
      <c r="B115" s="903" t="s">
        <v>293</v>
      </c>
      <c r="C115" s="579"/>
      <c r="D115" s="579"/>
      <c r="E115" s="580"/>
      <c r="F115" s="580"/>
      <c r="G115" s="580"/>
      <c r="H115" s="580"/>
      <c r="I115" s="580"/>
      <c r="J115" s="580"/>
      <c r="K115" s="580"/>
      <c r="L115" s="580"/>
      <c r="M115" s="580"/>
      <c r="N115" s="580"/>
      <c r="O115" s="580"/>
      <c r="P115" s="580"/>
      <c r="Q115" s="580"/>
      <c r="R115" s="580"/>
      <c r="S115" s="580"/>
      <c r="T115" s="580"/>
      <c r="U115" s="580"/>
      <c r="V115" s="580"/>
      <c r="W115" s="580"/>
      <c r="X115" s="580"/>
      <c r="Y115" s="580"/>
      <c r="Z115" s="580"/>
      <c r="AA115" s="580"/>
      <c r="AB115" s="580"/>
      <c r="AC115" s="580"/>
      <c r="AD115" s="580"/>
      <c r="AE115" s="580"/>
      <c r="AF115" s="580"/>
      <c r="AG115" s="580"/>
      <c r="AH115" s="580"/>
      <c r="AI115" s="580"/>
      <c r="AJ115" s="581"/>
      <c r="AK115" s="580"/>
      <c r="AL115" s="581"/>
      <c r="AM115" s="580"/>
      <c r="AN115" s="581"/>
      <c r="AO115" s="580"/>
      <c r="AP115" s="580"/>
      <c r="AQ115" s="580"/>
      <c r="AR115" s="581"/>
      <c r="AS115" s="286">
        <f>COUNTIF(C115:AR115,"&gt;=R")</f>
        <v>0</v>
      </c>
      <c r="AT115" s="287">
        <f>AS115</f>
        <v>0</v>
      </c>
    </row>
    <row r="116" spans="1:48" ht="45" customHeight="1" x14ac:dyDescent="0.65">
      <c r="A116" s="924" t="s">
        <v>294</v>
      </c>
      <c r="B116" s="916" t="s">
        <v>295</v>
      </c>
      <c r="C116" s="291"/>
      <c r="D116" s="292"/>
      <c r="E116" s="293"/>
      <c r="F116" s="293"/>
      <c r="G116" s="293"/>
      <c r="H116" s="293"/>
      <c r="I116" s="293"/>
      <c r="J116" s="293"/>
      <c r="K116" s="293"/>
      <c r="L116" s="293"/>
      <c r="M116" s="293"/>
      <c r="N116" s="293"/>
      <c r="O116" s="293"/>
      <c r="P116" s="293"/>
      <c r="Q116" s="293"/>
      <c r="R116" s="293"/>
      <c r="S116" s="293"/>
      <c r="T116" s="293"/>
      <c r="U116" s="293"/>
      <c r="V116" s="293"/>
      <c r="W116" s="293"/>
      <c r="X116" s="293"/>
      <c r="Y116" s="293"/>
      <c r="Z116" s="293"/>
      <c r="AA116" s="293"/>
      <c r="AB116" s="293"/>
      <c r="AC116" s="293"/>
      <c r="AD116" s="293"/>
      <c r="AE116" s="293"/>
      <c r="AF116" s="293"/>
      <c r="AG116" s="293"/>
      <c r="AH116" s="293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941"/>
      <c r="AU116" s="4"/>
      <c r="AV116" s="114"/>
    </row>
    <row r="117" spans="1:48" ht="45" customHeight="1" x14ac:dyDescent="0.65">
      <c r="A117" s="931" t="s">
        <v>296</v>
      </c>
      <c r="B117" s="313" t="s">
        <v>297</v>
      </c>
      <c r="C117" s="283" t="s">
        <v>68</v>
      </c>
      <c r="D117" s="284"/>
      <c r="E117" s="285" t="s">
        <v>68</v>
      </c>
      <c r="F117" s="285"/>
      <c r="G117" s="285" t="s">
        <v>68</v>
      </c>
      <c r="H117" s="285"/>
      <c r="I117" s="285" t="s">
        <v>68</v>
      </c>
      <c r="J117" s="285"/>
      <c r="K117" s="285" t="s">
        <v>68</v>
      </c>
      <c r="L117" s="285"/>
      <c r="M117" s="285"/>
      <c r="N117" s="285"/>
      <c r="O117" s="285"/>
      <c r="P117" s="285"/>
      <c r="Q117" s="285"/>
      <c r="R117" s="285"/>
      <c r="S117" s="285"/>
      <c r="T117" s="285"/>
      <c r="U117" s="285" t="s">
        <v>68</v>
      </c>
      <c r="V117" s="285"/>
      <c r="W117" s="285" t="s">
        <v>18</v>
      </c>
      <c r="X117" s="285"/>
      <c r="Y117" s="285" t="s">
        <v>18</v>
      </c>
      <c r="Z117" s="285"/>
      <c r="AA117" s="285" t="s">
        <v>18</v>
      </c>
      <c r="AB117" s="285"/>
      <c r="AC117" s="285" t="s">
        <v>18</v>
      </c>
      <c r="AD117" s="285"/>
      <c r="AE117" s="285" t="s">
        <v>85</v>
      </c>
      <c r="AF117" s="285"/>
      <c r="AG117" s="285" t="s">
        <v>85</v>
      </c>
      <c r="AH117" s="285"/>
      <c r="AI117" s="285"/>
      <c r="AJ117" s="288"/>
      <c r="AK117" s="285" t="s">
        <v>85</v>
      </c>
      <c r="AL117" s="288"/>
      <c r="AM117" s="288" t="s">
        <v>28</v>
      </c>
      <c r="AN117" s="288"/>
      <c r="AO117" s="288" t="s">
        <v>28</v>
      </c>
      <c r="AP117" s="288"/>
      <c r="AQ117" s="288" t="s">
        <v>28</v>
      </c>
      <c r="AR117" s="288"/>
      <c r="AS117" s="286">
        <f t="shared" ref="AS117:AS128" si="6">COUNTIF(C117:AR117,"&gt;=R")</f>
        <v>16</v>
      </c>
      <c r="AT117" s="287">
        <f t="shared" ref="AT117:AT128" si="7">AS117</f>
        <v>16</v>
      </c>
      <c r="AU117" s="4"/>
      <c r="AV117" s="114"/>
    </row>
    <row r="118" spans="1:48" ht="45" customHeight="1" x14ac:dyDescent="0.65">
      <c r="A118" s="931" t="s">
        <v>298</v>
      </c>
      <c r="B118" s="313" t="s">
        <v>299</v>
      </c>
      <c r="C118" s="283" t="s">
        <v>76</v>
      </c>
      <c r="D118" s="284"/>
      <c r="E118" s="285" t="s">
        <v>76</v>
      </c>
      <c r="F118" s="285"/>
      <c r="G118" s="307" t="s">
        <v>76</v>
      </c>
      <c r="H118" s="285"/>
      <c r="I118" s="307" t="s">
        <v>76</v>
      </c>
      <c r="J118" s="285"/>
      <c r="K118" s="307" t="s">
        <v>76</v>
      </c>
      <c r="L118" s="285"/>
      <c r="M118" s="285" t="s">
        <v>76</v>
      </c>
      <c r="N118" s="285"/>
      <c r="O118" s="285"/>
      <c r="P118" s="285"/>
      <c r="Q118" s="307"/>
      <c r="R118" s="285"/>
      <c r="S118" s="307" t="s">
        <v>76</v>
      </c>
      <c r="T118" s="285"/>
      <c r="U118" s="307" t="s">
        <v>76</v>
      </c>
      <c r="V118" s="285"/>
      <c r="W118" s="307" t="s">
        <v>8</v>
      </c>
      <c r="X118" s="285"/>
      <c r="Y118" s="307" t="s">
        <v>8</v>
      </c>
      <c r="Z118" s="285"/>
      <c r="AA118" s="307" t="s">
        <v>8</v>
      </c>
      <c r="AB118" s="285"/>
      <c r="AC118" s="307" t="s">
        <v>8</v>
      </c>
      <c r="AD118" s="285"/>
      <c r="AE118" s="307" t="s">
        <v>18</v>
      </c>
      <c r="AF118" s="285"/>
      <c r="AG118" s="285" t="s">
        <v>18</v>
      </c>
      <c r="AH118" s="285"/>
      <c r="AI118" s="285"/>
      <c r="AJ118" s="288"/>
      <c r="AK118" s="285" t="s">
        <v>28</v>
      </c>
      <c r="AL118" s="288"/>
      <c r="AM118" s="285" t="s">
        <v>76</v>
      </c>
      <c r="AN118" s="288"/>
      <c r="AO118" s="285" t="s">
        <v>76</v>
      </c>
      <c r="AP118" s="285"/>
      <c r="AQ118" s="285" t="s">
        <v>76</v>
      </c>
      <c r="AR118" s="288"/>
      <c r="AS118" s="286">
        <f t="shared" si="6"/>
        <v>18</v>
      </c>
      <c r="AT118" s="287">
        <f t="shared" si="7"/>
        <v>18</v>
      </c>
    </row>
    <row r="119" spans="1:48" ht="45" customHeight="1" x14ac:dyDescent="0.65">
      <c r="A119" s="931" t="s">
        <v>300</v>
      </c>
      <c r="B119" s="313" t="s">
        <v>301</v>
      </c>
      <c r="C119" s="283"/>
      <c r="D119" s="284"/>
      <c r="E119" s="283"/>
      <c r="F119" s="285"/>
      <c r="G119" s="283"/>
      <c r="H119" s="285"/>
      <c r="I119" s="283"/>
      <c r="J119" s="285"/>
      <c r="K119" s="283"/>
      <c r="L119" s="285"/>
      <c r="M119" s="283"/>
      <c r="N119" s="285"/>
      <c r="O119" s="283"/>
      <c r="P119" s="285"/>
      <c r="Q119" s="283"/>
      <c r="R119" s="285"/>
      <c r="S119" s="283"/>
      <c r="T119" s="285"/>
      <c r="U119" s="283"/>
      <c r="V119" s="285"/>
      <c r="W119" s="283"/>
      <c r="X119" s="285"/>
      <c r="Y119" s="283"/>
      <c r="Z119" s="285"/>
      <c r="AA119" s="283"/>
      <c r="AB119" s="285"/>
      <c r="AC119" s="283"/>
      <c r="AD119" s="285"/>
      <c r="AE119" s="283"/>
      <c r="AF119" s="285"/>
      <c r="AG119" s="283"/>
      <c r="AH119" s="285"/>
      <c r="AI119" s="283"/>
      <c r="AJ119" s="285"/>
      <c r="AK119" s="283"/>
      <c r="AL119" s="288"/>
      <c r="AM119" s="288"/>
      <c r="AN119" s="288"/>
      <c r="AO119" s="285"/>
      <c r="AP119" s="285"/>
      <c r="AQ119" s="285"/>
      <c r="AR119" s="288"/>
      <c r="AS119" s="286">
        <f t="shared" si="6"/>
        <v>0</v>
      </c>
      <c r="AT119" s="287">
        <f t="shared" si="7"/>
        <v>0</v>
      </c>
    </row>
    <row r="120" spans="1:48" ht="45" customHeight="1" x14ac:dyDescent="0.65">
      <c r="A120" s="931" t="s">
        <v>302</v>
      </c>
      <c r="B120" s="313" t="s">
        <v>303</v>
      </c>
      <c r="C120" s="284"/>
      <c r="D120" s="284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5"/>
      <c r="V120" s="285"/>
      <c r="W120" s="285"/>
      <c r="X120" s="285"/>
      <c r="Y120" s="283"/>
      <c r="Z120" s="285"/>
      <c r="AA120" s="283"/>
      <c r="AB120" s="285"/>
      <c r="AC120" s="283"/>
      <c r="AD120" s="285"/>
      <c r="AE120" s="283"/>
      <c r="AF120" s="285"/>
      <c r="AG120" s="283"/>
      <c r="AH120" s="285"/>
      <c r="AI120" s="283"/>
      <c r="AJ120" s="288"/>
      <c r="AK120" s="283"/>
      <c r="AL120" s="288"/>
      <c r="AM120" s="283"/>
      <c r="AN120" s="288"/>
      <c r="AO120" s="285"/>
      <c r="AP120" s="285"/>
      <c r="AQ120" s="285"/>
      <c r="AR120" s="288"/>
      <c r="AS120" s="286">
        <f t="shared" si="6"/>
        <v>0</v>
      </c>
      <c r="AT120" s="287">
        <f t="shared" si="7"/>
        <v>0</v>
      </c>
      <c r="AU120" s="4"/>
      <c r="AV120" s="114"/>
    </row>
    <row r="121" spans="1:48" ht="45" customHeight="1" x14ac:dyDescent="0.65">
      <c r="A121" s="931" t="s">
        <v>304</v>
      </c>
      <c r="B121" s="313" t="s">
        <v>305</v>
      </c>
      <c r="C121" s="283" t="s">
        <v>85</v>
      </c>
      <c r="D121" s="284"/>
      <c r="E121" s="285" t="s">
        <v>85</v>
      </c>
      <c r="F121" s="285"/>
      <c r="G121" s="307" t="s">
        <v>85</v>
      </c>
      <c r="H121" s="285"/>
      <c r="I121" s="307" t="s">
        <v>85</v>
      </c>
      <c r="J121" s="285"/>
      <c r="K121" s="307" t="s">
        <v>85</v>
      </c>
      <c r="L121" s="285"/>
      <c r="M121" s="285"/>
      <c r="N121" s="285"/>
      <c r="O121" s="285"/>
      <c r="P121" s="285"/>
      <c r="Q121" s="307"/>
      <c r="R121" s="285"/>
      <c r="S121" s="307"/>
      <c r="T121" s="285"/>
      <c r="U121" s="285"/>
      <c r="V121" s="285"/>
      <c r="W121" s="285"/>
      <c r="X121" s="285"/>
      <c r="Y121" s="285"/>
      <c r="Z121" s="285"/>
      <c r="AA121" s="285"/>
      <c r="AB121" s="285"/>
      <c r="AC121" s="285"/>
      <c r="AD121" s="285"/>
      <c r="AE121" s="285"/>
      <c r="AF121" s="285"/>
      <c r="AG121" s="285"/>
      <c r="AH121" s="285"/>
      <c r="AI121" s="285"/>
      <c r="AJ121" s="288"/>
      <c r="AK121" s="285"/>
      <c r="AL121" s="288"/>
      <c r="AM121" s="288" t="s">
        <v>85</v>
      </c>
      <c r="AN121" s="288"/>
      <c r="AO121" s="288"/>
      <c r="AP121" s="288"/>
      <c r="AQ121" s="288"/>
      <c r="AR121" s="288"/>
      <c r="AS121" s="286">
        <f t="shared" si="6"/>
        <v>6</v>
      </c>
      <c r="AT121" s="287">
        <f t="shared" si="7"/>
        <v>6</v>
      </c>
    </row>
    <row r="122" spans="1:48" ht="45" customHeight="1" x14ac:dyDescent="0.65">
      <c r="A122" s="931" t="s">
        <v>306</v>
      </c>
      <c r="B122" s="313" t="s">
        <v>307</v>
      </c>
      <c r="C122" s="283" t="s">
        <v>85</v>
      </c>
      <c r="D122" s="284"/>
      <c r="E122" s="285" t="s">
        <v>85</v>
      </c>
      <c r="F122" s="285"/>
      <c r="G122" s="307" t="s">
        <v>85</v>
      </c>
      <c r="H122" s="285"/>
      <c r="I122" s="307" t="s">
        <v>85</v>
      </c>
      <c r="J122" s="285"/>
      <c r="K122" s="307" t="s">
        <v>85</v>
      </c>
      <c r="L122" s="285"/>
      <c r="M122" s="288"/>
      <c r="N122" s="285"/>
      <c r="O122" s="288"/>
      <c r="P122" s="285"/>
      <c r="Q122" s="288"/>
      <c r="R122" s="285"/>
      <c r="S122" s="288"/>
      <c r="T122" s="285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8"/>
      <c r="AL122" s="288"/>
      <c r="AM122" s="288" t="s">
        <v>85</v>
      </c>
      <c r="AN122" s="288"/>
      <c r="AO122" s="288"/>
      <c r="AP122" s="288"/>
      <c r="AQ122" s="288"/>
      <c r="AR122" s="288"/>
      <c r="AS122" s="286">
        <f t="shared" si="6"/>
        <v>6</v>
      </c>
      <c r="AT122" s="287">
        <f t="shared" si="7"/>
        <v>6</v>
      </c>
    </row>
    <row r="123" spans="1:48" ht="45" customHeight="1" x14ac:dyDescent="0.65">
      <c r="A123" s="931" t="s">
        <v>308</v>
      </c>
      <c r="B123" s="313" t="s">
        <v>309</v>
      </c>
      <c r="C123" s="283"/>
      <c r="D123" s="284"/>
      <c r="E123" s="285"/>
      <c r="F123" s="285"/>
      <c r="G123" s="285"/>
      <c r="H123" s="285"/>
      <c r="I123" s="285"/>
      <c r="J123" s="285"/>
      <c r="K123" s="285"/>
      <c r="L123" s="285"/>
      <c r="M123" s="285"/>
      <c r="N123" s="285"/>
      <c r="O123" s="285"/>
      <c r="P123" s="285"/>
      <c r="Q123" s="285"/>
      <c r="R123" s="285"/>
      <c r="S123" s="285"/>
      <c r="T123" s="285"/>
      <c r="U123" s="288"/>
      <c r="V123" s="288"/>
      <c r="W123" s="288"/>
      <c r="X123" s="288"/>
      <c r="Y123" s="288"/>
      <c r="Z123" s="288"/>
      <c r="AA123" s="288"/>
      <c r="AB123" s="288"/>
      <c r="AC123" s="288"/>
      <c r="AD123" s="288"/>
      <c r="AE123" s="288"/>
      <c r="AF123" s="288"/>
      <c r="AG123" s="288"/>
      <c r="AH123" s="288"/>
      <c r="AI123" s="288"/>
      <c r="AJ123" s="288"/>
      <c r="AK123" s="288"/>
      <c r="AL123" s="288"/>
      <c r="AM123" s="288"/>
      <c r="AN123" s="288"/>
      <c r="AO123" s="288"/>
      <c r="AP123" s="288"/>
      <c r="AQ123" s="288"/>
      <c r="AR123" s="288"/>
      <c r="AS123" s="286">
        <f t="shared" si="6"/>
        <v>0</v>
      </c>
      <c r="AT123" s="287">
        <f t="shared" si="7"/>
        <v>0</v>
      </c>
    </row>
    <row r="124" spans="1:48" ht="45" customHeight="1" x14ac:dyDescent="0.65">
      <c r="A124" s="931" t="s">
        <v>310</v>
      </c>
      <c r="B124" s="313" t="s">
        <v>311</v>
      </c>
      <c r="C124" s="283"/>
      <c r="D124" s="302"/>
      <c r="E124" s="288"/>
      <c r="F124" s="288"/>
      <c r="G124" s="307"/>
      <c r="H124" s="288"/>
      <c r="I124" s="307"/>
      <c r="J124" s="288"/>
      <c r="K124" s="307"/>
      <c r="L124" s="288"/>
      <c r="M124" s="288"/>
      <c r="N124" s="288"/>
      <c r="O124" s="288"/>
      <c r="P124" s="288"/>
      <c r="Q124" s="307"/>
      <c r="R124" s="288"/>
      <c r="S124" s="307"/>
      <c r="T124" s="288"/>
      <c r="U124" s="307"/>
      <c r="V124" s="288"/>
      <c r="W124" s="307"/>
      <c r="X124" s="288"/>
      <c r="Y124" s="307"/>
      <c r="Z124" s="288"/>
      <c r="AA124" s="307"/>
      <c r="AB124" s="288"/>
      <c r="AC124" s="307"/>
      <c r="AD124" s="288"/>
      <c r="AE124" s="307"/>
      <c r="AF124" s="288"/>
      <c r="AG124" s="307"/>
      <c r="AH124" s="288"/>
      <c r="AI124" s="307"/>
      <c r="AJ124" s="288"/>
      <c r="AK124" s="307"/>
      <c r="AL124" s="288"/>
      <c r="AM124" s="307"/>
      <c r="AN124" s="288"/>
      <c r="AO124" s="285"/>
      <c r="AP124" s="285"/>
      <c r="AQ124" s="285"/>
      <c r="AR124" s="288"/>
      <c r="AS124" s="286">
        <f t="shared" si="6"/>
        <v>0</v>
      </c>
      <c r="AT124" s="287">
        <f t="shared" si="7"/>
        <v>0</v>
      </c>
    </row>
    <row r="125" spans="1:48" ht="45" customHeight="1" x14ac:dyDescent="0.65">
      <c r="A125" s="931" t="s">
        <v>312</v>
      </c>
      <c r="B125" s="313" t="s">
        <v>313</v>
      </c>
      <c r="C125" s="283"/>
      <c r="D125" s="302"/>
      <c r="E125" s="288"/>
      <c r="F125" s="288"/>
      <c r="G125" s="288"/>
      <c r="H125" s="288"/>
      <c r="I125" s="288"/>
      <c r="J125" s="288"/>
      <c r="K125" s="288"/>
      <c r="L125" s="288"/>
      <c r="M125" s="288"/>
      <c r="N125" s="288"/>
      <c r="O125" s="288"/>
      <c r="P125" s="288"/>
      <c r="Q125" s="288"/>
      <c r="R125" s="288"/>
      <c r="S125" s="288"/>
      <c r="T125" s="288"/>
      <c r="U125" s="288"/>
      <c r="V125" s="288"/>
      <c r="W125" s="288"/>
      <c r="X125" s="288"/>
      <c r="Y125" s="288"/>
      <c r="Z125" s="288"/>
      <c r="AA125" s="288"/>
      <c r="AB125" s="288"/>
      <c r="AC125" s="288"/>
      <c r="AD125" s="288"/>
      <c r="AE125" s="288"/>
      <c r="AF125" s="288"/>
      <c r="AG125" s="288"/>
      <c r="AH125" s="288"/>
      <c r="AI125" s="288"/>
      <c r="AJ125" s="288"/>
      <c r="AK125" s="288"/>
      <c r="AL125" s="288"/>
      <c r="AM125" s="288"/>
      <c r="AN125" s="288"/>
      <c r="AO125" s="288"/>
      <c r="AP125" s="288"/>
      <c r="AQ125" s="288"/>
      <c r="AR125" s="288"/>
      <c r="AS125" s="286">
        <f t="shared" si="6"/>
        <v>0</v>
      </c>
      <c r="AT125" s="287">
        <f t="shared" si="7"/>
        <v>0</v>
      </c>
    </row>
    <row r="126" spans="1:48" ht="45" customHeight="1" x14ac:dyDescent="0.65">
      <c r="A126" s="931" t="s">
        <v>314</v>
      </c>
      <c r="B126" s="313" t="s">
        <v>315</v>
      </c>
      <c r="C126" s="283"/>
      <c r="D126" s="302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88"/>
      <c r="AL126" s="288"/>
      <c r="AM126" s="288"/>
      <c r="AN126" s="288"/>
      <c r="AO126" s="288"/>
      <c r="AP126" s="288"/>
      <c r="AQ126" s="288"/>
      <c r="AR126" s="288"/>
      <c r="AS126" s="286">
        <f t="shared" si="6"/>
        <v>0</v>
      </c>
      <c r="AT126" s="287">
        <f t="shared" si="7"/>
        <v>0</v>
      </c>
    </row>
    <row r="127" spans="1:48" ht="45" customHeight="1" x14ac:dyDescent="0.65">
      <c r="A127" s="931" t="s">
        <v>316</v>
      </c>
      <c r="B127" s="313" t="s">
        <v>317</v>
      </c>
      <c r="C127" s="283"/>
      <c r="D127" s="302"/>
      <c r="E127" s="288"/>
      <c r="F127" s="288"/>
      <c r="G127" s="288"/>
      <c r="H127" s="288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8"/>
      <c r="T127" s="288"/>
      <c r="U127" s="288"/>
      <c r="V127" s="288"/>
      <c r="W127" s="288"/>
      <c r="X127" s="288"/>
      <c r="Y127" s="288"/>
      <c r="Z127" s="288"/>
      <c r="AA127" s="288"/>
      <c r="AB127" s="288"/>
      <c r="AC127" s="288"/>
      <c r="AD127" s="288"/>
      <c r="AE127" s="288"/>
      <c r="AF127" s="288"/>
      <c r="AG127" s="288"/>
      <c r="AH127" s="288"/>
      <c r="AI127" s="288"/>
      <c r="AJ127" s="288"/>
      <c r="AK127" s="288"/>
      <c r="AL127" s="288"/>
      <c r="AM127" s="283"/>
      <c r="AN127" s="288"/>
      <c r="AO127" s="283"/>
      <c r="AP127" s="283"/>
      <c r="AQ127" s="283"/>
      <c r="AR127" s="288"/>
      <c r="AS127" s="286">
        <f t="shared" si="6"/>
        <v>0</v>
      </c>
      <c r="AT127" s="287">
        <f t="shared" si="7"/>
        <v>0</v>
      </c>
    </row>
    <row r="128" spans="1:48" ht="45" customHeight="1" x14ac:dyDescent="0.65">
      <c r="A128" s="931" t="s">
        <v>318</v>
      </c>
      <c r="B128" s="313" t="s">
        <v>319</v>
      </c>
      <c r="C128" s="283"/>
      <c r="D128" s="302"/>
      <c r="E128" s="302"/>
      <c r="F128" s="288"/>
      <c r="G128" s="302"/>
      <c r="H128" s="288"/>
      <c r="I128" s="302"/>
      <c r="J128" s="288"/>
      <c r="K128" s="302"/>
      <c r="L128" s="288"/>
      <c r="M128" s="302"/>
      <c r="N128" s="288"/>
      <c r="O128" s="302"/>
      <c r="P128" s="288"/>
      <c r="Q128" s="302"/>
      <c r="R128" s="288"/>
      <c r="S128" s="302"/>
      <c r="T128" s="288"/>
      <c r="U128" s="302"/>
      <c r="V128" s="288"/>
      <c r="W128" s="302"/>
      <c r="X128" s="288"/>
      <c r="Y128" s="302"/>
      <c r="Z128" s="288"/>
      <c r="AA128" s="302"/>
      <c r="AB128" s="288"/>
      <c r="AC128" s="302"/>
      <c r="AD128" s="288"/>
      <c r="AE128" s="302"/>
      <c r="AF128" s="288"/>
      <c r="AG128" s="302"/>
      <c r="AH128" s="288"/>
      <c r="AI128" s="302"/>
      <c r="AJ128" s="288"/>
      <c r="AK128" s="302"/>
      <c r="AL128" s="288"/>
      <c r="AM128" s="283"/>
      <c r="AN128" s="288"/>
      <c r="AO128" s="283"/>
      <c r="AP128" s="283"/>
      <c r="AQ128" s="283"/>
      <c r="AR128" s="288"/>
      <c r="AS128" s="286">
        <f t="shared" si="6"/>
        <v>0</v>
      </c>
      <c r="AT128" s="287">
        <f t="shared" si="7"/>
        <v>0</v>
      </c>
    </row>
    <row r="129" spans="1:46" ht="45" customHeight="1" thickBot="1" x14ac:dyDescent="0.7">
      <c r="A129" s="932" t="s">
        <v>320</v>
      </c>
      <c r="B129" s="304" t="s">
        <v>321</v>
      </c>
      <c r="C129" s="291"/>
      <c r="D129" s="292"/>
      <c r="E129" s="293"/>
      <c r="F129" s="293"/>
      <c r="G129" s="293"/>
      <c r="H129" s="293"/>
      <c r="I129" s="293"/>
      <c r="J129" s="293"/>
      <c r="K129" s="293"/>
      <c r="L129" s="293"/>
      <c r="M129" s="293"/>
      <c r="N129" s="293"/>
      <c r="O129" s="293"/>
      <c r="P129" s="293"/>
      <c r="Q129" s="293"/>
      <c r="R129" s="293"/>
      <c r="S129" s="293"/>
      <c r="T129" s="293"/>
      <c r="U129" s="293"/>
      <c r="V129" s="293"/>
      <c r="W129" s="293"/>
      <c r="X129" s="293"/>
      <c r="Y129" s="293"/>
      <c r="Z129" s="293"/>
      <c r="AA129" s="293"/>
      <c r="AB129" s="293"/>
      <c r="AC129" s="293"/>
      <c r="AD129" s="293"/>
      <c r="AE129" s="293"/>
      <c r="AF129" s="293"/>
      <c r="AG129" s="293"/>
      <c r="AH129" s="293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941"/>
    </row>
    <row r="130" spans="1:46" ht="45" customHeight="1" x14ac:dyDescent="0.65">
      <c r="A130" s="922" t="s">
        <v>322</v>
      </c>
      <c r="B130" s="314" t="s">
        <v>323</v>
      </c>
      <c r="C130" s="291"/>
      <c r="D130" s="292"/>
      <c r="E130" s="293"/>
      <c r="F130" s="293"/>
      <c r="G130" s="293"/>
      <c r="H130" s="293"/>
      <c r="I130" s="293"/>
      <c r="J130" s="293"/>
      <c r="K130" s="293"/>
      <c r="L130" s="293"/>
      <c r="M130" s="293"/>
      <c r="N130" s="293"/>
      <c r="O130" s="293"/>
      <c r="P130" s="293"/>
      <c r="Q130" s="293"/>
      <c r="R130" s="293"/>
      <c r="S130" s="293"/>
      <c r="T130" s="293"/>
      <c r="U130" s="293"/>
      <c r="V130" s="293"/>
      <c r="W130" s="293"/>
      <c r="X130" s="293"/>
      <c r="Y130" s="293"/>
      <c r="Z130" s="293"/>
      <c r="AA130" s="293"/>
      <c r="AB130" s="293"/>
      <c r="AC130" s="293"/>
      <c r="AD130" s="293"/>
      <c r="AE130" s="293"/>
      <c r="AF130" s="293"/>
      <c r="AG130" s="293"/>
      <c r="AH130" s="293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941"/>
    </row>
    <row r="131" spans="1:46" ht="45" customHeight="1" x14ac:dyDescent="0.65">
      <c r="A131" s="928" t="s">
        <v>324</v>
      </c>
      <c r="B131" s="905" t="s">
        <v>325</v>
      </c>
      <c r="C131" s="283"/>
      <c r="D131" s="302"/>
      <c r="E131" s="283"/>
      <c r="F131" s="288"/>
      <c r="G131" s="283"/>
      <c r="H131" s="288"/>
      <c r="I131" s="283"/>
      <c r="J131" s="288"/>
      <c r="K131" s="283"/>
      <c r="L131" s="288"/>
      <c r="M131" s="283"/>
      <c r="N131" s="288"/>
      <c r="O131" s="283"/>
      <c r="P131" s="288"/>
      <c r="Q131" s="283"/>
      <c r="R131" s="288"/>
      <c r="S131" s="283"/>
      <c r="T131" s="288"/>
      <c r="U131" s="283"/>
      <c r="V131" s="288"/>
      <c r="W131" s="283"/>
      <c r="X131" s="288"/>
      <c r="Y131" s="283"/>
      <c r="Z131" s="288"/>
      <c r="AA131" s="283"/>
      <c r="AB131" s="288"/>
      <c r="AC131" s="283"/>
      <c r="AD131" s="288"/>
      <c r="AE131" s="283"/>
      <c r="AF131" s="288"/>
      <c r="AG131" s="283"/>
      <c r="AH131" s="288"/>
      <c r="AI131" s="283"/>
      <c r="AJ131" s="288"/>
      <c r="AK131" s="283"/>
      <c r="AL131" s="288"/>
      <c r="AM131" s="285"/>
      <c r="AN131" s="288"/>
      <c r="AO131" s="285"/>
      <c r="AP131" s="285"/>
      <c r="AQ131" s="285"/>
      <c r="AR131" s="288"/>
      <c r="AS131" s="286">
        <f t="shared" ref="AS131:AS142" si="8">COUNTIF(C131:AR131,"&gt;=R")</f>
        <v>0</v>
      </c>
      <c r="AT131" s="287">
        <f t="shared" ref="AT131:AT142" si="9">AS131</f>
        <v>0</v>
      </c>
    </row>
    <row r="132" spans="1:46" ht="45" customHeight="1" x14ac:dyDescent="0.65">
      <c r="A132" s="933" t="s">
        <v>326</v>
      </c>
      <c r="B132" s="317" t="s">
        <v>327</v>
      </c>
      <c r="C132" s="283"/>
      <c r="D132" s="302"/>
      <c r="E132" s="283"/>
      <c r="F132" s="288"/>
      <c r="G132" s="283"/>
      <c r="H132" s="288"/>
      <c r="I132" s="283"/>
      <c r="J132" s="288"/>
      <c r="K132" s="283"/>
      <c r="L132" s="288"/>
      <c r="M132" s="283"/>
      <c r="N132" s="288"/>
      <c r="O132" s="283"/>
      <c r="P132" s="288"/>
      <c r="Q132" s="283"/>
      <c r="R132" s="288"/>
      <c r="S132" s="283"/>
      <c r="T132" s="288"/>
      <c r="U132" s="283"/>
      <c r="V132" s="288"/>
      <c r="W132" s="283"/>
      <c r="X132" s="288"/>
      <c r="Y132" s="283"/>
      <c r="Z132" s="288"/>
      <c r="AA132" s="283"/>
      <c r="AB132" s="288"/>
      <c r="AC132" s="283"/>
      <c r="AD132" s="288"/>
      <c r="AE132" s="283"/>
      <c r="AF132" s="288"/>
      <c r="AG132" s="283"/>
      <c r="AH132" s="288"/>
      <c r="AI132" s="283"/>
      <c r="AJ132" s="288"/>
      <c r="AK132" s="283"/>
      <c r="AL132" s="288"/>
      <c r="AM132" s="285"/>
      <c r="AN132" s="288"/>
      <c r="AO132" s="285"/>
      <c r="AP132" s="285"/>
      <c r="AQ132" s="285"/>
      <c r="AR132" s="288"/>
      <c r="AS132" s="286">
        <f t="shared" si="8"/>
        <v>0</v>
      </c>
      <c r="AT132" s="287">
        <f t="shared" si="9"/>
        <v>0</v>
      </c>
    </row>
    <row r="133" spans="1:46" ht="45" customHeight="1" x14ac:dyDescent="0.65">
      <c r="A133" s="928" t="s">
        <v>328</v>
      </c>
      <c r="B133" s="905" t="s">
        <v>329</v>
      </c>
      <c r="C133" s="283"/>
      <c r="D133" s="302"/>
      <c r="E133" s="307"/>
      <c r="F133" s="288"/>
      <c r="G133" s="288"/>
      <c r="H133" s="288"/>
      <c r="I133" s="288"/>
      <c r="J133" s="288"/>
      <c r="K133" s="288"/>
      <c r="L133" s="288"/>
      <c r="M133" s="307"/>
      <c r="N133" s="288"/>
      <c r="O133" s="285"/>
      <c r="P133" s="288"/>
      <c r="Q133" s="285"/>
      <c r="R133" s="288"/>
      <c r="S133" s="285"/>
      <c r="T133" s="288"/>
      <c r="U133" s="285"/>
      <c r="V133" s="288"/>
      <c r="W133" s="285"/>
      <c r="X133" s="288"/>
      <c r="Y133" s="285"/>
      <c r="Z133" s="288"/>
      <c r="AA133" s="285"/>
      <c r="AB133" s="288"/>
      <c r="AC133" s="285"/>
      <c r="AD133" s="288"/>
      <c r="AE133" s="285"/>
      <c r="AF133" s="288"/>
      <c r="AG133" s="285"/>
      <c r="AH133" s="288"/>
      <c r="AI133" s="285"/>
      <c r="AJ133" s="288"/>
      <c r="AK133" s="285"/>
      <c r="AL133" s="288"/>
      <c r="AM133" s="288"/>
      <c r="AN133" s="288"/>
      <c r="AO133" s="288"/>
      <c r="AP133" s="288"/>
      <c r="AQ133" s="288"/>
      <c r="AR133" s="288"/>
      <c r="AS133" s="286">
        <f t="shared" si="8"/>
        <v>0</v>
      </c>
      <c r="AT133" s="287">
        <f t="shared" si="9"/>
        <v>0</v>
      </c>
    </row>
    <row r="134" spans="1:46" ht="45" customHeight="1" x14ac:dyDescent="0.65">
      <c r="A134" s="928" t="s">
        <v>330</v>
      </c>
      <c r="B134" s="905" t="s">
        <v>331</v>
      </c>
      <c r="C134" s="284"/>
      <c r="D134" s="302"/>
      <c r="E134" s="285"/>
      <c r="F134" s="288"/>
      <c r="G134" s="285"/>
      <c r="H134" s="288"/>
      <c r="I134" s="285"/>
      <c r="J134" s="288"/>
      <c r="K134" s="285"/>
      <c r="L134" s="288"/>
      <c r="M134" s="285"/>
      <c r="N134" s="288"/>
      <c r="O134" s="285"/>
      <c r="P134" s="288"/>
      <c r="Q134" s="285"/>
      <c r="R134" s="288"/>
      <c r="S134" s="285"/>
      <c r="T134" s="288"/>
      <c r="U134" s="285"/>
      <c r="V134" s="288"/>
      <c r="W134" s="285"/>
      <c r="X134" s="288"/>
      <c r="Y134" s="285"/>
      <c r="Z134" s="288"/>
      <c r="AA134" s="285"/>
      <c r="AB134" s="288"/>
      <c r="AC134" s="285"/>
      <c r="AD134" s="288"/>
      <c r="AE134" s="285"/>
      <c r="AF134" s="288"/>
      <c r="AG134" s="285"/>
      <c r="AH134" s="288"/>
      <c r="AI134" s="285"/>
      <c r="AJ134" s="288"/>
      <c r="AK134" s="285"/>
      <c r="AL134" s="288"/>
      <c r="AM134" s="288"/>
      <c r="AN134" s="288"/>
      <c r="AO134" s="288"/>
      <c r="AP134" s="288"/>
      <c r="AQ134" s="288"/>
      <c r="AR134" s="288"/>
      <c r="AS134" s="286">
        <f t="shared" si="8"/>
        <v>0</v>
      </c>
      <c r="AT134" s="287">
        <f t="shared" si="9"/>
        <v>0</v>
      </c>
    </row>
    <row r="135" spans="1:46" ht="45" customHeight="1" x14ac:dyDescent="0.65">
      <c r="A135" s="928" t="s">
        <v>332</v>
      </c>
      <c r="B135" s="905" t="s">
        <v>333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8"/>
      <c r="AB135" s="288"/>
      <c r="AC135" s="288"/>
      <c r="AD135" s="288"/>
      <c r="AE135" s="288"/>
      <c r="AF135" s="288"/>
      <c r="AG135" s="288"/>
      <c r="AH135" s="288"/>
      <c r="AI135" s="288"/>
      <c r="AJ135" s="288"/>
      <c r="AK135" s="288"/>
      <c r="AL135" s="288"/>
      <c r="AM135" s="288"/>
      <c r="AN135" s="288"/>
      <c r="AO135" s="288"/>
      <c r="AP135" s="288"/>
      <c r="AQ135" s="288"/>
      <c r="AR135" s="288"/>
      <c r="AS135" s="286">
        <f t="shared" si="8"/>
        <v>0</v>
      </c>
      <c r="AT135" s="287">
        <f t="shared" si="9"/>
        <v>0</v>
      </c>
    </row>
    <row r="136" spans="1:46" ht="45" customHeight="1" x14ac:dyDescent="0.65">
      <c r="A136" s="928" t="s">
        <v>334</v>
      </c>
      <c r="B136" s="905" t="s">
        <v>335</v>
      </c>
      <c r="C136" s="283"/>
      <c r="D136" s="284"/>
      <c r="E136" s="283"/>
      <c r="F136" s="285"/>
      <c r="G136" s="283"/>
      <c r="H136" s="285"/>
      <c r="I136" s="283"/>
      <c r="J136" s="285"/>
      <c r="K136" s="283"/>
      <c r="L136" s="288"/>
      <c r="M136" s="283"/>
      <c r="N136" s="288"/>
      <c r="O136" s="283"/>
      <c r="P136" s="288"/>
      <c r="Q136" s="283"/>
      <c r="R136" s="288"/>
      <c r="S136" s="283"/>
      <c r="T136" s="288"/>
      <c r="U136" s="283"/>
      <c r="V136" s="288"/>
      <c r="W136" s="283"/>
      <c r="X136" s="288"/>
      <c r="Y136" s="283"/>
      <c r="Z136" s="288"/>
      <c r="AA136" s="283"/>
      <c r="AB136" s="288"/>
      <c r="AC136" s="283"/>
      <c r="AD136" s="288"/>
      <c r="AE136" s="283"/>
      <c r="AF136" s="288"/>
      <c r="AG136" s="283"/>
      <c r="AH136" s="288"/>
      <c r="AI136" s="283"/>
      <c r="AJ136" s="288"/>
      <c r="AK136" s="283"/>
      <c r="AL136" s="288"/>
      <c r="AM136" s="285"/>
      <c r="AN136" s="288"/>
      <c r="AO136" s="285"/>
      <c r="AP136" s="285"/>
      <c r="AQ136" s="285"/>
      <c r="AR136" s="288"/>
      <c r="AS136" s="286">
        <f t="shared" si="8"/>
        <v>0</v>
      </c>
      <c r="AT136" s="287">
        <f t="shared" si="9"/>
        <v>0</v>
      </c>
    </row>
    <row r="137" spans="1:46" ht="45" customHeight="1" x14ac:dyDescent="0.65">
      <c r="A137" s="928" t="s">
        <v>336</v>
      </c>
      <c r="B137" s="905" t="s">
        <v>337</v>
      </c>
      <c r="C137" s="283"/>
      <c r="D137" s="302"/>
      <c r="E137" s="283"/>
      <c r="F137" s="288"/>
      <c r="G137" s="283"/>
      <c r="H137" s="288"/>
      <c r="I137" s="283"/>
      <c r="J137" s="288"/>
      <c r="K137" s="283"/>
      <c r="L137" s="288"/>
      <c r="M137" s="283"/>
      <c r="N137" s="288"/>
      <c r="O137" s="283"/>
      <c r="P137" s="288"/>
      <c r="Q137" s="283"/>
      <c r="R137" s="288"/>
      <c r="S137" s="283"/>
      <c r="T137" s="288"/>
      <c r="U137" s="283"/>
      <c r="V137" s="288"/>
      <c r="W137" s="283"/>
      <c r="X137" s="288"/>
      <c r="Y137" s="283"/>
      <c r="Z137" s="288"/>
      <c r="AA137" s="283"/>
      <c r="AB137" s="288"/>
      <c r="AC137" s="283"/>
      <c r="AD137" s="288"/>
      <c r="AE137" s="283"/>
      <c r="AF137" s="288"/>
      <c r="AG137" s="283"/>
      <c r="AH137" s="288"/>
      <c r="AI137" s="283"/>
      <c r="AJ137" s="288"/>
      <c r="AK137" s="283"/>
      <c r="AL137" s="288"/>
      <c r="AM137" s="285"/>
      <c r="AN137" s="288"/>
      <c r="AO137" s="307"/>
      <c r="AP137" s="307"/>
      <c r="AQ137" s="307"/>
      <c r="AR137" s="288"/>
      <c r="AS137" s="286">
        <f t="shared" si="8"/>
        <v>0</v>
      </c>
      <c r="AT137" s="287">
        <f t="shared" si="9"/>
        <v>0</v>
      </c>
    </row>
    <row r="138" spans="1:46" ht="45" customHeight="1" x14ac:dyDescent="0.65">
      <c r="A138" s="928" t="s">
        <v>338</v>
      </c>
      <c r="B138" s="905" t="s">
        <v>339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  <c r="AC138" s="288"/>
      <c r="AD138" s="288"/>
      <c r="AE138" s="288"/>
      <c r="AF138" s="288"/>
      <c r="AG138" s="288"/>
      <c r="AH138" s="288"/>
      <c r="AI138" s="288"/>
      <c r="AJ138" s="288"/>
      <c r="AK138" s="288"/>
      <c r="AL138" s="288"/>
      <c r="AM138" s="283"/>
      <c r="AN138" s="288"/>
      <c r="AO138" s="283"/>
      <c r="AP138" s="283"/>
      <c r="AQ138" s="283"/>
      <c r="AR138" s="288"/>
      <c r="AS138" s="286">
        <f t="shared" si="8"/>
        <v>0</v>
      </c>
      <c r="AT138" s="287">
        <f t="shared" si="9"/>
        <v>0</v>
      </c>
    </row>
    <row r="139" spans="1:46" ht="45" customHeight="1" x14ac:dyDescent="0.65">
      <c r="A139" s="928" t="s">
        <v>340</v>
      </c>
      <c r="B139" s="905" t="s">
        <v>341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8"/>
      <c r="AB139" s="288"/>
      <c r="AC139" s="288"/>
      <c r="AD139" s="288"/>
      <c r="AE139" s="288"/>
      <c r="AF139" s="288"/>
      <c r="AG139" s="288"/>
      <c r="AH139" s="288"/>
      <c r="AI139" s="288"/>
      <c r="AJ139" s="288"/>
      <c r="AK139" s="288"/>
      <c r="AL139" s="288"/>
      <c r="AM139" s="288"/>
      <c r="AN139" s="288"/>
      <c r="AO139" s="288"/>
      <c r="AP139" s="288"/>
      <c r="AQ139" s="288"/>
      <c r="AR139" s="288"/>
      <c r="AS139" s="286">
        <f t="shared" si="8"/>
        <v>0</v>
      </c>
      <c r="AT139" s="287">
        <f t="shared" si="9"/>
        <v>0</v>
      </c>
    </row>
    <row r="140" spans="1:46" ht="45" customHeight="1" x14ac:dyDescent="0.65">
      <c r="A140" s="928" t="s">
        <v>342</v>
      </c>
      <c r="B140" s="905" t="s">
        <v>343</v>
      </c>
      <c r="C140" s="283"/>
      <c r="D140" s="302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8"/>
      <c r="AK140" s="288"/>
      <c r="AL140" s="288"/>
      <c r="AM140" s="288"/>
      <c r="AN140" s="288"/>
      <c r="AO140" s="288"/>
      <c r="AP140" s="288"/>
      <c r="AQ140" s="288"/>
      <c r="AR140" s="288"/>
      <c r="AS140" s="286">
        <f t="shared" si="8"/>
        <v>0</v>
      </c>
      <c r="AT140" s="287">
        <f t="shared" si="9"/>
        <v>0</v>
      </c>
    </row>
    <row r="141" spans="1:46" ht="45" customHeight="1" x14ac:dyDescent="0.65">
      <c r="A141" s="928" t="s">
        <v>344</v>
      </c>
      <c r="B141" s="905" t="s">
        <v>345</v>
      </c>
      <c r="C141" s="283"/>
      <c r="D141" s="302"/>
      <c r="E141" s="288"/>
      <c r="F141" s="288"/>
      <c r="G141" s="288"/>
      <c r="H141" s="288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8"/>
      <c r="T141" s="288"/>
      <c r="U141" s="288"/>
      <c r="V141" s="288"/>
      <c r="W141" s="288"/>
      <c r="X141" s="288"/>
      <c r="Y141" s="288"/>
      <c r="Z141" s="288"/>
      <c r="AA141" s="288"/>
      <c r="AB141" s="288"/>
      <c r="AC141" s="288"/>
      <c r="AD141" s="288"/>
      <c r="AE141" s="288"/>
      <c r="AF141" s="288"/>
      <c r="AG141" s="288"/>
      <c r="AH141" s="288"/>
      <c r="AI141" s="288"/>
      <c r="AJ141" s="288"/>
      <c r="AK141" s="288"/>
      <c r="AL141" s="288"/>
      <c r="AM141" s="288"/>
      <c r="AN141" s="288"/>
      <c r="AO141" s="288"/>
      <c r="AP141" s="288"/>
      <c r="AQ141" s="288"/>
      <c r="AR141" s="288"/>
      <c r="AS141" s="286">
        <f t="shared" si="8"/>
        <v>0</v>
      </c>
      <c r="AT141" s="287">
        <f t="shared" si="9"/>
        <v>0</v>
      </c>
    </row>
    <row r="142" spans="1:46" ht="45" customHeight="1" x14ac:dyDescent="0.65">
      <c r="A142" s="928" t="s">
        <v>346</v>
      </c>
      <c r="B142" s="905" t="s">
        <v>347</v>
      </c>
      <c r="C142" s="283"/>
      <c r="D142" s="302"/>
      <c r="E142" s="288"/>
      <c r="F142" s="288"/>
      <c r="G142" s="288"/>
      <c r="H142" s="288"/>
      <c r="I142" s="288"/>
      <c r="J142" s="288"/>
      <c r="K142" s="288"/>
      <c r="L142" s="288"/>
      <c r="M142" s="288"/>
      <c r="N142" s="288"/>
      <c r="O142" s="288"/>
      <c r="P142" s="288"/>
      <c r="Q142" s="288"/>
      <c r="R142" s="288"/>
      <c r="S142" s="288"/>
      <c r="T142" s="288"/>
      <c r="U142" s="288"/>
      <c r="V142" s="288"/>
      <c r="W142" s="288"/>
      <c r="X142" s="288"/>
      <c r="Y142" s="288"/>
      <c r="Z142" s="288"/>
      <c r="AA142" s="288"/>
      <c r="AB142" s="288"/>
      <c r="AC142" s="288"/>
      <c r="AD142" s="288"/>
      <c r="AE142" s="288"/>
      <c r="AF142" s="288"/>
      <c r="AG142" s="288"/>
      <c r="AH142" s="288"/>
      <c r="AI142" s="288"/>
      <c r="AJ142" s="288"/>
      <c r="AK142" s="288"/>
      <c r="AL142" s="288"/>
      <c r="AM142" s="285"/>
      <c r="AN142" s="288"/>
      <c r="AO142" s="285"/>
      <c r="AP142" s="285"/>
      <c r="AQ142" s="285"/>
      <c r="AR142" s="288"/>
      <c r="AS142" s="286">
        <f t="shared" si="8"/>
        <v>0</v>
      </c>
      <c r="AT142" s="287">
        <f t="shared" si="9"/>
        <v>0</v>
      </c>
    </row>
    <row r="143" spans="1:46" ht="45" customHeight="1" x14ac:dyDescent="0.65">
      <c r="A143" s="924" t="s">
        <v>348</v>
      </c>
      <c r="B143" s="916" t="s">
        <v>349</v>
      </c>
      <c r="C143" s="291"/>
      <c r="D143" s="292"/>
      <c r="E143" s="293"/>
      <c r="F143" s="293"/>
      <c r="G143" s="293"/>
      <c r="H143" s="293"/>
      <c r="I143" s="293"/>
      <c r="J143" s="293"/>
      <c r="K143" s="293"/>
      <c r="L143" s="293"/>
      <c r="M143" s="293"/>
      <c r="N143" s="293"/>
      <c r="O143" s="293"/>
      <c r="P143" s="293"/>
      <c r="Q143" s="293"/>
      <c r="R143" s="293"/>
      <c r="S143" s="293"/>
      <c r="T143" s="293"/>
      <c r="U143" s="293"/>
      <c r="V143" s="293"/>
      <c r="W143" s="293"/>
      <c r="X143" s="293"/>
      <c r="Y143" s="293"/>
      <c r="Z143" s="293"/>
      <c r="AA143" s="293"/>
      <c r="AB143" s="293"/>
      <c r="AC143" s="293"/>
      <c r="AD143" s="293"/>
      <c r="AE143" s="293"/>
      <c r="AF143" s="293"/>
      <c r="AG143" s="293"/>
      <c r="AH143" s="293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941"/>
    </row>
    <row r="144" spans="1:46" ht="45" customHeight="1" x14ac:dyDescent="0.65">
      <c r="A144" s="928" t="s">
        <v>350</v>
      </c>
      <c r="B144" s="902" t="s">
        <v>351</v>
      </c>
      <c r="C144" s="283"/>
      <c r="D144" s="302"/>
      <c r="E144" s="283"/>
      <c r="F144" s="288"/>
      <c r="G144" s="283"/>
      <c r="H144" s="288"/>
      <c r="I144" s="283"/>
      <c r="J144" s="288"/>
      <c r="K144" s="283"/>
      <c r="L144" s="288"/>
      <c r="M144" s="283"/>
      <c r="N144" s="288"/>
      <c r="O144" s="283"/>
      <c r="P144" s="288"/>
      <c r="Q144" s="283"/>
      <c r="R144" s="288"/>
      <c r="S144" s="283"/>
      <c r="T144" s="288"/>
      <c r="U144" s="283"/>
      <c r="V144" s="288"/>
      <c r="W144" s="283"/>
      <c r="X144" s="288"/>
      <c r="Y144" s="283"/>
      <c r="Z144" s="288"/>
      <c r="AA144" s="283"/>
      <c r="AB144" s="288"/>
      <c r="AC144" s="283"/>
      <c r="AD144" s="288"/>
      <c r="AE144" s="283"/>
      <c r="AF144" s="288"/>
      <c r="AG144" s="283"/>
      <c r="AH144" s="288"/>
      <c r="AI144" s="283"/>
      <c r="AJ144" s="288"/>
      <c r="AK144" s="283"/>
      <c r="AL144" s="288"/>
      <c r="AM144" s="283"/>
      <c r="AN144" s="288"/>
      <c r="AO144" s="283"/>
      <c r="AP144" s="283"/>
      <c r="AQ144" s="283"/>
      <c r="AR144" s="288"/>
      <c r="AS144" s="286">
        <f>COUNTIF(C144:AR144,"&gt;=R")</f>
        <v>0</v>
      </c>
      <c r="AT144" s="287">
        <f>AS144</f>
        <v>0</v>
      </c>
    </row>
    <row r="145" spans="1:46" ht="45" customHeight="1" x14ac:dyDescent="0.65">
      <c r="A145" s="928" t="s">
        <v>352</v>
      </c>
      <c r="B145" s="902" t="s">
        <v>353</v>
      </c>
      <c r="C145" s="283" t="s">
        <v>68</v>
      </c>
      <c r="D145" s="302"/>
      <c r="E145" s="288" t="s">
        <v>68</v>
      </c>
      <c r="F145" s="288"/>
      <c r="G145" s="288" t="s">
        <v>68</v>
      </c>
      <c r="H145" s="288"/>
      <c r="I145" s="288" t="s">
        <v>68</v>
      </c>
      <c r="J145" s="288"/>
      <c r="K145" s="288" t="s">
        <v>68</v>
      </c>
      <c r="L145" s="288"/>
      <c r="M145" s="288"/>
      <c r="N145" s="288"/>
      <c r="O145" s="288"/>
      <c r="P145" s="288"/>
      <c r="Q145" s="288"/>
      <c r="R145" s="288"/>
      <c r="S145" s="288"/>
      <c r="T145" s="288"/>
      <c r="U145" s="285" t="s">
        <v>8</v>
      </c>
      <c r="V145" s="288"/>
      <c r="W145" s="285" t="s">
        <v>8</v>
      </c>
      <c r="X145" s="288"/>
      <c r="Y145" s="285" t="s">
        <v>28</v>
      </c>
      <c r="Z145" s="288"/>
      <c r="AA145" s="288" t="s">
        <v>28</v>
      </c>
      <c r="AB145" s="288"/>
      <c r="AC145" s="285" t="s">
        <v>28</v>
      </c>
      <c r="AD145" s="288"/>
      <c r="AE145" s="285" t="s">
        <v>57</v>
      </c>
      <c r="AF145" s="288"/>
      <c r="AG145" s="285" t="s">
        <v>57</v>
      </c>
      <c r="AH145" s="288"/>
      <c r="AI145" s="285"/>
      <c r="AJ145" s="288"/>
      <c r="AK145" s="285" t="s">
        <v>57</v>
      </c>
      <c r="AL145" s="288"/>
      <c r="AM145" s="288" t="s">
        <v>28</v>
      </c>
      <c r="AN145" s="288"/>
      <c r="AO145" s="288" t="s">
        <v>57</v>
      </c>
      <c r="AP145" s="288"/>
      <c r="AQ145" s="288" t="s">
        <v>57</v>
      </c>
      <c r="AR145" s="288"/>
      <c r="AS145" s="286">
        <f>COUNTIF(C145:AR145,"&gt;=R")</f>
        <v>16</v>
      </c>
      <c r="AT145" s="287">
        <f>AS145</f>
        <v>16</v>
      </c>
    </row>
    <row r="146" spans="1:46" ht="45" customHeight="1" x14ac:dyDescent="0.65">
      <c r="A146" s="928" t="s">
        <v>354</v>
      </c>
      <c r="B146" s="902" t="s">
        <v>355</v>
      </c>
      <c r="C146" s="283" t="s">
        <v>68</v>
      </c>
      <c r="D146" s="302"/>
      <c r="E146" s="288" t="s">
        <v>68</v>
      </c>
      <c r="F146" s="288"/>
      <c r="G146" s="288" t="s">
        <v>68</v>
      </c>
      <c r="H146" s="288"/>
      <c r="I146" s="288" t="s">
        <v>68</v>
      </c>
      <c r="J146" s="288"/>
      <c r="K146" s="288" t="s">
        <v>68</v>
      </c>
      <c r="L146" s="288"/>
      <c r="M146" s="288"/>
      <c r="N146" s="288"/>
      <c r="O146" s="288"/>
      <c r="P146" s="288"/>
      <c r="Q146" s="288"/>
      <c r="R146" s="288"/>
      <c r="S146" s="288"/>
      <c r="T146" s="288"/>
      <c r="U146" s="285" t="s">
        <v>8</v>
      </c>
      <c r="V146" s="288"/>
      <c r="W146" s="285" t="s">
        <v>8</v>
      </c>
      <c r="X146" s="288"/>
      <c r="Y146" s="285" t="s">
        <v>28</v>
      </c>
      <c r="Z146" s="288"/>
      <c r="AA146" s="288" t="s">
        <v>28</v>
      </c>
      <c r="AB146" s="288"/>
      <c r="AC146" s="285" t="s">
        <v>28</v>
      </c>
      <c r="AD146" s="288"/>
      <c r="AE146" s="285" t="s">
        <v>57</v>
      </c>
      <c r="AF146" s="288"/>
      <c r="AG146" s="285" t="s">
        <v>57</v>
      </c>
      <c r="AH146" s="288"/>
      <c r="AI146" s="285"/>
      <c r="AJ146" s="288"/>
      <c r="AK146" s="285" t="s">
        <v>57</v>
      </c>
      <c r="AL146" s="288"/>
      <c r="AM146" s="288" t="s">
        <v>28</v>
      </c>
      <c r="AN146" s="288"/>
      <c r="AO146" s="288" t="s">
        <v>57</v>
      </c>
      <c r="AP146" s="288"/>
      <c r="AQ146" s="288" t="s">
        <v>57</v>
      </c>
      <c r="AR146" s="288"/>
      <c r="AS146" s="286">
        <f>COUNTIF(C146:AR146,"&gt;=R")</f>
        <v>16</v>
      </c>
      <c r="AT146" s="287">
        <f>AS146</f>
        <v>16</v>
      </c>
    </row>
    <row r="147" spans="1:46" ht="45" customHeight="1" x14ac:dyDescent="0.65">
      <c r="A147" s="924" t="s">
        <v>356</v>
      </c>
      <c r="B147" s="916" t="s">
        <v>357</v>
      </c>
      <c r="C147" s="291"/>
      <c r="D147" s="292"/>
      <c r="E147" s="293"/>
      <c r="F147" s="293"/>
      <c r="G147" s="293"/>
      <c r="H147" s="293"/>
      <c r="I147" s="293"/>
      <c r="J147" s="293"/>
      <c r="K147" s="293"/>
      <c r="L147" s="293"/>
      <c r="M147" s="293"/>
      <c r="N147" s="293"/>
      <c r="O147" s="293"/>
      <c r="P147" s="293"/>
      <c r="Q147" s="293"/>
      <c r="R147" s="293"/>
      <c r="S147" s="293"/>
      <c r="T147" s="293"/>
      <c r="U147" s="293"/>
      <c r="V147" s="293"/>
      <c r="W147" s="293"/>
      <c r="X147" s="293"/>
      <c r="Y147" s="293"/>
      <c r="Z147" s="293"/>
      <c r="AA147" s="293"/>
      <c r="AB147" s="293"/>
      <c r="AC147" s="293"/>
      <c r="AD147" s="293"/>
      <c r="AE147" s="293"/>
      <c r="AF147" s="293"/>
      <c r="AG147" s="293"/>
      <c r="AH147" s="293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941"/>
    </row>
    <row r="148" spans="1:46" ht="45" customHeight="1" x14ac:dyDescent="0.65">
      <c r="A148" s="928" t="s">
        <v>358</v>
      </c>
      <c r="B148" s="902" t="s">
        <v>359</v>
      </c>
      <c r="C148" s="283"/>
      <c r="D148" s="302"/>
      <c r="E148" s="283"/>
      <c r="F148" s="288"/>
      <c r="G148" s="283"/>
      <c r="H148" s="288"/>
      <c r="I148" s="283"/>
      <c r="J148" s="288"/>
      <c r="K148" s="283"/>
      <c r="L148" s="288"/>
      <c r="M148" s="283"/>
      <c r="N148" s="288"/>
      <c r="O148" s="283"/>
      <c r="P148" s="288"/>
      <c r="Q148" s="283"/>
      <c r="R148" s="288"/>
      <c r="S148" s="283"/>
      <c r="T148" s="288"/>
      <c r="U148" s="283" t="s">
        <v>28</v>
      </c>
      <c r="V148" s="288"/>
      <c r="W148" s="286" t="s">
        <v>28</v>
      </c>
      <c r="X148" s="288"/>
      <c r="Y148" s="286" t="s">
        <v>28</v>
      </c>
      <c r="Z148" s="288"/>
      <c r="AA148" s="286" t="s">
        <v>28</v>
      </c>
      <c r="AB148" s="288"/>
      <c r="AC148" s="286" t="s">
        <v>28</v>
      </c>
      <c r="AD148" s="288"/>
      <c r="AE148" s="286" t="s">
        <v>28</v>
      </c>
      <c r="AF148" s="288"/>
      <c r="AG148" s="286" t="s">
        <v>28</v>
      </c>
      <c r="AH148" s="288"/>
      <c r="AI148" s="286" t="s">
        <v>28</v>
      </c>
      <c r="AJ148" s="288"/>
      <c r="AK148" s="286" t="s">
        <v>28</v>
      </c>
      <c r="AL148" s="288"/>
      <c r="AM148" s="286" t="s">
        <v>28</v>
      </c>
      <c r="AN148" s="288"/>
      <c r="AO148" s="286" t="s">
        <v>28</v>
      </c>
      <c r="AP148" s="286"/>
      <c r="AQ148" s="286" t="s">
        <v>28</v>
      </c>
      <c r="AR148" s="288"/>
      <c r="AS148" s="286">
        <f>COUNTIF(C148:AR148,"&gt;=R")</f>
        <v>12</v>
      </c>
      <c r="AT148" s="287">
        <f>AS148</f>
        <v>12</v>
      </c>
    </row>
    <row r="149" spans="1:46" ht="45" customHeight="1" x14ac:dyDescent="0.65">
      <c r="A149" s="928" t="s">
        <v>360</v>
      </c>
      <c r="B149" s="902" t="s">
        <v>361</v>
      </c>
      <c r="C149" s="284" t="s">
        <v>7</v>
      </c>
      <c r="D149" s="302"/>
      <c r="E149" s="285" t="s">
        <v>7</v>
      </c>
      <c r="F149" s="288"/>
      <c r="G149" s="285" t="s">
        <v>7</v>
      </c>
      <c r="H149" s="288"/>
      <c r="I149" s="285" t="s">
        <v>7</v>
      </c>
      <c r="J149" s="288"/>
      <c r="K149" s="285" t="s">
        <v>7</v>
      </c>
      <c r="L149" s="288"/>
      <c r="M149" s="285" t="s">
        <v>17</v>
      </c>
      <c r="N149" s="288"/>
      <c r="O149" s="285" t="s">
        <v>17</v>
      </c>
      <c r="P149" s="288"/>
      <c r="Q149" s="285" t="s">
        <v>17</v>
      </c>
      <c r="R149" s="288"/>
      <c r="S149" s="285" t="s">
        <v>17</v>
      </c>
      <c r="T149" s="288"/>
      <c r="U149" s="285" t="s">
        <v>56</v>
      </c>
      <c r="V149" s="288"/>
      <c r="W149" s="285" t="s">
        <v>56</v>
      </c>
      <c r="X149" s="288"/>
      <c r="Y149" s="285" t="s">
        <v>56</v>
      </c>
      <c r="Z149" s="288"/>
      <c r="AA149" s="285" t="s">
        <v>56</v>
      </c>
      <c r="AB149" s="288"/>
      <c r="AC149" s="285" t="s">
        <v>56</v>
      </c>
      <c r="AD149" s="288"/>
      <c r="AE149" s="285" t="s">
        <v>56</v>
      </c>
      <c r="AF149" s="288"/>
      <c r="AG149" s="285" t="s">
        <v>56</v>
      </c>
      <c r="AH149" s="288"/>
      <c r="AI149" s="285" t="s">
        <v>76</v>
      </c>
      <c r="AJ149" s="288"/>
      <c r="AK149" s="285" t="s">
        <v>17</v>
      </c>
      <c r="AL149" s="288"/>
      <c r="AM149" s="285" t="s">
        <v>17</v>
      </c>
      <c r="AN149" s="288"/>
      <c r="AO149" s="285" t="s">
        <v>17</v>
      </c>
      <c r="AP149" s="285"/>
      <c r="AQ149" s="285" t="s">
        <v>426</v>
      </c>
      <c r="AR149" s="288"/>
      <c r="AS149" s="286">
        <f>COUNTIF(C149:AR149,"&gt;=R")</f>
        <v>21</v>
      </c>
      <c r="AT149" s="287">
        <f>AS149</f>
        <v>21</v>
      </c>
    </row>
    <row r="150" spans="1:46" ht="45" customHeight="1" x14ac:dyDescent="0.65">
      <c r="A150" s="928" t="s">
        <v>362</v>
      </c>
      <c r="B150" s="902" t="s">
        <v>363</v>
      </c>
      <c r="C150" s="283"/>
      <c r="D150" s="302"/>
      <c r="E150" s="283"/>
      <c r="F150" s="288"/>
      <c r="G150" s="283"/>
      <c r="H150" s="288"/>
      <c r="I150" s="283"/>
      <c r="J150" s="288"/>
      <c r="K150" s="283"/>
      <c r="L150" s="288"/>
      <c r="M150" s="283"/>
      <c r="N150" s="288"/>
      <c r="O150" s="283"/>
      <c r="P150" s="288"/>
      <c r="Q150" s="283"/>
      <c r="R150" s="288"/>
      <c r="S150" s="283"/>
      <c r="T150" s="288"/>
      <c r="U150" s="283"/>
      <c r="V150" s="288"/>
      <c r="W150" s="283"/>
      <c r="X150" s="288"/>
      <c r="Y150" s="283"/>
      <c r="Z150" s="288"/>
      <c r="AA150" s="283"/>
      <c r="AB150" s="288"/>
      <c r="AC150" s="283"/>
      <c r="AD150" s="288"/>
      <c r="AE150" s="283"/>
      <c r="AF150" s="288"/>
      <c r="AG150" s="283"/>
      <c r="AH150" s="288"/>
      <c r="AI150" s="283"/>
      <c r="AJ150" s="288"/>
      <c r="AK150" s="283"/>
      <c r="AL150" s="288"/>
      <c r="AM150" s="283"/>
      <c r="AN150" s="288"/>
      <c r="AO150" s="283"/>
      <c r="AP150" s="283"/>
      <c r="AQ150" s="283"/>
      <c r="AR150" s="288"/>
      <c r="AS150" s="286">
        <f>COUNTIF(C150:AR150,"&gt;=R")</f>
        <v>0</v>
      </c>
      <c r="AT150" s="287">
        <f>AS150</f>
        <v>0</v>
      </c>
    </row>
    <row r="151" spans="1:46" ht="45" customHeight="1" x14ac:dyDescent="0.65">
      <c r="A151" s="924" t="s">
        <v>364</v>
      </c>
      <c r="B151" s="913" t="s">
        <v>365</v>
      </c>
      <c r="C151" s="291"/>
      <c r="D151" s="292"/>
      <c r="E151" s="293"/>
      <c r="F151" s="293"/>
      <c r="G151" s="293"/>
      <c r="H151" s="293"/>
      <c r="I151" s="293"/>
      <c r="J151" s="293"/>
      <c r="K151" s="293"/>
      <c r="L151" s="293"/>
      <c r="M151" s="293"/>
      <c r="N151" s="293"/>
      <c r="O151" s="293"/>
      <c r="P151" s="293"/>
      <c r="Q151" s="293"/>
      <c r="R151" s="293"/>
      <c r="S151" s="293"/>
      <c r="T151" s="293"/>
      <c r="U151" s="293"/>
      <c r="V151" s="293"/>
      <c r="W151" s="293"/>
      <c r="X151" s="293"/>
      <c r="Y151" s="293"/>
      <c r="Z151" s="293"/>
      <c r="AA151" s="293"/>
      <c r="AB151" s="293"/>
      <c r="AC151" s="293"/>
      <c r="AD151" s="293"/>
      <c r="AE151" s="293"/>
      <c r="AF151" s="293"/>
      <c r="AG151" s="293"/>
      <c r="AH151" s="293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941"/>
    </row>
    <row r="152" spans="1:46" ht="45" customHeight="1" x14ac:dyDescent="0.65">
      <c r="A152" s="934" t="s">
        <v>366</v>
      </c>
      <c r="B152" s="496" t="s">
        <v>367</v>
      </c>
      <c r="C152" s="302"/>
      <c r="D152" s="302"/>
      <c r="E152" s="288"/>
      <c r="F152" s="288"/>
      <c r="G152" s="288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8"/>
      <c r="T152" s="288"/>
      <c r="U152" s="288"/>
      <c r="V152" s="288"/>
      <c r="W152" s="288"/>
      <c r="X152" s="288"/>
      <c r="Y152" s="288"/>
      <c r="Z152" s="288"/>
      <c r="AA152" s="288"/>
      <c r="AB152" s="288"/>
      <c r="AC152" s="288"/>
      <c r="AD152" s="288"/>
      <c r="AE152" s="288"/>
      <c r="AF152" s="288"/>
      <c r="AG152" s="288"/>
      <c r="AH152" s="288"/>
      <c r="AI152" s="288"/>
      <c r="AJ152" s="288"/>
      <c r="AK152" s="288"/>
      <c r="AL152" s="288"/>
      <c r="AM152" s="288"/>
      <c r="AN152" s="288"/>
      <c r="AO152" s="288"/>
      <c r="AP152" s="288"/>
      <c r="AQ152" s="288"/>
      <c r="AR152" s="288"/>
      <c r="AS152" s="286">
        <f t="shared" ref="AS152:AS159" si="10">COUNTIF(C152:AR152,"&gt;=R")</f>
        <v>0</v>
      </c>
      <c r="AT152" s="287">
        <f t="shared" ref="AT152:AT159" si="11">AS152</f>
        <v>0</v>
      </c>
    </row>
    <row r="153" spans="1:46" ht="45" customHeight="1" x14ac:dyDescent="0.65">
      <c r="A153" s="935" t="s">
        <v>368</v>
      </c>
      <c r="B153" s="313" t="s">
        <v>369</v>
      </c>
      <c r="C153" s="302"/>
      <c r="D153" s="302"/>
      <c r="E153" s="288"/>
      <c r="F153" s="288"/>
      <c r="G153" s="288"/>
      <c r="H153" s="288"/>
      <c r="I153" s="288"/>
      <c r="J153" s="288"/>
      <c r="K153" s="288"/>
      <c r="L153" s="288"/>
      <c r="M153" s="288"/>
      <c r="N153" s="288"/>
      <c r="O153" s="288"/>
      <c r="P153" s="288"/>
      <c r="Q153" s="288"/>
      <c r="R153" s="288"/>
      <c r="S153" s="288"/>
      <c r="T153" s="288"/>
      <c r="U153" s="288"/>
      <c r="V153" s="288"/>
      <c r="W153" s="288"/>
      <c r="X153" s="288"/>
      <c r="Y153" s="288"/>
      <c r="Z153" s="288"/>
      <c r="AA153" s="288"/>
      <c r="AB153" s="288"/>
      <c r="AC153" s="288"/>
      <c r="AD153" s="288"/>
      <c r="AE153" s="288"/>
      <c r="AF153" s="288"/>
      <c r="AG153" s="288"/>
      <c r="AH153" s="288"/>
      <c r="AI153" s="288"/>
      <c r="AJ153" s="288"/>
      <c r="AK153" s="288"/>
      <c r="AL153" s="288"/>
      <c r="AM153" s="288"/>
      <c r="AN153" s="288"/>
      <c r="AO153" s="288"/>
      <c r="AP153" s="288"/>
      <c r="AQ153" s="288"/>
      <c r="AR153" s="288"/>
      <c r="AS153" s="286">
        <f t="shared" si="10"/>
        <v>0</v>
      </c>
      <c r="AT153" s="287">
        <f t="shared" si="11"/>
        <v>0</v>
      </c>
    </row>
    <row r="154" spans="1:46" ht="45" customHeight="1" x14ac:dyDescent="0.65">
      <c r="A154" s="935" t="s">
        <v>370</v>
      </c>
      <c r="B154" s="313" t="s">
        <v>371</v>
      </c>
      <c r="C154" s="284"/>
      <c r="D154" s="302"/>
      <c r="E154" s="285"/>
      <c r="F154" s="288"/>
      <c r="G154" s="285"/>
      <c r="H154" s="288"/>
      <c r="I154" s="285"/>
      <c r="J154" s="288"/>
      <c r="K154" s="285"/>
      <c r="L154" s="288"/>
      <c r="M154" s="285"/>
      <c r="N154" s="288"/>
      <c r="O154" s="285"/>
      <c r="P154" s="288"/>
      <c r="Q154" s="285"/>
      <c r="R154" s="288"/>
      <c r="S154" s="285"/>
      <c r="T154" s="288"/>
      <c r="U154" s="285"/>
      <c r="V154" s="288"/>
      <c r="W154" s="285"/>
      <c r="X154" s="288"/>
      <c r="Y154" s="285"/>
      <c r="Z154" s="288"/>
      <c r="AA154" s="285"/>
      <c r="AB154" s="288"/>
      <c r="AC154" s="285"/>
      <c r="AD154" s="288"/>
      <c r="AE154" s="285"/>
      <c r="AF154" s="288"/>
      <c r="AG154" s="285"/>
      <c r="AH154" s="288"/>
      <c r="AI154" s="285"/>
      <c r="AJ154" s="288"/>
      <c r="AK154" s="285"/>
      <c r="AL154" s="288"/>
      <c r="AM154" s="288"/>
      <c r="AN154" s="288"/>
      <c r="AO154" s="288"/>
      <c r="AP154" s="288"/>
      <c r="AQ154" s="288"/>
      <c r="AR154" s="288"/>
      <c r="AS154" s="286">
        <f t="shared" si="10"/>
        <v>0</v>
      </c>
      <c r="AT154" s="287">
        <f t="shared" si="11"/>
        <v>0</v>
      </c>
    </row>
    <row r="155" spans="1:46" ht="45" customHeight="1" x14ac:dyDescent="0.65">
      <c r="A155" s="931" t="s">
        <v>372</v>
      </c>
      <c r="B155" s="497" t="s">
        <v>373</v>
      </c>
      <c r="C155" s="284" t="s">
        <v>76</v>
      </c>
      <c r="D155" s="302"/>
      <c r="E155" s="288" t="s">
        <v>76</v>
      </c>
      <c r="F155" s="288"/>
      <c r="G155" s="288" t="s">
        <v>76</v>
      </c>
      <c r="H155" s="288"/>
      <c r="I155" s="285" t="s">
        <v>84</v>
      </c>
      <c r="J155" s="288"/>
      <c r="K155" s="285" t="s">
        <v>84</v>
      </c>
      <c r="L155" s="288"/>
      <c r="M155" s="285" t="s">
        <v>84</v>
      </c>
      <c r="N155" s="288"/>
      <c r="O155" s="285" t="s">
        <v>84</v>
      </c>
      <c r="P155" s="288"/>
      <c r="Q155" s="285" t="s">
        <v>68</v>
      </c>
      <c r="R155" s="288"/>
      <c r="S155" s="285" t="s">
        <v>84</v>
      </c>
      <c r="T155" s="288"/>
      <c r="U155" s="285" t="s">
        <v>84</v>
      </c>
      <c r="V155" s="288"/>
      <c r="W155" s="288" t="s">
        <v>84</v>
      </c>
      <c r="X155" s="288"/>
      <c r="Y155" s="288" t="s">
        <v>84</v>
      </c>
      <c r="Z155" s="288"/>
      <c r="AA155" s="288" t="s">
        <v>84</v>
      </c>
      <c r="AB155" s="288"/>
      <c r="AC155" s="749" t="s">
        <v>8</v>
      </c>
      <c r="AD155" s="288"/>
      <c r="AE155" s="288" t="s">
        <v>57</v>
      </c>
      <c r="AF155" s="288"/>
      <c r="AG155" s="288" t="s">
        <v>57</v>
      </c>
      <c r="AH155" s="288"/>
      <c r="AI155" s="288"/>
      <c r="AJ155" s="288"/>
      <c r="AK155" s="288" t="s">
        <v>57</v>
      </c>
      <c r="AL155" s="288"/>
      <c r="AM155" s="749" t="s">
        <v>8</v>
      </c>
      <c r="AN155" s="288"/>
      <c r="AO155" s="749" t="s">
        <v>8</v>
      </c>
      <c r="AP155" s="288"/>
      <c r="AQ155" s="749" t="s">
        <v>8</v>
      </c>
      <c r="AR155" s="288"/>
      <c r="AS155" s="286">
        <f t="shared" si="10"/>
        <v>20</v>
      </c>
      <c r="AT155" s="287">
        <f t="shared" si="11"/>
        <v>20</v>
      </c>
    </row>
    <row r="156" spans="1:46" ht="45" customHeight="1" x14ac:dyDescent="0.65">
      <c r="A156" s="931" t="s">
        <v>374</v>
      </c>
      <c r="B156" s="497" t="s">
        <v>375</v>
      </c>
      <c r="C156" s="284"/>
      <c r="D156" s="302"/>
      <c r="E156" s="288"/>
      <c r="F156" s="288"/>
      <c r="G156" s="288"/>
      <c r="H156" s="288"/>
      <c r="I156" s="285"/>
      <c r="J156" s="288"/>
      <c r="K156" s="285"/>
      <c r="L156" s="288"/>
      <c r="M156" s="285"/>
      <c r="N156" s="288"/>
      <c r="O156" s="285"/>
      <c r="P156" s="288"/>
      <c r="Q156" s="285"/>
      <c r="R156" s="288"/>
      <c r="S156" s="285"/>
      <c r="T156" s="288"/>
      <c r="U156" s="285"/>
      <c r="V156" s="288"/>
      <c r="W156" s="288"/>
      <c r="X156" s="288"/>
      <c r="Y156" s="288"/>
      <c r="Z156" s="288"/>
      <c r="AA156" s="288"/>
      <c r="AB156" s="288"/>
      <c r="AC156" s="288"/>
      <c r="AD156" s="288"/>
      <c r="AE156" s="288"/>
      <c r="AF156" s="288"/>
      <c r="AG156" s="288"/>
      <c r="AH156" s="288"/>
      <c r="AI156" s="288"/>
      <c r="AJ156" s="288"/>
      <c r="AK156" s="288"/>
      <c r="AL156" s="288"/>
      <c r="AM156" s="288"/>
      <c r="AN156" s="288"/>
      <c r="AO156" s="288"/>
      <c r="AP156" s="288"/>
      <c r="AQ156" s="288"/>
      <c r="AR156" s="288"/>
      <c r="AS156" s="286">
        <f t="shared" si="10"/>
        <v>0</v>
      </c>
      <c r="AT156" s="287">
        <f t="shared" si="11"/>
        <v>0</v>
      </c>
    </row>
    <row r="157" spans="1:46" ht="45" customHeight="1" x14ac:dyDescent="0.65">
      <c r="A157" s="931" t="s">
        <v>376</v>
      </c>
      <c r="B157" s="497" t="s">
        <v>377</v>
      </c>
      <c r="C157" s="284"/>
      <c r="D157" s="302"/>
      <c r="E157" s="285"/>
      <c r="F157" s="288"/>
      <c r="G157" s="285"/>
      <c r="H157" s="288"/>
      <c r="I157" s="285"/>
      <c r="J157" s="288"/>
      <c r="K157" s="285"/>
      <c r="L157" s="288"/>
      <c r="M157" s="285"/>
      <c r="N157" s="288"/>
      <c r="O157" s="285"/>
      <c r="P157" s="288"/>
      <c r="Q157" s="285"/>
      <c r="R157" s="288"/>
      <c r="S157" s="285"/>
      <c r="T157" s="288"/>
      <c r="U157" s="285"/>
      <c r="V157" s="288"/>
      <c r="W157" s="285"/>
      <c r="X157" s="288"/>
      <c r="Y157" s="285"/>
      <c r="Z157" s="288"/>
      <c r="AA157" s="285"/>
      <c r="AB157" s="288"/>
      <c r="AC157" s="285"/>
      <c r="AD157" s="288"/>
      <c r="AE157" s="285"/>
      <c r="AF157" s="288"/>
      <c r="AG157" s="285"/>
      <c r="AH157" s="288"/>
      <c r="AI157" s="285"/>
      <c r="AJ157" s="288"/>
      <c r="AK157" s="285"/>
      <c r="AL157" s="288"/>
      <c r="AM157" s="285"/>
      <c r="AN157" s="288"/>
      <c r="AO157" s="288"/>
      <c r="AP157" s="288"/>
      <c r="AQ157" s="288"/>
      <c r="AR157" s="288"/>
      <c r="AS157" s="286">
        <f t="shared" si="10"/>
        <v>0</v>
      </c>
      <c r="AT157" s="287">
        <f t="shared" si="11"/>
        <v>0</v>
      </c>
    </row>
    <row r="158" spans="1:46" ht="45" customHeight="1" x14ac:dyDescent="0.65">
      <c r="A158" s="931" t="s">
        <v>374</v>
      </c>
      <c r="B158" s="498" t="s">
        <v>375</v>
      </c>
      <c r="C158" s="302"/>
      <c r="D158" s="302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8"/>
      <c r="Z158" s="288"/>
      <c r="AA158" s="288"/>
      <c r="AB158" s="288"/>
      <c r="AC158" s="288"/>
      <c r="AD158" s="288"/>
      <c r="AE158" s="288"/>
      <c r="AF158" s="288"/>
      <c r="AG158" s="288"/>
      <c r="AH158" s="288"/>
      <c r="AI158" s="288"/>
      <c r="AJ158" s="288"/>
      <c r="AK158" s="288"/>
      <c r="AL158" s="288"/>
      <c r="AM158" s="283"/>
      <c r="AN158" s="288"/>
      <c r="AO158" s="288"/>
      <c r="AP158" s="288"/>
      <c r="AQ158" s="288"/>
      <c r="AR158" s="288"/>
      <c r="AS158" s="286">
        <f t="shared" si="10"/>
        <v>0</v>
      </c>
      <c r="AT158" s="287">
        <f t="shared" si="11"/>
        <v>0</v>
      </c>
    </row>
    <row r="159" spans="1:46" ht="45" customHeight="1" x14ac:dyDescent="0.65">
      <c r="A159" s="357" t="s">
        <v>378</v>
      </c>
      <c r="B159" s="903" t="s">
        <v>379</v>
      </c>
      <c r="C159" s="302"/>
      <c r="D159" s="302"/>
      <c r="E159" s="288"/>
      <c r="F159" s="288"/>
      <c r="G159" s="288"/>
      <c r="H159" s="288"/>
      <c r="I159" s="288"/>
      <c r="J159" s="288"/>
      <c r="K159" s="288"/>
      <c r="L159" s="288"/>
      <c r="M159" s="288"/>
      <c r="N159" s="288"/>
      <c r="O159" s="288"/>
      <c r="P159" s="288"/>
      <c r="Q159" s="288"/>
      <c r="R159" s="288"/>
      <c r="S159" s="288"/>
      <c r="T159" s="288"/>
      <c r="U159" s="288"/>
      <c r="V159" s="288"/>
      <c r="W159" s="288"/>
      <c r="X159" s="288"/>
      <c r="Y159" s="288"/>
      <c r="Z159" s="288"/>
      <c r="AA159" s="288"/>
      <c r="AB159" s="288"/>
      <c r="AC159" s="288"/>
      <c r="AD159" s="288"/>
      <c r="AE159" s="288"/>
      <c r="AF159" s="288"/>
      <c r="AG159" s="288"/>
      <c r="AH159" s="288"/>
      <c r="AI159" s="288"/>
      <c r="AJ159" s="288"/>
      <c r="AK159" s="288"/>
      <c r="AL159" s="288"/>
      <c r="AM159" s="283"/>
      <c r="AN159" s="288"/>
      <c r="AO159" s="288"/>
      <c r="AP159" s="288"/>
      <c r="AQ159" s="288"/>
      <c r="AR159" s="288"/>
      <c r="AS159" s="286">
        <f t="shared" si="10"/>
        <v>0</v>
      </c>
      <c r="AT159" s="287">
        <f t="shared" si="11"/>
        <v>0</v>
      </c>
    </row>
    <row r="160" spans="1:46" ht="45" customHeight="1" x14ac:dyDescent="0.65">
      <c r="A160" s="924" t="s">
        <v>380</v>
      </c>
      <c r="B160" s="913" t="s">
        <v>381</v>
      </c>
      <c r="C160" s="291"/>
      <c r="D160" s="292"/>
      <c r="E160" s="293"/>
      <c r="F160" s="293"/>
      <c r="G160" s="293"/>
      <c r="H160" s="293"/>
      <c r="I160" s="293"/>
      <c r="J160" s="293"/>
      <c r="K160" s="293"/>
      <c r="L160" s="293"/>
      <c r="M160" s="293"/>
      <c r="N160" s="293"/>
      <c r="O160" s="293"/>
      <c r="P160" s="293"/>
      <c r="Q160" s="293"/>
      <c r="R160" s="293"/>
      <c r="S160" s="293"/>
      <c r="T160" s="293"/>
      <c r="U160" s="293"/>
      <c r="V160" s="293"/>
      <c r="W160" s="293"/>
      <c r="X160" s="293"/>
      <c r="Y160" s="293"/>
      <c r="Z160" s="293"/>
      <c r="AA160" s="293"/>
      <c r="AB160" s="293"/>
      <c r="AC160" s="293"/>
      <c r="AD160" s="293"/>
      <c r="AE160" s="293"/>
      <c r="AF160" s="293"/>
      <c r="AG160" s="293"/>
      <c r="AH160" s="293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941"/>
    </row>
    <row r="161" spans="1:66" ht="45" customHeight="1" x14ac:dyDescent="0.65">
      <c r="A161" s="928" t="s">
        <v>382</v>
      </c>
      <c r="B161" s="902" t="s">
        <v>383</v>
      </c>
      <c r="C161" s="283"/>
      <c r="D161" s="302"/>
      <c r="E161" s="288"/>
      <c r="F161" s="288"/>
      <c r="G161" s="288"/>
      <c r="H161" s="288"/>
      <c r="I161" s="288"/>
      <c r="J161" s="288"/>
      <c r="K161" s="288"/>
      <c r="L161" s="288"/>
      <c r="M161" s="288"/>
      <c r="N161" s="288"/>
      <c r="O161" s="288"/>
      <c r="P161" s="288"/>
      <c r="Q161" s="288"/>
      <c r="R161" s="288"/>
      <c r="S161" s="288"/>
      <c r="T161" s="288"/>
      <c r="U161" s="288"/>
      <c r="V161" s="288"/>
      <c r="W161" s="288"/>
      <c r="X161" s="288"/>
      <c r="Y161" s="288"/>
      <c r="Z161" s="288"/>
      <c r="AA161" s="288"/>
      <c r="AB161" s="288"/>
      <c r="AC161" s="288"/>
      <c r="AD161" s="288"/>
      <c r="AE161" s="288"/>
      <c r="AF161" s="288"/>
      <c r="AG161" s="288"/>
      <c r="AH161" s="288"/>
      <c r="AI161" s="288"/>
      <c r="AJ161" s="288"/>
      <c r="AK161" s="288"/>
      <c r="AL161" s="288"/>
      <c r="AM161" s="288"/>
      <c r="AN161" s="288"/>
      <c r="AO161" s="288"/>
      <c r="AP161" s="288"/>
      <c r="AQ161" s="288"/>
      <c r="AR161" s="288"/>
      <c r="AS161" s="286">
        <f>COUNTIF(C161:AR161,"&gt;=R")</f>
        <v>0</v>
      </c>
      <c r="AT161" s="287">
        <f>AS161</f>
        <v>0</v>
      </c>
    </row>
    <row r="162" spans="1:66" ht="45" customHeight="1" x14ac:dyDescent="0.65">
      <c r="A162" s="928" t="s">
        <v>384</v>
      </c>
      <c r="B162" s="902" t="s">
        <v>385</v>
      </c>
      <c r="C162" s="283"/>
      <c r="D162" s="302"/>
      <c r="E162" s="283"/>
      <c r="F162" s="288"/>
      <c r="G162" s="283"/>
      <c r="H162" s="288"/>
      <c r="I162" s="283"/>
      <c r="J162" s="288"/>
      <c r="K162" s="283"/>
      <c r="L162" s="288"/>
      <c r="M162" s="283"/>
      <c r="N162" s="288"/>
      <c r="O162" s="283"/>
      <c r="P162" s="288"/>
      <c r="Q162" s="283"/>
      <c r="R162" s="288"/>
      <c r="S162" s="283"/>
      <c r="T162" s="288"/>
      <c r="U162" s="283"/>
      <c r="V162" s="288"/>
      <c r="W162" s="283"/>
      <c r="X162" s="288"/>
      <c r="Y162" s="283"/>
      <c r="Z162" s="288"/>
      <c r="AA162" s="283"/>
      <c r="AB162" s="288"/>
      <c r="AC162" s="283"/>
      <c r="AD162" s="288"/>
      <c r="AE162" s="283"/>
      <c r="AF162" s="288"/>
      <c r="AG162" s="283"/>
      <c r="AH162" s="288"/>
      <c r="AI162" s="283"/>
      <c r="AJ162" s="288"/>
      <c r="AK162" s="283"/>
      <c r="AL162" s="288"/>
      <c r="AM162" s="285"/>
      <c r="AN162" s="288"/>
      <c r="AO162" s="285"/>
      <c r="AP162" s="285"/>
      <c r="AQ162" s="285"/>
      <c r="AR162" s="288"/>
      <c r="AS162" s="286">
        <f>COUNTIF(C162:AR162,"&gt;=R")</f>
        <v>0</v>
      </c>
      <c r="AT162" s="287">
        <f>AS162</f>
        <v>0</v>
      </c>
    </row>
    <row r="163" spans="1:66" ht="45" customHeight="1" x14ac:dyDescent="0.65">
      <c r="A163" s="928" t="s">
        <v>386</v>
      </c>
      <c r="B163" s="902" t="s">
        <v>387</v>
      </c>
      <c r="C163" s="283"/>
      <c r="D163" s="302"/>
      <c r="E163" s="283"/>
      <c r="F163" s="288"/>
      <c r="G163" s="283"/>
      <c r="H163" s="288"/>
      <c r="I163" s="283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3"/>
      <c r="Z163" s="288"/>
      <c r="AA163" s="283"/>
      <c r="AB163" s="288"/>
      <c r="AC163" s="283"/>
      <c r="AD163" s="288"/>
      <c r="AE163" s="283"/>
      <c r="AF163" s="288"/>
      <c r="AG163" s="283"/>
      <c r="AH163" s="288"/>
      <c r="AI163" s="283"/>
      <c r="AJ163" s="288"/>
      <c r="AK163" s="283"/>
      <c r="AL163" s="288"/>
      <c r="AM163" s="283"/>
      <c r="AN163" s="288"/>
      <c r="AO163" s="283"/>
      <c r="AP163" s="283"/>
      <c r="AQ163" s="283"/>
      <c r="AR163" s="288"/>
      <c r="AS163" s="286">
        <f>COUNTIF(C163:AR163,"&gt;=R")</f>
        <v>0</v>
      </c>
      <c r="AT163" s="287">
        <f>AS163</f>
        <v>0</v>
      </c>
    </row>
    <row r="164" spans="1:66" ht="45" customHeight="1" x14ac:dyDescent="0.65">
      <c r="A164" s="928" t="s">
        <v>388</v>
      </c>
      <c r="B164" s="902" t="s">
        <v>389</v>
      </c>
      <c r="C164" s="283"/>
      <c r="D164" s="302"/>
      <c r="E164" s="283"/>
      <c r="F164" s="288"/>
      <c r="G164" s="283"/>
      <c r="H164" s="288"/>
      <c r="I164" s="283"/>
      <c r="J164" s="288"/>
      <c r="K164" s="283"/>
      <c r="L164" s="288"/>
      <c r="M164" s="283"/>
      <c r="N164" s="288"/>
      <c r="O164" s="283"/>
      <c r="P164" s="288"/>
      <c r="Q164" s="283"/>
      <c r="R164" s="288"/>
      <c r="S164" s="283"/>
      <c r="T164" s="288"/>
      <c r="U164" s="283"/>
      <c r="V164" s="288"/>
      <c r="W164" s="283"/>
      <c r="X164" s="288"/>
      <c r="Y164" s="283"/>
      <c r="Z164" s="288"/>
      <c r="AA164" s="283"/>
      <c r="AB164" s="288"/>
      <c r="AC164" s="283"/>
      <c r="AD164" s="288"/>
      <c r="AE164" s="283"/>
      <c r="AF164" s="288"/>
      <c r="AG164" s="283"/>
      <c r="AH164" s="288"/>
      <c r="AI164" s="283"/>
      <c r="AJ164" s="288"/>
      <c r="AK164" s="283"/>
      <c r="AL164" s="288"/>
      <c r="AM164" s="283"/>
      <c r="AN164" s="288"/>
      <c r="AO164" s="283"/>
      <c r="AP164" s="283"/>
      <c r="AQ164" s="283"/>
      <c r="AR164" s="288"/>
      <c r="AS164" s="286">
        <f>COUNTIF(C164:AR164,"&gt;=R")</f>
        <v>0</v>
      </c>
      <c r="AT164" s="287">
        <f>AS164</f>
        <v>0</v>
      </c>
    </row>
    <row r="165" spans="1:66" ht="45" customHeight="1" x14ac:dyDescent="0.65">
      <c r="A165" s="924" t="s">
        <v>390</v>
      </c>
      <c r="B165" s="916" t="s">
        <v>391</v>
      </c>
      <c r="C165" s="291"/>
      <c r="D165" s="292"/>
      <c r="E165" s="293"/>
      <c r="F165" s="293"/>
      <c r="G165" s="293"/>
      <c r="H165" s="293"/>
      <c r="I165" s="293"/>
      <c r="J165" s="293"/>
      <c r="K165" s="293"/>
      <c r="L165" s="293"/>
      <c r="M165" s="293"/>
      <c r="N165" s="293"/>
      <c r="O165" s="293"/>
      <c r="P165" s="293"/>
      <c r="Q165" s="293"/>
      <c r="R165" s="293"/>
      <c r="S165" s="293"/>
      <c r="T165" s="293"/>
      <c r="U165" s="293"/>
      <c r="V165" s="293"/>
      <c r="W165" s="293"/>
      <c r="X165" s="293"/>
      <c r="Y165" s="293"/>
      <c r="Z165" s="293"/>
      <c r="AA165" s="293"/>
      <c r="AB165" s="293"/>
      <c r="AC165" s="293"/>
      <c r="AD165" s="293"/>
      <c r="AE165" s="293"/>
      <c r="AF165" s="293"/>
      <c r="AG165" s="293"/>
      <c r="AH165" s="293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941"/>
    </row>
    <row r="166" spans="1:66" ht="45" customHeight="1" x14ac:dyDescent="0.65">
      <c r="A166" s="935" t="s">
        <v>392</v>
      </c>
      <c r="B166" s="313" t="s">
        <v>393</v>
      </c>
      <c r="C166" s="283"/>
      <c r="D166" s="302"/>
      <c r="E166" s="283"/>
      <c r="F166" s="288"/>
      <c r="G166" s="283"/>
      <c r="H166" s="288"/>
      <c r="I166" s="288"/>
      <c r="J166" s="288"/>
      <c r="K166" s="283"/>
      <c r="L166" s="288"/>
      <c r="M166" s="283"/>
      <c r="N166" s="288"/>
      <c r="O166" s="283"/>
      <c r="P166" s="288"/>
      <c r="Q166" s="283"/>
      <c r="R166" s="288"/>
      <c r="S166" s="283"/>
      <c r="T166" s="288"/>
      <c r="U166" s="283"/>
      <c r="V166" s="288"/>
      <c r="W166" s="283"/>
      <c r="X166" s="288"/>
      <c r="Y166" s="283"/>
      <c r="Z166" s="288"/>
      <c r="AA166" s="283"/>
      <c r="AB166" s="288"/>
      <c r="AC166" s="283"/>
      <c r="AD166" s="288"/>
      <c r="AE166" s="283"/>
      <c r="AF166" s="288"/>
      <c r="AG166" s="283"/>
      <c r="AH166" s="288"/>
      <c r="AI166" s="283"/>
      <c r="AJ166" s="288"/>
      <c r="AK166" s="283"/>
      <c r="AL166" s="288"/>
      <c r="AM166" s="283"/>
      <c r="AN166" s="288"/>
      <c r="AO166" s="283"/>
      <c r="AP166" s="283"/>
      <c r="AQ166" s="283"/>
      <c r="AR166" s="288"/>
      <c r="AS166" s="286">
        <f>COUNTIF(C166:AR166,"&gt;=R")</f>
        <v>0</v>
      </c>
      <c r="AT166" s="287">
        <f>AS166</f>
        <v>0</v>
      </c>
    </row>
    <row r="167" spans="1:66" ht="45" customHeight="1" x14ac:dyDescent="0.65">
      <c r="A167" s="935" t="s">
        <v>394</v>
      </c>
      <c r="B167" s="313" t="s">
        <v>395</v>
      </c>
      <c r="C167" s="283"/>
      <c r="D167" s="302"/>
      <c r="E167" s="283"/>
      <c r="F167" s="288"/>
      <c r="G167" s="283"/>
      <c r="H167" s="288"/>
      <c r="I167" s="288"/>
      <c r="J167" s="288"/>
      <c r="K167" s="283"/>
      <c r="L167" s="288"/>
      <c r="M167" s="283"/>
      <c r="N167" s="288"/>
      <c r="O167" s="283"/>
      <c r="P167" s="288"/>
      <c r="Q167" s="283"/>
      <c r="R167" s="288"/>
      <c r="S167" s="283"/>
      <c r="T167" s="288"/>
      <c r="U167" s="283"/>
      <c r="V167" s="288"/>
      <c r="W167" s="283"/>
      <c r="X167" s="288"/>
      <c r="Y167" s="283"/>
      <c r="Z167" s="288"/>
      <c r="AA167" s="283"/>
      <c r="AB167" s="288"/>
      <c r="AC167" s="283"/>
      <c r="AD167" s="288"/>
      <c r="AE167" s="283"/>
      <c r="AF167" s="288"/>
      <c r="AG167" s="283"/>
      <c r="AH167" s="288"/>
      <c r="AI167" s="283"/>
      <c r="AJ167" s="288"/>
      <c r="AK167" s="283"/>
      <c r="AL167" s="288"/>
      <c r="AM167" s="283"/>
      <c r="AN167" s="288"/>
      <c r="AO167" s="283"/>
      <c r="AP167" s="283"/>
      <c r="AQ167" s="283"/>
      <c r="AR167" s="288"/>
      <c r="AS167" s="286">
        <f>COUNTIF(C167:AR167,"&gt;=R")</f>
        <v>0</v>
      </c>
      <c r="AT167" s="287">
        <f>AS167</f>
        <v>0</v>
      </c>
      <c r="AU167" s="3"/>
      <c r="AV167" s="115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</row>
    <row r="168" spans="1:66" ht="45" customHeight="1" thickBot="1" x14ac:dyDescent="0.7">
      <c r="A168" s="936" t="s">
        <v>396</v>
      </c>
      <c r="B168" s="499" t="s">
        <v>397</v>
      </c>
      <c r="C168" s="327"/>
      <c r="D168" s="328"/>
      <c r="E168" s="327"/>
      <c r="F168" s="329"/>
      <c r="G168" s="327"/>
      <c r="H168" s="329"/>
      <c r="I168" s="329"/>
      <c r="J168" s="329"/>
      <c r="K168" s="327"/>
      <c r="L168" s="329"/>
      <c r="M168" s="327"/>
      <c r="N168" s="329"/>
      <c r="O168" s="327"/>
      <c r="P168" s="329"/>
      <c r="Q168" s="327"/>
      <c r="R168" s="329"/>
      <c r="S168" s="327"/>
      <c r="T168" s="329"/>
      <c r="U168" s="327"/>
      <c r="V168" s="329"/>
      <c r="W168" s="327"/>
      <c r="X168" s="329"/>
      <c r="Y168" s="327"/>
      <c r="Z168" s="329"/>
      <c r="AA168" s="327"/>
      <c r="AB168" s="329"/>
      <c r="AC168" s="327"/>
      <c r="AD168" s="329"/>
      <c r="AE168" s="327"/>
      <c r="AF168" s="329"/>
      <c r="AG168" s="327"/>
      <c r="AH168" s="329"/>
      <c r="AI168" s="327"/>
      <c r="AJ168" s="329"/>
      <c r="AK168" s="327"/>
      <c r="AL168" s="329"/>
      <c r="AM168" s="327"/>
      <c r="AN168" s="329"/>
      <c r="AO168" s="327"/>
      <c r="AP168" s="327"/>
      <c r="AQ168" s="327"/>
      <c r="AR168" s="329"/>
      <c r="AS168" s="286">
        <f>COUNTIF(C168:AR168,"&gt;=R")</f>
        <v>0</v>
      </c>
      <c r="AT168" s="287">
        <f>AS168</f>
        <v>0</v>
      </c>
      <c r="AU168" s="3"/>
      <c r="AV168" s="115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ht="34.200000000000003" customHeight="1" x14ac:dyDescent="0.55000000000000004">
      <c r="A169" s="590"/>
      <c r="B169" s="591"/>
      <c r="C169" s="592"/>
      <c r="D169" s="592"/>
      <c r="E169" s="592"/>
      <c r="F169" s="592"/>
      <c r="G169" s="592"/>
      <c r="H169" s="592"/>
      <c r="I169" s="592"/>
      <c r="J169" s="592"/>
      <c r="K169" s="592"/>
      <c r="L169" s="592"/>
      <c r="M169" s="592"/>
      <c r="N169" s="592"/>
      <c r="O169" s="592"/>
      <c r="P169" s="592"/>
      <c r="Q169" s="592"/>
      <c r="R169" s="592"/>
      <c r="S169" s="592"/>
      <c r="T169" s="592"/>
      <c r="U169" s="592"/>
      <c r="V169" s="592"/>
      <c r="W169" s="592"/>
      <c r="X169" s="592"/>
      <c r="Y169" s="592"/>
      <c r="Z169" s="592"/>
      <c r="AA169" s="592"/>
      <c r="AB169" s="592"/>
      <c r="AC169" s="592"/>
      <c r="AD169" s="592"/>
      <c r="AE169" s="592"/>
      <c r="AF169" s="592"/>
      <c r="AG169" s="592"/>
      <c r="AH169" s="592"/>
      <c r="AI169" s="592"/>
      <c r="AJ169" s="592"/>
      <c r="AK169" s="592"/>
      <c r="AL169" s="592"/>
      <c r="AM169" s="592"/>
      <c r="AN169" s="592"/>
      <c r="AO169" s="592"/>
      <c r="AP169" s="592"/>
      <c r="AQ169" s="592"/>
      <c r="AR169" s="592"/>
      <c r="AS169" s="592"/>
      <c r="AT169" s="592"/>
      <c r="AU169" s="3"/>
      <c r="AV169" s="115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ht="34.200000000000003" customHeight="1" x14ac:dyDescent="0.55000000000000004">
      <c r="A170" s="590"/>
      <c r="B170" s="591"/>
      <c r="C170" s="592"/>
      <c r="D170" s="592"/>
      <c r="E170" s="592"/>
      <c r="F170" s="592"/>
      <c r="G170" s="592"/>
      <c r="H170" s="592"/>
      <c r="I170" s="592"/>
      <c r="J170" s="592"/>
      <c r="K170" s="592"/>
      <c r="L170" s="592"/>
      <c r="M170" s="592"/>
      <c r="N170" s="592"/>
      <c r="O170" s="592"/>
      <c r="P170" s="592"/>
      <c r="Q170" s="592"/>
      <c r="R170" s="592"/>
      <c r="S170" s="592"/>
      <c r="T170" s="592"/>
      <c r="U170" s="592"/>
      <c r="V170" s="592"/>
      <c r="W170" s="592"/>
      <c r="X170" s="592"/>
      <c r="Y170" s="592"/>
      <c r="Z170" s="592"/>
      <c r="AA170" s="592"/>
      <c r="AB170" s="592"/>
      <c r="AC170" s="592"/>
      <c r="AD170" s="592"/>
      <c r="AE170" s="592"/>
      <c r="AF170" s="592"/>
      <c r="AG170" s="592"/>
      <c r="AH170" s="592"/>
      <c r="AI170" s="592"/>
      <c r="AJ170" s="592"/>
      <c r="AK170" s="592"/>
      <c r="AL170" s="592"/>
      <c r="AM170" s="592"/>
      <c r="AN170" s="592"/>
      <c r="AO170" s="592"/>
      <c r="AP170" s="592"/>
      <c r="AQ170" s="592"/>
      <c r="AR170" s="592"/>
      <c r="AS170" s="592"/>
      <c r="AT170" s="592"/>
      <c r="AU170" s="3"/>
      <c r="AV170" s="115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ht="34.200000000000003" customHeight="1" x14ac:dyDescent="0.55000000000000004">
      <c r="A171" s="590"/>
      <c r="B171" s="591"/>
      <c r="C171" s="592"/>
      <c r="D171" s="592"/>
      <c r="E171" s="592"/>
      <c r="F171" s="592"/>
      <c r="G171" s="592"/>
      <c r="H171" s="592"/>
      <c r="I171" s="592"/>
      <c r="J171" s="592"/>
      <c r="K171" s="592"/>
      <c r="L171" s="592"/>
      <c r="M171" s="592"/>
      <c r="N171" s="592"/>
      <c r="O171" s="592"/>
      <c r="P171" s="592"/>
      <c r="Q171" s="592"/>
      <c r="R171" s="592"/>
      <c r="S171" s="592"/>
      <c r="T171" s="592"/>
      <c r="U171" s="592"/>
      <c r="V171" s="592"/>
      <c r="W171" s="592"/>
      <c r="X171" s="592"/>
      <c r="Y171" s="592"/>
      <c r="Z171" s="592"/>
      <c r="AA171" s="592"/>
      <c r="AB171" s="592"/>
      <c r="AC171" s="592"/>
      <c r="AD171" s="592"/>
      <c r="AE171" s="592"/>
      <c r="AF171" s="592"/>
      <c r="AG171" s="592"/>
      <c r="AH171" s="592"/>
      <c r="AI171" s="592"/>
      <c r="AJ171" s="592"/>
      <c r="AK171" s="592"/>
      <c r="AL171" s="592"/>
      <c r="AM171" s="592"/>
      <c r="AN171" s="592"/>
      <c r="AO171" s="592"/>
      <c r="AP171" s="592"/>
      <c r="AQ171" s="592"/>
      <c r="AR171" s="592"/>
      <c r="AS171" s="592"/>
      <c r="AT171" s="592"/>
      <c r="AU171" s="3"/>
      <c r="AV171" s="115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ht="34.200000000000003" customHeight="1" x14ac:dyDescent="0.55000000000000004">
      <c r="A172" s="590"/>
      <c r="B172" s="591"/>
      <c r="C172" s="592"/>
      <c r="D172" s="592"/>
      <c r="E172" s="592"/>
      <c r="F172" s="592"/>
      <c r="G172" s="592"/>
      <c r="H172" s="592"/>
      <c r="I172" s="592"/>
      <c r="J172" s="592"/>
      <c r="K172" s="592"/>
      <c r="L172" s="592"/>
      <c r="M172" s="592"/>
      <c r="N172" s="592"/>
      <c r="O172" s="592"/>
      <c r="P172" s="592"/>
      <c r="Q172" s="592"/>
      <c r="R172" s="592"/>
      <c r="S172" s="592"/>
      <c r="T172" s="592"/>
      <c r="U172" s="592"/>
      <c r="V172" s="592"/>
      <c r="W172" s="592"/>
      <c r="X172" s="592"/>
      <c r="Y172" s="592"/>
      <c r="Z172" s="592"/>
      <c r="AA172" s="592"/>
      <c r="AB172" s="592"/>
      <c r="AC172" s="592"/>
      <c r="AD172" s="592"/>
      <c r="AE172" s="592"/>
      <c r="AF172" s="592"/>
      <c r="AG172" s="592"/>
      <c r="AH172" s="592"/>
      <c r="AI172" s="592"/>
      <c r="AJ172" s="592"/>
      <c r="AK172" s="592"/>
      <c r="AL172" s="592"/>
      <c r="AM172" s="592"/>
      <c r="AN172" s="592"/>
      <c r="AO172" s="592"/>
      <c r="AP172" s="592"/>
      <c r="AQ172" s="592"/>
      <c r="AR172" s="592"/>
      <c r="AS172" s="592"/>
      <c r="AT172" s="592"/>
      <c r="AU172" s="3"/>
      <c r="AV172" s="115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ht="34.200000000000003" customHeight="1" x14ac:dyDescent="0.55000000000000004">
      <c r="A173" s="590"/>
      <c r="B173" s="591"/>
      <c r="C173" s="592"/>
      <c r="D173" s="592"/>
      <c r="E173" s="592"/>
      <c r="F173" s="592"/>
      <c r="G173" s="592"/>
      <c r="H173" s="592"/>
      <c r="I173" s="592"/>
      <c r="J173" s="592"/>
      <c r="K173" s="592"/>
      <c r="L173" s="592"/>
      <c r="M173" s="592"/>
      <c r="N173" s="592"/>
      <c r="O173" s="592"/>
      <c r="P173" s="592"/>
      <c r="Q173" s="592"/>
      <c r="R173" s="592"/>
      <c r="S173" s="592"/>
      <c r="T173" s="592"/>
      <c r="U173" s="592"/>
      <c r="V173" s="592"/>
      <c r="W173" s="592"/>
      <c r="X173" s="592"/>
      <c r="Y173" s="592"/>
      <c r="Z173" s="592"/>
      <c r="AA173" s="592"/>
      <c r="AB173" s="592"/>
      <c r="AC173" s="592"/>
      <c r="AD173" s="592"/>
      <c r="AE173" s="592"/>
      <c r="AF173" s="592"/>
      <c r="AG173" s="592"/>
      <c r="AH173" s="592"/>
      <c r="AI173" s="592"/>
      <c r="AJ173" s="592"/>
      <c r="AK173" s="592"/>
      <c r="AL173" s="592"/>
      <c r="AM173" s="592"/>
      <c r="AN173" s="592"/>
      <c r="AO173" s="592"/>
      <c r="AP173" s="592"/>
      <c r="AQ173" s="592"/>
      <c r="AR173" s="592"/>
      <c r="AS173" s="592"/>
      <c r="AT173" s="592"/>
      <c r="AU173" s="3"/>
      <c r="AV173" s="115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ht="34.200000000000003" customHeight="1" x14ac:dyDescent="0.55000000000000004">
      <c r="A174" s="590"/>
      <c r="B174" s="591"/>
      <c r="C174" s="592"/>
      <c r="D174" s="592"/>
      <c r="E174" s="592"/>
      <c r="F174" s="592"/>
      <c r="G174" s="592"/>
      <c r="H174" s="592"/>
      <c r="I174" s="592"/>
      <c r="J174" s="592"/>
      <c r="K174" s="592"/>
      <c r="L174" s="592"/>
      <c r="M174" s="592"/>
      <c r="N174" s="592"/>
      <c r="O174" s="592"/>
      <c r="P174" s="592"/>
      <c r="Q174" s="592"/>
      <c r="R174" s="592"/>
      <c r="S174" s="592"/>
      <c r="T174" s="592"/>
      <c r="U174" s="592"/>
      <c r="V174" s="592"/>
      <c r="W174" s="592"/>
      <c r="X174" s="592"/>
      <c r="Y174" s="592"/>
      <c r="Z174" s="592"/>
      <c r="AA174" s="592"/>
      <c r="AB174" s="592"/>
      <c r="AC174" s="592"/>
      <c r="AD174" s="592"/>
      <c r="AE174" s="592"/>
      <c r="AF174" s="592"/>
      <c r="AG174" s="592"/>
      <c r="AH174" s="592"/>
      <c r="AI174" s="592"/>
      <c r="AJ174" s="592"/>
      <c r="AK174" s="592"/>
      <c r="AL174" s="592"/>
      <c r="AM174" s="592"/>
      <c r="AN174" s="592"/>
      <c r="AO174" s="592"/>
      <c r="AP174" s="592"/>
      <c r="AQ174" s="592"/>
      <c r="AR174" s="592"/>
      <c r="AS174" s="592"/>
      <c r="AT174" s="592"/>
      <c r="AU174" s="3"/>
      <c r="AV174" s="115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ht="34.200000000000003" customHeight="1" x14ac:dyDescent="0.55000000000000004">
      <c r="A175" s="593"/>
      <c r="B175" s="592"/>
      <c r="C175" s="592"/>
      <c r="D175" s="592"/>
      <c r="E175" s="592"/>
      <c r="F175" s="592"/>
      <c r="G175" s="592"/>
      <c r="H175" s="592"/>
      <c r="I175" s="592"/>
      <c r="J175" s="592"/>
      <c r="K175" s="592"/>
      <c r="L175" s="592"/>
      <c r="M175" s="592"/>
      <c r="N175" s="592"/>
      <c r="O175" s="592"/>
      <c r="P175" s="592"/>
      <c r="Q175" s="592"/>
      <c r="R175" s="592"/>
      <c r="S175" s="592"/>
      <c r="T175" s="592"/>
      <c r="U175" s="592"/>
      <c r="V175" s="592"/>
      <c r="W175" s="592"/>
      <c r="X175" s="592"/>
      <c r="Y175" s="592"/>
      <c r="Z175" s="592"/>
      <c r="AA175" s="592"/>
      <c r="AB175" s="592"/>
      <c r="AC175" s="592"/>
      <c r="AD175" s="592"/>
      <c r="AE175" s="592"/>
      <c r="AF175" s="592"/>
      <c r="AG175" s="592"/>
      <c r="AH175" s="592"/>
      <c r="AI175" s="592"/>
      <c r="AJ175" s="592"/>
      <c r="AK175" s="592"/>
      <c r="AL175" s="592"/>
      <c r="AM175" s="592"/>
      <c r="AN175" s="592"/>
      <c r="AO175" s="592"/>
      <c r="AP175" s="592"/>
      <c r="AQ175" s="592"/>
      <c r="AR175" s="592"/>
      <c r="AS175" s="592"/>
      <c r="AT175" s="592"/>
      <c r="AU175" s="3"/>
      <c r="AV175" s="115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ht="34.200000000000003" customHeight="1" x14ac:dyDescent="0.55000000000000004">
      <c r="A176" s="594"/>
      <c r="B176" s="595"/>
      <c r="C176" s="561"/>
      <c r="D176" s="561"/>
      <c r="E176" s="561"/>
      <c r="F176" s="595"/>
      <c r="G176" s="595"/>
      <c r="H176" s="595"/>
      <c r="I176" s="596"/>
      <c r="J176" s="596"/>
      <c r="K176" s="596"/>
      <c r="L176" s="596"/>
      <c r="M176" s="596"/>
      <c r="N176" s="596"/>
      <c r="O176" s="592"/>
      <c r="P176" s="561"/>
      <c r="Q176" s="561"/>
      <c r="R176" s="561"/>
      <c r="S176" s="561"/>
      <c r="T176" s="561"/>
      <c r="U176" s="561"/>
      <c r="V176" s="595"/>
      <c r="W176" s="595"/>
      <c r="X176" s="595"/>
      <c r="Y176" s="595"/>
      <c r="Z176" s="596"/>
      <c r="AA176" s="596"/>
      <c r="AB176" s="596"/>
      <c r="AC176" s="595"/>
      <c r="AD176" s="561"/>
      <c r="AE176" s="597"/>
      <c r="AF176" s="597"/>
      <c r="AG176" s="597"/>
      <c r="AH176" s="597"/>
      <c r="AI176" s="596"/>
      <c r="AJ176" s="596"/>
      <c r="AK176" s="596"/>
      <c r="AL176" s="596"/>
      <c r="AM176" s="596"/>
      <c r="AN176" s="596"/>
      <c r="AO176" s="501"/>
      <c r="AP176" s="501"/>
      <c r="AQ176" s="501"/>
      <c r="AR176" s="501"/>
      <c r="AS176" s="501"/>
      <c r="AT176" s="501"/>
      <c r="AU176" s="3"/>
      <c r="AV176" s="115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ht="34.200000000000003" customHeight="1" x14ac:dyDescent="0.55000000000000004">
      <c r="A177" s="590"/>
      <c r="B177" s="561" t="s">
        <v>398</v>
      </c>
      <c r="C177" s="561"/>
      <c r="D177" s="561"/>
      <c r="E177" s="561"/>
      <c r="F177" s="1153" t="s">
        <v>44</v>
      </c>
      <c r="G177" s="1009"/>
      <c r="H177" s="1009"/>
      <c r="I177" s="1009"/>
      <c r="J177" s="1009"/>
      <c r="K177" s="1009"/>
      <c r="L177" s="1009"/>
      <c r="M177" s="1009"/>
      <c r="N177" s="1009"/>
      <c r="O177" s="592"/>
      <c r="P177" s="597"/>
      <c r="Q177" s="597"/>
      <c r="R177" s="597"/>
      <c r="S177" s="597"/>
      <c r="T177" s="592"/>
      <c r="U177" s="592"/>
      <c r="V177" s="501"/>
      <c r="W177" s="1225" t="s">
        <v>399</v>
      </c>
      <c r="X177" s="978"/>
      <c r="Y177" s="978"/>
      <c r="Z177" s="978"/>
      <c r="AA177" s="978"/>
      <c r="AB177" s="978"/>
      <c r="AC177" s="561"/>
      <c r="AD177" s="592"/>
      <c r="AE177" s="592"/>
      <c r="AF177" s="592"/>
      <c r="AG177" s="592"/>
      <c r="AH177" s="592"/>
      <c r="AI177" s="1227" t="s">
        <v>73</v>
      </c>
      <c r="AJ177" s="1009"/>
      <c r="AK177" s="1009"/>
      <c r="AL177" s="1009"/>
      <c r="AM177" s="1009"/>
      <c r="AN177" s="1009"/>
      <c r="AO177" s="612"/>
      <c r="AP177" s="612"/>
      <c r="AQ177" s="612"/>
      <c r="AR177" s="612"/>
      <c r="AS177" s="612"/>
      <c r="AT177" s="612"/>
      <c r="AU177" s="612"/>
      <c r="AV177" s="612"/>
      <c r="AW177" s="612"/>
      <c r="AX177" s="612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982"/>
      <c r="BJ177" s="978"/>
      <c r="BK177" s="978"/>
      <c r="BL177" s="978"/>
      <c r="BM177" s="978"/>
      <c r="BN177" s="1"/>
    </row>
    <row r="178" spans="1:66" ht="34.200000000000003" customHeight="1" x14ac:dyDescent="0.55000000000000004">
      <c r="A178" s="590"/>
      <c r="B178" s="598" t="s">
        <v>35</v>
      </c>
      <c r="C178" s="598"/>
      <c r="D178" s="598"/>
      <c r="E178" s="598"/>
      <c r="F178" s="1155" t="s">
        <v>54</v>
      </c>
      <c r="G178" s="978"/>
      <c r="H178" s="978"/>
      <c r="I178" s="978"/>
      <c r="J178" s="978"/>
      <c r="K178" s="978"/>
      <c r="L178" s="978"/>
      <c r="M178" s="978"/>
      <c r="N178" s="978"/>
      <c r="O178" s="599"/>
      <c r="P178" s="599"/>
      <c r="Q178" s="599"/>
      <c r="R178" s="599"/>
      <c r="S178" s="599"/>
      <c r="T178" s="592"/>
      <c r="U178" s="592"/>
      <c r="V178" s="1170" t="s">
        <v>400</v>
      </c>
      <c r="W178" s="978"/>
      <c r="X178" s="978"/>
      <c r="Y178" s="978"/>
      <c r="Z178" s="978"/>
      <c r="AA178" s="978"/>
      <c r="AB178" s="978"/>
      <c r="AC178" s="978"/>
      <c r="AD178" s="592"/>
      <c r="AE178" s="592"/>
      <c r="AF178" s="592"/>
      <c r="AG178" s="592"/>
      <c r="AH178" s="592"/>
      <c r="AI178" s="1170" t="s">
        <v>74</v>
      </c>
      <c r="AJ178" s="978"/>
      <c r="AK178" s="978"/>
      <c r="AL178" s="978"/>
      <c r="AM178" s="978"/>
      <c r="AN178" s="978"/>
      <c r="AO178" s="613"/>
      <c r="AP178" s="613"/>
      <c r="AQ178" s="613"/>
      <c r="AR178" s="613"/>
      <c r="AS178" s="613"/>
      <c r="AT178" s="613"/>
      <c r="AU178" s="43"/>
      <c r="AV178" s="116"/>
      <c r="AW178" s="9"/>
      <c r="AX178" s="9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016"/>
      <c r="BJ178" s="978"/>
      <c r="BK178" s="978"/>
      <c r="BL178" s="978"/>
      <c r="BM178" s="978"/>
      <c r="BN178" s="1"/>
    </row>
    <row r="179" spans="1:66" ht="34.200000000000003" customHeight="1" x14ac:dyDescent="0.55000000000000004">
      <c r="A179" s="501"/>
      <c r="B179" s="599"/>
      <c r="C179" s="599"/>
      <c r="D179" s="599"/>
      <c r="E179" s="599"/>
      <c r="F179" s="599"/>
      <c r="G179" s="600"/>
      <c r="H179" s="600"/>
      <c r="I179" s="592"/>
      <c r="J179" s="592"/>
      <c r="K179" s="599"/>
      <c r="L179" s="599"/>
      <c r="M179" s="599"/>
      <c r="N179" s="599"/>
      <c r="O179" s="599"/>
      <c r="P179" s="599"/>
      <c r="Q179" s="599"/>
      <c r="R179" s="599"/>
      <c r="S179" s="599"/>
      <c r="T179" s="599"/>
      <c r="U179" s="599"/>
      <c r="V179" s="1170"/>
      <c r="W179" s="978"/>
      <c r="X179" s="978"/>
      <c r="Y179" s="978"/>
      <c r="Z179" s="978"/>
      <c r="AA179" s="978"/>
      <c r="AB179" s="592"/>
      <c r="AC179" s="600"/>
      <c r="AD179" s="592"/>
      <c r="AE179" s="592"/>
      <c r="AF179" s="592"/>
      <c r="AG179" s="592"/>
      <c r="AH179" s="592"/>
      <c r="AI179" s="599"/>
      <c r="AJ179" s="599"/>
      <c r="AK179" s="599"/>
      <c r="AL179" s="599"/>
      <c r="AM179" s="599"/>
      <c r="AN179" s="599"/>
      <c r="AO179" s="599"/>
      <c r="AP179" s="599"/>
      <c r="AQ179" s="599"/>
      <c r="AR179" s="599"/>
      <c r="AS179" s="599"/>
      <c r="AT179" s="599"/>
      <c r="AU179" s="43"/>
      <c r="AV179" s="116"/>
      <c r="AW179" s="9"/>
      <c r="AX179" s="9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</row>
  </sheetData>
  <mergeCells count="87">
    <mergeCell ref="BI178:BM178"/>
    <mergeCell ref="C3:AO5"/>
    <mergeCell ref="AI178:AN178"/>
    <mergeCell ref="AA14:AB14"/>
    <mergeCell ref="AO20:AP20"/>
    <mergeCell ref="K13:M13"/>
    <mergeCell ref="W13:Y13"/>
    <mergeCell ref="K15:M15"/>
    <mergeCell ref="S12:U12"/>
    <mergeCell ref="W15:Y15"/>
    <mergeCell ref="AD19:AI19"/>
    <mergeCell ref="O16:Q16"/>
    <mergeCell ref="K20:L20"/>
    <mergeCell ref="M20:N20"/>
    <mergeCell ref="W17:Y17"/>
    <mergeCell ref="AI20:AJ20"/>
    <mergeCell ref="AA20:AB20"/>
    <mergeCell ref="AK20:AL20"/>
    <mergeCell ref="AC20:AD20"/>
    <mergeCell ref="AA12:AB12"/>
    <mergeCell ref="A3:A5"/>
    <mergeCell ref="A18:A20"/>
    <mergeCell ref="AA17:AB17"/>
    <mergeCell ref="AE20:AF20"/>
    <mergeCell ref="AA10:AB10"/>
    <mergeCell ref="AA9:AB9"/>
    <mergeCell ref="C20:D20"/>
    <mergeCell ref="E20:F20"/>
    <mergeCell ref="W20:X20"/>
    <mergeCell ref="O20:P20"/>
    <mergeCell ref="Y20:Z20"/>
    <mergeCell ref="Q20:R20"/>
    <mergeCell ref="G9:I14"/>
    <mergeCell ref="O17:Q17"/>
    <mergeCell ref="W14:Y14"/>
    <mergeCell ref="B6:B8"/>
    <mergeCell ref="V179:AA179"/>
    <mergeCell ref="O13:Q13"/>
    <mergeCell ref="V178:AC178"/>
    <mergeCell ref="S16:U16"/>
    <mergeCell ref="F178:N178"/>
    <mergeCell ref="O15:Q15"/>
    <mergeCell ref="F177:N177"/>
    <mergeCell ref="W9:Y9"/>
    <mergeCell ref="B3:B5"/>
    <mergeCell ref="AJ19:AK19"/>
    <mergeCell ref="C9:F14"/>
    <mergeCell ref="O14:Q14"/>
    <mergeCell ref="W10:Y10"/>
    <mergeCell ref="C6:AB8"/>
    <mergeCell ref="S10:U10"/>
    <mergeCell ref="S9:U9"/>
    <mergeCell ref="W11:Y11"/>
    <mergeCell ref="O11:Q11"/>
    <mergeCell ref="B18:B20"/>
    <mergeCell ref="A6:A8"/>
    <mergeCell ref="O10:Q10"/>
    <mergeCell ref="G20:H20"/>
    <mergeCell ref="I20:J20"/>
    <mergeCell ref="K9:M9"/>
    <mergeCell ref="O9:Q9"/>
    <mergeCell ref="K11:M11"/>
    <mergeCell ref="K12:M12"/>
    <mergeCell ref="K14:M14"/>
    <mergeCell ref="O12:Q12"/>
    <mergeCell ref="K17:M17"/>
    <mergeCell ref="K10:M10"/>
    <mergeCell ref="AA16:AB16"/>
    <mergeCell ref="BI177:BM177"/>
    <mergeCell ref="K16:M16"/>
    <mergeCell ref="W177:AB177"/>
    <mergeCell ref="S20:T20"/>
    <mergeCell ref="U20:V20"/>
    <mergeCell ref="AA11:AB11"/>
    <mergeCell ref="S17:U17"/>
    <mergeCell ref="S11:U11"/>
    <mergeCell ref="AI177:AN177"/>
    <mergeCell ref="AG20:AH20"/>
    <mergeCell ref="AQ20:AR20"/>
    <mergeCell ref="W12:Y12"/>
    <mergeCell ref="AM20:AN20"/>
    <mergeCell ref="S14:U14"/>
    <mergeCell ref="S13:U13"/>
    <mergeCell ref="AA13:AB13"/>
    <mergeCell ref="W16:Y16"/>
    <mergeCell ref="S15:U15"/>
    <mergeCell ref="AA15:AB15"/>
  </mergeCells>
  <conditionalFormatting sqref="C110 E110 G110 I110">
    <cfRule type="cellIs" dxfId="921" priority="68" stopIfTrue="1" operator="equal">
      <formula>0</formula>
    </cfRule>
    <cfRule type="cellIs" dxfId="920" priority="67" stopIfTrue="1" operator="notEqual">
      <formula>0</formula>
    </cfRule>
  </conditionalFormatting>
  <conditionalFormatting sqref="C115 E115 G115 I115">
    <cfRule type="cellIs" dxfId="919" priority="33" stopIfTrue="1" operator="notEqual">
      <formula>0</formula>
    </cfRule>
    <cfRule type="cellIs" dxfId="918" priority="34" stopIfTrue="1" operator="equal">
      <formula>0</formula>
    </cfRule>
  </conditionalFormatting>
  <conditionalFormatting sqref="C37:AB37">
    <cfRule type="cellIs" dxfId="917" priority="168" stopIfTrue="1" operator="notEqual">
      <formula>0</formula>
    </cfRule>
    <cfRule type="cellIs" dxfId="916" priority="169" stopIfTrue="1" operator="equal">
      <formula>0</formula>
    </cfRule>
  </conditionalFormatting>
  <conditionalFormatting sqref="C58:AH58">
    <cfRule type="cellIs" dxfId="915" priority="129" stopIfTrue="1" operator="notEqual">
      <formula>0</formula>
    </cfRule>
    <cfRule type="cellIs" dxfId="914" priority="130" stopIfTrue="1" operator="equal">
      <formula>0</formula>
    </cfRule>
  </conditionalFormatting>
  <conditionalFormatting sqref="C37:AR37">
    <cfRule type="containsText" dxfId="913" priority="149" operator="containsText" text="R24">
      <formula>NOT(ISERROR(SEARCH("R24",C37)))</formula>
    </cfRule>
    <cfRule type="containsText" dxfId="912" priority="146" operator="containsText" text="R25">
      <formula>NOT(ISERROR(SEARCH("R25",C37)))</formula>
    </cfRule>
    <cfRule type="containsText" dxfId="911" priority="145" operator="containsText" text="R26">
      <formula>NOT(ISERROR(SEARCH("R26",C37)))</formula>
    </cfRule>
    <cfRule type="containsText" dxfId="910" priority="141" operator="containsText" text="R30">
      <formula>NOT(ISERROR(SEARCH("R30",C37)))</formula>
    </cfRule>
    <cfRule type="containsText" dxfId="909" priority="144" operator="containsText" text="R27">
      <formula>NOT(ISERROR(SEARCH("R27",C37)))</formula>
    </cfRule>
    <cfRule type="containsText" dxfId="908" priority="160" operator="containsText" text="R14">
      <formula>NOT(ISERROR(SEARCH("R14",C37)))</formula>
    </cfRule>
    <cfRule type="containsText" dxfId="907" priority="143" operator="containsText" text="R29">
      <formula>NOT(ISERROR(SEARCH("R29",C37)))</formula>
    </cfRule>
    <cfRule type="containsText" dxfId="906" priority="158" operator="containsText" text="R15">
      <formula>NOT(ISERROR(SEARCH("R15",C37)))</formula>
    </cfRule>
    <cfRule type="containsText" dxfId="905" priority="159" operator="containsText" text="R15">
      <formula>NOT(ISERROR(SEARCH("R15",C37)))</formula>
    </cfRule>
    <cfRule type="containsText" dxfId="904" priority="156" operator="containsText" text="R17">
      <formula>NOT(ISERROR(SEARCH("R17",C37)))</formula>
    </cfRule>
    <cfRule type="containsText" dxfId="903" priority="155" operator="containsText" text="R18">
      <formula>NOT(ISERROR(SEARCH("R18",C37)))</formula>
    </cfRule>
    <cfRule type="containsText" dxfId="902" priority="154" operator="containsText" text="R19">
      <formula>NOT(ISERROR(SEARCH("R19",C37)))</formula>
    </cfRule>
    <cfRule type="containsText" dxfId="901" priority="153" operator="containsText" text="R20">
      <formula>NOT(ISERROR(SEARCH("R20",C37)))</formula>
    </cfRule>
    <cfRule type="containsText" dxfId="900" priority="140" operator="containsText" text="R31">
      <formula>NOT(ISERROR(SEARCH("R31",C37)))</formula>
    </cfRule>
    <cfRule type="containsText" dxfId="899" priority="139" operator="containsText" text="R32">
      <formula>NOT(ISERROR(SEARCH("R32",C37)))</formula>
    </cfRule>
    <cfRule type="containsText" dxfId="898" priority="150" operator="containsText" text="R23">
      <formula>NOT(ISERROR(SEARCH("R23",C37)))</formula>
    </cfRule>
    <cfRule type="containsText" dxfId="897" priority="152" operator="containsText" text="R21">
      <formula>NOT(ISERROR(SEARCH("R21",C37)))</formula>
    </cfRule>
    <cfRule type="containsText" dxfId="896" priority="138" operator="containsText" text="R28">
      <formula>NOT(ISERROR(SEARCH("R28",C37)))</formula>
    </cfRule>
    <cfRule type="containsText" dxfId="895" priority="137" operator="containsText" text="R33">
      <formula>NOT(ISERROR(SEARCH("R33",C37)))</formula>
    </cfRule>
    <cfRule type="containsText" dxfId="894" priority="136" operator="containsText" text="R34">
      <formula>NOT(ISERROR(SEARCH("R34",C37)))</formula>
    </cfRule>
    <cfRule type="containsText" dxfId="893" priority="135" operator="containsText" text="R35">
      <formula>NOT(ISERROR(SEARCH("R35",C37)))</formula>
    </cfRule>
    <cfRule type="containsText" dxfId="892" priority="134" operator="containsText" text="R36">
      <formula>NOT(ISERROR(SEARCH("R36",C37)))</formula>
    </cfRule>
    <cfRule type="containsText" dxfId="891" priority="133" operator="containsText" text="R37">
      <formula>NOT(ISERROR(SEARCH("R37",C37)))</formula>
    </cfRule>
    <cfRule type="containsText" dxfId="890" priority="151" operator="containsText" text="R22">
      <formula>NOT(ISERROR(SEARCH("R22",C37)))</formula>
    </cfRule>
    <cfRule type="containsText" dxfId="889" priority="157" operator="containsText" text="R16">
      <formula>NOT(ISERROR(SEARCH("R16",C37)))</formula>
    </cfRule>
  </conditionalFormatting>
  <conditionalFormatting sqref="C58:AR58">
    <cfRule type="containsText" dxfId="888" priority="104" operator="containsText" text="R34">
      <formula>NOT(ISERROR(SEARCH("R34",C58)))</formula>
    </cfRule>
    <cfRule type="containsText" dxfId="887" priority="103" operator="containsText" text="R35">
      <formula>NOT(ISERROR(SEARCH("R35",C58)))</formula>
    </cfRule>
    <cfRule type="containsText" dxfId="886" priority="107" operator="containsText" text="R32">
      <formula>NOT(ISERROR(SEARCH("R32",C58)))</formula>
    </cfRule>
    <cfRule type="containsText" dxfId="885" priority="101" operator="containsText" text="R37">
      <formula>NOT(ISERROR(SEARCH("R37",C58)))</formula>
    </cfRule>
    <cfRule type="containsText" dxfId="884" priority="102" operator="containsText" text="R36">
      <formula>NOT(ISERROR(SEARCH("R36",C58)))</formula>
    </cfRule>
    <cfRule type="containsText" dxfId="883" priority="109" operator="containsText" text="R30">
      <formula>NOT(ISERROR(SEARCH("R30",C58)))</formula>
    </cfRule>
    <cfRule type="containsText" dxfId="882" priority="108" operator="containsText" text="R31">
      <formula>NOT(ISERROR(SEARCH("R31",C58)))</formula>
    </cfRule>
    <cfRule type="containsText" dxfId="881" priority="106" operator="containsText" text="R28">
      <formula>NOT(ISERROR(SEARCH("R28",C58)))</formula>
    </cfRule>
    <cfRule type="containsText" dxfId="880" priority="105" operator="containsText" text="R33">
      <formula>NOT(ISERROR(SEARCH("R33",C58)))</formula>
    </cfRule>
    <cfRule type="containsText" dxfId="879" priority="126" operator="containsText" text="R14">
      <formula>NOT(ISERROR(SEARCH("R14",C58)))</formula>
    </cfRule>
    <cfRule type="containsText" dxfId="878" priority="125" operator="containsText" text="R15">
      <formula>NOT(ISERROR(SEARCH("R15",C58)))</formula>
    </cfRule>
    <cfRule type="containsText" dxfId="877" priority="124" operator="containsText" text="R15">
      <formula>NOT(ISERROR(SEARCH("R15",C58)))</formula>
    </cfRule>
    <cfRule type="containsText" dxfId="876" priority="123" operator="containsText" text="R16">
      <formula>NOT(ISERROR(SEARCH("R16",C58)))</formula>
    </cfRule>
    <cfRule type="containsText" dxfId="875" priority="122" operator="containsText" text="R17">
      <formula>NOT(ISERROR(SEARCH("R17",C58)))</formula>
    </cfRule>
    <cfRule type="containsText" dxfId="874" priority="121" operator="containsText" text="R18">
      <formula>NOT(ISERROR(SEARCH("R18",C58)))</formula>
    </cfRule>
    <cfRule type="containsText" dxfId="873" priority="120" operator="containsText" text="R19">
      <formula>NOT(ISERROR(SEARCH("R19",C58)))</formula>
    </cfRule>
    <cfRule type="containsText" dxfId="872" priority="119" operator="containsText" text="R20">
      <formula>NOT(ISERROR(SEARCH("R20",C58)))</formula>
    </cfRule>
    <cfRule type="containsText" dxfId="871" priority="118" operator="containsText" text="R21">
      <formula>NOT(ISERROR(SEARCH("R21",C58)))</formula>
    </cfRule>
    <cfRule type="containsText" dxfId="870" priority="117" operator="containsText" text="R22">
      <formula>NOT(ISERROR(SEARCH("R22",C58)))</formula>
    </cfRule>
    <cfRule type="containsText" dxfId="869" priority="116" operator="containsText" text="R23">
      <formula>NOT(ISERROR(SEARCH("R23",C58)))</formula>
    </cfRule>
    <cfRule type="containsText" dxfId="868" priority="115" operator="containsText" text="R24">
      <formula>NOT(ISERROR(SEARCH("R24",C58)))</formula>
    </cfRule>
    <cfRule type="containsText" dxfId="867" priority="114" operator="containsText" text="R25">
      <formula>NOT(ISERROR(SEARCH("R25",C58)))</formula>
    </cfRule>
    <cfRule type="containsText" dxfId="866" priority="113" operator="containsText" text="R26">
      <formula>NOT(ISERROR(SEARCH("R26",C58)))</formula>
    </cfRule>
    <cfRule type="containsText" dxfId="865" priority="112" operator="containsText" text="R27">
      <formula>NOT(ISERROR(SEARCH("R27",C58)))</formula>
    </cfRule>
    <cfRule type="containsText" dxfId="864" priority="111" operator="containsText" text="R29">
      <formula>NOT(ISERROR(SEARCH("R29",C58)))</formula>
    </cfRule>
  </conditionalFormatting>
  <conditionalFormatting sqref="C85:AR85">
    <cfRule type="containsText" dxfId="863" priority="84" operator="containsText" text="R23">
      <formula>NOT(ISERROR(SEARCH("R23",C85)))</formula>
    </cfRule>
    <cfRule type="containsText" dxfId="862" priority="85" operator="containsText" text="R22">
      <formula>NOT(ISERROR(SEARCH("R22",C85)))</formula>
    </cfRule>
    <cfRule type="containsText" dxfId="861" priority="86" operator="containsText" text="R21">
      <formula>NOT(ISERROR(SEARCH("R21",C85)))</formula>
    </cfRule>
    <cfRule type="containsText" dxfId="860" priority="87" operator="containsText" text="R20">
      <formula>NOT(ISERROR(SEARCH("R20",C85)))</formula>
    </cfRule>
    <cfRule type="containsText" dxfId="859" priority="88" operator="containsText" text="R19">
      <formula>NOT(ISERROR(SEARCH("R19",C85)))</formula>
    </cfRule>
    <cfRule type="containsText" dxfId="858" priority="89" operator="containsText" text="R18">
      <formula>NOT(ISERROR(SEARCH("R18",C85)))</formula>
    </cfRule>
    <cfRule type="containsText" dxfId="857" priority="90" operator="containsText" text="R17">
      <formula>NOT(ISERROR(SEARCH("R17",C85)))</formula>
    </cfRule>
    <cfRule type="containsText" dxfId="856" priority="91" operator="containsText" text="R16">
      <formula>NOT(ISERROR(SEARCH("R16",C85)))</formula>
    </cfRule>
    <cfRule type="containsText" dxfId="855" priority="92" operator="containsText" text="R15">
      <formula>NOT(ISERROR(SEARCH("R15",C85)))</formula>
    </cfRule>
    <cfRule type="containsText" dxfId="854" priority="93" operator="containsText" text="R15">
      <formula>NOT(ISERROR(SEARCH("R15",C85)))</formula>
    </cfRule>
    <cfRule type="containsText" dxfId="853" priority="94" operator="containsText" text="R14">
      <formula>NOT(ISERROR(SEARCH("R14",C85)))</formula>
    </cfRule>
    <cfRule type="containsText" dxfId="852" priority="69" operator="containsText" text="R37">
      <formula>NOT(ISERROR(SEARCH("R37",C85)))</formula>
    </cfRule>
    <cfRule type="containsText" dxfId="851" priority="70" operator="containsText" text="R36">
      <formula>NOT(ISERROR(SEARCH("R36",C85)))</formula>
    </cfRule>
    <cfRule type="containsText" dxfId="850" priority="71" operator="containsText" text="R35">
      <formula>NOT(ISERROR(SEARCH("R35",C85)))</formula>
    </cfRule>
    <cfRule type="containsText" dxfId="849" priority="72" operator="containsText" text="R34">
      <formula>NOT(ISERROR(SEARCH("R34",C85)))</formula>
    </cfRule>
    <cfRule type="containsText" dxfId="848" priority="73" operator="containsText" text="R33">
      <formula>NOT(ISERROR(SEARCH("R33",C85)))</formula>
    </cfRule>
    <cfRule type="containsText" dxfId="847" priority="74" operator="containsText" text="R28">
      <formula>NOT(ISERROR(SEARCH("R28",C85)))</formula>
    </cfRule>
    <cfRule type="containsText" dxfId="846" priority="75" operator="containsText" text="R32">
      <formula>NOT(ISERROR(SEARCH("R32",C85)))</formula>
    </cfRule>
    <cfRule type="containsText" dxfId="845" priority="76" operator="containsText" text="R31">
      <formula>NOT(ISERROR(SEARCH("R31",C85)))</formula>
    </cfRule>
    <cfRule type="containsText" dxfId="844" priority="77" operator="containsText" text="R30">
      <formula>NOT(ISERROR(SEARCH("R30",C85)))</formula>
    </cfRule>
    <cfRule type="containsText" dxfId="843" priority="79" operator="containsText" text="R29">
      <formula>NOT(ISERROR(SEARCH("R29",C85)))</formula>
    </cfRule>
    <cfRule type="containsText" dxfId="842" priority="80" operator="containsText" text="R27">
      <formula>NOT(ISERROR(SEARCH("R27",C85)))</formula>
    </cfRule>
    <cfRule type="containsText" dxfId="841" priority="81" operator="containsText" text="R26">
      <formula>NOT(ISERROR(SEARCH("R26",C85)))</formula>
    </cfRule>
    <cfRule type="containsText" dxfId="840" priority="82" operator="containsText" text="R25">
      <formula>NOT(ISERROR(SEARCH("R25",C85)))</formula>
    </cfRule>
    <cfRule type="containsText" dxfId="839" priority="83" operator="containsText" text="R24">
      <formula>NOT(ISERROR(SEARCH("R24",C85)))</formula>
    </cfRule>
  </conditionalFormatting>
  <conditionalFormatting sqref="C110:AR110">
    <cfRule type="containsText" dxfId="838" priority="43" operator="containsText" text="R30">
      <formula>NOT(ISERROR(SEARCH("R30",C110)))</formula>
    </cfRule>
    <cfRule type="containsText" dxfId="837" priority="39" operator="containsText" text="R33">
      <formula>NOT(ISERROR(SEARCH("R33",C110)))</formula>
    </cfRule>
    <cfRule type="containsText" dxfId="836" priority="53" operator="containsText" text="R20">
      <formula>NOT(ISERROR(SEARCH("R20",C110)))</formula>
    </cfRule>
    <cfRule type="containsText" dxfId="835" priority="60" operator="containsText" text="R14">
      <formula>NOT(ISERROR(SEARCH("R14",C110)))</formula>
    </cfRule>
    <cfRule type="containsText" dxfId="834" priority="59" operator="containsText" text="R15">
      <formula>NOT(ISERROR(SEARCH("R15",C110)))</formula>
    </cfRule>
    <cfRule type="containsText" dxfId="833" priority="40" operator="containsText" text="R28">
      <formula>NOT(ISERROR(SEARCH("R28",C110)))</formula>
    </cfRule>
    <cfRule type="containsText" dxfId="832" priority="58" operator="containsText" text="R15">
      <formula>NOT(ISERROR(SEARCH("R15",C110)))</formula>
    </cfRule>
    <cfRule type="containsText" dxfId="831" priority="54" operator="containsText" text="R19">
      <formula>NOT(ISERROR(SEARCH("R19",C110)))</formula>
    </cfRule>
    <cfRule type="containsText" dxfId="830" priority="57" operator="containsText" text="R16">
      <formula>NOT(ISERROR(SEARCH("R16",C110)))</formula>
    </cfRule>
    <cfRule type="containsText" dxfId="829" priority="35" operator="containsText" text="R37">
      <formula>NOT(ISERROR(SEARCH("R37",C110)))</formula>
    </cfRule>
    <cfRule type="containsText" dxfId="828" priority="56" operator="containsText" text="R17">
      <formula>NOT(ISERROR(SEARCH("R17",C110)))</formula>
    </cfRule>
    <cfRule type="containsText" dxfId="827" priority="55" operator="containsText" text="R18">
      <formula>NOT(ISERROR(SEARCH("R18",C110)))</formula>
    </cfRule>
    <cfRule type="containsText" dxfId="826" priority="36" operator="containsText" text="R36">
      <formula>NOT(ISERROR(SEARCH("R36",C110)))</formula>
    </cfRule>
    <cfRule type="containsText" dxfId="825" priority="46" operator="containsText" text="R27">
      <formula>NOT(ISERROR(SEARCH("R27",C110)))</formula>
    </cfRule>
    <cfRule type="containsText" dxfId="824" priority="47" operator="containsText" text="R26">
      <formula>NOT(ISERROR(SEARCH("R26",C110)))</formula>
    </cfRule>
    <cfRule type="containsText" dxfId="823" priority="48" operator="containsText" text="R25">
      <formula>NOT(ISERROR(SEARCH("R25",C110)))</formula>
    </cfRule>
    <cfRule type="containsText" dxfId="822" priority="49" operator="containsText" text="R24">
      <formula>NOT(ISERROR(SEARCH("R24",C110)))</formula>
    </cfRule>
    <cfRule type="containsText" dxfId="821" priority="37" operator="containsText" text="R35">
      <formula>NOT(ISERROR(SEARCH("R35",C110)))</formula>
    </cfRule>
    <cfRule type="containsText" dxfId="820" priority="50" operator="containsText" text="R23">
      <formula>NOT(ISERROR(SEARCH("R23",C110)))</formula>
    </cfRule>
    <cfRule type="containsText" dxfId="819" priority="51" operator="containsText" text="R22">
      <formula>NOT(ISERROR(SEARCH("R22",C110)))</formula>
    </cfRule>
    <cfRule type="containsText" dxfId="818" priority="52" operator="containsText" text="R21">
      <formula>NOT(ISERROR(SEARCH("R21",C110)))</formula>
    </cfRule>
    <cfRule type="containsText" dxfId="817" priority="38" operator="containsText" text="R34">
      <formula>NOT(ISERROR(SEARCH("R34",C110)))</formula>
    </cfRule>
    <cfRule type="containsText" dxfId="816" priority="45" operator="containsText" text="R29">
      <formula>NOT(ISERROR(SEARCH("R29",C110)))</formula>
    </cfRule>
    <cfRule type="containsText" dxfId="815" priority="41" operator="containsText" text="R32">
      <formula>NOT(ISERROR(SEARCH("R32",C110)))</formula>
    </cfRule>
    <cfRule type="containsText" dxfId="814" priority="42" operator="containsText" text="R31">
      <formula>NOT(ISERROR(SEARCH("R31",C110)))</formula>
    </cfRule>
  </conditionalFormatting>
  <conditionalFormatting sqref="C115:AR115">
    <cfRule type="containsText" dxfId="813" priority="5" operator="containsText" text="R33">
      <formula>NOT(ISERROR(SEARCH("R33",C115)))</formula>
    </cfRule>
    <cfRule type="containsText" dxfId="812" priority="6" operator="containsText" text="R28">
      <formula>NOT(ISERROR(SEARCH("R28",C115)))</formula>
    </cfRule>
    <cfRule type="containsText" dxfId="811" priority="7" operator="containsText" text="R32">
      <formula>NOT(ISERROR(SEARCH("R32",C115)))</formula>
    </cfRule>
    <cfRule type="containsText" dxfId="810" priority="9" operator="containsText" text="R30">
      <formula>NOT(ISERROR(SEARCH("R30",C115)))</formula>
    </cfRule>
    <cfRule type="containsText" dxfId="809" priority="11" operator="containsText" text="R29">
      <formula>NOT(ISERROR(SEARCH("R29",C115)))</formula>
    </cfRule>
    <cfRule type="containsText" dxfId="808" priority="14" operator="containsText" text="R25">
      <formula>NOT(ISERROR(SEARCH("R25",C115)))</formula>
    </cfRule>
    <cfRule type="containsText" dxfId="807" priority="8" operator="containsText" text="R31">
      <formula>NOT(ISERROR(SEARCH("R31",C115)))</formula>
    </cfRule>
    <cfRule type="containsText" dxfId="806" priority="2" operator="containsText" text="R36">
      <formula>NOT(ISERROR(SEARCH("R36",C115)))</formula>
    </cfRule>
    <cfRule type="containsText" dxfId="805" priority="3" operator="containsText" text="R35">
      <formula>NOT(ISERROR(SEARCH("R35",C115)))</formula>
    </cfRule>
    <cfRule type="containsText" dxfId="804" priority="22" operator="containsText" text="R17">
      <formula>NOT(ISERROR(SEARCH("R17",C115)))</formula>
    </cfRule>
    <cfRule type="containsText" dxfId="803" priority="4" operator="containsText" text="R34">
      <formula>NOT(ISERROR(SEARCH("R34",C115)))</formula>
    </cfRule>
    <cfRule type="containsText" dxfId="802" priority="26" operator="containsText" text="R14">
      <formula>NOT(ISERROR(SEARCH("R14",C115)))</formula>
    </cfRule>
    <cfRule type="containsText" dxfId="801" priority="25" operator="containsText" text="R15">
      <formula>NOT(ISERROR(SEARCH("R15",C115)))</formula>
    </cfRule>
    <cfRule type="containsText" dxfId="800" priority="1" operator="containsText" text="R37">
      <formula>NOT(ISERROR(SEARCH("R37",C115)))</formula>
    </cfRule>
    <cfRule type="containsText" dxfId="799" priority="24" operator="containsText" text="R15">
      <formula>NOT(ISERROR(SEARCH("R15",C115)))</formula>
    </cfRule>
    <cfRule type="containsText" dxfId="798" priority="23" operator="containsText" text="R16">
      <formula>NOT(ISERROR(SEARCH("R16",C115)))</formula>
    </cfRule>
    <cfRule type="containsText" dxfId="797" priority="21" operator="containsText" text="R18">
      <formula>NOT(ISERROR(SEARCH("R18",C115)))</formula>
    </cfRule>
    <cfRule type="containsText" dxfId="796" priority="20" operator="containsText" text="R19">
      <formula>NOT(ISERROR(SEARCH("R19",C115)))</formula>
    </cfRule>
    <cfRule type="containsText" dxfId="795" priority="19" operator="containsText" text="R20">
      <formula>NOT(ISERROR(SEARCH("R20",C115)))</formula>
    </cfRule>
    <cfRule type="containsText" dxfId="794" priority="18" operator="containsText" text="R21">
      <formula>NOT(ISERROR(SEARCH("R21",C115)))</formula>
    </cfRule>
    <cfRule type="containsText" dxfId="793" priority="17" operator="containsText" text="R22">
      <formula>NOT(ISERROR(SEARCH("R22",C115)))</formula>
    </cfRule>
    <cfRule type="containsText" dxfId="792" priority="16" operator="containsText" text="R23">
      <formula>NOT(ISERROR(SEARCH("R23",C115)))</formula>
    </cfRule>
    <cfRule type="containsText" dxfId="791" priority="15" operator="containsText" text="R24">
      <formula>NOT(ISERROR(SEARCH("R24",C115)))</formula>
    </cfRule>
    <cfRule type="containsText" dxfId="790" priority="13" operator="containsText" text="R26">
      <formula>NOT(ISERROR(SEARCH("R26",C115)))</formula>
    </cfRule>
    <cfRule type="containsText" dxfId="789" priority="12" operator="containsText" text="R27">
      <formula>NOT(ISERROR(SEARCH("R27",C115)))</formula>
    </cfRule>
  </conditionalFormatting>
  <conditionalFormatting sqref="G85">
    <cfRule type="cellIs" dxfId="788" priority="100" stopIfTrue="1" operator="equal">
      <formula>0</formula>
    </cfRule>
    <cfRule type="cellIs" dxfId="787" priority="99" stopIfTrue="1" operator="notEqual">
      <formula>0</formula>
    </cfRule>
  </conditionalFormatting>
  <conditionalFormatting sqref="I85 U85 W85 Y85 AA85 AC85 AE85 AG85 AI85">
    <cfRule type="cellIs" dxfId="786" priority="98" stopIfTrue="1" operator="equal">
      <formula>0</formula>
    </cfRule>
    <cfRule type="cellIs" dxfId="785" priority="97" stopIfTrue="1" operator="notEqual">
      <formula>0</formula>
    </cfRule>
  </conditionalFormatting>
  <conditionalFormatting sqref="K110 Q110 AG110">
    <cfRule type="cellIs" dxfId="784" priority="63" stopIfTrue="1" operator="notEqual">
      <formula>0</formula>
    </cfRule>
    <cfRule type="cellIs" dxfId="783" priority="64" stopIfTrue="1" operator="equal">
      <formula>0</formula>
    </cfRule>
  </conditionalFormatting>
  <conditionalFormatting sqref="K115 Q115 AG115">
    <cfRule type="cellIs" dxfId="782" priority="30" stopIfTrue="1" operator="equal">
      <formula>0</formula>
    </cfRule>
    <cfRule type="cellIs" dxfId="781" priority="29" stopIfTrue="1" operator="notEqual">
      <formula>0</formula>
    </cfRule>
  </conditionalFormatting>
  <conditionalFormatting sqref="K37:Q37 X37">
    <cfRule type="cellIs" dxfId="780" priority="163" stopIfTrue="1" operator="notEqual">
      <formula>0</formula>
    </cfRule>
  </conditionalFormatting>
  <conditionalFormatting sqref="K37:Q37">
    <cfRule type="cellIs" dxfId="779" priority="165" stopIfTrue="1" operator="equal">
      <formula>0</formula>
    </cfRule>
  </conditionalFormatting>
  <conditionalFormatting sqref="M110 O110 S110 U110 W110 Y110 AA110 AC110 AE110 AI110 AK110">
    <cfRule type="cellIs" dxfId="778" priority="65" stopIfTrue="1" operator="notEqual">
      <formula>0</formula>
    </cfRule>
    <cfRule type="cellIs" dxfId="777" priority="66" stopIfTrue="1" operator="equal">
      <formula>0</formula>
    </cfRule>
  </conditionalFormatting>
  <conditionalFormatting sqref="M115 O115 S115 U115 W115 Y115 AA115 AC115 AE115 AI115 AK115">
    <cfRule type="cellIs" dxfId="776" priority="32" stopIfTrue="1" operator="equal">
      <formula>0</formula>
    </cfRule>
    <cfRule type="cellIs" dxfId="775" priority="31" stopIfTrue="1" operator="notEqual">
      <formula>0</formula>
    </cfRule>
  </conditionalFormatting>
  <conditionalFormatting sqref="N37:Q37">
    <cfRule type="cellIs" dxfId="774" priority="166" stopIfTrue="1" operator="notEqual">
      <formula>0</formula>
    </cfRule>
    <cfRule type="cellIs" dxfId="773" priority="167" stopIfTrue="1" operator="equal">
      <formula>0</formula>
    </cfRule>
  </conditionalFormatting>
  <conditionalFormatting sqref="S37:AC37">
    <cfRule type="cellIs" dxfId="772" priority="148" stopIfTrue="1" operator="equal">
      <formula>0</formula>
    </cfRule>
    <cfRule type="cellIs" dxfId="771" priority="147" stopIfTrue="1" operator="notEqual">
      <formula>0</formula>
    </cfRule>
  </conditionalFormatting>
  <conditionalFormatting sqref="X37">
    <cfRule type="cellIs" dxfId="770" priority="164" stopIfTrue="1" operator="equal">
      <formula>0</formula>
    </cfRule>
  </conditionalFormatting>
  <conditionalFormatting sqref="AK58">
    <cfRule type="cellIs" dxfId="769" priority="128" stopIfTrue="1" operator="equal">
      <formula>0</formula>
    </cfRule>
    <cfRule type="cellIs" dxfId="768" priority="127" stopIfTrue="1" operator="notEqual">
      <formula>0</formula>
    </cfRule>
  </conditionalFormatting>
  <conditionalFormatting sqref="AK85">
    <cfRule type="cellIs" dxfId="767" priority="96" stopIfTrue="1" operator="equal">
      <formula>0</formula>
    </cfRule>
    <cfRule type="cellIs" dxfId="766" priority="95" stopIfTrue="1" operator="notEqual">
      <formula>0</formula>
    </cfRule>
  </conditionalFormatting>
  <conditionalFormatting sqref="AM110 AO110:AQ110">
    <cfRule type="cellIs" dxfId="765" priority="61" stopIfTrue="1" operator="notEqual">
      <formula>0</formula>
    </cfRule>
    <cfRule type="cellIs" dxfId="764" priority="62" stopIfTrue="1" operator="equal">
      <formula>0</formula>
    </cfRule>
  </conditionalFormatting>
  <conditionalFormatting sqref="AM115 AO115:AQ115">
    <cfRule type="cellIs" dxfId="763" priority="28" stopIfTrue="1" operator="equal">
      <formula>0</formula>
    </cfRule>
    <cfRule type="cellIs" dxfId="762" priority="27" stopIfTrue="1" operator="notEqual">
      <formula>0</formula>
    </cfRule>
  </conditionalFormatting>
  <conditionalFormatting sqref="AO37:AQ37">
    <cfRule type="cellIs" dxfId="761" priority="161" stopIfTrue="1" operator="notEqual">
      <formula>0</formula>
    </cfRule>
    <cfRule type="cellIs" dxfId="760" priority="162" stopIfTrue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/>
  <dimension ref="A1:BE180"/>
  <sheetViews>
    <sheetView zoomScale="37" workbookViewId="0">
      <selection activeCell="A18" sqref="A18:B165"/>
    </sheetView>
  </sheetViews>
  <sheetFormatPr baseColWidth="10" defaultRowHeight="14.4" x14ac:dyDescent="0.3"/>
  <cols>
    <col min="1" max="1" width="43.6640625" bestFit="1" customWidth="1"/>
    <col min="2" max="2" width="150.88671875" bestFit="1" customWidth="1"/>
    <col min="27" max="28" width="14.77734375" bestFit="1" customWidth="1"/>
  </cols>
  <sheetData>
    <row r="1" spans="1:54" ht="14.4" customHeight="1" x14ac:dyDescent="0.3">
      <c r="A1" s="1075"/>
      <c r="B1" s="1049" t="s">
        <v>0</v>
      </c>
      <c r="C1" s="1077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984"/>
      <c r="AB1" s="985"/>
      <c r="AC1" s="1077" t="s">
        <v>1</v>
      </c>
      <c r="AD1" s="984"/>
      <c r="AE1" s="984"/>
      <c r="AF1" s="984"/>
      <c r="AG1" s="984"/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84"/>
      <c r="AW1" s="984"/>
      <c r="AX1" s="984"/>
      <c r="AY1" s="984"/>
      <c r="AZ1" s="984"/>
      <c r="BA1" s="984"/>
      <c r="BB1" s="985"/>
    </row>
    <row r="2" spans="1:54" ht="14.4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9"/>
      <c r="AC2" s="986"/>
      <c r="AD2" s="978"/>
      <c r="AE2" s="978"/>
      <c r="AF2" s="978"/>
      <c r="AG2" s="978"/>
      <c r="AH2" s="978"/>
      <c r="AI2" s="978"/>
      <c r="AJ2" s="978"/>
      <c r="AK2" s="978"/>
      <c r="AL2" s="978"/>
      <c r="AM2" s="978"/>
      <c r="AN2" s="978"/>
      <c r="AO2" s="978"/>
      <c r="AP2" s="978"/>
      <c r="AQ2" s="978"/>
      <c r="AR2" s="978"/>
      <c r="AS2" s="978"/>
      <c r="AT2" s="978"/>
      <c r="AU2" s="978"/>
      <c r="AV2" s="978"/>
      <c r="AW2" s="978"/>
      <c r="AX2" s="978"/>
      <c r="AY2" s="978"/>
      <c r="AZ2" s="978"/>
      <c r="BA2" s="978"/>
      <c r="BB2" s="979"/>
    </row>
    <row r="3" spans="1:54" ht="15" customHeight="1" thickBot="1" x14ac:dyDescent="0.35">
      <c r="A3" s="997"/>
      <c r="B3" s="997"/>
      <c r="C3" s="987"/>
      <c r="D3" s="975"/>
      <c r="E3" s="975"/>
      <c r="F3" s="975"/>
      <c r="G3" s="975"/>
      <c r="H3" s="975"/>
      <c r="I3" s="975"/>
      <c r="J3" s="975"/>
      <c r="K3" s="975"/>
      <c r="L3" s="975"/>
      <c r="M3" s="975"/>
      <c r="N3" s="975"/>
      <c r="O3" s="975"/>
      <c r="P3" s="975"/>
      <c r="Q3" s="975"/>
      <c r="R3" s="975"/>
      <c r="S3" s="975"/>
      <c r="T3" s="975"/>
      <c r="U3" s="975"/>
      <c r="V3" s="975"/>
      <c r="W3" s="975"/>
      <c r="X3" s="975"/>
      <c r="Y3" s="975"/>
      <c r="Z3" s="975"/>
      <c r="AA3" s="975"/>
      <c r="AB3" s="976"/>
      <c r="AC3" s="987"/>
      <c r="AD3" s="975"/>
      <c r="AE3" s="975"/>
      <c r="AF3" s="975"/>
      <c r="AG3" s="975"/>
      <c r="AH3" s="975"/>
      <c r="AI3" s="975"/>
      <c r="AJ3" s="975"/>
      <c r="AK3" s="975"/>
      <c r="AL3" s="975"/>
      <c r="AM3" s="975"/>
      <c r="AN3" s="975"/>
      <c r="AO3" s="975"/>
      <c r="AP3" s="975"/>
      <c r="AQ3" s="975"/>
      <c r="AR3" s="975"/>
      <c r="AS3" s="975"/>
      <c r="AT3" s="975"/>
      <c r="AU3" s="975"/>
      <c r="AV3" s="975"/>
      <c r="AW3" s="975"/>
      <c r="AX3" s="975"/>
      <c r="AY3" s="975"/>
      <c r="AZ3" s="975"/>
      <c r="BA3" s="975"/>
      <c r="BB3" s="976"/>
    </row>
    <row r="4" spans="1:54" s="357" customFormat="1" ht="34.200000000000003" customHeight="1" thickBot="1" x14ac:dyDescent="0.7">
      <c r="A4" s="337" t="s">
        <v>2</v>
      </c>
      <c r="B4" s="338" t="s">
        <v>3</v>
      </c>
      <c r="C4" s="1068" t="s">
        <v>4</v>
      </c>
      <c r="D4" s="1042"/>
      <c r="E4" s="1042"/>
      <c r="F4" s="979"/>
      <c r="G4" s="1248">
        <v>46037</v>
      </c>
      <c r="H4" s="984"/>
      <c r="I4" s="984"/>
      <c r="J4" s="456" t="s">
        <v>407</v>
      </c>
      <c r="K4" s="1206">
        <v>45814</v>
      </c>
      <c r="L4" s="984"/>
      <c r="M4" s="985"/>
      <c r="N4" s="351" t="s">
        <v>36</v>
      </c>
      <c r="O4" s="1236">
        <v>45855</v>
      </c>
      <c r="P4" s="984"/>
      <c r="Q4" s="985"/>
      <c r="R4" s="786" t="s">
        <v>91</v>
      </c>
      <c r="S4" s="1245">
        <v>45905</v>
      </c>
      <c r="T4" s="984"/>
      <c r="U4" s="984"/>
      <c r="V4" s="832" t="s">
        <v>67</v>
      </c>
      <c r="W4" s="1146">
        <v>45960</v>
      </c>
      <c r="X4" s="984"/>
      <c r="Y4" s="985"/>
      <c r="Z4" s="834" t="s">
        <v>28</v>
      </c>
      <c r="AA4" s="1238">
        <v>46003</v>
      </c>
      <c r="AB4" s="1000"/>
      <c r="AC4" s="1001"/>
      <c r="AD4" s="841" t="s">
        <v>93</v>
      </c>
      <c r="AE4" s="1061">
        <v>46052</v>
      </c>
      <c r="AF4" s="1042"/>
      <c r="AG4" s="979"/>
    </row>
    <row r="5" spans="1:54" s="357" customFormat="1" ht="34.200000000000003" customHeight="1" x14ac:dyDescent="0.65">
      <c r="A5" s="339" t="s">
        <v>14</v>
      </c>
      <c r="B5" s="340" t="s">
        <v>15</v>
      </c>
      <c r="C5" s="986"/>
      <c r="D5" s="1042"/>
      <c r="E5" s="1042"/>
      <c r="F5" s="979"/>
      <c r="G5" s="986"/>
      <c r="H5" s="1042"/>
      <c r="I5" s="1042"/>
      <c r="J5" s="787" t="s">
        <v>408</v>
      </c>
      <c r="K5" s="1240">
        <v>45821</v>
      </c>
      <c r="L5" s="1042"/>
      <c r="M5" s="979"/>
      <c r="N5" s="375" t="s">
        <v>46</v>
      </c>
      <c r="O5" s="1148">
        <v>45863</v>
      </c>
      <c r="P5" s="1042"/>
      <c r="Q5" s="979"/>
      <c r="R5" s="793" t="s">
        <v>410</v>
      </c>
      <c r="S5" s="1111">
        <v>45912</v>
      </c>
      <c r="T5" s="1042"/>
      <c r="U5" s="1042"/>
      <c r="V5" s="720" t="s">
        <v>76</v>
      </c>
      <c r="W5" s="1115">
        <v>45968</v>
      </c>
      <c r="X5" s="1042"/>
      <c r="Y5" s="979"/>
      <c r="Z5" s="835" t="s">
        <v>38</v>
      </c>
      <c r="AA5" s="1235">
        <v>46010</v>
      </c>
      <c r="AB5" s="984"/>
      <c r="AC5" s="985"/>
      <c r="AD5" s="830"/>
      <c r="AE5" s="1116"/>
      <c r="AF5" s="984"/>
      <c r="AG5" s="985"/>
    </row>
    <row r="6" spans="1:54" s="357" customFormat="1" ht="34.200000000000003" customHeight="1" x14ac:dyDescent="0.65">
      <c r="A6" s="339" t="s">
        <v>24</v>
      </c>
      <c r="B6" s="340" t="s">
        <v>25</v>
      </c>
      <c r="C6" s="986"/>
      <c r="D6" s="1042"/>
      <c r="E6" s="1042"/>
      <c r="F6" s="979"/>
      <c r="G6" s="986"/>
      <c r="H6" s="1042"/>
      <c r="I6" s="1042"/>
      <c r="J6" s="788" t="s">
        <v>409</v>
      </c>
      <c r="K6" s="1250">
        <v>46192</v>
      </c>
      <c r="L6" s="1042"/>
      <c r="M6" s="979"/>
      <c r="N6" s="376" t="s">
        <v>55</v>
      </c>
      <c r="O6" s="1137">
        <v>45870</v>
      </c>
      <c r="P6" s="1042"/>
      <c r="Q6" s="979"/>
      <c r="R6" s="794" t="s">
        <v>17</v>
      </c>
      <c r="S6" s="1123">
        <v>45926</v>
      </c>
      <c r="T6" s="1042"/>
      <c r="U6" s="1042"/>
      <c r="V6" s="721" t="s">
        <v>84</v>
      </c>
      <c r="W6" s="1106">
        <v>45975</v>
      </c>
      <c r="X6" s="1042"/>
      <c r="Y6" s="979"/>
      <c r="Z6" s="836" t="s">
        <v>48</v>
      </c>
      <c r="AA6" s="1246">
        <v>46015</v>
      </c>
      <c r="AB6" s="1042"/>
      <c r="AC6" s="979"/>
      <c r="AD6" s="778"/>
      <c r="AE6" s="1101"/>
      <c r="AF6" s="1042"/>
      <c r="AG6" s="979"/>
    </row>
    <row r="7" spans="1:54" s="357" customFormat="1" ht="34.200000000000003" customHeight="1" x14ac:dyDescent="0.65">
      <c r="A7" s="339" t="s">
        <v>34</v>
      </c>
      <c r="B7" s="340" t="s">
        <v>35</v>
      </c>
      <c r="C7" s="986"/>
      <c r="D7" s="1042"/>
      <c r="E7" s="1042"/>
      <c r="F7" s="979"/>
      <c r="G7" s="986"/>
      <c r="H7" s="1042"/>
      <c r="I7" s="1042"/>
      <c r="J7" s="333" t="s">
        <v>16</v>
      </c>
      <c r="K7" s="1203">
        <v>45835</v>
      </c>
      <c r="L7" s="1042"/>
      <c r="M7" s="979"/>
      <c r="N7" s="331" t="s">
        <v>66</v>
      </c>
      <c r="O7" s="1135">
        <v>45883</v>
      </c>
      <c r="P7" s="1042"/>
      <c r="Q7" s="979"/>
      <c r="R7" s="785" t="s">
        <v>37</v>
      </c>
      <c r="S7" s="1247">
        <v>45940</v>
      </c>
      <c r="T7" s="1042"/>
      <c r="U7" s="1042"/>
      <c r="V7" s="740" t="s">
        <v>92</v>
      </c>
      <c r="W7" s="1122">
        <v>45982</v>
      </c>
      <c r="X7" s="1042"/>
      <c r="Y7" s="979"/>
      <c r="Z7" s="837" t="s">
        <v>57</v>
      </c>
      <c r="AA7" s="1249">
        <v>46022</v>
      </c>
      <c r="AB7" s="1042"/>
      <c r="AC7" s="979"/>
      <c r="AD7" s="778"/>
      <c r="AE7" s="1101"/>
      <c r="AF7" s="1042"/>
      <c r="AG7" s="979"/>
    </row>
    <row r="8" spans="1:54" s="357" customFormat="1" ht="34.200000000000003" customHeight="1" x14ac:dyDescent="0.65">
      <c r="A8" s="339" t="s">
        <v>44</v>
      </c>
      <c r="B8" s="340" t="s">
        <v>54</v>
      </c>
      <c r="C8" s="986"/>
      <c r="D8" s="1042"/>
      <c r="E8" s="1042"/>
      <c r="F8" s="979"/>
      <c r="G8" s="986"/>
      <c r="H8" s="1042"/>
      <c r="I8" s="1042"/>
      <c r="J8" s="334" t="s">
        <v>411</v>
      </c>
      <c r="K8" s="1164">
        <v>45842</v>
      </c>
      <c r="L8" s="1042"/>
      <c r="M8" s="979"/>
      <c r="N8" s="485" t="s">
        <v>75</v>
      </c>
      <c r="O8" s="1128">
        <v>45891</v>
      </c>
      <c r="P8" s="1042"/>
      <c r="Q8" s="979"/>
      <c r="R8" s="686" t="s">
        <v>47</v>
      </c>
      <c r="S8" s="1243">
        <v>45947</v>
      </c>
      <c r="T8" s="1042"/>
      <c r="U8" s="1042"/>
      <c r="V8" s="775" t="s">
        <v>8</v>
      </c>
      <c r="W8" s="1117">
        <v>45989</v>
      </c>
      <c r="X8" s="1042"/>
      <c r="Y8" s="979"/>
      <c r="Z8" s="838" t="s">
        <v>68</v>
      </c>
      <c r="AA8" s="1239">
        <v>46031</v>
      </c>
      <c r="AB8" s="1042"/>
      <c r="AC8" s="979"/>
      <c r="AD8" s="778"/>
      <c r="AE8" s="1101"/>
      <c r="AF8" s="1042"/>
      <c r="AG8" s="979"/>
    </row>
    <row r="9" spans="1:54" s="357" customFormat="1" ht="34.200000000000003" customHeight="1" thickBot="1" x14ac:dyDescent="0.7">
      <c r="A9" s="339" t="s">
        <v>62</v>
      </c>
      <c r="B9" s="340" t="s">
        <v>63</v>
      </c>
      <c r="C9" s="987"/>
      <c r="D9" s="975"/>
      <c r="E9" s="975"/>
      <c r="F9" s="976"/>
      <c r="G9" s="986"/>
      <c r="H9" s="1042"/>
      <c r="I9" s="1042"/>
      <c r="J9" s="789" t="s">
        <v>26</v>
      </c>
      <c r="K9" s="1105">
        <v>45849</v>
      </c>
      <c r="L9" s="975"/>
      <c r="M9" s="976"/>
      <c r="N9" s="790" t="s">
        <v>83</v>
      </c>
      <c r="O9" s="1241">
        <v>45898</v>
      </c>
      <c r="P9" s="975"/>
      <c r="Q9" s="976"/>
      <c r="R9" s="662" t="s">
        <v>56</v>
      </c>
      <c r="S9" s="1131">
        <v>45954</v>
      </c>
      <c r="T9" s="1042"/>
      <c r="U9" s="1042"/>
      <c r="V9" s="833" t="s">
        <v>18</v>
      </c>
      <c r="W9" s="1242">
        <v>45996</v>
      </c>
      <c r="X9" s="975"/>
      <c r="Y9" s="976"/>
      <c r="Z9" s="839" t="s">
        <v>77</v>
      </c>
      <c r="AA9" s="1251">
        <v>46038</v>
      </c>
      <c r="AB9" s="975"/>
      <c r="AC9" s="976"/>
      <c r="AD9" s="840"/>
      <c r="AE9" s="1244"/>
      <c r="AF9" s="975"/>
      <c r="AG9" s="976"/>
    </row>
    <row r="10" spans="1:54" s="357" customFormat="1" ht="34.200000000000003" customHeight="1" thickBot="1" x14ac:dyDescent="0.7">
      <c r="A10" s="339" t="s">
        <v>73</v>
      </c>
      <c r="B10" s="340" t="s">
        <v>74</v>
      </c>
      <c r="C10" s="1056" t="s">
        <v>64</v>
      </c>
      <c r="D10" s="984"/>
      <c r="E10" s="984"/>
      <c r="F10" s="985"/>
      <c r="G10" s="1056" t="s">
        <v>65</v>
      </c>
      <c r="H10" s="984"/>
      <c r="I10" s="985"/>
      <c r="J10" s="353"/>
      <c r="K10" s="1139"/>
      <c r="L10" s="984"/>
      <c r="M10" s="984"/>
      <c r="N10" s="353"/>
      <c r="O10" s="1139"/>
      <c r="P10" s="984"/>
      <c r="Q10" s="984"/>
      <c r="R10" s="353"/>
      <c r="S10" s="1139"/>
      <c r="T10" s="984"/>
      <c r="U10" s="984"/>
      <c r="V10" s="370"/>
      <c r="W10" s="1139"/>
      <c r="X10" s="984"/>
      <c r="Y10" s="984"/>
      <c r="Z10" s="984"/>
      <c r="AA10" s="984"/>
      <c r="AB10" s="472"/>
      <c r="AC10" s="362"/>
      <c r="AD10" s="356"/>
      <c r="AE10" s="356"/>
    </row>
    <row r="11" spans="1:54" s="357" customFormat="1" ht="34.200000000000003" customHeight="1" thickBot="1" x14ac:dyDescent="0.7">
      <c r="A11" s="339" t="s">
        <v>82</v>
      </c>
      <c r="B11" s="340" t="s">
        <v>400</v>
      </c>
      <c r="C11" s="986"/>
      <c r="D11" s="1042"/>
      <c r="E11" s="1042"/>
      <c r="F11" s="979"/>
      <c r="G11" s="986"/>
      <c r="H11" s="1042"/>
      <c r="I11" s="979"/>
      <c r="J11" s="360"/>
      <c r="K11" s="1125"/>
      <c r="L11" s="1042"/>
      <c r="M11" s="1042"/>
      <c r="N11" s="360"/>
      <c r="O11" s="1125"/>
      <c r="P11" s="1042"/>
      <c r="Q11" s="1042"/>
      <c r="R11" s="360"/>
      <c r="S11" s="1125"/>
      <c r="T11" s="1042"/>
      <c r="U11" s="1042"/>
      <c r="V11" s="364"/>
      <c r="W11" s="1125"/>
      <c r="X11" s="1042"/>
      <c r="Y11" s="1042"/>
      <c r="Z11" s="1042"/>
      <c r="AA11" s="1042"/>
      <c r="AB11" s="472"/>
      <c r="AC11" s="362"/>
      <c r="AD11" s="356"/>
      <c r="AE11" s="356"/>
    </row>
    <row r="12" spans="1:54" s="357" customFormat="1" ht="34.200000000000003" customHeight="1" thickBot="1" x14ac:dyDescent="0.7">
      <c r="A12" s="377" t="s">
        <v>90</v>
      </c>
      <c r="B12" s="378">
        <v>182948</v>
      </c>
      <c r="C12" s="986"/>
      <c r="D12" s="1042"/>
      <c r="E12" s="1042"/>
      <c r="F12" s="979"/>
      <c r="G12" s="986"/>
      <c r="H12" s="1042"/>
      <c r="I12" s="979"/>
      <c r="J12" s="360"/>
      <c r="K12" s="1125"/>
      <c r="L12" s="1042"/>
      <c r="M12" s="1042"/>
      <c r="N12" s="360"/>
      <c r="O12" s="1125"/>
      <c r="P12" s="1042"/>
      <c r="Q12" s="1042"/>
      <c r="R12" s="360"/>
      <c r="S12" s="1125"/>
      <c r="T12" s="1042"/>
      <c r="U12" s="1042"/>
      <c r="V12" s="364"/>
      <c r="W12" s="1134"/>
      <c r="X12" s="1042"/>
      <c r="Y12" s="1042"/>
      <c r="Z12" s="1042"/>
      <c r="AA12" s="1042"/>
      <c r="AB12" s="472"/>
      <c r="AC12" s="362"/>
      <c r="AD12" s="356"/>
      <c r="AE12" s="356"/>
    </row>
    <row r="13" spans="1:54" s="357" customFormat="1" ht="34.200000000000003" customHeight="1" thickBot="1" x14ac:dyDescent="0.7">
      <c r="A13" s="379"/>
      <c r="C13" s="987"/>
      <c r="D13" s="975"/>
      <c r="E13" s="975"/>
      <c r="F13" s="976"/>
      <c r="G13" s="987"/>
      <c r="H13" s="975"/>
      <c r="I13" s="976"/>
      <c r="J13" s="367"/>
      <c r="K13" s="1144"/>
      <c r="L13" s="975"/>
      <c r="M13" s="975"/>
      <c r="N13" s="367"/>
      <c r="O13" s="1144"/>
      <c r="P13" s="975"/>
      <c r="Q13" s="975"/>
      <c r="R13" s="367"/>
      <c r="S13" s="1237"/>
      <c r="T13" s="975"/>
      <c r="U13" s="975"/>
      <c r="V13" s="368"/>
      <c r="W13" s="1144"/>
      <c r="X13" s="975"/>
      <c r="Y13" s="975"/>
      <c r="Z13" s="975"/>
      <c r="AA13" s="975"/>
      <c r="AB13" s="473"/>
      <c r="AC13" s="362"/>
      <c r="AD13" s="356"/>
      <c r="AE13" s="356"/>
    </row>
    <row r="14" spans="1:54" s="357" customFormat="1" ht="34.200000000000003" customHeight="1" thickBot="1" x14ac:dyDescent="0.7">
      <c r="A14" s="1192"/>
      <c r="B14" s="1000"/>
      <c r="C14" s="1000"/>
      <c r="D14" s="1000"/>
      <c r="E14" s="1000"/>
      <c r="F14" s="1000"/>
      <c r="G14" s="1000"/>
      <c r="H14" s="1000"/>
      <c r="I14" s="1000"/>
      <c r="J14" s="1000"/>
      <c r="K14" s="1000"/>
      <c r="L14" s="1000"/>
      <c r="M14" s="1000"/>
      <c r="N14" s="1000"/>
      <c r="O14" s="1000"/>
      <c r="P14" s="1000"/>
      <c r="Q14" s="1000"/>
      <c r="R14" s="1000"/>
      <c r="S14" s="1000"/>
      <c r="T14" s="1000"/>
      <c r="U14" s="1000"/>
      <c r="V14" s="1000"/>
      <c r="W14" s="1000"/>
      <c r="X14" s="1000"/>
      <c r="Y14" s="1000"/>
      <c r="Z14" s="1000"/>
      <c r="AA14" s="1000"/>
      <c r="AB14" s="1001"/>
    </row>
    <row r="15" spans="1:54" s="357" customFormat="1" ht="34.200000000000003" customHeight="1" thickBot="1" x14ac:dyDescent="0.7">
      <c r="A15" s="1057" t="s">
        <v>98</v>
      </c>
      <c r="B15" s="1072" t="s">
        <v>99</v>
      </c>
      <c r="C15" s="381" t="s">
        <v>100</v>
      </c>
      <c r="D15" s="382"/>
      <c r="E15" s="382"/>
      <c r="F15" s="382"/>
      <c r="G15" s="382"/>
      <c r="H15" s="382"/>
      <c r="I15" s="382"/>
      <c r="J15" s="382"/>
      <c r="K15" s="382"/>
      <c r="L15" s="382"/>
      <c r="M15" s="382"/>
      <c r="N15" s="382"/>
      <c r="O15" s="382"/>
      <c r="P15" s="382"/>
      <c r="Q15" s="382"/>
      <c r="R15" s="382"/>
      <c r="S15" s="382"/>
      <c r="T15" s="382"/>
      <c r="U15" s="382"/>
      <c r="V15" s="382"/>
      <c r="W15" s="382"/>
      <c r="X15" s="382"/>
      <c r="Y15" s="382"/>
      <c r="Z15" s="382"/>
      <c r="AA15" s="382"/>
      <c r="AB15" s="382"/>
    </row>
    <row r="16" spans="1:54" s="357" customFormat="1" ht="34.200000000000003" customHeight="1" thickBot="1" x14ac:dyDescent="0.7">
      <c r="A16" s="986"/>
      <c r="B16" s="997"/>
      <c r="C16" s="260" t="s">
        <v>101</v>
      </c>
      <c r="D16" s="261"/>
      <c r="E16" s="262"/>
      <c r="F16" s="262"/>
      <c r="G16" s="263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1038" t="s">
        <v>102</v>
      </c>
      <c r="V16" s="1000"/>
      <c r="W16" s="1000"/>
      <c r="X16" s="1000"/>
      <c r="Y16" s="1000"/>
      <c r="Z16" s="1001"/>
      <c r="AA16" s="1091" t="s">
        <v>427</v>
      </c>
      <c r="AB16" s="1001"/>
    </row>
    <row r="17" spans="1:57" s="357" customFormat="1" ht="34.200000000000003" customHeight="1" thickBot="1" x14ac:dyDescent="0.7">
      <c r="A17" s="987"/>
      <c r="B17" s="1013"/>
      <c r="C17" s="1085">
        <v>1</v>
      </c>
      <c r="D17" s="994"/>
      <c r="E17" s="1046">
        <v>2</v>
      </c>
      <c r="F17" s="994"/>
      <c r="G17" s="1046">
        <v>3</v>
      </c>
      <c r="H17" s="994"/>
      <c r="I17" s="1046">
        <v>4</v>
      </c>
      <c r="J17" s="994"/>
      <c r="K17" s="1046">
        <v>5</v>
      </c>
      <c r="L17" s="994"/>
      <c r="M17" s="1046">
        <v>6</v>
      </c>
      <c r="N17" s="994"/>
      <c r="O17" s="1046">
        <v>7</v>
      </c>
      <c r="P17" s="994"/>
      <c r="Q17" s="1046">
        <v>8</v>
      </c>
      <c r="R17" s="994"/>
      <c r="S17" s="1046">
        <v>9</v>
      </c>
      <c r="T17" s="994"/>
      <c r="U17" s="1046">
        <v>10</v>
      </c>
      <c r="V17" s="994"/>
      <c r="W17" s="1046">
        <v>11</v>
      </c>
      <c r="X17" s="994"/>
      <c r="Y17" s="1046">
        <v>12</v>
      </c>
      <c r="Z17" s="994"/>
      <c r="AA17" s="266" t="s">
        <v>104</v>
      </c>
      <c r="AB17" s="267" t="s">
        <v>105</v>
      </c>
      <c r="AG17" s="393"/>
      <c r="AH17" s="393"/>
      <c r="AI17" s="393"/>
      <c r="AJ17" s="393"/>
      <c r="AK17" s="393"/>
      <c r="AL17" s="393"/>
      <c r="AM17" s="393"/>
      <c r="AN17" s="393"/>
      <c r="AO17" s="393"/>
      <c r="AP17" s="393"/>
      <c r="AQ17" s="393"/>
      <c r="AR17" s="393"/>
      <c r="AS17" s="393"/>
      <c r="AT17" s="393"/>
      <c r="AU17" s="393"/>
      <c r="AV17" s="393"/>
      <c r="AW17" s="393"/>
      <c r="AX17" s="393"/>
      <c r="AY17" s="393"/>
      <c r="AZ17" s="393"/>
      <c r="BA17" s="393"/>
      <c r="BB17" s="393"/>
      <c r="BC17" s="393"/>
      <c r="BD17" s="393"/>
      <c r="BE17" s="393"/>
    </row>
    <row r="18" spans="1:57" ht="40.049999999999997" customHeight="1" thickBot="1" x14ac:dyDescent="0.7">
      <c r="A18" s="268" t="s">
        <v>106</v>
      </c>
      <c r="B18" s="269" t="s">
        <v>107</v>
      </c>
      <c r="C18" s="270" t="s">
        <v>108</v>
      </c>
      <c r="D18" s="271" t="s">
        <v>109</v>
      </c>
      <c r="E18" s="272" t="s">
        <v>108</v>
      </c>
      <c r="F18" s="271" t="s">
        <v>109</v>
      </c>
      <c r="G18" s="272" t="s">
        <v>108</v>
      </c>
      <c r="H18" s="271" t="s">
        <v>109</v>
      </c>
      <c r="I18" s="272" t="s">
        <v>108</v>
      </c>
      <c r="J18" s="271" t="s">
        <v>109</v>
      </c>
      <c r="K18" s="272" t="s">
        <v>108</v>
      </c>
      <c r="L18" s="271" t="s">
        <v>109</v>
      </c>
      <c r="M18" s="272" t="s">
        <v>108</v>
      </c>
      <c r="N18" s="271" t="s">
        <v>109</v>
      </c>
      <c r="O18" s="272" t="s">
        <v>108</v>
      </c>
      <c r="P18" s="271" t="s">
        <v>109</v>
      </c>
      <c r="Q18" s="272" t="s">
        <v>108</v>
      </c>
      <c r="R18" s="271" t="s">
        <v>109</v>
      </c>
      <c r="S18" s="272" t="s">
        <v>108</v>
      </c>
      <c r="T18" s="271" t="s">
        <v>109</v>
      </c>
      <c r="U18" s="272" t="s">
        <v>108</v>
      </c>
      <c r="V18" s="271" t="s">
        <v>109</v>
      </c>
      <c r="W18" s="272" t="s">
        <v>108</v>
      </c>
      <c r="X18" s="271" t="s">
        <v>109</v>
      </c>
      <c r="Y18" s="272" t="s">
        <v>108</v>
      </c>
      <c r="Z18" s="271" t="s">
        <v>109</v>
      </c>
      <c r="AA18" s="271"/>
      <c r="AB18" s="273"/>
      <c r="AG18" s="393"/>
      <c r="AH18" s="393"/>
      <c r="AI18" s="393"/>
      <c r="AJ18" s="393"/>
      <c r="AK18" s="393"/>
      <c r="AL18" s="393"/>
      <c r="AM18" s="393"/>
      <c r="AN18" s="393"/>
      <c r="AO18" s="393"/>
      <c r="AP18" s="393"/>
      <c r="AQ18" s="393"/>
      <c r="AR18" s="393"/>
      <c r="AS18" s="393"/>
      <c r="AT18" s="393"/>
      <c r="AU18" s="393"/>
      <c r="AV18" s="393"/>
      <c r="AW18" s="393"/>
      <c r="AX18" s="393"/>
      <c r="AY18" s="393"/>
      <c r="AZ18" s="393"/>
      <c r="BA18" s="393"/>
      <c r="BB18" s="393"/>
      <c r="BC18" s="393"/>
      <c r="BD18" s="393"/>
      <c r="BE18" s="393"/>
    </row>
    <row r="19" spans="1:57" ht="40.049999999999997" customHeight="1" x14ac:dyDescent="0.65">
      <c r="A19" s="274" t="s">
        <v>110</v>
      </c>
      <c r="B19" s="275" t="s">
        <v>111</v>
      </c>
      <c r="C19" s="276"/>
      <c r="D19" s="277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80"/>
      <c r="AC19" s="357"/>
      <c r="AD19" s="357"/>
      <c r="AE19" s="357"/>
      <c r="AF19" s="357"/>
      <c r="AG19" s="393"/>
      <c r="AH19" s="393"/>
      <c r="AI19" s="393"/>
      <c r="AJ19" s="393"/>
      <c r="AK19" s="393"/>
      <c r="AL19" s="393"/>
      <c r="AM19" s="393"/>
      <c r="AN19" s="393"/>
      <c r="AO19" s="393"/>
      <c r="AP19" s="393"/>
      <c r="AQ19" s="393"/>
      <c r="AR19" s="393"/>
      <c r="AS19" s="393"/>
      <c r="AT19" s="393"/>
      <c r="AU19" s="393"/>
      <c r="AV19" s="393"/>
      <c r="AW19" s="393"/>
      <c r="AX19" s="393"/>
      <c r="AY19" s="393"/>
      <c r="AZ19" s="393"/>
      <c r="BA19" s="393"/>
      <c r="BB19" s="393"/>
      <c r="BC19" s="393"/>
      <c r="BD19" s="393"/>
      <c r="BE19" s="393"/>
    </row>
    <row r="20" spans="1:57" ht="40.049999999999997" customHeight="1" x14ac:dyDescent="0.65">
      <c r="A20" s="281" t="s">
        <v>112</v>
      </c>
      <c r="B20" s="900" t="s">
        <v>113</v>
      </c>
      <c r="C20" s="283" t="s">
        <v>408</v>
      </c>
      <c r="D20" s="284"/>
      <c r="E20" s="283" t="s">
        <v>408</v>
      </c>
      <c r="F20" s="285"/>
      <c r="G20" s="283" t="s">
        <v>408</v>
      </c>
      <c r="H20" s="285"/>
      <c r="I20" s="283" t="s">
        <v>408</v>
      </c>
      <c r="J20" s="285"/>
      <c r="K20" s="283" t="s">
        <v>407</v>
      </c>
      <c r="L20" s="285"/>
      <c r="M20" s="283" t="s">
        <v>407</v>
      </c>
      <c r="N20" s="285"/>
      <c r="O20" s="283" t="s">
        <v>407</v>
      </c>
      <c r="P20" s="285"/>
      <c r="Q20" s="283" t="s">
        <v>408</v>
      </c>
      <c r="R20" s="285"/>
      <c r="S20" s="283" t="s">
        <v>408</v>
      </c>
      <c r="T20" s="285"/>
      <c r="U20" s="283" t="s">
        <v>408</v>
      </c>
      <c r="V20" s="285"/>
      <c r="W20" s="283" t="s">
        <v>408</v>
      </c>
      <c r="X20" s="285"/>
      <c r="Y20" s="285" t="s">
        <v>408</v>
      </c>
      <c r="Z20" s="285"/>
      <c r="AA20" s="286">
        <f t="shared" ref="AA20:AA26" si="0">COUNTIF(C20:Z20,"&gt;=R")</f>
        <v>12</v>
      </c>
      <c r="AB20" s="287">
        <f t="shared" ref="AB20:AB26" si="1">AA20</f>
        <v>12</v>
      </c>
      <c r="AG20" s="393"/>
      <c r="AH20" s="393"/>
      <c r="AI20" s="393"/>
      <c r="AJ20" s="393"/>
      <c r="AK20" s="393"/>
      <c r="AL20" s="393"/>
      <c r="AM20" s="393"/>
      <c r="AN20" s="393"/>
      <c r="AO20" s="393"/>
      <c r="AP20" s="393"/>
      <c r="AQ20" s="393"/>
      <c r="AR20" s="393"/>
      <c r="AS20" s="393"/>
      <c r="AT20" s="393"/>
      <c r="AU20" s="393"/>
      <c r="AV20" s="393"/>
      <c r="AW20" s="393"/>
      <c r="AX20" s="393"/>
      <c r="AY20" s="393"/>
      <c r="AZ20" s="393"/>
      <c r="BA20" s="393"/>
      <c r="BB20" s="393"/>
      <c r="BC20" s="393"/>
      <c r="BD20" s="393"/>
      <c r="BE20" s="393"/>
    </row>
    <row r="21" spans="1:57" ht="40.049999999999997" customHeight="1" x14ac:dyDescent="0.65">
      <c r="A21" s="281" t="s">
        <v>114</v>
      </c>
      <c r="B21" s="900" t="s">
        <v>115</v>
      </c>
      <c r="C21" s="912" t="s">
        <v>409</v>
      </c>
      <c r="D21" s="284"/>
      <c r="E21" s="673" t="s">
        <v>409</v>
      </c>
      <c r="F21" s="285"/>
      <c r="G21" s="674" t="s">
        <v>16</v>
      </c>
      <c r="H21" s="285"/>
      <c r="I21" s="674" t="s">
        <v>16</v>
      </c>
      <c r="J21" s="285"/>
      <c r="K21" s="283" t="s">
        <v>407</v>
      </c>
      <c r="L21" s="285"/>
      <c r="M21" s="283" t="s">
        <v>407</v>
      </c>
      <c r="N21" s="285"/>
      <c r="O21" s="283" t="s">
        <v>407</v>
      </c>
      <c r="P21" s="285"/>
      <c r="Q21" s="283" t="s">
        <v>26</v>
      </c>
      <c r="R21" s="285"/>
      <c r="S21" s="673" t="s">
        <v>409</v>
      </c>
      <c r="T21" s="285"/>
      <c r="U21" s="673" t="s">
        <v>409</v>
      </c>
      <c r="V21" s="285"/>
      <c r="W21" s="673" t="s">
        <v>409</v>
      </c>
      <c r="X21" s="285"/>
      <c r="Y21" s="673" t="s">
        <v>409</v>
      </c>
      <c r="Z21" s="285"/>
      <c r="AA21" s="286">
        <f t="shared" si="0"/>
        <v>12</v>
      </c>
      <c r="AB21" s="287">
        <f t="shared" si="1"/>
        <v>12</v>
      </c>
      <c r="AG21" s="393"/>
      <c r="AH21" s="393"/>
      <c r="AI21" s="393"/>
      <c r="AJ21" s="393"/>
      <c r="AK21" s="393"/>
      <c r="AL21" s="393"/>
      <c r="AM21" s="393"/>
      <c r="AN21" s="393"/>
      <c r="AO21" s="393"/>
      <c r="AP21" s="393"/>
      <c r="AQ21" s="393"/>
      <c r="AR21" s="393"/>
      <c r="AS21" s="393"/>
      <c r="AT21" s="393"/>
      <c r="AU21" s="393"/>
      <c r="AV21" s="393"/>
      <c r="AW21" s="393"/>
      <c r="AX21" s="393"/>
      <c r="AY21" s="393"/>
      <c r="AZ21" s="393"/>
      <c r="BA21" s="393"/>
      <c r="BB21" s="393"/>
      <c r="BC21" s="393"/>
      <c r="BD21" s="393"/>
      <c r="BE21" s="393"/>
    </row>
    <row r="22" spans="1:57" ht="40.049999999999997" customHeight="1" x14ac:dyDescent="0.65">
      <c r="A22" s="281" t="s">
        <v>116</v>
      </c>
      <c r="B22" s="900" t="s">
        <v>117</v>
      </c>
      <c r="C22" s="726" t="s">
        <v>84</v>
      </c>
      <c r="D22" s="284"/>
      <c r="E22" s="674" t="s">
        <v>16</v>
      </c>
      <c r="F22" s="285"/>
      <c r="G22" s="674" t="s">
        <v>16</v>
      </c>
      <c r="H22" s="285"/>
      <c r="I22" s="674" t="s">
        <v>16</v>
      </c>
      <c r="J22" s="285"/>
      <c r="K22" s="283" t="s">
        <v>408</v>
      </c>
      <c r="L22" s="285"/>
      <c r="M22" s="283" t="s">
        <v>408</v>
      </c>
      <c r="N22" s="285"/>
      <c r="O22" s="283" t="s">
        <v>408</v>
      </c>
      <c r="P22" s="285"/>
      <c r="Q22" s="283" t="s">
        <v>26</v>
      </c>
      <c r="R22" s="285"/>
      <c r="S22" s="674" t="s">
        <v>16</v>
      </c>
      <c r="T22" s="285"/>
      <c r="U22" s="674" t="s">
        <v>16</v>
      </c>
      <c r="V22" s="285"/>
      <c r="W22" s="674" t="s">
        <v>16</v>
      </c>
      <c r="X22" s="285"/>
      <c r="Y22" s="674" t="s">
        <v>16</v>
      </c>
      <c r="Z22" s="285"/>
      <c r="AA22" s="286">
        <f t="shared" si="0"/>
        <v>12</v>
      </c>
      <c r="AB22" s="287">
        <f t="shared" si="1"/>
        <v>12</v>
      </c>
      <c r="AG22" s="393"/>
      <c r="AH22" s="393"/>
      <c r="AI22" s="393"/>
      <c r="AJ22" s="393"/>
      <c r="AK22" s="393"/>
      <c r="AL22" s="393"/>
      <c r="AM22" s="393"/>
      <c r="AN22" s="393"/>
      <c r="AO22" s="393"/>
      <c r="AP22" s="393"/>
      <c r="AQ22" s="393"/>
      <c r="AR22" s="393"/>
      <c r="AS22" s="393"/>
      <c r="AT22" s="393"/>
      <c r="AU22" s="393"/>
      <c r="AV22" s="393"/>
      <c r="AW22" s="393"/>
      <c r="AX22" s="393"/>
      <c r="AY22" s="393"/>
      <c r="AZ22" s="393"/>
      <c r="BA22" s="393"/>
      <c r="BB22" s="393"/>
      <c r="BC22" s="393"/>
      <c r="BD22" s="393"/>
      <c r="BE22" s="393"/>
    </row>
    <row r="23" spans="1:57" ht="40.049999999999997" customHeight="1" x14ac:dyDescent="0.65">
      <c r="A23" s="281" t="s">
        <v>118</v>
      </c>
      <c r="B23" s="900" t="s">
        <v>119</v>
      </c>
      <c r="C23" s="895" t="s">
        <v>16</v>
      </c>
      <c r="D23" s="284"/>
      <c r="E23" s="674" t="s">
        <v>16</v>
      </c>
      <c r="F23" s="285"/>
      <c r="G23" s="674" t="s">
        <v>16</v>
      </c>
      <c r="H23" s="285"/>
      <c r="I23" s="674" t="s">
        <v>16</v>
      </c>
      <c r="J23" s="285"/>
      <c r="K23" s="283" t="s">
        <v>408</v>
      </c>
      <c r="L23" s="285"/>
      <c r="M23" s="283" t="s">
        <v>408</v>
      </c>
      <c r="N23" s="285"/>
      <c r="O23" s="283" t="s">
        <v>408</v>
      </c>
      <c r="P23" s="285"/>
      <c r="Q23" s="283" t="s">
        <v>26</v>
      </c>
      <c r="R23" s="285"/>
      <c r="S23" s="674" t="s">
        <v>16</v>
      </c>
      <c r="T23" s="285"/>
      <c r="U23" s="674" t="s">
        <v>16</v>
      </c>
      <c r="V23" s="285"/>
      <c r="W23" s="674" t="s">
        <v>16</v>
      </c>
      <c r="X23" s="285"/>
      <c r="Y23" s="674" t="s">
        <v>16</v>
      </c>
      <c r="Z23" s="285"/>
      <c r="AA23" s="286">
        <f t="shared" si="0"/>
        <v>12</v>
      </c>
      <c r="AB23" s="287">
        <f t="shared" si="1"/>
        <v>12</v>
      </c>
      <c r="AG23" s="393"/>
      <c r="AH23" s="393"/>
      <c r="AI23" s="393"/>
      <c r="AJ23" s="393"/>
      <c r="AK23" s="393"/>
      <c r="AL23" s="393"/>
      <c r="AM23" s="393"/>
      <c r="AN23" s="393"/>
      <c r="AO23" s="393"/>
      <c r="AP23" s="393"/>
      <c r="AQ23" s="393"/>
      <c r="AR23" s="393"/>
      <c r="AS23" s="393"/>
      <c r="AT23" s="393"/>
      <c r="AU23" s="393"/>
      <c r="AV23" s="393"/>
      <c r="AW23" s="393"/>
      <c r="AX23" s="393"/>
      <c r="AY23" s="393"/>
      <c r="AZ23" s="393"/>
      <c r="BA23" s="393"/>
      <c r="BB23" s="393"/>
      <c r="BC23" s="393"/>
      <c r="BD23" s="393"/>
      <c r="BE23" s="393"/>
    </row>
    <row r="24" spans="1:57" ht="40.049999999999997" customHeight="1" x14ac:dyDescent="0.65">
      <c r="A24" s="281" t="s">
        <v>120</v>
      </c>
      <c r="B24" s="900" t="s">
        <v>121</v>
      </c>
      <c r="C24" s="284" t="s">
        <v>26</v>
      </c>
      <c r="D24" s="284"/>
      <c r="E24" s="285" t="s">
        <v>26</v>
      </c>
      <c r="F24" s="285"/>
      <c r="G24" s="285" t="s">
        <v>26</v>
      </c>
      <c r="H24" s="285"/>
      <c r="I24" s="285" t="s">
        <v>26</v>
      </c>
      <c r="J24" s="285"/>
      <c r="K24" s="283" t="s">
        <v>408</v>
      </c>
      <c r="L24" s="285"/>
      <c r="M24" s="283" t="s">
        <v>408</v>
      </c>
      <c r="N24" s="285"/>
      <c r="O24" s="283" t="s">
        <v>408</v>
      </c>
      <c r="P24" s="285"/>
      <c r="Q24" s="285" t="s">
        <v>83</v>
      </c>
      <c r="R24" s="285"/>
      <c r="S24" s="285" t="s">
        <v>26</v>
      </c>
      <c r="T24" s="285"/>
      <c r="U24" s="285" t="s">
        <v>26</v>
      </c>
      <c r="V24" s="288"/>
      <c r="W24" s="285" t="s">
        <v>26</v>
      </c>
      <c r="X24" s="285"/>
      <c r="Y24" s="285" t="s">
        <v>26</v>
      </c>
      <c r="Z24" s="285"/>
      <c r="AA24" s="286">
        <f t="shared" si="0"/>
        <v>12</v>
      </c>
      <c r="AB24" s="287">
        <f t="shared" si="1"/>
        <v>12</v>
      </c>
      <c r="AG24" s="393"/>
      <c r="AH24" s="393"/>
      <c r="AI24" s="393"/>
      <c r="AJ24" s="393"/>
      <c r="AK24" s="393"/>
      <c r="AL24" s="393"/>
      <c r="AM24" s="393"/>
      <c r="AN24" s="393"/>
      <c r="AO24" s="393"/>
      <c r="AP24" s="393"/>
      <c r="AQ24" s="393"/>
      <c r="AR24" s="393"/>
      <c r="AS24" s="393"/>
      <c r="AT24" s="393"/>
      <c r="AU24" s="393"/>
      <c r="AV24" s="393"/>
      <c r="AW24" s="393"/>
      <c r="AX24" s="393"/>
      <c r="AY24" s="393"/>
      <c r="AZ24" s="393"/>
      <c r="BA24" s="393"/>
      <c r="BB24" s="393"/>
      <c r="BC24" s="393"/>
      <c r="BD24" s="393"/>
      <c r="BE24" s="393"/>
    </row>
    <row r="25" spans="1:57" ht="40.049999999999997" customHeight="1" x14ac:dyDescent="0.65">
      <c r="A25" s="281" t="s">
        <v>122</v>
      </c>
      <c r="B25" s="900" t="s">
        <v>123</v>
      </c>
      <c r="C25" s="284" t="s">
        <v>26</v>
      </c>
      <c r="D25" s="284"/>
      <c r="E25" s="285" t="s">
        <v>26</v>
      </c>
      <c r="F25" s="285"/>
      <c r="G25" s="285" t="s">
        <v>26</v>
      </c>
      <c r="H25" s="285"/>
      <c r="I25" s="285" t="s">
        <v>26</v>
      </c>
      <c r="J25" s="285"/>
      <c r="K25" s="283" t="s">
        <v>408</v>
      </c>
      <c r="L25" s="285"/>
      <c r="M25" s="283" t="s">
        <v>408</v>
      </c>
      <c r="N25" s="285"/>
      <c r="O25" s="283" t="s">
        <v>408</v>
      </c>
      <c r="P25" s="285"/>
      <c r="Q25" s="285" t="s">
        <v>83</v>
      </c>
      <c r="R25" s="285"/>
      <c r="S25" s="285" t="s">
        <v>26</v>
      </c>
      <c r="T25" s="285"/>
      <c r="U25" s="285" t="s">
        <v>26</v>
      </c>
      <c r="V25" s="288"/>
      <c r="W25" s="285" t="s">
        <v>26</v>
      </c>
      <c r="X25" s="285"/>
      <c r="Y25" s="285" t="s">
        <v>26</v>
      </c>
      <c r="Z25" s="285"/>
      <c r="AA25" s="286">
        <f t="shared" si="0"/>
        <v>12</v>
      </c>
      <c r="AB25" s="287">
        <f t="shared" si="1"/>
        <v>12</v>
      </c>
      <c r="AG25" s="393"/>
      <c r="AH25" s="393"/>
      <c r="AI25" s="393"/>
      <c r="AJ25" s="393"/>
      <c r="AK25" s="393"/>
      <c r="AL25" s="393"/>
      <c r="AM25" s="393"/>
      <c r="AN25" s="393"/>
      <c r="AO25" s="393"/>
      <c r="AP25" s="393"/>
      <c r="AQ25" s="393"/>
      <c r="AR25" s="393"/>
      <c r="AS25" s="393"/>
      <c r="AT25" s="393"/>
      <c r="AU25" s="393"/>
      <c r="AV25" s="393"/>
      <c r="AW25" s="393"/>
      <c r="AX25" s="393"/>
      <c r="AY25" s="393"/>
      <c r="AZ25" s="393"/>
      <c r="BA25" s="393"/>
      <c r="BB25" s="393"/>
      <c r="BC25" s="393"/>
      <c r="BD25" s="393"/>
      <c r="BE25" s="393"/>
    </row>
    <row r="26" spans="1:57" ht="40.049999999999997" customHeight="1" x14ac:dyDescent="0.65">
      <c r="A26" s="281" t="s">
        <v>124</v>
      </c>
      <c r="B26" s="900" t="s">
        <v>125</v>
      </c>
      <c r="C26" s="284" t="s">
        <v>26</v>
      </c>
      <c r="D26" s="284"/>
      <c r="E26" s="285" t="s">
        <v>26</v>
      </c>
      <c r="F26" s="285"/>
      <c r="G26" s="285" t="s">
        <v>26</v>
      </c>
      <c r="H26" s="285"/>
      <c r="I26" s="285" t="s">
        <v>26</v>
      </c>
      <c r="J26" s="285"/>
      <c r="K26" s="283" t="s">
        <v>408</v>
      </c>
      <c r="L26" s="285"/>
      <c r="M26" s="283" t="s">
        <v>408</v>
      </c>
      <c r="N26" s="285"/>
      <c r="O26" s="283" t="s">
        <v>408</v>
      </c>
      <c r="P26" s="285"/>
      <c r="Q26" s="285" t="s">
        <v>83</v>
      </c>
      <c r="R26" s="285"/>
      <c r="S26" s="285" t="s">
        <v>26</v>
      </c>
      <c r="T26" s="285"/>
      <c r="U26" s="285" t="s">
        <v>26</v>
      </c>
      <c r="V26" s="288"/>
      <c r="W26" s="285" t="s">
        <v>26</v>
      </c>
      <c r="X26" s="285"/>
      <c r="Y26" s="285" t="s">
        <v>26</v>
      </c>
      <c r="Z26" s="285"/>
      <c r="AA26" s="286">
        <f t="shared" si="0"/>
        <v>12</v>
      </c>
      <c r="AB26" s="287">
        <f t="shared" si="1"/>
        <v>12</v>
      </c>
      <c r="AG26" s="393"/>
      <c r="AH26" s="393"/>
      <c r="AI26" s="393"/>
      <c r="AJ26" s="393"/>
      <c r="AK26" s="393"/>
      <c r="AL26" s="393"/>
      <c r="AM26" s="393"/>
      <c r="AN26" s="393"/>
      <c r="AO26" s="393"/>
      <c r="AP26" s="393"/>
      <c r="AQ26" s="393"/>
      <c r="AR26" s="393"/>
      <c r="AS26" s="393"/>
      <c r="AT26" s="393"/>
      <c r="AU26" s="393"/>
      <c r="AV26" s="393"/>
      <c r="AW26" s="393"/>
      <c r="AX26" s="393"/>
      <c r="AY26" s="393"/>
      <c r="AZ26" s="393"/>
      <c r="BA26" s="393"/>
      <c r="BB26" s="393"/>
      <c r="BC26" s="393"/>
      <c r="BD26" s="393"/>
      <c r="BE26" s="393"/>
    </row>
    <row r="27" spans="1:57" ht="40.049999999999997" customHeight="1" x14ac:dyDescent="0.65">
      <c r="A27" s="289" t="s">
        <v>126</v>
      </c>
      <c r="B27" s="913" t="s">
        <v>127</v>
      </c>
      <c r="C27" s="292"/>
      <c r="D27" s="292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  <c r="U27" s="293"/>
      <c r="V27" s="293"/>
      <c r="W27" s="293"/>
      <c r="X27" s="293"/>
      <c r="Y27" s="293"/>
      <c r="Z27" s="293"/>
      <c r="AA27" s="293"/>
      <c r="AB27" s="295"/>
      <c r="AC27" s="357"/>
      <c r="AD27" s="357"/>
      <c r="AE27" s="357"/>
      <c r="AF27" s="357"/>
      <c r="AG27" s="393"/>
      <c r="AH27" s="393"/>
      <c r="AI27" s="393"/>
      <c r="AJ27" s="393"/>
      <c r="AK27" s="393"/>
      <c r="AL27" s="393"/>
      <c r="AM27" s="393"/>
      <c r="AN27" s="393"/>
      <c r="AO27" s="393"/>
      <c r="AP27" s="393"/>
      <c r="AQ27" s="393"/>
      <c r="AR27" s="393"/>
      <c r="AS27" s="393"/>
      <c r="AT27" s="393"/>
      <c r="AU27" s="393"/>
      <c r="AV27" s="393"/>
      <c r="AW27" s="393"/>
      <c r="AX27" s="393"/>
      <c r="AY27" s="393"/>
      <c r="AZ27" s="393"/>
      <c r="BA27" s="393"/>
      <c r="BB27" s="393"/>
      <c r="BC27" s="393"/>
      <c r="BD27" s="393"/>
      <c r="BE27" s="393"/>
    </row>
    <row r="28" spans="1:57" ht="40.049999999999997" customHeight="1" x14ac:dyDescent="0.65">
      <c r="A28" s="281" t="s">
        <v>128</v>
      </c>
      <c r="B28" s="900" t="s">
        <v>129</v>
      </c>
      <c r="C28" s="284" t="s">
        <v>26</v>
      </c>
      <c r="D28" s="284"/>
      <c r="E28" s="285" t="s">
        <v>26</v>
      </c>
      <c r="F28" s="285"/>
      <c r="G28" s="285" t="s">
        <v>26</v>
      </c>
      <c r="H28" s="285"/>
      <c r="I28" s="285" t="s">
        <v>26</v>
      </c>
      <c r="J28" s="285"/>
      <c r="K28" s="671" t="s">
        <v>408</v>
      </c>
      <c r="L28" s="285"/>
      <c r="M28" s="671" t="s">
        <v>408</v>
      </c>
      <c r="N28" s="285"/>
      <c r="O28" s="671" t="s">
        <v>408</v>
      </c>
      <c r="P28" s="285"/>
      <c r="Q28" s="285" t="s">
        <v>83</v>
      </c>
      <c r="R28" s="285"/>
      <c r="S28" s="285" t="s">
        <v>26</v>
      </c>
      <c r="T28" s="285"/>
      <c r="U28" s="285" t="s">
        <v>26</v>
      </c>
      <c r="V28" s="288"/>
      <c r="W28" s="285" t="s">
        <v>26</v>
      </c>
      <c r="X28" s="285"/>
      <c r="Y28" s="285" t="s">
        <v>26</v>
      </c>
      <c r="Z28" s="285"/>
      <c r="AA28" s="286">
        <f>COUNTIF(C28:Z28,"&gt;=R")</f>
        <v>12</v>
      </c>
      <c r="AB28" s="287">
        <f>AA28</f>
        <v>12</v>
      </c>
      <c r="AG28" s="393"/>
      <c r="AH28" s="393"/>
      <c r="AI28" s="393"/>
      <c r="AJ28" s="393"/>
      <c r="AK28" s="393"/>
      <c r="AL28" s="393"/>
      <c r="AM28" s="393"/>
      <c r="AN28" s="393"/>
      <c r="AO28" s="393"/>
      <c r="AP28" s="393"/>
      <c r="AQ28" s="393"/>
      <c r="AR28" s="393"/>
      <c r="AS28" s="393"/>
      <c r="AT28" s="393"/>
      <c r="AU28" s="393"/>
      <c r="AV28" s="393"/>
      <c r="AW28" s="393"/>
      <c r="AX28" s="393"/>
      <c r="AY28" s="393"/>
      <c r="AZ28" s="393"/>
      <c r="BA28" s="393"/>
      <c r="BB28" s="393"/>
      <c r="BC28" s="393"/>
      <c r="BD28" s="393"/>
      <c r="BE28" s="393"/>
    </row>
    <row r="29" spans="1:57" ht="40.049999999999997" customHeight="1" x14ac:dyDescent="0.65">
      <c r="A29" s="281" t="s">
        <v>130</v>
      </c>
      <c r="B29" s="900" t="s">
        <v>131</v>
      </c>
      <c r="C29" s="284" t="s">
        <v>26</v>
      </c>
      <c r="D29" s="284"/>
      <c r="E29" s="285" t="s">
        <v>26</v>
      </c>
      <c r="F29" s="285"/>
      <c r="G29" s="285" t="s">
        <v>26</v>
      </c>
      <c r="H29" s="285"/>
      <c r="I29" s="285" t="s">
        <v>26</v>
      </c>
      <c r="J29" s="285"/>
      <c r="K29" s="671" t="s">
        <v>408</v>
      </c>
      <c r="L29" s="285"/>
      <c r="M29" s="671" t="s">
        <v>408</v>
      </c>
      <c r="N29" s="285"/>
      <c r="O29" s="671" t="s">
        <v>408</v>
      </c>
      <c r="P29" s="285"/>
      <c r="Q29" s="285" t="s">
        <v>83</v>
      </c>
      <c r="R29" s="285"/>
      <c r="S29" s="285" t="s">
        <v>26</v>
      </c>
      <c r="T29" s="285"/>
      <c r="U29" s="285" t="s">
        <v>26</v>
      </c>
      <c r="V29" s="288"/>
      <c r="W29" s="285" t="s">
        <v>26</v>
      </c>
      <c r="X29" s="285"/>
      <c r="Y29" s="285" t="s">
        <v>26</v>
      </c>
      <c r="Z29" s="285"/>
      <c r="AA29" s="286">
        <f>COUNTIF(C29:Z29,"&gt;=R")</f>
        <v>12</v>
      </c>
      <c r="AB29" s="287">
        <f>AA29</f>
        <v>12</v>
      </c>
      <c r="AC29" s="357"/>
      <c r="AD29" s="357"/>
      <c r="AE29" s="357"/>
      <c r="AF29" s="357"/>
      <c r="AG29" s="393"/>
      <c r="AH29" s="393"/>
      <c r="AI29" s="393"/>
      <c r="AJ29" s="393"/>
      <c r="AK29" s="393"/>
      <c r="AL29" s="393"/>
      <c r="AM29" s="393"/>
      <c r="AN29" s="393"/>
      <c r="AO29" s="393"/>
      <c r="AP29" s="393"/>
      <c r="AQ29" s="393"/>
      <c r="AR29" s="393"/>
      <c r="AS29" s="393"/>
      <c r="AT29" s="393"/>
      <c r="AU29" s="393"/>
      <c r="AV29" s="393"/>
      <c r="AW29" s="393"/>
      <c r="AX29" s="393"/>
      <c r="AY29" s="393"/>
      <c r="AZ29" s="393"/>
      <c r="BA29" s="393"/>
      <c r="BB29" s="393"/>
      <c r="BC29" s="393"/>
      <c r="BD29" s="393"/>
      <c r="BE29" s="393"/>
    </row>
    <row r="30" spans="1:57" ht="40.049999999999997" customHeight="1" x14ac:dyDescent="0.65">
      <c r="A30" s="289" t="s">
        <v>132</v>
      </c>
      <c r="B30" s="913" t="s">
        <v>133</v>
      </c>
      <c r="C30" s="291"/>
      <c r="D30" s="292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  <c r="U30" s="293"/>
      <c r="V30" s="293"/>
      <c r="W30" s="293"/>
      <c r="X30" s="293"/>
      <c r="Y30" s="293"/>
      <c r="Z30" s="293"/>
      <c r="AA30" s="293"/>
      <c r="AB30" s="295"/>
      <c r="AC30" s="357"/>
      <c r="AD30" s="357"/>
      <c r="AE30" s="357"/>
      <c r="AF30" s="357"/>
      <c r="AG30" s="393"/>
      <c r="AH30" s="393"/>
      <c r="AI30" s="393"/>
      <c r="AJ30" s="393"/>
      <c r="AK30" s="393"/>
      <c r="AL30" s="393"/>
      <c r="AM30" s="393"/>
      <c r="AN30" s="393"/>
      <c r="AO30" s="393"/>
      <c r="AP30" s="393"/>
      <c r="AQ30" s="393"/>
      <c r="AR30" s="393"/>
      <c r="AS30" s="393"/>
      <c r="AT30" s="393"/>
      <c r="AU30" s="393"/>
      <c r="AV30" s="393"/>
      <c r="AW30" s="393"/>
      <c r="AX30" s="393"/>
      <c r="AY30" s="393"/>
      <c r="AZ30" s="393"/>
      <c r="BA30" s="393"/>
      <c r="BB30" s="393"/>
      <c r="BC30" s="393"/>
      <c r="BD30" s="393"/>
      <c r="BE30" s="393"/>
    </row>
    <row r="31" spans="1:57" ht="40.049999999999997" customHeight="1" x14ac:dyDescent="0.65">
      <c r="A31" s="298" t="s">
        <v>134</v>
      </c>
      <c r="B31" s="900" t="s">
        <v>135</v>
      </c>
      <c r="C31" s="726" t="s">
        <v>84</v>
      </c>
      <c r="D31" s="284"/>
      <c r="E31" s="283" t="s">
        <v>55</v>
      </c>
      <c r="F31" s="285"/>
      <c r="G31" s="283" t="s">
        <v>83</v>
      </c>
      <c r="H31" s="285"/>
      <c r="I31" s="285" t="s">
        <v>83</v>
      </c>
      <c r="J31" s="285"/>
      <c r="K31" s="673" t="s">
        <v>409</v>
      </c>
      <c r="L31" s="285"/>
      <c r="M31" s="673" t="s">
        <v>409</v>
      </c>
      <c r="N31" s="285"/>
      <c r="O31" s="673" t="s">
        <v>409</v>
      </c>
      <c r="P31" s="285"/>
      <c r="Q31" s="718" t="s">
        <v>84</v>
      </c>
      <c r="R31" s="285"/>
      <c r="S31" s="285" t="s">
        <v>55</v>
      </c>
      <c r="T31" s="285"/>
      <c r="U31" s="285" t="s">
        <v>55</v>
      </c>
      <c r="V31" s="285"/>
      <c r="W31" s="285" t="s">
        <v>55</v>
      </c>
      <c r="X31" s="285"/>
      <c r="Y31" s="285" t="s">
        <v>55</v>
      </c>
      <c r="Z31" s="285"/>
      <c r="AA31" s="286">
        <f>COUNTIF(C31:Z31,"&gt;=R")</f>
        <v>12</v>
      </c>
      <c r="AB31" s="287">
        <f>AA31</f>
        <v>12</v>
      </c>
      <c r="AC31" s="357"/>
      <c r="AD31" s="357"/>
      <c r="AE31" s="357"/>
      <c r="AF31" s="357"/>
      <c r="AG31" s="393"/>
      <c r="AH31" s="393"/>
      <c r="AI31" s="393"/>
      <c r="AJ31" s="393"/>
      <c r="AK31" s="393"/>
      <c r="AL31" s="393"/>
      <c r="AM31" s="393"/>
      <c r="AN31" s="393"/>
      <c r="AO31" s="393"/>
      <c r="AP31" s="393"/>
      <c r="AQ31" s="393"/>
      <c r="AR31" s="393"/>
      <c r="AS31" s="393"/>
      <c r="AT31" s="393"/>
      <c r="AU31" s="393"/>
      <c r="AV31" s="393"/>
      <c r="AW31" s="393"/>
      <c r="AX31" s="393"/>
      <c r="AY31" s="393"/>
      <c r="AZ31" s="393"/>
      <c r="BA31" s="393"/>
      <c r="BB31" s="393"/>
      <c r="BC31" s="393"/>
      <c r="BD31" s="393"/>
      <c r="BE31" s="393"/>
    </row>
    <row r="32" spans="1:57" ht="40.049999999999997" customHeight="1" x14ac:dyDescent="0.65">
      <c r="A32" s="289" t="s">
        <v>136</v>
      </c>
      <c r="B32" s="913" t="s">
        <v>137</v>
      </c>
      <c r="C32" s="291"/>
      <c r="D32" s="292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5"/>
      <c r="AC32" s="357"/>
      <c r="AD32" s="357"/>
      <c r="AE32" s="357"/>
      <c r="AF32" s="357"/>
      <c r="AG32" s="393"/>
      <c r="AH32" s="393"/>
      <c r="AI32" s="393"/>
      <c r="AJ32" s="393"/>
      <c r="AK32" s="393"/>
      <c r="AL32" s="393"/>
      <c r="AM32" s="393"/>
      <c r="AN32" s="393"/>
      <c r="AO32" s="393"/>
      <c r="AP32" s="393"/>
      <c r="AQ32" s="393"/>
      <c r="AR32" s="393"/>
      <c r="AS32" s="393"/>
      <c r="AT32" s="393"/>
      <c r="AU32" s="393"/>
      <c r="AV32" s="393"/>
      <c r="AW32" s="393"/>
      <c r="AX32" s="393"/>
      <c r="AY32" s="393"/>
      <c r="AZ32" s="393"/>
      <c r="BA32" s="393"/>
      <c r="BB32" s="393"/>
      <c r="BC32" s="393"/>
      <c r="BD32" s="393"/>
      <c r="BE32" s="393"/>
    </row>
    <row r="33" spans="1:57" ht="40.049999999999997" customHeight="1" x14ac:dyDescent="0.65">
      <c r="A33" s="281" t="s">
        <v>138</v>
      </c>
      <c r="B33" s="900" t="s">
        <v>139</v>
      </c>
      <c r="C33" s="283"/>
      <c r="D33" s="284"/>
      <c r="E33" s="283" t="s">
        <v>55</v>
      </c>
      <c r="F33" s="285"/>
      <c r="G33" s="299" t="s">
        <v>83</v>
      </c>
      <c r="H33" s="285"/>
      <c r="I33" s="285" t="s">
        <v>83</v>
      </c>
      <c r="J33" s="285"/>
      <c r="K33" s="674" t="s">
        <v>16</v>
      </c>
      <c r="L33" s="285"/>
      <c r="M33" s="674" t="s">
        <v>16</v>
      </c>
      <c r="N33" s="285"/>
      <c r="O33" s="674" t="s">
        <v>16</v>
      </c>
      <c r="P33" s="285"/>
      <c r="Q33" s="285"/>
      <c r="R33" s="285"/>
      <c r="S33" s="283" t="s">
        <v>55</v>
      </c>
      <c r="T33" s="299"/>
      <c r="U33" s="283" t="s">
        <v>55</v>
      </c>
      <c r="V33" s="299"/>
      <c r="W33" s="283" t="s">
        <v>55</v>
      </c>
      <c r="X33" s="299"/>
      <c r="Y33" s="283" t="s">
        <v>55</v>
      </c>
      <c r="Z33" s="299"/>
      <c r="AA33" s="286">
        <f>COUNTIF(C33:Z33,"&gt;=R")</f>
        <v>10</v>
      </c>
      <c r="AB33" s="287">
        <f>AA33</f>
        <v>10</v>
      </c>
      <c r="AG33" s="393"/>
      <c r="AH33" s="393"/>
      <c r="AI33" s="393"/>
      <c r="AJ33" s="393"/>
      <c r="AK33" s="393"/>
      <c r="AL33" s="393"/>
      <c r="AM33" s="393"/>
      <c r="AN33" s="393"/>
      <c r="AO33" s="393"/>
      <c r="AP33" s="393"/>
      <c r="AQ33" s="393"/>
      <c r="AR33" s="393"/>
      <c r="AS33" s="393"/>
      <c r="AT33" s="393"/>
      <c r="AU33" s="393"/>
      <c r="AV33" s="393"/>
      <c r="AW33" s="393"/>
      <c r="AX33" s="393"/>
      <c r="AY33" s="393"/>
      <c r="AZ33" s="393"/>
      <c r="BA33" s="393"/>
      <c r="BB33" s="393"/>
      <c r="BC33" s="393"/>
      <c r="BD33" s="393"/>
      <c r="BE33" s="393"/>
    </row>
    <row r="34" spans="1:57" ht="40.049999999999997" customHeight="1" x14ac:dyDescent="0.65">
      <c r="A34" s="357" t="s">
        <v>140</v>
      </c>
      <c r="B34" s="903" t="s">
        <v>141</v>
      </c>
      <c r="C34" s="283"/>
      <c r="D34" s="284"/>
      <c r="E34" s="283" t="s">
        <v>55</v>
      </c>
      <c r="F34" s="285"/>
      <c r="G34" s="283" t="s">
        <v>83</v>
      </c>
      <c r="H34" s="285"/>
      <c r="I34" s="285" t="s">
        <v>83</v>
      </c>
      <c r="J34" s="285"/>
      <c r="K34" s="674" t="s">
        <v>16</v>
      </c>
      <c r="L34" s="285"/>
      <c r="M34" s="674" t="s">
        <v>16</v>
      </c>
      <c r="N34" s="285"/>
      <c r="O34" s="674" t="s">
        <v>16</v>
      </c>
      <c r="P34" s="285"/>
      <c r="Q34" s="285"/>
      <c r="R34" s="285"/>
      <c r="S34" s="283" t="s">
        <v>55</v>
      </c>
      <c r="T34" s="299"/>
      <c r="U34" s="283" t="s">
        <v>55</v>
      </c>
      <c r="V34" s="299"/>
      <c r="W34" s="283" t="s">
        <v>55</v>
      </c>
      <c r="X34" s="299"/>
      <c r="Y34" s="283" t="s">
        <v>55</v>
      </c>
      <c r="Z34" s="285"/>
      <c r="AA34" s="286">
        <f>COUNTIF(C34:Z34,"&gt;=R")</f>
        <v>10</v>
      </c>
      <c r="AB34" s="287">
        <f>AA34</f>
        <v>10</v>
      </c>
    </row>
    <row r="35" spans="1:57" ht="40.049999999999997" customHeight="1" x14ac:dyDescent="0.65">
      <c r="A35" s="289" t="s">
        <v>142</v>
      </c>
      <c r="B35" s="913" t="s">
        <v>143</v>
      </c>
      <c r="C35" s="291"/>
      <c r="D35" s="292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93"/>
      <c r="S35" s="293"/>
      <c r="T35" s="293"/>
      <c r="U35" s="293"/>
      <c r="V35" s="293"/>
      <c r="W35" s="293"/>
      <c r="X35" s="293"/>
      <c r="Y35" s="293"/>
      <c r="Z35" s="293"/>
      <c r="AA35" s="293"/>
      <c r="AB35" s="295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393"/>
      <c r="BB35" s="393"/>
      <c r="BC35" s="393"/>
      <c r="BD35" s="393"/>
      <c r="BE35" s="393"/>
    </row>
    <row r="36" spans="1:57" ht="40.049999999999997" customHeight="1" x14ac:dyDescent="0.65">
      <c r="A36" s="298" t="s">
        <v>144</v>
      </c>
      <c r="B36" s="900" t="s">
        <v>145</v>
      </c>
      <c r="C36" s="284"/>
      <c r="D36" s="284"/>
      <c r="E36" s="283" t="s">
        <v>55</v>
      </c>
      <c r="F36" s="285"/>
      <c r="G36" s="687" t="s">
        <v>83</v>
      </c>
      <c r="H36" s="285"/>
      <c r="I36" s="688" t="s">
        <v>83</v>
      </c>
      <c r="J36" s="285"/>
      <c r="K36" s="674" t="s">
        <v>16</v>
      </c>
      <c r="L36" s="285"/>
      <c r="M36" s="674" t="s">
        <v>16</v>
      </c>
      <c r="N36" s="285"/>
      <c r="O36" s="674" t="s">
        <v>16</v>
      </c>
      <c r="P36" s="285"/>
      <c r="Q36" s="285"/>
      <c r="R36" s="285"/>
      <c r="S36" s="283" t="s">
        <v>55</v>
      </c>
      <c r="T36" s="299"/>
      <c r="U36" s="283" t="s">
        <v>55</v>
      </c>
      <c r="V36" s="299"/>
      <c r="W36" s="283" t="s">
        <v>55</v>
      </c>
      <c r="X36" s="299"/>
      <c r="Y36" s="283" t="s">
        <v>55</v>
      </c>
      <c r="Z36" s="285"/>
      <c r="AA36" s="286">
        <f>COUNTIF(C36:Z36,"&gt;=R")</f>
        <v>10</v>
      </c>
      <c r="AB36" s="287">
        <f>AA36</f>
        <v>10</v>
      </c>
      <c r="AG36" s="393"/>
      <c r="AH36" s="393"/>
      <c r="AI36" s="393"/>
      <c r="AJ36" s="393"/>
      <c r="AK36" s="393"/>
      <c r="AL36" s="393"/>
      <c r="AM36" s="393"/>
      <c r="AN36" s="393"/>
      <c r="AO36" s="393"/>
      <c r="AP36" s="393"/>
      <c r="AQ36" s="393"/>
      <c r="AR36" s="393"/>
      <c r="AS36" s="393"/>
      <c r="AT36" s="393"/>
      <c r="AU36" s="393"/>
      <c r="AV36" s="393"/>
      <c r="AW36" s="393"/>
      <c r="AX36" s="393"/>
      <c r="AY36" s="393"/>
      <c r="AZ36" s="393"/>
      <c r="BA36" s="393"/>
      <c r="BB36" s="393"/>
      <c r="BC36" s="393"/>
      <c r="BD36" s="393"/>
      <c r="BE36" s="393"/>
    </row>
    <row r="37" spans="1:57" ht="40.049999999999997" customHeight="1" x14ac:dyDescent="0.65">
      <c r="A37" s="289" t="s">
        <v>146</v>
      </c>
      <c r="B37" s="913" t="s">
        <v>147</v>
      </c>
      <c r="C37" s="291"/>
      <c r="D37" s="292"/>
      <c r="E37" s="293"/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3"/>
      <c r="V37" s="293"/>
      <c r="W37" s="293"/>
      <c r="X37" s="293"/>
      <c r="Y37" s="293"/>
      <c r="Z37" s="293"/>
      <c r="AA37" s="293"/>
      <c r="AB37" s="295"/>
      <c r="AG37" s="393"/>
      <c r="AH37" s="393"/>
      <c r="AI37" s="393"/>
      <c r="AJ37" s="393"/>
      <c r="AK37" s="393"/>
      <c r="AL37" s="393"/>
      <c r="AM37" s="393"/>
      <c r="AN37" s="393"/>
      <c r="AO37" s="393"/>
      <c r="AP37" s="393"/>
      <c r="AQ37" s="393"/>
      <c r="AR37" s="393"/>
      <c r="AS37" s="393"/>
      <c r="AT37" s="393"/>
      <c r="AU37" s="393"/>
      <c r="AV37" s="393"/>
      <c r="AW37" s="393"/>
      <c r="AX37" s="393"/>
      <c r="AY37" s="393"/>
      <c r="AZ37" s="393"/>
      <c r="BA37" s="393"/>
      <c r="BB37" s="393"/>
      <c r="BC37" s="393"/>
      <c r="BD37" s="393"/>
      <c r="BE37" s="393"/>
    </row>
    <row r="38" spans="1:57" ht="40.049999999999997" customHeight="1" x14ac:dyDescent="0.65">
      <c r="A38" s="281" t="s">
        <v>148</v>
      </c>
      <c r="B38" s="900" t="s">
        <v>139</v>
      </c>
      <c r="C38" s="284" t="s">
        <v>18</v>
      </c>
      <c r="D38" s="284"/>
      <c r="E38" s="283" t="s">
        <v>55</v>
      </c>
      <c r="F38" s="285"/>
      <c r="G38" s="687" t="s">
        <v>83</v>
      </c>
      <c r="H38" s="285"/>
      <c r="I38" s="688" t="s">
        <v>83</v>
      </c>
      <c r="J38" s="285"/>
      <c r="K38" s="674" t="s">
        <v>16</v>
      </c>
      <c r="L38" s="285"/>
      <c r="M38" s="674" t="s">
        <v>16</v>
      </c>
      <c r="N38" s="285"/>
      <c r="O38" s="674" t="s">
        <v>16</v>
      </c>
      <c r="P38" s="285"/>
      <c r="Q38" s="285" t="s">
        <v>18</v>
      </c>
      <c r="R38" s="285"/>
      <c r="S38" s="283" t="s">
        <v>55</v>
      </c>
      <c r="T38" s="285"/>
      <c r="U38" s="283" t="s">
        <v>55</v>
      </c>
      <c r="V38" s="285"/>
      <c r="W38" s="283" t="s">
        <v>55</v>
      </c>
      <c r="X38" s="285"/>
      <c r="Y38" s="283" t="s">
        <v>55</v>
      </c>
      <c r="Z38" s="285"/>
      <c r="AA38" s="286">
        <f>COUNTIF(C38:Z38,"&gt;=R")</f>
        <v>12</v>
      </c>
      <c r="AB38" s="287">
        <f>AA38</f>
        <v>12</v>
      </c>
      <c r="AG38" s="393"/>
      <c r="AH38" s="393"/>
      <c r="AI38" s="393"/>
      <c r="AJ38" s="393"/>
      <c r="AK38" s="393"/>
      <c r="AL38" s="393"/>
      <c r="AM38" s="393"/>
      <c r="AN38" s="393"/>
      <c r="AO38" s="393"/>
      <c r="AP38" s="393"/>
      <c r="AQ38" s="393"/>
      <c r="AR38" s="393"/>
      <c r="AS38" s="393"/>
      <c r="AT38" s="393"/>
      <c r="AU38" s="393"/>
      <c r="AV38" s="393"/>
      <c r="AW38" s="393"/>
      <c r="AX38" s="393"/>
      <c r="AY38" s="393"/>
      <c r="AZ38" s="393"/>
      <c r="BA38" s="393"/>
      <c r="BB38" s="393"/>
      <c r="BC38" s="393"/>
      <c r="BD38" s="393"/>
      <c r="BE38" s="393"/>
    </row>
    <row r="39" spans="1:57" ht="40.049999999999997" customHeight="1" x14ac:dyDescent="0.65">
      <c r="A39" s="281" t="s">
        <v>149</v>
      </c>
      <c r="B39" s="900" t="s">
        <v>150</v>
      </c>
      <c r="C39" s="284" t="s">
        <v>68</v>
      </c>
      <c r="D39" s="284"/>
      <c r="E39" s="285" t="s">
        <v>83</v>
      </c>
      <c r="F39" s="285"/>
      <c r="G39" s="285" t="s">
        <v>83</v>
      </c>
      <c r="H39" s="285"/>
      <c r="I39" s="299" t="s">
        <v>83</v>
      </c>
      <c r="J39" s="285"/>
      <c r="K39" s="283" t="s">
        <v>411</v>
      </c>
      <c r="L39" s="285"/>
      <c r="M39" s="283" t="s">
        <v>411</v>
      </c>
      <c r="N39" s="285"/>
      <c r="O39" s="283" t="s">
        <v>411</v>
      </c>
      <c r="P39" s="285"/>
      <c r="Q39" s="285" t="s">
        <v>85</v>
      </c>
      <c r="R39" s="285"/>
      <c r="S39" s="285" t="s">
        <v>83</v>
      </c>
      <c r="T39" s="285"/>
      <c r="U39" s="288" t="s">
        <v>83</v>
      </c>
      <c r="V39" s="285"/>
      <c r="W39" s="288" t="s">
        <v>83</v>
      </c>
      <c r="X39" s="285"/>
      <c r="Y39" s="285" t="s">
        <v>83</v>
      </c>
      <c r="Z39" s="285"/>
      <c r="AA39" s="286">
        <f>COUNTIF(C39:Z39,"&gt;=R")</f>
        <v>12</v>
      </c>
      <c r="AB39" s="287">
        <f>AA39</f>
        <v>12</v>
      </c>
      <c r="AC39" s="357"/>
      <c r="AD39" s="357"/>
      <c r="AE39" s="357"/>
      <c r="AF39" s="357"/>
      <c r="AG39" s="393"/>
      <c r="AH39" s="393"/>
      <c r="AI39" s="393"/>
      <c r="AJ39" s="393"/>
      <c r="AK39" s="393"/>
      <c r="AL39" s="393"/>
      <c r="AM39" s="393"/>
      <c r="AN39" s="393"/>
      <c r="AO39" s="393"/>
      <c r="AP39" s="393"/>
      <c r="AQ39" s="393"/>
      <c r="AR39" s="393"/>
      <c r="AS39" s="393"/>
      <c r="AT39" s="393"/>
      <c r="AU39" s="393"/>
      <c r="AV39" s="393"/>
      <c r="AW39" s="393"/>
      <c r="AX39" s="393"/>
      <c r="AY39" s="393"/>
      <c r="AZ39" s="393"/>
      <c r="BA39" s="393"/>
      <c r="BB39" s="393"/>
      <c r="BC39" s="393"/>
      <c r="BD39" s="393"/>
      <c r="BE39" s="393"/>
    </row>
    <row r="40" spans="1:57" ht="40.049999999999997" customHeight="1" x14ac:dyDescent="0.65">
      <c r="A40" s="300" t="s">
        <v>151</v>
      </c>
      <c r="B40" s="914" t="s">
        <v>152</v>
      </c>
      <c r="C40" s="283"/>
      <c r="D40" s="284"/>
      <c r="E40" s="285"/>
      <c r="F40" s="285"/>
      <c r="G40" s="285"/>
      <c r="H40" s="285"/>
      <c r="I40" s="285"/>
      <c r="J40" s="285"/>
      <c r="K40" s="285"/>
      <c r="L40" s="285"/>
      <c r="M40" s="299"/>
      <c r="N40" s="285"/>
      <c r="O40" s="285"/>
      <c r="P40" s="285"/>
      <c r="Q40" s="285"/>
      <c r="R40" s="285"/>
      <c r="S40" s="285"/>
      <c r="T40" s="285"/>
      <c r="U40" s="288"/>
      <c r="V40" s="285"/>
      <c r="W40" s="285"/>
      <c r="X40" s="285"/>
      <c r="Y40" s="285"/>
      <c r="Z40" s="285"/>
      <c r="AA40" s="286"/>
      <c r="AB40" s="287"/>
      <c r="AG40" s="393"/>
      <c r="AH40" s="393"/>
      <c r="AI40" s="393"/>
      <c r="AJ40" s="393"/>
      <c r="AK40" s="393"/>
      <c r="AL40" s="393"/>
      <c r="AM40" s="393"/>
      <c r="AN40" s="393"/>
      <c r="AO40" s="393"/>
      <c r="AP40" s="393"/>
      <c r="AQ40" s="393"/>
      <c r="AR40" s="393"/>
      <c r="AS40" s="393"/>
      <c r="AT40" s="393"/>
      <c r="AU40" s="393"/>
      <c r="AV40" s="393"/>
      <c r="AW40" s="393"/>
      <c r="AX40" s="393"/>
      <c r="AY40" s="393"/>
      <c r="AZ40" s="393"/>
      <c r="BA40" s="393"/>
      <c r="BB40" s="393"/>
      <c r="BC40" s="393"/>
      <c r="BD40" s="393"/>
      <c r="BE40" s="393"/>
    </row>
    <row r="41" spans="1:57" ht="40.049999999999997" customHeight="1" x14ac:dyDescent="0.65">
      <c r="A41" s="281" t="s">
        <v>153</v>
      </c>
      <c r="B41" s="900" t="s">
        <v>154</v>
      </c>
      <c r="C41" s="283"/>
      <c r="D41" s="284"/>
      <c r="E41" s="283"/>
      <c r="F41" s="285"/>
      <c r="G41" s="283"/>
      <c r="H41" s="285"/>
      <c r="I41" s="283"/>
      <c r="J41" s="285"/>
      <c r="K41" s="283"/>
      <c r="L41" s="285"/>
      <c r="M41" s="285"/>
      <c r="N41" s="285"/>
      <c r="O41" s="285"/>
      <c r="P41" s="285"/>
      <c r="Q41" s="285"/>
      <c r="R41" s="285"/>
      <c r="S41" s="285"/>
      <c r="T41" s="285"/>
      <c r="U41" s="285"/>
      <c r="V41" s="285"/>
      <c r="W41" s="285"/>
      <c r="X41" s="285"/>
      <c r="Y41" s="285"/>
      <c r="Z41" s="285"/>
      <c r="AA41" s="286">
        <f t="shared" ref="AA41:AA46" si="2">COUNTIF(C41:Z41,"&gt;=R")</f>
        <v>0</v>
      </c>
      <c r="AB41" s="287">
        <f t="shared" ref="AB41:AB46" si="3">AA41</f>
        <v>0</v>
      </c>
      <c r="AG41" s="393"/>
      <c r="AH41" s="393"/>
      <c r="AI41" s="393"/>
      <c r="AJ41" s="393"/>
      <c r="AK41" s="393"/>
      <c r="AL41" s="393"/>
      <c r="AM41" s="393"/>
      <c r="AN41" s="393"/>
      <c r="AO41" s="393"/>
      <c r="AP41" s="393"/>
      <c r="AQ41" s="393"/>
      <c r="AR41" s="393"/>
      <c r="AS41" s="393"/>
      <c r="AT41" s="393"/>
      <c r="AU41" s="393"/>
      <c r="AV41" s="393"/>
      <c r="AW41" s="393"/>
      <c r="AX41" s="393"/>
      <c r="AY41" s="393"/>
      <c r="AZ41" s="393"/>
      <c r="BA41" s="393"/>
      <c r="BB41" s="393"/>
      <c r="BC41" s="393"/>
      <c r="BD41" s="393"/>
      <c r="BE41" s="393"/>
    </row>
    <row r="42" spans="1:57" ht="40.049999999999997" customHeight="1" x14ac:dyDescent="0.65">
      <c r="A42" s="281" t="s">
        <v>155</v>
      </c>
      <c r="B42" s="900" t="s">
        <v>156</v>
      </c>
      <c r="C42" s="302"/>
      <c r="D42" s="284"/>
      <c r="E42" s="288"/>
      <c r="F42" s="285"/>
      <c r="G42" s="288"/>
      <c r="H42" s="285"/>
      <c r="I42" s="288"/>
      <c r="J42" s="285"/>
      <c r="K42" s="288"/>
      <c r="L42" s="285"/>
      <c r="M42" s="288"/>
      <c r="N42" s="285"/>
      <c r="O42" s="288"/>
      <c r="P42" s="285"/>
      <c r="Q42" s="288"/>
      <c r="R42" s="285"/>
      <c r="S42" s="288"/>
      <c r="T42" s="285"/>
      <c r="U42" s="288"/>
      <c r="V42" s="285"/>
      <c r="W42" s="288"/>
      <c r="X42" s="285"/>
      <c r="Y42" s="285"/>
      <c r="Z42" s="285"/>
      <c r="AA42" s="286">
        <f t="shared" si="2"/>
        <v>0</v>
      </c>
      <c r="AB42" s="287">
        <f t="shared" si="3"/>
        <v>0</v>
      </c>
      <c r="AC42" s="357"/>
      <c r="AD42" s="357"/>
      <c r="AE42" s="357"/>
      <c r="AF42" s="357"/>
      <c r="AG42" s="393"/>
      <c r="AH42" s="393"/>
      <c r="AI42" s="393"/>
      <c r="AJ42" s="393"/>
      <c r="AK42" s="393"/>
      <c r="AL42" s="393"/>
      <c r="AM42" s="393"/>
      <c r="AN42" s="393"/>
      <c r="AO42" s="393"/>
      <c r="AP42" s="393"/>
      <c r="AQ42" s="393"/>
      <c r="AR42" s="393"/>
      <c r="AS42" s="393"/>
      <c r="AT42" s="393"/>
      <c r="AU42" s="393"/>
      <c r="AV42" s="393"/>
      <c r="AW42" s="393"/>
      <c r="AX42" s="393"/>
      <c r="AY42" s="393"/>
      <c r="AZ42" s="393"/>
      <c r="BA42" s="393"/>
      <c r="BB42" s="393"/>
      <c r="BC42" s="393"/>
      <c r="BD42" s="393"/>
      <c r="BE42" s="393"/>
    </row>
    <row r="43" spans="1:57" ht="40.049999999999997" customHeight="1" x14ac:dyDescent="0.65">
      <c r="A43" s="281" t="s">
        <v>157</v>
      </c>
      <c r="B43" s="900" t="s">
        <v>158</v>
      </c>
      <c r="C43" s="284" t="s">
        <v>68</v>
      </c>
      <c r="D43" s="284"/>
      <c r="E43" s="285" t="s">
        <v>37</v>
      </c>
      <c r="F43" s="285"/>
      <c r="G43" s="285" t="s">
        <v>37</v>
      </c>
      <c r="H43" s="285"/>
      <c r="I43" s="299" t="s">
        <v>37</v>
      </c>
      <c r="J43" s="285"/>
      <c r="K43" s="283" t="s">
        <v>411</v>
      </c>
      <c r="L43" s="285"/>
      <c r="M43" s="283" t="s">
        <v>411</v>
      </c>
      <c r="N43" s="285"/>
      <c r="O43" s="283" t="s">
        <v>411</v>
      </c>
      <c r="P43" s="285"/>
      <c r="Q43" s="285"/>
      <c r="R43" s="285"/>
      <c r="S43" s="285" t="s">
        <v>37</v>
      </c>
      <c r="T43" s="285"/>
      <c r="U43" s="288" t="s">
        <v>37</v>
      </c>
      <c r="V43" s="285"/>
      <c r="W43" s="288" t="s">
        <v>37</v>
      </c>
      <c r="X43" s="285"/>
      <c r="Y43" s="285" t="s">
        <v>37</v>
      </c>
      <c r="Z43" s="285"/>
      <c r="AA43" s="286">
        <f t="shared" si="2"/>
        <v>11</v>
      </c>
      <c r="AB43" s="287">
        <f t="shared" si="3"/>
        <v>11</v>
      </c>
      <c r="AG43" s="393"/>
      <c r="AH43" s="393"/>
      <c r="AI43" s="393"/>
      <c r="AJ43" s="393"/>
      <c r="AK43" s="393"/>
      <c r="AL43" s="393"/>
      <c r="AM43" s="393"/>
      <c r="AN43" s="393"/>
      <c r="AO43" s="393"/>
      <c r="AP43" s="393"/>
      <c r="AQ43" s="393"/>
      <c r="AR43" s="393"/>
      <c r="AS43" s="393"/>
      <c r="AT43" s="393"/>
      <c r="AU43" s="393"/>
      <c r="AV43" s="393"/>
      <c r="AW43" s="393"/>
      <c r="AX43" s="393"/>
      <c r="AY43" s="393"/>
      <c r="AZ43" s="393"/>
      <c r="BA43" s="393"/>
      <c r="BB43" s="393"/>
      <c r="BC43" s="393"/>
      <c r="BD43" s="393"/>
      <c r="BE43" s="393"/>
    </row>
    <row r="44" spans="1:57" ht="40.049999999999997" customHeight="1" x14ac:dyDescent="0.65">
      <c r="A44" s="281" t="s">
        <v>159</v>
      </c>
      <c r="B44" s="900" t="s">
        <v>160</v>
      </c>
      <c r="C44" s="283"/>
      <c r="D44" s="284"/>
      <c r="E44" s="285" t="s">
        <v>75</v>
      </c>
      <c r="F44" s="285"/>
      <c r="G44" s="285" t="s">
        <v>75</v>
      </c>
      <c r="H44" s="285"/>
      <c r="I44" s="285" t="s">
        <v>75</v>
      </c>
      <c r="J44" s="285"/>
      <c r="K44" s="285" t="s">
        <v>75</v>
      </c>
      <c r="L44" s="285"/>
      <c r="M44" s="285" t="s">
        <v>75</v>
      </c>
      <c r="N44" s="285"/>
      <c r="O44" s="285" t="s">
        <v>75</v>
      </c>
      <c r="P44" s="285"/>
      <c r="Q44" s="285"/>
      <c r="R44" s="285"/>
      <c r="S44" s="285" t="s">
        <v>75</v>
      </c>
      <c r="T44" s="285"/>
      <c r="U44" s="285" t="s">
        <v>75</v>
      </c>
      <c r="V44" s="285"/>
      <c r="W44" s="285" t="s">
        <v>83</v>
      </c>
      <c r="X44" s="285"/>
      <c r="Y44" s="285" t="s">
        <v>83</v>
      </c>
      <c r="Z44" s="285"/>
      <c r="AA44" s="286">
        <f t="shared" si="2"/>
        <v>10</v>
      </c>
      <c r="AB44" s="287">
        <f t="shared" si="3"/>
        <v>10</v>
      </c>
      <c r="AC44" s="357"/>
      <c r="AD44" s="357"/>
      <c r="AE44" s="357"/>
      <c r="AF44" s="357"/>
      <c r="AG44" s="393"/>
      <c r="AH44" s="393"/>
      <c r="AI44" s="393"/>
      <c r="AJ44" s="393"/>
      <c r="AK44" s="393"/>
      <c r="AL44" s="393"/>
      <c r="AM44" s="393"/>
      <c r="AN44" s="393"/>
      <c r="AO44" s="393"/>
      <c r="AP44" s="393"/>
      <c r="AQ44" s="393"/>
      <c r="AR44" s="393"/>
      <c r="AS44" s="393"/>
      <c r="AT44" s="393"/>
      <c r="AU44" s="393"/>
      <c r="AV44" s="393"/>
      <c r="AW44" s="393"/>
      <c r="AX44" s="393"/>
      <c r="AY44" s="393"/>
      <c r="AZ44" s="393"/>
      <c r="BA44" s="393"/>
      <c r="BB44" s="393"/>
      <c r="BC44" s="393"/>
      <c r="BD44" s="393"/>
      <c r="BE44" s="393"/>
    </row>
    <row r="45" spans="1:57" ht="40.049999999999997" customHeight="1" x14ac:dyDescent="0.65">
      <c r="A45" s="281" t="s">
        <v>161</v>
      </c>
      <c r="B45" s="900" t="s">
        <v>162</v>
      </c>
      <c r="C45" s="283"/>
      <c r="D45" s="284"/>
      <c r="E45" s="285" t="s">
        <v>75</v>
      </c>
      <c r="F45" s="285"/>
      <c r="G45" s="285" t="s">
        <v>75</v>
      </c>
      <c r="H45" s="285"/>
      <c r="I45" s="285" t="s">
        <v>75</v>
      </c>
      <c r="J45" s="285"/>
      <c r="K45" s="285" t="s">
        <v>36</v>
      </c>
      <c r="L45" s="285"/>
      <c r="M45" s="285" t="s">
        <v>36</v>
      </c>
      <c r="N45" s="285"/>
      <c r="O45" s="285" t="s">
        <v>36</v>
      </c>
      <c r="P45" s="285"/>
      <c r="Q45" s="285"/>
      <c r="R45" s="285"/>
      <c r="S45" s="285" t="s">
        <v>75</v>
      </c>
      <c r="T45" s="285"/>
      <c r="U45" s="285" t="s">
        <v>75</v>
      </c>
      <c r="V45" s="285"/>
      <c r="W45" s="285" t="s">
        <v>83</v>
      </c>
      <c r="X45" s="285"/>
      <c r="Y45" s="285" t="s">
        <v>83</v>
      </c>
      <c r="Z45" s="285"/>
      <c r="AA45" s="286">
        <f t="shared" si="2"/>
        <v>10</v>
      </c>
      <c r="AB45" s="287">
        <f t="shared" si="3"/>
        <v>10</v>
      </c>
      <c r="AG45" s="393"/>
      <c r="AH45" s="393"/>
      <c r="AI45" s="393"/>
      <c r="AJ45" s="393"/>
      <c r="AK45" s="393"/>
      <c r="AL45" s="393"/>
      <c r="AM45" s="393"/>
      <c r="AN45" s="393"/>
      <c r="AO45" s="393"/>
      <c r="AP45" s="393"/>
      <c r="AQ45" s="393"/>
      <c r="AR45" s="393"/>
      <c r="AS45" s="393"/>
      <c r="AT45" s="393"/>
      <c r="AU45" s="393"/>
      <c r="AV45" s="393"/>
      <c r="AW45" s="393"/>
      <c r="AX45" s="393"/>
      <c r="AY45" s="393"/>
      <c r="AZ45" s="393"/>
      <c r="BA45" s="393"/>
      <c r="BB45" s="393"/>
      <c r="BC45" s="393"/>
      <c r="BD45" s="393"/>
      <c r="BE45" s="393"/>
    </row>
    <row r="46" spans="1:57" ht="40.049999999999997" customHeight="1" x14ac:dyDescent="0.65">
      <c r="A46" s="281" t="s">
        <v>163</v>
      </c>
      <c r="B46" s="900" t="s">
        <v>164</v>
      </c>
      <c r="C46" s="283"/>
      <c r="D46" s="284"/>
      <c r="E46" s="299" t="s">
        <v>75</v>
      </c>
      <c r="F46" s="285"/>
      <c r="G46" s="285" t="s">
        <v>75</v>
      </c>
      <c r="H46" s="285"/>
      <c r="I46" s="285" t="s">
        <v>75</v>
      </c>
      <c r="J46" s="285"/>
      <c r="K46" s="285" t="s">
        <v>26</v>
      </c>
      <c r="L46" s="285"/>
      <c r="M46" s="288" t="s">
        <v>26</v>
      </c>
      <c r="N46" s="285"/>
      <c r="O46" s="285" t="s">
        <v>26</v>
      </c>
      <c r="P46" s="285"/>
      <c r="Q46" s="285"/>
      <c r="R46" s="285"/>
      <c r="S46" s="285" t="s">
        <v>75</v>
      </c>
      <c r="T46" s="285"/>
      <c r="U46" s="285" t="s">
        <v>75</v>
      </c>
      <c r="V46" s="285"/>
      <c r="W46" s="285" t="s">
        <v>83</v>
      </c>
      <c r="X46" s="285"/>
      <c r="Y46" s="285" t="s">
        <v>83</v>
      </c>
      <c r="Z46" s="285"/>
      <c r="AA46" s="286">
        <f t="shared" si="2"/>
        <v>10</v>
      </c>
      <c r="AB46" s="287">
        <f t="shared" si="3"/>
        <v>10</v>
      </c>
      <c r="AC46" s="357"/>
      <c r="AD46" s="357"/>
      <c r="AE46" s="357"/>
      <c r="AF46" s="357"/>
      <c r="AG46" s="393"/>
      <c r="AH46" s="393"/>
      <c r="AI46" s="393"/>
      <c r="AJ46" s="393"/>
      <c r="AK46" s="393"/>
      <c r="AL46" s="393"/>
      <c r="AM46" s="393"/>
      <c r="AN46" s="393"/>
      <c r="AO46" s="393"/>
      <c r="AP46" s="393"/>
      <c r="AQ46" s="393"/>
      <c r="AR46" s="393"/>
      <c r="AS46" s="393"/>
      <c r="AT46" s="393"/>
      <c r="AU46" s="393"/>
      <c r="AV46" s="393"/>
      <c r="AW46" s="393"/>
      <c r="AX46" s="393"/>
      <c r="AY46" s="393"/>
      <c r="AZ46" s="393"/>
      <c r="BA46" s="393"/>
      <c r="BB46" s="393"/>
      <c r="BC46" s="393"/>
      <c r="BD46" s="393"/>
      <c r="BE46" s="393"/>
    </row>
    <row r="47" spans="1:57" ht="40.049999999999997" customHeight="1" x14ac:dyDescent="0.65">
      <c r="A47" s="274" t="s">
        <v>165</v>
      </c>
      <c r="B47" s="275" t="s">
        <v>166</v>
      </c>
      <c r="C47" s="291"/>
      <c r="D47" s="292"/>
      <c r="E47" s="293"/>
      <c r="F47" s="293"/>
      <c r="G47" s="293"/>
      <c r="H47" s="293"/>
      <c r="I47" s="293"/>
      <c r="J47" s="293"/>
      <c r="K47" s="293"/>
      <c r="L47" s="293"/>
      <c r="M47" s="293"/>
      <c r="N47" s="293"/>
      <c r="O47" s="293"/>
      <c r="P47" s="293"/>
      <c r="Q47" s="293"/>
      <c r="R47" s="293"/>
      <c r="S47" s="293"/>
      <c r="T47" s="293"/>
      <c r="U47" s="293"/>
      <c r="V47" s="293"/>
      <c r="W47" s="293"/>
      <c r="X47" s="293"/>
      <c r="Y47" s="293"/>
      <c r="Z47" s="293"/>
      <c r="AA47" s="293"/>
      <c r="AB47" s="295"/>
      <c r="AC47" s="357"/>
      <c r="AD47" s="357"/>
      <c r="AE47" s="357"/>
      <c r="AF47" s="357"/>
      <c r="AG47" s="393"/>
      <c r="AH47" s="393"/>
      <c r="AI47" s="393"/>
      <c r="AJ47" s="393"/>
      <c r="AK47" s="393"/>
      <c r="AL47" s="393"/>
      <c r="AM47" s="393"/>
      <c r="AN47" s="393"/>
      <c r="AO47" s="393"/>
      <c r="AP47" s="393"/>
      <c r="AQ47" s="393"/>
      <c r="AR47" s="393"/>
      <c r="AS47" s="393"/>
      <c r="AT47" s="393"/>
      <c r="AU47" s="393"/>
      <c r="AV47" s="393"/>
      <c r="AW47" s="393"/>
      <c r="AX47" s="393"/>
      <c r="AY47" s="393"/>
      <c r="AZ47" s="393"/>
      <c r="BA47" s="393"/>
      <c r="BB47" s="393"/>
      <c r="BC47" s="393"/>
      <c r="BD47" s="393"/>
      <c r="BE47" s="393"/>
    </row>
    <row r="48" spans="1:57" ht="40.049999999999997" customHeight="1" x14ac:dyDescent="0.65">
      <c r="A48" s="305" t="s">
        <v>167</v>
      </c>
      <c r="B48" s="306" t="s">
        <v>168</v>
      </c>
      <c r="C48" s="283"/>
      <c r="D48" s="284"/>
      <c r="E48" s="285"/>
      <c r="F48" s="285"/>
      <c r="G48" s="288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  <c r="W48" s="307"/>
      <c r="X48" s="285"/>
      <c r="Y48" s="285"/>
      <c r="Z48" s="285"/>
      <c r="AA48" s="286"/>
      <c r="AB48" s="287"/>
      <c r="AG48" s="393"/>
      <c r="AH48" s="393"/>
      <c r="AI48" s="393"/>
      <c r="AJ48" s="393"/>
      <c r="AK48" s="393"/>
      <c r="AL48" s="393"/>
      <c r="AM48" s="393"/>
      <c r="AN48" s="393"/>
      <c r="AO48" s="393"/>
      <c r="AP48" s="393"/>
      <c r="AQ48" s="393"/>
      <c r="AR48" s="393"/>
      <c r="AS48" s="393"/>
      <c r="AT48" s="393"/>
      <c r="AU48" s="393"/>
      <c r="AV48" s="393"/>
      <c r="AW48" s="393"/>
      <c r="AX48" s="393"/>
      <c r="AY48" s="393"/>
      <c r="AZ48" s="393"/>
      <c r="BA48" s="393"/>
      <c r="BB48" s="393"/>
      <c r="BC48" s="393"/>
      <c r="BD48" s="393"/>
      <c r="BE48" s="393"/>
    </row>
    <row r="49" spans="1:57" ht="40.049999999999997" customHeight="1" x14ac:dyDescent="0.65">
      <c r="A49" s="308" t="s">
        <v>169</v>
      </c>
      <c r="B49" s="902" t="s">
        <v>170</v>
      </c>
      <c r="C49" s="283"/>
      <c r="D49" s="284"/>
      <c r="E49" s="285" t="s">
        <v>75</v>
      </c>
      <c r="F49" s="285"/>
      <c r="G49" s="285" t="s">
        <v>91</v>
      </c>
      <c r="H49" s="285"/>
      <c r="I49" s="285" t="s">
        <v>91</v>
      </c>
      <c r="J49" s="285"/>
      <c r="K49" s="285" t="s">
        <v>75</v>
      </c>
      <c r="L49" s="285"/>
      <c r="M49" s="285" t="s">
        <v>75</v>
      </c>
      <c r="N49" s="285"/>
      <c r="O49" s="285" t="s">
        <v>75</v>
      </c>
      <c r="P49" s="285"/>
      <c r="Q49" s="285"/>
      <c r="R49" s="285"/>
      <c r="S49" s="285" t="s">
        <v>17</v>
      </c>
      <c r="T49" s="285"/>
      <c r="U49" s="285" t="s">
        <v>17</v>
      </c>
      <c r="V49" s="285"/>
      <c r="W49" s="285" t="s">
        <v>91</v>
      </c>
      <c r="X49" s="285"/>
      <c r="Y49" s="285" t="s">
        <v>91</v>
      </c>
      <c r="Z49" s="285"/>
      <c r="AA49" s="286">
        <f>COUNTIF(C49:Z49,"&gt;=R")</f>
        <v>10</v>
      </c>
      <c r="AB49" s="287">
        <f>AA49</f>
        <v>10</v>
      </c>
      <c r="AC49" s="357"/>
      <c r="AD49" s="357"/>
      <c r="AE49" s="357"/>
      <c r="AF49" s="357"/>
      <c r="AG49" s="393"/>
      <c r="AH49" s="393"/>
      <c r="AI49" s="393"/>
      <c r="AJ49" s="393"/>
      <c r="AK49" s="393"/>
      <c r="AL49" s="393"/>
      <c r="AM49" s="393"/>
      <c r="AN49" s="393"/>
      <c r="AO49" s="393"/>
      <c r="AP49" s="393"/>
      <c r="AQ49" s="393"/>
      <c r="AR49" s="393"/>
      <c r="AS49" s="393"/>
      <c r="AT49" s="393"/>
      <c r="AU49" s="393"/>
      <c r="AV49" s="393"/>
      <c r="AW49" s="393"/>
      <c r="AX49" s="393"/>
      <c r="AY49" s="393"/>
      <c r="AZ49" s="393"/>
      <c r="BA49" s="393"/>
      <c r="BB49" s="393"/>
      <c r="BC49" s="393"/>
      <c r="BD49" s="393"/>
      <c r="BE49" s="393"/>
    </row>
    <row r="50" spans="1:57" ht="40.049999999999997" customHeight="1" x14ac:dyDescent="0.65">
      <c r="A50" s="308" t="s">
        <v>171</v>
      </c>
      <c r="B50" s="902" t="s">
        <v>172</v>
      </c>
      <c r="C50" s="283"/>
      <c r="D50" s="284"/>
      <c r="E50" s="283" t="s">
        <v>28</v>
      </c>
      <c r="F50" s="285"/>
      <c r="G50" s="283" t="s">
        <v>28</v>
      </c>
      <c r="H50" s="285"/>
      <c r="I50" s="283" t="s">
        <v>68</v>
      </c>
      <c r="J50" s="285"/>
      <c r="K50" s="283" t="s">
        <v>68</v>
      </c>
      <c r="L50" s="285"/>
      <c r="M50" s="283" t="s">
        <v>68</v>
      </c>
      <c r="N50" s="285"/>
      <c r="O50" s="283" t="s">
        <v>68</v>
      </c>
      <c r="P50" s="285"/>
      <c r="Q50" s="283"/>
      <c r="R50" s="285"/>
      <c r="S50" s="285" t="s">
        <v>68</v>
      </c>
      <c r="T50" s="285"/>
      <c r="U50" s="285" t="s">
        <v>28</v>
      </c>
      <c r="V50" s="285"/>
      <c r="W50" s="285" t="s">
        <v>28</v>
      </c>
      <c r="X50" s="285"/>
      <c r="Y50" s="285" t="s">
        <v>28</v>
      </c>
      <c r="Z50" s="285"/>
      <c r="AA50" s="286">
        <f>COUNTIF(C50:Z50,"&gt;=R")</f>
        <v>10</v>
      </c>
      <c r="AB50" s="287">
        <f>AA50</f>
        <v>10</v>
      </c>
      <c r="AC50" s="357"/>
      <c r="AD50" s="357"/>
      <c r="AE50" s="357"/>
      <c r="AF50" s="357"/>
      <c r="AG50" s="393"/>
      <c r="AH50" s="393"/>
      <c r="AI50" s="393"/>
      <c r="AJ50" s="393"/>
      <c r="AK50" s="393"/>
      <c r="AL50" s="393"/>
      <c r="AM50" s="393"/>
      <c r="AN50" s="393"/>
      <c r="AO50" s="393"/>
      <c r="AP50" s="393"/>
      <c r="AQ50" s="393"/>
      <c r="AR50" s="393"/>
      <c r="AS50" s="393"/>
      <c r="AT50" s="393"/>
      <c r="AU50" s="393"/>
      <c r="AV50" s="393"/>
      <c r="AW50" s="393"/>
      <c r="AX50" s="393"/>
      <c r="AY50" s="393"/>
      <c r="AZ50" s="393"/>
      <c r="BA50" s="393"/>
      <c r="BB50" s="393"/>
      <c r="BC50" s="393"/>
      <c r="BD50" s="393"/>
      <c r="BE50" s="393"/>
    </row>
    <row r="51" spans="1:57" ht="40.049999999999997" customHeight="1" x14ac:dyDescent="0.65">
      <c r="A51" s="296" t="s">
        <v>173</v>
      </c>
      <c r="B51" s="915" t="s">
        <v>174</v>
      </c>
      <c r="C51" s="283"/>
      <c r="D51" s="284"/>
      <c r="E51" s="285"/>
      <c r="F51" s="285"/>
      <c r="G51" s="288"/>
      <c r="H51" s="285"/>
      <c r="I51" s="288"/>
      <c r="J51" s="285"/>
      <c r="K51" s="288"/>
      <c r="L51" s="285"/>
      <c r="M51" s="285"/>
      <c r="N51" s="285"/>
      <c r="O51" s="285"/>
      <c r="P51" s="285"/>
      <c r="Q51" s="285"/>
      <c r="R51" s="285"/>
      <c r="S51" s="285"/>
      <c r="T51" s="285"/>
      <c r="U51" s="285"/>
      <c r="V51" s="285"/>
      <c r="W51" s="285"/>
      <c r="X51" s="285"/>
      <c r="Y51" s="285"/>
      <c r="Z51" s="285"/>
      <c r="AA51" s="286"/>
      <c r="AB51" s="287"/>
      <c r="AG51" s="393"/>
      <c r="AH51" s="393"/>
      <c r="AI51" s="393"/>
      <c r="AJ51" s="393"/>
      <c r="AK51" s="393"/>
      <c r="AL51" s="393"/>
      <c r="AM51" s="393"/>
      <c r="AN51" s="393"/>
      <c r="AO51" s="393"/>
      <c r="AP51" s="393"/>
      <c r="AQ51" s="393"/>
      <c r="AR51" s="393"/>
      <c r="AS51" s="393"/>
      <c r="AT51" s="393"/>
      <c r="AU51" s="393"/>
      <c r="AV51" s="393"/>
      <c r="AW51" s="393"/>
      <c r="AX51" s="393"/>
      <c r="AY51" s="393"/>
      <c r="AZ51" s="393"/>
      <c r="BA51" s="393"/>
      <c r="BB51" s="393"/>
      <c r="BC51" s="393"/>
      <c r="BD51" s="393"/>
      <c r="BE51" s="393"/>
    </row>
    <row r="52" spans="1:57" ht="40.049999999999997" customHeight="1" x14ac:dyDescent="0.65">
      <c r="A52" s="308" t="s">
        <v>175</v>
      </c>
      <c r="B52" s="902" t="s">
        <v>176</v>
      </c>
      <c r="C52" s="283"/>
      <c r="D52" s="284"/>
      <c r="E52" s="283" t="s">
        <v>76</v>
      </c>
      <c r="F52" s="285"/>
      <c r="G52" s="285" t="s">
        <v>67</v>
      </c>
      <c r="H52" s="285"/>
      <c r="I52" s="285" t="s">
        <v>76</v>
      </c>
      <c r="J52" s="285"/>
      <c r="K52" s="718" t="s">
        <v>84</v>
      </c>
      <c r="L52" s="285"/>
      <c r="M52" s="718" t="s">
        <v>84</v>
      </c>
      <c r="N52" s="285"/>
      <c r="O52" s="718" t="s">
        <v>84</v>
      </c>
      <c r="P52" s="285"/>
      <c r="Q52" s="285"/>
      <c r="R52" s="285"/>
      <c r="S52" s="285" t="s">
        <v>76</v>
      </c>
      <c r="T52" s="285"/>
      <c r="U52" s="288" t="s">
        <v>76</v>
      </c>
      <c r="V52" s="285"/>
      <c r="W52" s="288" t="s">
        <v>76</v>
      </c>
      <c r="X52" s="285"/>
      <c r="Y52" s="285" t="s">
        <v>76</v>
      </c>
      <c r="Z52" s="285"/>
      <c r="AA52" s="286">
        <f>COUNTIF(C52:Z52,"&gt;=R")</f>
        <v>10</v>
      </c>
      <c r="AB52" s="287">
        <f>AA52</f>
        <v>10</v>
      </c>
      <c r="AG52" s="393"/>
      <c r="AH52" s="393"/>
      <c r="AI52" s="393"/>
      <c r="AJ52" s="393"/>
      <c r="AK52" s="393"/>
      <c r="AL52" s="393"/>
      <c r="AM52" s="393"/>
      <c r="AN52" s="393"/>
      <c r="AO52" s="393"/>
      <c r="AP52" s="393"/>
      <c r="AQ52" s="393"/>
      <c r="AR52" s="393"/>
      <c r="AS52" s="393"/>
      <c r="AT52" s="393"/>
      <c r="AU52" s="393"/>
      <c r="AV52" s="393"/>
      <c r="AW52" s="393"/>
      <c r="AX52" s="393"/>
      <c r="AY52" s="393"/>
      <c r="AZ52" s="393"/>
      <c r="BA52" s="393"/>
      <c r="BB52" s="393"/>
      <c r="BC52" s="393"/>
      <c r="BD52" s="393"/>
      <c r="BE52" s="393"/>
    </row>
    <row r="53" spans="1:57" ht="40.049999999999997" customHeight="1" x14ac:dyDescent="0.65">
      <c r="A53" s="308" t="s">
        <v>177</v>
      </c>
      <c r="B53" s="902" t="s">
        <v>178</v>
      </c>
      <c r="C53" s="283"/>
      <c r="D53" s="284"/>
      <c r="E53" s="285" t="s">
        <v>76</v>
      </c>
      <c r="F53" s="285"/>
      <c r="G53" s="285" t="s">
        <v>67</v>
      </c>
      <c r="H53" s="285"/>
      <c r="I53" s="285" t="s">
        <v>67</v>
      </c>
      <c r="J53" s="285"/>
      <c r="K53" s="285" t="s">
        <v>76</v>
      </c>
      <c r="L53" s="285"/>
      <c r="M53" s="285" t="s">
        <v>76</v>
      </c>
      <c r="N53" s="285"/>
      <c r="O53" s="718" t="s">
        <v>84</v>
      </c>
      <c r="P53" s="285"/>
      <c r="Q53" s="285"/>
      <c r="R53" s="285"/>
      <c r="S53" s="718" t="s">
        <v>84</v>
      </c>
      <c r="T53" s="285"/>
      <c r="U53" s="288" t="s">
        <v>76</v>
      </c>
      <c r="V53" s="285"/>
      <c r="W53" s="288" t="s">
        <v>76</v>
      </c>
      <c r="X53" s="285"/>
      <c r="Y53" s="285" t="s">
        <v>76</v>
      </c>
      <c r="Z53" s="285"/>
      <c r="AA53" s="286">
        <f>COUNTIF(C53:Z53,"&gt;=R")</f>
        <v>10</v>
      </c>
      <c r="AB53" s="287">
        <f>AA53</f>
        <v>10</v>
      </c>
      <c r="AC53" s="357"/>
      <c r="AD53" s="357"/>
      <c r="AE53" s="357"/>
      <c r="AF53" s="357"/>
      <c r="AG53" s="393"/>
      <c r="AH53" s="393"/>
      <c r="AI53" s="393"/>
      <c r="AJ53" s="393"/>
      <c r="AK53" s="393"/>
      <c r="AL53" s="393"/>
      <c r="AM53" s="393"/>
      <c r="AN53" s="393"/>
      <c r="AO53" s="393"/>
      <c r="AP53" s="393"/>
      <c r="AQ53" s="393"/>
      <c r="AR53" s="393"/>
      <c r="AS53" s="393"/>
      <c r="AT53" s="393"/>
      <c r="AU53" s="393"/>
      <c r="AV53" s="393"/>
      <c r="AW53" s="393"/>
      <c r="AX53" s="393"/>
      <c r="AY53" s="393"/>
      <c r="AZ53" s="393"/>
      <c r="BA53" s="393"/>
      <c r="BB53" s="393"/>
      <c r="BC53" s="393"/>
      <c r="BD53" s="393"/>
      <c r="BE53" s="393"/>
    </row>
    <row r="54" spans="1:57" ht="40.049999999999997" customHeight="1" x14ac:dyDescent="0.65">
      <c r="A54" s="296" t="s">
        <v>179</v>
      </c>
      <c r="B54" s="915" t="s">
        <v>180</v>
      </c>
      <c r="C54" s="283"/>
      <c r="D54" s="284"/>
      <c r="E54" s="285"/>
      <c r="F54" s="285"/>
      <c r="G54" s="285"/>
      <c r="H54" s="285"/>
      <c r="I54" s="285"/>
      <c r="J54" s="285"/>
      <c r="K54" s="285"/>
      <c r="L54" s="285"/>
      <c r="M54" s="285"/>
      <c r="N54" s="285"/>
      <c r="O54" s="285"/>
      <c r="P54" s="285"/>
      <c r="Q54" s="285"/>
      <c r="R54" s="285"/>
      <c r="S54" s="285"/>
      <c r="T54" s="285"/>
      <c r="U54" s="285"/>
      <c r="V54" s="285"/>
      <c r="W54" s="307"/>
      <c r="X54" s="285"/>
      <c r="Y54" s="285"/>
      <c r="Z54" s="285"/>
      <c r="AA54" s="286"/>
      <c r="AB54" s="287"/>
      <c r="AG54" s="393"/>
      <c r="AH54" s="393"/>
      <c r="AI54" s="393"/>
      <c r="AJ54" s="393"/>
      <c r="AK54" s="393"/>
      <c r="AL54" s="393"/>
      <c r="AM54" s="393"/>
      <c r="AN54" s="393"/>
      <c r="AO54" s="393"/>
      <c r="AP54" s="393"/>
      <c r="AQ54" s="393"/>
      <c r="AR54" s="393"/>
      <c r="AS54" s="393"/>
      <c r="AT54" s="393"/>
      <c r="AU54" s="393"/>
      <c r="AV54" s="393"/>
      <c r="AW54" s="393"/>
      <c r="AX54" s="393"/>
      <c r="AY54" s="393"/>
      <c r="AZ54" s="393"/>
      <c r="BA54" s="393"/>
      <c r="BB54" s="393"/>
      <c r="BC54" s="393"/>
      <c r="BD54" s="393"/>
      <c r="BE54" s="393"/>
    </row>
    <row r="55" spans="1:57" ht="40.049999999999997" customHeight="1" x14ac:dyDescent="0.65">
      <c r="A55" s="357" t="s">
        <v>181</v>
      </c>
      <c r="B55" s="903" t="s">
        <v>182</v>
      </c>
      <c r="C55" s="283"/>
      <c r="D55" s="284"/>
      <c r="E55" s="726" t="s">
        <v>84</v>
      </c>
      <c r="F55" s="285"/>
      <c r="G55" s="726" t="s">
        <v>84</v>
      </c>
      <c r="H55" s="285"/>
      <c r="I55" s="743" t="s">
        <v>8</v>
      </c>
      <c r="J55" s="285"/>
      <c r="K55" s="750" t="s">
        <v>8</v>
      </c>
      <c r="L55" s="285"/>
      <c r="M55" s="750" t="s">
        <v>8</v>
      </c>
      <c r="N55" s="285"/>
      <c r="O55" s="750" t="s">
        <v>8</v>
      </c>
      <c r="P55" s="285"/>
      <c r="Q55" s="285"/>
      <c r="R55" s="285"/>
      <c r="S55" s="743" t="s">
        <v>8</v>
      </c>
      <c r="T55" s="285"/>
      <c r="U55" s="743" t="s">
        <v>8</v>
      </c>
      <c r="V55" s="285"/>
      <c r="W55" s="283"/>
      <c r="X55" s="285"/>
      <c r="Y55" s="718" t="s">
        <v>84</v>
      </c>
      <c r="Z55" s="285"/>
      <c r="AA55" s="286">
        <f>COUNTIF(C55:Z55,"&gt;=R")</f>
        <v>9</v>
      </c>
      <c r="AB55" s="287">
        <f>AA55</f>
        <v>9</v>
      </c>
    </row>
    <row r="56" spans="1:57" ht="40.049999999999997" customHeight="1" x14ac:dyDescent="0.65">
      <c r="A56" s="289" t="s">
        <v>183</v>
      </c>
      <c r="B56" s="913" t="s">
        <v>184</v>
      </c>
      <c r="C56" s="291"/>
      <c r="D56" s="292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3"/>
      <c r="W56" s="293"/>
      <c r="X56" s="293"/>
      <c r="Y56" s="293"/>
      <c r="Z56" s="293"/>
      <c r="AA56" s="293"/>
      <c r="AB56" s="295"/>
      <c r="AC56" s="357"/>
      <c r="AD56" s="357"/>
      <c r="AE56" s="357"/>
      <c r="AF56" s="357"/>
    </row>
    <row r="57" spans="1:57" ht="40.049999999999997" customHeight="1" x14ac:dyDescent="0.65">
      <c r="A57" s="281" t="s">
        <v>185</v>
      </c>
      <c r="B57" s="900" t="s">
        <v>186</v>
      </c>
      <c r="C57" s="283" t="s">
        <v>85</v>
      </c>
      <c r="D57" s="284"/>
      <c r="E57" s="285" t="s">
        <v>92</v>
      </c>
      <c r="F57" s="285"/>
      <c r="G57" s="285" t="s">
        <v>92</v>
      </c>
      <c r="H57" s="285"/>
      <c r="I57" s="285" t="s">
        <v>92</v>
      </c>
      <c r="J57" s="285"/>
      <c r="K57" s="285" t="s">
        <v>92</v>
      </c>
      <c r="L57" s="285"/>
      <c r="M57" s="285" t="s">
        <v>92</v>
      </c>
      <c r="N57" s="285"/>
      <c r="O57" s="285" t="s">
        <v>92</v>
      </c>
      <c r="P57" s="285"/>
      <c r="Q57" s="285"/>
      <c r="R57" s="285"/>
      <c r="S57" s="285" t="s">
        <v>92</v>
      </c>
      <c r="T57" s="285"/>
      <c r="U57" s="285" t="s">
        <v>92</v>
      </c>
      <c r="V57" s="285"/>
      <c r="W57" s="285" t="s">
        <v>92</v>
      </c>
      <c r="X57" s="285"/>
      <c r="Y57" s="285" t="s">
        <v>92</v>
      </c>
      <c r="Z57" s="285"/>
      <c r="AA57" s="286">
        <f>COUNTIF(C57:Z57,"&gt;=R")</f>
        <v>11</v>
      </c>
      <c r="AB57" s="287">
        <f>AA57</f>
        <v>11</v>
      </c>
      <c r="AC57" s="357"/>
      <c r="AD57" s="357"/>
      <c r="AE57" s="357"/>
      <c r="AF57" s="357"/>
      <c r="AG57" s="393"/>
      <c r="AH57" s="393"/>
      <c r="AI57" s="393"/>
      <c r="AJ57" s="393"/>
      <c r="AK57" s="393"/>
      <c r="AL57" s="393"/>
      <c r="AM57" s="393"/>
      <c r="AN57" s="393"/>
      <c r="AO57" s="393"/>
      <c r="AP57" s="393"/>
      <c r="AQ57" s="393"/>
      <c r="AR57" s="393"/>
      <c r="AS57" s="393"/>
      <c r="AT57" s="393"/>
      <c r="AU57" s="393"/>
      <c r="AV57" s="393"/>
      <c r="AW57" s="393"/>
      <c r="AX57" s="393"/>
      <c r="AY57" s="393"/>
      <c r="AZ57" s="393"/>
      <c r="BA57" s="393"/>
      <c r="BB57" s="393"/>
      <c r="BC57" s="393"/>
      <c r="BD57" s="393"/>
      <c r="BE57" s="393"/>
    </row>
    <row r="58" spans="1:57" ht="40.049999999999997" customHeight="1" x14ac:dyDescent="0.65">
      <c r="A58" s="281" t="s">
        <v>187</v>
      </c>
      <c r="B58" s="900" t="s">
        <v>188</v>
      </c>
      <c r="C58" s="283"/>
      <c r="D58" s="284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5"/>
      <c r="V58" s="285"/>
      <c r="W58" s="285"/>
      <c r="X58" s="285"/>
      <c r="Y58" s="285"/>
      <c r="Z58" s="285"/>
      <c r="AA58" s="286">
        <f>COUNTIF(C58:Z58,"&gt;=R")</f>
        <v>0</v>
      </c>
      <c r="AB58" s="287">
        <f>AA58</f>
        <v>0</v>
      </c>
      <c r="AC58" s="357"/>
      <c r="AD58" s="357"/>
      <c r="AE58" s="357"/>
      <c r="AF58" s="357"/>
      <c r="AG58" s="393"/>
      <c r="AH58" s="393"/>
      <c r="AI58" s="393"/>
      <c r="AJ58" s="393"/>
      <c r="AK58" s="393"/>
      <c r="AL58" s="393"/>
      <c r="AM58" s="393"/>
      <c r="AN58" s="393"/>
      <c r="AO58" s="393"/>
      <c r="AP58" s="393"/>
      <c r="AQ58" s="393"/>
      <c r="AR58" s="393"/>
      <c r="AS58" s="393"/>
      <c r="AT58" s="393"/>
      <c r="AU58" s="393"/>
      <c r="AV58" s="393"/>
      <c r="AW58" s="393"/>
      <c r="AX58" s="393"/>
      <c r="AY58" s="393"/>
      <c r="AZ58" s="393"/>
      <c r="BA58" s="393"/>
      <c r="BB58" s="393"/>
      <c r="BC58" s="393"/>
      <c r="BD58" s="393"/>
      <c r="BE58" s="393"/>
    </row>
    <row r="59" spans="1:57" ht="40.049999999999997" customHeight="1" x14ac:dyDescent="0.65">
      <c r="A59" s="281" t="s">
        <v>189</v>
      </c>
      <c r="B59" s="900" t="s">
        <v>190</v>
      </c>
      <c r="C59" s="284"/>
      <c r="D59" s="284"/>
      <c r="E59" s="285" t="s">
        <v>47</v>
      </c>
      <c r="F59" s="285"/>
      <c r="G59" s="285" t="s">
        <v>56</v>
      </c>
      <c r="H59" s="285"/>
      <c r="I59" s="285" t="s">
        <v>56</v>
      </c>
      <c r="J59" s="285"/>
      <c r="K59" s="285" t="s">
        <v>67</v>
      </c>
      <c r="L59" s="285"/>
      <c r="M59" s="285" t="s">
        <v>67</v>
      </c>
      <c r="N59" s="285"/>
      <c r="O59" s="285" t="s">
        <v>67</v>
      </c>
      <c r="P59" s="285"/>
      <c r="Q59" s="285"/>
      <c r="R59" s="285"/>
      <c r="S59" s="285" t="s">
        <v>67</v>
      </c>
      <c r="T59" s="285"/>
      <c r="U59" s="285" t="s">
        <v>67</v>
      </c>
      <c r="V59" s="285"/>
      <c r="W59" s="285" t="s">
        <v>67</v>
      </c>
      <c r="X59" s="285"/>
      <c r="Y59" s="285" t="s">
        <v>67</v>
      </c>
      <c r="Z59" s="285"/>
      <c r="AA59" s="286">
        <f>COUNTIF(C59:Z59,"&gt;=R")</f>
        <v>10</v>
      </c>
      <c r="AB59" s="287">
        <f>AA59</f>
        <v>10</v>
      </c>
      <c r="AG59" s="393"/>
      <c r="AH59" s="393"/>
      <c r="AI59" s="393"/>
      <c r="AJ59" s="393"/>
      <c r="AK59" s="393"/>
      <c r="AL59" s="393"/>
      <c r="AM59" s="393"/>
      <c r="AN59" s="393"/>
      <c r="AO59" s="393"/>
      <c r="AP59" s="393"/>
      <c r="AQ59" s="393"/>
      <c r="AR59" s="393"/>
      <c r="AS59" s="393"/>
      <c r="AT59" s="393"/>
      <c r="AU59" s="393"/>
      <c r="AV59" s="393"/>
      <c r="AW59" s="393"/>
      <c r="AX59" s="393"/>
      <c r="AY59" s="393"/>
      <c r="AZ59" s="393"/>
      <c r="BA59" s="393"/>
      <c r="BB59" s="393"/>
      <c r="BC59" s="393"/>
      <c r="BD59" s="393"/>
      <c r="BE59" s="393"/>
    </row>
    <row r="60" spans="1:57" ht="40.049999999999997" customHeight="1" x14ac:dyDescent="0.65">
      <c r="A60" s="281" t="s">
        <v>191</v>
      </c>
      <c r="B60" s="900" t="s">
        <v>192</v>
      </c>
      <c r="C60" s="284"/>
      <c r="D60" s="284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307"/>
      <c r="X60" s="285"/>
      <c r="Y60" s="285"/>
      <c r="Z60" s="285"/>
      <c r="AA60" s="286">
        <f>COUNTIF(C60:Z60,"&gt;=R")</f>
        <v>0</v>
      </c>
      <c r="AB60" s="287">
        <f>AA60</f>
        <v>0</v>
      </c>
      <c r="AC60" s="357"/>
      <c r="AD60" s="357"/>
      <c r="AE60" s="357"/>
      <c r="AF60" s="357"/>
      <c r="AG60" s="393"/>
      <c r="AH60" s="393"/>
      <c r="AI60" s="393"/>
      <c r="AJ60" s="393"/>
      <c r="AK60" s="393"/>
      <c r="AL60" s="393"/>
      <c r="AM60" s="393"/>
      <c r="AN60" s="393"/>
      <c r="AO60" s="393"/>
      <c r="AP60" s="393"/>
      <c r="AQ60" s="393"/>
      <c r="AR60" s="393"/>
      <c r="AS60" s="393"/>
      <c r="AT60" s="393"/>
      <c r="AU60" s="393"/>
      <c r="AV60" s="393"/>
      <c r="AW60" s="393"/>
      <c r="AX60" s="393"/>
      <c r="AY60" s="393"/>
      <c r="AZ60" s="393"/>
      <c r="BA60" s="393"/>
      <c r="BB60" s="393"/>
      <c r="BC60" s="393"/>
      <c r="BD60" s="393"/>
      <c r="BE60" s="393"/>
    </row>
    <row r="61" spans="1:57" ht="40.049999999999997" customHeight="1" x14ac:dyDescent="0.65">
      <c r="A61" s="289" t="s">
        <v>193</v>
      </c>
      <c r="B61" s="913" t="s">
        <v>194</v>
      </c>
      <c r="C61" s="291"/>
      <c r="D61" s="292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3"/>
      <c r="AA61" s="293"/>
      <c r="AB61" s="295"/>
      <c r="AC61" s="357"/>
      <c r="AD61" s="357"/>
      <c r="AE61" s="357"/>
      <c r="AF61" s="357"/>
      <c r="AG61" s="393"/>
      <c r="AH61" s="393"/>
      <c r="AI61" s="393"/>
      <c r="AJ61" s="393"/>
      <c r="AK61" s="393"/>
      <c r="AL61" s="393"/>
      <c r="AM61" s="393"/>
      <c r="AN61" s="393"/>
      <c r="AO61" s="393"/>
      <c r="AP61" s="393"/>
      <c r="AQ61" s="393"/>
      <c r="AR61" s="393"/>
      <c r="AS61" s="393"/>
      <c r="AT61" s="393"/>
      <c r="AU61" s="393"/>
      <c r="AV61" s="393"/>
      <c r="AW61" s="393"/>
      <c r="AX61" s="393"/>
      <c r="AY61" s="393"/>
      <c r="AZ61" s="393"/>
      <c r="BA61" s="393"/>
      <c r="BB61" s="393"/>
      <c r="BC61" s="393"/>
      <c r="BD61" s="393"/>
      <c r="BE61" s="393"/>
    </row>
    <row r="62" spans="1:57" ht="40.049999999999997" customHeight="1" x14ac:dyDescent="0.65">
      <c r="A62" s="296" t="s">
        <v>195</v>
      </c>
      <c r="B62" s="915" t="s">
        <v>196</v>
      </c>
      <c r="C62" s="283"/>
      <c r="D62" s="284"/>
      <c r="E62" s="285"/>
      <c r="F62" s="285"/>
      <c r="G62" s="288"/>
      <c r="H62" s="285"/>
      <c r="I62" s="288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307"/>
      <c r="X62" s="285"/>
      <c r="Y62" s="285"/>
      <c r="Z62" s="285"/>
      <c r="AA62" s="286"/>
      <c r="AB62" s="287"/>
      <c r="AG62" s="393"/>
      <c r="AH62" s="393"/>
      <c r="AI62" s="393"/>
      <c r="AJ62" s="393"/>
      <c r="AK62" s="393"/>
      <c r="AL62" s="393"/>
      <c r="AM62" s="393"/>
      <c r="AN62" s="393"/>
      <c r="AO62" s="393"/>
      <c r="AP62" s="393"/>
      <c r="AQ62" s="393"/>
      <c r="AR62" s="393"/>
      <c r="AS62" s="393"/>
      <c r="AT62" s="393"/>
      <c r="AU62" s="393"/>
      <c r="AV62" s="393"/>
      <c r="AW62" s="393"/>
      <c r="AX62" s="393"/>
      <c r="AY62" s="393"/>
      <c r="AZ62" s="393"/>
      <c r="BA62" s="393"/>
      <c r="BB62" s="393"/>
      <c r="BC62" s="393"/>
      <c r="BD62" s="393"/>
      <c r="BE62" s="393"/>
    </row>
    <row r="63" spans="1:57" ht="40.049999999999997" customHeight="1" x14ac:dyDescent="0.65">
      <c r="A63" s="308" t="s">
        <v>197</v>
      </c>
      <c r="B63" s="902" t="s">
        <v>139</v>
      </c>
      <c r="C63" s="283" t="s">
        <v>68</v>
      </c>
      <c r="D63" s="284"/>
      <c r="E63" s="285" t="s">
        <v>75</v>
      </c>
      <c r="F63" s="285"/>
      <c r="G63" s="285" t="s">
        <v>37</v>
      </c>
      <c r="H63" s="285"/>
      <c r="I63" s="285" t="s">
        <v>37</v>
      </c>
      <c r="J63" s="285"/>
      <c r="K63" s="285" t="s">
        <v>37</v>
      </c>
      <c r="L63" s="285"/>
      <c r="M63" s="285" t="s">
        <v>37</v>
      </c>
      <c r="N63" s="285"/>
      <c r="O63" s="285" t="s">
        <v>37</v>
      </c>
      <c r="P63" s="285"/>
      <c r="Q63" s="285" t="s">
        <v>68</v>
      </c>
      <c r="R63" s="285"/>
      <c r="S63" s="285" t="s">
        <v>37</v>
      </c>
      <c r="T63" s="285"/>
      <c r="U63" s="285" t="s">
        <v>37</v>
      </c>
      <c r="V63" s="285"/>
      <c r="W63" s="285" t="s">
        <v>75</v>
      </c>
      <c r="X63" s="285"/>
      <c r="Y63" s="285" t="s">
        <v>75</v>
      </c>
      <c r="Z63" s="285"/>
      <c r="AA63" s="286">
        <f>COUNTIF(C63:Z63,"&gt;=R")</f>
        <v>12</v>
      </c>
      <c r="AB63" s="287">
        <f>AA63</f>
        <v>12</v>
      </c>
      <c r="AC63" s="357"/>
      <c r="AD63" s="357"/>
      <c r="AE63" s="357"/>
      <c r="AF63" s="357"/>
      <c r="AG63" s="393"/>
      <c r="AH63" s="393"/>
      <c r="AI63" s="393"/>
      <c r="AJ63" s="393"/>
      <c r="AK63" s="393"/>
      <c r="AL63" s="393"/>
      <c r="AM63" s="393"/>
      <c r="AN63" s="393"/>
      <c r="AO63" s="393"/>
      <c r="AP63" s="393"/>
      <c r="AQ63" s="393"/>
      <c r="AR63" s="393"/>
      <c r="AS63" s="393"/>
      <c r="AT63" s="393"/>
      <c r="AU63" s="393"/>
      <c r="AV63" s="393"/>
      <c r="AW63" s="393"/>
      <c r="AX63" s="393"/>
      <c r="AY63" s="393"/>
      <c r="AZ63" s="393"/>
      <c r="BA63" s="393"/>
      <c r="BB63" s="393"/>
      <c r="BC63" s="393"/>
      <c r="BD63" s="393"/>
      <c r="BE63" s="393"/>
    </row>
    <row r="64" spans="1:57" ht="40.049999999999997" customHeight="1" x14ac:dyDescent="0.65">
      <c r="A64" s="296" t="s">
        <v>198</v>
      </c>
      <c r="B64" s="915" t="s">
        <v>199</v>
      </c>
      <c r="C64" s="283"/>
      <c r="D64" s="284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  <c r="W64" s="285"/>
      <c r="X64" s="285"/>
      <c r="Y64" s="285"/>
      <c r="Z64" s="285"/>
      <c r="AA64" s="286"/>
      <c r="AB64" s="287"/>
      <c r="AC64" s="357"/>
      <c r="AD64" s="357"/>
      <c r="AE64" s="357"/>
      <c r="AF64" s="357"/>
      <c r="AG64" s="393"/>
      <c r="AH64" s="393"/>
      <c r="AI64" s="393"/>
      <c r="AJ64" s="393"/>
      <c r="AK64" s="393"/>
      <c r="AL64" s="393"/>
      <c r="AM64" s="393"/>
      <c r="AN64" s="393"/>
      <c r="AO64" s="393"/>
      <c r="AP64" s="393"/>
      <c r="AQ64" s="393"/>
      <c r="AR64" s="393"/>
      <c r="AS64" s="393"/>
      <c r="AT64" s="393"/>
      <c r="AU64" s="393"/>
      <c r="AV64" s="393"/>
      <c r="AW64" s="393"/>
      <c r="AX64" s="393"/>
      <c r="AY64" s="393"/>
      <c r="AZ64" s="393"/>
      <c r="BA64" s="393"/>
      <c r="BB64" s="393"/>
      <c r="BC64" s="393"/>
      <c r="BD64" s="393"/>
      <c r="BE64" s="393"/>
    </row>
    <row r="65" spans="1:57" ht="40.049999999999997" customHeight="1" x14ac:dyDescent="0.65">
      <c r="A65" s="308" t="s">
        <v>200</v>
      </c>
      <c r="B65" s="902" t="s">
        <v>176</v>
      </c>
      <c r="C65" s="283"/>
      <c r="D65" s="284"/>
      <c r="E65" s="283" t="s">
        <v>76</v>
      </c>
      <c r="F65" s="285"/>
      <c r="G65" s="288" t="s">
        <v>67</v>
      </c>
      <c r="H65" s="285"/>
      <c r="I65" s="285" t="s">
        <v>76</v>
      </c>
      <c r="J65" s="285"/>
      <c r="K65" s="285" t="s">
        <v>28</v>
      </c>
      <c r="L65" s="285"/>
      <c r="M65" s="285" t="s">
        <v>28</v>
      </c>
      <c r="N65" s="285"/>
      <c r="O65" s="285" t="s">
        <v>28</v>
      </c>
      <c r="P65" s="285"/>
      <c r="Q65" s="285"/>
      <c r="R65" s="285"/>
      <c r="S65" s="285" t="s">
        <v>28</v>
      </c>
      <c r="T65" s="285"/>
      <c r="U65" s="288" t="s">
        <v>76</v>
      </c>
      <c r="V65" s="285"/>
      <c r="W65" s="288" t="s">
        <v>76</v>
      </c>
      <c r="X65" s="285"/>
      <c r="Y65" s="285" t="s">
        <v>76</v>
      </c>
      <c r="Z65" s="285"/>
      <c r="AA65" s="286">
        <f>COUNTIF(C65:Z65,"&gt;=R")</f>
        <v>10</v>
      </c>
      <c r="AB65" s="287">
        <f>AA65</f>
        <v>10</v>
      </c>
      <c r="AG65" s="393"/>
      <c r="AH65" s="393"/>
      <c r="AI65" s="393"/>
      <c r="AJ65" s="393"/>
      <c r="AK65" s="393"/>
      <c r="AL65" s="393"/>
      <c r="AM65" s="393"/>
      <c r="AN65" s="393"/>
      <c r="AO65" s="393"/>
      <c r="AP65" s="393"/>
      <c r="AQ65" s="393"/>
      <c r="AR65" s="393"/>
      <c r="AS65" s="393"/>
      <c r="AT65" s="393"/>
      <c r="AU65" s="393"/>
      <c r="AV65" s="393"/>
      <c r="AW65" s="393"/>
      <c r="AX65" s="393"/>
      <c r="AY65" s="393"/>
      <c r="AZ65" s="393"/>
      <c r="BA65" s="393"/>
      <c r="BB65" s="393"/>
      <c r="BC65" s="393"/>
      <c r="BD65" s="393"/>
      <c r="BE65" s="393"/>
    </row>
    <row r="66" spans="1:57" ht="40.049999999999997" customHeight="1" x14ac:dyDescent="0.65">
      <c r="A66" s="296" t="s">
        <v>201</v>
      </c>
      <c r="B66" s="915" t="s">
        <v>202</v>
      </c>
      <c r="C66" s="283"/>
      <c r="D66" s="284"/>
      <c r="E66" s="285"/>
      <c r="F66" s="285"/>
      <c r="G66" s="288"/>
      <c r="H66" s="285"/>
      <c r="I66" s="288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  <c r="W66" s="285"/>
      <c r="X66" s="285"/>
      <c r="Y66" s="285"/>
      <c r="Z66" s="285"/>
      <c r="AA66" s="286"/>
      <c r="AB66" s="287"/>
      <c r="AG66" s="393"/>
      <c r="AH66" s="393"/>
      <c r="AI66" s="393"/>
      <c r="AJ66" s="393"/>
      <c r="AK66" s="393"/>
      <c r="AL66" s="393"/>
      <c r="AM66" s="393"/>
      <c r="AN66" s="393"/>
      <c r="AO66" s="393"/>
      <c r="AP66" s="393"/>
      <c r="AQ66" s="393"/>
      <c r="AR66" s="393"/>
      <c r="AS66" s="393"/>
      <c r="AT66" s="393"/>
      <c r="AU66" s="393"/>
      <c r="AV66" s="393"/>
      <c r="AW66" s="393"/>
      <c r="AX66" s="393"/>
      <c r="AY66" s="393"/>
      <c r="AZ66" s="393"/>
      <c r="BA66" s="393"/>
      <c r="BB66" s="393"/>
      <c r="BC66" s="393"/>
      <c r="BD66" s="393"/>
      <c r="BE66" s="393"/>
    </row>
    <row r="67" spans="1:57" ht="40.049999999999997" customHeight="1" x14ac:dyDescent="0.65">
      <c r="A67" s="308" t="s">
        <v>203</v>
      </c>
      <c r="B67" s="902" t="s">
        <v>204</v>
      </c>
      <c r="C67" s="283"/>
      <c r="D67" s="284"/>
      <c r="E67" s="285" t="s">
        <v>76</v>
      </c>
      <c r="F67" s="285"/>
      <c r="G67" s="718" t="s">
        <v>84</v>
      </c>
      <c r="H67" s="285"/>
      <c r="I67" s="718" t="s">
        <v>84</v>
      </c>
      <c r="J67" s="285"/>
      <c r="K67" s="718" t="s">
        <v>84</v>
      </c>
      <c r="L67" s="285"/>
      <c r="M67" s="718" t="s">
        <v>84</v>
      </c>
      <c r="N67" s="285"/>
      <c r="O67" s="718" t="s">
        <v>84</v>
      </c>
      <c r="P67" s="285"/>
      <c r="Q67" s="307"/>
      <c r="R67" s="285"/>
      <c r="S67" s="738" t="s">
        <v>84</v>
      </c>
      <c r="T67" s="285"/>
      <c r="U67" s="738" t="s">
        <v>84</v>
      </c>
      <c r="V67" s="285"/>
      <c r="W67" s="307" t="s">
        <v>76</v>
      </c>
      <c r="X67" s="285"/>
      <c r="Y67" s="285" t="s">
        <v>76</v>
      </c>
      <c r="Z67" s="285"/>
      <c r="AA67" s="286">
        <f>COUNTIF(C67:Z67,"&gt;=R")</f>
        <v>10</v>
      </c>
      <c r="AB67" s="287">
        <f>AA67</f>
        <v>10</v>
      </c>
      <c r="AG67" s="393"/>
      <c r="AH67" s="393"/>
      <c r="AI67" s="393"/>
      <c r="AJ67" s="393"/>
      <c r="AK67" s="393"/>
      <c r="AL67" s="393"/>
      <c r="AM67" s="393"/>
      <c r="AN67" s="393"/>
      <c r="AO67" s="393"/>
      <c r="AP67" s="393"/>
      <c r="AQ67" s="393"/>
      <c r="AR67" s="393"/>
      <c r="AS67" s="393"/>
      <c r="AT67" s="393"/>
      <c r="AU67" s="393"/>
      <c r="AV67" s="393"/>
      <c r="AW67" s="393"/>
      <c r="AX67" s="393"/>
      <c r="AY67" s="393"/>
      <c r="AZ67" s="393"/>
      <c r="BA67" s="393"/>
      <c r="BB67" s="393"/>
      <c r="BC67" s="393"/>
      <c r="BD67" s="393"/>
      <c r="BE67" s="393"/>
    </row>
    <row r="68" spans="1:57" ht="40.049999999999997" customHeight="1" x14ac:dyDescent="0.65">
      <c r="A68" s="289" t="s">
        <v>205</v>
      </c>
      <c r="B68" s="913" t="s">
        <v>206</v>
      </c>
      <c r="C68" s="291"/>
      <c r="D68" s="292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5"/>
      <c r="AC68" s="357"/>
      <c r="AD68" s="357"/>
      <c r="AE68" s="357"/>
      <c r="AF68" s="357"/>
      <c r="AG68" s="393"/>
      <c r="AH68" s="393"/>
      <c r="AI68" s="393"/>
      <c r="AJ68" s="393"/>
      <c r="AK68" s="393"/>
      <c r="AL68" s="393"/>
      <c r="AM68" s="393"/>
      <c r="AN68" s="393"/>
      <c r="AO68" s="393"/>
      <c r="AP68" s="393"/>
      <c r="AQ68" s="393"/>
      <c r="AR68" s="393"/>
      <c r="AS68" s="393"/>
      <c r="AT68" s="393"/>
      <c r="AU68" s="393"/>
      <c r="AV68" s="393"/>
      <c r="AW68" s="393"/>
      <c r="AX68" s="393"/>
      <c r="AY68" s="393"/>
      <c r="AZ68" s="393"/>
      <c r="BA68" s="393"/>
      <c r="BB68" s="393"/>
      <c r="BC68" s="393"/>
      <c r="BD68" s="393"/>
      <c r="BE68" s="393"/>
    </row>
    <row r="69" spans="1:57" ht="40.049999999999997" customHeight="1" x14ac:dyDescent="0.65">
      <c r="A69" s="281" t="s">
        <v>207</v>
      </c>
      <c r="B69" s="900" t="s">
        <v>208</v>
      </c>
      <c r="C69" s="284"/>
      <c r="D69" s="284"/>
      <c r="E69" s="285" t="s">
        <v>47</v>
      </c>
      <c r="F69" s="285"/>
      <c r="G69" s="285" t="s">
        <v>56</v>
      </c>
      <c r="H69" s="285"/>
      <c r="I69" s="285" t="s">
        <v>56</v>
      </c>
      <c r="J69" s="285"/>
      <c r="K69" s="285" t="s">
        <v>67</v>
      </c>
      <c r="L69" s="285"/>
      <c r="M69" s="285" t="s">
        <v>67</v>
      </c>
      <c r="N69" s="285"/>
      <c r="O69" s="285" t="s">
        <v>67</v>
      </c>
      <c r="P69" s="285"/>
      <c r="Q69" s="285"/>
      <c r="R69" s="285"/>
      <c r="S69" s="285" t="s">
        <v>67</v>
      </c>
      <c r="T69" s="285"/>
      <c r="U69" s="285" t="s">
        <v>67</v>
      </c>
      <c r="V69" s="285"/>
      <c r="W69" s="285" t="s">
        <v>67</v>
      </c>
      <c r="X69" s="285"/>
      <c r="Y69" s="285" t="s">
        <v>67</v>
      </c>
      <c r="Z69" s="285"/>
      <c r="AA69" s="286">
        <f>COUNTIF(C69:Z69,"&gt;=R")</f>
        <v>10</v>
      </c>
      <c r="AB69" s="287">
        <f>AA69</f>
        <v>10</v>
      </c>
      <c r="AG69" s="393"/>
      <c r="AH69" s="393"/>
      <c r="AI69" s="393"/>
      <c r="AJ69" s="393"/>
      <c r="AK69" s="393"/>
      <c r="AL69" s="393"/>
      <c r="AM69" s="393"/>
      <c r="AN69" s="393"/>
      <c r="AO69" s="393"/>
      <c r="AP69" s="393"/>
      <c r="AQ69" s="393"/>
      <c r="AR69" s="393"/>
      <c r="AS69" s="393"/>
      <c r="AT69" s="393"/>
      <c r="AU69" s="393"/>
      <c r="AV69" s="393"/>
      <c r="AW69" s="393"/>
      <c r="AX69" s="393"/>
      <c r="AY69" s="393"/>
      <c r="AZ69" s="393"/>
      <c r="BA69" s="393"/>
      <c r="BB69" s="393"/>
      <c r="BC69" s="393"/>
      <c r="BD69" s="393"/>
      <c r="BE69" s="393"/>
    </row>
    <row r="70" spans="1:57" ht="40.049999999999997" customHeight="1" x14ac:dyDescent="0.65">
      <c r="A70" s="289" t="s">
        <v>209</v>
      </c>
      <c r="B70" s="913" t="s">
        <v>210</v>
      </c>
      <c r="C70" s="291"/>
      <c r="D70" s="292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5"/>
      <c r="AG70" s="393"/>
      <c r="AH70" s="393"/>
      <c r="AI70" s="393"/>
      <c r="AJ70" s="393"/>
      <c r="AK70" s="393"/>
      <c r="AL70" s="393"/>
      <c r="AM70" s="393"/>
      <c r="AN70" s="393"/>
      <c r="AO70" s="393"/>
      <c r="AP70" s="393"/>
      <c r="AQ70" s="393"/>
      <c r="AR70" s="393"/>
      <c r="AS70" s="393"/>
      <c r="AT70" s="393"/>
      <c r="AU70" s="393"/>
      <c r="AV70" s="393"/>
      <c r="AW70" s="393"/>
      <c r="AX70" s="393"/>
      <c r="AY70" s="393"/>
      <c r="AZ70" s="393"/>
      <c r="BA70" s="393"/>
      <c r="BB70" s="393"/>
      <c r="BC70" s="393"/>
      <c r="BD70" s="393"/>
      <c r="BE70" s="393"/>
    </row>
    <row r="71" spans="1:57" ht="40.049999999999997" customHeight="1" x14ac:dyDescent="0.65">
      <c r="A71" s="281" t="s">
        <v>211</v>
      </c>
      <c r="B71" s="900" t="s">
        <v>212</v>
      </c>
      <c r="C71" s="283"/>
      <c r="D71" s="284"/>
      <c r="E71" s="285"/>
      <c r="F71" s="285"/>
      <c r="G71" s="285" t="s">
        <v>76</v>
      </c>
      <c r="H71" s="285"/>
      <c r="I71" s="285" t="s">
        <v>76</v>
      </c>
      <c r="J71" s="285"/>
      <c r="K71" s="285" t="s">
        <v>76</v>
      </c>
      <c r="L71" s="285"/>
      <c r="M71" s="285" t="s">
        <v>76</v>
      </c>
      <c r="N71" s="285"/>
      <c r="O71" s="285" t="s">
        <v>76</v>
      </c>
      <c r="P71" s="285"/>
      <c r="Q71" s="285"/>
      <c r="R71" s="285"/>
      <c r="S71" s="285"/>
      <c r="T71" s="285"/>
      <c r="U71" s="285"/>
      <c r="V71" s="285"/>
      <c r="W71" s="285"/>
      <c r="X71" s="285"/>
      <c r="Y71" s="285"/>
      <c r="Z71" s="285"/>
      <c r="AA71" s="286">
        <f>COUNTIF(C71:Z71,"&gt;=R")</f>
        <v>5</v>
      </c>
      <c r="AB71" s="287">
        <f>AA71</f>
        <v>5</v>
      </c>
      <c r="AG71" s="393"/>
      <c r="AH71" s="393"/>
      <c r="AI71" s="393"/>
      <c r="AJ71" s="393"/>
      <c r="AK71" s="393"/>
      <c r="AL71" s="393"/>
      <c r="AM71" s="393"/>
      <c r="AN71" s="393"/>
      <c r="AO71" s="393"/>
      <c r="AP71" s="393"/>
      <c r="AQ71" s="393"/>
      <c r="AR71" s="393"/>
      <c r="AS71" s="393"/>
      <c r="AT71" s="393"/>
      <c r="AU71" s="393"/>
      <c r="AV71" s="393"/>
      <c r="AW71" s="393"/>
      <c r="AX71" s="393"/>
      <c r="AY71" s="393"/>
      <c r="AZ71" s="393"/>
      <c r="BA71" s="393"/>
      <c r="BB71" s="393"/>
      <c r="BC71" s="393"/>
      <c r="BD71" s="393"/>
      <c r="BE71" s="393"/>
    </row>
    <row r="72" spans="1:57" ht="40.049999999999997" customHeight="1" x14ac:dyDescent="0.65">
      <c r="A72" s="281" t="s">
        <v>213</v>
      </c>
      <c r="B72" s="900" t="s">
        <v>214</v>
      </c>
      <c r="C72" s="283"/>
      <c r="D72" s="284"/>
      <c r="E72" s="299" t="s">
        <v>28</v>
      </c>
      <c r="F72" s="285"/>
      <c r="G72" s="285" t="s">
        <v>48</v>
      </c>
      <c r="H72" s="285"/>
      <c r="I72" s="285" t="s">
        <v>48</v>
      </c>
      <c r="J72" s="285"/>
      <c r="K72" s="285" t="s">
        <v>48</v>
      </c>
      <c r="L72" s="285"/>
      <c r="M72" s="288" t="s">
        <v>57</v>
      </c>
      <c r="N72" s="285"/>
      <c r="O72" s="285" t="s">
        <v>57</v>
      </c>
      <c r="P72" s="285"/>
      <c r="Q72" s="285"/>
      <c r="R72" s="285"/>
      <c r="S72" s="285" t="s">
        <v>38</v>
      </c>
      <c r="T72" s="285"/>
      <c r="U72" s="285" t="s">
        <v>38</v>
      </c>
      <c r="V72" s="285"/>
      <c r="W72" s="285" t="s">
        <v>38</v>
      </c>
      <c r="X72" s="285"/>
      <c r="Y72" s="285" t="s">
        <v>38</v>
      </c>
      <c r="Z72" s="285"/>
      <c r="AA72" s="286">
        <f>COUNTIF(C72:Z72,"&gt;=R")</f>
        <v>10</v>
      </c>
      <c r="AB72" s="287">
        <f>AA72</f>
        <v>10</v>
      </c>
      <c r="AG72" s="393"/>
      <c r="AH72" s="393"/>
      <c r="AI72" s="393"/>
      <c r="AJ72" s="393"/>
      <c r="AK72" s="393"/>
      <c r="AL72" s="393"/>
      <c r="AM72" s="393"/>
      <c r="AN72" s="393"/>
      <c r="AO72" s="393"/>
      <c r="AP72" s="393"/>
      <c r="AQ72" s="393"/>
      <c r="AR72" s="393"/>
      <c r="AS72" s="393"/>
      <c r="AT72" s="393"/>
      <c r="AU72" s="393"/>
      <c r="AV72" s="393"/>
      <c r="AW72" s="393"/>
      <c r="AX72" s="393"/>
      <c r="AY72" s="393"/>
      <c r="AZ72" s="393"/>
      <c r="BA72" s="393"/>
      <c r="BB72" s="393"/>
      <c r="BC72" s="393"/>
      <c r="BD72" s="393"/>
      <c r="BE72" s="393"/>
    </row>
    <row r="73" spans="1:57" ht="40.049999999999997" customHeight="1" x14ac:dyDescent="0.65">
      <c r="A73" s="289" t="s">
        <v>215</v>
      </c>
      <c r="B73" s="913" t="s">
        <v>216</v>
      </c>
      <c r="C73" s="291"/>
      <c r="D73" s="292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5"/>
      <c r="AC73" s="357"/>
      <c r="AD73" s="357"/>
      <c r="AE73" s="357"/>
      <c r="AF73" s="357"/>
      <c r="AG73" s="393"/>
      <c r="AH73" s="393"/>
      <c r="AI73" s="393"/>
      <c r="AJ73" s="393"/>
      <c r="AK73" s="393"/>
      <c r="AL73" s="393"/>
      <c r="AM73" s="393"/>
      <c r="AN73" s="393"/>
      <c r="AO73" s="393"/>
      <c r="AP73" s="393"/>
      <c r="AQ73" s="393"/>
      <c r="AR73" s="393"/>
      <c r="AS73" s="393"/>
      <c r="AT73" s="393"/>
      <c r="AU73" s="393"/>
      <c r="AV73" s="393"/>
      <c r="AW73" s="393"/>
      <c r="AX73" s="393"/>
      <c r="AY73" s="393"/>
      <c r="AZ73" s="393"/>
      <c r="BA73" s="393"/>
      <c r="BB73" s="393"/>
      <c r="BC73" s="393"/>
      <c r="BD73" s="393"/>
      <c r="BE73" s="393"/>
    </row>
    <row r="74" spans="1:57" ht="40.049999999999997" customHeight="1" x14ac:dyDescent="0.65">
      <c r="A74" s="281" t="s">
        <v>217</v>
      </c>
      <c r="B74" s="900" t="s">
        <v>218</v>
      </c>
      <c r="C74" s="283"/>
      <c r="D74" s="284"/>
      <c r="E74" s="743" t="s">
        <v>8</v>
      </c>
      <c r="F74" s="285"/>
      <c r="G74" s="283" t="s">
        <v>85</v>
      </c>
      <c r="H74" s="285"/>
      <c r="I74" s="283" t="s">
        <v>85</v>
      </c>
      <c r="J74" s="285"/>
      <c r="K74" s="285" t="s">
        <v>85</v>
      </c>
      <c r="L74" s="285"/>
      <c r="M74" s="285" t="s">
        <v>85</v>
      </c>
      <c r="N74" s="285"/>
      <c r="O74" s="285" t="s">
        <v>85</v>
      </c>
      <c r="P74" s="285"/>
      <c r="Q74" s="285"/>
      <c r="R74" s="285"/>
      <c r="S74" s="750" t="s">
        <v>8</v>
      </c>
      <c r="T74" s="288"/>
      <c r="U74" s="750" t="s">
        <v>8</v>
      </c>
      <c r="V74" s="288"/>
      <c r="W74" s="750" t="s">
        <v>8</v>
      </c>
      <c r="X74" s="288"/>
      <c r="Y74" s="749" t="s">
        <v>8</v>
      </c>
      <c r="Z74" s="288"/>
      <c r="AA74" s="286">
        <f>COUNTIF(C74:Z74,"&gt;=R")</f>
        <v>10</v>
      </c>
      <c r="AB74" s="287">
        <f>AA74</f>
        <v>10</v>
      </c>
      <c r="AG74" s="393"/>
      <c r="AH74" s="393"/>
      <c r="AI74" s="393"/>
      <c r="AJ74" s="393"/>
      <c r="AK74" s="393"/>
      <c r="AL74" s="393"/>
      <c r="AM74" s="393"/>
      <c r="AN74" s="393"/>
      <c r="AO74" s="393"/>
      <c r="AP74" s="393"/>
      <c r="AQ74" s="393"/>
      <c r="AR74" s="393"/>
      <c r="AS74" s="393"/>
      <c r="AT74" s="393"/>
      <c r="AU74" s="393"/>
      <c r="AV74" s="393"/>
      <c r="AW74" s="393"/>
      <c r="AX74" s="393"/>
      <c r="AY74" s="393"/>
      <c r="AZ74" s="393"/>
      <c r="BA74" s="393"/>
      <c r="BB74" s="393"/>
      <c r="BC74" s="393"/>
      <c r="BD74" s="393"/>
      <c r="BE74" s="393"/>
    </row>
    <row r="75" spans="1:57" ht="40.049999999999997" customHeight="1" x14ac:dyDescent="0.65">
      <c r="A75" s="289" t="s">
        <v>219</v>
      </c>
      <c r="B75" s="913" t="s">
        <v>220</v>
      </c>
      <c r="C75" s="291"/>
      <c r="D75" s="292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3"/>
      <c r="W75" s="293"/>
      <c r="X75" s="293"/>
      <c r="Y75" s="293"/>
      <c r="Z75" s="293"/>
      <c r="AA75" s="293"/>
      <c r="AB75" s="295"/>
      <c r="AC75" s="357"/>
      <c r="AD75" s="357"/>
      <c r="AE75" s="357"/>
      <c r="AF75" s="357"/>
      <c r="AG75" s="393"/>
      <c r="AH75" s="393"/>
      <c r="AI75" s="393"/>
      <c r="AJ75" s="393"/>
      <c r="AK75" s="393"/>
      <c r="AL75" s="393"/>
      <c r="AM75" s="393"/>
      <c r="AN75" s="393"/>
      <c r="AO75" s="393"/>
      <c r="AP75" s="393"/>
      <c r="AQ75" s="393"/>
      <c r="AR75" s="393"/>
      <c r="AS75" s="393"/>
      <c r="AT75" s="393"/>
      <c r="AU75" s="393"/>
      <c r="AV75" s="393"/>
      <c r="AW75" s="393"/>
      <c r="AX75" s="393"/>
      <c r="AY75" s="393"/>
      <c r="AZ75" s="393"/>
      <c r="BA75" s="393"/>
      <c r="BB75" s="393"/>
      <c r="BC75" s="393"/>
      <c r="BD75" s="393"/>
      <c r="BE75" s="393"/>
    </row>
    <row r="76" spans="1:57" ht="40.049999999999997" customHeight="1" x14ac:dyDescent="0.65">
      <c r="A76" s="281" t="s">
        <v>221</v>
      </c>
      <c r="B76" s="900" t="s">
        <v>222</v>
      </c>
      <c r="C76" s="284"/>
      <c r="D76" s="284"/>
      <c r="E76" s="285" t="s">
        <v>75</v>
      </c>
      <c r="F76" s="285"/>
      <c r="G76" s="285" t="s">
        <v>91</v>
      </c>
      <c r="H76" s="285"/>
      <c r="I76" s="285" t="s">
        <v>91</v>
      </c>
      <c r="J76" s="285"/>
      <c r="K76" s="285" t="s">
        <v>75</v>
      </c>
      <c r="L76" s="285"/>
      <c r="M76" s="285" t="s">
        <v>75</v>
      </c>
      <c r="N76" s="285"/>
      <c r="O76" s="285" t="s">
        <v>75</v>
      </c>
      <c r="P76" s="285"/>
      <c r="Q76" s="285"/>
      <c r="R76" s="285"/>
      <c r="S76" s="285" t="s">
        <v>17</v>
      </c>
      <c r="T76" s="285"/>
      <c r="U76" s="285" t="s">
        <v>17</v>
      </c>
      <c r="V76" s="285"/>
      <c r="W76" s="285" t="s">
        <v>91</v>
      </c>
      <c r="X76" s="285"/>
      <c r="Y76" s="285" t="s">
        <v>91</v>
      </c>
      <c r="Z76" s="285"/>
      <c r="AA76" s="286">
        <f t="shared" ref="AA76:AA82" si="4">COUNTIF(C76:Z76,"&gt;=R")</f>
        <v>10</v>
      </c>
      <c r="AB76" s="287">
        <f t="shared" ref="AB76:AB82" si="5">AA76</f>
        <v>10</v>
      </c>
      <c r="AG76" s="393"/>
      <c r="AH76" s="393"/>
      <c r="AI76" s="393"/>
      <c r="AJ76" s="393"/>
      <c r="AK76" s="393"/>
      <c r="AL76" s="393"/>
      <c r="AM76" s="393"/>
      <c r="AN76" s="393"/>
      <c r="AO76" s="393"/>
      <c r="AP76" s="393"/>
      <c r="AQ76" s="393"/>
      <c r="AR76" s="393"/>
      <c r="AS76" s="393"/>
      <c r="AT76" s="393"/>
      <c r="AU76" s="393"/>
      <c r="AV76" s="393"/>
      <c r="AW76" s="393"/>
      <c r="AX76" s="393"/>
      <c r="AY76" s="393"/>
      <c r="AZ76" s="393"/>
      <c r="BA76" s="393"/>
      <c r="BB76" s="393"/>
      <c r="BC76" s="393"/>
      <c r="BD76" s="393"/>
      <c r="BE76" s="393"/>
    </row>
    <row r="77" spans="1:57" ht="40.049999999999997" customHeight="1" x14ac:dyDescent="0.65">
      <c r="A77" s="300" t="s">
        <v>223</v>
      </c>
      <c r="B77" s="914" t="s">
        <v>224</v>
      </c>
      <c r="C77" s="283"/>
      <c r="D77" s="284"/>
      <c r="E77" s="285"/>
      <c r="F77" s="285"/>
      <c r="G77" s="285"/>
      <c r="H77" s="285"/>
      <c r="I77" s="285"/>
      <c r="J77" s="285"/>
      <c r="K77" s="285"/>
      <c r="L77" s="285"/>
      <c r="M77" s="285"/>
      <c r="N77" s="285"/>
      <c r="O77" s="285"/>
      <c r="P77" s="285"/>
      <c r="Q77" s="285"/>
      <c r="R77" s="285"/>
      <c r="S77" s="285"/>
      <c r="T77" s="285"/>
      <c r="U77" s="285"/>
      <c r="V77" s="285"/>
      <c r="W77" s="285"/>
      <c r="X77" s="285"/>
      <c r="Y77" s="285"/>
      <c r="Z77" s="285"/>
      <c r="AA77" s="286">
        <f t="shared" si="4"/>
        <v>0</v>
      </c>
      <c r="AB77" s="287">
        <f t="shared" si="5"/>
        <v>0</v>
      </c>
      <c r="AG77" s="393"/>
      <c r="AH77" s="393"/>
      <c r="AI77" s="393"/>
      <c r="AJ77" s="393"/>
      <c r="AK77" s="393"/>
      <c r="AL77" s="393"/>
      <c r="AM77" s="393"/>
      <c r="AN77" s="393"/>
      <c r="AO77" s="393"/>
      <c r="AP77" s="393"/>
      <c r="AQ77" s="393"/>
      <c r="AR77" s="393"/>
      <c r="AS77" s="393"/>
      <c r="AT77" s="393"/>
      <c r="AU77" s="393"/>
      <c r="AV77" s="393"/>
      <c r="AW77" s="393"/>
      <c r="AX77" s="393"/>
      <c r="AY77" s="393"/>
      <c r="AZ77" s="393"/>
      <c r="BA77" s="393"/>
      <c r="BB77" s="393"/>
      <c r="BC77" s="393"/>
      <c r="BD77" s="393"/>
      <c r="BE77" s="393"/>
    </row>
    <row r="78" spans="1:57" ht="40.049999999999997" customHeight="1" x14ac:dyDescent="0.65">
      <c r="A78" s="281" t="s">
        <v>225</v>
      </c>
      <c r="B78" s="900" t="s">
        <v>226</v>
      </c>
      <c r="C78" s="283"/>
      <c r="D78" s="284"/>
      <c r="E78" s="737" t="s">
        <v>75</v>
      </c>
      <c r="F78" s="285"/>
      <c r="G78" s="735" t="s">
        <v>91</v>
      </c>
      <c r="H78" s="285"/>
      <c r="I78" s="285" t="s">
        <v>91</v>
      </c>
      <c r="J78" s="285"/>
      <c r="K78" s="285" t="s">
        <v>75</v>
      </c>
      <c r="L78" s="285"/>
      <c r="M78" s="285" t="s">
        <v>75</v>
      </c>
      <c r="N78" s="285"/>
      <c r="O78" s="285" t="s">
        <v>75</v>
      </c>
      <c r="P78" s="285"/>
      <c r="Q78" s="285"/>
      <c r="R78" s="285"/>
      <c r="S78" s="285" t="s">
        <v>17</v>
      </c>
      <c r="T78" s="285"/>
      <c r="U78" s="285" t="s">
        <v>17</v>
      </c>
      <c r="V78" s="285"/>
      <c r="W78" s="285" t="s">
        <v>91</v>
      </c>
      <c r="X78" s="285"/>
      <c r="Y78" s="285" t="s">
        <v>91</v>
      </c>
      <c r="Z78" s="285"/>
      <c r="AA78" s="286">
        <f t="shared" si="4"/>
        <v>10</v>
      </c>
      <c r="AB78" s="287">
        <f t="shared" si="5"/>
        <v>10</v>
      </c>
      <c r="AG78" s="393"/>
      <c r="AH78" s="393"/>
      <c r="AI78" s="393"/>
      <c r="AJ78" s="393"/>
      <c r="AK78" s="393"/>
      <c r="AL78" s="393"/>
      <c r="AM78" s="393"/>
      <c r="AN78" s="393"/>
      <c r="AO78" s="393"/>
      <c r="AP78" s="393"/>
      <c r="AQ78" s="393"/>
      <c r="AR78" s="393"/>
      <c r="AS78" s="393"/>
      <c r="AT78" s="393"/>
      <c r="AU78" s="393"/>
      <c r="AV78" s="393"/>
      <c r="AW78" s="393"/>
      <c r="AX78" s="393"/>
      <c r="AY78" s="393"/>
      <c r="AZ78" s="393"/>
      <c r="BA78" s="393"/>
      <c r="BB78" s="393"/>
      <c r="BC78" s="393"/>
      <c r="BD78" s="393"/>
      <c r="BE78" s="393"/>
    </row>
    <row r="79" spans="1:57" ht="40.049999999999997" customHeight="1" x14ac:dyDescent="0.65">
      <c r="A79" s="281" t="s">
        <v>227</v>
      </c>
      <c r="B79" s="900" t="s">
        <v>228</v>
      </c>
      <c r="C79" s="283"/>
      <c r="D79" s="284"/>
      <c r="E79" s="285"/>
      <c r="F79" s="285"/>
      <c r="G79" s="285"/>
      <c r="H79" s="285"/>
      <c r="I79" s="285"/>
      <c r="J79" s="285"/>
      <c r="K79" s="285"/>
      <c r="L79" s="285"/>
      <c r="M79" s="285"/>
      <c r="N79" s="285"/>
      <c r="O79" s="285"/>
      <c r="P79" s="285"/>
      <c r="Q79" s="283"/>
      <c r="R79" s="285"/>
      <c r="S79" s="283"/>
      <c r="T79" s="285"/>
      <c r="U79" s="283"/>
      <c r="V79" s="285"/>
      <c r="W79" s="283"/>
      <c r="X79" s="285"/>
      <c r="Y79" s="285"/>
      <c r="Z79" s="285"/>
      <c r="AA79" s="286">
        <f t="shared" si="4"/>
        <v>0</v>
      </c>
      <c r="AB79" s="287">
        <f t="shared" si="5"/>
        <v>0</v>
      </c>
      <c r="AC79" s="357"/>
      <c r="AD79" s="357"/>
      <c r="AE79" s="357"/>
      <c r="AF79" s="357"/>
      <c r="AG79" s="393"/>
      <c r="AH79" s="393"/>
      <c r="AI79" s="393"/>
      <c r="AJ79" s="393"/>
      <c r="AK79" s="393"/>
      <c r="AL79" s="393"/>
      <c r="AM79" s="393"/>
      <c r="AN79" s="393"/>
      <c r="AO79" s="393"/>
      <c r="AP79" s="393"/>
      <c r="AQ79" s="393"/>
      <c r="AR79" s="393"/>
      <c r="AS79" s="393"/>
      <c r="AT79" s="393"/>
      <c r="AU79" s="393"/>
      <c r="AV79" s="393"/>
      <c r="AW79" s="393"/>
      <c r="AX79" s="393"/>
      <c r="AY79" s="393"/>
      <c r="AZ79" s="393"/>
      <c r="BA79" s="393"/>
      <c r="BB79" s="393"/>
      <c r="BC79" s="393"/>
      <c r="BD79" s="393"/>
      <c r="BE79" s="393"/>
    </row>
    <row r="80" spans="1:57" ht="40.049999999999997" customHeight="1" x14ac:dyDescent="0.65">
      <c r="A80" s="281" t="s">
        <v>229</v>
      </c>
      <c r="B80" s="900" t="s">
        <v>230</v>
      </c>
      <c r="C80" s="283"/>
      <c r="D80" s="284"/>
      <c r="E80" s="285"/>
      <c r="F80" s="285"/>
      <c r="G80" s="285"/>
      <c r="H80" s="285"/>
      <c r="I80" s="285"/>
      <c r="J80" s="285"/>
      <c r="K80" s="285"/>
      <c r="L80" s="285"/>
      <c r="M80" s="285"/>
      <c r="N80" s="285"/>
      <c r="O80" s="285"/>
      <c r="P80" s="285"/>
      <c r="Q80" s="283"/>
      <c r="R80" s="285"/>
      <c r="S80" s="283"/>
      <c r="T80" s="285"/>
      <c r="U80" s="283"/>
      <c r="V80" s="285"/>
      <c r="W80" s="283"/>
      <c r="X80" s="285"/>
      <c r="Y80" s="285"/>
      <c r="Z80" s="285"/>
      <c r="AA80" s="286">
        <f t="shared" si="4"/>
        <v>0</v>
      </c>
      <c r="AB80" s="287">
        <f t="shared" si="5"/>
        <v>0</v>
      </c>
      <c r="AG80" s="393"/>
      <c r="AH80" s="393"/>
      <c r="AI80" s="393"/>
      <c r="AJ80" s="393"/>
      <c r="AK80" s="393"/>
      <c r="AL80" s="393"/>
      <c r="AM80" s="393"/>
      <c r="AN80" s="393"/>
      <c r="AO80" s="393"/>
      <c r="AP80" s="393"/>
      <c r="AQ80" s="393"/>
      <c r="AR80" s="393"/>
      <c r="AS80" s="393"/>
      <c r="AT80" s="393"/>
      <c r="AU80" s="393"/>
      <c r="AV80" s="393"/>
      <c r="AW80" s="393"/>
      <c r="AX80" s="393"/>
      <c r="AY80" s="393"/>
      <c r="AZ80" s="393"/>
      <c r="BA80" s="393"/>
      <c r="BB80" s="393"/>
      <c r="BC80" s="393"/>
      <c r="BD80" s="393"/>
      <c r="BE80" s="393"/>
    </row>
    <row r="81" spans="1:57" ht="40.049999999999997" customHeight="1" x14ac:dyDescent="0.65">
      <c r="A81" s="281" t="s">
        <v>231</v>
      </c>
      <c r="B81" s="900" t="s">
        <v>232</v>
      </c>
      <c r="C81" s="283"/>
      <c r="D81" s="283"/>
      <c r="E81" s="285" t="s">
        <v>75</v>
      </c>
      <c r="F81" s="285"/>
      <c r="G81" s="285" t="s">
        <v>37</v>
      </c>
      <c r="H81" s="285"/>
      <c r="I81" s="285" t="s">
        <v>37</v>
      </c>
      <c r="J81" s="285"/>
      <c r="K81" s="285" t="s">
        <v>75</v>
      </c>
      <c r="L81" s="285"/>
      <c r="M81" s="285" t="s">
        <v>75</v>
      </c>
      <c r="N81" s="285"/>
      <c r="O81" s="285" t="s">
        <v>75</v>
      </c>
      <c r="P81" s="285"/>
      <c r="Q81" s="285"/>
      <c r="R81" s="285"/>
      <c r="S81" s="285" t="s">
        <v>17</v>
      </c>
      <c r="T81" s="285"/>
      <c r="U81" s="285" t="s">
        <v>17</v>
      </c>
      <c r="V81" s="285"/>
      <c r="W81" s="285" t="s">
        <v>37</v>
      </c>
      <c r="X81" s="285"/>
      <c r="Y81" s="285" t="s">
        <v>37</v>
      </c>
      <c r="Z81" s="285"/>
      <c r="AA81" s="286">
        <f t="shared" si="4"/>
        <v>10</v>
      </c>
      <c r="AB81" s="287">
        <f t="shared" si="5"/>
        <v>10</v>
      </c>
      <c r="AC81" s="357"/>
      <c r="AD81" s="357"/>
      <c r="AE81" s="357"/>
      <c r="AF81" s="357"/>
      <c r="AG81" s="393"/>
      <c r="AH81" s="393"/>
      <c r="AI81" s="393"/>
      <c r="AJ81" s="393"/>
      <c r="AK81" s="393"/>
      <c r="AL81" s="393"/>
      <c r="AM81" s="393"/>
      <c r="AN81" s="393"/>
      <c r="AO81" s="393"/>
      <c r="AP81" s="393"/>
      <c r="AQ81" s="393"/>
      <c r="AR81" s="393"/>
      <c r="AS81" s="393"/>
      <c r="AT81" s="393"/>
      <c r="AU81" s="393"/>
      <c r="AV81" s="393"/>
      <c r="AW81" s="393"/>
      <c r="AX81" s="393"/>
      <c r="AY81" s="393"/>
      <c r="AZ81" s="393"/>
      <c r="BA81" s="393"/>
      <c r="BB81" s="393"/>
      <c r="BC81" s="393"/>
      <c r="BD81" s="393"/>
      <c r="BE81" s="393"/>
    </row>
    <row r="82" spans="1:57" ht="40.049999999999997" customHeight="1" x14ac:dyDescent="0.65">
      <c r="A82" s="357" t="s">
        <v>233</v>
      </c>
      <c r="B82" s="903" t="s">
        <v>234</v>
      </c>
      <c r="C82" s="283"/>
      <c r="D82" s="284"/>
      <c r="E82" s="285" t="s">
        <v>75</v>
      </c>
      <c r="F82" s="285"/>
      <c r="G82" s="285" t="s">
        <v>91</v>
      </c>
      <c r="H82" s="285"/>
      <c r="I82" s="285" t="s">
        <v>91</v>
      </c>
      <c r="J82" s="285"/>
      <c r="K82" s="285" t="s">
        <v>75</v>
      </c>
      <c r="L82" s="285"/>
      <c r="M82" s="285" t="s">
        <v>75</v>
      </c>
      <c r="N82" s="285"/>
      <c r="O82" s="285" t="s">
        <v>75</v>
      </c>
      <c r="P82" s="285"/>
      <c r="Q82" s="285"/>
      <c r="R82" s="285"/>
      <c r="S82" s="285" t="s">
        <v>17</v>
      </c>
      <c r="T82" s="285"/>
      <c r="U82" s="285" t="s">
        <v>17</v>
      </c>
      <c r="V82" s="285"/>
      <c r="W82" s="285" t="s">
        <v>91</v>
      </c>
      <c r="X82" s="285"/>
      <c r="Y82" s="285" t="s">
        <v>91</v>
      </c>
      <c r="Z82" s="285"/>
      <c r="AA82" s="286">
        <f t="shared" si="4"/>
        <v>10</v>
      </c>
      <c r="AB82" s="287">
        <f t="shared" si="5"/>
        <v>10</v>
      </c>
    </row>
    <row r="83" spans="1:57" ht="40.049999999999997" customHeight="1" x14ac:dyDescent="0.65">
      <c r="A83" s="289" t="s">
        <v>235</v>
      </c>
      <c r="B83" s="913" t="s">
        <v>236</v>
      </c>
      <c r="C83" s="291"/>
      <c r="D83" s="292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/>
      <c r="W83" s="293"/>
      <c r="X83" s="293"/>
      <c r="Y83" s="293"/>
      <c r="Z83" s="293"/>
      <c r="AA83" s="293"/>
      <c r="AB83" s="295"/>
      <c r="AG83" s="393"/>
      <c r="AH83" s="393"/>
      <c r="AI83" s="393"/>
      <c r="AJ83" s="393"/>
      <c r="AK83" s="393"/>
      <c r="AL83" s="393"/>
      <c r="AM83" s="393"/>
      <c r="AN83" s="393"/>
      <c r="AO83" s="393"/>
      <c r="AP83" s="393"/>
      <c r="AQ83" s="393"/>
      <c r="AR83" s="393"/>
      <c r="AS83" s="393"/>
      <c r="AT83" s="393"/>
      <c r="AU83" s="393"/>
      <c r="AV83" s="393"/>
      <c r="AW83" s="393"/>
      <c r="AX83" s="393"/>
      <c r="AY83" s="393"/>
      <c r="AZ83" s="393"/>
      <c r="BA83" s="393"/>
      <c r="BB83" s="393"/>
      <c r="BC83" s="393"/>
      <c r="BD83" s="393"/>
      <c r="BE83" s="393"/>
    </row>
    <row r="84" spans="1:57" ht="40.049999999999997" customHeight="1" x14ac:dyDescent="0.65">
      <c r="A84" s="296" t="s">
        <v>237</v>
      </c>
      <c r="B84" s="915" t="s">
        <v>238</v>
      </c>
      <c r="C84" s="283"/>
      <c r="D84" s="283"/>
      <c r="E84" s="299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5"/>
      <c r="V84" s="285"/>
      <c r="W84" s="285"/>
      <c r="X84" s="285"/>
      <c r="Y84" s="285"/>
      <c r="Z84" s="285"/>
      <c r="AA84" s="286"/>
      <c r="AB84" s="287"/>
      <c r="AG84" s="393"/>
      <c r="AH84" s="393"/>
      <c r="AI84" s="393"/>
      <c r="AJ84" s="393"/>
      <c r="AK84" s="393"/>
      <c r="AL84" s="393"/>
      <c r="AM84" s="393"/>
      <c r="AN84" s="393"/>
      <c r="AO84" s="393"/>
      <c r="AP84" s="393"/>
      <c r="AQ84" s="393"/>
      <c r="AR84" s="393"/>
      <c r="AS84" s="393"/>
      <c r="AT84" s="393"/>
      <c r="AU84" s="393"/>
      <c r="AV84" s="393"/>
      <c r="AW84" s="393"/>
      <c r="AX84" s="393"/>
      <c r="AY84" s="393"/>
      <c r="AZ84" s="393"/>
      <c r="BA84" s="393"/>
      <c r="BB84" s="393"/>
      <c r="BC84" s="393"/>
      <c r="BD84" s="393"/>
      <c r="BE84" s="393"/>
    </row>
    <row r="85" spans="1:57" ht="40.049999999999997" customHeight="1" x14ac:dyDescent="0.65">
      <c r="A85" s="281" t="s">
        <v>239</v>
      </c>
      <c r="B85" s="900" t="s">
        <v>139</v>
      </c>
      <c r="C85" s="284"/>
      <c r="D85" s="283"/>
      <c r="E85" s="285" t="s">
        <v>28</v>
      </c>
      <c r="F85" s="285"/>
      <c r="G85" s="285" t="s">
        <v>48</v>
      </c>
      <c r="H85" s="285"/>
      <c r="I85" s="285" t="s">
        <v>48</v>
      </c>
      <c r="J85" s="285"/>
      <c r="K85" s="285" t="s">
        <v>48</v>
      </c>
      <c r="L85" s="285"/>
      <c r="M85" s="285"/>
      <c r="N85" s="285"/>
      <c r="O85" s="285"/>
      <c r="P85" s="285"/>
      <c r="Q85" s="285"/>
      <c r="R85" s="285"/>
      <c r="S85" s="285" t="s">
        <v>38</v>
      </c>
      <c r="T85" s="285"/>
      <c r="U85" s="285" t="s">
        <v>38</v>
      </c>
      <c r="V85" s="285"/>
      <c r="W85" s="285" t="s">
        <v>38</v>
      </c>
      <c r="X85" s="285"/>
      <c r="Y85" s="285" t="s">
        <v>38</v>
      </c>
      <c r="Z85" s="285"/>
      <c r="AA85" s="286">
        <f>COUNTIF(C85:Z85,"&gt;=R")</f>
        <v>8</v>
      </c>
      <c r="AB85" s="287">
        <f>AA85</f>
        <v>8</v>
      </c>
      <c r="AC85" s="357"/>
      <c r="AD85" s="357"/>
      <c r="AE85" s="357"/>
      <c r="AF85" s="357"/>
      <c r="AG85" s="393"/>
      <c r="AH85" s="393"/>
      <c r="AI85" s="393"/>
      <c r="AJ85" s="393"/>
      <c r="AK85" s="393"/>
      <c r="AL85" s="393"/>
      <c r="AM85" s="393"/>
      <c r="AN85" s="393"/>
      <c r="AO85" s="393"/>
      <c r="AP85" s="393"/>
      <c r="AQ85" s="393"/>
      <c r="AR85" s="393"/>
      <c r="AS85" s="393"/>
      <c r="AT85" s="393"/>
      <c r="AU85" s="393"/>
      <c r="AV85" s="393"/>
      <c r="AW85" s="393"/>
      <c r="AX85" s="393"/>
      <c r="AY85" s="393"/>
      <c r="AZ85" s="393"/>
      <c r="BA85" s="393"/>
      <c r="BB85" s="393"/>
      <c r="BC85" s="393"/>
      <c r="BD85" s="393"/>
      <c r="BE85" s="393"/>
    </row>
    <row r="86" spans="1:57" ht="40.049999999999997" customHeight="1" x14ac:dyDescent="0.65">
      <c r="A86" s="296" t="s">
        <v>240</v>
      </c>
      <c r="B86" s="915" t="s">
        <v>241</v>
      </c>
      <c r="C86" s="283"/>
      <c r="D86" s="283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5"/>
      <c r="V86" s="285"/>
      <c r="W86" s="285"/>
      <c r="X86" s="285"/>
      <c r="Y86" s="285"/>
      <c r="Z86" s="285"/>
      <c r="AA86" s="286"/>
      <c r="AB86" s="287"/>
      <c r="AG86" s="393"/>
      <c r="AH86" s="393"/>
      <c r="AI86" s="393"/>
      <c r="AJ86" s="393"/>
      <c r="AK86" s="393"/>
      <c r="AL86" s="393"/>
      <c r="AM86" s="393"/>
      <c r="AN86" s="393"/>
      <c r="AO86" s="393"/>
      <c r="AP86" s="393"/>
      <c r="AQ86" s="393"/>
      <c r="AR86" s="393"/>
      <c r="AS86" s="393"/>
      <c r="AT86" s="393"/>
      <c r="AU86" s="393"/>
      <c r="AV86" s="393"/>
      <c r="AW86" s="393"/>
      <c r="AX86" s="393"/>
      <c r="AY86" s="393"/>
      <c r="AZ86" s="393"/>
      <c r="BA86" s="393"/>
      <c r="BB86" s="393"/>
      <c r="BC86" s="393"/>
      <c r="BD86" s="393"/>
      <c r="BE86" s="393"/>
    </row>
    <row r="87" spans="1:57" ht="40.049999999999997" customHeight="1" x14ac:dyDescent="0.65">
      <c r="A87" s="308" t="s">
        <v>242</v>
      </c>
      <c r="B87" s="902" t="s">
        <v>243</v>
      </c>
      <c r="C87" s="284"/>
      <c r="D87" s="283"/>
      <c r="E87" s="285" t="s">
        <v>28</v>
      </c>
      <c r="F87" s="285"/>
      <c r="G87" s="285" t="s">
        <v>48</v>
      </c>
      <c r="H87" s="285"/>
      <c r="I87" s="285" t="s">
        <v>48</v>
      </c>
      <c r="J87" s="285"/>
      <c r="K87" s="285" t="s">
        <v>48</v>
      </c>
      <c r="L87" s="285"/>
      <c r="M87" s="285"/>
      <c r="N87" s="285"/>
      <c r="O87" s="285"/>
      <c r="P87" s="285"/>
      <c r="Q87" s="285"/>
      <c r="R87" s="285"/>
      <c r="S87" s="285" t="s">
        <v>38</v>
      </c>
      <c r="T87" s="285"/>
      <c r="U87" s="285" t="s">
        <v>38</v>
      </c>
      <c r="V87" s="285"/>
      <c r="W87" s="285" t="s">
        <v>38</v>
      </c>
      <c r="X87" s="285"/>
      <c r="Y87" s="285" t="s">
        <v>38</v>
      </c>
      <c r="Z87" s="285"/>
      <c r="AA87" s="286">
        <f>COUNTIF(C87:Z87,"&gt;=R")</f>
        <v>8</v>
      </c>
      <c r="AB87" s="287">
        <f>AA87</f>
        <v>8</v>
      </c>
      <c r="AG87" s="393"/>
      <c r="AH87" s="393"/>
      <c r="AI87" s="393"/>
      <c r="AJ87" s="393"/>
      <c r="AK87" s="393"/>
      <c r="AL87" s="393"/>
      <c r="AM87" s="393"/>
      <c r="AN87" s="393"/>
      <c r="AO87" s="393"/>
      <c r="AP87" s="393"/>
      <c r="AQ87" s="393"/>
      <c r="AR87" s="393"/>
      <c r="AS87" s="393"/>
      <c r="AT87" s="393"/>
      <c r="AU87" s="393"/>
      <c r="AV87" s="393"/>
      <c r="AW87" s="393"/>
      <c r="AX87" s="393"/>
      <c r="AY87" s="393"/>
      <c r="AZ87" s="393"/>
      <c r="BA87" s="393"/>
      <c r="BB87" s="393"/>
      <c r="BC87" s="393"/>
      <c r="BD87" s="393"/>
      <c r="BE87" s="393"/>
    </row>
    <row r="88" spans="1:57" ht="40.049999999999997" customHeight="1" x14ac:dyDescent="0.65">
      <c r="A88" s="308" t="s">
        <v>244</v>
      </c>
      <c r="B88" s="902" t="s">
        <v>245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5"/>
      <c r="Z88" s="285"/>
      <c r="AA88" s="286">
        <f>COUNTIF(C88:Z88,"&gt;=R")</f>
        <v>0</v>
      </c>
      <c r="AB88" s="287">
        <f>AA88</f>
        <v>0</v>
      </c>
      <c r="AG88" s="393"/>
      <c r="AH88" s="393"/>
      <c r="AI88" s="393"/>
      <c r="AJ88" s="393"/>
      <c r="AK88" s="393"/>
      <c r="AL88" s="393"/>
      <c r="AM88" s="393"/>
      <c r="AN88" s="393"/>
      <c r="AO88" s="393"/>
      <c r="AP88" s="393"/>
      <c r="AQ88" s="393"/>
      <c r="AR88" s="393"/>
      <c r="AS88" s="393"/>
      <c r="AT88" s="393"/>
      <c r="AU88" s="393"/>
      <c r="AV88" s="393"/>
      <c r="AW88" s="393"/>
      <c r="AX88" s="393"/>
      <c r="AY88" s="393"/>
      <c r="AZ88" s="393"/>
      <c r="BA88" s="393"/>
      <c r="BB88" s="393"/>
      <c r="BC88" s="393"/>
      <c r="BD88" s="393"/>
      <c r="BE88" s="393"/>
    </row>
    <row r="89" spans="1:57" ht="40.049999999999997" customHeight="1" x14ac:dyDescent="0.65">
      <c r="A89" s="296" t="s">
        <v>246</v>
      </c>
      <c r="B89" s="915" t="s">
        <v>247</v>
      </c>
      <c r="C89" s="283"/>
      <c r="D89" s="283"/>
      <c r="E89" s="299"/>
      <c r="F89" s="285"/>
      <c r="G89" s="285"/>
      <c r="H89" s="285"/>
      <c r="I89" s="285"/>
      <c r="J89" s="285"/>
      <c r="K89" s="285"/>
      <c r="L89" s="285"/>
      <c r="M89" s="307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5"/>
      <c r="Z89" s="285"/>
      <c r="AA89" s="286"/>
      <c r="AB89" s="287"/>
      <c r="AG89" s="393"/>
      <c r="AH89" s="393"/>
      <c r="AI89" s="393"/>
      <c r="AJ89" s="393"/>
      <c r="AK89" s="393"/>
      <c r="AL89" s="393"/>
      <c r="AM89" s="393"/>
      <c r="AN89" s="393"/>
      <c r="AO89" s="393"/>
      <c r="AP89" s="393"/>
      <c r="AQ89" s="393"/>
      <c r="AR89" s="393"/>
      <c r="AS89" s="393"/>
      <c r="AT89" s="393"/>
      <c r="AU89" s="393"/>
      <c r="AV89" s="393"/>
      <c r="AW89" s="393"/>
      <c r="AX89" s="393"/>
      <c r="AY89" s="393"/>
      <c r="AZ89" s="393"/>
      <c r="BA89" s="393"/>
      <c r="BB89" s="393"/>
      <c r="BC89" s="393"/>
      <c r="BD89" s="393"/>
      <c r="BE89" s="393"/>
    </row>
    <row r="90" spans="1:57" ht="40.049999999999997" customHeight="1" x14ac:dyDescent="0.65">
      <c r="A90" s="308" t="s">
        <v>248</v>
      </c>
      <c r="B90" s="902" t="s">
        <v>249</v>
      </c>
      <c r="C90" s="284"/>
      <c r="D90" s="283"/>
      <c r="E90" s="285" t="s">
        <v>18</v>
      </c>
      <c r="F90" s="285"/>
      <c r="G90" s="285" t="s">
        <v>18</v>
      </c>
      <c r="H90" s="285"/>
      <c r="I90" s="285" t="s">
        <v>18</v>
      </c>
      <c r="J90" s="285"/>
      <c r="K90" s="285" t="s">
        <v>18</v>
      </c>
      <c r="L90" s="285"/>
      <c r="M90" s="285" t="s">
        <v>18</v>
      </c>
      <c r="N90" s="285"/>
      <c r="O90" s="285" t="s">
        <v>18</v>
      </c>
      <c r="P90" s="285"/>
      <c r="Q90" s="285"/>
      <c r="R90" s="285"/>
      <c r="S90" s="285" t="s">
        <v>18</v>
      </c>
      <c r="T90" s="285"/>
      <c r="U90" s="285" t="s">
        <v>18</v>
      </c>
      <c r="V90" s="285"/>
      <c r="W90" s="285" t="s">
        <v>18</v>
      </c>
      <c r="X90" s="285"/>
      <c r="Y90" s="285" t="s">
        <v>18</v>
      </c>
      <c r="Z90" s="285"/>
      <c r="AA90" s="286">
        <f>COUNTIF(C90:Z90,"&gt;=R")</f>
        <v>10</v>
      </c>
      <c r="AB90" s="287">
        <f>AA90</f>
        <v>10</v>
      </c>
      <c r="AG90" s="393"/>
      <c r="AH90" s="393"/>
      <c r="AI90" s="393"/>
      <c r="AJ90" s="393"/>
      <c r="AK90" s="393"/>
      <c r="AL90" s="393"/>
      <c r="AM90" s="393"/>
      <c r="AN90" s="393"/>
      <c r="AO90" s="393"/>
      <c r="AP90" s="393"/>
      <c r="AQ90" s="393"/>
      <c r="AR90" s="393"/>
      <c r="AS90" s="393"/>
      <c r="AT90" s="393"/>
      <c r="AU90" s="393"/>
      <c r="AV90" s="393"/>
      <c r="AW90" s="393"/>
      <c r="AX90" s="393"/>
      <c r="AY90" s="393"/>
      <c r="AZ90" s="393"/>
      <c r="BA90" s="393"/>
      <c r="BB90" s="393"/>
      <c r="BC90" s="393"/>
      <c r="BD90" s="393"/>
      <c r="BE90" s="393"/>
    </row>
    <row r="91" spans="1:57" ht="40.049999999999997" customHeight="1" x14ac:dyDescent="0.65">
      <c r="A91" s="308" t="s">
        <v>250</v>
      </c>
      <c r="B91" s="902" t="s">
        <v>251</v>
      </c>
      <c r="C91" s="284"/>
      <c r="D91" s="283"/>
      <c r="E91" s="285" t="s">
        <v>18</v>
      </c>
      <c r="F91" s="285"/>
      <c r="G91" s="285" t="s">
        <v>18</v>
      </c>
      <c r="H91" s="285"/>
      <c r="I91" s="285" t="s">
        <v>18</v>
      </c>
      <c r="J91" s="285"/>
      <c r="K91" s="285" t="s">
        <v>18</v>
      </c>
      <c r="L91" s="285"/>
      <c r="M91" s="285" t="s">
        <v>18</v>
      </c>
      <c r="N91" s="285"/>
      <c r="O91" s="285" t="s">
        <v>18</v>
      </c>
      <c r="P91" s="285"/>
      <c r="Q91" s="285"/>
      <c r="R91" s="285"/>
      <c r="S91" s="285" t="s">
        <v>18</v>
      </c>
      <c r="T91" s="285"/>
      <c r="U91" s="285" t="s">
        <v>18</v>
      </c>
      <c r="V91" s="285"/>
      <c r="W91" s="285" t="s">
        <v>18</v>
      </c>
      <c r="X91" s="285"/>
      <c r="Y91" s="285" t="s">
        <v>18</v>
      </c>
      <c r="Z91" s="285"/>
      <c r="AA91" s="286">
        <f>COUNTIF(C91:Z91,"&gt;=R")</f>
        <v>10</v>
      </c>
      <c r="AB91" s="287">
        <f>AA91</f>
        <v>10</v>
      </c>
      <c r="AG91" s="393"/>
      <c r="AH91" s="393"/>
      <c r="AI91" s="393"/>
      <c r="AJ91" s="393"/>
      <c r="AK91" s="393"/>
      <c r="AL91" s="393"/>
      <c r="AM91" s="393"/>
      <c r="AN91" s="393"/>
      <c r="AO91" s="393"/>
      <c r="AP91" s="393"/>
      <c r="AQ91" s="393"/>
      <c r="AR91" s="393"/>
      <c r="AS91" s="393"/>
      <c r="AT91" s="393"/>
      <c r="AU91" s="393"/>
      <c r="AV91" s="393"/>
      <c r="AW91" s="393"/>
      <c r="AX91" s="393"/>
      <c r="AY91" s="393"/>
      <c r="AZ91" s="393"/>
      <c r="BA91" s="393"/>
      <c r="BB91" s="393"/>
      <c r="BC91" s="393"/>
      <c r="BD91" s="393"/>
      <c r="BE91" s="393"/>
    </row>
    <row r="92" spans="1:57" ht="40.049999999999997" customHeight="1" x14ac:dyDescent="0.65">
      <c r="A92" s="296" t="s">
        <v>252</v>
      </c>
      <c r="B92" s="915" t="s">
        <v>253</v>
      </c>
      <c r="C92" s="283"/>
      <c r="D92" s="283"/>
      <c r="E92" s="299"/>
      <c r="F92" s="285"/>
      <c r="G92" s="288"/>
      <c r="H92" s="285"/>
      <c r="I92" s="288"/>
      <c r="J92" s="285"/>
      <c r="K92" s="285"/>
      <c r="L92" s="285"/>
      <c r="M92" s="285"/>
      <c r="N92" s="285"/>
      <c r="O92" s="285"/>
      <c r="P92" s="285"/>
      <c r="Q92" s="285"/>
      <c r="R92" s="285"/>
      <c r="S92" s="285"/>
      <c r="T92" s="285"/>
      <c r="U92" s="285"/>
      <c r="V92" s="285"/>
      <c r="W92" s="285"/>
      <c r="X92" s="285"/>
      <c r="Y92" s="285"/>
      <c r="Z92" s="285"/>
      <c r="AA92" s="286"/>
      <c r="AB92" s="287"/>
      <c r="AC92" s="357"/>
      <c r="AD92" s="357"/>
      <c r="AE92" s="357"/>
      <c r="AF92" s="357"/>
      <c r="AG92" s="393"/>
      <c r="AH92" s="393"/>
      <c r="AI92" s="393"/>
      <c r="AJ92" s="393"/>
      <c r="AK92" s="393"/>
      <c r="AL92" s="393"/>
      <c r="AM92" s="393"/>
      <c r="AN92" s="393"/>
      <c r="AO92" s="393"/>
      <c r="AP92" s="393"/>
      <c r="AQ92" s="393"/>
      <c r="AR92" s="393"/>
      <c r="AS92" s="393"/>
      <c r="AT92" s="393"/>
      <c r="AU92" s="393"/>
      <c r="AV92" s="393"/>
      <c r="AW92" s="393"/>
      <c r="AX92" s="393"/>
      <c r="AY92" s="393"/>
      <c r="AZ92" s="393"/>
      <c r="BA92" s="393"/>
      <c r="BB92" s="393"/>
      <c r="BC92" s="393"/>
      <c r="BD92" s="393"/>
      <c r="BE92" s="393"/>
    </row>
    <row r="93" spans="1:57" ht="40.049999999999997" customHeight="1" x14ac:dyDescent="0.65">
      <c r="A93" s="281" t="s">
        <v>254</v>
      </c>
      <c r="B93" s="900" t="s">
        <v>255</v>
      </c>
      <c r="C93" s="283"/>
      <c r="D93" s="283"/>
      <c r="E93" s="283" t="s">
        <v>28</v>
      </c>
      <c r="F93" s="285"/>
      <c r="G93" s="283" t="s">
        <v>48</v>
      </c>
      <c r="H93" s="285"/>
      <c r="I93" s="283" t="s">
        <v>48</v>
      </c>
      <c r="J93" s="285"/>
      <c r="K93" s="283" t="s">
        <v>48</v>
      </c>
      <c r="L93" s="285"/>
      <c r="M93" s="283" t="s">
        <v>68</v>
      </c>
      <c r="N93" s="285"/>
      <c r="O93" s="283" t="s">
        <v>68</v>
      </c>
      <c r="P93" s="285"/>
      <c r="Q93" s="283"/>
      <c r="R93" s="285"/>
      <c r="S93" s="283" t="s">
        <v>48</v>
      </c>
      <c r="T93" s="285"/>
      <c r="U93" s="283" t="s">
        <v>48</v>
      </c>
      <c r="V93" s="285"/>
      <c r="W93" s="283" t="s">
        <v>48</v>
      </c>
      <c r="X93" s="285"/>
      <c r="Y93" s="285" t="s">
        <v>48</v>
      </c>
      <c r="Z93" s="285"/>
      <c r="AA93" s="286">
        <f>COUNTIF(C93:Z93,"&gt;=R")</f>
        <v>10</v>
      </c>
      <c r="AB93" s="287">
        <f>AA93</f>
        <v>10</v>
      </c>
      <c r="AC93" s="357"/>
      <c r="AD93" s="357"/>
      <c r="AE93" s="357"/>
      <c r="AF93" s="357"/>
      <c r="AG93" s="393"/>
      <c r="AH93" s="393"/>
      <c r="AI93" s="393"/>
      <c r="AJ93" s="393"/>
      <c r="AK93" s="393"/>
      <c r="AL93" s="393"/>
      <c r="AM93" s="393"/>
      <c r="AN93" s="393"/>
      <c r="AO93" s="393"/>
      <c r="AP93" s="393"/>
      <c r="AQ93" s="393"/>
      <c r="AR93" s="393"/>
      <c r="AS93" s="393"/>
      <c r="AT93" s="393"/>
      <c r="AU93" s="393"/>
      <c r="AV93" s="393"/>
      <c r="AW93" s="393"/>
      <c r="AX93" s="393"/>
      <c r="AY93" s="393"/>
      <c r="AZ93" s="393"/>
      <c r="BA93" s="393"/>
      <c r="BB93" s="393"/>
      <c r="BC93" s="393"/>
      <c r="BD93" s="393"/>
      <c r="BE93" s="393"/>
    </row>
    <row r="94" spans="1:57" ht="40.049999999999997" customHeight="1" x14ac:dyDescent="0.65">
      <c r="A94" s="281" t="s">
        <v>256</v>
      </c>
      <c r="B94" s="900" t="s">
        <v>257</v>
      </c>
      <c r="C94" s="283"/>
      <c r="D94" s="284"/>
      <c r="E94" s="283" t="s">
        <v>28</v>
      </c>
      <c r="F94" s="285"/>
      <c r="G94" s="283" t="s">
        <v>48</v>
      </c>
      <c r="H94" s="285"/>
      <c r="I94" s="283" t="s">
        <v>48</v>
      </c>
      <c r="J94" s="285"/>
      <c r="K94" s="283" t="s">
        <v>48</v>
      </c>
      <c r="L94" s="285"/>
      <c r="M94" s="283" t="s">
        <v>68</v>
      </c>
      <c r="N94" s="285"/>
      <c r="O94" s="283" t="s">
        <v>68</v>
      </c>
      <c r="P94" s="285"/>
      <c r="Q94" s="283"/>
      <c r="R94" s="285"/>
      <c r="S94" s="283" t="s">
        <v>48</v>
      </c>
      <c r="T94" s="285"/>
      <c r="U94" s="283" t="s">
        <v>48</v>
      </c>
      <c r="V94" s="285"/>
      <c r="W94" s="283" t="s">
        <v>48</v>
      </c>
      <c r="X94" s="285"/>
      <c r="Y94" s="285" t="s">
        <v>48</v>
      </c>
      <c r="Z94" s="285"/>
      <c r="AA94" s="286">
        <f>COUNTIF(C94:Z94,"&gt;=R")</f>
        <v>10</v>
      </c>
      <c r="AB94" s="287">
        <f>AA94</f>
        <v>10</v>
      </c>
      <c r="AG94" s="393"/>
      <c r="AH94" s="393"/>
      <c r="AI94" s="393"/>
      <c r="AJ94" s="393"/>
      <c r="AK94" s="393"/>
      <c r="AL94" s="393"/>
      <c r="AM94" s="393"/>
      <c r="AN94" s="393"/>
      <c r="AO94" s="393"/>
      <c r="AP94" s="393"/>
      <c r="AQ94" s="393"/>
      <c r="AR94" s="393"/>
      <c r="AS94" s="393"/>
      <c r="AT94" s="393"/>
      <c r="AU94" s="393"/>
      <c r="AV94" s="393"/>
      <c r="AW94" s="393"/>
      <c r="AX94" s="393"/>
      <c r="AY94" s="393"/>
      <c r="AZ94" s="393"/>
      <c r="BA94" s="393"/>
      <c r="BB94" s="393"/>
      <c r="BC94" s="393"/>
      <c r="BD94" s="393"/>
      <c r="BE94" s="393"/>
    </row>
    <row r="95" spans="1:57" ht="40.049999999999997" customHeight="1" x14ac:dyDescent="0.65">
      <c r="A95" s="281" t="s">
        <v>258</v>
      </c>
      <c r="B95" s="900" t="s">
        <v>259</v>
      </c>
      <c r="C95" s="283"/>
      <c r="D95" s="284"/>
      <c r="E95" s="283" t="s">
        <v>28</v>
      </c>
      <c r="F95" s="285"/>
      <c r="G95" s="283" t="s">
        <v>48</v>
      </c>
      <c r="H95" s="285"/>
      <c r="I95" s="283" t="s">
        <v>48</v>
      </c>
      <c r="J95" s="285"/>
      <c r="K95" s="283" t="s">
        <v>48</v>
      </c>
      <c r="L95" s="285"/>
      <c r="M95" s="283" t="s">
        <v>68</v>
      </c>
      <c r="N95" s="285"/>
      <c r="O95" s="283" t="s">
        <v>68</v>
      </c>
      <c r="P95" s="285"/>
      <c r="Q95" s="283"/>
      <c r="R95" s="285"/>
      <c r="S95" s="283" t="s">
        <v>38</v>
      </c>
      <c r="T95" s="285"/>
      <c r="U95" s="283" t="s">
        <v>38</v>
      </c>
      <c r="V95" s="285"/>
      <c r="W95" s="283" t="s">
        <v>38</v>
      </c>
      <c r="X95" s="285"/>
      <c r="Y95" s="285" t="s">
        <v>38</v>
      </c>
      <c r="Z95" s="285"/>
      <c r="AA95" s="286">
        <f>COUNTIF(C95:Z95,"&gt;=R")</f>
        <v>10</v>
      </c>
      <c r="AB95" s="287">
        <f>AA95</f>
        <v>10</v>
      </c>
      <c r="AC95" s="357"/>
      <c r="AD95" s="357"/>
      <c r="AE95" s="357"/>
      <c r="AF95" s="357"/>
      <c r="AG95" s="393"/>
      <c r="AH95" s="393"/>
      <c r="AI95" s="393"/>
      <c r="AJ95" s="393"/>
      <c r="AK95" s="393"/>
      <c r="AL95" s="393"/>
      <c r="AM95" s="393"/>
      <c r="AN95" s="393"/>
      <c r="AO95" s="393"/>
      <c r="AP95" s="393"/>
      <c r="AQ95" s="393"/>
      <c r="AR95" s="393"/>
      <c r="AS95" s="393"/>
      <c r="AT95" s="393"/>
      <c r="AU95" s="393"/>
      <c r="AV95" s="393"/>
      <c r="AW95" s="393"/>
      <c r="AX95" s="393"/>
      <c r="AY95" s="393"/>
      <c r="AZ95" s="393"/>
      <c r="BA95" s="393"/>
      <c r="BB95" s="393"/>
      <c r="BC95" s="393"/>
      <c r="BD95" s="393"/>
      <c r="BE95" s="393"/>
    </row>
    <row r="96" spans="1:57" ht="40.049999999999997" customHeight="1" x14ac:dyDescent="0.65">
      <c r="A96" s="281" t="s">
        <v>260</v>
      </c>
      <c r="B96" s="900" t="s">
        <v>261</v>
      </c>
      <c r="C96" s="283"/>
      <c r="D96" s="284"/>
      <c r="E96" s="283" t="s">
        <v>28</v>
      </c>
      <c r="F96" s="285"/>
      <c r="G96" s="283" t="s">
        <v>48</v>
      </c>
      <c r="H96" s="285"/>
      <c r="I96" s="283" t="s">
        <v>48</v>
      </c>
      <c r="J96" s="285"/>
      <c r="K96" s="283" t="s">
        <v>48</v>
      </c>
      <c r="L96" s="285"/>
      <c r="M96" s="283" t="s">
        <v>68</v>
      </c>
      <c r="N96" s="285"/>
      <c r="O96" s="283" t="s">
        <v>68</v>
      </c>
      <c r="P96" s="285"/>
      <c r="Q96" s="283"/>
      <c r="R96" s="285"/>
      <c r="S96" s="283" t="s">
        <v>48</v>
      </c>
      <c r="T96" s="285"/>
      <c r="U96" s="283" t="s">
        <v>48</v>
      </c>
      <c r="V96" s="285"/>
      <c r="W96" s="283" t="s">
        <v>48</v>
      </c>
      <c r="X96" s="285"/>
      <c r="Y96" s="285" t="s">
        <v>48</v>
      </c>
      <c r="Z96" s="285"/>
      <c r="AA96" s="286">
        <f>COUNTIF(C96:Z96,"&gt;=R")</f>
        <v>10</v>
      </c>
      <c r="AB96" s="287">
        <f>AA96</f>
        <v>10</v>
      </c>
      <c r="AC96" s="357"/>
      <c r="AD96" s="357"/>
      <c r="AE96" s="357"/>
      <c r="AF96" s="357"/>
      <c r="AG96" s="393"/>
      <c r="AH96" s="393"/>
      <c r="AI96" s="393"/>
      <c r="AJ96" s="393"/>
      <c r="AK96" s="393"/>
      <c r="AL96" s="393"/>
      <c r="AM96" s="393"/>
      <c r="AN96" s="393"/>
      <c r="AO96" s="393"/>
      <c r="AP96" s="393"/>
      <c r="AQ96" s="393"/>
      <c r="AR96" s="393"/>
      <c r="AS96" s="393"/>
      <c r="AT96" s="393"/>
      <c r="AU96" s="393"/>
      <c r="AV96" s="393"/>
      <c r="AW96" s="393"/>
      <c r="AX96" s="393"/>
      <c r="AY96" s="393"/>
      <c r="AZ96" s="393"/>
      <c r="BA96" s="393"/>
      <c r="BB96" s="393"/>
      <c r="BC96" s="393"/>
      <c r="BD96" s="393"/>
      <c r="BE96" s="393"/>
    </row>
    <row r="97" spans="1:57" ht="40.049999999999997" customHeight="1" x14ac:dyDescent="0.65">
      <c r="A97" s="296" t="s">
        <v>262</v>
      </c>
      <c r="B97" s="915" t="s">
        <v>263</v>
      </c>
      <c r="C97" s="283"/>
      <c r="D97" s="284"/>
      <c r="E97" s="285"/>
      <c r="F97" s="285"/>
      <c r="G97" s="288"/>
      <c r="H97" s="285"/>
      <c r="I97" s="288"/>
      <c r="J97" s="285"/>
      <c r="K97" s="288"/>
      <c r="L97" s="285"/>
      <c r="M97" s="285"/>
      <c r="N97" s="285"/>
      <c r="O97" s="285"/>
      <c r="P97" s="285"/>
      <c r="Q97" s="285"/>
      <c r="R97" s="285"/>
      <c r="S97" s="285"/>
      <c r="T97" s="285"/>
      <c r="U97" s="288"/>
      <c r="V97" s="285"/>
      <c r="W97" s="288"/>
      <c r="X97" s="285"/>
      <c r="Y97" s="285"/>
      <c r="Z97" s="285"/>
      <c r="AA97" s="286"/>
      <c r="AB97" s="287"/>
      <c r="AG97" s="393"/>
      <c r="AH97" s="393"/>
      <c r="AI97" s="393"/>
      <c r="AJ97" s="393"/>
      <c r="AK97" s="393"/>
      <c r="AL97" s="393"/>
      <c r="AM97" s="393"/>
      <c r="AN97" s="393"/>
      <c r="AO97" s="393"/>
      <c r="AP97" s="393"/>
      <c r="AQ97" s="393"/>
      <c r="AR97" s="393"/>
      <c r="AS97" s="393"/>
      <c r="AT97" s="393"/>
      <c r="AU97" s="393"/>
      <c r="AV97" s="393"/>
      <c r="AW97" s="393"/>
      <c r="AX97" s="393"/>
      <c r="AY97" s="393"/>
      <c r="AZ97" s="393"/>
      <c r="BA97" s="393"/>
      <c r="BB97" s="393"/>
      <c r="BC97" s="393"/>
      <c r="BD97" s="393"/>
      <c r="BE97" s="393"/>
    </row>
    <row r="98" spans="1:57" ht="40.049999999999997" customHeight="1" x14ac:dyDescent="0.65">
      <c r="A98" s="308" t="s">
        <v>264</v>
      </c>
      <c r="B98" s="902" t="s">
        <v>265</v>
      </c>
      <c r="C98" s="283"/>
      <c r="D98" s="284"/>
      <c r="E98" s="285" t="s">
        <v>75</v>
      </c>
      <c r="F98" s="285"/>
      <c r="G98" s="736" t="s">
        <v>46</v>
      </c>
      <c r="H98" s="285"/>
      <c r="I98" s="736" t="s">
        <v>46</v>
      </c>
      <c r="J98" s="285"/>
      <c r="K98" s="285" t="s">
        <v>26</v>
      </c>
      <c r="L98" s="285"/>
      <c r="M98" s="285" t="s">
        <v>75</v>
      </c>
      <c r="N98" s="285"/>
      <c r="O98" s="285" t="s">
        <v>75</v>
      </c>
      <c r="P98" s="285"/>
      <c r="Q98" s="285"/>
      <c r="R98" s="285"/>
      <c r="S98" s="285" t="s">
        <v>75</v>
      </c>
      <c r="T98" s="285"/>
      <c r="U98" s="285" t="s">
        <v>75</v>
      </c>
      <c r="V98" s="285"/>
      <c r="W98" s="285" t="s">
        <v>75</v>
      </c>
      <c r="X98" s="285"/>
      <c r="Y98" s="285" t="s">
        <v>75</v>
      </c>
      <c r="Z98" s="285"/>
      <c r="AA98" s="286">
        <f>COUNTIF(C98:Z98,"&gt;=R")</f>
        <v>10</v>
      </c>
      <c r="AB98" s="287">
        <f>AA98</f>
        <v>10</v>
      </c>
      <c r="AG98" s="393"/>
      <c r="AH98" s="393"/>
      <c r="AI98" s="393"/>
      <c r="AJ98" s="393"/>
      <c r="AK98" s="393"/>
      <c r="AL98" s="393"/>
      <c r="AM98" s="393"/>
      <c r="AN98" s="393"/>
      <c r="AO98" s="393"/>
      <c r="AP98" s="393"/>
      <c r="AQ98" s="393"/>
      <c r="AR98" s="393"/>
      <c r="AS98" s="393"/>
      <c r="AT98" s="393"/>
      <c r="AU98" s="393"/>
      <c r="AV98" s="393"/>
      <c r="AW98" s="393"/>
      <c r="AX98" s="393"/>
      <c r="AY98" s="393"/>
      <c r="AZ98" s="393"/>
      <c r="BA98" s="393"/>
      <c r="BB98" s="393"/>
      <c r="BC98" s="393"/>
      <c r="BD98" s="393"/>
      <c r="BE98" s="393"/>
    </row>
    <row r="99" spans="1:57" ht="40.049999999999997" customHeight="1" x14ac:dyDescent="0.65">
      <c r="A99" s="310" t="s">
        <v>266</v>
      </c>
      <c r="B99" s="913" t="s">
        <v>267</v>
      </c>
      <c r="C99" s="291"/>
      <c r="D99" s="292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3"/>
      <c r="AA99" s="293"/>
      <c r="AB99" s="295"/>
      <c r="AG99" s="393"/>
      <c r="AH99" s="393"/>
      <c r="AI99" s="393"/>
      <c r="AJ99" s="393"/>
      <c r="AK99" s="393"/>
      <c r="AL99" s="393"/>
      <c r="AM99" s="393"/>
      <c r="AN99" s="393"/>
      <c r="AO99" s="393"/>
      <c r="AP99" s="393"/>
      <c r="AQ99" s="393"/>
      <c r="AR99" s="393"/>
      <c r="AS99" s="393"/>
      <c r="AT99" s="393"/>
      <c r="AU99" s="393"/>
      <c r="AV99" s="393"/>
      <c r="AW99" s="393"/>
      <c r="AX99" s="393"/>
      <c r="AY99" s="393"/>
      <c r="AZ99" s="393"/>
      <c r="BA99" s="393"/>
      <c r="BB99" s="393"/>
      <c r="BC99" s="393"/>
      <c r="BD99" s="393"/>
      <c r="BE99" s="393"/>
    </row>
    <row r="100" spans="1:57" ht="40.049999999999997" customHeight="1" x14ac:dyDescent="0.65">
      <c r="A100" s="281" t="s">
        <v>268</v>
      </c>
      <c r="B100" s="900" t="s">
        <v>269</v>
      </c>
      <c r="C100" s="284"/>
      <c r="D100" s="284"/>
      <c r="E100" s="285" t="s">
        <v>48</v>
      </c>
      <c r="F100" s="285"/>
      <c r="G100" s="285" t="s">
        <v>68</v>
      </c>
      <c r="H100" s="285"/>
      <c r="I100" s="285" t="s">
        <v>68</v>
      </c>
      <c r="J100" s="285"/>
      <c r="K100" s="285" t="s">
        <v>68</v>
      </c>
      <c r="L100" s="285"/>
      <c r="M100" s="285" t="s">
        <v>68</v>
      </c>
      <c r="N100" s="285"/>
      <c r="O100" s="285" t="s">
        <v>68</v>
      </c>
      <c r="P100" s="285"/>
      <c r="Q100" s="285"/>
      <c r="R100" s="285"/>
      <c r="S100" s="285" t="s">
        <v>48</v>
      </c>
      <c r="T100" s="285"/>
      <c r="U100" s="285" t="s">
        <v>48</v>
      </c>
      <c r="V100" s="285"/>
      <c r="W100" s="285" t="s">
        <v>48</v>
      </c>
      <c r="X100" s="285"/>
      <c r="Y100" s="285" t="s">
        <v>48</v>
      </c>
      <c r="Z100" s="285"/>
      <c r="AA100" s="286">
        <f>COUNTIF(C100:Z100,"&gt;=R")</f>
        <v>10</v>
      </c>
      <c r="AB100" s="287">
        <f>AA100</f>
        <v>10</v>
      </c>
      <c r="AG100" s="393"/>
      <c r="AH100" s="393"/>
      <c r="AI100" s="393"/>
      <c r="AJ100" s="393"/>
      <c r="AK100" s="393"/>
      <c r="AL100" s="393"/>
      <c r="AM100" s="393"/>
      <c r="AN100" s="393"/>
      <c r="AO100" s="393"/>
      <c r="AP100" s="393"/>
      <c r="AQ100" s="393"/>
      <c r="AR100" s="393"/>
      <c r="AS100" s="393"/>
      <c r="AT100" s="393"/>
      <c r="AU100" s="393"/>
      <c r="AV100" s="393"/>
      <c r="AW100" s="393"/>
      <c r="AX100" s="393"/>
      <c r="AY100" s="393"/>
      <c r="AZ100" s="393"/>
      <c r="BA100" s="393"/>
      <c r="BB100" s="393"/>
      <c r="BC100" s="393"/>
      <c r="BD100" s="393"/>
      <c r="BE100" s="393"/>
    </row>
    <row r="101" spans="1:57" ht="40.049999999999997" customHeight="1" x14ac:dyDescent="0.65">
      <c r="A101" s="281" t="s">
        <v>270</v>
      </c>
      <c r="B101" s="900" t="s">
        <v>271</v>
      </c>
      <c r="C101" s="284"/>
      <c r="D101" s="284"/>
      <c r="E101" s="285" t="s">
        <v>48</v>
      </c>
      <c r="F101" s="285"/>
      <c r="G101" s="285" t="s">
        <v>68</v>
      </c>
      <c r="H101" s="285"/>
      <c r="I101" s="285" t="s">
        <v>68</v>
      </c>
      <c r="J101" s="285"/>
      <c r="K101" s="285" t="s">
        <v>68</v>
      </c>
      <c r="L101" s="285"/>
      <c r="M101" s="285" t="s">
        <v>68</v>
      </c>
      <c r="N101" s="285"/>
      <c r="O101" s="285" t="s">
        <v>68</v>
      </c>
      <c r="P101" s="285"/>
      <c r="Q101" s="285"/>
      <c r="R101" s="285"/>
      <c r="S101" s="285" t="s">
        <v>48</v>
      </c>
      <c r="T101" s="285"/>
      <c r="U101" s="285" t="s">
        <v>48</v>
      </c>
      <c r="V101" s="285"/>
      <c r="W101" s="285" t="s">
        <v>48</v>
      </c>
      <c r="X101" s="285"/>
      <c r="Y101" s="285" t="s">
        <v>48</v>
      </c>
      <c r="Z101" s="285"/>
      <c r="AA101" s="286">
        <f>COUNTIF(C101:Z101,"&gt;=R")</f>
        <v>10</v>
      </c>
      <c r="AB101" s="287">
        <f>AA101</f>
        <v>10</v>
      </c>
      <c r="AG101" s="393"/>
      <c r="AH101" s="393"/>
      <c r="AI101" s="393"/>
      <c r="AJ101" s="393"/>
      <c r="AK101" s="393"/>
      <c r="AL101" s="393"/>
      <c r="AM101" s="393"/>
      <c r="AN101" s="393"/>
      <c r="AO101" s="393"/>
      <c r="AP101" s="393"/>
      <c r="AQ101" s="393"/>
      <c r="AR101" s="393"/>
      <c r="AS101" s="393"/>
      <c r="AT101" s="393"/>
      <c r="AU101" s="393"/>
      <c r="AV101" s="393"/>
      <c r="AW101" s="393"/>
      <c r="AX101" s="393"/>
      <c r="AY101" s="393"/>
      <c r="AZ101" s="393"/>
      <c r="BA101" s="393"/>
      <c r="BB101" s="393"/>
      <c r="BC101" s="393"/>
      <c r="BD101" s="393"/>
      <c r="BE101" s="393"/>
    </row>
    <row r="102" spans="1:57" ht="40.049999999999997" customHeight="1" x14ac:dyDescent="0.65">
      <c r="A102" s="310" t="s">
        <v>272</v>
      </c>
      <c r="B102" s="913" t="s">
        <v>273</v>
      </c>
      <c r="C102" s="291"/>
      <c r="D102" s="292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3"/>
      <c r="AA102" s="293"/>
      <c r="AB102" s="295"/>
      <c r="AC102" s="357"/>
      <c r="AD102" s="357"/>
      <c r="AE102" s="357"/>
      <c r="AF102" s="357"/>
      <c r="AG102" s="393"/>
      <c r="AH102" s="393"/>
      <c r="AI102" s="393"/>
      <c r="AJ102" s="393"/>
      <c r="AK102" s="393"/>
      <c r="AL102" s="393"/>
      <c r="AM102" s="393"/>
      <c r="AN102" s="393"/>
      <c r="AO102" s="393"/>
      <c r="AP102" s="393"/>
      <c r="AQ102" s="393"/>
      <c r="AR102" s="393"/>
      <c r="AS102" s="393"/>
      <c r="AT102" s="393"/>
      <c r="AU102" s="393"/>
      <c r="AV102" s="393"/>
      <c r="AW102" s="393"/>
      <c r="AX102" s="393"/>
      <c r="AY102" s="393"/>
      <c r="AZ102" s="393"/>
      <c r="BA102" s="393"/>
      <c r="BB102" s="393"/>
      <c r="BC102" s="393"/>
      <c r="BD102" s="393"/>
      <c r="BE102" s="393"/>
    </row>
    <row r="103" spans="1:57" ht="40.049999999999997" customHeight="1" x14ac:dyDescent="0.65">
      <c r="A103" s="281" t="s">
        <v>274</v>
      </c>
      <c r="B103" s="900" t="s">
        <v>275</v>
      </c>
      <c r="C103" s="283"/>
      <c r="D103" s="283"/>
      <c r="E103" s="283"/>
      <c r="F103" s="285"/>
      <c r="G103" s="283"/>
      <c r="H103" s="285"/>
      <c r="I103" s="283"/>
      <c r="J103" s="285"/>
      <c r="K103" s="283"/>
      <c r="L103" s="285"/>
      <c r="M103" s="283"/>
      <c r="N103" s="285"/>
      <c r="O103" s="283"/>
      <c r="P103" s="285"/>
      <c r="Q103" s="283"/>
      <c r="R103" s="285"/>
      <c r="S103" s="283"/>
      <c r="T103" s="285"/>
      <c r="U103" s="283"/>
      <c r="V103" s="285"/>
      <c r="W103" s="283"/>
      <c r="X103" s="285"/>
      <c r="Y103" s="285"/>
      <c r="Z103" s="285"/>
      <c r="AA103" s="286">
        <f>COUNTIF(C103:Z103,"&gt;=R")</f>
        <v>0</v>
      </c>
      <c r="AB103" s="287">
        <f>AA103</f>
        <v>0</v>
      </c>
      <c r="AG103" s="393"/>
      <c r="AH103" s="393"/>
      <c r="AI103" s="393"/>
      <c r="AJ103" s="393"/>
      <c r="AK103" s="393"/>
      <c r="AL103" s="393"/>
      <c r="AM103" s="393"/>
      <c r="AN103" s="393"/>
      <c r="AO103" s="393"/>
      <c r="AP103" s="393"/>
      <c r="AQ103" s="393"/>
      <c r="AR103" s="393"/>
      <c r="AS103" s="393"/>
      <c r="AT103" s="393"/>
      <c r="AU103" s="393"/>
      <c r="AV103" s="393"/>
      <c r="AW103" s="393"/>
      <c r="AX103" s="393"/>
      <c r="AY103" s="393"/>
      <c r="AZ103" s="393"/>
      <c r="BA103" s="393"/>
      <c r="BB103" s="393"/>
      <c r="BC103" s="393"/>
      <c r="BD103" s="393"/>
      <c r="BE103" s="393"/>
    </row>
    <row r="104" spans="1:57" ht="40.049999999999997" customHeight="1" x14ac:dyDescent="0.65">
      <c r="A104" s="281" t="s">
        <v>276</v>
      </c>
      <c r="B104" s="900" t="s">
        <v>277</v>
      </c>
      <c r="C104" s="283"/>
      <c r="D104" s="284"/>
      <c r="E104" s="283" t="s">
        <v>67</v>
      </c>
      <c r="F104" s="285"/>
      <c r="G104" s="283" t="s">
        <v>67</v>
      </c>
      <c r="H104" s="285"/>
      <c r="I104" s="283" t="s">
        <v>67</v>
      </c>
      <c r="J104" s="285"/>
      <c r="K104" s="307" t="s">
        <v>67</v>
      </c>
      <c r="L104" s="285"/>
      <c r="M104" s="307" t="s">
        <v>67</v>
      </c>
      <c r="N104" s="285"/>
      <c r="O104" s="307" t="s">
        <v>67</v>
      </c>
      <c r="P104" s="285"/>
      <c r="Q104" s="307"/>
      <c r="R104" s="285"/>
      <c r="S104" s="285" t="s">
        <v>92</v>
      </c>
      <c r="T104" s="285"/>
      <c r="U104" s="285" t="s">
        <v>67</v>
      </c>
      <c r="V104" s="285"/>
      <c r="W104" s="285" t="s">
        <v>67</v>
      </c>
      <c r="X104" s="285"/>
      <c r="Y104" s="285" t="s">
        <v>67</v>
      </c>
      <c r="Z104" s="285"/>
      <c r="AA104" s="286">
        <f>COUNTIF(C104:Z104,"&gt;=R")</f>
        <v>10</v>
      </c>
      <c r="AB104" s="287">
        <f>AA104</f>
        <v>10</v>
      </c>
      <c r="AC104" s="357"/>
      <c r="AD104" s="357"/>
      <c r="AE104" s="357"/>
      <c r="AF104" s="357"/>
      <c r="AG104" s="393"/>
      <c r="AH104" s="393"/>
      <c r="AI104" s="393"/>
      <c r="AJ104" s="393"/>
      <c r="AK104" s="393"/>
      <c r="AL104" s="393"/>
      <c r="AM104" s="393"/>
      <c r="AN104" s="393"/>
      <c r="AO104" s="393"/>
      <c r="AP104" s="393"/>
      <c r="AQ104" s="393"/>
      <c r="AR104" s="393"/>
      <c r="AS104" s="393"/>
      <c r="AT104" s="393"/>
      <c r="AU104" s="393"/>
      <c r="AV104" s="393"/>
      <c r="AW104" s="393"/>
      <c r="AX104" s="393"/>
      <c r="AY104" s="393"/>
      <c r="AZ104" s="393"/>
      <c r="BA104" s="393"/>
      <c r="BB104" s="393"/>
      <c r="BC104" s="393"/>
      <c r="BD104" s="393"/>
      <c r="BE104" s="393"/>
    </row>
    <row r="105" spans="1:57" ht="40.049999999999997" customHeight="1" x14ac:dyDescent="0.65">
      <c r="A105" s="289" t="s">
        <v>278</v>
      </c>
      <c r="B105" s="913" t="s">
        <v>279</v>
      </c>
      <c r="C105" s="291"/>
      <c r="D105" s="292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3"/>
      <c r="AA105" s="293"/>
      <c r="AB105" s="295"/>
      <c r="AC105" s="357"/>
      <c r="AD105" s="357"/>
      <c r="AE105" s="357"/>
      <c r="AF105" s="357"/>
      <c r="AG105" s="393"/>
      <c r="AH105" s="393"/>
      <c r="AI105" s="393"/>
      <c r="AJ105" s="393"/>
      <c r="AK105" s="393"/>
      <c r="AL105" s="393"/>
      <c r="AM105" s="393"/>
      <c r="AN105" s="393"/>
      <c r="AO105" s="393"/>
      <c r="AP105" s="393"/>
      <c r="AQ105" s="393"/>
      <c r="AR105" s="393"/>
      <c r="AS105" s="393"/>
      <c r="AT105" s="393"/>
      <c r="AU105" s="393"/>
      <c r="AV105" s="393"/>
      <c r="AW105" s="393"/>
      <c r="AX105" s="393"/>
      <c r="AY105" s="393"/>
      <c r="AZ105" s="393"/>
      <c r="BA105" s="393"/>
      <c r="BB105" s="393"/>
      <c r="BC105" s="393"/>
      <c r="BD105" s="393"/>
      <c r="BE105" s="393"/>
    </row>
    <row r="106" spans="1:57" ht="40.049999999999997" customHeight="1" x14ac:dyDescent="0.65">
      <c r="A106" s="296" t="s">
        <v>280</v>
      </c>
      <c r="B106" s="915" t="s">
        <v>281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  <c r="W106" s="285"/>
      <c r="X106" s="285"/>
      <c r="Y106" s="285"/>
      <c r="Z106" s="285"/>
      <c r="AA106" s="286"/>
      <c r="AB106" s="287"/>
      <c r="AG106" s="393"/>
      <c r="AH106" s="393"/>
      <c r="AI106" s="393"/>
      <c r="AJ106" s="393"/>
      <c r="AK106" s="393"/>
      <c r="AL106" s="393"/>
      <c r="AM106" s="393"/>
      <c r="AN106" s="393"/>
      <c r="AO106" s="393"/>
      <c r="AP106" s="393"/>
      <c r="AQ106" s="393"/>
      <c r="AR106" s="393"/>
      <c r="AS106" s="393"/>
      <c r="AT106" s="393"/>
      <c r="AU106" s="393"/>
      <c r="AV106" s="393"/>
      <c r="AW106" s="393"/>
      <c r="AX106" s="393"/>
      <c r="AY106" s="393"/>
      <c r="AZ106" s="393"/>
      <c r="BA106" s="393"/>
      <c r="BB106" s="393"/>
      <c r="BC106" s="393"/>
      <c r="BD106" s="393"/>
      <c r="BE106" s="393"/>
    </row>
    <row r="107" spans="1:57" ht="40.049999999999997" customHeight="1" x14ac:dyDescent="0.65">
      <c r="A107" s="357" t="s">
        <v>282</v>
      </c>
      <c r="B107" s="903" t="s">
        <v>283</v>
      </c>
      <c r="C107" s="283"/>
      <c r="D107" s="284"/>
      <c r="E107" s="285"/>
      <c r="F107" s="285"/>
      <c r="G107" s="288"/>
      <c r="H107" s="285"/>
      <c r="I107" s="288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  <c r="W107" s="285"/>
      <c r="X107" s="285"/>
      <c r="Y107" s="285"/>
      <c r="Z107" s="285"/>
      <c r="AA107" s="286">
        <f>COUNTIF(C107:Z107,"&gt;=R")</f>
        <v>0</v>
      </c>
      <c r="AB107" s="287">
        <f>AA107</f>
        <v>0</v>
      </c>
    </row>
    <row r="108" spans="1:57" ht="40.049999999999997" customHeight="1" x14ac:dyDescent="0.65">
      <c r="A108" s="308" t="s">
        <v>284</v>
      </c>
      <c r="B108" s="902" t="s">
        <v>285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  <c r="W108" s="285"/>
      <c r="X108" s="285"/>
      <c r="Y108" s="285"/>
      <c r="Z108" s="285"/>
      <c r="AA108" s="286">
        <f>COUNTIF(C108:Z108,"&gt;=R")</f>
        <v>0</v>
      </c>
      <c r="AB108" s="287">
        <f>AA108</f>
        <v>0</v>
      </c>
      <c r="AC108" s="357"/>
      <c r="AD108" s="357"/>
      <c r="AE108" s="357"/>
      <c r="AF108" s="357"/>
      <c r="AG108" s="393"/>
      <c r="AH108" s="393"/>
      <c r="AI108" s="393"/>
      <c r="AJ108" s="393"/>
      <c r="AK108" s="393"/>
      <c r="AL108" s="393"/>
      <c r="AM108" s="393"/>
      <c r="AN108" s="393"/>
      <c r="AO108" s="393"/>
      <c r="AP108" s="393"/>
      <c r="AQ108" s="393"/>
      <c r="AR108" s="393"/>
      <c r="AS108" s="393"/>
      <c r="AT108" s="393"/>
      <c r="AU108" s="393"/>
      <c r="AV108" s="393"/>
      <c r="AW108" s="393"/>
      <c r="AX108" s="393"/>
      <c r="AY108" s="393"/>
      <c r="AZ108" s="393"/>
      <c r="BA108" s="393"/>
      <c r="BB108" s="393"/>
      <c r="BC108" s="393"/>
      <c r="BD108" s="393"/>
      <c r="BE108" s="393"/>
    </row>
    <row r="109" spans="1:57" ht="40.049999999999997" customHeight="1" x14ac:dyDescent="0.65">
      <c r="A109" s="296" t="s">
        <v>286</v>
      </c>
      <c r="B109" s="915" t="s">
        <v>287</v>
      </c>
      <c r="C109" s="283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5"/>
      <c r="Z109" s="285"/>
      <c r="AA109" s="286"/>
      <c r="AB109" s="287"/>
      <c r="AG109" s="393"/>
      <c r="AH109" s="393"/>
      <c r="AI109" s="393"/>
      <c r="AJ109" s="393"/>
      <c r="AK109" s="393"/>
      <c r="AL109" s="393"/>
      <c r="AM109" s="393"/>
      <c r="AN109" s="393"/>
      <c r="AO109" s="393"/>
      <c r="AP109" s="393"/>
      <c r="AQ109" s="393"/>
      <c r="AR109" s="393"/>
      <c r="AS109" s="393"/>
      <c r="AT109" s="393"/>
      <c r="AU109" s="393"/>
      <c r="AV109" s="393"/>
      <c r="AW109" s="393"/>
      <c r="AX109" s="393"/>
      <c r="AY109" s="393"/>
      <c r="AZ109" s="393"/>
      <c r="BA109" s="393"/>
      <c r="BB109" s="393"/>
      <c r="BC109" s="393"/>
      <c r="BD109" s="393"/>
      <c r="BE109" s="393"/>
    </row>
    <row r="110" spans="1:57" ht="40.049999999999997" customHeight="1" x14ac:dyDescent="0.65">
      <c r="A110" s="281" t="s">
        <v>288</v>
      </c>
      <c r="B110" s="900" t="s">
        <v>289</v>
      </c>
      <c r="C110" s="284"/>
      <c r="D110" s="284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  <c r="W110" s="285"/>
      <c r="X110" s="285"/>
      <c r="Y110" s="285"/>
      <c r="Z110" s="285"/>
      <c r="AA110" s="286">
        <f>COUNTIF(C110:Z110,"&gt;=R")</f>
        <v>0</v>
      </c>
      <c r="AB110" s="287">
        <f>AA110</f>
        <v>0</v>
      </c>
      <c r="AC110" s="357"/>
      <c r="AD110" s="357"/>
      <c r="AE110" s="357"/>
      <c r="AF110" s="357"/>
      <c r="AG110" s="393"/>
      <c r="AH110" s="393"/>
      <c r="AI110" s="393"/>
      <c r="AJ110" s="393"/>
      <c r="AK110" s="393"/>
      <c r="AL110" s="393"/>
      <c r="AM110" s="393"/>
      <c r="AN110" s="393"/>
      <c r="AO110" s="393"/>
      <c r="AP110" s="393"/>
      <c r="AQ110" s="393"/>
      <c r="AR110" s="393"/>
      <c r="AS110" s="393"/>
      <c r="AT110" s="393"/>
      <c r="AU110" s="393"/>
      <c r="AV110" s="393"/>
      <c r="AW110" s="393"/>
      <c r="AX110" s="393"/>
      <c r="AY110" s="393"/>
      <c r="AZ110" s="393"/>
      <c r="BA110" s="393"/>
      <c r="BB110" s="393"/>
      <c r="BC110" s="393"/>
      <c r="BD110" s="393"/>
      <c r="BE110" s="393"/>
    </row>
    <row r="111" spans="1:57" ht="40.049999999999997" customHeight="1" x14ac:dyDescent="0.65">
      <c r="A111" s="281" t="s">
        <v>290</v>
      </c>
      <c r="B111" s="900" t="s">
        <v>291</v>
      </c>
      <c r="C111" s="283"/>
      <c r="D111" s="284"/>
      <c r="E111" s="283"/>
      <c r="F111" s="285"/>
      <c r="G111" s="283"/>
      <c r="H111" s="285"/>
      <c r="I111" s="283"/>
      <c r="J111" s="285"/>
      <c r="K111" s="283"/>
      <c r="L111" s="285"/>
      <c r="M111" s="283"/>
      <c r="N111" s="285"/>
      <c r="O111" s="283"/>
      <c r="P111" s="285"/>
      <c r="Q111" s="283"/>
      <c r="R111" s="285"/>
      <c r="S111" s="283"/>
      <c r="T111" s="285"/>
      <c r="U111" s="283"/>
      <c r="V111" s="285"/>
      <c r="W111" s="283"/>
      <c r="X111" s="285"/>
      <c r="Y111" s="285"/>
      <c r="Z111" s="285"/>
      <c r="AA111" s="286">
        <f>COUNTIF(C111:Z111,"&gt;=R")</f>
        <v>0</v>
      </c>
      <c r="AB111" s="287">
        <f>AA111</f>
        <v>0</v>
      </c>
      <c r="AG111" s="393"/>
      <c r="AH111" s="393"/>
      <c r="AI111" s="393"/>
      <c r="AJ111" s="393"/>
      <c r="AK111" s="393"/>
      <c r="AL111" s="393"/>
      <c r="AM111" s="393"/>
      <c r="AN111" s="393"/>
      <c r="AO111" s="393"/>
      <c r="AP111" s="393"/>
      <c r="AQ111" s="393"/>
      <c r="AR111" s="393"/>
      <c r="AS111" s="393"/>
      <c r="AT111" s="393"/>
      <c r="AU111" s="393"/>
      <c r="AV111" s="393"/>
      <c r="AW111" s="393"/>
      <c r="AX111" s="393"/>
      <c r="AY111" s="393"/>
      <c r="AZ111" s="393"/>
      <c r="BA111" s="393"/>
      <c r="BB111" s="393"/>
      <c r="BC111" s="393"/>
      <c r="BD111" s="393"/>
      <c r="BE111" s="393"/>
    </row>
    <row r="112" spans="1:57" ht="40.049999999999997" customHeight="1" x14ac:dyDescent="0.65">
      <c r="A112" s="357" t="s">
        <v>292</v>
      </c>
      <c r="B112" s="903" t="s">
        <v>293</v>
      </c>
      <c r="C112" s="283"/>
      <c r="D112" s="284"/>
      <c r="E112" s="285"/>
      <c r="F112" s="285"/>
      <c r="G112" s="288"/>
      <c r="H112" s="285"/>
      <c r="I112" s="288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5"/>
      <c r="Z112" s="285"/>
      <c r="AA112" s="286">
        <f>COUNTIF(C112:Z112,"&gt;=R")</f>
        <v>0</v>
      </c>
      <c r="AB112" s="287">
        <f>AA112</f>
        <v>0</v>
      </c>
    </row>
    <row r="113" spans="1:57" ht="40.049999999999997" customHeight="1" x14ac:dyDescent="0.65">
      <c r="A113" s="289" t="s">
        <v>294</v>
      </c>
      <c r="B113" s="916" t="s">
        <v>295</v>
      </c>
      <c r="C113" s="291"/>
      <c r="D113" s="292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3"/>
      <c r="W113" s="293"/>
      <c r="X113" s="293"/>
      <c r="Y113" s="293"/>
      <c r="Z113" s="293"/>
      <c r="AA113" s="293"/>
      <c r="AB113" s="295"/>
      <c r="AC113" s="357"/>
      <c r="AD113" s="357"/>
      <c r="AE113" s="357"/>
      <c r="AF113" s="357"/>
      <c r="AG113" s="393"/>
      <c r="AH113" s="393"/>
      <c r="AI113" s="393"/>
      <c r="AJ113" s="393"/>
      <c r="AK113" s="393"/>
      <c r="AL113" s="393"/>
      <c r="AM113" s="393"/>
      <c r="AN113" s="393"/>
      <c r="AO113" s="393"/>
      <c r="AP113" s="393"/>
      <c r="AQ113" s="393"/>
      <c r="AR113" s="393"/>
      <c r="AS113" s="393"/>
      <c r="AT113" s="393"/>
      <c r="AU113" s="393"/>
      <c r="AV113" s="393"/>
      <c r="AW113" s="393"/>
      <c r="AX113" s="393"/>
      <c r="AY113" s="393"/>
      <c r="AZ113" s="393"/>
      <c r="BA113" s="393"/>
      <c r="BB113" s="393"/>
      <c r="BC113" s="393"/>
      <c r="BD113" s="393"/>
      <c r="BE113" s="393"/>
    </row>
    <row r="114" spans="1:57" ht="40.049999999999997" customHeight="1" x14ac:dyDescent="0.65">
      <c r="A114" s="312" t="s">
        <v>296</v>
      </c>
      <c r="B114" s="313" t="s">
        <v>297</v>
      </c>
      <c r="C114" s="283"/>
      <c r="D114" s="284"/>
      <c r="E114" s="285" t="s">
        <v>76</v>
      </c>
      <c r="F114" s="285"/>
      <c r="G114" s="285" t="s">
        <v>67</v>
      </c>
      <c r="H114" s="285"/>
      <c r="I114" s="285" t="s">
        <v>67</v>
      </c>
      <c r="J114" s="285"/>
      <c r="K114" s="285" t="s">
        <v>76</v>
      </c>
      <c r="L114" s="285"/>
      <c r="M114" s="285" t="s">
        <v>76</v>
      </c>
      <c r="N114" s="285"/>
      <c r="O114" s="285" t="s">
        <v>76</v>
      </c>
      <c r="P114" s="285"/>
      <c r="Q114" s="285"/>
      <c r="R114" s="285"/>
      <c r="S114" s="285" t="s">
        <v>76</v>
      </c>
      <c r="T114" s="285"/>
      <c r="U114" s="285" t="s">
        <v>76</v>
      </c>
      <c r="V114" s="285"/>
      <c r="W114" s="285" t="s">
        <v>76</v>
      </c>
      <c r="X114" s="285"/>
      <c r="Y114" s="285" t="s">
        <v>76</v>
      </c>
      <c r="Z114" s="285"/>
      <c r="AA114" s="286">
        <f t="shared" ref="AA114:AA125" si="6">COUNTIF(C114:Z114,"&gt;=R")</f>
        <v>10</v>
      </c>
      <c r="AB114" s="287">
        <f t="shared" ref="AB114:AB125" si="7">AA114</f>
        <v>10</v>
      </c>
      <c r="AC114" s="357"/>
      <c r="AD114" s="357"/>
      <c r="AE114" s="357"/>
      <c r="AF114" s="357"/>
      <c r="AG114" s="393"/>
      <c r="AH114" s="393"/>
      <c r="AI114" s="393"/>
      <c r="AJ114" s="393"/>
      <c r="AK114" s="393"/>
      <c r="AL114" s="393"/>
      <c r="AM114" s="393"/>
      <c r="AN114" s="393"/>
      <c r="AO114" s="393"/>
      <c r="AP114" s="393"/>
      <c r="AQ114" s="393"/>
      <c r="AR114" s="393"/>
      <c r="AS114" s="393"/>
      <c r="AT114" s="393"/>
      <c r="AU114" s="393"/>
      <c r="AV114" s="393"/>
      <c r="AW114" s="393"/>
      <c r="AX114" s="393"/>
      <c r="AY114" s="393"/>
      <c r="AZ114" s="393"/>
      <c r="BA114" s="393"/>
      <c r="BB114" s="393"/>
      <c r="BC114" s="393"/>
      <c r="BD114" s="393"/>
      <c r="BE114" s="393"/>
    </row>
    <row r="115" spans="1:57" ht="40.049999999999997" customHeight="1" x14ac:dyDescent="0.65">
      <c r="A115" s="312" t="s">
        <v>298</v>
      </c>
      <c r="B115" s="313" t="s">
        <v>299</v>
      </c>
      <c r="C115" s="283"/>
      <c r="D115" s="284"/>
      <c r="E115" s="285" t="s">
        <v>410</v>
      </c>
      <c r="F115" s="285"/>
      <c r="G115" s="307" t="s">
        <v>410</v>
      </c>
      <c r="H115" s="285"/>
      <c r="I115" s="307" t="s">
        <v>410</v>
      </c>
      <c r="J115" s="285"/>
      <c r="K115" s="307" t="s">
        <v>410</v>
      </c>
      <c r="L115" s="285"/>
      <c r="M115" s="285" t="s">
        <v>410</v>
      </c>
      <c r="N115" s="285"/>
      <c r="O115" s="285" t="s">
        <v>410</v>
      </c>
      <c r="P115" s="285"/>
      <c r="Q115" s="307"/>
      <c r="R115" s="285"/>
      <c r="S115" s="307" t="s">
        <v>410</v>
      </c>
      <c r="T115" s="285"/>
      <c r="U115" s="307" t="s">
        <v>410</v>
      </c>
      <c r="V115" s="285"/>
      <c r="W115" s="307" t="s">
        <v>410</v>
      </c>
      <c r="X115" s="285"/>
      <c r="Y115" s="285" t="s">
        <v>410</v>
      </c>
      <c r="Z115" s="285"/>
      <c r="AA115" s="286">
        <f t="shared" si="6"/>
        <v>10</v>
      </c>
      <c r="AB115" s="287">
        <f t="shared" si="7"/>
        <v>10</v>
      </c>
      <c r="AG115" s="393"/>
      <c r="AH115" s="393"/>
      <c r="AI115" s="393"/>
      <c r="AJ115" s="393"/>
      <c r="AK115" s="393"/>
      <c r="AL115" s="393"/>
      <c r="AM115" s="393"/>
      <c r="AN115" s="393"/>
      <c r="AO115" s="393"/>
      <c r="AP115" s="393"/>
      <c r="AQ115" s="393"/>
      <c r="AR115" s="393"/>
      <c r="AS115" s="393"/>
      <c r="AT115" s="393"/>
      <c r="AU115" s="393"/>
      <c r="AV115" s="393"/>
      <c r="AW115" s="393"/>
      <c r="AX115" s="393"/>
      <c r="AY115" s="393"/>
      <c r="AZ115" s="393"/>
      <c r="BA115" s="393"/>
      <c r="BB115" s="393"/>
      <c r="BC115" s="393"/>
      <c r="BD115" s="393"/>
      <c r="BE115" s="393"/>
    </row>
    <row r="116" spans="1:57" ht="40.049999999999997" customHeight="1" x14ac:dyDescent="0.65">
      <c r="A116" s="312" t="s">
        <v>300</v>
      </c>
      <c r="B116" s="313" t="s">
        <v>301</v>
      </c>
      <c r="C116" s="283"/>
      <c r="D116" s="284"/>
      <c r="E116" s="283"/>
      <c r="F116" s="285"/>
      <c r="G116" s="283"/>
      <c r="H116" s="285"/>
      <c r="I116" s="283"/>
      <c r="J116" s="285"/>
      <c r="K116" s="283"/>
      <c r="L116" s="285"/>
      <c r="M116" s="283"/>
      <c r="N116" s="285"/>
      <c r="O116" s="283"/>
      <c r="P116" s="285"/>
      <c r="Q116" s="283"/>
      <c r="R116" s="285"/>
      <c r="S116" s="283"/>
      <c r="T116" s="285"/>
      <c r="U116" s="283"/>
      <c r="V116" s="285"/>
      <c r="W116" s="283"/>
      <c r="X116" s="285"/>
      <c r="Y116" s="285"/>
      <c r="Z116" s="285"/>
      <c r="AA116" s="286">
        <f t="shared" si="6"/>
        <v>0</v>
      </c>
      <c r="AB116" s="287">
        <f t="shared" si="7"/>
        <v>0</v>
      </c>
      <c r="AG116" s="393"/>
      <c r="AH116" s="393"/>
      <c r="AI116" s="393"/>
      <c r="AJ116" s="393"/>
      <c r="AK116" s="393"/>
      <c r="AL116" s="393"/>
      <c r="AM116" s="393"/>
      <c r="AN116" s="393"/>
      <c r="AO116" s="393"/>
      <c r="AP116" s="393"/>
      <c r="AQ116" s="393"/>
      <c r="AR116" s="393"/>
      <c r="AS116" s="393"/>
      <c r="AT116" s="393"/>
      <c r="AU116" s="393"/>
      <c r="AV116" s="393"/>
      <c r="AW116" s="393"/>
      <c r="AX116" s="393"/>
      <c r="AY116" s="393"/>
      <c r="AZ116" s="393"/>
      <c r="BA116" s="393"/>
      <c r="BB116" s="393"/>
      <c r="BC116" s="393"/>
      <c r="BD116" s="393"/>
      <c r="BE116" s="393"/>
    </row>
    <row r="117" spans="1:57" ht="40.049999999999997" customHeight="1" x14ac:dyDescent="0.65">
      <c r="A117" s="312" t="s">
        <v>302</v>
      </c>
      <c r="B117" s="313" t="s">
        <v>303</v>
      </c>
      <c r="C117" s="284"/>
      <c r="D117" s="284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5"/>
      <c r="V117" s="285"/>
      <c r="W117" s="285"/>
      <c r="X117" s="285"/>
      <c r="Y117" s="285"/>
      <c r="Z117" s="285"/>
      <c r="AA117" s="286">
        <f t="shared" si="6"/>
        <v>0</v>
      </c>
      <c r="AB117" s="287">
        <f t="shared" si="7"/>
        <v>0</v>
      </c>
      <c r="AC117" s="357"/>
      <c r="AD117" s="357"/>
      <c r="AE117" s="357"/>
      <c r="AF117" s="357"/>
      <c r="AG117" s="393"/>
      <c r="AH117" s="393"/>
      <c r="AI117" s="393"/>
      <c r="AJ117" s="393"/>
      <c r="AK117" s="393"/>
      <c r="AL117" s="393"/>
      <c r="AM117" s="393"/>
      <c r="AN117" s="393"/>
      <c r="AO117" s="393"/>
      <c r="AP117" s="393"/>
      <c r="AQ117" s="393"/>
      <c r="AR117" s="393"/>
      <c r="AS117" s="393"/>
      <c r="AT117" s="393"/>
      <c r="AU117" s="393"/>
      <c r="AV117" s="393"/>
      <c r="AW117" s="393"/>
      <c r="AX117" s="393"/>
      <c r="AY117" s="393"/>
      <c r="AZ117" s="393"/>
      <c r="BA117" s="393"/>
      <c r="BB117" s="393"/>
      <c r="BC117" s="393"/>
      <c r="BD117" s="393"/>
      <c r="BE117" s="393"/>
    </row>
    <row r="118" spans="1:57" ht="40.049999999999997" customHeight="1" x14ac:dyDescent="0.65">
      <c r="A118" s="312" t="s">
        <v>304</v>
      </c>
      <c r="B118" s="313" t="s">
        <v>305</v>
      </c>
      <c r="C118" s="283"/>
      <c r="D118" s="284"/>
      <c r="E118" s="285"/>
      <c r="F118" s="285"/>
      <c r="G118" s="307"/>
      <c r="H118" s="285"/>
      <c r="I118" s="307"/>
      <c r="J118" s="285"/>
      <c r="K118" s="307"/>
      <c r="L118" s="285"/>
      <c r="M118" s="285"/>
      <c r="N118" s="285"/>
      <c r="O118" s="285"/>
      <c r="P118" s="285"/>
      <c r="Q118" s="307"/>
      <c r="R118" s="285"/>
      <c r="S118" s="307"/>
      <c r="T118" s="285"/>
      <c r="U118" s="285"/>
      <c r="V118" s="285"/>
      <c r="W118" s="285"/>
      <c r="X118" s="285"/>
      <c r="Y118" s="285"/>
      <c r="Z118" s="285"/>
      <c r="AA118" s="286">
        <f t="shared" si="6"/>
        <v>0</v>
      </c>
      <c r="AB118" s="287">
        <f t="shared" si="7"/>
        <v>0</v>
      </c>
      <c r="AG118" s="393"/>
      <c r="AH118" s="393"/>
      <c r="AI118" s="393"/>
      <c r="AJ118" s="393"/>
      <c r="AK118" s="393"/>
      <c r="AL118" s="393"/>
      <c r="AM118" s="393"/>
      <c r="AN118" s="393"/>
      <c r="AO118" s="393"/>
      <c r="AP118" s="393"/>
      <c r="AQ118" s="393"/>
      <c r="AR118" s="393"/>
      <c r="AS118" s="393"/>
      <c r="AT118" s="393"/>
      <c r="AU118" s="393"/>
      <c r="AV118" s="393"/>
      <c r="AW118" s="393"/>
      <c r="AX118" s="393"/>
      <c r="AY118" s="393"/>
      <c r="AZ118" s="393"/>
      <c r="BA118" s="393"/>
      <c r="BB118" s="393"/>
      <c r="BC118" s="393"/>
      <c r="BD118" s="393"/>
      <c r="BE118" s="393"/>
    </row>
    <row r="119" spans="1:57" ht="40.049999999999997" customHeight="1" x14ac:dyDescent="0.65">
      <c r="A119" s="312" t="s">
        <v>306</v>
      </c>
      <c r="B119" s="313" t="s">
        <v>307</v>
      </c>
      <c r="C119" s="302"/>
      <c r="D119" s="284"/>
      <c r="E119" s="288" t="s">
        <v>57</v>
      </c>
      <c r="F119" s="285"/>
      <c r="G119" s="288" t="s">
        <v>68</v>
      </c>
      <c r="H119" s="285"/>
      <c r="I119" s="288" t="s">
        <v>68</v>
      </c>
      <c r="J119" s="285"/>
      <c r="K119" s="288" t="s">
        <v>68</v>
      </c>
      <c r="L119" s="285"/>
      <c r="M119" s="288" t="s">
        <v>68</v>
      </c>
      <c r="N119" s="285"/>
      <c r="O119" s="288" t="s">
        <v>68</v>
      </c>
      <c r="P119" s="285"/>
      <c r="Q119" s="288"/>
      <c r="R119" s="285"/>
      <c r="S119" s="288" t="s">
        <v>57</v>
      </c>
      <c r="T119" s="285"/>
      <c r="U119" s="288" t="s">
        <v>57</v>
      </c>
      <c r="V119" s="288"/>
      <c r="W119" s="288" t="s">
        <v>57</v>
      </c>
      <c r="X119" s="288"/>
      <c r="Y119" s="288" t="s">
        <v>57</v>
      </c>
      <c r="Z119" s="288"/>
      <c r="AA119" s="286">
        <f t="shared" si="6"/>
        <v>10</v>
      </c>
      <c r="AB119" s="287">
        <f t="shared" si="7"/>
        <v>10</v>
      </c>
      <c r="AG119" s="393"/>
      <c r="AH119" s="393"/>
      <c r="AI119" s="393"/>
      <c r="AJ119" s="393"/>
      <c r="AK119" s="393"/>
      <c r="AL119" s="393"/>
      <c r="AM119" s="393"/>
      <c r="AN119" s="393"/>
      <c r="AO119" s="393"/>
      <c r="AP119" s="393"/>
      <c r="AQ119" s="393"/>
      <c r="AR119" s="393"/>
      <c r="AS119" s="393"/>
      <c r="AT119" s="393"/>
      <c r="AU119" s="393"/>
      <c r="AV119" s="393"/>
      <c r="AW119" s="393"/>
      <c r="AX119" s="393"/>
      <c r="AY119" s="393"/>
      <c r="AZ119" s="393"/>
      <c r="BA119" s="393"/>
      <c r="BB119" s="393"/>
      <c r="BC119" s="393"/>
      <c r="BD119" s="393"/>
      <c r="BE119" s="393"/>
    </row>
    <row r="120" spans="1:57" ht="40.049999999999997" customHeight="1" x14ac:dyDescent="0.65">
      <c r="A120" s="312" t="s">
        <v>308</v>
      </c>
      <c r="B120" s="313" t="s">
        <v>309</v>
      </c>
      <c r="C120" s="283"/>
      <c r="D120" s="284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8"/>
      <c r="V120" s="288"/>
      <c r="W120" s="288"/>
      <c r="X120" s="288"/>
      <c r="Y120" s="288"/>
      <c r="Z120" s="288"/>
      <c r="AA120" s="286">
        <f t="shared" si="6"/>
        <v>0</v>
      </c>
      <c r="AB120" s="287">
        <f t="shared" si="7"/>
        <v>0</v>
      </c>
      <c r="AG120" s="393"/>
      <c r="AH120" s="393"/>
      <c r="AI120" s="393"/>
      <c r="AJ120" s="393"/>
      <c r="AK120" s="393"/>
      <c r="AL120" s="393"/>
      <c r="AM120" s="393"/>
      <c r="AN120" s="393"/>
      <c r="AO120" s="393"/>
      <c r="AP120" s="393"/>
      <c r="AQ120" s="393"/>
      <c r="AR120" s="393"/>
      <c r="AS120" s="393"/>
      <c r="AT120" s="393"/>
      <c r="AU120" s="393"/>
      <c r="AV120" s="393"/>
      <c r="AW120" s="393"/>
      <c r="AX120" s="393"/>
      <c r="AY120" s="393"/>
      <c r="AZ120" s="393"/>
      <c r="BA120" s="393"/>
      <c r="BB120" s="393"/>
      <c r="BC120" s="393"/>
      <c r="BD120" s="393"/>
      <c r="BE120" s="393"/>
    </row>
    <row r="121" spans="1:57" ht="40.049999999999997" customHeight="1" x14ac:dyDescent="0.65">
      <c r="A121" s="312" t="s">
        <v>310</v>
      </c>
      <c r="B121" s="313" t="s">
        <v>311</v>
      </c>
      <c r="C121" s="283"/>
      <c r="D121" s="302"/>
      <c r="E121" s="288"/>
      <c r="F121" s="288"/>
      <c r="G121" s="307"/>
      <c r="H121" s="288"/>
      <c r="I121" s="307"/>
      <c r="J121" s="288"/>
      <c r="K121" s="307"/>
      <c r="L121" s="288"/>
      <c r="M121" s="288"/>
      <c r="N121" s="288"/>
      <c r="O121" s="288"/>
      <c r="P121" s="288"/>
      <c r="Q121" s="307"/>
      <c r="R121" s="288"/>
      <c r="S121" s="307"/>
      <c r="T121" s="288"/>
      <c r="U121" s="307"/>
      <c r="V121" s="288"/>
      <c r="W121" s="307"/>
      <c r="X121" s="288"/>
      <c r="Y121" s="288"/>
      <c r="Z121" s="288"/>
      <c r="AA121" s="286">
        <f t="shared" si="6"/>
        <v>0</v>
      </c>
      <c r="AB121" s="287">
        <f t="shared" si="7"/>
        <v>0</v>
      </c>
      <c r="AG121" s="393"/>
      <c r="AH121" s="393"/>
      <c r="AI121" s="393"/>
      <c r="AJ121" s="393"/>
      <c r="AK121" s="393"/>
      <c r="AL121" s="393"/>
      <c r="AM121" s="393"/>
      <c r="AN121" s="393"/>
      <c r="AO121" s="393"/>
      <c r="AP121" s="393"/>
      <c r="AQ121" s="393"/>
      <c r="AR121" s="393"/>
      <c r="AS121" s="393"/>
      <c r="AT121" s="393"/>
      <c r="AU121" s="393"/>
      <c r="AV121" s="393"/>
      <c r="AW121" s="393"/>
      <c r="AX121" s="393"/>
      <c r="AY121" s="393"/>
      <c r="AZ121" s="393"/>
      <c r="BA121" s="393"/>
      <c r="BB121" s="393"/>
      <c r="BC121" s="393"/>
      <c r="BD121" s="393"/>
      <c r="BE121" s="393"/>
    </row>
    <row r="122" spans="1:57" ht="40.049999999999997" customHeight="1" x14ac:dyDescent="0.65">
      <c r="A122" s="312" t="s">
        <v>312</v>
      </c>
      <c r="B122" s="313" t="s">
        <v>313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6">
        <f t="shared" si="6"/>
        <v>0</v>
      </c>
      <c r="AB122" s="287">
        <f t="shared" si="7"/>
        <v>0</v>
      </c>
      <c r="AG122" s="393"/>
      <c r="AH122" s="393"/>
      <c r="AI122" s="393"/>
      <c r="AJ122" s="393"/>
      <c r="AK122" s="393"/>
      <c r="AL122" s="393"/>
      <c r="AM122" s="393"/>
      <c r="AN122" s="393"/>
      <c r="AO122" s="393"/>
      <c r="AP122" s="393"/>
      <c r="AQ122" s="393"/>
      <c r="AR122" s="393"/>
      <c r="AS122" s="393"/>
      <c r="AT122" s="393"/>
      <c r="AU122" s="393"/>
      <c r="AV122" s="393"/>
      <c r="AW122" s="393"/>
      <c r="AX122" s="393"/>
      <c r="AY122" s="393"/>
      <c r="AZ122" s="393"/>
      <c r="BA122" s="393"/>
      <c r="BB122" s="393"/>
      <c r="BC122" s="393"/>
      <c r="BD122" s="393"/>
      <c r="BE122" s="393"/>
    </row>
    <row r="123" spans="1:57" ht="40.049999999999997" customHeight="1" x14ac:dyDescent="0.65">
      <c r="A123" s="312" t="s">
        <v>314</v>
      </c>
      <c r="B123" s="313" t="s">
        <v>315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8"/>
      <c r="Z123" s="288"/>
      <c r="AA123" s="286">
        <f t="shared" si="6"/>
        <v>0</v>
      </c>
      <c r="AB123" s="287">
        <f t="shared" si="7"/>
        <v>0</v>
      </c>
      <c r="AG123" s="393"/>
      <c r="AH123" s="393"/>
      <c r="AI123" s="393"/>
      <c r="AJ123" s="393"/>
      <c r="AK123" s="393"/>
      <c r="AL123" s="393"/>
      <c r="AM123" s="393"/>
      <c r="AN123" s="393"/>
      <c r="AO123" s="393"/>
      <c r="AP123" s="393"/>
      <c r="AQ123" s="393"/>
      <c r="AR123" s="393"/>
      <c r="AS123" s="393"/>
      <c r="AT123" s="393"/>
      <c r="AU123" s="393"/>
      <c r="AV123" s="393"/>
      <c r="AW123" s="393"/>
      <c r="AX123" s="393"/>
      <c r="AY123" s="393"/>
      <c r="AZ123" s="393"/>
      <c r="BA123" s="393"/>
      <c r="BB123" s="393"/>
      <c r="BC123" s="393"/>
      <c r="BD123" s="393"/>
      <c r="BE123" s="393"/>
    </row>
    <row r="124" spans="1:57" ht="40.049999999999997" customHeight="1" x14ac:dyDescent="0.65">
      <c r="A124" s="312" t="s">
        <v>316</v>
      </c>
      <c r="B124" s="313" t="s">
        <v>317</v>
      </c>
      <c r="C124" s="283"/>
      <c r="D124" s="302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8"/>
      <c r="Z124" s="288"/>
      <c r="AA124" s="286">
        <f t="shared" si="6"/>
        <v>0</v>
      </c>
      <c r="AB124" s="287">
        <f t="shared" si="7"/>
        <v>0</v>
      </c>
      <c r="AG124" s="393"/>
      <c r="AH124" s="393"/>
      <c r="AI124" s="393"/>
      <c r="AJ124" s="393"/>
      <c r="AK124" s="393"/>
      <c r="AL124" s="393"/>
      <c r="AM124" s="393"/>
      <c r="AN124" s="393"/>
      <c r="AO124" s="393"/>
      <c r="AP124" s="393"/>
      <c r="AQ124" s="393"/>
      <c r="AR124" s="393"/>
      <c r="AS124" s="393"/>
      <c r="AT124" s="393"/>
      <c r="AU124" s="393"/>
      <c r="AV124" s="393"/>
      <c r="AW124" s="393"/>
      <c r="AX124" s="393"/>
      <c r="AY124" s="393"/>
      <c r="AZ124" s="393"/>
      <c r="BA124" s="393"/>
      <c r="BB124" s="393"/>
      <c r="BC124" s="393"/>
      <c r="BD124" s="393"/>
      <c r="BE124" s="393"/>
    </row>
    <row r="125" spans="1:57" ht="40.049999999999997" customHeight="1" x14ac:dyDescent="0.65">
      <c r="A125" s="312" t="s">
        <v>318</v>
      </c>
      <c r="B125" s="313" t="s">
        <v>319</v>
      </c>
      <c r="C125" s="283"/>
      <c r="D125" s="302"/>
      <c r="E125" s="302"/>
      <c r="F125" s="288"/>
      <c r="G125" s="302"/>
      <c r="H125" s="288"/>
      <c r="I125" s="302"/>
      <c r="J125" s="288"/>
      <c r="K125" s="302"/>
      <c r="L125" s="288"/>
      <c r="M125" s="302"/>
      <c r="N125" s="288"/>
      <c r="O125" s="302"/>
      <c r="P125" s="288"/>
      <c r="Q125" s="302"/>
      <c r="R125" s="288"/>
      <c r="S125" s="302"/>
      <c r="T125" s="288"/>
      <c r="U125" s="302"/>
      <c r="V125" s="288"/>
      <c r="W125" s="302"/>
      <c r="X125" s="288"/>
      <c r="Y125" s="288"/>
      <c r="Z125" s="288"/>
      <c r="AA125" s="286">
        <f t="shared" si="6"/>
        <v>0</v>
      </c>
      <c r="AB125" s="287">
        <f t="shared" si="7"/>
        <v>0</v>
      </c>
      <c r="AG125" s="393"/>
      <c r="AH125" s="393"/>
      <c r="AI125" s="393"/>
      <c r="AJ125" s="393"/>
      <c r="AK125" s="393"/>
      <c r="AL125" s="393"/>
      <c r="AM125" s="393"/>
      <c r="AN125" s="393"/>
      <c r="AO125" s="393"/>
      <c r="AP125" s="393"/>
      <c r="AQ125" s="393"/>
      <c r="AR125" s="393"/>
      <c r="AS125" s="393"/>
      <c r="AT125" s="393"/>
      <c r="AU125" s="393"/>
      <c r="AV125" s="393"/>
      <c r="AW125" s="393"/>
      <c r="AX125" s="393"/>
      <c r="AY125" s="393"/>
      <c r="AZ125" s="393"/>
      <c r="BA125" s="393"/>
      <c r="BB125" s="393"/>
      <c r="BC125" s="393"/>
      <c r="BD125" s="393"/>
      <c r="BE125" s="393"/>
    </row>
    <row r="126" spans="1:57" ht="40.049999999999997" customHeight="1" x14ac:dyDescent="0.65">
      <c r="A126" s="303" t="s">
        <v>320</v>
      </c>
      <c r="B126" s="304" t="s">
        <v>321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3"/>
      <c r="AA126" s="293"/>
      <c r="AB126" s="295"/>
      <c r="AG126" s="393"/>
      <c r="AH126" s="393"/>
      <c r="AI126" s="393"/>
      <c r="AJ126" s="393"/>
      <c r="AK126" s="393"/>
      <c r="AL126" s="393"/>
      <c r="AM126" s="393"/>
      <c r="AN126" s="393"/>
      <c r="AO126" s="393"/>
      <c r="AP126" s="393"/>
      <c r="AQ126" s="393"/>
      <c r="AR126" s="393"/>
      <c r="AS126" s="393"/>
      <c r="AT126" s="393"/>
      <c r="AU126" s="393"/>
      <c r="AV126" s="393"/>
      <c r="AW126" s="393"/>
      <c r="AX126" s="393"/>
      <c r="AY126" s="393"/>
      <c r="AZ126" s="393"/>
      <c r="BA126" s="393"/>
      <c r="BB126" s="393"/>
      <c r="BC126" s="393"/>
      <c r="BD126" s="393"/>
      <c r="BE126" s="393"/>
    </row>
    <row r="127" spans="1:57" ht="40.049999999999997" customHeight="1" x14ac:dyDescent="0.65">
      <c r="A127" s="274" t="s">
        <v>322</v>
      </c>
      <c r="B127" s="314" t="s">
        <v>323</v>
      </c>
      <c r="C127" s="291"/>
      <c r="D127" s="292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3"/>
      <c r="W127" s="293"/>
      <c r="X127" s="293"/>
      <c r="Y127" s="293"/>
      <c r="Z127" s="293"/>
      <c r="AA127" s="293"/>
      <c r="AB127" s="295"/>
      <c r="AG127" s="393"/>
      <c r="AH127" s="393"/>
      <c r="AI127" s="393"/>
      <c r="AJ127" s="393"/>
      <c r="AK127" s="393"/>
      <c r="AL127" s="393"/>
      <c r="AM127" s="393"/>
      <c r="AN127" s="393"/>
      <c r="AO127" s="393"/>
      <c r="AP127" s="393"/>
      <c r="AQ127" s="393"/>
      <c r="AR127" s="393"/>
      <c r="AS127" s="393"/>
      <c r="AT127" s="393"/>
      <c r="AU127" s="393"/>
      <c r="AV127" s="393"/>
      <c r="AW127" s="393"/>
      <c r="AX127" s="393"/>
      <c r="AY127" s="393"/>
      <c r="AZ127" s="393"/>
      <c r="BA127" s="393"/>
      <c r="BB127" s="393"/>
      <c r="BC127" s="393"/>
      <c r="BD127" s="393"/>
      <c r="BE127" s="393"/>
    </row>
    <row r="128" spans="1:57" ht="40.049999999999997" customHeight="1" x14ac:dyDescent="0.65">
      <c r="A128" s="308" t="s">
        <v>324</v>
      </c>
      <c r="B128" s="905" t="s">
        <v>325</v>
      </c>
      <c r="C128" s="283"/>
      <c r="D128" s="302"/>
      <c r="E128" s="283"/>
      <c r="F128" s="288"/>
      <c r="G128" s="283"/>
      <c r="H128" s="288"/>
      <c r="I128" s="283"/>
      <c r="J128" s="288"/>
      <c r="K128" s="283"/>
      <c r="L128" s="288"/>
      <c r="M128" s="283"/>
      <c r="N128" s="288"/>
      <c r="O128" s="283"/>
      <c r="P128" s="288"/>
      <c r="Q128" s="283"/>
      <c r="R128" s="288"/>
      <c r="S128" s="283"/>
      <c r="T128" s="288"/>
      <c r="U128" s="283"/>
      <c r="V128" s="288"/>
      <c r="W128" s="283"/>
      <c r="X128" s="288"/>
      <c r="Y128" s="288"/>
      <c r="Z128" s="288"/>
      <c r="AA128" s="286">
        <f t="shared" ref="AA128:AA139" si="8">COUNTIF(C128:Z128,"&gt;=R")</f>
        <v>0</v>
      </c>
      <c r="AB128" s="287">
        <f t="shared" ref="AB128:AB139" si="9">AA128</f>
        <v>0</v>
      </c>
      <c r="AG128" s="393"/>
      <c r="AH128" s="393"/>
      <c r="AI128" s="393"/>
      <c r="AJ128" s="393"/>
      <c r="AK128" s="393"/>
      <c r="AL128" s="393"/>
      <c r="AM128" s="393"/>
      <c r="AN128" s="393"/>
      <c r="AO128" s="393"/>
      <c r="AP128" s="393"/>
      <c r="AQ128" s="393"/>
      <c r="AR128" s="393"/>
      <c r="AS128" s="393"/>
      <c r="AT128" s="393"/>
      <c r="AU128" s="393"/>
      <c r="AV128" s="393"/>
      <c r="AW128" s="393"/>
      <c r="AX128" s="393"/>
      <c r="AY128" s="393"/>
      <c r="AZ128" s="393"/>
      <c r="BA128" s="393"/>
      <c r="BB128" s="393"/>
      <c r="BC128" s="393"/>
      <c r="BD128" s="393"/>
      <c r="BE128" s="393"/>
    </row>
    <row r="129" spans="1:57" ht="40.049999999999997" customHeight="1" x14ac:dyDescent="0.65">
      <c r="A129" s="316" t="s">
        <v>326</v>
      </c>
      <c r="B129" s="317" t="s">
        <v>327</v>
      </c>
      <c r="C129" s="283"/>
      <c r="D129" s="302"/>
      <c r="E129" s="283"/>
      <c r="F129" s="288"/>
      <c r="G129" s="283"/>
      <c r="H129" s="288"/>
      <c r="I129" s="283"/>
      <c r="J129" s="288"/>
      <c r="K129" s="283"/>
      <c r="L129" s="288"/>
      <c r="M129" s="283"/>
      <c r="N129" s="288"/>
      <c r="O129" s="283"/>
      <c r="P129" s="288"/>
      <c r="Q129" s="283"/>
      <c r="R129" s="288"/>
      <c r="S129" s="283"/>
      <c r="T129" s="288"/>
      <c r="U129" s="283"/>
      <c r="V129" s="288"/>
      <c r="W129" s="283"/>
      <c r="X129" s="288"/>
      <c r="Y129" s="288"/>
      <c r="Z129" s="288"/>
      <c r="AA129" s="286">
        <f t="shared" si="8"/>
        <v>0</v>
      </c>
      <c r="AB129" s="287">
        <f t="shared" si="9"/>
        <v>0</v>
      </c>
      <c r="AG129" s="393"/>
      <c r="AH129" s="393"/>
      <c r="AI129" s="393"/>
      <c r="AJ129" s="393"/>
      <c r="AK129" s="393"/>
      <c r="AL129" s="393"/>
      <c r="AM129" s="393"/>
      <c r="AN129" s="393"/>
      <c r="AO129" s="393"/>
      <c r="AP129" s="393"/>
      <c r="AQ129" s="393"/>
      <c r="AR129" s="393"/>
      <c r="AS129" s="393"/>
      <c r="AT129" s="393"/>
      <c r="AU129" s="393"/>
      <c r="AV129" s="393"/>
      <c r="AW129" s="393"/>
      <c r="AX129" s="393"/>
      <c r="AY129" s="393"/>
      <c r="AZ129" s="393"/>
      <c r="BA129" s="393"/>
      <c r="BB129" s="393"/>
      <c r="BC129" s="393"/>
      <c r="BD129" s="393"/>
      <c r="BE129" s="393"/>
    </row>
    <row r="130" spans="1:57" ht="40.049999999999997" customHeight="1" x14ac:dyDescent="0.65">
      <c r="A130" s="308" t="s">
        <v>328</v>
      </c>
      <c r="B130" s="905" t="s">
        <v>329</v>
      </c>
      <c r="C130" s="283"/>
      <c r="D130" s="302"/>
      <c r="E130" s="307"/>
      <c r="F130" s="288"/>
      <c r="G130" s="288"/>
      <c r="H130" s="288"/>
      <c r="I130" s="288"/>
      <c r="J130" s="288"/>
      <c r="K130" s="288"/>
      <c r="L130" s="288"/>
      <c r="M130" s="307"/>
      <c r="N130" s="288"/>
      <c r="O130" s="285"/>
      <c r="P130" s="288"/>
      <c r="Q130" s="285"/>
      <c r="R130" s="288"/>
      <c r="S130" s="285"/>
      <c r="T130" s="288"/>
      <c r="U130" s="285"/>
      <c r="V130" s="288"/>
      <c r="W130" s="285"/>
      <c r="X130" s="288"/>
      <c r="Y130" s="288"/>
      <c r="Z130" s="288"/>
      <c r="AA130" s="286">
        <f t="shared" si="8"/>
        <v>0</v>
      </c>
      <c r="AB130" s="287">
        <f t="shared" si="9"/>
        <v>0</v>
      </c>
      <c r="AG130" s="393"/>
      <c r="AH130" s="393"/>
      <c r="AI130" s="393"/>
      <c r="AJ130" s="393"/>
      <c r="AK130" s="393"/>
      <c r="AL130" s="393"/>
      <c r="AM130" s="393"/>
      <c r="AN130" s="393"/>
      <c r="AO130" s="393"/>
      <c r="AP130" s="393"/>
      <c r="AQ130" s="393"/>
      <c r="AR130" s="393"/>
      <c r="AS130" s="393"/>
      <c r="AT130" s="393"/>
      <c r="AU130" s="393"/>
      <c r="AV130" s="393"/>
      <c r="AW130" s="393"/>
      <c r="AX130" s="393"/>
      <c r="AY130" s="393"/>
      <c r="AZ130" s="393"/>
      <c r="BA130" s="393"/>
      <c r="BB130" s="393"/>
      <c r="BC130" s="393"/>
      <c r="BD130" s="393"/>
      <c r="BE130" s="393"/>
    </row>
    <row r="131" spans="1:57" ht="40.049999999999997" customHeight="1" x14ac:dyDescent="0.65">
      <c r="A131" s="308" t="s">
        <v>330</v>
      </c>
      <c r="B131" s="905" t="s">
        <v>331</v>
      </c>
      <c r="C131" s="284"/>
      <c r="D131" s="302"/>
      <c r="E131" s="285"/>
      <c r="F131" s="288"/>
      <c r="G131" s="285"/>
      <c r="H131" s="288"/>
      <c r="I131" s="285"/>
      <c r="J131" s="288"/>
      <c r="K131" s="285"/>
      <c r="L131" s="288"/>
      <c r="M131" s="285"/>
      <c r="N131" s="288"/>
      <c r="O131" s="285"/>
      <c r="P131" s="288"/>
      <c r="Q131" s="285"/>
      <c r="R131" s="288"/>
      <c r="S131" s="285"/>
      <c r="T131" s="288"/>
      <c r="U131" s="285"/>
      <c r="V131" s="288"/>
      <c r="W131" s="285"/>
      <c r="X131" s="288"/>
      <c r="Y131" s="288"/>
      <c r="Z131" s="288"/>
      <c r="AA131" s="286">
        <f t="shared" si="8"/>
        <v>0</v>
      </c>
      <c r="AB131" s="287">
        <f t="shared" si="9"/>
        <v>0</v>
      </c>
      <c r="AG131" s="393"/>
      <c r="AH131" s="393"/>
      <c r="AI131" s="393"/>
      <c r="AJ131" s="393"/>
      <c r="AK131" s="393"/>
      <c r="AL131" s="393"/>
      <c r="AM131" s="393"/>
      <c r="AN131" s="393"/>
      <c r="AO131" s="393"/>
      <c r="AP131" s="393"/>
      <c r="AQ131" s="393"/>
      <c r="AR131" s="393"/>
      <c r="AS131" s="393"/>
      <c r="AT131" s="393"/>
      <c r="AU131" s="393"/>
      <c r="AV131" s="393"/>
      <c r="AW131" s="393"/>
      <c r="AX131" s="393"/>
      <c r="AY131" s="393"/>
      <c r="AZ131" s="393"/>
      <c r="BA131" s="393"/>
      <c r="BB131" s="393"/>
      <c r="BC131" s="393"/>
      <c r="BD131" s="393"/>
      <c r="BE131" s="393"/>
    </row>
    <row r="132" spans="1:57" ht="40.049999999999997" customHeight="1" x14ac:dyDescent="0.65">
      <c r="A132" s="308" t="s">
        <v>332</v>
      </c>
      <c r="B132" s="905" t="s">
        <v>333</v>
      </c>
      <c r="C132" s="283"/>
      <c r="D132" s="302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6">
        <f t="shared" si="8"/>
        <v>0</v>
      </c>
      <c r="AB132" s="287">
        <f t="shared" si="9"/>
        <v>0</v>
      </c>
      <c r="AG132" s="393"/>
      <c r="AH132" s="393"/>
      <c r="AI132" s="393"/>
      <c r="AJ132" s="393"/>
      <c r="AK132" s="393"/>
      <c r="AL132" s="393"/>
      <c r="AM132" s="393"/>
      <c r="AN132" s="393"/>
      <c r="AO132" s="393"/>
      <c r="AP132" s="393"/>
      <c r="AQ132" s="393"/>
      <c r="AR132" s="393"/>
      <c r="AS132" s="393"/>
      <c r="AT132" s="393"/>
      <c r="AU132" s="393"/>
      <c r="AV132" s="393"/>
      <c r="AW132" s="393"/>
      <c r="AX132" s="393"/>
      <c r="AY132" s="393"/>
      <c r="AZ132" s="393"/>
      <c r="BA132" s="393"/>
      <c r="BB132" s="393"/>
      <c r="BC132" s="393"/>
      <c r="BD132" s="393"/>
      <c r="BE132" s="393"/>
    </row>
    <row r="133" spans="1:57" ht="40.049999999999997" customHeight="1" x14ac:dyDescent="0.65">
      <c r="A133" s="308" t="s">
        <v>334</v>
      </c>
      <c r="B133" s="905" t="s">
        <v>335</v>
      </c>
      <c r="C133" s="283"/>
      <c r="D133" s="284"/>
      <c r="E133" s="283"/>
      <c r="F133" s="285"/>
      <c r="G133" s="283"/>
      <c r="H133" s="285"/>
      <c r="I133" s="283"/>
      <c r="J133" s="285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3"/>
      <c r="V133" s="288"/>
      <c r="W133" s="283"/>
      <c r="X133" s="288"/>
      <c r="Y133" s="288"/>
      <c r="Z133" s="288"/>
      <c r="AA133" s="286">
        <f t="shared" si="8"/>
        <v>0</v>
      </c>
      <c r="AB133" s="287">
        <f t="shared" si="9"/>
        <v>0</v>
      </c>
      <c r="AG133" s="393"/>
      <c r="AH133" s="393"/>
      <c r="AI133" s="393"/>
      <c r="AJ133" s="393"/>
      <c r="AK133" s="393"/>
      <c r="AL133" s="393"/>
      <c r="AM133" s="393"/>
      <c r="AN133" s="393"/>
      <c r="AO133" s="393"/>
      <c r="AP133" s="393"/>
      <c r="AQ133" s="393"/>
      <c r="AR133" s="393"/>
      <c r="AS133" s="393"/>
      <c r="AT133" s="393"/>
      <c r="AU133" s="393"/>
      <c r="AV133" s="393"/>
      <c r="AW133" s="393"/>
      <c r="AX133" s="393"/>
      <c r="AY133" s="393"/>
      <c r="AZ133" s="393"/>
      <c r="BA133" s="393"/>
      <c r="BB133" s="393"/>
      <c r="BC133" s="393"/>
      <c r="BD133" s="393"/>
      <c r="BE133" s="393"/>
    </row>
    <row r="134" spans="1:57" ht="40.049999999999997" customHeight="1" x14ac:dyDescent="0.65">
      <c r="A134" s="308" t="s">
        <v>336</v>
      </c>
      <c r="B134" s="905" t="s">
        <v>337</v>
      </c>
      <c r="C134" s="283"/>
      <c r="D134" s="302"/>
      <c r="E134" s="283"/>
      <c r="F134" s="288"/>
      <c r="G134" s="283"/>
      <c r="H134" s="288"/>
      <c r="I134" s="283"/>
      <c r="J134" s="288"/>
      <c r="K134" s="283"/>
      <c r="L134" s="288"/>
      <c r="M134" s="283"/>
      <c r="N134" s="288"/>
      <c r="O134" s="283"/>
      <c r="P134" s="288"/>
      <c r="Q134" s="283"/>
      <c r="R134" s="288"/>
      <c r="S134" s="283"/>
      <c r="T134" s="288"/>
      <c r="U134" s="283"/>
      <c r="V134" s="288"/>
      <c r="W134" s="283"/>
      <c r="X134" s="288"/>
      <c r="Y134" s="288"/>
      <c r="Z134" s="288"/>
      <c r="AA134" s="286">
        <f t="shared" si="8"/>
        <v>0</v>
      </c>
      <c r="AB134" s="287">
        <f t="shared" si="9"/>
        <v>0</v>
      </c>
      <c r="AG134" s="393"/>
      <c r="AH134" s="393"/>
      <c r="AI134" s="393"/>
      <c r="AJ134" s="393"/>
      <c r="AK134" s="393"/>
      <c r="AL134" s="393"/>
      <c r="AM134" s="393"/>
      <c r="AN134" s="393"/>
      <c r="AO134" s="393"/>
      <c r="AP134" s="393"/>
      <c r="AQ134" s="393"/>
      <c r="AR134" s="393"/>
      <c r="AS134" s="393"/>
      <c r="AT134" s="393"/>
      <c r="AU134" s="393"/>
      <c r="AV134" s="393"/>
      <c r="AW134" s="393"/>
      <c r="AX134" s="393"/>
      <c r="AY134" s="393"/>
      <c r="AZ134" s="393"/>
      <c r="BA134" s="393"/>
      <c r="BB134" s="393"/>
      <c r="BC134" s="393"/>
      <c r="BD134" s="393"/>
      <c r="BE134" s="393"/>
    </row>
    <row r="135" spans="1:57" ht="40.049999999999997" customHeight="1" x14ac:dyDescent="0.65">
      <c r="A135" s="308" t="s">
        <v>338</v>
      </c>
      <c r="B135" s="905" t="s">
        <v>339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6">
        <f t="shared" si="8"/>
        <v>0</v>
      </c>
      <c r="AB135" s="287">
        <f t="shared" si="9"/>
        <v>0</v>
      </c>
      <c r="AG135" s="393"/>
      <c r="AH135" s="393"/>
      <c r="AI135" s="393"/>
      <c r="AJ135" s="393"/>
      <c r="AK135" s="393"/>
      <c r="AL135" s="393"/>
      <c r="AM135" s="393"/>
      <c r="AN135" s="393"/>
      <c r="AO135" s="393"/>
      <c r="AP135" s="393"/>
      <c r="AQ135" s="393"/>
      <c r="AR135" s="393"/>
      <c r="AS135" s="393"/>
      <c r="AT135" s="393"/>
      <c r="AU135" s="393"/>
      <c r="AV135" s="393"/>
      <c r="AW135" s="393"/>
      <c r="AX135" s="393"/>
      <c r="AY135" s="393"/>
      <c r="AZ135" s="393"/>
      <c r="BA135" s="393"/>
      <c r="BB135" s="393"/>
      <c r="BC135" s="393"/>
      <c r="BD135" s="393"/>
      <c r="BE135" s="393"/>
    </row>
    <row r="136" spans="1:57" ht="40.049999999999997" customHeight="1" x14ac:dyDescent="0.65">
      <c r="A136" s="308" t="s">
        <v>340</v>
      </c>
      <c r="B136" s="905" t="s">
        <v>341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6">
        <f t="shared" si="8"/>
        <v>0</v>
      </c>
      <c r="AB136" s="287">
        <f t="shared" si="9"/>
        <v>0</v>
      </c>
      <c r="AG136" s="393"/>
      <c r="AH136" s="393"/>
      <c r="AI136" s="393"/>
      <c r="AJ136" s="393"/>
      <c r="AK136" s="393"/>
      <c r="AL136" s="393"/>
      <c r="AM136" s="393"/>
      <c r="AN136" s="393"/>
      <c r="AO136" s="393"/>
      <c r="AP136" s="393"/>
      <c r="AQ136" s="393"/>
      <c r="AR136" s="393"/>
      <c r="AS136" s="393"/>
      <c r="AT136" s="393"/>
      <c r="AU136" s="393"/>
      <c r="AV136" s="393"/>
      <c r="AW136" s="393"/>
      <c r="AX136" s="393"/>
      <c r="AY136" s="393"/>
      <c r="AZ136" s="393"/>
      <c r="BA136" s="393"/>
      <c r="BB136" s="393"/>
      <c r="BC136" s="393"/>
      <c r="BD136" s="393"/>
      <c r="BE136" s="393"/>
    </row>
    <row r="137" spans="1:57" ht="40.049999999999997" customHeight="1" x14ac:dyDescent="0.65">
      <c r="A137" s="308" t="s">
        <v>342</v>
      </c>
      <c r="B137" s="905" t="s">
        <v>343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6">
        <f t="shared" si="8"/>
        <v>0</v>
      </c>
      <c r="AB137" s="287">
        <f t="shared" si="9"/>
        <v>0</v>
      </c>
      <c r="AG137" s="393"/>
      <c r="AH137" s="393"/>
      <c r="AI137" s="393"/>
      <c r="AJ137" s="393"/>
      <c r="AK137" s="393"/>
      <c r="AL137" s="393"/>
      <c r="AM137" s="393"/>
      <c r="AN137" s="393"/>
      <c r="AO137" s="393"/>
      <c r="AP137" s="393"/>
      <c r="AQ137" s="393"/>
      <c r="AR137" s="393"/>
      <c r="AS137" s="393"/>
      <c r="AT137" s="393"/>
      <c r="AU137" s="393"/>
      <c r="AV137" s="393"/>
      <c r="AW137" s="393"/>
      <c r="AX137" s="393"/>
      <c r="AY137" s="393"/>
      <c r="AZ137" s="393"/>
      <c r="BA137" s="393"/>
      <c r="BB137" s="393"/>
      <c r="BC137" s="393"/>
      <c r="BD137" s="393"/>
      <c r="BE137" s="393"/>
    </row>
    <row r="138" spans="1:57" ht="40.049999999999997" customHeight="1" x14ac:dyDescent="0.65">
      <c r="A138" s="308" t="s">
        <v>344</v>
      </c>
      <c r="B138" s="905" t="s">
        <v>345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6">
        <f t="shared" si="8"/>
        <v>0</v>
      </c>
      <c r="AB138" s="287">
        <f t="shared" si="9"/>
        <v>0</v>
      </c>
      <c r="AG138" s="393"/>
      <c r="AH138" s="393"/>
      <c r="AI138" s="393"/>
      <c r="AJ138" s="393"/>
      <c r="AK138" s="393"/>
      <c r="AL138" s="393"/>
      <c r="AM138" s="393"/>
      <c r="AN138" s="393"/>
      <c r="AO138" s="393"/>
      <c r="AP138" s="393"/>
      <c r="AQ138" s="393"/>
      <c r="AR138" s="393"/>
      <c r="AS138" s="393"/>
      <c r="AT138" s="393"/>
      <c r="AU138" s="393"/>
      <c r="AV138" s="393"/>
      <c r="AW138" s="393"/>
      <c r="AX138" s="393"/>
      <c r="AY138" s="393"/>
      <c r="AZ138" s="393"/>
      <c r="BA138" s="393"/>
      <c r="BB138" s="393"/>
      <c r="BC138" s="393"/>
      <c r="BD138" s="393"/>
      <c r="BE138" s="393"/>
    </row>
    <row r="139" spans="1:57" ht="40.049999999999997" customHeight="1" x14ac:dyDescent="0.65">
      <c r="A139" s="308" t="s">
        <v>346</v>
      </c>
      <c r="B139" s="905" t="s">
        <v>347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6">
        <f t="shared" si="8"/>
        <v>0</v>
      </c>
      <c r="AB139" s="287">
        <f t="shared" si="9"/>
        <v>0</v>
      </c>
      <c r="AG139" s="393"/>
      <c r="AH139" s="393"/>
      <c r="AI139" s="393"/>
      <c r="AJ139" s="393"/>
      <c r="AK139" s="393"/>
      <c r="AL139" s="393"/>
      <c r="AM139" s="393"/>
      <c r="AN139" s="393"/>
      <c r="AO139" s="393"/>
      <c r="AP139" s="393"/>
      <c r="AQ139" s="393"/>
      <c r="AR139" s="393"/>
      <c r="AS139" s="393"/>
      <c r="AT139" s="393"/>
      <c r="AU139" s="393"/>
      <c r="AV139" s="393"/>
      <c r="AW139" s="393"/>
      <c r="AX139" s="393"/>
      <c r="AY139" s="393"/>
      <c r="AZ139" s="393"/>
      <c r="BA139" s="393"/>
      <c r="BB139" s="393"/>
      <c r="BC139" s="393"/>
      <c r="BD139" s="393"/>
      <c r="BE139" s="393"/>
    </row>
    <row r="140" spans="1:57" ht="40.049999999999997" customHeight="1" x14ac:dyDescent="0.65">
      <c r="A140" s="289" t="s">
        <v>348</v>
      </c>
      <c r="B140" s="916" t="s">
        <v>349</v>
      </c>
      <c r="C140" s="291"/>
      <c r="D140" s="292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3"/>
      <c r="W140" s="293"/>
      <c r="X140" s="293"/>
      <c r="Y140" s="293"/>
      <c r="Z140" s="293"/>
      <c r="AA140" s="293"/>
      <c r="AB140" s="295"/>
      <c r="AG140" s="393"/>
      <c r="AH140" s="393"/>
      <c r="AI140" s="393"/>
      <c r="AJ140" s="393"/>
      <c r="AK140" s="393"/>
      <c r="AL140" s="393"/>
      <c r="AM140" s="393"/>
      <c r="AN140" s="393"/>
      <c r="AO140" s="393"/>
      <c r="AP140" s="393"/>
      <c r="AQ140" s="393"/>
      <c r="AR140" s="393"/>
      <c r="AS140" s="393"/>
      <c r="AT140" s="393"/>
      <c r="AU140" s="393"/>
      <c r="AV140" s="393"/>
      <c r="AW140" s="393"/>
      <c r="AX140" s="393"/>
      <c r="AY140" s="393"/>
      <c r="AZ140" s="393"/>
      <c r="BA140" s="393"/>
      <c r="BB140" s="393"/>
      <c r="BC140" s="393"/>
      <c r="BD140" s="393"/>
      <c r="BE140" s="393"/>
    </row>
    <row r="141" spans="1:57" ht="40.049999999999997" customHeight="1" x14ac:dyDescent="0.65">
      <c r="A141" s="308" t="s">
        <v>350</v>
      </c>
      <c r="B141" s="902" t="s">
        <v>351</v>
      </c>
      <c r="C141" s="283"/>
      <c r="D141" s="302"/>
      <c r="E141" s="283"/>
      <c r="F141" s="288"/>
      <c r="G141" s="283"/>
      <c r="H141" s="288"/>
      <c r="I141" s="283"/>
      <c r="J141" s="288"/>
      <c r="K141" s="283"/>
      <c r="L141" s="288"/>
      <c r="M141" s="283"/>
      <c r="N141" s="288"/>
      <c r="O141" s="283"/>
      <c r="P141" s="288"/>
      <c r="Q141" s="283"/>
      <c r="R141" s="288"/>
      <c r="S141" s="283"/>
      <c r="T141" s="288"/>
      <c r="U141" s="283"/>
      <c r="V141" s="288"/>
      <c r="W141" s="283"/>
      <c r="X141" s="288"/>
      <c r="Y141" s="288"/>
      <c r="Z141" s="288"/>
      <c r="AA141" s="286">
        <f>COUNTIF(C141:Z141,"&gt;=R")</f>
        <v>0</v>
      </c>
      <c r="AB141" s="287">
        <f>AA141</f>
        <v>0</v>
      </c>
      <c r="AG141" s="393"/>
      <c r="AH141" s="393"/>
      <c r="AI141" s="393"/>
      <c r="AJ141" s="393"/>
      <c r="AK141" s="393"/>
      <c r="AL141" s="393"/>
      <c r="AM141" s="393"/>
      <c r="AN141" s="393"/>
      <c r="AO141" s="393"/>
      <c r="AP141" s="393"/>
      <c r="AQ141" s="393"/>
      <c r="AR141" s="393"/>
      <c r="AS141" s="393"/>
      <c r="AT141" s="393"/>
      <c r="AU141" s="393"/>
      <c r="AV141" s="393"/>
      <c r="AW141" s="393"/>
      <c r="AX141" s="393"/>
      <c r="AY141" s="393"/>
      <c r="AZ141" s="393"/>
      <c r="BA141" s="393"/>
      <c r="BB141" s="393"/>
      <c r="BC141" s="393"/>
      <c r="BD141" s="393"/>
      <c r="BE141" s="393"/>
    </row>
    <row r="142" spans="1:57" ht="40.049999999999997" customHeight="1" x14ac:dyDescent="0.65">
      <c r="A142" s="308" t="s">
        <v>352</v>
      </c>
      <c r="B142" s="902" t="s">
        <v>353</v>
      </c>
      <c r="C142" s="283"/>
      <c r="D142" s="302"/>
      <c r="E142" s="288" t="s">
        <v>66</v>
      </c>
      <c r="F142" s="288"/>
      <c r="G142" s="288" t="s">
        <v>83</v>
      </c>
      <c r="H142" s="288"/>
      <c r="I142" s="288" t="s">
        <v>83</v>
      </c>
      <c r="J142" s="288"/>
      <c r="K142" s="288" t="s">
        <v>83</v>
      </c>
      <c r="L142" s="288"/>
      <c r="M142" s="288" t="s">
        <v>83</v>
      </c>
      <c r="N142" s="288"/>
      <c r="O142" s="288" t="s">
        <v>83</v>
      </c>
      <c r="P142" s="288"/>
      <c r="Q142" s="288"/>
      <c r="R142" s="288"/>
      <c r="S142" s="288" t="s">
        <v>83</v>
      </c>
      <c r="T142" s="288"/>
      <c r="U142" s="285" t="s">
        <v>83</v>
      </c>
      <c r="V142" s="288"/>
      <c r="W142" s="285" t="s">
        <v>83</v>
      </c>
      <c r="X142" s="288"/>
      <c r="Y142" s="288" t="s">
        <v>66</v>
      </c>
      <c r="Z142" s="288"/>
      <c r="AA142" s="286">
        <f>COUNTIF(C142:Z142,"&gt;=R")</f>
        <v>10</v>
      </c>
      <c r="AB142" s="287">
        <f>AA142</f>
        <v>10</v>
      </c>
      <c r="AG142" s="393"/>
      <c r="AH142" s="393"/>
      <c r="AI142" s="393"/>
      <c r="AJ142" s="393"/>
      <c r="AK142" s="393"/>
      <c r="AL142" s="393"/>
      <c r="AM142" s="393"/>
      <c r="AN142" s="393"/>
      <c r="AO142" s="393"/>
      <c r="AP142" s="393"/>
      <c r="AQ142" s="393"/>
      <c r="AR142" s="393"/>
      <c r="AS142" s="393"/>
      <c r="AT142" s="393"/>
      <c r="AU142" s="393"/>
      <c r="AV142" s="393"/>
      <c r="AW142" s="393"/>
      <c r="AX142" s="393"/>
      <c r="AY142" s="393"/>
      <c r="AZ142" s="393"/>
      <c r="BA142" s="393"/>
      <c r="BB142" s="393"/>
      <c r="BC142" s="393"/>
      <c r="BD142" s="393"/>
      <c r="BE142" s="393"/>
    </row>
    <row r="143" spans="1:57" ht="40.049999999999997" customHeight="1" x14ac:dyDescent="0.65">
      <c r="A143" s="308" t="s">
        <v>354</v>
      </c>
      <c r="B143" s="902" t="s">
        <v>355</v>
      </c>
      <c r="C143" s="283"/>
      <c r="D143" s="302"/>
      <c r="E143" s="288" t="s">
        <v>66</v>
      </c>
      <c r="F143" s="288"/>
      <c r="G143" s="288" t="s">
        <v>83</v>
      </c>
      <c r="H143" s="288"/>
      <c r="I143" s="288" t="s">
        <v>83</v>
      </c>
      <c r="J143" s="288"/>
      <c r="K143" s="288" t="s">
        <v>83</v>
      </c>
      <c r="L143" s="288"/>
      <c r="M143" s="288" t="s">
        <v>83</v>
      </c>
      <c r="N143" s="288"/>
      <c r="O143" s="288" t="s">
        <v>83</v>
      </c>
      <c r="P143" s="288"/>
      <c r="Q143" s="288"/>
      <c r="R143" s="288"/>
      <c r="S143" s="288" t="s">
        <v>83</v>
      </c>
      <c r="T143" s="288"/>
      <c r="U143" s="285" t="s">
        <v>83</v>
      </c>
      <c r="V143" s="288"/>
      <c r="W143" s="285" t="s">
        <v>83</v>
      </c>
      <c r="X143" s="288"/>
      <c r="Y143" s="288" t="s">
        <v>66</v>
      </c>
      <c r="Z143" s="288"/>
      <c r="AA143" s="286">
        <f>COUNTIF(C143:Z143,"&gt;=R")</f>
        <v>10</v>
      </c>
      <c r="AB143" s="287">
        <f>AA143</f>
        <v>10</v>
      </c>
      <c r="AG143" s="393"/>
      <c r="AH143" s="393"/>
      <c r="AI143" s="393"/>
      <c r="AJ143" s="393"/>
      <c r="AK143" s="393"/>
      <c r="AL143" s="393"/>
      <c r="AM143" s="393"/>
      <c r="AN143" s="393"/>
      <c r="AO143" s="393"/>
      <c r="AP143" s="393"/>
      <c r="AQ143" s="393"/>
      <c r="AR143" s="393"/>
      <c r="AS143" s="393"/>
      <c r="AT143" s="393"/>
      <c r="AU143" s="393"/>
      <c r="AV143" s="393"/>
      <c r="AW143" s="393"/>
      <c r="AX143" s="393"/>
      <c r="AY143" s="393"/>
      <c r="AZ143" s="393"/>
      <c r="BA143" s="393"/>
      <c r="BB143" s="393"/>
      <c r="BC143" s="393"/>
      <c r="BD143" s="393"/>
      <c r="BE143" s="393"/>
    </row>
    <row r="144" spans="1:57" ht="40.049999999999997" customHeight="1" x14ac:dyDescent="0.65">
      <c r="A144" s="289" t="s">
        <v>356</v>
      </c>
      <c r="B144" s="916" t="s">
        <v>357</v>
      </c>
      <c r="C144" s="291"/>
      <c r="D144" s="292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3"/>
      <c r="W144" s="293"/>
      <c r="X144" s="293"/>
      <c r="Y144" s="293"/>
      <c r="Z144" s="293"/>
      <c r="AA144" s="293"/>
      <c r="AB144" s="295"/>
      <c r="AG144" s="393"/>
      <c r="AH144" s="393"/>
      <c r="AI144" s="393"/>
      <c r="AJ144" s="393"/>
      <c r="AK144" s="393"/>
      <c r="AL144" s="393"/>
      <c r="AM144" s="393"/>
      <c r="AN144" s="393"/>
      <c r="AO144" s="393"/>
      <c r="AP144" s="393"/>
      <c r="AQ144" s="393"/>
      <c r="AR144" s="393"/>
      <c r="AS144" s="393"/>
      <c r="AT144" s="393"/>
      <c r="AU144" s="393"/>
      <c r="AV144" s="393"/>
      <c r="AW144" s="393"/>
      <c r="AX144" s="393"/>
      <c r="AY144" s="393"/>
      <c r="AZ144" s="393"/>
      <c r="BA144" s="393"/>
      <c r="BB144" s="393"/>
      <c r="BC144" s="393"/>
      <c r="BD144" s="393"/>
      <c r="BE144" s="393"/>
    </row>
    <row r="145" spans="1:57" ht="40.049999999999997" customHeight="1" x14ac:dyDescent="0.65">
      <c r="A145" s="308" t="s">
        <v>358</v>
      </c>
      <c r="B145" s="902" t="s">
        <v>359</v>
      </c>
      <c r="C145" s="283"/>
      <c r="D145" s="302"/>
      <c r="E145" s="283"/>
      <c r="F145" s="288"/>
      <c r="G145" s="283" t="s">
        <v>57</v>
      </c>
      <c r="H145" s="288"/>
      <c r="I145" s="283" t="s">
        <v>57</v>
      </c>
      <c r="J145" s="288"/>
      <c r="K145" s="283"/>
      <c r="L145" s="288"/>
      <c r="M145" s="283"/>
      <c r="N145" s="288"/>
      <c r="O145" s="283"/>
      <c r="P145" s="288"/>
      <c r="Q145" s="283"/>
      <c r="R145" s="288"/>
      <c r="S145" s="283" t="s">
        <v>76</v>
      </c>
      <c r="T145" s="288"/>
      <c r="U145" s="283" t="s">
        <v>76</v>
      </c>
      <c r="V145" s="288"/>
      <c r="W145" s="286"/>
      <c r="X145" s="288"/>
      <c r="Y145" s="288"/>
      <c r="Z145" s="288"/>
      <c r="AA145" s="286">
        <f>COUNTIF(C145:Z145,"&gt;=R")</f>
        <v>4</v>
      </c>
      <c r="AB145" s="287">
        <f>AA145</f>
        <v>4</v>
      </c>
      <c r="AG145" s="393"/>
      <c r="AH145" s="393"/>
      <c r="AI145" s="393"/>
      <c r="AJ145" s="393"/>
      <c r="AK145" s="393"/>
      <c r="AL145" s="393"/>
      <c r="AM145" s="393"/>
      <c r="AN145" s="393"/>
      <c r="AO145" s="393"/>
      <c r="AP145" s="393"/>
      <c r="AQ145" s="393"/>
      <c r="AR145" s="393"/>
      <c r="AS145" s="393"/>
      <c r="AT145" s="393"/>
      <c r="AU145" s="393"/>
      <c r="AV145" s="393"/>
      <c r="AW145" s="393"/>
      <c r="AX145" s="393"/>
      <c r="AY145" s="393"/>
      <c r="AZ145" s="393"/>
      <c r="BA145" s="393"/>
      <c r="BB145" s="393"/>
      <c r="BC145" s="393"/>
      <c r="BD145" s="393"/>
      <c r="BE145" s="393"/>
    </row>
    <row r="146" spans="1:57" ht="40.049999999999997" customHeight="1" x14ac:dyDescent="0.65">
      <c r="A146" s="308" t="s">
        <v>360</v>
      </c>
      <c r="B146" s="902" t="s">
        <v>361</v>
      </c>
      <c r="C146" s="284" t="s">
        <v>36</v>
      </c>
      <c r="D146" s="302"/>
      <c r="E146" s="674" t="s">
        <v>16</v>
      </c>
      <c r="F146" s="288"/>
      <c r="G146" s="285" t="s">
        <v>36</v>
      </c>
      <c r="H146" s="288"/>
      <c r="I146" s="285" t="s">
        <v>36</v>
      </c>
      <c r="J146" s="288"/>
      <c r="K146" s="283" t="s">
        <v>407</v>
      </c>
      <c r="L146" s="285"/>
      <c r="M146" s="283" t="s">
        <v>407</v>
      </c>
      <c r="N146" s="285"/>
      <c r="O146" s="283" t="s">
        <v>407</v>
      </c>
      <c r="P146" s="288"/>
      <c r="Q146" s="285" t="s">
        <v>91</v>
      </c>
      <c r="R146" s="288"/>
      <c r="S146" s="674" t="s">
        <v>16</v>
      </c>
      <c r="T146" s="288"/>
      <c r="U146" s="674" t="s">
        <v>16</v>
      </c>
      <c r="V146" s="288"/>
      <c r="W146" s="674" t="s">
        <v>16</v>
      </c>
      <c r="X146" s="288"/>
      <c r="Y146" s="674" t="s">
        <v>16</v>
      </c>
      <c r="Z146" s="288"/>
      <c r="AA146" s="286">
        <f>COUNTIF(C146:Z146,"&gt;=R")</f>
        <v>12</v>
      </c>
      <c r="AB146" s="287">
        <f>AA146</f>
        <v>12</v>
      </c>
      <c r="AG146" s="393"/>
      <c r="AH146" s="393"/>
      <c r="AI146" s="393"/>
      <c r="AJ146" s="393"/>
      <c r="AK146" s="393"/>
      <c r="AL146" s="393"/>
      <c r="AM146" s="393"/>
      <c r="AN146" s="393"/>
      <c r="AO146" s="393"/>
      <c r="AP146" s="393"/>
      <c r="AQ146" s="393"/>
      <c r="AR146" s="393"/>
      <c r="AS146" s="393"/>
      <c r="AT146" s="393"/>
      <c r="AU146" s="393"/>
      <c r="AV146" s="393"/>
      <c r="AW146" s="393"/>
      <c r="AX146" s="393"/>
      <c r="AY146" s="393"/>
      <c r="AZ146" s="393"/>
      <c r="BA146" s="393"/>
      <c r="BB146" s="393"/>
      <c r="BC146" s="393"/>
      <c r="BD146" s="393"/>
      <c r="BE146" s="393"/>
    </row>
    <row r="147" spans="1:57" ht="40.049999999999997" customHeight="1" x14ac:dyDescent="0.65">
      <c r="A147" s="308" t="s">
        <v>362</v>
      </c>
      <c r="B147" s="902" t="s">
        <v>363</v>
      </c>
      <c r="C147" s="283" t="s">
        <v>85</v>
      </c>
      <c r="D147" s="302"/>
      <c r="E147" s="283" t="s">
        <v>85</v>
      </c>
      <c r="F147" s="288"/>
      <c r="G147" s="283" t="s">
        <v>85</v>
      </c>
      <c r="H147" s="288"/>
      <c r="I147" s="283" t="s">
        <v>85</v>
      </c>
      <c r="J147" s="288"/>
      <c r="K147" s="283" t="s">
        <v>85</v>
      </c>
      <c r="L147" s="288"/>
      <c r="M147" s="283" t="s">
        <v>85</v>
      </c>
      <c r="N147" s="288"/>
      <c r="O147" s="283" t="s">
        <v>85</v>
      </c>
      <c r="P147" s="288"/>
      <c r="Q147" s="283" t="s">
        <v>85</v>
      </c>
      <c r="R147" s="288"/>
      <c r="S147" s="283" t="s">
        <v>410</v>
      </c>
      <c r="T147" s="288"/>
      <c r="U147" s="283" t="s">
        <v>410</v>
      </c>
      <c r="V147" s="288"/>
      <c r="W147" s="283" t="s">
        <v>85</v>
      </c>
      <c r="X147" s="288"/>
      <c r="Y147" s="288" t="s">
        <v>85</v>
      </c>
      <c r="Z147" s="288"/>
      <c r="AA147" s="286">
        <f>COUNTIF(C147:Z147,"&gt;=R")</f>
        <v>12</v>
      </c>
      <c r="AB147" s="287">
        <f>AA147</f>
        <v>12</v>
      </c>
      <c r="AG147" s="393"/>
      <c r="AH147" s="393"/>
      <c r="AI147" s="393"/>
      <c r="AJ147" s="393"/>
      <c r="AK147" s="393"/>
      <c r="AL147" s="393"/>
      <c r="AM147" s="393"/>
      <c r="AN147" s="393"/>
      <c r="AO147" s="393"/>
      <c r="AP147" s="393"/>
      <c r="AQ147" s="393"/>
      <c r="AR147" s="393"/>
      <c r="AS147" s="393"/>
      <c r="AT147" s="393"/>
      <c r="AU147" s="393"/>
      <c r="AV147" s="393"/>
      <c r="AW147" s="393"/>
      <c r="AX147" s="393"/>
      <c r="AY147" s="393"/>
      <c r="AZ147" s="393"/>
      <c r="BA147" s="393"/>
      <c r="BB147" s="393"/>
      <c r="BC147" s="393"/>
      <c r="BD147" s="393"/>
      <c r="BE147" s="393"/>
    </row>
    <row r="148" spans="1:57" ht="40.049999999999997" customHeight="1" x14ac:dyDescent="0.65">
      <c r="A148" s="289" t="s">
        <v>364</v>
      </c>
      <c r="B148" s="913" t="s">
        <v>365</v>
      </c>
      <c r="C148" s="291"/>
      <c r="D148" s="292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3"/>
      <c r="W148" s="293"/>
      <c r="X148" s="293"/>
      <c r="Y148" s="293"/>
      <c r="Z148" s="293"/>
      <c r="AA148" s="293"/>
      <c r="AB148" s="295"/>
      <c r="AG148" s="393"/>
      <c r="AH148" s="393"/>
      <c r="AI148" s="393"/>
      <c r="AJ148" s="393"/>
      <c r="AK148" s="393"/>
      <c r="AL148" s="393"/>
      <c r="AM148" s="393"/>
      <c r="AN148" s="393"/>
      <c r="AO148" s="393"/>
      <c r="AP148" s="393"/>
      <c r="AQ148" s="393"/>
      <c r="AR148" s="393"/>
      <c r="AS148" s="393"/>
      <c r="AT148" s="393"/>
      <c r="AU148" s="393"/>
      <c r="AV148" s="393"/>
      <c r="AW148" s="393"/>
      <c r="AX148" s="393"/>
      <c r="AY148" s="393"/>
      <c r="AZ148" s="393"/>
      <c r="BA148" s="393"/>
      <c r="BB148" s="393"/>
      <c r="BC148" s="393"/>
      <c r="BD148" s="393"/>
      <c r="BE148" s="393"/>
    </row>
    <row r="149" spans="1:57" ht="40.049999999999997" customHeight="1" x14ac:dyDescent="0.65">
      <c r="A149" s="917" t="s">
        <v>366</v>
      </c>
      <c r="B149" s="496" t="s">
        <v>367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8"/>
      <c r="Z149" s="288"/>
      <c r="AA149" s="286">
        <f t="shared" ref="AA149:AA156" si="10">COUNTIF(C149:Z149,"&gt;=R")</f>
        <v>0</v>
      </c>
      <c r="AB149" s="287">
        <f t="shared" ref="AB149:AB156" si="11">AA149</f>
        <v>0</v>
      </c>
      <c r="AG149" s="393"/>
      <c r="AH149" s="393"/>
      <c r="AI149" s="393"/>
      <c r="AJ149" s="393"/>
      <c r="AK149" s="393"/>
      <c r="AL149" s="393"/>
      <c r="AM149" s="393"/>
      <c r="AN149" s="393"/>
      <c r="AO149" s="393"/>
      <c r="AP149" s="393"/>
      <c r="AQ149" s="393"/>
      <c r="AR149" s="393"/>
      <c r="AS149" s="393"/>
      <c r="AT149" s="393"/>
      <c r="AU149" s="393"/>
      <c r="AV149" s="393"/>
      <c r="AW149" s="393"/>
      <c r="AX149" s="393"/>
      <c r="AY149" s="393"/>
      <c r="AZ149" s="393"/>
      <c r="BA149" s="393"/>
      <c r="BB149" s="393"/>
      <c r="BC149" s="393"/>
      <c r="BD149" s="393"/>
      <c r="BE149" s="393"/>
    </row>
    <row r="150" spans="1:57" ht="40.049999999999997" customHeight="1" x14ac:dyDescent="0.65">
      <c r="A150" s="918" t="s">
        <v>368</v>
      </c>
      <c r="B150" s="313" t="s">
        <v>369</v>
      </c>
      <c r="C150" s="302"/>
      <c r="D150" s="302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8"/>
      <c r="V150" s="288"/>
      <c r="W150" s="288"/>
      <c r="X150" s="288"/>
      <c r="Y150" s="288"/>
      <c r="Z150" s="288"/>
      <c r="AA150" s="286">
        <f t="shared" si="10"/>
        <v>0</v>
      </c>
      <c r="AB150" s="287">
        <f t="shared" si="11"/>
        <v>0</v>
      </c>
      <c r="AG150" s="393"/>
      <c r="AH150" s="393"/>
      <c r="AI150" s="393"/>
      <c r="AJ150" s="393"/>
      <c r="AK150" s="393"/>
      <c r="AL150" s="393"/>
      <c r="AM150" s="393"/>
      <c r="AN150" s="393"/>
      <c r="AO150" s="393"/>
      <c r="AP150" s="393"/>
      <c r="AQ150" s="393"/>
      <c r="AR150" s="393"/>
      <c r="AS150" s="393"/>
      <c r="AT150" s="393"/>
      <c r="AU150" s="393"/>
      <c r="AV150" s="393"/>
      <c r="AW150" s="393"/>
      <c r="AX150" s="393"/>
      <c r="AY150" s="393"/>
      <c r="AZ150" s="393"/>
      <c r="BA150" s="393"/>
      <c r="BB150" s="393"/>
      <c r="BC150" s="393"/>
      <c r="BD150" s="393"/>
      <c r="BE150" s="393"/>
    </row>
    <row r="151" spans="1:57" ht="40.049999999999997" customHeight="1" x14ac:dyDescent="0.65">
      <c r="A151" s="918" t="s">
        <v>370</v>
      </c>
      <c r="B151" s="313" t="s">
        <v>371</v>
      </c>
      <c r="C151" s="284"/>
      <c r="D151" s="302"/>
      <c r="E151" s="285"/>
      <c r="F151" s="288"/>
      <c r="G151" s="285"/>
      <c r="H151" s="288"/>
      <c r="I151" s="285"/>
      <c r="J151" s="288"/>
      <c r="K151" s="285"/>
      <c r="L151" s="288"/>
      <c r="M151" s="285"/>
      <c r="N151" s="288"/>
      <c r="O151" s="285"/>
      <c r="P151" s="288"/>
      <c r="Q151" s="285"/>
      <c r="R151" s="288"/>
      <c r="S151" s="285"/>
      <c r="T151" s="288"/>
      <c r="U151" s="285"/>
      <c r="V151" s="288"/>
      <c r="W151" s="285"/>
      <c r="X151" s="288"/>
      <c r="Y151" s="288"/>
      <c r="Z151" s="288"/>
      <c r="AA151" s="286">
        <f t="shared" si="10"/>
        <v>0</v>
      </c>
      <c r="AB151" s="287">
        <f t="shared" si="11"/>
        <v>0</v>
      </c>
      <c r="AG151" s="393"/>
      <c r="AH151" s="393"/>
      <c r="AI151" s="393"/>
      <c r="AJ151" s="393"/>
      <c r="AK151" s="393"/>
      <c r="AL151" s="393"/>
      <c r="AM151" s="393"/>
      <c r="AN151" s="393"/>
      <c r="AO151" s="393"/>
      <c r="AP151" s="393"/>
      <c r="AQ151" s="393"/>
      <c r="AR151" s="393"/>
      <c r="AS151" s="393"/>
      <c r="AT151" s="393"/>
      <c r="AU151" s="393"/>
      <c r="AV151" s="393"/>
      <c r="AW151" s="393"/>
      <c r="AX151" s="393"/>
      <c r="AY151" s="393"/>
      <c r="AZ151" s="393"/>
      <c r="BA151" s="393"/>
      <c r="BB151" s="393"/>
      <c r="BC151" s="393"/>
      <c r="BD151" s="393"/>
      <c r="BE151" s="393"/>
    </row>
    <row r="152" spans="1:57" ht="40.049999999999997" customHeight="1" x14ac:dyDescent="0.65">
      <c r="A152" s="312" t="s">
        <v>372</v>
      </c>
      <c r="B152" s="497" t="s">
        <v>373</v>
      </c>
      <c r="C152" s="284" t="s">
        <v>77</v>
      </c>
      <c r="D152" s="302"/>
      <c r="E152" s="288" t="s">
        <v>75</v>
      </c>
      <c r="F152" s="288"/>
      <c r="G152" s="288" t="s">
        <v>91</v>
      </c>
      <c r="H152" s="288"/>
      <c r="I152" s="285" t="s">
        <v>91</v>
      </c>
      <c r="J152" s="288"/>
      <c r="K152" s="285" t="s">
        <v>91</v>
      </c>
      <c r="L152" s="288"/>
      <c r="M152" s="285" t="s">
        <v>91</v>
      </c>
      <c r="N152" s="288"/>
      <c r="O152" s="285" t="s">
        <v>91</v>
      </c>
      <c r="P152" s="288"/>
      <c r="Q152" s="285"/>
      <c r="R152" s="288"/>
      <c r="S152" s="285" t="s">
        <v>91</v>
      </c>
      <c r="T152" s="288"/>
      <c r="U152" s="285" t="s">
        <v>91</v>
      </c>
      <c r="V152" s="288"/>
      <c r="W152" s="288" t="s">
        <v>75</v>
      </c>
      <c r="X152" s="288"/>
      <c r="Y152" s="288" t="s">
        <v>75</v>
      </c>
      <c r="Z152" s="288"/>
      <c r="AA152" s="286">
        <f t="shared" si="10"/>
        <v>11</v>
      </c>
      <c r="AB152" s="287">
        <f t="shared" si="11"/>
        <v>11</v>
      </c>
      <c r="AG152" s="393"/>
      <c r="AH152" s="393"/>
      <c r="AI152" s="393"/>
      <c r="AJ152" s="393"/>
      <c r="AK152" s="393"/>
      <c r="AL152" s="393"/>
      <c r="AM152" s="393"/>
      <c r="AN152" s="393"/>
      <c r="AO152" s="393"/>
      <c r="AP152" s="393"/>
      <c r="AQ152" s="393"/>
      <c r="AR152" s="393"/>
      <c r="AS152" s="393"/>
      <c r="AT152" s="393"/>
      <c r="AU152" s="393"/>
      <c r="AV152" s="393"/>
      <c r="AW152" s="393"/>
      <c r="AX152" s="393"/>
      <c r="AY152" s="393"/>
      <c r="AZ152" s="393"/>
      <c r="BA152" s="393"/>
      <c r="BB152" s="393"/>
      <c r="BC152" s="393"/>
      <c r="BD152" s="393"/>
      <c r="BE152" s="393"/>
    </row>
    <row r="153" spans="1:57" ht="40.049999999999997" customHeight="1" x14ac:dyDescent="0.65">
      <c r="A153" s="312" t="s">
        <v>374</v>
      </c>
      <c r="B153" s="497" t="s">
        <v>375</v>
      </c>
      <c r="C153" s="284"/>
      <c r="D153" s="302"/>
      <c r="E153" s="288"/>
      <c r="F153" s="288"/>
      <c r="G153" s="288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5"/>
      <c r="V153" s="288"/>
      <c r="W153" s="288"/>
      <c r="X153" s="288"/>
      <c r="Y153" s="288"/>
      <c r="Z153" s="288"/>
      <c r="AA153" s="286">
        <f t="shared" si="10"/>
        <v>0</v>
      </c>
      <c r="AB153" s="287">
        <f t="shared" si="11"/>
        <v>0</v>
      </c>
      <c r="AG153" s="393"/>
      <c r="AH153" s="393"/>
      <c r="AI153" s="393"/>
      <c r="AJ153" s="393"/>
      <c r="AK153" s="393"/>
      <c r="AL153" s="393"/>
      <c r="AM153" s="393"/>
      <c r="AN153" s="393"/>
      <c r="AO153" s="393"/>
      <c r="AP153" s="393"/>
      <c r="AQ153" s="393"/>
      <c r="AR153" s="393"/>
      <c r="AS153" s="393"/>
      <c r="AT153" s="393"/>
      <c r="AU153" s="393"/>
      <c r="AV153" s="393"/>
      <c r="AW153" s="393"/>
      <c r="AX153" s="393"/>
      <c r="AY153" s="393"/>
      <c r="AZ153" s="393"/>
      <c r="BA153" s="393"/>
      <c r="BB153" s="393"/>
      <c r="BC153" s="393"/>
      <c r="BD153" s="393"/>
      <c r="BE153" s="393"/>
    </row>
    <row r="154" spans="1:57" ht="40.049999999999997" customHeight="1" x14ac:dyDescent="0.65">
      <c r="A154" s="312" t="s">
        <v>376</v>
      </c>
      <c r="B154" s="497" t="s">
        <v>377</v>
      </c>
      <c r="C154" s="284"/>
      <c r="D154" s="302"/>
      <c r="E154" s="285" t="s">
        <v>93</v>
      </c>
      <c r="F154" s="288"/>
      <c r="G154" s="285"/>
      <c r="H154" s="288"/>
      <c r="I154" s="285"/>
      <c r="J154" s="288"/>
      <c r="K154" s="285" t="s">
        <v>93</v>
      </c>
      <c r="L154" s="288"/>
      <c r="M154" s="285" t="s">
        <v>93</v>
      </c>
      <c r="N154" s="288"/>
      <c r="O154" s="285"/>
      <c r="P154" s="288"/>
      <c r="Q154" s="285"/>
      <c r="R154" s="288"/>
      <c r="S154" s="285"/>
      <c r="T154" s="288"/>
      <c r="U154" s="285"/>
      <c r="V154" s="288"/>
      <c r="W154" s="285"/>
      <c r="X154" s="288"/>
      <c r="Y154" s="288"/>
      <c r="Z154" s="288"/>
      <c r="AA154" s="286">
        <f t="shared" si="10"/>
        <v>3</v>
      </c>
      <c r="AB154" s="287">
        <f t="shared" si="11"/>
        <v>3</v>
      </c>
      <c r="AG154" s="393"/>
      <c r="AH154" s="393"/>
      <c r="AI154" s="393"/>
      <c r="AJ154" s="393"/>
      <c r="AK154" s="393"/>
      <c r="AL154" s="393"/>
      <c r="AM154" s="393"/>
      <c r="AN154" s="393"/>
      <c r="AO154" s="393"/>
      <c r="AP154" s="393"/>
      <c r="AQ154" s="393"/>
      <c r="AR154" s="393"/>
      <c r="AS154" s="393"/>
      <c r="AT154" s="393"/>
      <c r="AU154" s="393"/>
      <c r="AV154" s="393"/>
      <c r="AW154" s="393"/>
      <c r="AX154" s="393"/>
      <c r="AY154" s="393"/>
      <c r="AZ154" s="393"/>
      <c r="BA154" s="393"/>
      <c r="BB154" s="393"/>
      <c r="BC154" s="393"/>
      <c r="BD154" s="393"/>
      <c r="BE154" s="393"/>
    </row>
    <row r="155" spans="1:57" ht="40.049999999999997" customHeight="1" x14ac:dyDescent="0.65">
      <c r="A155" s="312" t="s">
        <v>374</v>
      </c>
      <c r="B155" s="498" t="s">
        <v>375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8"/>
      <c r="Z155" s="288"/>
      <c r="AA155" s="286">
        <f t="shared" si="10"/>
        <v>0</v>
      </c>
      <c r="AB155" s="287">
        <f t="shared" si="11"/>
        <v>0</v>
      </c>
      <c r="AG155" s="393"/>
      <c r="AH155" s="393"/>
      <c r="AI155" s="393"/>
      <c r="AJ155" s="393"/>
      <c r="AK155" s="393"/>
      <c r="AL155" s="393"/>
      <c r="AM155" s="393"/>
      <c r="AN155" s="393"/>
      <c r="AO155" s="393"/>
      <c r="AP155" s="393"/>
      <c r="AQ155" s="393"/>
      <c r="AR155" s="393"/>
      <c r="AS155" s="393"/>
      <c r="AT155" s="393"/>
      <c r="AU155" s="393"/>
      <c r="AV155" s="393"/>
      <c r="AW155" s="393"/>
      <c r="AX155" s="393"/>
      <c r="AY155" s="393"/>
      <c r="AZ155" s="393"/>
      <c r="BA155" s="393"/>
      <c r="BB155" s="393"/>
      <c r="BC155" s="393"/>
      <c r="BD155" s="393"/>
      <c r="BE155" s="393"/>
    </row>
    <row r="156" spans="1:57" ht="40.049999999999997" customHeight="1" x14ac:dyDescent="0.65">
      <c r="A156" s="357" t="s">
        <v>378</v>
      </c>
      <c r="B156" s="903" t="s">
        <v>379</v>
      </c>
      <c r="C156" s="302"/>
      <c r="D156" s="302"/>
      <c r="E156" s="288"/>
      <c r="F156" s="288"/>
      <c r="G156" s="288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8"/>
      <c r="T156" s="288"/>
      <c r="U156" s="288"/>
      <c r="V156" s="288"/>
      <c r="W156" s="288"/>
      <c r="X156" s="288"/>
      <c r="Y156" s="288"/>
      <c r="Z156" s="288"/>
      <c r="AA156" s="286">
        <f t="shared" si="10"/>
        <v>0</v>
      </c>
      <c r="AB156" s="287">
        <f t="shared" si="11"/>
        <v>0</v>
      </c>
    </row>
    <row r="157" spans="1:57" ht="40.049999999999997" customHeight="1" x14ac:dyDescent="0.65">
      <c r="A157" s="289" t="s">
        <v>380</v>
      </c>
      <c r="B157" s="913" t="s">
        <v>381</v>
      </c>
      <c r="C157" s="291"/>
      <c r="D157" s="292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3"/>
      <c r="W157" s="293"/>
      <c r="X157" s="293"/>
      <c r="Y157" s="293"/>
      <c r="Z157" s="293"/>
      <c r="AA157" s="293"/>
      <c r="AB157" s="295"/>
      <c r="AG157" s="393"/>
      <c r="AH157" s="393"/>
      <c r="AI157" s="393"/>
      <c r="AJ157" s="393"/>
      <c r="AK157" s="393"/>
      <c r="AL157" s="393"/>
      <c r="AM157" s="393"/>
      <c r="AN157" s="393"/>
      <c r="AO157" s="393"/>
      <c r="AP157" s="393"/>
      <c r="AQ157" s="393"/>
      <c r="AR157" s="393"/>
      <c r="AS157" s="393"/>
      <c r="AT157" s="393"/>
      <c r="AU157" s="393"/>
      <c r="AV157" s="393"/>
      <c r="AW157" s="393"/>
      <c r="AX157" s="393"/>
      <c r="AY157" s="393"/>
      <c r="AZ157" s="393"/>
      <c r="BA157" s="393"/>
      <c r="BB157" s="393"/>
      <c r="BC157" s="393"/>
      <c r="BD157" s="393"/>
      <c r="BE157" s="393"/>
    </row>
    <row r="158" spans="1:57" ht="40.049999999999997" customHeight="1" x14ac:dyDescent="0.65">
      <c r="A158" s="308" t="s">
        <v>382</v>
      </c>
      <c r="B158" s="902" t="s">
        <v>383</v>
      </c>
      <c r="C158" s="283"/>
      <c r="D158" s="302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8"/>
      <c r="Z158" s="288"/>
      <c r="AA158" s="286">
        <f>COUNTIF(C158:Z158,"&gt;=R")</f>
        <v>0</v>
      </c>
      <c r="AB158" s="287">
        <f>AA158</f>
        <v>0</v>
      </c>
      <c r="AG158" s="393"/>
      <c r="AH158" s="393"/>
      <c r="AI158" s="393"/>
      <c r="AJ158" s="393"/>
      <c r="AK158" s="393"/>
      <c r="AL158" s="393"/>
      <c r="AM158" s="393"/>
      <c r="AN158" s="393"/>
      <c r="AO158" s="393"/>
      <c r="AP158" s="393"/>
      <c r="AQ158" s="393"/>
      <c r="AR158" s="393"/>
      <c r="AS158" s="393"/>
      <c r="AT158" s="393"/>
      <c r="AU158" s="393"/>
      <c r="AV158" s="393"/>
      <c r="AW158" s="393"/>
      <c r="AX158" s="393"/>
      <c r="AY158" s="393"/>
      <c r="AZ158" s="393"/>
      <c r="BA158" s="393"/>
      <c r="BB158" s="393"/>
      <c r="BC158" s="393"/>
      <c r="BD158" s="393"/>
      <c r="BE158" s="393"/>
    </row>
    <row r="159" spans="1:57" ht="40.049999999999997" customHeight="1" x14ac:dyDescent="0.65">
      <c r="A159" s="308" t="s">
        <v>384</v>
      </c>
      <c r="B159" s="902" t="s">
        <v>385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3"/>
      <c r="V159" s="288"/>
      <c r="W159" s="283"/>
      <c r="X159" s="288"/>
      <c r="Y159" s="288"/>
      <c r="Z159" s="288"/>
      <c r="AA159" s="286">
        <f>COUNTIF(C159:Z159,"&gt;=R")</f>
        <v>0</v>
      </c>
      <c r="AB159" s="287">
        <f>AA159</f>
        <v>0</v>
      </c>
      <c r="AG159" s="393"/>
      <c r="AH159" s="393"/>
      <c r="AI159" s="393"/>
      <c r="AJ159" s="393"/>
      <c r="AK159" s="393"/>
      <c r="AL159" s="393"/>
      <c r="AM159" s="393"/>
      <c r="AN159" s="393"/>
      <c r="AO159" s="393"/>
      <c r="AP159" s="393"/>
      <c r="AQ159" s="393"/>
      <c r="AR159" s="393"/>
      <c r="AS159" s="393"/>
      <c r="AT159" s="393"/>
      <c r="AU159" s="393"/>
      <c r="AV159" s="393"/>
      <c r="AW159" s="393"/>
      <c r="AX159" s="393"/>
      <c r="AY159" s="393"/>
      <c r="AZ159" s="393"/>
      <c r="BA159" s="393"/>
      <c r="BB159" s="393"/>
      <c r="BC159" s="393"/>
      <c r="BD159" s="393"/>
      <c r="BE159" s="393"/>
    </row>
    <row r="160" spans="1:57" ht="40.049999999999997" customHeight="1" x14ac:dyDescent="0.65">
      <c r="A160" s="308" t="s">
        <v>386</v>
      </c>
      <c r="B160" s="902" t="s">
        <v>387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3"/>
      <c r="V160" s="288"/>
      <c r="W160" s="283"/>
      <c r="X160" s="288"/>
      <c r="Y160" s="288"/>
      <c r="Z160" s="288"/>
      <c r="AA160" s="286">
        <f>COUNTIF(C160:Z160,"&gt;=R")</f>
        <v>0</v>
      </c>
      <c r="AB160" s="287">
        <f>AA160</f>
        <v>0</v>
      </c>
      <c r="AG160" s="393"/>
      <c r="AH160" s="393"/>
      <c r="AI160" s="393"/>
      <c r="AJ160" s="393"/>
      <c r="AK160" s="393"/>
      <c r="AL160" s="393"/>
      <c r="AM160" s="393"/>
      <c r="AN160" s="393"/>
      <c r="AO160" s="393"/>
      <c r="AP160" s="393"/>
      <c r="AQ160" s="393"/>
      <c r="AR160" s="393"/>
      <c r="AS160" s="393"/>
      <c r="AT160" s="393"/>
      <c r="AU160" s="393"/>
      <c r="AV160" s="393"/>
      <c r="AW160" s="393"/>
      <c r="AX160" s="393"/>
      <c r="AY160" s="393"/>
      <c r="AZ160" s="393"/>
      <c r="BA160" s="393"/>
      <c r="BB160" s="393"/>
      <c r="BC160" s="393"/>
      <c r="BD160" s="393"/>
      <c r="BE160" s="393"/>
    </row>
    <row r="161" spans="1:57" ht="40.049999999999997" customHeight="1" x14ac:dyDescent="0.65">
      <c r="A161" s="308" t="s">
        <v>388</v>
      </c>
      <c r="B161" s="902" t="s">
        <v>389</v>
      </c>
      <c r="C161" s="283"/>
      <c r="D161" s="302"/>
      <c r="E161" s="283"/>
      <c r="F161" s="288"/>
      <c r="G161" s="283"/>
      <c r="H161" s="288"/>
      <c r="I161" s="283"/>
      <c r="J161" s="288"/>
      <c r="K161" s="283"/>
      <c r="L161" s="288"/>
      <c r="M161" s="283"/>
      <c r="N161" s="288"/>
      <c r="O161" s="283"/>
      <c r="P161" s="288"/>
      <c r="Q161" s="283"/>
      <c r="R161" s="288"/>
      <c r="S161" s="283"/>
      <c r="T161" s="288"/>
      <c r="U161" s="283"/>
      <c r="V161" s="288"/>
      <c r="W161" s="283"/>
      <c r="X161" s="288"/>
      <c r="Y161" s="288"/>
      <c r="Z161" s="288"/>
      <c r="AA161" s="286">
        <f>COUNTIF(C161:Z161,"&gt;=R")</f>
        <v>0</v>
      </c>
      <c r="AB161" s="287">
        <f>AA161</f>
        <v>0</v>
      </c>
      <c r="AG161" s="393"/>
      <c r="AH161" s="393"/>
      <c r="AI161" s="393"/>
      <c r="AJ161" s="393"/>
      <c r="AK161" s="393"/>
      <c r="AL161" s="393"/>
      <c r="AM161" s="393"/>
      <c r="AN161" s="393"/>
      <c r="AO161" s="393"/>
      <c r="AP161" s="393"/>
      <c r="AQ161" s="393"/>
      <c r="AR161" s="393"/>
      <c r="AS161" s="393"/>
      <c r="AT161" s="393"/>
      <c r="AU161" s="393"/>
      <c r="AV161" s="393"/>
      <c r="AW161" s="393"/>
      <c r="AX161" s="393"/>
      <c r="AY161" s="393"/>
      <c r="AZ161" s="393"/>
      <c r="BA161" s="393"/>
      <c r="BB161" s="393"/>
      <c r="BC161" s="393"/>
      <c r="BD161" s="393"/>
      <c r="BE161" s="393"/>
    </row>
    <row r="162" spans="1:57" ht="40.049999999999997" customHeight="1" x14ac:dyDescent="0.65">
      <c r="A162" s="289" t="s">
        <v>390</v>
      </c>
      <c r="B162" s="916" t="s">
        <v>391</v>
      </c>
      <c r="C162" s="291"/>
      <c r="D162" s="292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3"/>
      <c r="W162" s="293"/>
      <c r="X162" s="293"/>
      <c r="Y162" s="293"/>
      <c r="Z162" s="293"/>
      <c r="AA162" s="293"/>
      <c r="AB162" s="295"/>
      <c r="AG162" s="393"/>
      <c r="AH162" s="393"/>
      <c r="AI162" s="393"/>
      <c r="AJ162" s="393"/>
      <c r="AK162" s="393"/>
      <c r="AL162" s="393"/>
      <c r="AM162" s="393"/>
      <c r="AN162" s="393"/>
      <c r="AO162" s="393"/>
      <c r="AP162" s="393"/>
      <c r="AQ162" s="393"/>
      <c r="AR162" s="393"/>
      <c r="AS162" s="393"/>
      <c r="AT162" s="393"/>
      <c r="AU162" s="393"/>
      <c r="AV162" s="393"/>
      <c r="AW162" s="393"/>
      <c r="AX162" s="393"/>
      <c r="AY162" s="393"/>
      <c r="AZ162" s="393"/>
      <c r="BA162" s="393"/>
      <c r="BB162" s="393"/>
      <c r="BC162" s="393"/>
      <c r="BD162" s="393"/>
      <c r="BE162" s="393"/>
    </row>
    <row r="163" spans="1:57" ht="40.049999999999997" customHeight="1" x14ac:dyDescent="0.65">
      <c r="A163" s="918" t="s">
        <v>392</v>
      </c>
      <c r="B163" s="313" t="s">
        <v>393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8"/>
      <c r="Z163" s="288"/>
      <c r="AA163" s="286">
        <f>COUNTIF(C163:Z163,"&gt;=R")</f>
        <v>0</v>
      </c>
      <c r="AB163" s="287">
        <f>AA163</f>
        <v>0</v>
      </c>
      <c r="AG163" s="393"/>
      <c r="AH163" s="393"/>
      <c r="AI163" s="393"/>
      <c r="AJ163" s="393"/>
      <c r="AK163" s="393"/>
      <c r="AL163" s="393"/>
      <c r="AM163" s="393"/>
      <c r="AN163" s="393"/>
      <c r="AO163" s="393"/>
      <c r="AP163" s="393"/>
      <c r="AQ163" s="393"/>
      <c r="AR163" s="393"/>
      <c r="AS163" s="393"/>
      <c r="AT163" s="393"/>
      <c r="AU163" s="393"/>
      <c r="AV163" s="393"/>
      <c r="AW163" s="393"/>
      <c r="AX163" s="393"/>
      <c r="AY163" s="393"/>
      <c r="AZ163" s="393"/>
      <c r="BA163" s="393"/>
      <c r="BB163" s="393"/>
      <c r="BC163" s="393"/>
      <c r="BD163" s="393"/>
      <c r="BE163" s="393"/>
    </row>
    <row r="164" spans="1:57" ht="40.049999999999997" customHeight="1" x14ac:dyDescent="0.65">
      <c r="A164" s="918" t="s">
        <v>394</v>
      </c>
      <c r="B164" s="313" t="s">
        <v>395</v>
      </c>
      <c r="C164" s="283"/>
      <c r="D164" s="302"/>
      <c r="E164" s="283"/>
      <c r="F164" s="288"/>
      <c r="G164" s="283"/>
      <c r="H164" s="288"/>
      <c r="I164" s="288"/>
      <c r="J164" s="288"/>
      <c r="K164" s="283"/>
      <c r="L164" s="288"/>
      <c r="M164" s="283"/>
      <c r="N164" s="288"/>
      <c r="O164" s="283"/>
      <c r="P164" s="288"/>
      <c r="Q164" s="283"/>
      <c r="R164" s="288"/>
      <c r="S164" s="283"/>
      <c r="T164" s="288"/>
      <c r="U164" s="283"/>
      <c r="V164" s="288"/>
      <c r="W164" s="283"/>
      <c r="X164" s="288"/>
      <c r="Y164" s="288"/>
      <c r="Z164" s="288"/>
      <c r="AA164" s="286">
        <f>COUNTIF(C164:Z164,"&gt;=R")</f>
        <v>0</v>
      </c>
      <c r="AB164" s="287">
        <f>AA164</f>
        <v>0</v>
      </c>
      <c r="AC164" s="393"/>
      <c r="AD164" s="393"/>
      <c r="AE164" s="393"/>
      <c r="AF164" s="393"/>
      <c r="AG164" s="393"/>
      <c r="AH164" s="393"/>
      <c r="AI164" s="393"/>
      <c r="AJ164" s="393"/>
      <c r="AK164" s="393"/>
      <c r="AL164" s="393"/>
      <c r="AM164" s="393"/>
      <c r="AN164" s="393"/>
      <c r="AO164" s="393"/>
      <c r="AP164" s="393"/>
      <c r="AQ164" s="393"/>
      <c r="AR164" s="393"/>
      <c r="AS164" s="393"/>
      <c r="AT164" s="393"/>
      <c r="AU164" s="393"/>
      <c r="AV164" s="393"/>
      <c r="AW164" s="393"/>
      <c r="AX164" s="393"/>
      <c r="AY164" s="393"/>
      <c r="AZ164" s="393"/>
      <c r="BA164" s="393"/>
      <c r="BB164" s="393"/>
      <c r="BC164" s="393"/>
      <c r="BD164" s="393"/>
      <c r="BE164" s="393"/>
    </row>
    <row r="165" spans="1:57" ht="40.049999999999997" customHeight="1" thickBot="1" x14ac:dyDescent="0.7">
      <c r="A165" s="919" t="s">
        <v>396</v>
      </c>
      <c r="B165" s="499" t="s">
        <v>397</v>
      </c>
      <c r="C165" s="327"/>
      <c r="D165" s="328"/>
      <c r="E165" s="327"/>
      <c r="F165" s="329"/>
      <c r="G165" s="327"/>
      <c r="H165" s="329"/>
      <c r="I165" s="329"/>
      <c r="J165" s="329"/>
      <c r="K165" s="327"/>
      <c r="L165" s="329"/>
      <c r="M165" s="327"/>
      <c r="N165" s="329"/>
      <c r="O165" s="327"/>
      <c r="P165" s="329"/>
      <c r="Q165" s="327"/>
      <c r="R165" s="329"/>
      <c r="S165" s="327"/>
      <c r="T165" s="329"/>
      <c r="U165" s="327"/>
      <c r="V165" s="329"/>
      <c r="W165" s="327"/>
      <c r="X165" s="329"/>
      <c r="Y165" s="329"/>
      <c r="Z165" s="329"/>
      <c r="AA165" s="286">
        <f>COUNTIF(C165:Z165,"&gt;=R")</f>
        <v>0</v>
      </c>
      <c r="AB165" s="287">
        <f>AA165</f>
        <v>0</v>
      </c>
      <c r="AC165" s="393"/>
      <c r="AD165" s="393"/>
      <c r="AE165" s="393"/>
      <c r="AF165" s="393"/>
      <c r="AG165" s="393"/>
      <c r="AH165" s="393"/>
      <c r="AI165" s="393"/>
      <c r="AJ165" s="393"/>
      <c r="AK165" s="393"/>
      <c r="AL165" s="393"/>
      <c r="AM165" s="393"/>
      <c r="AN165" s="393"/>
      <c r="AO165" s="393"/>
      <c r="AP165" s="393"/>
      <c r="AQ165" s="393"/>
      <c r="AR165" s="393"/>
      <c r="AS165" s="393"/>
      <c r="AT165" s="393"/>
      <c r="AU165" s="393"/>
      <c r="AV165" s="393"/>
      <c r="AW165" s="393"/>
      <c r="AX165" s="393"/>
      <c r="AY165" s="393"/>
      <c r="AZ165" s="393"/>
      <c r="BA165" s="393"/>
      <c r="BB165" s="393"/>
      <c r="BC165" s="393"/>
      <c r="BD165" s="393"/>
      <c r="BE165" s="393"/>
    </row>
    <row r="166" spans="1:57" s="357" customFormat="1" ht="34.200000000000003" customHeight="1" x14ac:dyDescent="0.65">
      <c r="A166" s="483"/>
      <c r="B166" s="484"/>
      <c r="C166" s="330"/>
      <c r="D166" s="409"/>
      <c r="E166" s="330"/>
      <c r="F166" s="409"/>
      <c r="G166" s="330"/>
      <c r="H166" s="409"/>
      <c r="I166" s="409"/>
      <c r="J166" s="409"/>
      <c r="K166" s="330"/>
      <c r="L166" s="409"/>
      <c r="M166" s="330"/>
      <c r="N166" s="409"/>
      <c r="O166" s="330"/>
      <c r="P166" s="409"/>
      <c r="Q166" s="330"/>
      <c r="R166" s="409"/>
      <c r="S166" s="330"/>
      <c r="T166" s="409"/>
      <c r="U166" s="330"/>
      <c r="V166" s="409"/>
      <c r="W166" s="330"/>
      <c r="X166" s="409"/>
      <c r="Y166" s="409"/>
      <c r="Z166" s="409"/>
      <c r="AA166" s="360"/>
      <c r="AB166" s="478"/>
      <c r="AC166" s="393"/>
      <c r="AD166" s="393"/>
      <c r="AE166" s="393"/>
      <c r="AF166" s="393"/>
      <c r="AG166" s="393"/>
      <c r="AH166" s="393"/>
      <c r="AI166" s="393"/>
      <c r="AJ166" s="393"/>
      <c r="AK166" s="393"/>
      <c r="AL166" s="393"/>
      <c r="AM166" s="393"/>
      <c r="AN166" s="393"/>
      <c r="AO166" s="393"/>
      <c r="AP166" s="393"/>
      <c r="AQ166" s="393"/>
      <c r="AR166" s="393"/>
      <c r="AS166" s="393"/>
      <c r="AT166" s="393"/>
      <c r="AU166" s="393"/>
      <c r="AV166" s="393"/>
      <c r="AW166" s="393"/>
      <c r="AX166" s="393"/>
      <c r="AY166" s="393"/>
      <c r="AZ166" s="393"/>
      <c r="BA166" s="393"/>
      <c r="BB166" s="393"/>
      <c r="BC166" s="393"/>
      <c r="BD166" s="393"/>
      <c r="BE166" s="393"/>
    </row>
    <row r="167" spans="1:57" s="357" customFormat="1" ht="34.200000000000003" customHeight="1" x14ac:dyDescent="0.65">
      <c r="A167" s="483"/>
      <c r="B167" s="484"/>
      <c r="C167" s="330"/>
      <c r="D167" s="409"/>
      <c r="E167" s="330"/>
      <c r="F167" s="409"/>
      <c r="G167" s="330"/>
      <c r="H167" s="409"/>
      <c r="I167" s="409"/>
      <c r="J167" s="409"/>
      <c r="K167" s="330"/>
      <c r="L167" s="409"/>
      <c r="M167" s="330"/>
      <c r="N167" s="409"/>
      <c r="O167" s="330"/>
      <c r="P167" s="409"/>
      <c r="Q167" s="330"/>
      <c r="R167" s="409"/>
      <c r="S167" s="330"/>
      <c r="T167" s="409"/>
      <c r="U167" s="330"/>
      <c r="V167" s="409"/>
      <c r="W167" s="330"/>
      <c r="X167" s="409"/>
      <c r="Y167" s="409"/>
      <c r="Z167" s="409"/>
      <c r="AA167" s="360"/>
      <c r="AB167" s="478"/>
      <c r="AC167" s="393"/>
      <c r="AD167" s="393"/>
      <c r="AE167" s="393"/>
      <c r="AF167" s="393"/>
      <c r="AG167" s="393"/>
      <c r="AH167" s="393"/>
      <c r="AI167" s="393"/>
      <c r="AJ167" s="393"/>
      <c r="AK167" s="393"/>
      <c r="AL167" s="393"/>
      <c r="AM167" s="393"/>
      <c r="AN167" s="393"/>
      <c r="AO167" s="393"/>
      <c r="AP167" s="393"/>
      <c r="AQ167" s="393"/>
      <c r="AR167" s="393"/>
      <c r="AS167" s="393"/>
      <c r="AT167" s="393"/>
      <c r="AU167" s="393"/>
      <c r="AV167" s="393"/>
      <c r="AW167" s="393"/>
      <c r="AX167" s="393"/>
      <c r="AY167" s="393"/>
      <c r="AZ167" s="393"/>
      <c r="BA167" s="393"/>
      <c r="BB167" s="393"/>
      <c r="BC167" s="393"/>
      <c r="BD167" s="393"/>
      <c r="BE167" s="393"/>
    </row>
    <row r="168" spans="1:57" s="357" customFormat="1" ht="34.200000000000003" customHeight="1" x14ac:dyDescent="0.65">
      <c r="A168" s="483"/>
      <c r="B168" s="484"/>
      <c r="C168" s="330"/>
      <c r="D168" s="409"/>
      <c r="E168" s="330"/>
      <c r="F168" s="409"/>
      <c r="G168" s="330"/>
      <c r="H168" s="409"/>
      <c r="I168" s="409"/>
      <c r="J168" s="409"/>
      <c r="K168" s="330"/>
      <c r="L168" s="409"/>
      <c r="M168" s="330"/>
      <c r="N168" s="409"/>
      <c r="O168" s="330"/>
      <c r="P168" s="409"/>
      <c r="Q168" s="330"/>
      <c r="R168" s="409"/>
      <c r="S168" s="330"/>
      <c r="T168" s="409"/>
      <c r="U168" s="330"/>
      <c r="V168" s="409"/>
      <c r="W168" s="330"/>
      <c r="X168" s="409"/>
      <c r="Y168" s="409"/>
      <c r="Z168" s="409"/>
      <c r="AA168" s="360"/>
      <c r="AB168" s="478"/>
      <c r="AC168" s="393"/>
      <c r="AD168" s="393"/>
      <c r="AE168" s="393"/>
      <c r="AF168" s="393"/>
      <c r="AG168" s="393"/>
      <c r="AH168" s="393"/>
      <c r="AI168" s="393"/>
      <c r="AJ168" s="393"/>
      <c r="AK168" s="393"/>
      <c r="AL168" s="393"/>
      <c r="AM168" s="393"/>
      <c r="AN168" s="393"/>
      <c r="AO168" s="393"/>
      <c r="AP168" s="393"/>
      <c r="AQ168" s="393"/>
      <c r="AR168" s="393"/>
      <c r="AS168" s="393"/>
      <c r="AT168" s="393"/>
      <c r="AU168" s="393"/>
      <c r="AV168" s="393"/>
      <c r="AW168" s="393"/>
      <c r="AX168" s="393"/>
      <c r="AY168" s="393"/>
      <c r="AZ168" s="393"/>
      <c r="BA168" s="393"/>
      <c r="BB168" s="393"/>
      <c r="BC168" s="393"/>
      <c r="BD168" s="393"/>
      <c r="BE168" s="393"/>
    </row>
    <row r="169" spans="1:57" s="357" customFormat="1" ht="34.200000000000003" customHeight="1" x14ac:dyDescent="0.65">
      <c r="A169" s="483"/>
      <c r="B169" s="484"/>
      <c r="C169" s="330"/>
      <c r="D169" s="409"/>
      <c r="E169" s="330"/>
      <c r="F169" s="409"/>
      <c r="G169" s="330"/>
      <c r="H169" s="409"/>
      <c r="I169" s="409"/>
      <c r="J169" s="409"/>
      <c r="K169" s="330"/>
      <c r="L169" s="409"/>
      <c r="M169" s="330"/>
      <c r="N169" s="409"/>
      <c r="O169" s="330"/>
      <c r="P169" s="409"/>
      <c r="Q169" s="330"/>
      <c r="R169" s="409"/>
      <c r="S169" s="330"/>
      <c r="T169" s="409"/>
      <c r="U169" s="330"/>
      <c r="V169" s="409"/>
      <c r="W169" s="330"/>
      <c r="X169" s="409"/>
      <c r="Y169" s="409"/>
      <c r="Z169" s="409"/>
      <c r="AA169" s="360"/>
      <c r="AB169" s="478"/>
      <c r="AC169" s="393"/>
      <c r="AD169" s="393"/>
      <c r="AE169" s="393"/>
      <c r="AF169" s="393"/>
      <c r="AG169" s="393"/>
      <c r="AH169" s="393"/>
      <c r="AI169" s="393"/>
      <c r="AJ169" s="393"/>
      <c r="AK169" s="393"/>
      <c r="AL169" s="393"/>
      <c r="AM169" s="393"/>
      <c r="AN169" s="393"/>
      <c r="AO169" s="393"/>
      <c r="AP169" s="393"/>
      <c r="AQ169" s="393"/>
      <c r="AR169" s="393"/>
      <c r="AS169" s="393"/>
      <c r="AT169" s="393"/>
      <c r="AU169" s="393"/>
      <c r="AV169" s="393"/>
      <c r="AW169" s="393"/>
      <c r="AX169" s="393"/>
      <c r="AY169" s="393"/>
      <c r="AZ169" s="393"/>
      <c r="BA169" s="393"/>
      <c r="BB169" s="393"/>
      <c r="BC169" s="393"/>
      <c r="BD169" s="393"/>
      <c r="BE169" s="393"/>
    </row>
    <row r="170" spans="1:57" s="357" customFormat="1" ht="34.200000000000003" customHeight="1" x14ac:dyDescent="0.65">
      <c r="A170" s="483"/>
      <c r="B170" s="484"/>
      <c r="C170" s="330"/>
      <c r="D170" s="409"/>
      <c r="E170" s="330"/>
      <c r="F170" s="409"/>
      <c r="G170" s="330"/>
      <c r="H170" s="409"/>
      <c r="I170" s="409"/>
      <c r="J170" s="409"/>
      <c r="K170" s="330"/>
      <c r="L170" s="409"/>
      <c r="M170" s="330"/>
      <c r="N170" s="409"/>
      <c r="O170" s="330"/>
      <c r="P170" s="409"/>
      <c r="Q170" s="330"/>
      <c r="R170" s="409"/>
      <c r="S170" s="330"/>
      <c r="T170" s="409"/>
      <c r="U170" s="330"/>
      <c r="V170" s="409"/>
      <c r="W170" s="330"/>
      <c r="X170" s="409"/>
      <c r="Y170" s="409"/>
      <c r="Z170" s="409"/>
      <c r="AA170" s="360"/>
      <c r="AB170" s="478"/>
      <c r="AC170" s="393"/>
      <c r="AD170" s="393"/>
      <c r="AE170" s="393"/>
      <c r="AF170" s="393"/>
      <c r="AG170" s="393"/>
      <c r="AH170" s="393"/>
      <c r="AI170" s="393"/>
      <c r="AJ170" s="393"/>
      <c r="AK170" s="393"/>
      <c r="AL170" s="393"/>
      <c r="AM170" s="393"/>
      <c r="AN170" s="393"/>
      <c r="AO170" s="393"/>
      <c r="AP170" s="393"/>
      <c r="AQ170" s="393"/>
      <c r="AR170" s="393"/>
      <c r="AS170" s="393"/>
      <c r="AT170" s="393"/>
      <c r="AU170" s="393"/>
      <c r="AV170" s="393"/>
      <c r="AW170" s="393"/>
      <c r="AX170" s="393"/>
      <c r="AY170" s="393"/>
      <c r="AZ170" s="393"/>
      <c r="BA170" s="393"/>
      <c r="BB170" s="393"/>
      <c r="BC170" s="393"/>
      <c r="BD170" s="393"/>
      <c r="BE170" s="393"/>
    </row>
    <row r="171" spans="1:57" s="357" customFormat="1" ht="34.200000000000003" customHeight="1" x14ac:dyDescent="0.65">
      <c r="A171" s="483"/>
      <c r="B171" s="484"/>
      <c r="C171" s="330"/>
      <c r="D171" s="409"/>
      <c r="E171" s="330"/>
      <c r="F171" s="409"/>
      <c r="G171" s="330"/>
      <c r="H171" s="409"/>
      <c r="I171" s="409"/>
      <c r="J171" s="409"/>
      <c r="K171" s="330"/>
      <c r="L171" s="409"/>
      <c r="M171" s="330"/>
      <c r="N171" s="409"/>
      <c r="O171" s="330"/>
      <c r="P171" s="409"/>
      <c r="Q171" s="330"/>
      <c r="R171" s="409"/>
      <c r="S171" s="330"/>
      <c r="T171" s="409"/>
      <c r="U171" s="330"/>
      <c r="V171" s="409"/>
      <c r="W171" s="330"/>
      <c r="X171" s="409"/>
      <c r="Y171" s="409"/>
      <c r="Z171" s="409"/>
      <c r="AA171" s="360"/>
      <c r="AB171" s="478"/>
      <c r="AC171" s="393"/>
      <c r="AD171" s="393"/>
      <c r="AE171" s="393"/>
      <c r="AF171" s="393"/>
      <c r="AG171" s="393"/>
      <c r="AH171" s="393"/>
      <c r="AI171" s="393"/>
      <c r="AJ171" s="393"/>
      <c r="AK171" s="393"/>
      <c r="AL171" s="393"/>
      <c r="AM171" s="393"/>
      <c r="AN171" s="393"/>
      <c r="AO171" s="393"/>
      <c r="AP171" s="393"/>
      <c r="AQ171" s="393"/>
      <c r="AR171" s="393"/>
      <c r="AS171" s="393"/>
      <c r="AT171" s="393"/>
      <c r="AU171" s="393"/>
      <c r="AV171" s="393"/>
      <c r="AW171" s="393"/>
      <c r="AX171" s="393"/>
      <c r="AY171" s="393"/>
      <c r="AZ171" s="393"/>
      <c r="BA171" s="393"/>
      <c r="BB171" s="393"/>
      <c r="BC171" s="393"/>
      <c r="BD171" s="393"/>
      <c r="BE171" s="393"/>
    </row>
    <row r="172" spans="1:57" ht="25.2" customHeight="1" x14ac:dyDescent="0.4">
      <c r="A172" s="214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</row>
    <row r="173" spans="1:57" ht="25.2" customHeight="1" x14ac:dyDescent="0.4">
      <c r="A173" s="214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</row>
    <row r="174" spans="1:57" ht="25.2" customHeight="1" x14ac:dyDescent="0.4">
      <c r="A174" s="214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</row>
    <row r="175" spans="1:57" ht="25.2" customHeight="1" x14ac:dyDescent="0.4">
      <c r="A175" s="214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</row>
    <row r="176" spans="1:57" ht="25.2" customHeight="1" x14ac:dyDescent="0.4">
      <c r="A176" s="217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</row>
    <row r="177" spans="1:52" ht="25.2" customHeight="1" x14ac:dyDescent="0.4">
      <c r="A177" s="218"/>
      <c r="B177" s="219"/>
      <c r="C177" s="220"/>
      <c r="D177" s="219"/>
      <c r="E177" s="219"/>
      <c r="F177" s="219"/>
      <c r="G177" s="221"/>
      <c r="H177" s="221"/>
      <c r="I177" s="114"/>
      <c r="J177" s="114"/>
      <c r="K177" s="115"/>
      <c r="L177" s="115"/>
      <c r="M177" s="219"/>
      <c r="N177" s="219"/>
      <c r="O177" s="219"/>
      <c r="P177" s="219"/>
      <c r="Q177" s="219"/>
      <c r="R177" s="219"/>
      <c r="S177" s="115"/>
      <c r="T177" s="221"/>
      <c r="U177" s="221"/>
      <c r="V177" s="221"/>
      <c r="W177" s="221"/>
      <c r="X177" s="221"/>
      <c r="Y177" s="221"/>
      <c r="Z177" s="114"/>
      <c r="AA177" s="114"/>
      <c r="AB177" s="114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s="357" customFormat="1" ht="25.2" customHeight="1" x14ac:dyDescent="0.65">
      <c r="A178" s="480"/>
      <c r="B178" s="330" t="s">
        <v>398</v>
      </c>
      <c r="C178" s="330"/>
      <c r="D178" s="1070" t="s">
        <v>44</v>
      </c>
      <c r="E178" s="1009"/>
      <c r="F178" s="1009"/>
      <c r="G178" s="1009"/>
      <c r="H178" s="1009"/>
      <c r="I178" s="1009"/>
      <c r="J178" s="1009"/>
      <c r="K178" s="474"/>
      <c r="L178" s="474"/>
      <c r="M178" s="1070" t="s">
        <v>399</v>
      </c>
      <c r="N178" s="1009"/>
      <c r="O178" s="1009"/>
      <c r="P178" s="1009"/>
      <c r="Q178" s="1009"/>
      <c r="R178" s="1009"/>
      <c r="S178" s="474"/>
      <c r="T178" s="393"/>
      <c r="U178" s="393"/>
      <c r="V178" s="475" t="s">
        <v>73</v>
      </c>
      <c r="W178" s="475"/>
      <c r="X178" s="475"/>
      <c r="Y178" s="475"/>
      <c r="AC178" s="475"/>
      <c r="AD178" s="475"/>
      <c r="AE178" s="475"/>
      <c r="AF178" s="475"/>
      <c r="AG178" s="475"/>
      <c r="AH178" s="475"/>
      <c r="AI178" s="475"/>
      <c r="AJ178" s="475"/>
      <c r="AK178" s="393"/>
      <c r="AL178" s="393"/>
      <c r="AM178" s="393"/>
      <c r="AN178" s="393"/>
      <c r="AO178" s="393"/>
      <c r="AP178" s="393"/>
      <c r="AQ178" s="393"/>
      <c r="AR178" s="393"/>
      <c r="AS178" s="393"/>
      <c r="AT178" s="393"/>
      <c r="AU178" s="1083"/>
      <c r="AV178" s="1042"/>
      <c r="AW178" s="1042"/>
      <c r="AX178" s="1042"/>
      <c r="AY178" s="1042"/>
      <c r="AZ178" s="393"/>
    </row>
    <row r="179" spans="1:52" s="357" customFormat="1" ht="25.2" customHeight="1" x14ac:dyDescent="0.65">
      <c r="A179" s="480"/>
      <c r="B179" s="476" t="s">
        <v>35</v>
      </c>
      <c r="C179" s="476"/>
      <c r="D179" s="1092" t="s">
        <v>54</v>
      </c>
      <c r="E179" s="1042"/>
      <c r="F179" s="1042"/>
      <c r="G179" s="1042"/>
      <c r="H179" s="1042"/>
      <c r="I179" s="1042"/>
      <c r="J179" s="1042"/>
      <c r="K179" s="477"/>
      <c r="L179" s="477"/>
      <c r="M179" s="1041" t="s">
        <v>400</v>
      </c>
      <c r="N179" s="1042"/>
      <c r="O179" s="1042"/>
      <c r="P179" s="1042"/>
      <c r="Q179" s="1042"/>
      <c r="R179" s="1042"/>
      <c r="S179" s="481"/>
      <c r="T179" s="1147" t="s">
        <v>74</v>
      </c>
      <c r="U179" s="1042"/>
      <c r="V179" s="1042"/>
      <c r="W179" s="1042"/>
      <c r="X179" s="1042"/>
      <c r="Y179" s="1042"/>
      <c r="AC179" s="482"/>
      <c r="AD179" s="482"/>
      <c r="AE179" s="482"/>
      <c r="AF179" s="482"/>
      <c r="AG179" s="479"/>
      <c r="AH179" s="479"/>
      <c r="AI179" s="479"/>
      <c r="AJ179" s="479"/>
      <c r="AK179" s="393"/>
      <c r="AL179" s="393"/>
      <c r="AM179" s="393"/>
      <c r="AN179" s="393"/>
      <c r="AO179" s="393"/>
      <c r="AP179" s="393"/>
      <c r="AQ179" s="393"/>
      <c r="AR179" s="393"/>
      <c r="AS179" s="393"/>
      <c r="AT179" s="393"/>
      <c r="AU179" s="1071"/>
      <c r="AV179" s="1042"/>
      <c r="AW179" s="1042"/>
      <c r="AX179" s="1042"/>
      <c r="AY179" s="1042"/>
      <c r="AZ179" s="393"/>
    </row>
    <row r="180" spans="1:52" ht="18" customHeight="1" x14ac:dyDescent="0.4">
      <c r="A180" s="897"/>
      <c r="B180" s="116"/>
      <c r="C180" s="116"/>
      <c r="D180" s="116"/>
      <c r="E180" s="116"/>
      <c r="F180" s="116"/>
      <c r="G180" s="224"/>
      <c r="H180" s="224"/>
      <c r="I180" s="115"/>
      <c r="J180" s="115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081"/>
      <c r="W180" s="978"/>
      <c r="X180" s="978"/>
      <c r="Y180" s="978"/>
      <c r="Z180" s="978"/>
      <c r="AA180" s="978"/>
      <c r="AB180" s="978"/>
      <c r="AC180" s="9"/>
      <c r="AD180" s="9"/>
      <c r="AE180" s="9"/>
      <c r="AF180" s="9"/>
      <c r="AG180" s="9"/>
      <c r="AH180" s="9"/>
      <c r="AI180" s="9"/>
      <c r="AJ180" s="9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</sheetData>
  <mergeCells count="85">
    <mergeCell ref="D178:J178"/>
    <mergeCell ref="S9:U9"/>
    <mergeCell ref="O8:Q8"/>
    <mergeCell ref="Y17:Z17"/>
    <mergeCell ref="O11:Q11"/>
    <mergeCell ref="G10:I13"/>
    <mergeCell ref="W11:AA11"/>
    <mergeCell ref="AA9:AC9"/>
    <mergeCell ref="G17:H17"/>
    <mergeCell ref="S10:U10"/>
    <mergeCell ref="AA7:AC7"/>
    <mergeCell ref="S17:T17"/>
    <mergeCell ref="U17:V17"/>
    <mergeCell ref="A1:A3"/>
    <mergeCell ref="AE5:AG5"/>
    <mergeCell ref="K13:M13"/>
    <mergeCell ref="S4:U4"/>
    <mergeCell ref="C1:AB3"/>
    <mergeCell ref="AE4:AG4"/>
    <mergeCell ref="S12:U12"/>
    <mergeCell ref="W6:Y6"/>
    <mergeCell ref="O6:Q6"/>
    <mergeCell ref="AA6:AC6"/>
    <mergeCell ref="W13:AA13"/>
    <mergeCell ref="S7:U7"/>
    <mergeCell ref="G4:I9"/>
    <mergeCell ref="AE8:AG8"/>
    <mergeCell ref="C4:F9"/>
    <mergeCell ref="S5:U5"/>
    <mergeCell ref="AC1:BB3"/>
    <mergeCell ref="AE7:AG7"/>
    <mergeCell ref="W17:X17"/>
    <mergeCell ref="S8:U8"/>
    <mergeCell ref="M178:R178"/>
    <mergeCell ref="W10:AA10"/>
    <mergeCell ref="AU178:AY178"/>
    <mergeCell ref="AE9:AG9"/>
    <mergeCell ref="K6:M6"/>
    <mergeCell ref="W5:Y5"/>
    <mergeCell ref="AE6:AG6"/>
    <mergeCell ref="K4:M4"/>
    <mergeCell ref="AU179:AY179"/>
    <mergeCell ref="W12:AA12"/>
    <mergeCell ref="O13:Q13"/>
    <mergeCell ref="O7:Q7"/>
    <mergeCell ref="W4:Y4"/>
    <mergeCell ref="K17:L17"/>
    <mergeCell ref="B1:B3"/>
    <mergeCell ref="Q17:R17"/>
    <mergeCell ref="D179:J179"/>
    <mergeCell ref="K9:M9"/>
    <mergeCell ref="K5:M5"/>
    <mergeCell ref="O9:Q9"/>
    <mergeCell ref="K11:M11"/>
    <mergeCell ref="O5:Q5"/>
    <mergeCell ref="A14:AB14"/>
    <mergeCell ref="K12:M12"/>
    <mergeCell ref="K8:M8"/>
    <mergeCell ref="O12:Q12"/>
    <mergeCell ref="W9:Y9"/>
    <mergeCell ref="M179:R179"/>
    <mergeCell ref="K7:M7"/>
    <mergeCell ref="I17:J17"/>
    <mergeCell ref="A15:A17"/>
    <mergeCell ref="W8:Y8"/>
    <mergeCell ref="K10:M10"/>
    <mergeCell ref="AA16:AB16"/>
    <mergeCell ref="V180:AB180"/>
    <mergeCell ref="AA8:AC8"/>
    <mergeCell ref="C17:D17"/>
    <mergeCell ref="T179:Y179"/>
    <mergeCell ref="O10:Q10"/>
    <mergeCell ref="M17:N17"/>
    <mergeCell ref="O17:P17"/>
    <mergeCell ref="S11:U11"/>
    <mergeCell ref="U16:Z16"/>
    <mergeCell ref="B15:B17"/>
    <mergeCell ref="C10:F13"/>
    <mergeCell ref="E17:F17"/>
    <mergeCell ref="AA5:AC5"/>
    <mergeCell ref="O4:Q4"/>
    <mergeCell ref="S13:U13"/>
    <mergeCell ref="AA4:AC4"/>
    <mergeCell ref="W7:Y7"/>
    <mergeCell ref="S6:U6"/>
  </mergeCells>
  <conditionalFormatting sqref="C34:J34 L34 N34 P34:Z34">
    <cfRule type="containsText" dxfId="759" priority="123" operator="containsText" text="R22">
      <formula>NOT(ISERROR(SEARCH("R22",C34)))</formula>
    </cfRule>
    <cfRule type="containsText" dxfId="758" priority="124" operator="containsText" text="R21">
      <formula>NOT(ISERROR(SEARCH("R21",C34)))</formula>
    </cfRule>
    <cfRule type="containsText" dxfId="757" priority="125" operator="containsText" text="R19">
      <formula>NOT(ISERROR(SEARCH("R19",C34)))</formula>
    </cfRule>
    <cfRule type="containsText" dxfId="756" priority="126" operator="containsText" text="R17">
      <formula>NOT(ISERROR(SEARCH("R17",C34)))</formula>
    </cfRule>
    <cfRule type="containsText" dxfId="755" priority="127" operator="containsText" text="R16">
      <formula>NOT(ISERROR(SEARCH("R16",C34)))</formula>
    </cfRule>
    <cfRule type="containsText" dxfId="754" priority="128" operator="containsText" text="R15">
      <formula>NOT(ISERROR(SEARCH("R15",C34)))</formula>
    </cfRule>
    <cfRule type="containsText" dxfId="753" priority="129" operator="containsText" text="R14">
      <formula>NOT(ISERROR(SEARCH("R14",C34)))</formula>
    </cfRule>
    <cfRule type="containsText" dxfId="752" priority="130" operator="containsText" text="R13">
      <formula>NOT(ISERROR(SEARCH("R13",C34)))</formula>
    </cfRule>
    <cfRule type="containsText" dxfId="751" priority="131" operator="containsText" text="R12">
      <formula>NOT(ISERROR(SEARCH("R12",C34)))</formula>
    </cfRule>
    <cfRule type="containsText" dxfId="750" priority="143" operator="containsText" text="R9">
      <formula>NOT(ISERROR(SEARCH("R9",C34)))</formula>
    </cfRule>
    <cfRule type="containsText" dxfId="749" priority="144" operator="containsText" text="R8">
      <formula>NOT(ISERROR(SEARCH("R8",C34)))</formula>
    </cfRule>
    <cfRule type="containsText" dxfId="748" priority="145" operator="containsText" text="R7">
      <formula>NOT(ISERROR(SEARCH("R7",C34)))</formula>
    </cfRule>
    <cfRule type="containsText" dxfId="747" priority="149" operator="containsText" text="R5">
      <formula>NOT(ISERROR(SEARCH("R5",C34)))</formula>
    </cfRule>
    <cfRule type="containsText" dxfId="746" priority="150" operator="containsText" text="R4">
      <formula>NOT(ISERROR(SEARCH("R4",C34)))</formula>
    </cfRule>
    <cfRule type="containsText" dxfId="745" priority="151" operator="containsText" text="R3">
      <formula>NOT(ISERROR(SEARCH("R3",C34)))</formula>
    </cfRule>
  </conditionalFormatting>
  <conditionalFormatting sqref="C34:J34 L34">
    <cfRule type="cellIs" dxfId="744" priority="155" stopIfTrue="1" operator="equal">
      <formula>0</formula>
    </cfRule>
    <cfRule type="cellIs" dxfId="743" priority="154" stopIfTrue="1" operator="notEqual">
      <formula>0</formula>
    </cfRule>
  </conditionalFormatting>
  <conditionalFormatting sqref="C34:J34 P34:Z34 L34 N34">
    <cfRule type="containsText" dxfId="742" priority="142" operator="containsText" text="R10">
      <formula>NOT(ISERROR(SEARCH("R10",C34)))</formula>
    </cfRule>
  </conditionalFormatting>
  <conditionalFormatting sqref="C34:Z34">
    <cfRule type="containsText" dxfId="741" priority="95" operator="containsText" text="R30">
      <formula>NOT(ISERROR(SEARCH("R30",C34)))</formula>
    </cfRule>
    <cfRule type="containsText" dxfId="740" priority="104" operator="containsText" text="R23">
      <formula>NOT(ISERROR(SEARCH("R23",C34)))</formula>
    </cfRule>
    <cfRule type="containsText" dxfId="739" priority="103" operator="containsText" text="R24">
      <formula>NOT(ISERROR(SEARCH("R24",C34)))</formula>
    </cfRule>
    <cfRule type="containsText" dxfId="738" priority="100" operator="containsText" text="R12">
      <formula>NOT(ISERROR(SEARCH("R12",C34)))</formula>
    </cfRule>
    <cfRule type="containsText" dxfId="737" priority="99" operator="containsText" text="R25">
      <formula>NOT(ISERROR(SEARCH("R25",C34)))</formula>
    </cfRule>
    <cfRule type="containsText" dxfId="736" priority="97" operator="containsText" text="R27">
      <formula>NOT(ISERROR(SEARCH("R27",C34)))</formula>
    </cfRule>
    <cfRule type="containsText" dxfId="735" priority="96" operator="containsText" text="R29">
      <formula>NOT(ISERROR(SEARCH("R29",C34)))</formula>
    </cfRule>
    <cfRule type="containsText" dxfId="734" priority="94" operator="containsText" text="R31">
      <formula>NOT(ISERROR(SEARCH("R31",C34)))</formula>
    </cfRule>
    <cfRule type="containsText" dxfId="733" priority="93" operator="containsText" text="R32">
      <formula>NOT(ISERROR(SEARCH("R32",C34)))</formula>
    </cfRule>
    <cfRule type="containsText" dxfId="732" priority="92" operator="containsText" text="R33">
      <formula>NOT(ISERROR(SEARCH("R33",C34)))</formula>
    </cfRule>
    <cfRule type="containsText" dxfId="731" priority="91" operator="containsText" text="R34">
      <formula>NOT(ISERROR(SEARCH("R34",C34)))</formula>
    </cfRule>
    <cfRule type="containsText" dxfId="730" priority="89" operator="containsText" text="R36">
      <formula>NOT(ISERROR(SEARCH("R36",C34)))</formula>
    </cfRule>
    <cfRule type="containsText" dxfId="729" priority="90" operator="containsText" text="R35">
      <formula>NOT(ISERROR(SEARCH("R35",C34)))</formula>
    </cfRule>
    <cfRule type="containsText" dxfId="728" priority="88" operator="containsText" text="R37">
      <formula>NOT(ISERROR(SEARCH("R37",C34)))</formula>
    </cfRule>
  </conditionalFormatting>
  <conditionalFormatting sqref="C55:Z55">
    <cfRule type="containsText" dxfId="727" priority="85" operator="containsText" text="R3">
      <formula>NOT(ISERROR(SEARCH("R3",C55)))</formula>
    </cfRule>
    <cfRule type="cellIs" dxfId="726" priority="87" stopIfTrue="1" operator="equal">
      <formula>0</formula>
    </cfRule>
    <cfRule type="containsText" dxfId="725" priority="80" operator="containsText" text="R8">
      <formula>NOT(ISERROR(SEARCH("R8",C55)))</formula>
    </cfRule>
    <cfRule type="containsText" dxfId="724" priority="67" operator="containsText" text="R24">
      <formula>NOT(ISERROR(SEARCH("R24",C55)))</formula>
    </cfRule>
    <cfRule type="containsText" dxfId="723" priority="68" operator="containsText" text="R23">
      <formula>NOT(ISERROR(SEARCH("R23",C55)))</formula>
    </cfRule>
    <cfRule type="containsText" dxfId="722" priority="69" operator="containsText" text="R22">
      <formula>NOT(ISERROR(SEARCH("R22",C55)))</formula>
    </cfRule>
    <cfRule type="cellIs" dxfId="721" priority="86" stopIfTrue="1" operator="notEqual">
      <formula>0</formula>
    </cfRule>
    <cfRule type="containsText" dxfId="720" priority="70" operator="containsText" text="R21">
      <formula>NOT(ISERROR(SEARCH("R21",C55)))</formula>
    </cfRule>
    <cfRule type="containsText" dxfId="719" priority="71" operator="containsText" text="R19">
      <formula>NOT(ISERROR(SEARCH("R19",C55)))</formula>
    </cfRule>
    <cfRule type="containsText" dxfId="718" priority="72" operator="containsText" text="R17">
      <formula>NOT(ISERROR(SEARCH("R17",C55)))</formula>
    </cfRule>
    <cfRule type="containsText" dxfId="717" priority="73" operator="containsText" text="R16">
      <formula>NOT(ISERROR(SEARCH("R16",C55)))</formula>
    </cfRule>
    <cfRule type="containsText" dxfId="716" priority="74" operator="containsText" text="R15">
      <formula>NOT(ISERROR(SEARCH("R15",C55)))</formula>
    </cfRule>
    <cfRule type="containsText" dxfId="715" priority="75" operator="containsText" text="R14">
      <formula>NOT(ISERROR(SEARCH("R14",C55)))</formula>
    </cfRule>
    <cfRule type="containsText" dxfId="714" priority="76" operator="containsText" text="R13">
      <formula>NOT(ISERROR(SEARCH("R13",C55)))</formula>
    </cfRule>
    <cfRule type="containsText" dxfId="713" priority="77" operator="containsText" text="R12">
      <formula>NOT(ISERROR(SEARCH("R12",C55)))</formula>
    </cfRule>
    <cfRule type="containsText" dxfId="712" priority="78" operator="containsText" text="R10">
      <formula>NOT(ISERROR(SEARCH("R10",C55)))</formula>
    </cfRule>
    <cfRule type="containsText" dxfId="711" priority="84" operator="containsText" text="R4">
      <formula>NOT(ISERROR(SEARCH("R4",C55)))</formula>
    </cfRule>
    <cfRule type="containsText" dxfId="710" priority="83" operator="containsText" text="R5">
      <formula>NOT(ISERROR(SEARCH("R5",C55)))</formula>
    </cfRule>
    <cfRule type="containsText" dxfId="709" priority="82" operator="containsText" text="R6">
      <formula>NOT(ISERROR(SEARCH("R6",C55)))</formula>
    </cfRule>
    <cfRule type="containsText" dxfId="708" priority="53" operator="containsText" text="R37">
      <formula>NOT(ISERROR(SEARCH("R37",C55)))</formula>
    </cfRule>
    <cfRule type="containsText" dxfId="707" priority="54" operator="containsText" text="R36">
      <formula>NOT(ISERROR(SEARCH("R36",C55)))</formula>
    </cfRule>
    <cfRule type="containsText" dxfId="706" priority="55" operator="containsText" text="R35">
      <formula>NOT(ISERROR(SEARCH("R35",C55)))</formula>
    </cfRule>
    <cfRule type="containsText" dxfId="705" priority="79" operator="containsText" text="R9">
      <formula>NOT(ISERROR(SEARCH("R9",C55)))</formula>
    </cfRule>
    <cfRule type="containsText" dxfId="704" priority="56" operator="containsText" text="R34">
      <formula>NOT(ISERROR(SEARCH("R34",C55)))</formula>
    </cfRule>
    <cfRule type="containsText" dxfId="703" priority="59" operator="containsText" text="R31">
      <formula>NOT(ISERROR(SEARCH("R31",C55)))</formula>
    </cfRule>
    <cfRule type="containsText" dxfId="702" priority="57" operator="containsText" text="R33">
      <formula>NOT(ISERROR(SEARCH("R33",C55)))</formula>
    </cfRule>
    <cfRule type="containsText" dxfId="701" priority="58" operator="containsText" text="R32">
      <formula>NOT(ISERROR(SEARCH("R32",C55)))</formula>
    </cfRule>
    <cfRule type="containsText" dxfId="700" priority="60" operator="containsText" text="R30">
      <formula>NOT(ISERROR(SEARCH("R30",C55)))</formula>
    </cfRule>
    <cfRule type="containsText" dxfId="699" priority="61" operator="containsText" text="R29">
      <formula>NOT(ISERROR(SEARCH("R29",C55)))</formula>
    </cfRule>
    <cfRule type="containsText" dxfId="698" priority="62" operator="containsText" text="R27">
      <formula>NOT(ISERROR(SEARCH("R27",C55)))</formula>
    </cfRule>
    <cfRule type="containsText" dxfId="697" priority="81" operator="containsText" text="R7">
      <formula>NOT(ISERROR(SEARCH("R7",C55)))</formula>
    </cfRule>
    <cfRule type="containsText" dxfId="696" priority="64" operator="containsText" text="R25">
      <formula>NOT(ISERROR(SEARCH("R25",C55)))</formula>
    </cfRule>
    <cfRule type="containsText" dxfId="695" priority="65" operator="containsText" text="R12">
      <formula>NOT(ISERROR(SEARCH("R12",C55)))</formula>
    </cfRule>
  </conditionalFormatting>
  <conditionalFormatting sqref="C82:Z82">
    <cfRule type="containsText" dxfId="694" priority="35" operator="containsText" text="R17">
      <formula>NOT(ISERROR(SEARCH("R17",C82)))</formula>
    </cfRule>
    <cfRule type="containsText" dxfId="693" priority="36" operator="containsText" text="R16">
      <formula>NOT(ISERROR(SEARCH("R16",C82)))</formula>
    </cfRule>
    <cfRule type="containsText" dxfId="692" priority="37" operator="containsText" text="R15">
      <formula>NOT(ISERROR(SEARCH("R15",C82)))</formula>
    </cfRule>
    <cfRule type="containsText" dxfId="691" priority="38" operator="containsText" text="R14">
      <formula>NOT(ISERROR(SEARCH("R14",C82)))</formula>
    </cfRule>
    <cfRule type="containsText" dxfId="690" priority="40" operator="containsText" text="R12">
      <formula>NOT(ISERROR(SEARCH("R12",C82)))</formula>
    </cfRule>
    <cfRule type="containsText" dxfId="689" priority="41" operator="containsText" text="R10">
      <formula>NOT(ISERROR(SEARCH("R10",C82)))</formula>
    </cfRule>
    <cfRule type="containsText" dxfId="688" priority="42" operator="containsText" text="R9">
      <formula>NOT(ISERROR(SEARCH("R9",C82)))</formula>
    </cfRule>
    <cfRule type="containsText" dxfId="687" priority="43" operator="containsText" text="R8">
      <formula>NOT(ISERROR(SEARCH("R8",C82)))</formula>
    </cfRule>
    <cfRule type="containsText" dxfId="686" priority="44" operator="containsText" text="R7">
      <formula>NOT(ISERROR(SEARCH("R7",C82)))</formula>
    </cfRule>
    <cfRule type="containsText" dxfId="685" priority="45" operator="containsText" text="R6">
      <formula>NOT(ISERROR(SEARCH("R6",C82)))</formula>
    </cfRule>
    <cfRule type="containsText" dxfId="684" priority="46" operator="containsText" text="R5">
      <formula>NOT(ISERROR(SEARCH("R5",C82)))</formula>
    </cfRule>
    <cfRule type="containsText" dxfId="683" priority="47" operator="containsText" text="R4">
      <formula>NOT(ISERROR(SEARCH("R4",C82)))</formula>
    </cfRule>
    <cfRule type="containsText" dxfId="682" priority="48" operator="containsText" text="R3">
      <formula>NOT(ISERROR(SEARCH("R3",C82)))</formula>
    </cfRule>
    <cfRule type="containsText" dxfId="681" priority="39" operator="containsText" text="R13">
      <formula>NOT(ISERROR(SEARCH("R13",C82)))</formula>
    </cfRule>
    <cfRule type="containsText" dxfId="680" priority="20" operator="containsText" text="R31">
      <formula>NOT(ISERROR(SEARCH("R31",C82)))</formula>
    </cfRule>
    <cfRule type="containsText" dxfId="679" priority="14" operator="containsText" text="R37">
      <formula>NOT(ISERROR(SEARCH("R37",C82)))</formula>
    </cfRule>
    <cfRule type="containsText" dxfId="678" priority="15" operator="containsText" text="R36">
      <formula>NOT(ISERROR(SEARCH("R36",C82)))</formula>
    </cfRule>
    <cfRule type="containsText" dxfId="677" priority="16" operator="containsText" text="R35">
      <formula>NOT(ISERROR(SEARCH("R35",C82)))</formula>
    </cfRule>
    <cfRule type="containsText" dxfId="676" priority="17" operator="containsText" text="R34">
      <formula>NOT(ISERROR(SEARCH("R34",C82)))</formula>
    </cfRule>
    <cfRule type="containsText" dxfId="675" priority="18" operator="containsText" text="R33">
      <formula>NOT(ISERROR(SEARCH("R33",C82)))</formula>
    </cfRule>
    <cfRule type="containsText" dxfId="674" priority="19" operator="containsText" text="R32">
      <formula>NOT(ISERROR(SEARCH("R32",C82)))</formula>
    </cfRule>
    <cfRule type="containsText" dxfId="673" priority="21" operator="containsText" text="R30">
      <formula>NOT(ISERROR(SEARCH("R30",C82)))</formula>
    </cfRule>
    <cfRule type="containsText" dxfId="672" priority="22" operator="containsText" text="R29">
      <formula>NOT(ISERROR(SEARCH("R29",C82)))</formula>
    </cfRule>
    <cfRule type="containsText" dxfId="671" priority="23" operator="containsText" text="R27">
      <formula>NOT(ISERROR(SEARCH("R27",C82)))</formula>
    </cfRule>
    <cfRule type="containsText" dxfId="670" priority="25" operator="containsText" text="R25">
      <formula>NOT(ISERROR(SEARCH("R25",C82)))</formula>
    </cfRule>
    <cfRule type="containsText" dxfId="669" priority="26" operator="containsText" text="R12">
      <formula>NOT(ISERROR(SEARCH("R12",C82)))</formula>
    </cfRule>
    <cfRule type="containsText" dxfId="668" priority="28" operator="containsText" text="R24">
      <formula>NOT(ISERROR(SEARCH("R24",C82)))</formula>
    </cfRule>
    <cfRule type="containsText" dxfId="667" priority="29" operator="containsText" text="R23">
      <formula>NOT(ISERROR(SEARCH("R23",C82)))</formula>
    </cfRule>
    <cfRule type="containsText" dxfId="666" priority="30" operator="containsText" text="R22">
      <formula>NOT(ISERROR(SEARCH("R22",C82)))</formula>
    </cfRule>
    <cfRule type="containsText" dxfId="665" priority="31" operator="containsText" text="R21">
      <formula>NOT(ISERROR(SEARCH("R21",C82)))</formula>
    </cfRule>
    <cfRule type="containsText" dxfId="664" priority="32" operator="containsText" text="R19">
      <formula>NOT(ISERROR(SEARCH("R19",C82)))</formula>
    </cfRule>
  </conditionalFormatting>
  <conditionalFormatting sqref="C166:Z171">
    <cfRule type="containsText" dxfId="663" priority="3" operator="containsText" text="R9">
      <formula>NOT(ISERROR(SEARCH("R9",C166)))</formula>
    </cfRule>
    <cfRule type="containsText" dxfId="662" priority="8" operator="containsText" text="R8">
      <formula>NOT(ISERROR(SEARCH("R8",C166)))</formula>
    </cfRule>
    <cfRule type="containsText" dxfId="661" priority="9" operator="containsText" text="R7">
      <formula>NOT(ISERROR(SEARCH("R7",C166)))</formula>
    </cfRule>
    <cfRule type="containsText" dxfId="660" priority="10" operator="containsText" text="R6">
      <formula>NOT(ISERROR(SEARCH("R6",C166)))</formula>
    </cfRule>
    <cfRule type="containsText" dxfId="659" priority="1" operator="containsText" text="R12">
      <formula>NOT(ISERROR(SEARCH("R12",C166)))</formula>
    </cfRule>
    <cfRule type="containsText" dxfId="658" priority="13" operator="containsText" text="R3">
      <formula>NOT(ISERROR(SEARCH("R3",C166)))</formula>
    </cfRule>
    <cfRule type="containsText" dxfId="657" priority="12" operator="containsText" text="R4">
      <formula>NOT(ISERROR(SEARCH("R4",C166)))</formula>
    </cfRule>
    <cfRule type="containsText" dxfId="656" priority="11" operator="containsText" text="R5">
      <formula>NOT(ISERROR(SEARCH("R5",C166)))</formula>
    </cfRule>
    <cfRule type="containsText" dxfId="655" priority="2" operator="containsText" text="R10">
      <formula>NOT(ISERROR(SEARCH("R10",C166)))</formula>
    </cfRule>
  </conditionalFormatting>
  <conditionalFormatting sqref="E34">
    <cfRule type="cellIs" dxfId="654" priority="141" stopIfTrue="1" operator="equal">
      <formula>0</formula>
    </cfRule>
    <cfRule type="cellIs" dxfId="653" priority="140" stopIfTrue="1" operator="notEqual">
      <formula>0</formula>
    </cfRule>
  </conditionalFormatting>
  <conditionalFormatting sqref="G82">
    <cfRule type="cellIs" dxfId="652" priority="52" stopIfTrue="1" operator="equal">
      <formula>0</formula>
    </cfRule>
    <cfRule type="cellIs" dxfId="651" priority="51" stopIfTrue="1" operator="notEqual">
      <formula>0</formula>
    </cfRule>
  </conditionalFormatting>
  <conditionalFormatting sqref="K34 M34 O34">
    <cfRule type="cellIs" dxfId="650" priority="101" stopIfTrue="1" operator="notEqual">
      <formula>0</formula>
    </cfRule>
    <cfRule type="cellIs" dxfId="649" priority="102" stopIfTrue="1" operator="equal">
      <formula>0</formula>
    </cfRule>
    <cfRule type="containsText" dxfId="648" priority="111" operator="containsText" text="R11">
      <formula>NOT(ISERROR(SEARCH("R11",K34)))</formula>
    </cfRule>
    <cfRule type="containsText" dxfId="647" priority="105" operator="containsText" text="R21">
      <formula>NOT(ISERROR(SEARCH("R21",K34)))</formula>
    </cfRule>
    <cfRule type="containsText" dxfId="646" priority="106" operator="containsText" text="R20">
      <formula>NOT(ISERROR(SEARCH("R20",K34)))</formula>
    </cfRule>
    <cfRule type="containsText" dxfId="645" priority="107" operator="containsText" text="R16">
      <formula>NOT(ISERROR(SEARCH("R16",K34)))</formula>
    </cfRule>
    <cfRule type="containsText" dxfId="644" priority="108" operator="containsText" text="R15">
      <formula>NOT(ISERROR(SEARCH("R15",K34)))</formula>
    </cfRule>
    <cfRule type="containsText" dxfId="643" priority="109" operator="containsText" text="R14">
      <formula>NOT(ISERROR(SEARCH("R14",K34)))</formula>
    </cfRule>
    <cfRule type="containsText" dxfId="642" priority="110" operator="containsText" text="R12">
      <formula>NOT(ISERROR(SEARCH("R12",K34)))</formula>
    </cfRule>
    <cfRule type="containsText" dxfId="641" priority="112" operator="containsText" text="R10">
      <formula>NOT(ISERROR(SEARCH("R10",K34)))</formula>
    </cfRule>
    <cfRule type="containsText" dxfId="640" priority="113" operator="containsText" text="R9">
      <formula>NOT(ISERROR(SEARCH("R9",K34)))</formula>
    </cfRule>
    <cfRule type="containsText" dxfId="639" priority="114" operator="containsText" text="R8">
      <formula>NOT(ISERROR(SEARCH("R8",K34)))</formula>
    </cfRule>
    <cfRule type="containsText" dxfId="638" priority="115" operator="containsText" text="R7">
      <formula>NOT(ISERROR(SEARCH("R7",K34)))</formula>
    </cfRule>
    <cfRule type="containsText" dxfId="637" priority="116" operator="containsText" text="R6">
      <formula>NOT(ISERROR(SEARCH("R6",K34)))</formula>
    </cfRule>
    <cfRule type="containsText" dxfId="636" priority="117" operator="containsText" text="R5">
      <formula>NOT(ISERROR(SEARCH("R5",K34)))</formula>
    </cfRule>
    <cfRule type="containsText" dxfId="635" priority="118" operator="containsText" text="R4">
      <formula>NOT(ISERROR(SEARCH("R4",K34)))</formula>
    </cfRule>
    <cfRule type="cellIs" dxfId="634" priority="119" stopIfTrue="1" operator="notEqual">
      <formula>0</formula>
    </cfRule>
    <cfRule type="cellIs" dxfId="633" priority="120" stopIfTrue="1" operator="equal">
      <formula>0</formula>
    </cfRule>
  </conditionalFormatting>
  <conditionalFormatting sqref="N34 C34:J34 L34 P34:Z34">
    <cfRule type="containsText" dxfId="632" priority="148" operator="containsText" text="R6">
      <formula>NOT(ISERROR(SEARCH("R6",C34)))</formula>
    </cfRule>
  </conditionalFormatting>
  <conditionalFormatting sqref="N34 P34:Z34">
    <cfRule type="cellIs" dxfId="631" priority="157" stopIfTrue="1" operator="equal">
      <formula>0</formula>
    </cfRule>
    <cfRule type="cellIs" dxfId="630" priority="156" stopIfTrue="1" operator="notEqual">
      <formula>0</formula>
    </cfRule>
  </conditionalFormatting>
  <conditionalFormatting sqref="N34 S34 U34 W34">
    <cfRule type="cellIs" dxfId="629" priority="152" stopIfTrue="1" operator="notEqual">
      <formula>0</formula>
    </cfRule>
    <cfRule type="cellIs" dxfId="628" priority="153" stopIfTrue="1" operator="equal">
      <formula>0</formula>
    </cfRule>
  </conditionalFormatting>
  <conditionalFormatting sqref="N34">
    <cfRule type="cellIs" dxfId="627" priority="146" stopIfTrue="1" operator="notEqual">
      <formula>0</formula>
    </cfRule>
    <cfRule type="cellIs" dxfId="626" priority="147" stopIfTrue="1" operator="equal">
      <formula>0</formula>
    </cfRule>
  </conditionalFormatting>
  <conditionalFormatting sqref="S34">
    <cfRule type="cellIs" dxfId="625" priority="139" stopIfTrue="1" operator="equal">
      <formula>0</formula>
    </cfRule>
    <cfRule type="cellIs" dxfId="624" priority="138" stopIfTrue="1" operator="notEqual">
      <formula>0</formula>
    </cfRule>
  </conditionalFormatting>
  <conditionalFormatting sqref="S82:U82">
    <cfRule type="cellIs" dxfId="623" priority="34" stopIfTrue="1" operator="equal">
      <formula>0</formula>
    </cfRule>
    <cfRule type="cellIs" dxfId="622" priority="33" stopIfTrue="1" operator="notEqual">
      <formula>0</formula>
    </cfRule>
  </conditionalFormatting>
  <conditionalFormatting sqref="U34">
    <cfRule type="cellIs" dxfId="621" priority="136" stopIfTrue="1" operator="notEqual">
      <formula>0</formula>
    </cfRule>
    <cfRule type="cellIs" dxfId="620" priority="137" stopIfTrue="1" operator="equal">
      <formula>0</formula>
    </cfRule>
  </conditionalFormatting>
  <conditionalFormatting sqref="U82 W82">
    <cfRule type="cellIs" dxfId="619" priority="50" stopIfTrue="1" operator="equal">
      <formula>0</formula>
    </cfRule>
    <cfRule type="cellIs" dxfId="618" priority="49" stopIfTrue="1" operator="notEqual">
      <formula>0</formula>
    </cfRule>
  </conditionalFormatting>
  <conditionalFormatting sqref="W34">
    <cfRule type="cellIs" dxfId="617" priority="134" stopIfTrue="1" operator="notEqual">
      <formula>0</formula>
    </cfRule>
    <cfRule type="cellIs" dxfId="616" priority="135" stopIfTrue="1" operator="equal">
      <formula>0</formula>
    </cfRule>
  </conditionalFormatting>
  <conditionalFormatting sqref="Y34">
    <cfRule type="cellIs" dxfId="615" priority="132" stopIfTrue="1" operator="notEqual">
      <formula>0</formula>
    </cfRule>
    <cfRule type="cellIs" dxfId="614" priority="133" stopIfTrue="1" operator="equal">
      <formula>0</formula>
    </cfRule>
  </conditionalFormatting>
  <conditionalFormatting sqref="AA166:AA171">
    <cfRule type="containsText" dxfId="613" priority="4" operator="containsText" text="R5">
      <formula>NOT(ISERROR(SEARCH("R5",AA166)))</formula>
    </cfRule>
  </conditionalFormatting>
  <conditionalFormatting sqref="AA166:AB171">
    <cfRule type="cellIs" dxfId="612" priority="7" stopIfTrue="1" operator="equal">
      <formula>0</formula>
    </cfRule>
    <cfRule type="containsText" dxfId="611" priority="5" operator="containsText" text="R4">
      <formula>NOT(ISERROR(SEARCH("R4",AA166)))</formula>
    </cfRule>
    <cfRule type="cellIs" dxfId="610" priority="6" stopIfTrue="1" operator="not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/>
  <dimension ref="A1:AE181"/>
  <sheetViews>
    <sheetView zoomScale="30" zoomScaleNormal="30" workbookViewId="0">
      <selection activeCell="AC142" sqref="AC142"/>
    </sheetView>
  </sheetViews>
  <sheetFormatPr baseColWidth="10" defaultRowHeight="14.4" x14ac:dyDescent="0.3"/>
  <cols>
    <col min="1" max="1" width="42.88671875" bestFit="1" customWidth="1"/>
    <col min="2" max="2" width="147.21875" bestFit="1" customWidth="1"/>
    <col min="3" max="3" width="11.6640625" bestFit="1" customWidth="1"/>
    <col min="5" max="5" width="11.6640625" bestFit="1" customWidth="1"/>
    <col min="7" max="7" width="11.6640625" bestFit="1" customWidth="1"/>
    <col min="9" max="9" width="11.6640625" bestFit="1" customWidth="1"/>
    <col min="11" max="11" width="11.6640625" customWidth="1"/>
    <col min="13" max="13" width="11.6640625" bestFit="1" customWidth="1"/>
    <col min="15" max="15" width="11.6640625" customWidth="1"/>
    <col min="17" max="17" width="11.6640625" bestFit="1" customWidth="1"/>
    <col min="19" max="19" width="11.6640625" customWidth="1"/>
    <col min="21" max="21" width="11.6640625" bestFit="1" customWidth="1"/>
    <col min="23" max="23" width="11.6640625" bestFit="1" customWidth="1"/>
    <col min="25" max="26" width="15.44140625" bestFit="1" customWidth="1"/>
  </cols>
  <sheetData>
    <row r="1" spans="1:30" ht="23.4" customHeight="1" x14ac:dyDescent="0.45">
      <c r="A1" s="1075"/>
      <c r="B1" s="1049" t="s">
        <v>0</v>
      </c>
      <c r="C1" s="1257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5"/>
      <c r="AA1" s="117"/>
      <c r="AB1" s="117"/>
      <c r="AC1" s="4"/>
    </row>
    <row r="2" spans="1:30" ht="23.4" customHeight="1" x14ac:dyDescent="0.45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9"/>
      <c r="AA2" s="117"/>
      <c r="AB2" s="117"/>
      <c r="AC2" s="4"/>
    </row>
    <row r="3" spans="1:30" ht="82.95" customHeight="1" thickBot="1" x14ac:dyDescent="0.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979"/>
      <c r="AA3" s="117"/>
      <c r="AB3" s="117"/>
      <c r="AC3" s="4"/>
    </row>
    <row r="4" spans="1:30" s="357" customFormat="1" ht="34.200000000000003" customHeight="1" x14ac:dyDescent="0.65">
      <c r="A4" s="337" t="s">
        <v>2</v>
      </c>
      <c r="B4" s="338" t="s">
        <v>3</v>
      </c>
      <c r="C4" s="1068" t="s">
        <v>4</v>
      </c>
      <c r="D4" s="1042"/>
      <c r="E4" s="1042"/>
      <c r="F4" s="979"/>
      <c r="G4" s="1065">
        <v>46037</v>
      </c>
      <c r="H4" s="984"/>
      <c r="I4" s="984"/>
      <c r="J4" s="456" t="s">
        <v>407</v>
      </c>
      <c r="K4" s="1217">
        <v>45783</v>
      </c>
      <c r="L4" s="984"/>
      <c r="M4" s="984"/>
      <c r="N4" s="722" t="s">
        <v>56</v>
      </c>
      <c r="O4" s="1252">
        <v>45954</v>
      </c>
      <c r="P4" s="984"/>
      <c r="Q4" s="985"/>
      <c r="R4" s="816" t="s">
        <v>57</v>
      </c>
      <c r="S4" s="1259">
        <v>46022</v>
      </c>
      <c r="T4" s="984"/>
      <c r="U4" s="985"/>
      <c r="V4" s="680"/>
      <c r="W4" s="1262"/>
      <c r="X4" s="984"/>
      <c r="Y4" s="985"/>
      <c r="Z4" s="354"/>
      <c r="AA4" s="374"/>
      <c r="AB4" s="374"/>
      <c r="AC4" s="410"/>
      <c r="AD4" s="356"/>
    </row>
    <row r="5" spans="1:30" s="357" customFormat="1" ht="34.200000000000003" customHeight="1" x14ac:dyDescent="0.65">
      <c r="A5" s="339" t="s">
        <v>14</v>
      </c>
      <c r="B5" s="340" t="s">
        <v>15</v>
      </c>
      <c r="C5" s="986"/>
      <c r="D5" s="1042"/>
      <c r="E5" s="1042"/>
      <c r="F5" s="979"/>
      <c r="G5" s="986"/>
      <c r="H5" s="1042"/>
      <c r="I5" s="1042"/>
      <c r="J5" s="723" t="s">
        <v>408</v>
      </c>
      <c r="K5" s="1263">
        <v>45821</v>
      </c>
      <c r="L5" s="1042"/>
      <c r="M5" s="1042"/>
      <c r="N5" s="667" t="s">
        <v>67</v>
      </c>
      <c r="O5" s="1119">
        <v>45960</v>
      </c>
      <c r="P5" s="1042"/>
      <c r="Q5" s="979"/>
      <c r="R5" s="825" t="s">
        <v>68</v>
      </c>
      <c r="S5" s="1079">
        <v>46031</v>
      </c>
      <c r="T5" s="1042"/>
      <c r="U5" s="1042"/>
      <c r="V5" s="682"/>
      <c r="W5" s="1254"/>
      <c r="X5" s="1042"/>
      <c r="Y5" s="979"/>
      <c r="Z5" s="361"/>
      <c r="AA5" s="409"/>
      <c r="AB5" s="409"/>
      <c r="AC5" s="410"/>
      <c r="AD5" s="356"/>
    </row>
    <row r="6" spans="1:30" s="357" customFormat="1" ht="34.200000000000003" customHeight="1" x14ac:dyDescent="0.65">
      <c r="A6" s="339" t="s">
        <v>24</v>
      </c>
      <c r="B6" s="340" t="s">
        <v>25</v>
      </c>
      <c r="C6" s="986"/>
      <c r="D6" s="1042"/>
      <c r="E6" s="1042"/>
      <c r="F6" s="979"/>
      <c r="G6" s="986"/>
      <c r="H6" s="1042"/>
      <c r="I6" s="1042"/>
      <c r="J6" s="333" t="s">
        <v>16</v>
      </c>
      <c r="K6" s="1180">
        <v>45835</v>
      </c>
      <c r="L6" s="1042"/>
      <c r="M6" s="1042"/>
      <c r="N6" s="720" t="s">
        <v>76</v>
      </c>
      <c r="O6" s="1115">
        <v>45968</v>
      </c>
      <c r="P6" s="1042"/>
      <c r="Q6" s="979"/>
      <c r="R6" s="829" t="s">
        <v>77</v>
      </c>
      <c r="S6" s="1043">
        <v>46038</v>
      </c>
      <c r="T6" s="1042"/>
      <c r="U6" s="979"/>
      <c r="V6" s="683"/>
      <c r="W6" s="1254"/>
      <c r="X6" s="1042"/>
      <c r="Y6" s="979"/>
      <c r="Z6" s="365"/>
      <c r="AA6" s="409"/>
      <c r="AB6" s="409"/>
      <c r="AC6" s="410"/>
      <c r="AD6" s="356"/>
    </row>
    <row r="7" spans="1:30" s="357" customFormat="1" ht="34.200000000000003" customHeight="1" x14ac:dyDescent="0.65">
      <c r="A7" s="339" t="s">
        <v>34</v>
      </c>
      <c r="B7" s="340" t="s">
        <v>35</v>
      </c>
      <c r="C7" s="986"/>
      <c r="D7" s="1042"/>
      <c r="E7" s="1042"/>
      <c r="F7" s="979"/>
      <c r="G7" s="986"/>
      <c r="H7" s="1042"/>
      <c r="I7" s="1042"/>
      <c r="J7" s="336" t="s">
        <v>36</v>
      </c>
      <c r="K7" s="1209">
        <v>45855</v>
      </c>
      <c r="L7" s="1042"/>
      <c r="M7" s="1042"/>
      <c r="N7" s="721" t="s">
        <v>84</v>
      </c>
      <c r="O7" s="1106">
        <v>45975</v>
      </c>
      <c r="P7" s="1042"/>
      <c r="Q7" s="979"/>
      <c r="R7" s="831" t="s">
        <v>85</v>
      </c>
      <c r="S7" s="1031">
        <v>46045</v>
      </c>
      <c r="T7" s="1042"/>
      <c r="U7" s="979"/>
      <c r="V7" s="683"/>
      <c r="W7" s="1254"/>
      <c r="X7" s="1042"/>
      <c r="Y7" s="979"/>
      <c r="Z7" s="365"/>
      <c r="AA7" s="409"/>
      <c r="AB7" s="409"/>
    </row>
    <row r="8" spans="1:30" s="357" customFormat="1" ht="34.200000000000003" customHeight="1" x14ac:dyDescent="0.65">
      <c r="A8" s="339" t="s">
        <v>44</v>
      </c>
      <c r="B8" s="340" t="s">
        <v>54</v>
      </c>
      <c r="C8" s="986"/>
      <c r="D8" s="1042"/>
      <c r="E8" s="1042"/>
      <c r="F8" s="979"/>
      <c r="G8" s="986"/>
      <c r="H8" s="1042"/>
      <c r="I8" s="1042"/>
      <c r="J8" s="724" t="s">
        <v>46</v>
      </c>
      <c r="K8" s="1256">
        <v>45802</v>
      </c>
      <c r="L8" s="1042"/>
      <c r="M8" s="1042"/>
      <c r="N8" s="740" t="s">
        <v>92</v>
      </c>
      <c r="O8" s="1122">
        <v>45982</v>
      </c>
      <c r="P8" s="1042"/>
      <c r="Q8" s="979"/>
      <c r="R8" s="841" t="s">
        <v>93</v>
      </c>
      <c r="S8" s="1061">
        <v>46052</v>
      </c>
      <c r="T8" s="1042"/>
      <c r="U8" s="979"/>
      <c r="V8" s="683"/>
      <c r="W8" s="1254"/>
      <c r="X8" s="1042"/>
      <c r="Y8" s="979"/>
      <c r="Z8" s="365"/>
      <c r="AA8" s="409"/>
      <c r="AB8" s="409"/>
      <c r="AC8" s="410"/>
      <c r="AD8" s="356"/>
    </row>
    <row r="9" spans="1:30" s="357" customFormat="1" ht="34.200000000000003" customHeight="1" thickBot="1" x14ac:dyDescent="0.7">
      <c r="A9" s="339" t="s">
        <v>62</v>
      </c>
      <c r="B9" s="340" t="s">
        <v>63</v>
      </c>
      <c r="C9" s="987"/>
      <c r="D9" s="975"/>
      <c r="E9" s="975"/>
      <c r="F9" s="976"/>
      <c r="G9" s="987"/>
      <c r="H9" s="975"/>
      <c r="I9" s="975"/>
      <c r="J9" s="363" t="s">
        <v>55</v>
      </c>
      <c r="K9" s="1112">
        <v>45778</v>
      </c>
      <c r="L9" s="1042"/>
      <c r="M9" s="1042"/>
      <c r="N9" s="775" t="s">
        <v>8</v>
      </c>
      <c r="O9" s="1117">
        <v>45989</v>
      </c>
      <c r="P9" s="1042"/>
      <c r="Q9" s="979"/>
      <c r="R9" s="681"/>
      <c r="S9" s="1254"/>
      <c r="T9" s="1042"/>
      <c r="U9" s="979"/>
      <c r="V9" s="683"/>
      <c r="W9" s="1254"/>
      <c r="X9" s="1042"/>
      <c r="Y9" s="979"/>
      <c r="Z9" s="365"/>
      <c r="AA9" s="409"/>
      <c r="AB9" s="409"/>
      <c r="AC9" s="410"/>
      <c r="AD9" s="356"/>
    </row>
    <row r="10" spans="1:30" s="357" customFormat="1" ht="34.200000000000003" customHeight="1" thickBot="1" x14ac:dyDescent="0.7">
      <c r="A10" s="339" t="s">
        <v>73</v>
      </c>
      <c r="B10" s="340" t="s">
        <v>74</v>
      </c>
      <c r="C10" s="1056" t="s">
        <v>64</v>
      </c>
      <c r="D10" s="984"/>
      <c r="E10" s="984"/>
      <c r="F10" s="985"/>
      <c r="G10" s="1056" t="s">
        <v>65</v>
      </c>
      <c r="H10" s="984"/>
      <c r="I10" s="985"/>
      <c r="J10" s="523" t="s">
        <v>83</v>
      </c>
      <c r="K10" s="1120">
        <v>45898</v>
      </c>
      <c r="L10" s="1042"/>
      <c r="M10" s="1042"/>
      <c r="N10" s="791" t="s">
        <v>18</v>
      </c>
      <c r="O10" s="1109">
        <v>45996</v>
      </c>
      <c r="P10" s="1042"/>
      <c r="Q10" s="979"/>
      <c r="R10" s="681"/>
      <c r="S10" s="1254"/>
      <c r="T10" s="1042"/>
      <c r="U10" s="979"/>
      <c r="V10" s="683"/>
      <c r="W10" s="1254"/>
      <c r="X10" s="1042"/>
      <c r="Y10" s="979"/>
      <c r="Z10" s="365"/>
      <c r="AA10" s="409"/>
      <c r="AB10" s="409"/>
      <c r="AC10" s="410"/>
      <c r="AD10" s="356"/>
    </row>
    <row r="11" spans="1:30" s="357" customFormat="1" ht="34.200000000000003" customHeight="1" thickBot="1" x14ac:dyDescent="0.7">
      <c r="A11" s="339" t="s">
        <v>82</v>
      </c>
      <c r="B11" s="340" t="s">
        <v>400</v>
      </c>
      <c r="C11" s="986"/>
      <c r="D11" s="1042"/>
      <c r="E11" s="1042"/>
      <c r="F11" s="979"/>
      <c r="G11" s="986"/>
      <c r="H11" s="1042"/>
      <c r="I11" s="979"/>
      <c r="J11" s="559" t="s">
        <v>91</v>
      </c>
      <c r="K11" s="1199">
        <v>45905</v>
      </c>
      <c r="L11" s="1042"/>
      <c r="M11" s="1042"/>
      <c r="N11" s="789" t="s">
        <v>28</v>
      </c>
      <c r="O11" s="1105">
        <v>46003</v>
      </c>
      <c r="P11" s="975"/>
      <c r="Q11" s="976"/>
      <c r="R11" s="681"/>
      <c r="S11" s="1254"/>
      <c r="T11" s="1042"/>
      <c r="U11" s="979"/>
      <c r="V11" s="683"/>
      <c r="W11" s="1254"/>
      <c r="X11" s="1042"/>
      <c r="Y11" s="979"/>
      <c r="Z11" s="365"/>
      <c r="AA11" s="409"/>
      <c r="AB11" s="409"/>
      <c r="AC11" s="410"/>
      <c r="AD11" s="356"/>
    </row>
    <row r="12" spans="1:30" s="357" customFormat="1" ht="34.200000000000003" customHeight="1" thickBot="1" x14ac:dyDescent="0.7">
      <c r="A12" s="377" t="s">
        <v>90</v>
      </c>
      <c r="B12" s="378">
        <v>182948</v>
      </c>
      <c r="C12" s="986"/>
      <c r="D12" s="1042"/>
      <c r="E12" s="1042"/>
      <c r="F12" s="979"/>
      <c r="G12" s="986"/>
      <c r="H12" s="1042"/>
      <c r="I12" s="979"/>
      <c r="J12" s="725" t="s">
        <v>37</v>
      </c>
      <c r="K12" s="1253">
        <v>45940</v>
      </c>
      <c r="L12" s="1042"/>
      <c r="M12" s="1042"/>
      <c r="N12" s="792" t="s">
        <v>38</v>
      </c>
      <c r="O12" s="1114">
        <v>46010</v>
      </c>
      <c r="P12" s="984"/>
      <c r="Q12" s="984"/>
      <c r="R12" s="681"/>
      <c r="S12" s="1254"/>
      <c r="T12" s="1042"/>
      <c r="U12" s="979"/>
      <c r="V12" s="683"/>
      <c r="W12" s="1255"/>
      <c r="X12" s="1042"/>
      <c r="Y12" s="979"/>
      <c r="Z12" s="365"/>
      <c r="AA12" s="409"/>
      <c r="AB12" s="409"/>
      <c r="AC12" s="410"/>
      <c r="AD12" s="356"/>
    </row>
    <row r="13" spans="1:30" s="357" customFormat="1" ht="34.200000000000003" customHeight="1" thickBot="1" x14ac:dyDescent="0.7">
      <c r="A13" s="379"/>
      <c r="C13" s="987"/>
      <c r="D13" s="975"/>
      <c r="E13" s="975"/>
      <c r="F13" s="976"/>
      <c r="G13" s="987"/>
      <c r="H13" s="975"/>
      <c r="I13" s="976"/>
      <c r="J13" s="686" t="s">
        <v>47</v>
      </c>
      <c r="K13" s="1258">
        <v>45947</v>
      </c>
      <c r="L13" s="1042"/>
      <c r="M13" s="1042"/>
      <c r="N13" s="781" t="s">
        <v>48</v>
      </c>
      <c r="O13" s="1260">
        <v>46015</v>
      </c>
      <c r="P13" s="975"/>
      <c r="Q13" s="976"/>
      <c r="R13" s="684"/>
      <c r="S13" s="1244"/>
      <c r="T13" s="975"/>
      <c r="U13" s="976"/>
      <c r="V13" s="685"/>
      <c r="W13" s="1261"/>
      <c r="X13" s="975"/>
      <c r="Y13" s="976"/>
      <c r="Z13" s="369"/>
      <c r="AA13" s="409"/>
      <c r="AB13" s="409"/>
      <c r="AC13" s="410"/>
      <c r="AD13" s="356"/>
    </row>
    <row r="14" spans="1:30" s="357" customFormat="1" ht="34.200000000000003" customHeight="1" thickBot="1" x14ac:dyDescent="0.7">
      <c r="A14" s="400"/>
      <c r="B14" s="399"/>
      <c r="C14" s="1214"/>
      <c r="D14" s="1000"/>
      <c r="E14" s="1000"/>
      <c r="F14" s="1000"/>
      <c r="G14" s="1000"/>
      <c r="H14" s="1000"/>
      <c r="I14" s="1000"/>
      <c r="J14" s="1000"/>
      <c r="K14" s="1000"/>
      <c r="L14" s="1000"/>
      <c r="M14" s="1000"/>
      <c r="N14" s="1000"/>
      <c r="O14" s="1000"/>
      <c r="P14" s="1000"/>
      <c r="Q14" s="1000"/>
      <c r="R14" s="1000"/>
      <c r="S14" s="1000"/>
      <c r="T14" s="1000"/>
      <c r="U14" s="1000"/>
      <c r="V14" s="1000"/>
      <c r="W14" s="1000"/>
      <c r="X14" s="1000"/>
      <c r="Y14" s="1000"/>
      <c r="Z14" s="1000"/>
    </row>
    <row r="15" spans="1:30" s="357" customFormat="1" ht="34.200000000000003" customHeight="1" thickBot="1" x14ac:dyDescent="0.7">
      <c r="A15" s="1057" t="s">
        <v>98</v>
      </c>
      <c r="B15" s="1072" t="s">
        <v>99</v>
      </c>
      <c r="C15" s="343" t="s">
        <v>100</v>
      </c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344"/>
    </row>
    <row r="16" spans="1:30" s="357" customFormat="1" ht="34.200000000000003" customHeight="1" thickBot="1" x14ac:dyDescent="0.7">
      <c r="A16" s="986"/>
      <c r="B16" s="997"/>
      <c r="C16" s="345" t="s">
        <v>101</v>
      </c>
      <c r="D16" s="346"/>
      <c r="E16" s="347"/>
      <c r="F16" s="347"/>
      <c r="G16" s="348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1038" t="s">
        <v>102</v>
      </c>
      <c r="T16" s="1000"/>
      <c r="U16" s="1000"/>
      <c r="V16" s="1000"/>
      <c r="W16" s="1000"/>
      <c r="X16" s="1001"/>
      <c r="Y16" s="1091" t="s">
        <v>428</v>
      </c>
      <c r="Z16" s="1001"/>
    </row>
    <row r="17" spans="1:31" s="357" customFormat="1" ht="34.200000000000003" customHeight="1" thickBot="1" x14ac:dyDescent="0.7">
      <c r="A17" s="987"/>
      <c r="B17" s="1013"/>
      <c r="C17" s="1085">
        <v>1</v>
      </c>
      <c r="D17" s="994"/>
      <c r="E17" s="1046">
        <v>2</v>
      </c>
      <c r="F17" s="994"/>
      <c r="G17" s="1046">
        <v>3</v>
      </c>
      <c r="H17" s="994"/>
      <c r="I17" s="1046">
        <v>4</v>
      </c>
      <c r="J17" s="994"/>
      <c r="K17" s="1046">
        <v>5</v>
      </c>
      <c r="L17" s="994"/>
      <c r="M17" s="1046">
        <v>6</v>
      </c>
      <c r="N17" s="994"/>
      <c r="O17" s="1046">
        <v>7</v>
      </c>
      <c r="P17" s="994"/>
      <c r="Q17" s="1046">
        <v>8</v>
      </c>
      <c r="R17" s="994"/>
      <c r="S17" s="1046">
        <v>9</v>
      </c>
      <c r="T17" s="994"/>
      <c r="U17" s="1046">
        <v>10</v>
      </c>
      <c r="V17" s="994"/>
      <c r="W17" s="1046">
        <v>11</v>
      </c>
      <c r="X17" s="994"/>
      <c r="Y17" s="266" t="s">
        <v>104</v>
      </c>
      <c r="Z17" s="267" t="s">
        <v>105</v>
      </c>
    </row>
    <row r="18" spans="1:31" ht="40.049999999999997" customHeight="1" thickBot="1" x14ac:dyDescent="0.35">
      <c r="A18" s="268" t="s">
        <v>106</v>
      </c>
      <c r="B18" s="269" t="s">
        <v>107</v>
      </c>
      <c r="C18" s="270" t="s">
        <v>108</v>
      </c>
      <c r="D18" s="271" t="s">
        <v>109</v>
      </c>
      <c r="E18" s="272" t="s">
        <v>108</v>
      </c>
      <c r="F18" s="271" t="s">
        <v>109</v>
      </c>
      <c r="G18" s="272" t="s">
        <v>108</v>
      </c>
      <c r="H18" s="271" t="s">
        <v>109</v>
      </c>
      <c r="I18" s="272" t="s">
        <v>108</v>
      </c>
      <c r="J18" s="271" t="s">
        <v>109</v>
      </c>
      <c r="K18" s="272" t="s">
        <v>108</v>
      </c>
      <c r="L18" s="271" t="s">
        <v>109</v>
      </c>
      <c r="M18" s="272" t="s">
        <v>108</v>
      </c>
      <c r="N18" s="271" t="s">
        <v>109</v>
      </c>
      <c r="O18" s="272" t="s">
        <v>108</v>
      </c>
      <c r="P18" s="271" t="s">
        <v>109</v>
      </c>
      <c r="Q18" s="272" t="s">
        <v>108</v>
      </c>
      <c r="R18" s="271" t="s">
        <v>109</v>
      </c>
      <c r="S18" s="272" t="s">
        <v>108</v>
      </c>
      <c r="T18" s="271" t="s">
        <v>109</v>
      </c>
      <c r="U18" s="272" t="s">
        <v>108</v>
      </c>
      <c r="V18" s="271" t="s">
        <v>109</v>
      </c>
      <c r="W18" s="272" t="s">
        <v>108</v>
      </c>
      <c r="X18" s="271" t="s">
        <v>109</v>
      </c>
      <c r="Y18" s="271"/>
      <c r="Z18" s="273"/>
    </row>
    <row r="19" spans="1:31" ht="40.049999999999997" customHeight="1" x14ac:dyDescent="0.65">
      <c r="A19" s="274" t="s">
        <v>110</v>
      </c>
      <c r="B19" s="275" t="s">
        <v>111</v>
      </c>
      <c r="C19" s="276"/>
      <c r="D19" s="277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80"/>
      <c r="AA19" s="357"/>
      <c r="AB19" s="357"/>
      <c r="AC19" s="357"/>
      <c r="AD19" s="357"/>
      <c r="AE19" s="357"/>
    </row>
    <row r="20" spans="1:31" ht="40.049999999999997" customHeight="1" x14ac:dyDescent="0.3">
      <c r="A20" s="281" t="s">
        <v>112</v>
      </c>
      <c r="B20" s="900" t="s">
        <v>113</v>
      </c>
      <c r="C20" s="283" t="s">
        <v>56</v>
      </c>
      <c r="D20" s="284"/>
      <c r="E20" s="283" t="s">
        <v>56</v>
      </c>
      <c r="F20" s="285"/>
      <c r="G20" s="283" t="s">
        <v>56</v>
      </c>
      <c r="H20" s="285"/>
      <c r="I20" s="283" t="s">
        <v>56</v>
      </c>
      <c r="J20" s="285"/>
      <c r="K20" s="283" t="s">
        <v>56</v>
      </c>
      <c r="L20" s="285"/>
      <c r="M20" s="283" t="s">
        <v>407</v>
      </c>
      <c r="N20" s="285"/>
      <c r="O20" s="283" t="s">
        <v>407</v>
      </c>
      <c r="P20" s="285"/>
      <c r="Q20" s="283" t="s">
        <v>83</v>
      </c>
      <c r="R20" s="285"/>
      <c r="S20" s="283" t="s">
        <v>83</v>
      </c>
      <c r="T20" s="285"/>
      <c r="U20" s="283" t="s">
        <v>56</v>
      </c>
      <c r="V20" s="285"/>
      <c r="W20" s="283" t="s">
        <v>56</v>
      </c>
      <c r="X20" s="285"/>
      <c r="Y20" s="286">
        <f t="shared" ref="Y20:Y26" si="0">COUNTIF(C20:X20,"&gt;=R")</f>
        <v>11</v>
      </c>
      <c r="Z20" s="287">
        <f t="shared" ref="Z20:Z26" si="1">Y20</f>
        <v>11</v>
      </c>
    </row>
    <row r="21" spans="1:31" ht="40.049999999999997" customHeight="1" x14ac:dyDescent="0.3">
      <c r="A21" s="281" t="s">
        <v>114</v>
      </c>
      <c r="B21" s="900" t="s">
        <v>115</v>
      </c>
      <c r="C21" s="283" t="s">
        <v>56</v>
      </c>
      <c r="D21" s="284"/>
      <c r="E21" s="283" t="s">
        <v>56</v>
      </c>
      <c r="F21" s="285"/>
      <c r="G21" s="283" t="s">
        <v>67</v>
      </c>
      <c r="H21" s="285"/>
      <c r="I21" s="283" t="s">
        <v>67</v>
      </c>
      <c r="J21" s="285"/>
      <c r="K21" s="283" t="s">
        <v>67</v>
      </c>
      <c r="L21" s="285"/>
      <c r="M21" s="283" t="s">
        <v>407</v>
      </c>
      <c r="N21" s="285"/>
      <c r="O21" s="283" t="s">
        <v>407</v>
      </c>
      <c r="P21" s="285"/>
      <c r="Q21" s="283" t="s">
        <v>83</v>
      </c>
      <c r="R21" s="285"/>
      <c r="S21" s="283" t="s">
        <v>83</v>
      </c>
      <c r="T21" s="285"/>
      <c r="U21" s="283" t="s">
        <v>56</v>
      </c>
      <c r="V21" s="285"/>
      <c r="W21" s="283" t="s">
        <v>56</v>
      </c>
      <c r="X21" s="285"/>
      <c r="Y21" s="286">
        <f t="shared" si="0"/>
        <v>11</v>
      </c>
      <c r="Z21" s="287">
        <f t="shared" si="1"/>
        <v>11</v>
      </c>
    </row>
    <row r="22" spans="1:31" ht="40.049999999999997" customHeight="1" x14ac:dyDescent="0.3">
      <c r="A22" s="281" t="s">
        <v>116</v>
      </c>
      <c r="B22" s="900" t="s">
        <v>117</v>
      </c>
      <c r="C22" s="283" t="s">
        <v>56</v>
      </c>
      <c r="D22" s="284"/>
      <c r="E22" s="283" t="s">
        <v>56</v>
      </c>
      <c r="F22" s="285"/>
      <c r="G22" s="283" t="s">
        <v>67</v>
      </c>
      <c r="H22" s="285"/>
      <c r="I22" s="283" t="s">
        <v>67</v>
      </c>
      <c r="J22" s="285"/>
      <c r="K22" s="283" t="s">
        <v>67</v>
      </c>
      <c r="L22" s="285"/>
      <c r="M22" s="283" t="s">
        <v>408</v>
      </c>
      <c r="N22" s="285"/>
      <c r="O22" s="283" t="s">
        <v>408</v>
      </c>
      <c r="P22" s="285"/>
      <c r="Q22" s="283" t="s">
        <v>83</v>
      </c>
      <c r="R22" s="285"/>
      <c r="S22" s="283" t="s">
        <v>83</v>
      </c>
      <c r="T22" s="285"/>
      <c r="U22" s="283" t="s">
        <v>56</v>
      </c>
      <c r="V22" s="285"/>
      <c r="W22" s="283" t="s">
        <v>56</v>
      </c>
      <c r="X22" s="285"/>
      <c r="Y22" s="286">
        <f t="shared" si="0"/>
        <v>11</v>
      </c>
      <c r="Z22" s="287">
        <f t="shared" si="1"/>
        <v>11</v>
      </c>
    </row>
    <row r="23" spans="1:31" ht="40.049999999999997" customHeight="1" x14ac:dyDescent="0.3">
      <c r="A23" s="281" t="s">
        <v>118</v>
      </c>
      <c r="B23" s="900" t="s">
        <v>119</v>
      </c>
      <c r="C23" s="283" t="s">
        <v>56</v>
      </c>
      <c r="D23" s="284"/>
      <c r="E23" s="283" t="s">
        <v>56</v>
      </c>
      <c r="F23" s="285"/>
      <c r="G23" s="283" t="s">
        <v>67</v>
      </c>
      <c r="H23" s="285"/>
      <c r="I23" s="283" t="s">
        <v>67</v>
      </c>
      <c r="J23" s="285"/>
      <c r="K23" s="283" t="s">
        <v>67</v>
      </c>
      <c r="L23" s="285"/>
      <c r="M23" s="283" t="s">
        <v>408</v>
      </c>
      <c r="N23" s="285"/>
      <c r="O23" s="283" t="s">
        <v>408</v>
      </c>
      <c r="P23" s="285"/>
      <c r="Q23" s="283" t="s">
        <v>83</v>
      </c>
      <c r="R23" s="285"/>
      <c r="S23" s="283" t="s">
        <v>83</v>
      </c>
      <c r="T23" s="285"/>
      <c r="U23" s="283" t="s">
        <v>56</v>
      </c>
      <c r="V23" s="285"/>
      <c r="W23" s="283" t="s">
        <v>56</v>
      </c>
      <c r="X23" s="285"/>
      <c r="Y23" s="286">
        <f t="shared" si="0"/>
        <v>11</v>
      </c>
      <c r="Z23" s="287">
        <f t="shared" si="1"/>
        <v>11</v>
      </c>
    </row>
    <row r="24" spans="1:31" ht="40.049999999999997" customHeight="1" x14ac:dyDescent="0.3">
      <c r="A24" s="281" t="s">
        <v>120</v>
      </c>
      <c r="B24" s="900" t="s">
        <v>121</v>
      </c>
      <c r="C24" s="284" t="s">
        <v>67</v>
      </c>
      <c r="D24" s="284"/>
      <c r="E24" s="285" t="s">
        <v>67</v>
      </c>
      <c r="F24" s="285"/>
      <c r="G24" s="285" t="s">
        <v>67</v>
      </c>
      <c r="H24" s="285"/>
      <c r="I24" s="285" t="s">
        <v>76</v>
      </c>
      <c r="J24" s="285"/>
      <c r="K24" s="285" t="s">
        <v>76</v>
      </c>
      <c r="L24" s="285"/>
      <c r="M24" s="283" t="s">
        <v>408</v>
      </c>
      <c r="N24" s="285"/>
      <c r="O24" s="283" t="s">
        <v>408</v>
      </c>
      <c r="P24" s="285"/>
      <c r="Q24" s="285" t="s">
        <v>91</v>
      </c>
      <c r="R24" s="285"/>
      <c r="S24" s="285" t="s">
        <v>91</v>
      </c>
      <c r="T24" s="285"/>
      <c r="U24" s="285" t="s">
        <v>76</v>
      </c>
      <c r="V24" s="288"/>
      <c r="W24" s="285" t="s">
        <v>76</v>
      </c>
      <c r="X24" s="285"/>
      <c r="Y24" s="286">
        <f t="shared" si="0"/>
        <v>11</v>
      </c>
      <c r="Z24" s="287">
        <f t="shared" si="1"/>
        <v>11</v>
      </c>
    </row>
    <row r="25" spans="1:31" ht="40.049999999999997" customHeight="1" x14ac:dyDescent="0.3">
      <c r="A25" s="281" t="s">
        <v>122</v>
      </c>
      <c r="B25" s="900" t="s">
        <v>123</v>
      </c>
      <c r="C25" s="284" t="s">
        <v>67</v>
      </c>
      <c r="D25" s="284"/>
      <c r="E25" s="285" t="s">
        <v>67</v>
      </c>
      <c r="F25" s="285"/>
      <c r="G25" s="285" t="s">
        <v>67</v>
      </c>
      <c r="H25" s="285"/>
      <c r="I25" s="285" t="s">
        <v>76</v>
      </c>
      <c r="J25" s="285"/>
      <c r="K25" s="285" t="s">
        <v>76</v>
      </c>
      <c r="L25" s="285"/>
      <c r="M25" s="283" t="s">
        <v>408</v>
      </c>
      <c r="N25" s="285"/>
      <c r="O25" s="283" t="s">
        <v>408</v>
      </c>
      <c r="P25" s="285"/>
      <c r="Q25" s="285" t="s">
        <v>91</v>
      </c>
      <c r="R25" s="285"/>
      <c r="S25" s="285" t="s">
        <v>91</v>
      </c>
      <c r="T25" s="285"/>
      <c r="U25" s="285" t="s">
        <v>76</v>
      </c>
      <c r="V25" s="288"/>
      <c r="W25" s="285" t="s">
        <v>76</v>
      </c>
      <c r="X25" s="285"/>
      <c r="Y25" s="286">
        <f t="shared" si="0"/>
        <v>11</v>
      </c>
      <c r="Z25" s="287">
        <f t="shared" si="1"/>
        <v>11</v>
      </c>
    </row>
    <row r="26" spans="1:31" ht="40.049999999999997" customHeight="1" x14ac:dyDescent="0.3">
      <c r="A26" s="281" t="s">
        <v>124</v>
      </c>
      <c r="B26" s="900" t="s">
        <v>125</v>
      </c>
      <c r="C26" s="284" t="s">
        <v>67</v>
      </c>
      <c r="D26" s="284"/>
      <c r="E26" s="285" t="s">
        <v>67</v>
      </c>
      <c r="F26" s="285"/>
      <c r="G26" s="285" t="s">
        <v>67</v>
      </c>
      <c r="H26" s="285"/>
      <c r="I26" s="285" t="s">
        <v>76</v>
      </c>
      <c r="J26" s="285"/>
      <c r="K26" s="285" t="s">
        <v>76</v>
      </c>
      <c r="L26" s="285"/>
      <c r="M26" s="283" t="s">
        <v>408</v>
      </c>
      <c r="N26" s="285"/>
      <c r="O26" s="283" t="s">
        <v>408</v>
      </c>
      <c r="P26" s="285"/>
      <c r="Q26" s="285" t="s">
        <v>91</v>
      </c>
      <c r="R26" s="285"/>
      <c r="S26" s="285" t="s">
        <v>91</v>
      </c>
      <c r="T26" s="285"/>
      <c r="U26" s="285" t="s">
        <v>76</v>
      </c>
      <c r="V26" s="288"/>
      <c r="W26" s="285" t="s">
        <v>76</v>
      </c>
      <c r="X26" s="285"/>
      <c r="Y26" s="286">
        <f t="shared" si="0"/>
        <v>11</v>
      </c>
      <c r="Z26" s="287">
        <f t="shared" si="1"/>
        <v>11</v>
      </c>
    </row>
    <row r="27" spans="1:31" ht="40.049999999999997" customHeight="1" x14ac:dyDescent="0.65">
      <c r="A27" s="289" t="s">
        <v>126</v>
      </c>
      <c r="B27" s="913" t="s">
        <v>127</v>
      </c>
      <c r="C27" s="291"/>
      <c r="D27" s="292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  <c r="U27" s="293"/>
      <c r="V27" s="293"/>
      <c r="W27" s="293"/>
      <c r="X27" s="293"/>
      <c r="Y27" s="293"/>
      <c r="Z27" s="295"/>
      <c r="AA27" s="357"/>
      <c r="AB27" s="357"/>
      <c r="AC27" s="357"/>
      <c r="AD27" s="357"/>
      <c r="AE27" s="357"/>
    </row>
    <row r="28" spans="1:31" ht="40.049999999999997" customHeight="1" x14ac:dyDescent="0.3">
      <c r="A28" s="281" t="s">
        <v>128</v>
      </c>
      <c r="B28" s="900" t="s">
        <v>129</v>
      </c>
      <c r="C28" s="284" t="s">
        <v>67</v>
      </c>
      <c r="D28" s="284"/>
      <c r="E28" s="285" t="s">
        <v>67</v>
      </c>
      <c r="F28" s="285"/>
      <c r="G28" s="285" t="s">
        <v>67</v>
      </c>
      <c r="H28" s="285"/>
      <c r="I28" s="285" t="s">
        <v>76</v>
      </c>
      <c r="J28" s="285"/>
      <c r="K28" s="285" t="s">
        <v>76</v>
      </c>
      <c r="L28" s="285"/>
      <c r="M28" s="671" t="s">
        <v>408</v>
      </c>
      <c r="N28" s="285"/>
      <c r="O28" s="671" t="s">
        <v>408</v>
      </c>
      <c r="P28" s="285"/>
      <c r="Q28" s="285" t="s">
        <v>91</v>
      </c>
      <c r="R28" s="285"/>
      <c r="S28" s="285" t="s">
        <v>91</v>
      </c>
      <c r="T28" s="285"/>
      <c r="U28" s="285" t="s">
        <v>76</v>
      </c>
      <c r="V28" s="288"/>
      <c r="W28" s="285" t="s">
        <v>76</v>
      </c>
      <c r="X28" s="285"/>
      <c r="Y28" s="286">
        <f>COUNTIF(C28:X28,"&gt;=R")</f>
        <v>11</v>
      </c>
      <c r="Z28" s="287">
        <f>Y28</f>
        <v>11</v>
      </c>
    </row>
    <row r="29" spans="1:31" ht="40.049999999999997" customHeight="1" x14ac:dyDescent="0.65">
      <c r="A29" s="281" t="s">
        <v>130</v>
      </c>
      <c r="B29" s="900" t="s">
        <v>131</v>
      </c>
      <c r="C29" s="284" t="s">
        <v>67</v>
      </c>
      <c r="D29" s="284"/>
      <c r="E29" s="285" t="s">
        <v>67</v>
      </c>
      <c r="F29" s="285"/>
      <c r="G29" s="285" t="s">
        <v>67</v>
      </c>
      <c r="H29" s="285"/>
      <c r="I29" s="285" t="s">
        <v>76</v>
      </c>
      <c r="J29" s="285"/>
      <c r="K29" s="285" t="s">
        <v>76</v>
      </c>
      <c r="L29" s="285"/>
      <c r="M29" s="671" t="s">
        <v>408</v>
      </c>
      <c r="N29" s="285"/>
      <c r="O29" s="671" t="s">
        <v>408</v>
      </c>
      <c r="P29" s="285"/>
      <c r="Q29" s="285" t="s">
        <v>91</v>
      </c>
      <c r="R29" s="285"/>
      <c r="S29" s="285" t="s">
        <v>91</v>
      </c>
      <c r="T29" s="285"/>
      <c r="U29" s="285" t="s">
        <v>76</v>
      </c>
      <c r="V29" s="288"/>
      <c r="W29" s="285" t="s">
        <v>76</v>
      </c>
      <c r="X29" s="285"/>
      <c r="Y29" s="286">
        <f>COUNTIF(C29:X29,"&gt;=R")</f>
        <v>11</v>
      </c>
      <c r="Z29" s="287">
        <f>Y29</f>
        <v>11</v>
      </c>
      <c r="AA29" s="357"/>
      <c r="AB29" s="357"/>
      <c r="AC29" s="357"/>
      <c r="AD29" s="357"/>
      <c r="AE29" s="357"/>
    </row>
    <row r="30" spans="1:31" ht="40.049999999999997" customHeight="1" x14ac:dyDescent="0.65">
      <c r="A30" s="289" t="s">
        <v>132</v>
      </c>
      <c r="B30" s="913" t="s">
        <v>133</v>
      </c>
      <c r="C30" s="291"/>
      <c r="D30" s="292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  <c r="U30" s="293"/>
      <c r="V30" s="293"/>
      <c r="W30" s="293"/>
      <c r="X30" s="293"/>
      <c r="Y30" s="293"/>
      <c r="Z30" s="295"/>
      <c r="AA30" s="357"/>
      <c r="AB30" s="357"/>
      <c r="AC30" s="357"/>
      <c r="AD30" s="357"/>
      <c r="AE30" s="357"/>
    </row>
    <row r="31" spans="1:31" ht="40.049999999999997" customHeight="1" x14ac:dyDescent="0.65">
      <c r="A31" s="298" t="s">
        <v>134</v>
      </c>
      <c r="B31" s="900" t="s">
        <v>135</v>
      </c>
      <c r="C31" s="283" t="s">
        <v>57</v>
      </c>
      <c r="D31" s="284"/>
      <c r="E31" s="283" t="s">
        <v>38</v>
      </c>
      <c r="F31" s="285"/>
      <c r="G31" s="283" t="s">
        <v>38</v>
      </c>
      <c r="H31" s="285"/>
      <c r="I31" s="285" t="s">
        <v>38</v>
      </c>
      <c r="J31" s="285"/>
      <c r="K31" s="285" t="s">
        <v>38</v>
      </c>
      <c r="L31" s="285"/>
      <c r="M31" s="674" t="s">
        <v>16</v>
      </c>
      <c r="N31" s="285"/>
      <c r="O31" s="285" t="s">
        <v>57</v>
      </c>
      <c r="P31" s="285"/>
      <c r="Q31" s="285" t="s">
        <v>76</v>
      </c>
      <c r="R31" s="285"/>
      <c r="S31" s="285" t="s">
        <v>76</v>
      </c>
      <c r="T31" s="285"/>
      <c r="U31" s="285" t="s">
        <v>76</v>
      </c>
      <c r="V31" s="285"/>
      <c r="W31" s="285" t="s">
        <v>76</v>
      </c>
      <c r="X31" s="285"/>
      <c r="Y31" s="286">
        <f>COUNTIF(C31:X31,"&gt;=R")</f>
        <v>11</v>
      </c>
      <c r="Z31" s="287">
        <f>Y31</f>
        <v>11</v>
      </c>
      <c r="AA31" s="357"/>
      <c r="AB31" s="357"/>
      <c r="AC31" s="357"/>
      <c r="AD31" s="357"/>
      <c r="AE31" s="357"/>
    </row>
    <row r="32" spans="1:31" ht="40.049999999999997" customHeight="1" x14ac:dyDescent="0.65">
      <c r="A32" s="289" t="s">
        <v>136</v>
      </c>
      <c r="B32" s="913" t="s">
        <v>137</v>
      </c>
      <c r="C32" s="291"/>
      <c r="D32" s="292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5"/>
      <c r="AA32" s="357"/>
      <c r="AB32" s="357"/>
      <c r="AC32" s="357"/>
      <c r="AD32" s="357"/>
      <c r="AE32" s="357"/>
    </row>
    <row r="33" spans="1:31" ht="40.049999999999997" customHeight="1" x14ac:dyDescent="0.3">
      <c r="A33" s="281" t="s">
        <v>138</v>
      </c>
      <c r="B33" s="900" t="s">
        <v>139</v>
      </c>
      <c r="C33" s="283"/>
      <c r="D33" s="284"/>
      <c r="E33" s="299" t="s">
        <v>38</v>
      </c>
      <c r="F33" s="285"/>
      <c r="G33" s="299" t="s">
        <v>38</v>
      </c>
      <c r="H33" s="285"/>
      <c r="I33" s="285" t="s">
        <v>38</v>
      </c>
      <c r="J33" s="285"/>
      <c r="K33" s="285" t="s">
        <v>38</v>
      </c>
      <c r="L33" s="285"/>
      <c r="M33" s="674" t="s">
        <v>16</v>
      </c>
      <c r="N33" s="285"/>
      <c r="O33" s="285"/>
      <c r="P33" s="285"/>
      <c r="Q33" s="285" t="s">
        <v>77</v>
      </c>
      <c r="R33" s="285"/>
      <c r="S33" s="285" t="s">
        <v>77</v>
      </c>
      <c r="T33" s="299"/>
      <c r="U33" s="285" t="s">
        <v>68</v>
      </c>
      <c r="V33" s="299"/>
      <c r="W33" s="285" t="s">
        <v>68</v>
      </c>
      <c r="X33" s="299"/>
      <c r="Y33" s="286">
        <f>COUNTIF(C33:X33,"&gt;=R")</f>
        <v>9</v>
      </c>
      <c r="Z33" s="287">
        <f>Y33</f>
        <v>9</v>
      </c>
    </row>
    <row r="34" spans="1:31" ht="40.049999999999997" customHeight="1" x14ac:dyDescent="0.65">
      <c r="A34" s="357" t="s">
        <v>140</v>
      </c>
      <c r="B34" s="903" t="s">
        <v>141</v>
      </c>
      <c r="C34" s="283"/>
      <c r="D34" s="284"/>
      <c r="E34" s="283" t="s">
        <v>38</v>
      </c>
      <c r="F34" s="285"/>
      <c r="G34" s="283" t="s">
        <v>38</v>
      </c>
      <c r="H34" s="285"/>
      <c r="I34" s="285" t="s">
        <v>38</v>
      </c>
      <c r="J34" s="285"/>
      <c r="K34" s="285" t="s">
        <v>38</v>
      </c>
      <c r="L34" s="285"/>
      <c r="M34" s="674" t="s">
        <v>16</v>
      </c>
      <c r="N34" s="285"/>
      <c r="O34" s="285"/>
      <c r="P34" s="285"/>
      <c r="Q34" s="285" t="s">
        <v>77</v>
      </c>
      <c r="R34" s="285"/>
      <c r="S34" s="285" t="s">
        <v>77</v>
      </c>
      <c r="T34" s="285"/>
      <c r="U34" s="285" t="s">
        <v>68</v>
      </c>
      <c r="V34" s="285"/>
      <c r="W34" s="285" t="s">
        <v>68</v>
      </c>
      <c r="X34" s="285"/>
      <c r="Y34" s="286">
        <f>COUNTIF(C34:X34,"&gt;=R")</f>
        <v>9</v>
      </c>
      <c r="Z34" s="287">
        <f>Y34</f>
        <v>9</v>
      </c>
    </row>
    <row r="35" spans="1:31" ht="40.049999999999997" customHeight="1" x14ac:dyDescent="0.3">
      <c r="A35" s="289" t="s">
        <v>142</v>
      </c>
      <c r="B35" s="913" t="s">
        <v>143</v>
      </c>
      <c r="C35" s="291"/>
      <c r="D35" s="292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93"/>
      <c r="S35" s="293"/>
      <c r="T35" s="293"/>
      <c r="U35" s="293"/>
      <c r="V35" s="293"/>
      <c r="W35" s="293"/>
      <c r="X35" s="293"/>
      <c r="Y35" s="293"/>
      <c r="Z35" s="295"/>
    </row>
    <row r="36" spans="1:31" ht="40.049999999999997" customHeight="1" x14ac:dyDescent="0.3">
      <c r="A36" s="298" t="s">
        <v>144</v>
      </c>
      <c r="B36" s="900" t="s">
        <v>145</v>
      </c>
      <c r="C36" s="284"/>
      <c r="D36" s="284"/>
      <c r="E36" s="285" t="s">
        <v>38</v>
      </c>
      <c r="F36" s="285"/>
      <c r="G36" s="285" t="s">
        <v>57</v>
      </c>
      <c r="H36" s="285"/>
      <c r="I36" s="285" t="s">
        <v>38</v>
      </c>
      <c r="J36" s="285"/>
      <c r="K36" s="285" t="s">
        <v>38</v>
      </c>
      <c r="L36" s="285"/>
      <c r="M36" s="285" t="s">
        <v>46</v>
      </c>
      <c r="N36" s="285"/>
      <c r="O36" s="285"/>
      <c r="P36" s="285"/>
      <c r="Q36" s="285" t="s">
        <v>77</v>
      </c>
      <c r="R36" s="285"/>
      <c r="S36" s="285" t="s">
        <v>77</v>
      </c>
      <c r="T36" s="285"/>
      <c r="U36" s="285" t="s">
        <v>68</v>
      </c>
      <c r="V36" s="285"/>
      <c r="W36" s="285" t="s">
        <v>68</v>
      </c>
      <c r="X36" s="285"/>
      <c r="Y36" s="286">
        <f>COUNTIF(C36:X36,"&gt;=R")</f>
        <v>9</v>
      </c>
      <c r="Z36" s="287">
        <f>Y36</f>
        <v>9</v>
      </c>
    </row>
    <row r="37" spans="1:31" ht="40.049999999999997" customHeight="1" x14ac:dyDescent="0.3">
      <c r="A37" s="289" t="s">
        <v>146</v>
      </c>
      <c r="B37" s="913" t="s">
        <v>147</v>
      </c>
      <c r="C37" s="291"/>
      <c r="D37" s="292"/>
      <c r="E37" s="293"/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3"/>
      <c r="V37" s="293"/>
      <c r="W37" s="293"/>
      <c r="X37" s="293"/>
      <c r="Y37" s="293"/>
      <c r="Z37" s="295"/>
    </row>
    <row r="38" spans="1:31" ht="40.049999999999997" customHeight="1" x14ac:dyDescent="0.3">
      <c r="A38" s="281" t="s">
        <v>148</v>
      </c>
      <c r="B38" s="900" t="s">
        <v>139</v>
      </c>
      <c r="C38" s="284" t="s">
        <v>18</v>
      </c>
      <c r="D38" s="284"/>
      <c r="E38" s="285" t="s">
        <v>38</v>
      </c>
      <c r="F38" s="285"/>
      <c r="G38" s="299" t="s">
        <v>68</v>
      </c>
      <c r="H38" s="285"/>
      <c r="I38" s="285" t="s">
        <v>38</v>
      </c>
      <c r="J38" s="285"/>
      <c r="K38" s="285" t="s">
        <v>38</v>
      </c>
      <c r="L38" s="285"/>
      <c r="M38" s="285" t="s">
        <v>46</v>
      </c>
      <c r="N38" s="285"/>
      <c r="O38" s="285" t="s">
        <v>18</v>
      </c>
      <c r="P38" s="285"/>
      <c r="Q38" s="285" t="s">
        <v>77</v>
      </c>
      <c r="R38" s="285"/>
      <c r="S38" s="285" t="s">
        <v>77</v>
      </c>
      <c r="T38" s="285"/>
      <c r="U38" s="285" t="s">
        <v>68</v>
      </c>
      <c r="V38" s="285"/>
      <c r="W38" s="285" t="s">
        <v>68</v>
      </c>
      <c r="X38" s="285"/>
      <c r="Y38" s="286">
        <f>COUNTIF(C38:X38,"&gt;=R")</f>
        <v>11</v>
      </c>
      <c r="Z38" s="287">
        <f>Y38</f>
        <v>11</v>
      </c>
    </row>
    <row r="39" spans="1:31" ht="40.049999999999997" customHeight="1" x14ac:dyDescent="0.65">
      <c r="A39" s="281" t="s">
        <v>149</v>
      </c>
      <c r="B39" s="900" t="s">
        <v>150</v>
      </c>
      <c r="C39" s="284" t="s">
        <v>18</v>
      </c>
      <c r="D39" s="284"/>
      <c r="E39" s="285" t="s">
        <v>38</v>
      </c>
      <c r="F39" s="285"/>
      <c r="G39" s="285" t="s">
        <v>68</v>
      </c>
      <c r="H39" s="285"/>
      <c r="I39" s="299" t="s">
        <v>68</v>
      </c>
      <c r="J39" s="285"/>
      <c r="K39" s="299" t="s">
        <v>68</v>
      </c>
      <c r="L39" s="285"/>
      <c r="M39" s="299" t="s">
        <v>36</v>
      </c>
      <c r="N39" s="285"/>
      <c r="O39" s="299" t="s">
        <v>18</v>
      </c>
      <c r="P39" s="285"/>
      <c r="Q39" s="285" t="s">
        <v>77</v>
      </c>
      <c r="R39" s="285"/>
      <c r="S39" s="285" t="s">
        <v>77</v>
      </c>
      <c r="T39" s="285"/>
      <c r="U39" s="288" t="s">
        <v>68</v>
      </c>
      <c r="V39" s="285"/>
      <c r="W39" s="288" t="s">
        <v>68</v>
      </c>
      <c r="X39" s="285"/>
      <c r="Y39" s="286">
        <f>COUNTIF(C39:X39,"&gt;=R")</f>
        <v>11</v>
      </c>
      <c r="Z39" s="287">
        <f>Y39</f>
        <v>11</v>
      </c>
      <c r="AA39" s="357"/>
      <c r="AB39" s="357"/>
      <c r="AC39" s="357"/>
      <c r="AD39" s="357"/>
      <c r="AE39" s="357"/>
    </row>
    <row r="40" spans="1:31" ht="40.049999999999997" customHeight="1" x14ac:dyDescent="0.3">
      <c r="A40" s="300" t="s">
        <v>151</v>
      </c>
      <c r="B40" s="914" t="s">
        <v>152</v>
      </c>
      <c r="C40" s="283"/>
      <c r="D40" s="284"/>
      <c r="E40" s="285"/>
      <c r="F40" s="285"/>
      <c r="G40" s="285"/>
      <c r="H40" s="285"/>
      <c r="I40" s="285"/>
      <c r="J40" s="285"/>
      <c r="K40" s="285"/>
      <c r="L40" s="285"/>
      <c r="M40" s="299"/>
      <c r="N40" s="285"/>
      <c r="O40" s="285"/>
      <c r="P40" s="285"/>
      <c r="Q40" s="285"/>
      <c r="R40" s="285"/>
      <c r="S40" s="285"/>
      <c r="T40" s="285"/>
      <c r="U40" s="288"/>
      <c r="V40" s="285"/>
      <c r="W40" s="285"/>
      <c r="X40" s="285"/>
      <c r="Y40" s="286"/>
      <c r="Z40" s="287"/>
    </row>
    <row r="41" spans="1:31" ht="40.049999999999997" customHeight="1" x14ac:dyDescent="0.3">
      <c r="A41" s="281" t="s">
        <v>153</v>
      </c>
      <c r="B41" s="900" t="s">
        <v>154</v>
      </c>
      <c r="C41" s="283"/>
      <c r="D41" s="284"/>
      <c r="E41" s="283"/>
      <c r="F41" s="285"/>
      <c r="G41" s="283"/>
      <c r="H41" s="285"/>
      <c r="I41" s="283"/>
      <c r="J41" s="285"/>
      <c r="K41" s="283"/>
      <c r="L41" s="285"/>
      <c r="M41" s="285"/>
      <c r="N41" s="285"/>
      <c r="O41" s="285"/>
      <c r="P41" s="285"/>
      <c r="Q41" s="285"/>
      <c r="R41" s="285"/>
      <c r="S41" s="285"/>
      <c r="T41" s="285"/>
      <c r="U41" s="285"/>
      <c r="V41" s="285"/>
      <c r="W41" s="285"/>
      <c r="X41" s="285"/>
      <c r="Y41" s="286">
        <f t="shared" ref="Y41:Y46" si="2">COUNTIF(C41:X41,"&gt;=R")</f>
        <v>0</v>
      </c>
      <c r="Z41" s="287">
        <f t="shared" ref="Z41:Z46" si="3">Y41</f>
        <v>0</v>
      </c>
    </row>
    <row r="42" spans="1:31" ht="40.049999999999997" customHeight="1" x14ac:dyDescent="0.65">
      <c r="A42" s="281" t="s">
        <v>155</v>
      </c>
      <c r="B42" s="900" t="s">
        <v>156</v>
      </c>
      <c r="C42" s="302"/>
      <c r="D42" s="284"/>
      <c r="E42" s="288"/>
      <c r="F42" s="285"/>
      <c r="G42" s="288"/>
      <c r="H42" s="285"/>
      <c r="I42" s="288"/>
      <c r="J42" s="285"/>
      <c r="K42" s="288"/>
      <c r="L42" s="285"/>
      <c r="M42" s="288"/>
      <c r="N42" s="285"/>
      <c r="O42" s="288"/>
      <c r="P42" s="285"/>
      <c r="Q42" s="288"/>
      <c r="R42" s="285"/>
      <c r="S42" s="288"/>
      <c r="T42" s="285"/>
      <c r="U42" s="288"/>
      <c r="V42" s="285"/>
      <c r="W42" s="288"/>
      <c r="X42" s="285"/>
      <c r="Y42" s="286">
        <f t="shared" si="2"/>
        <v>0</v>
      </c>
      <c r="Z42" s="287">
        <f t="shared" si="3"/>
        <v>0</v>
      </c>
      <c r="AA42" s="357"/>
      <c r="AB42" s="357"/>
      <c r="AC42" s="357"/>
      <c r="AD42" s="357"/>
      <c r="AE42" s="357"/>
    </row>
    <row r="43" spans="1:31" ht="40.049999999999997" customHeight="1" x14ac:dyDescent="0.3">
      <c r="A43" s="281" t="s">
        <v>157</v>
      </c>
      <c r="B43" s="900" t="s">
        <v>158</v>
      </c>
      <c r="C43" s="284" t="s">
        <v>18</v>
      </c>
      <c r="D43" s="284"/>
      <c r="E43" s="285"/>
      <c r="F43" s="285"/>
      <c r="G43" s="285"/>
      <c r="H43" s="285"/>
      <c r="I43" s="299"/>
      <c r="J43" s="285"/>
      <c r="K43" s="299"/>
      <c r="L43" s="285"/>
      <c r="M43" s="299" t="s">
        <v>36</v>
      </c>
      <c r="N43" s="285"/>
      <c r="O43" s="299" t="s">
        <v>18</v>
      </c>
      <c r="P43" s="285"/>
      <c r="Q43" s="285" t="s">
        <v>77</v>
      </c>
      <c r="R43" s="285"/>
      <c r="S43" s="285" t="s">
        <v>77</v>
      </c>
      <c r="T43" s="285"/>
      <c r="U43" s="288" t="s">
        <v>68</v>
      </c>
      <c r="V43" s="285"/>
      <c r="W43" s="288" t="s">
        <v>68</v>
      </c>
      <c r="X43" s="285"/>
      <c r="Y43" s="286">
        <f t="shared" si="2"/>
        <v>7</v>
      </c>
      <c r="Z43" s="287">
        <f t="shared" si="3"/>
        <v>7</v>
      </c>
    </row>
    <row r="44" spans="1:31" ht="40.049999999999997" customHeight="1" x14ac:dyDescent="0.65">
      <c r="A44" s="281" t="s">
        <v>159</v>
      </c>
      <c r="B44" s="900" t="s">
        <v>160</v>
      </c>
      <c r="C44" s="283"/>
      <c r="D44" s="284"/>
      <c r="E44" s="285" t="s">
        <v>93</v>
      </c>
      <c r="F44" s="285"/>
      <c r="G44" s="285" t="s">
        <v>93</v>
      </c>
      <c r="H44" s="285"/>
      <c r="I44" s="285"/>
      <c r="J44" s="285"/>
      <c r="K44" s="285"/>
      <c r="L44" s="285"/>
      <c r="M44" s="285" t="s">
        <v>83</v>
      </c>
      <c r="N44" s="285"/>
      <c r="O44" s="285"/>
      <c r="P44" s="285"/>
      <c r="Q44" s="285" t="s">
        <v>38</v>
      </c>
      <c r="R44" s="285"/>
      <c r="S44" s="285" t="s">
        <v>38</v>
      </c>
      <c r="T44" s="285"/>
      <c r="U44" s="285" t="s">
        <v>38</v>
      </c>
      <c r="V44" s="285"/>
      <c r="W44" s="285" t="s">
        <v>38</v>
      </c>
      <c r="X44" s="285"/>
      <c r="Y44" s="286">
        <f t="shared" si="2"/>
        <v>7</v>
      </c>
      <c r="Z44" s="287">
        <f t="shared" si="3"/>
        <v>7</v>
      </c>
      <c r="AA44" s="357"/>
      <c r="AB44" s="357"/>
      <c r="AC44" s="357"/>
      <c r="AD44" s="357"/>
      <c r="AE44" s="357"/>
    </row>
    <row r="45" spans="1:31" ht="40.049999999999997" customHeight="1" x14ac:dyDescent="0.3">
      <c r="A45" s="281" t="s">
        <v>161</v>
      </c>
      <c r="B45" s="900" t="s">
        <v>162</v>
      </c>
      <c r="C45" s="283"/>
      <c r="D45" s="284"/>
      <c r="E45" s="285" t="s">
        <v>93</v>
      </c>
      <c r="F45" s="285"/>
      <c r="G45" s="285" t="s">
        <v>85</v>
      </c>
      <c r="H45" s="285"/>
      <c r="I45" s="285"/>
      <c r="J45" s="285"/>
      <c r="K45" s="285"/>
      <c r="L45" s="285"/>
      <c r="M45" s="285" t="s">
        <v>36</v>
      </c>
      <c r="N45" s="285"/>
      <c r="O45" s="285"/>
      <c r="P45" s="285"/>
      <c r="Q45" s="285" t="s">
        <v>93</v>
      </c>
      <c r="R45" s="285"/>
      <c r="S45" s="285" t="s">
        <v>93</v>
      </c>
      <c r="T45" s="285"/>
      <c r="U45" s="285" t="s">
        <v>38</v>
      </c>
      <c r="V45" s="285"/>
      <c r="W45" s="285" t="s">
        <v>38</v>
      </c>
      <c r="X45" s="285"/>
      <c r="Y45" s="286">
        <f t="shared" si="2"/>
        <v>7</v>
      </c>
      <c r="Z45" s="287">
        <f t="shared" si="3"/>
        <v>7</v>
      </c>
    </row>
    <row r="46" spans="1:31" ht="40.049999999999997" customHeight="1" x14ac:dyDescent="0.65">
      <c r="A46" s="281" t="s">
        <v>163</v>
      </c>
      <c r="B46" s="900" t="s">
        <v>164</v>
      </c>
      <c r="C46" s="283" t="s">
        <v>18</v>
      </c>
      <c r="D46" s="284"/>
      <c r="E46" s="299" t="s">
        <v>85</v>
      </c>
      <c r="F46" s="285"/>
      <c r="G46" s="285" t="s">
        <v>85</v>
      </c>
      <c r="H46" s="285"/>
      <c r="I46" s="285" t="s">
        <v>77</v>
      </c>
      <c r="J46" s="285"/>
      <c r="K46" s="285" t="s">
        <v>77</v>
      </c>
      <c r="L46" s="285"/>
      <c r="M46" s="288" t="s">
        <v>36</v>
      </c>
      <c r="N46" s="285"/>
      <c r="O46" s="285" t="s">
        <v>18</v>
      </c>
      <c r="P46" s="285"/>
      <c r="Q46" s="285" t="s">
        <v>38</v>
      </c>
      <c r="R46" s="285"/>
      <c r="S46" s="285" t="s">
        <v>38</v>
      </c>
      <c r="T46" s="285"/>
      <c r="U46" s="285" t="s">
        <v>38</v>
      </c>
      <c r="V46" s="285"/>
      <c r="W46" s="285" t="s">
        <v>38</v>
      </c>
      <c r="X46" s="285"/>
      <c r="Y46" s="286">
        <f t="shared" si="2"/>
        <v>11</v>
      </c>
      <c r="Z46" s="287">
        <f t="shared" si="3"/>
        <v>11</v>
      </c>
      <c r="AA46" s="357"/>
      <c r="AB46" s="357"/>
      <c r="AC46" s="357"/>
      <c r="AD46" s="357"/>
      <c r="AE46" s="357"/>
    </row>
    <row r="47" spans="1:31" ht="40.049999999999997" customHeight="1" x14ac:dyDescent="0.65">
      <c r="A47" s="274" t="s">
        <v>165</v>
      </c>
      <c r="B47" s="275" t="s">
        <v>166</v>
      </c>
      <c r="C47" s="291"/>
      <c r="D47" s="292"/>
      <c r="E47" s="293"/>
      <c r="F47" s="293"/>
      <c r="G47" s="293"/>
      <c r="H47" s="293"/>
      <c r="I47" s="293"/>
      <c r="J47" s="293"/>
      <c r="K47" s="293"/>
      <c r="L47" s="293"/>
      <c r="M47" s="293"/>
      <c r="N47" s="293"/>
      <c r="O47" s="293"/>
      <c r="P47" s="293"/>
      <c r="Q47" s="293"/>
      <c r="R47" s="293"/>
      <c r="S47" s="293"/>
      <c r="T47" s="293"/>
      <c r="U47" s="293"/>
      <c r="V47" s="293"/>
      <c r="W47" s="293"/>
      <c r="X47" s="293"/>
      <c r="Y47" s="293"/>
      <c r="Z47" s="295"/>
      <c r="AA47" s="357"/>
      <c r="AB47" s="357"/>
      <c r="AC47" s="357"/>
      <c r="AD47" s="357"/>
      <c r="AE47" s="357"/>
    </row>
    <row r="48" spans="1:31" ht="40.049999999999997" customHeight="1" x14ac:dyDescent="0.3">
      <c r="A48" s="305" t="s">
        <v>167</v>
      </c>
      <c r="B48" s="306" t="s">
        <v>168</v>
      </c>
      <c r="C48" s="283"/>
      <c r="D48" s="284"/>
      <c r="E48" s="285"/>
      <c r="F48" s="285"/>
      <c r="G48" s="288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5"/>
      <c r="U48" s="285"/>
      <c r="V48" s="285"/>
      <c r="W48" s="307"/>
      <c r="X48" s="285"/>
      <c r="Y48" s="286"/>
      <c r="Z48" s="287"/>
    </row>
    <row r="49" spans="1:31" ht="40.049999999999997" customHeight="1" x14ac:dyDescent="0.65">
      <c r="A49" s="308" t="s">
        <v>169</v>
      </c>
      <c r="B49" s="902" t="s">
        <v>170</v>
      </c>
      <c r="C49" s="283" t="s">
        <v>18</v>
      </c>
      <c r="D49" s="284"/>
      <c r="E49" s="285" t="s">
        <v>85</v>
      </c>
      <c r="F49" s="285"/>
      <c r="G49" s="285" t="s">
        <v>85</v>
      </c>
      <c r="H49" s="285"/>
      <c r="I49" s="285" t="s">
        <v>77</v>
      </c>
      <c r="J49" s="285"/>
      <c r="K49" s="285" t="s">
        <v>77</v>
      </c>
      <c r="L49" s="285"/>
      <c r="M49" s="285" t="s">
        <v>91</v>
      </c>
      <c r="N49" s="285"/>
      <c r="O49" s="285" t="s">
        <v>18</v>
      </c>
      <c r="P49" s="285"/>
      <c r="Q49" s="285" t="s">
        <v>48</v>
      </c>
      <c r="R49" s="285"/>
      <c r="S49" s="285" t="s">
        <v>48</v>
      </c>
      <c r="T49" s="285"/>
      <c r="U49" s="285" t="s">
        <v>48</v>
      </c>
      <c r="V49" s="285"/>
      <c r="W49" s="285" t="s">
        <v>48</v>
      </c>
      <c r="X49" s="285"/>
      <c r="Y49" s="286">
        <f>COUNTIF(C49:X49,"&gt;=R")</f>
        <v>11</v>
      </c>
      <c r="Z49" s="287">
        <f>Y49</f>
        <v>11</v>
      </c>
      <c r="AA49" s="357"/>
      <c r="AB49" s="357"/>
      <c r="AC49" s="357"/>
      <c r="AD49" s="357"/>
      <c r="AE49" s="357"/>
    </row>
    <row r="50" spans="1:31" ht="40.049999999999997" customHeight="1" x14ac:dyDescent="0.65">
      <c r="A50" s="308" t="s">
        <v>171</v>
      </c>
      <c r="B50" s="902" t="s">
        <v>172</v>
      </c>
      <c r="C50" s="283"/>
      <c r="D50" s="284"/>
      <c r="E50" s="283"/>
      <c r="F50" s="285"/>
      <c r="G50" s="283"/>
      <c r="H50" s="285"/>
      <c r="I50" s="283"/>
      <c r="J50" s="285"/>
      <c r="K50" s="283"/>
      <c r="L50" s="285"/>
      <c r="M50" s="283"/>
      <c r="N50" s="285"/>
      <c r="O50" s="283"/>
      <c r="P50" s="285"/>
      <c r="Q50" s="283"/>
      <c r="R50" s="285"/>
      <c r="S50" s="285"/>
      <c r="T50" s="285"/>
      <c r="U50" s="285"/>
      <c r="V50" s="285"/>
      <c r="W50" s="285"/>
      <c r="X50" s="285"/>
      <c r="Y50" s="286">
        <f>COUNTIF(C50:X50,"&gt;=R")</f>
        <v>0</v>
      </c>
      <c r="Z50" s="287">
        <f>Y50</f>
        <v>0</v>
      </c>
      <c r="AA50" s="357"/>
      <c r="AB50" s="357"/>
      <c r="AC50" s="357"/>
      <c r="AD50" s="357"/>
      <c r="AE50" s="357"/>
    </row>
    <row r="51" spans="1:31" ht="40.049999999999997" customHeight="1" x14ac:dyDescent="0.3">
      <c r="A51" s="296" t="s">
        <v>173</v>
      </c>
      <c r="B51" s="915" t="s">
        <v>174</v>
      </c>
      <c r="C51" s="283"/>
      <c r="D51" s="284"/>
      <c r="E51" s="285"/>
      <c r="F51" s="285"/>
      <c r="G51" s="288"/>
      <c r="H51" s="285"/>
      <c r="I51" s="288"/>
      <c r="J51" s="285"/>
      <c r="K51" s="288"/>
      <c r="L51" s="285"/>
      <c r="M51" s="285"/>
      <c r="N51" s="285"/>
      <c r="O51" s="285"/>
      <c r="P51" s="285"/>
      <c r="Q51" s="285"/>
      <c r="R51" s="285"/>
      <c r="S51" s="285"/>
      <c r="T51" s="285"/>
      <c r="U51" s="285"/>
      <c r="V51" s="285"/>
      <c r="W51" s="285"/>
      <c r="X51" s="285"/>
      <c r="Y51" s="286"/>
      <c r="Z51" s="287"/>
    </row>
    <row r="52" spans="1:31" ht="40.049999999999997" customHeight="1" x14ac:dyDescent="0.3">
      <c r="A52" s="308" t="s">
        <v>175</v>
      </c>
      <c r="B52" s="902" t="s">
        <v>176</v>
      </c>
      <c r="C52" s="283" t="s">
        <v>93</v>
      </c>
      <c r="D52" s="284"/>
      <c r="E52" s="283"/>
      <c r="F52" s="285"/>
      <c r="G52" s="285"/>
      <c r="H52" s="285"/>
      <c r="I52" s="285"/>
      <c r="J52" s="285"/>
      <c r="K52" s="285"/>
      <c r="L52" s="285"/>
      <c r="M52" s="285"/>
      <c r="N52" s="285"/>
      <c r="O52" s="285" t="s">
        <v>93</v>
      </c>
      <c r="P52" s="285"/>
      <c r="Q52" s="285"/>
      <c r="R52" s="285"/>
      <c r="S52" s="285"/>
      <c r="T52" s="285"/>
      <c r="U52" s="288"/>
      <c r="V52" s="285"/>
      <c r="W52" s="288"/>
      <c r="X52" s="285"/>
      <c r="Y52" s="286">
        <f>COUNTIF(C52:X52,"&gt;=R")</f>
        <v>2</v>
      </c>
      <c r="Z52" s="287">
        <f>Y52</f>
        <v>2</v>
      </c>
    </row>
    <row r="53" spans="1:31" ht="40.049999999999997" customHeight="1" x14ac:dyDescent="0.65">
      <c r="A53" s="308" t="s">
        <v>177</v>
      </c>
      <c r="B53" s="902" t="s">
        <v>178</v>
      </c>
      <c r="C53" s="283"/>
      <c r="D53" s="284"/>
      <c r="E53" s="285"/>
      <c r="F53" s="285"/>
      <c r="G53" s="285"/>
      <c r="H53" s="285"/>
      <c r="I53" s="285"/>
      <c r="J53" s="285"/>
      <c r="K53" s="285"/>
      <c r="L53" s="285"/>
      <c r="M53" s="285"/>
      <c r="N53" s="285"/>
      <c r="O53" s="285"/>
      <c r="P53" s="285"/>
      <c r="Q53" s="285"/>
      <c r="R53" s="285"/>
      <c r="S53" s="285"/>
      <c r="T53" s="285"/>
      <c r="U53" s="285"/>
      <c r="V53" s="285"/>
      <c r="W53" s="285"/>
      <c r="X53" s="285"/>
      <c r="Y53" s="286">
        <f>COUNTIF(C53:X53,"&gt;=R")</f>
        <v>0</v>
      </c>
      <c r="Z53" s="287">
        <f>Y53</f>
        <v>0</v>
      </c>
      <c r="AA53" s="357"/>
      <c r="AB53" s="357"/>
      <c r="AC53" s="357"/>
      <c r="AD53" s="357"/>
      <c r="AE53" s="357"/>
    </row>
    <row r="54" spans="1:31" ht="40.049999999999997" customHeight="1" x14ac:dyDescent="0.3">
      <c r="A54" s="296" t="s">
        <v>179</v>
      </c>
      <c r="B54" s="915" t="s">
        <v>180</v>
      </c>
      <c r="C54" s="283"/>
      <c r="D54" s="284"/>
      <c r="E54" s="285"/>
      <c r="F54" s="285"/>
      <c r="G54" s="285"/>
      <c r="H54" s="285"/>
      <c r="I54" s="285"/>
      <c r="J54" s="285"/>
      <c r="K54" s="285"/>
      <c r="L54" s="285"/>
      <c r="M54" s="285"/>
      <c r="N54" s="285"/>
      <c r="O54" s="285"/>
      <c r="P54" s="285"/>
      <c r="Q54" s="285"/>
      <c r="R54" s="285"/>
      <c r="S54" s="285"/>
      <c r="T54" s="285"/>
      <c r="U54" s="285"/>
      <c r="V54" s="285"/>
      <c r="W54" s="307"/>
      <c r="X54" s="285"/>
      <c r="Y54" s="286"/>
      <c r="Z54" s="287"/>
    </row>
    <row r="55" spans="1:31" ht="40.049999999999997" customHeight="1" x14ac:dyDescent="0.65">
      <c r="A55" s="357" t="s">
        <v>181</v>
      </c>
      <c r="B55" s="903" t="s">
        <v>182</v>
      </c>
      <c r="C55" s="283"/>
      <c r="D55" s="284"/>
      <c r="E55" s="283"/>
      <c r="F55" s="285"/>
      <c r="G55" s="283"/>
      <c r="H55" s="285"/>
      <c r="I55" s="283"/>
      <c r="J55" s="285"/>
      <c r="K55" s="285"/>
      <c r="L55" s="285"/>
      <c r="M55" s="285"/>
      <c r="N55" s="285"/>
      <c r="O55" s="285"/>
      <c r="P55" s="285"/>
      <c r="Q55" s="285"/>
      <c r="R55" s="285"/>
      <c r="S55" s="283"/>
      <c r="T55" s="285"/>
      <c r="U55" s="283"/>
      <c r="V55" s="285"/>
      <c r="W55" s="283"/>
      <c r="X55" s="285"/>
      <c r="Y55" s="286">
        <f>COUNTIF(C55:X55,"&gt;=R")</f>
        <v>0</v>
      </c>
      <c r="Z55" s="287">
        <f>Y55</f>
        <v>0</v>
      </c>
    </row>
    <row r="56" spans="1:31" ht="40.049999999999997" customHeight="1" x14ac:dyDescent="0.65">
      <c r="A56" s="289" t="s">
        <v>183</v>
      </c>
      <c r="B56" s="913" t="s">
        <v>184</v>
      </c>
      <c r="C56" s="291"/>
      <c r="D56" s="292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3"/>
      <c r="W56" s="293"/>
      <c r="X56" s="293"/>
      <c r="Y56" s="293"/>
      <c r="Z56" s="295"/>
      <c r="AA56" s="357"/>
      <c r="AB56" s="357"/>
      <c r="AC56" s="357"/>
      <c r="AD56" s="357"/>
      <c r="AE56" s="357"/>
    </row>
    <row r="57" spans="1:31" ht="40.049999999999997" customHeight="1" x14ac:dyDescent="0.65">
      <c r="A57" s="281" t="s">
        <v>185</v>
      </c>
      <c r="B57" s="900" t="s">
        <v>186</v>
      </c>
      <c r="C57" s="283" t="s">
        <v>85</v>
      </c>
      <c r="D57" s="284"/>
      <c r="E57" s="285" t="s">
        <v>93</v>
      </c>
      <c r="F57" s="285"/>
      <c r="G57" s="285" t="s">
        <v>93</v>
      </c>
      <c r="H57" s="285"/>
      <c r="I57" s="285" t="s">
        <v>93</v>
      </c>
      <c r="J57" s="285"/>
      <c r="K57" s="285" t="s">
        <v>93</v>
      </c>
      <c r="L57" s="285"/>
      <c r="M57" s="285"/>
      <c r="N57" s="285"/>
      <c r="O57" s="285" t="s">
        <v>85</v>
      </c>
      <c r="P57" s="285"/>
      <c r="Q57" s="285" t="s">
        <v>93</v>
      </c>
      <c r="R57" s="285"/>
      <c r="S57" s="285" t="s">
        <v>93</v>
      </c>
      <c r="T57" s="285"/>
      <c r="U57" s="285" t="s">
        <v>85</v>
      </c>
      <c r="V57" s="285"/>
      <c r="W57" s="285" t="s">
        <v>85</v>
      </c>
      <c r="X57" s="285"/>
      <c r="Y57" s="286">
        <f>COUNTIF(C57:X57,"&gt;=R")</f>
        <v>10</v>
      </c>
      <c r="Z57" s="287">
        <f>Y57</f>
        <v>10</v>
      </c>
      <c r="AA57" s="357"/>
      <c r="AB57" s="357"/>
      <c r="AC57" s="357"/>
      <c r="AD57" s="357"/>
      <c r="AE57" s="357"/>
    </row>
    <row r="58" spans="1:31" ht="40.049999999999997" customHeight="1" x14ac:dyDescent="0.65">
      <c r="A58" s="281" t="s">
        <v>187</v>
      </c>
      <c r="B58" s="900" t="s">
        <v>188</v>
      </c>
      <c r="C58" s="283"/>
      <c r="D58" s="284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  <c r="P58" s="285"/>
      <c r="Q58" s="285"/>
      <c r="R58" s="285"/>
      <c r="S58" s="285"/>
      <c r="T58" s="285"/>
      <c r="U58" s="285"/>
      <c r="V58" s="285"/>
      <c r="W58" s="285"/>
      <c r="X58" s="285"/>
      <c r="Y58" s="286">
        <f>COUNTIF(C58:X58,"&gt;=R")</f>
        <v>0</v>
      </c>
      <c r="Z58" s="287">
        <f>Y58</f>
        <v>0</v>
      </c>
      <c r="AA58" s="357"/>
      <c r="AB58" s="357"/>
      <c r="AC58" s="357"/>
      <c r="AD58" s="357"/>
      <c r="AE58" s="357"/>
    </row>
    <row r="59" spans="1:31" ht="40.049999999999997" customHeight="1" x14ac:dyDescent="0.3">
      <c r="A59" s="281" t="s">
        <v>189</v>
      </c>
      <c r="B59" s="900" t="s">
        <v>190</v>
      </c>
      <c r="C59" s="284" t="s">
        <v>85</v>
      </c>
      <c r="D59" s="284"/>
      <c r="E59" s="285"/>
      <c r="F59" s="285"/>
      <c r="G59" s="285"/>
      <c r="H59" s="285"/>
      <c r="I59" s="285"/>
      <c r="J59" s="285"/>
      <c r="K59" s="285"/>
      <c r="L59" s="285"/>
      <c r="M59" s="285"/>
      <c r="N59" s="285"/>
      <c r="O59" s="285" t="s">
        <v>85</v>
      </c>
      <c r="P59" s="285"/>
      <c r="Q59" s="285"/>
      <c r="R59" s="285"/>
      <c r="S59" s="285"/>
      <c r="T59" s="285"/>
      <c r="U59" s="285"/>
      <c r="V59" s="285"/>
      <c r="W59" s="285"/>
      <c r="X59" s="285"/>
      <c r="Y59" s="286">
        <f>COUNTIF(C59:X59,"&gt;=R")</f>
        <v>2</v>
      </c>
      <c r="Z59" s="287">
        <f>Y59</f>
        <v>2</v>
      </c>
    </row>
    <row r="60" spans="1:31" ht="40.049999999999997" customHeight="1" x14ac:dyDescent="0.65">
      <c r="A60" s="281" t="s">
        <v>191</v>
      </c>
      <c r="B60" s="900" t="s">
        <v>192</v>
      </c>
      <c r="C60" s="284"/>
      <c r="D60" s="284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307"/>
      <c r="X60" s="285"/>
      <c r="Y60" s="286">
        <f>COUNTIF(C60:X60,"&gt;=R")</f>
        <v>0</v>
      </c>
      <c r="Z60" s="287">
        <f>Y60</f>
        <v>0</v>
      </c>
      <c r="AA60" s="357"/>
      <c r="AB60" s="357"/>
      <c r="AC60" s="357"/>
      <c r="AD60" s="357"/>
      <c r="AE60" s="357"/>
    </row>
    <row r="61" spans="1:31" ht="40.049999999999997" customHeight="1" x14ac:dyDescent="0.65">
      <c r="A61" s="289" t="s">
        <v>193</v>
      </c>
      <c r="B61" s="913" t="s">
        <v>194</v>
      </c>
      <c r="C61" s="291"/>
      <c r="D61" s="292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5"/>
      <c r="AA61" s="357"/>
      <c r="AB61" s="357"/>
      <c r="AC61" s="357"/>
      <c r="AD61" s="357"/>
      <c r="AE61" s="357"/>
    </row>
    <row r="62" spans="1:31" ht="40.049999999999997" customHeight="1" x14ac:dyDescent="0.3">
      <c r="A62" s="296" t="s">
        <v>195</v>
      </c>
      <c r="B62" s="915" t="s">
        <v>196</v>
      </c>
      <c r="C62" s="283"/>
      <c r="D62" s="284"/>
      <c r="E62" s="285"/>
      <c r="F62" s="285"/>
      <c r="G62" s="288"/>
      <c r="H62" s="285"/>
      <c r="I62" s="288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307"/>
      <c r="X62" s="285"/>
      <c r="Y62" s="286"/>
      <c r="Z62" s="287"/>
    </row>
    <row r="63" spans="1:31" ht="40.049999999999997" customHeight="1" x14ac:dyDescent="0.65">
      <c r="A63" s="308" t="s">
        <v>197</v>
      </c>
      <c r="B63" s="902" t="s">
        <v>139</v>
      </c>
      <c r="C63" s="283" t="s">
        <v>77</v>
      </c>
      <c r="D63" s="284"/>
      <c r="E63" s="285" t="s">
        <v>68</v>
      </c>
      <c r="F63" s="285"/>
      <c r="G63" s="285" t="s">
        <v>68</v>
      </c>
      <c r="H63" s="285"/>
      <c r="I63" s="285" t="s">
        <v>68</v>
      </c>
      <c r="J63" s="285"/>
      <c r="K63" s="827" t="s">
        <v>77</v>
      </c>
      <c r="L63" s="285"/>
      <c r="M63" s="742" t="s">
        <v>92</v>
      </c>
      <c r="N63" s="285"/>
      <c r="O63" s="285" t="s">
        <v>77</v>
      </c>
      <c r="P63" s="285"/>
      <c r="Q63" s="285" t="s">
        <v>48</v>
      </c>
      <c r="R63" s="285"/>
      <c r="S63" s="285" t="s">
        <v>48</v>
      </c>
      <c r="T63" s="285"/>
      <c r="U63" s="285" t="s">
        <v>48</v>
      </c>
      <c r="V63" s="285"/>
      <c r="W63" s="285" t="s">
        <v>48</v>
      </c>
      <c r="X63" s="285"/>
      <c r="Y63" s="286">
        <f>COUNTIF(C63:X63,"&gt;=R")</f>
        <v>11</v>
      </c>
      <c r="Z63" s="287">
        <f>Y63</f>
        <v>11</v>
      </c>
      <c r="AA63" s="357"/>
      <c r="AB63" s="357"/>
      <c r="AC63" s="357"/>
      <c r="AD63" s="357"/>
      <c r="AE63" s="357"/>
    </row>
    <row r="64" spans="1:31" ht="40.049999999999997" customHeight="1" x14ac:dyDescent="0.65">
      <c r="A64" s="296" t="s">
        <v>198</v>
      </c>
      <c r="B64" s="915" t="s">
        <v>199</v>
      </c>
      <c r="C64" s="283"/>
      <c r="D64" s="284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  <c r="W64" s="285"/>
      <c r="X64" s="285"/>
      <c r="Y64" s="286"/>
      <c r="Z64" s="287"/>
      <c r="AA64" s="357"/>
      <c r="AB64" s="357"/>
      <c r="AC64" s="357"/>
      <c r="AD64" s="357"/>
      <c r="AE64" s="357"/>
    </row>
    <row r="65" spans="1:31" ht="40.049999999999997" customHeight="1" x14ac:dyDescent="0.3">
      <c r="A65" s="308" t="s">
        <v>200</v>
      </c>
      <c r="B65" s="902" t="s">
        <v>176</v>
      </c>
      <c r="C65" s="283" t="s">
        <v>93</v>
      </c>
      <c r="D65" s="284"/>
      <c r="E65" s="283"/>
      <c r="F65" s="285"/>
      <c r="G65" s="288"/>
      <c r="H65" s="285"/>
      <c r="I65" s="285"/>
      <c r="J65" s="285"/>
      <c r="K65" s="285"/>
      <c r="L65" s="285"/>
      <c r="M65" s="285"/>
      <c r="N65" s="285"/>
      <c r="O65" s="285" t="s">
        <v>93</v>
      </c>
      <c r="P65" s="285"/>
      <c r="Q65" s="285"/>
      <c r="R65" s="285"/>
      <c r="S65" s="285"/>
      <c r="T65" s="285"/>
      <c r="U65" s="288"/>
      <c r="V65" s="285"/>
      <c r="W65" s="288"/>
      <c r="X65" s="285"/>
      <c r="Y65" s="286">
        <f>COUNTIF(C65:X65,"&gt;=R")</f>
        <v>2</v>
      </c>
      <c r="Z65" s="287">
        <f>Y65</f>
        <v>2</v>
      </c>
    </row>
    <row r="66" spans="1:31" ht="40.049999999999997" customHeight="1" x14ac:dyDescent="0.3">
      <c r="A66" s="296" t="s">
        <v>201</v>
      </c>
      <c r="B66" s="915" t="s">
        <v>202</v>
      </c>
      <c r="C66" s="283"/>
      <c r="D66" s="284"/>
      <c r="E66" s="285"/>
      <c r="F66" s="285"/>
      <c r="G66" s="288"/>
      <c r="H66" s="285"/>
      <c r="I66" s="288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  <c r="W66" s="285"/>
      <c r="X66" s="285"/>
      <c r="Y66" s="286"/>
      <c r="Z66" s="287"/>
    </row>
    <row r="67" spans="1:31" ht="40.049999999999997" customHeight="1" x14ac:dyDescent="0.3">
      <c r="A67" s="308" t="s">
        <v>203</v>
      </c>
      <c r="B67" s="902" t="s">
        <v>204</v>
      </c>
      <c r="C67" s="283"/>
      <c r="D67" s="284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307"/>
      <c r="R67" s="285"/>
      <c r="S67" s="307"/>
      <c r="T67" s="285"/>
      <c r="U67" s="307"/>
      <c r="V67" s="285"/>
      <c r="W67" s="307"/>
      <c r="X67" s="285"/>
      <c r="Y67" s="286">
        <f>COUNTIF(C67:X67,"&gt;=R")</f>
        <v>0</v>
      </c>
      <c r="Z67" s="287">
        <f>Y67</f>
        <v>0</v>
      </c>
    </row>
    <row r="68" spans="1:31" ht="40.049999999999997" customHeight="1" x14ac:dyDescent="0.65">
      <c r="A68" s="289" t="s">
        <v>205</v>
      </c>
      <c r="B68" s="913" t="s">
        <v>206</v>
      </c>
      <c r="C68" s="291"/>
      <c r="D68" s="292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5"/>
      <c r="AA68" s="357"/>
      <c r="AB68" s="357"/>
      <c r="AC68" s="357"/>
      <c r="AD68" s="357"/>
      <c r="AE68" s="357"/>
    </row>
    <row r="69" spans="1:31" ht="40.049999999999997" customHeight="1" x14ac:dyDescent="0.3">
      <c r="A69" s="281" t="s">
        <v>207</v>
      </c>
      <c r="B69" s="900" t="s">
        <v>208</v>
      </c>
      <c r="C69" s="284" t="s">
        <v>85</v>
      </c>
      <c r="D69" s="284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 t="s">
        <v>85</v>
      </c>
      <c r="P69" s="285"/>
      <c r="Q69" s="285"/>
      <c r="R69" s="285"/>
      <c r="S69" s="285"/>
      <c r="T69" s="285"/>
      <c r="U69" s="285"/>
      <c r="V69" s="285"/>
      <c r="W69" s="285"/>
      <c r="X69" s="285"/>
      <c r="Y69" s="286">
        <f>COUNTIF(C69:X69,"&gt;=R")</f>
        <v>2</v>
      </c>
      <c r="Z69" s="287">
        <f>Y69</f>
        <v>2</v>
      </c>
    </row>
    <row r="70" spans="1:31" ht="40.049999999999997" customHeight="1" x14ac:dyDescent="0.3">
      <c r="A70" s="289" t="s">
        <v>209</v>
      </c>
      <c r="B70" s="913" t="s">
        <v>210</v>
      </c>
      <c r="C70" s="291"/>
      <c r="D70" s="292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5"/>
    </row>
    <row r="71" spans="1:31" ht="40.049999999999997" customHeight="1" x14ac:dyDescent="0.3">
      <c r="A71" s="281" t="s">
        <v>211</v>
      </c>
      <c r="B71" s="900" t="s">
        <v>212</v>
      </c>
      <c r="C71" s="283"/>
      <c r="D71" s="284"/>
      <c r="E71" s="285"/>
      <c r="F71" s="285"/>
      <c r="G71" s="285"/>
      <c r="H71" s="285"/>
      <c r="I71" s="285"/>
      <c r="J71" s="285"/>
      <c r="K71" s="285"/>
      <c r="L71" s="285"/>
      <c r="M71" s="285" t="s">
        <v>76</v>
      </c>
      <c r="N71" s="285"/>
      <c r="O71" s="285"/>
      <c r="P71" s="285"/>
      <c r="Q71" s="285"/>
      <c r="R71" s="285"/>
      <c r="S71" s="285"/>
      <c r="T71" s="285"/>
      <c r="U71" s="285"/>
      <c r="V71" s="285"/>
      <c r="W71" s="285"/>
      <c r="X71" s="285"/>
      <c r="Y71" s="286">
        <f>COUNTIF(C71:X71,"&gt;=R")</f>
        <v>1</v>
      </c>
      <c r="Z71" s="287">
        <f>Y71</f>
        <v>1</v>
      </c>
    </row>
    <row r="72" spans="1:31" ht="40.049999999999997" customHeight="1" x14ac:dyDescent="0.3">
      <c r="A72" s="281" t="s">
        <v>213</v>
      </c>
      <c r="B72" s="900" t="s">
        <v>214</v>
      </c>
      <c r="C72" s="283"/>
      <c r="D72" s="284"/>
      <c r="E72" s="299"/>
      <c r="F72" s="285"/>
      <c r="G72" s="285"/>
      <c r="H72" s="285"/>
      <c r="I72" s="285"/>
      <c r="J72" s="285"/>
      <c r="K72" s="285"/>
      <c r="L72" s="285"/>
      <c r="M72" s="288"/>
      <c r="N72" s="285"/>
      <c r="O72" s="285"/>
      <c r="P72" s="285"/>
      <c r="Q72" s="285"/>
      <c r="R72" s="285"/>
      <c r="S72" s="285"/>
      <c r="T72" s="285"/>
      <c r="U72" s="285"/>
      <c r="V72" s="285"/>
      <c r="W72" s="285"/>
      <c r="X72" s="285"/>
      <c r="Y72" s="286">
        <f>COUNTIF(C72:X72,"&gt;=R")</f>
        <v>0</v>
      </c>
      <c r="Z72" s="287">
        <f>Y72</f>
        <v>0</v>
      </c>
    </row>
    <row r="73" spans="1:31" ht="40.049999999999997" customHeight="1" x14ac:dyDescent="0.65">
      <c r="A73" s="289" t="s">
        <v>215</v>
      </c>
      <c r="B73" s="913" t="s">
        <v>216</v>
      </c>
      <c r="C73" s="291"/>
      <c r="D73" s="292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5"/>
      <c r="AA73" s="357"/>
      <c r="AB73" s="357"/>
      <c r="AC73" s="357"/>
      <c r="AD73" s="357"/>
      <c r="AE73" s="357"/>
    </row>
    <row r="74" spans="1:31" ht="40.049999999999997" customHeight="1" x14ac:dyDescent="0.3">
      <c r="A74" s="281" t="s">
        <v>217</v>
      </c>
      <c r="B74" s="900" t="s">
        <v>218</v>
      </c>
      <c r="C74" s="283"/>
      <c r="D74" s="284"/>
      <c r="E74" s="283"/>
      <c r="F74" s="285"/>
      <c r="G74" s="283"/>
      <c r="H74" s="285"/>
      <c r="I74" s="283"/>
      <c r="J74" s="285"/>
      <c r="K74" s="285"/>
      <c r="L74" s="285"/>
      <c r="M74" s="285"/>
      <c r="N74" s="285"/>
      <c r="O74" s="285"/>
      <c r="P74" s="285"/>
      <c r="Q74" s="285"/>
      <c r="R74" s="285"/>
      <c r="S74" s="285"/>
      <c r="T74" s="288"/>
      <c r="U74" s="285"/>
      <c r="V74" s="288"/>
      <c r="W74" s="285"/>
      <c r="X74" s="288"/>
      <c r="Y74" s="286">
        <f>COUNTIF(C74:X74,"&gt;=R")</f>
        <v>0</v>
      </c>
      <c r="Z74" s="287">
        <f>Y74</f>
        <v>0</v>
      </c>
    </row>
    <row r="75" spans="1:31" ht="40.049999999999997" customHeight="1" x14ac:dyDescent="0.65">
      <c r="A75" s="289" t="s">
        <v>219</v>
      </c>
      <c r="B75" s="913" t="s">
        <v>220</v>
      </c>
      <c r="C75" s="291"/>
      <c r="D75" s="292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3"/>
      <c r="W75" s="293"/>
      <c r="X75" s="293"/>
      <c r="Y75" s="293"/>
      <c r="Z75" s="295"/>
      <c r="AA75" s="357"/>
      <c r="AB75" s="357"/>
      <c r="AC75" s="357"/>
      <c r="AD75" s="357"/>
      <c r="AE75" s="357"/>
    </row>
    <row r="76" spans="1:31" ht="40.049999999999997" customHeight="1" x14ac:dyDescent="0.3">
      <c r="A76" s="281" t="s">
        <v>221</v>
      </c>
      <c r="B76" s="900" t="s">
        <v>222</v>
      </c>
      <c r="C76" s="284" t="s">
        <v>18</v>
      </c>
      <c r="D76" s="284"/>
      <c r="E76" s="285" t="s">
        <v>85</v>
      </c>
      <c r="F76" s="285"/>
      <c r="G76" s="285" t="s">
        <v>85</v>
      </c>
      <c r="H76" s="285"/>
      <c r="I76" s="285" t="s">
        <v>77</v>
      </c>
      <c r="J76" s="285"/>
      <c r="K76" s="285" t="s">
        <v>77</v>
      </c>
      <c r="L76" s="285"/>
      <c r="M76" s="285" t="s">
        <v>91</v>
      </c>
      <c r="N76" s="285"/>
      <c r="O76" s="285" t="s">
        <v>18</v>
      </c>
      <c r="P76" s="285"/>
      <c r="Q76" s="285" t="s">
        <v>48</v>
      </c>
      <c r="R76" s="285"/>
      <c r="S76" s="285" t="s">
        <v>48</v>
      </c>
      <c r="T76" s="285"/>
      <c r="U76" s="285" t="s">
        <v>48</v>
      </c>
      <c r="V76" s="285"/>
      <c r="W76" s="285" t="s">
        <v>48</v>
      </c>
      <c r="X76" s="285"/>
      <c r="Y76" s="286">
        <f>COUNTIF(C76:X76,"&gt;=R")</f>
        <v>11</v>
      </c>
      <c r="Z76" s="287">
        <f>Y76</f>
        <v>11</v>
      </c>
    </row>
    <row r="77" spans="1:31" ht="40.049999999999997" customHeight="1" x14ac:dyDescent="0.3">
      <c r="A77" s="300" t="s">
        <v>223</v>
      </c>
      <c r="B77" s="914" t="s">
        <v>224</v>
      </c>
      <c r="C77" s="283"/>
      <c r="D77" s="284"/>
      <c r="E77" s="285"/>
      <c r="F77" s="285"/>
      <c r="G77" s="285"/>
      <c r="H77" s="285"/>
      <c r="I77" s="285"/>
      <c r="J77" s="285"/>
      <c r="K77" s="285"/>
      <c r="L77" s="285"/>
      <c r="M77" s="285"/>
      <c r="N77" s="285"/>
      <c r="O77" s="285"/>
      <c r="P77" s="285"/>
      <c r="Q77" s="285"/>
      <c r="R77" s="285"/>
      <c r="S77" s="285"/>
      <c r="T77" s="285"/>
      <c r="U77" s="285"/>
      <c r="V77" s="285"/>
      <c r="W77" s="285"/>
      <c r="X77" s="285"/>
      <c r="Y77" s="286"/>
      <c r="Z77" s="287"/>
    </row>
    <row r="78" spans="1:31" ht="40.049999999999997" customHeight="1" x14ac:dyDescent="0.3">
      <c r="A78" s="281" t="s">
        <v>225</v>
      </c>
      <c r="B78" s="900" t="s">
        <v>226</v>
      </c>
      <c r="C78" s="283" t="s">
        <v>18</v>
      </c>
      <c r="D78" s="284"/>
      <c r="E78" s="285" t="s">
        <v>85</v>
      </c>
      <c r="F78" s="285"/>
      <c r="G78" s="285" t="s">
        <v>85</v>
      </c>
      <c r="H78" s="285"/>
      <c r="I78" s="285" t="s">
        <v>77</v>
      </c>
      <c r="J78" s="285"/>
      <c r="K78" s="285" t="s">
        <v>77</v>
      </c>
      <c r="L78" s="285"/>
      <c r="M78" s="285" t="s">
        <v>91</v>
      </c>
      <c r="N78" s="285"/>
      <c r="O78" s="285" t="s">
        <v>18</v>
      </c>
      <c r="P78" s="285"/>
      <c r="Q78" s="285" t="s">
        <v>48</v>
      </c>
      <c r="R78" s="285"/>
      <c r="S78" s="285" t="s">
        <v>48</v>
      </c>
      <c r="T78" s="285"/>
      <c r="U78" s="285" t="s">
        <v>48</v>
      </c>
      <c r="V78" s="285"/>
      <c r="W78" s="285" t="s">
        <v>48</v>
      </c>
      <c r="X78" s="285"/>
      <c r="Y78" s="286">
        <f>COUNTIF(C78:X78,"&gt;=R")</f>
        <v>11</v>
      </c>
      <c r="Z78" s="287">
        <f>Y78</f>
        <v>11</v>
      </c>
    </row>
    <row r="79" spans="1:31" ht="40.049999999999997" customHeight="1" x14ac:dyDescent="0.65">
      <c r="A79" s="281" t="s">
        <v>227</v>
      </c>
      <c r="B79" s="900" t="s">
        <v>228</v>
      </c>
      <c r="C79" s="283"/>
      <c r="D79" s="284"/>
      <c r="E79" s="283"/>
      <c r="F79" s="285"/>
      <c r="G79" s="283"/>
      <c r="H79" s="285"/>
      <c r="I79" s="283"/>
      <c r="J79" s="285"/>
      <c r="K79" s="283"/>
      <c r="L79" s="285"/>
      <c r="M79" s="283"/>
      <c r="N79" s="285"/>
      <c r="O79" s="283"/>
      <c r="P79" s="285"/>
      <c r="Q79" s="283"/>
      <c r="R79" s="285"/>
      <c r="S79" s="283"/>
      <c r="T79" s="285"/>
      <c r="U79" s="283"/>
      <c r="V79" s="285"/>
      <c r="W79" s="283"/>
      <c r="X79" s="285"/>
      <c r="Y79" s="286">
        <f>COUNTIF(C79:X79,"&gt;=R")</f>
        <v>0</v>
      </c>
      <c r="Z79" s="287">
        <f>Y79</f>
        <v>0</v>
      </c>
      <c r="AA79" s="357"/>
      <c r="AB79" s="357"/>
      <c r="AC79" s="357"/>
      <c r="AD79" s="357"/>
      <c r="AE79" s="357"/>
    </row>
    <row r="80" spans="1:31" ht="40.049999999999997" customHeight="1" x14ac:dyDescent="0.3">
      <c r="A80" s="281" t="s">
        <v>229</v>
      </c>
      <c r="B80" s="900" t="s">
        <v>230</v>
      </c>
      <c r="C80" s="283"/>
      <c r="D80" s="284"/>
      <c r="E80" s="283"/>
      <c r="F80" s="285"/>
      <c r="G80" s="283"/>
      <c r="H80" s="285"/>
      <c r="I80" s="283"/>
      <c r="J80" s="285"/>
      <c r="K80" s="283"/>
      <c r="L80" s="285"/>
      <c r="M80" s="283"/>
      <c r="N80" s="285"/>
      <c r="O80" s="283"/>
      <c r="P80" s="285"/>
      <c r="Q80" s="283"/>
      <c r="R80" s="285"/>
      <c r="S80" s="283"/>
      <c r="T80" s="285"/>
      <c r="U80" s="283"/>
      <c r="V80" s="285"/>
      <c r="W80" s="283"/>
      <c r="X80" s="285"/>
      <c r="Y80" s="286">
        <f>COUNTIF(C80:X80,"&gt;=R")</f>
        <v>0</v>
      </c>
      <c r="Z80" s="287">
        <f>Y80</f>
        <v>0</v>
      </c>
    </row>
    <row r="81" spans="1:31" ht="40.049999999999997" customHeight="1" x14ac:dyDescent="0.65">
      <c r="A81" s="281" t="s">
        <v>231</v>
      </c>
      <c r="B81" s="900" t="s">
        <v>232</v>
      </c>
      <c r="C81" s="283" t="s">
        <v>18</v>
      </c>
      <c r="D81" s="283"/>
      <c r="E81" s="307"/>
      <c r="F81" s="285"/>
      <c r="G81" s="285"/>
      <c r="H81" s="285"/>
      <c r="I81" s="285"/>
      <c r="J81" s="285"/>
      <c r="K81" s="285"/>
      <c r="L81" s="285"/>
      <c r="M81" s="285" t="s">
        <v>76</v>
      </c>
      <c r="N81" s="285"/>
      <c r="O81" s="285" t="s">
        <v>18</v>
      </c>
      <c r="P81" s="285"/>
      <c r="Q81" s="285" t="s">
        <v>48</v>
      </c>
      <c r="R81" s="285"/>
      <c r="S81" s="285" t="s">
        <v>48</v>
      </c>
      <c r="T81" s="285"/>
      <c r="U81" s="285" t="s">
        <v>48</v>
      </c>
      <c r="V81" s="285"/>
      <c r="W81" s="285" t="s">
        <v>48</v>
      </c>
      <c r="X81" s="285"/>
      <c r="Y81" s="286">
        <f>COUNTIF(C81:X81,"&gt;=R")</f>
        <v>7</v>
      </c>
      <c r="Z81" s="287">
        <f>Y81</f>
        <v>7</v>
      </c>
      <c r="AA81" s="357"/>
      <c r="AB81" s="357"/>
      <c r="AC81" s="357"/>
      <c r="AD81" s="357"/>
      <c r="AE81" s="357"/>
    </row>
    <row r="82" spans="1:31" ht="40.049999999999997" customHeight="1" x14ac:dyDescent="0.65">
      <c r="A82" s="357" t="s">
        <v>233</v>
      </c>
      <c r="B82" s="903" t="s">
        <v>234</v>
      </c>
      <c r="C82" s="283"/>
      <c r="D82" s="284"/>
      <c r="E82" s="285"/>
      <c r="F82" s="285"/>
      <c r="G82" s="285"/>
      <c r="H82" s="285"/>
      <c r="I82" s="285"/>
      <c r="J82" s="285"/>
      <c r="K82" s="285"/>
      <c r="L82" s="285"/>
      <c r="M82" s="285" t="s">
        <v>91</v>
      </c>
      <c r="N82" s="285"/>
      <c r="O82" s="285"/>
      <c r="P82" s="285"/>
      <c r="Q82" s="285" t="s">
        <v>48</v>
      </c>
      <c r="R82" s="285"/>
      <c r="S82" s="285" t="s">
        <v>48</v>
      </c>
      <c r="T82" s="285"/>
      <c r="U82" s="285" t="s">
        <v>48</v>
      </c>
      <c r="V82" s="285"/>
      <c r="W82" s="285" t="s">
        <v>48</v>
      </c>
      <c r="X82" s="285"/>
      <c r="Y82" s="286">
        <f>COUNTIF(C82:X82,"&gt;=R")</f>
        <v>5</v>
      </c>
      <c r="Z82" s="287">
        <f>Y82</f>
        <v>5</v>
      </c>
    </row>
    <row r="83" spans="1:31" ht="40.049999999999997" customHeight="1" x14ac:dyDescent="0.3">
      <c r="A83" s="289" t="s">
        <v>235</v>
      </c>
      <c r="B83" s="913" t="s">
        <v>236</v>
      </c>
      <c r="C83" s="291"/>
      <c r="D83" s="292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/>
      <c r="W83" s="293"/>
      <c r="X83" s="293"/>
      <c r="Y83" s="293"/>
      <c r="Z83" s="295"/>
    </row>
    <row r="84" spans="1:31" ht="40.049999999999997" customHeight="1" x14ac:dyDescent="0.3">
      <c r="A84" s="296" t="s">
        <v>237</v>
      </c>
      <c r="B84" s="915" t="s">
        <v>238</v>
      </c>
      <c r="C84" s="283"/>
      <c r="D84" s="283"/>
      <c r="E84" s="299"/>
      <c r="F84" s="285"/>
      <c r="G84" s="285"/>
      <c r="H84" s="285"/>
      <c r="I84" s="285"/>
      <c r="J84" s="285"/>
      <c r="K84" s="285"/>
      <c r="L84" s="285"/>
      <c r="M84" s="285"/>
      <c r="N84" s="285"/>
      <c r="O84" s="285"/>
      <c r="P84" s="285"/>
      <c r="Q84" s="285"/>
      <c r="R84" s="285"/>
      <c r="S84" s="285"/>
      <c r="T84" s="285"/>
      <c r="U84" s="285"/>
      <c r="V84" s="285"/>
      <c r="W84" s="285"/>
      <c r="X84" s="285"/>
      <c r="Y84" s="286"/>
      <c r="Z84" s="287"/>
    </row>
    <row r="85" spans="1:31" ht="40.049999999999997" customHeight="1" x14ac:dyDescent="0.65">
      <c r="A85" s="281" t="s">
        <v>239</v>
      </c>
      <c r="B85" s="900" t="s">
        <v>139</v>
      </c>
      <c r="C85" s="284"/>
      <c r="D85" s="283"/>
      <c r="E85" s="285"/>
      <c r="F85" s="285"/>
      <c r="G85" s="285"/>
      <c r="H85" s="285"/>
      <c r="I85" s="285"/>
      <c r="J85" s="285"/>
      <c r="K85" s="285"/>
      <c r="L85" s="285"/>
      <c r="M85" s="285"/>
      <c r="N85" s="285"/>
      <c r="O85" s="285"/>
      <c r="P85" s="285"/>
      <c r="Q85" s="285"/>
      <c r="R85" s="285"/>
      <c r="S85" s="285"/>
      <c r="T85" s="285"/>
      <c r="U85" s="285"/>
      <c r="V85" s="285"/>
      <c r="W85" s="285"/>
      <c r="X85" s="285"/>
      <c r="Y85" s="286">
        <f>COUNTIF(C85:X85,"&gt;=R")</f>
        <v>0</v>
      </c>
      <c r="Z85" s="287">
        <f>Y85</f>
        <v>0</v>
      </c>
      <c r="AA85" s="357"/>
      <c r="AB85" s="357"/>
      <c r="AC85" s="357"/>
      <c r="AD85" s="357"/>
      <c r="AE85" s="357"/>
    </row>
    <row r="86" spans="1:31" ht="40.049999999999997" customHeight="1" x14ac:dyDescent="0.3">
      <c r="A86" s="296" t="s">
        <v>240</v>
      </c>
      <c r="B86" s="915" t="s">
        <v>241</v>
      </c>
      <c r="C86" s="283"/>
      <c r="D86" s="283"/>
      <c r="E86" s="285"/>
      <c r="F86" s="285"/>
      <c r="G86" s="285"/>
      <c r="H86" s="285"/>
      <c r="I86" s="285"/>
      <c r="J86" s="285"/>
      <c r="K86" s="285"/>
      <c r="L86" s="285"/>
      <c r="M86" s="285"/>
      <c r="N86" s="285"/>
      <c r="O86" s="285"/>
      <c r="P86" s="285"/>
      <c r="Q86" s="285"/>
      <c r="R86" s="285"/>
      <c r="S86" s="285"/>
      <c r="T86" s="285"/>
      <c r="U86" s="285"/>
      <c r="V86" s="285"/>
      <c r="W86" s="285"/>
      <c r="X86" s="285"/>
      <c r="Y86" s="286"/>
      <c r="Z86" s="287"/>
    </row>
    <row r="87" spans="1:31" ht="40.049999999999997" customHeight="1" x14ac:dyDescent="0.3">
      <c r="A87" s="308" t="s">
        <v>242</v>
      </c>
      <c r="B87" s="902" t="s">
        <v>243</v>
      </c>
      <c r="C87" s="284"/>
      <c r="D87" s="283"/>
      <c r="E87" s="285"/>
      <c r="F87" s="285"/>
      <c r="G87" s="285"/>
      <c r="H87" s="285"/>
      <c r="I87" s="285"/>
      <c r="J87" s="285"/>
      <c r="K87" s="285"/>
      <c r="L87" s="285"/>
      <c r="M87" s="285"/>
      <c r="N87" s="285"/>
      <c r="O87" s="285"/>
      <c r="P87" s="285"/>
      <c r="Q87" s="285"/>
      <c r="R87" s="285"/>
      <c r="S87" s="285"/>
      <c r="T87" s="285"/>
      <c r="U87" s="285"/>
      <c r="V87" s="285"/>
      <c r="W87" s="285"/>
      <c r="X87" s="285"/>
      <c r="Y87" s="286">
        <f>COUNTIF(C87:X87,"&gt;=R")</f>
        <v>0</v>
      </c>
      <c r="Z87" s="287">
        <f>Y87</f>
        <v>0</v>
      </c>
    </row>
    <row r="88" spans="1:31" ht="40.049999999999997" customHeight="1" x14ac:dyDescent="0.3">
      <c r="A88" s="308" t="s">
        <v>244</v>
      </c>
      <c r="B88" s="902" t="s">
        <v>245</v>
      </c>
      <c r="C88" s="283"/>
      <c r="D88" s="283"/>
      <c r="E88" s="299"/>
      <c r="F88" s="285"/>
      <c r="G88" s="285"/>
      <c r="H88" s="285"/>
      <c r="I88" s="285"/>
      <c r="J88" s="285"/>
      <c r="K88" s="285"/>
      <c r="L88" s="285"/>
      <c r="M88" s="285"/>
      <c r="N88" s="285"/>
      <c r="O88" s="285"/>
      <c r="P88" s="285"/>
      <c r="Q88" s="285"/>
      <c r="R88" s="285"/>
      <c r="S88" s="285"/>
      <c r="T88" s="285"/>
      <c r="U88" s="285"/>
      <c r="V88" s="285"/>
      <c r="W88" s="285"/>
      <c r="X88" s="285"/>
      <c r="Y88" s="286">
        <f>COUNTIF(C88:X88,"&gt;=R")</f>
        <v>0</v>
      </c>
      <c r="Z88" s="287">
        <f>Y88</f>
        <v>0</v>
      </c>
    </row>
    <row r="89" spans="1:31" ht="40.049999999999997" customHeight="1" x14ac:dyDescent="0.3">
      <c r="A89" s="296" t="s">
        <v>246</v>
      </c>
      <c r="B89" s="915" t="s">
        <v>247</v>
      </c>
      <c r="C89" s="283"/>
      <c r="D89" s="283"/>
      <c r="E89" s="299"/>
      <c r="F89" s="285"/>
      <c r="G89" s="285"/>
      <c r="H89" s="285"/>
      <c r="I89" s="285"/>
      <c r="J89" s="285"/>
      <c r="K89" s="285"/>
      <c r="L89" s="285"/>
      <c r="M89" s="307"/>
      <c r="N89" s="285"/>
      <c r="O89" s="285"/>
      <c r="P89" s="285"/>
      <c r="Q89" s="285"/>
      <c r="R89" s="285"/>
      <c r="S89" s="285"/>
      <c r="T89" s="285"/>
      <c r="U89" s="285"/>
      <c r="V89" s="285"/>
      <c r="W89" s="285"/>
      <c r="X89" s="285"/>
      <c r="Y89" s="286"/>
      <c r="Z89" s="287"/>
    </row>
    <row r="90" spans="1:31" ht="40.049999999999997" customHeight="1" x14ac:dyDescent="0.3">
      <c r="A90" s="308" t="s">
        <v>248</v>
      </c>
      <c r="B90" s="902" t="s">
        <v>249</v>
      </c>
      <c r="C90" s="284"/>
      <c r="D90" s="283"/>
      <c r="E90" s="285"/>
      <c r="F90" s="285"/>
      <c r="G90" s="285"/>
      <c r="H90" s="285"/>
      <c r="I90" s="285"/>
      <c r="J90" s="285"/>
      <c r="K90" s="285"/>
      <c r="L90" s="285"/>
      <c r="M90" s="285"/>
      <c r="N90" s="285"/>
      <c r="O90" s="285"/>
      <c r="P90" s="285"/>
      <c r="Q90" s="285"/>
      <c r="R90" s="285"/>
      <c r="S90" s="285"/>
      <c r="T90" s="285"/>
      <c r="U90" s="285"/>
      <c r="V90" s="285"/>
      <c r="W90" s="285"/>
      <c r="X90" s="285"/>
      <c r="Y90" s="286">
        <f>COUNTIF(C90:X90,"&gt;=R")</f>
        <v>0</v>
      </c>
      <c r="Z90" s="287">
        <f>Y90</f>
        <v>0</v>
      </c>
    </row>
    <row r="91" spans="1:31" ht="40.049999999999997" customHeight="1" x14ac:dyDescent="0.3">
      <c r="A91" s="308" t="s">
        <v>250</v>
      </c>
      <c r="B91" s="902" t="s">
        <v>251</v>
      </c>
      <c r="C91" s="284"/>
      <c r="D91" s="283"/>
      <c r="E91" s="285"/>
      <c r="F91" s="285"/>
      <c r="G91" s="285"/>
      <c r="H91" s="285"/>
      <c r="I91" s="285"/>
      <c r="J91" s="285"/>
      <c r="K91" s="285"/>
      <c r="L91" s="285"/>
      <c r="M91" s="285"/>
      <c r="N91" s="285"/>
      <c r="O91" s="285"/>
      <c r="P91" s="285"/>
      <c r="Q91" s="285"/>
      <c r="R91" s="285"/>
      <c r="S91" s="285"/>
      <c r="T91" s="285"/>
      <c r="U91" s="285"/>
      <c r="V91" s="285"/>
      <c r="W91" s="285"/>
      <c r="X91" s="285"/>
      <c r="Y91" s="286">
        <f>COUNTIF(C91:X91,"&gt;=R")</f>
        <v>0</v>
      </c>
      <c r="Z91" s="287">
        <f>Y91</f>
        <v>0</v>
      </c>
    </row>
    <row r="92" spans="1:31" ht="40.049999999999997" customHeight="1" x14ac:dyDescent="0.65">
      <c r="A92" s="296" t="s">
        <v>252</v>
      </c>
      <c r="B92" s="915" t="s">
        <v>253</v>
      </c>
      <c r="C92" s="283"/>
      <c r="D92" s="283"/>
      <c r="E92" s="299"/>
      <c r="F92" s="285"/>
      <c r="G92" s="288"/>
      <c r="H92" s="285"/>
      <c r="I92" s="288"/>
      <c r="J92" s="285"/>
      <c r="K92" s="285"/>
      <c r="L92" s="285"/>
      <c r="M92" s="285"/>
      <c r="N92" s="285"/>
      <c r="O92" s="285"/>
      <c r="P92" s="285"/>
      <c r="Q92" s="285"/>
      <c r="R92" s="285"/>
      <c r="S92" s="285"/>
      <c r="T92" s="285"/>
      <c r="U92" s="285"/>
      <c r="V92" s="285"/>
      <c r="W92" s="285"/>
      <c r="X92" s="285"/>
      <c r="Y92" s="286"/>
      <c r="Z92" s="287"/>
      <c r="AA92" s="357"/>
      <c r="AB92" s="357"/>
      <c r="AC92" s="357"/>
      <c r="AD92" s="357"/>
      <c r="AE92" s="357"/>
    </row>
    <row r="93" spans="1:31" ht="40.049999999999997" customHeight="1" x14ac:dyDescent="0.65">
      <c r="A93" s="281" t="s">
        <v>254</v>
      </c>
      <c r="B93" s="900" t="s">
        <v>255</v>
      </c>
      <c r="C93" s="283"/>
      <c r="D93" s="283"/>
      <c r="E93" s="283"/>
      <c r="F93" s="285"/>
      <c r="G93" s="283"/>
      <c r="H93" s="285"/>
      <c r="I93" s="283"/>
      <c r="J93" s="285"/>
      <c r="K93" s="283"/>
      <c r="L93" s="285"/>
      <c r="M93" s="283"/>
      <c r="N93" s="285"/>
      <c r="O93" s="283"/>
      <c r="P93" s="285"/>
      <c r="Q93" s="283"/>
      <c r="R93" s="285"/>
      <c r="S93" s="283"/>
      <c r="T93" s="285"/>
      <c r="U93" s="283"/>
      <c r="V93" s="285"/>
      <c r="W93" s="283"/>
      <c r="X93" s="285"/>
      <c r="Y93" s="286">
        <f>COUNTIF(C93:X93,"&gt;=R")</f>
        <v>0</v>
      </c>
      <c r="Z93" s="287">
        <f>Y93</f>
        <v>0</v>
      </c>
      <c r="AA93" s="357"/>
      <c r="AB93" s="357"/>
      <c r="AC93" s="357"/>
      <c r="AD93" s="357"/>
      <c r="AE93" s="357"/>
    </row>
    <row r="94" spans="1:31" ht="40.049999999999997" customHeight="1" x14ac:dyDescent="0.3">
      <c r="A94" s="281" t="s">
        <v>256</v>
      </c>
      <c r="B94" s="900" t="s">
        <v>257</v>
      </c>
      <c r="C94" s="283"/>
      <c r="D94" s="284"/>
      <c r="E94" s="283"/>
      <c r="F94" s="285"/>
      <c r="G94" s="283"/>
      <c r="H94" s="285"/>
      <c r="I94" s="283"/>
      <c r="J94" s="285"/>
      <c r="K94" s="283"/>
      <c r="L94" s="285"/>
      <c r="M94" s="283"/>
      <c r="N94" s="285"/>
      <c r="O94" s="283"/>
      <c r="P94" s="285"/>
      <c r="Q94" s="283"/>
      <c r="R94" s="285"/>
      <c r="S94" s="283"/>
      <c r="T94" s="285"/>
      <c r="U94" s="283"/>
      <c r="V94" s="285"/>
      <c r="W94" s="283"/>
      <c r="X94" s="285"/>
      <c r="Y94" s="286">
        <f>COUNTIF(C94:X94,"&gt;=R")</f>
        <v>0</v>
      </c>
      <c r="Z94" s="287">
        <f>Y94</f>
        <v>0</v>
      </c>
    </row>
    <row r="95" spans="1:31" ht="40.049999999999997" customHeight="1" x14ac:dyDescent="0.65">
      <c r="A95" s="281" t="s">
        <v>258</v>
      </c>
      <c r="B95" s="900" t="s">
        <v>259</v>
      </c>
      <c r="C95" s="283"/>
      <c r="D95" s="284"/>
      <c r="E95" s="283"/>
      <c r="F95" s="285"/>
      <c r="G95" s="283"/>
      <c r="H95" s="285"/>
      <c r="I95" s="283"/>
      <c r="J95" s="285"/>
      <c r="K95" s="283"/>
      <c r="L95" s="285"/>
      <c r="M95" s="283"/>
      <c r="N95" s="285"/>
      <c r="O95" s="283"/>
      <c r="P95" s="285"/>
      <c r="Q95" s="283"/>
      <c r="R95" s="285"/>
      <c r="S95" s="283"/>
      <c r="T95" s="285"/>
      <c r="U95" s="283"/>
      <c r="V95" s="285"/>
      <c r="W95" s="283"/>
      <c r="X95" s="285"/>
      <c r="Y95" s="286">
        <f>COUNTIF(C95:X95,"&gt;=R")</f>
        <v>0</v>
      </c>
      <c r="Z95" s="287">
        <f>Y95</f>
        <v>0</v>
      </c>
      <c r="AA95" s="357"/>
      <c r="AB95" s="357"/>
      <c r="AC95" s="357"/>
      <c r="AD95" s="357"/>
      <c r="AE95" s="357"/>
    </row>
    <row r="96" spans="1:31" ht="40.049999999999997" customHeight="1" x14ac:dyDescent="0.65">
      <c r="A96" s="281" t="s">
        <v>260</v>
      </c>
      <c r="B96" s="900" t="s">
        <v>261</v>
      </c>
      <c r="C96" s="283"/>
      <c r="D96" s="284"/>
      <c r="E96" s="283"/>
      <c r="F96" s="285"/>
      <c r="G96" s="283"/>
      <c r="H96" s="285"/>
      <c r="I96" s="283"/>
      <c r="J96" s="285"/>
      <c r="K96" s="283"/>
      <c r="L96" s="285"/>
      <c r="M96" s="283"/>
      <c r="N96" s="285"/>
      <c r="O96" s="283"/>
      <c r="P96" s="285"/>
      <c r="Q96" s="283"/>
      <c r="R96" s="285"/>
      <c r="S96" s="283"/>
      <c r="T96" s="285"/>
      <c r="U96" s="283"/>
      <c r="V96" s="285"/>
      <c r="W96" s="283"/>
      <c r="X96" s="285"/>
      <c r="Y96" s="286">
        <f>COUNTIF(C96:X96,"&gt;=R")</f>
        <v>0</v>
      </c>
      <c r="Z96" s="287">
        <f>Y96</f>
        <v>0</v>
      </c>
      <c r="AA96" s="357"/>
      <c r="AB96" s="357"/>
      <c r="AC96" s="357"/>
      <c r="AD96" s="357"/>
      <c r="AE96" s="357"/>
    </row>
    <row r="97" spans="1:31" ht="40.049999999999997" customHeight="1" x14ac:dyDescent="0.3">
      <c r="A97" s="296" t="s">
        <v>262</v>
      </c>
      <c r="B97" s="915" t="s">
        <v>263</v>
      </c>
      <c r="C97" s="283"/>
      <c r="D97" s="284"/>
      <c r="E97" s="285"/>
      <c r="F97" s="285"/>
      <c r="G97" s="288"/>
      <c r="H97" s="285"/>
      <c r="I97" s="288"/>
      <c r="J97" s="285"/>
      <c r="K97" s="288"/>
      <c r="L97" s="285"/>
      <c r="M97" s="285"/>
      <c r="N97" s="285"/>
      <c r="O97" s="285"/>
      <c r="P97" s="285"/>
      <c r="Q97" s="285"/>
      <c r="R97" s="285"/>
      <c r="S97" s="285"/>
      <c r="T97" s="285"/>
      <c r="U97" s="288"/>
      <c r="V97" s="285"/>
      <c r="W97" s="288"/>
      <c r="X97" s="285"/>
      <c r="Y97" s="286"/>
      <c r="Z97" s="287"/>
    </row>
    <row r="98" spans="1:31" ht="40.049999999999997" customHeight="1" x14ac:dyDescent="0.3">
      <c r="A98" s="308" t="s">
        <v>264</v>
      </c>
      <c r="B98" s="902" t="s">
        <v>265</v>
      </c>
      <c r="C98" s="283" t="s">
        <v>57</v>
      </c>
      <c r="D98" s="284"/>
      <c r="E98" s="285"/>
      <c r="F98" s="285"/>
      <c r="G98" s="285"/>
      <c r="H98" s="285"/>
      <c r="I98" s="285"/>
      <c r="J98" s="285"/>
      <c r="K98" s="285"/>
      <c r="L98" s="285"/>
      <c r="M98" s="285" t="s">
        <v>46</v>
      </c>
      <c r="N98" s="285"/>
      <c r="O98" s="285" t="s">
        <v>57</v>
      </c>
      <c r="P98" s="285"/>
      <c r="Q98" s="285" t="s">
        <v>57</v>
      </c>
      <c r="R98" s="285"/>
      <c r="S98" s="285" t="s">
        <v>57</v>
      </c>
      <c r="T98" s="285"/>
      <c r="U98" s="285" t="s">
        <v>57</v>
      </c>
      <c r="V98" s="285"/>
      <c r="W98" s="285" t="s">
        <v>57</v>
      </c>
      <c r="X98" s="285"/>
      <c r="Y98" s="286">
        <f>COUNTIF(C98:X98,"&gt;=R")</f>
        <v>7</v>
      </c>
      <c r="Z98" s="287">
        <f>Y98</f>
        <v>7</v>
      </c>
    </row>
    <row r="99" spans="1:31" ht="40.049999999999997" customHeight="1" x14ac:dyDescent="0.3">
      <c r="A99" s="310" t="s">
        <v>266</v>
      </c>
      <c r="B99" s="913" t="s">
        <v>267</v>
      </c>
      <c r="C99" s="291"/>
      <c r="D99" s="292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5"/>
    </row>
    <row r="100" spans="1:31" ht="40.049999999999997" customHeight="1" x14ac:dyDescent="0.3">
      <c r="A100" s="281" t="s">
        <v>268</v>
      </c>
      <c r="B100" s="900" t="s">
        <v>269</v>
      </c>
      <c r="C100" s="284"/>
      <c r="D100" s="284"/>
      <c r="E100" s="285"/>
      <c r="F100" s="285"/>
      <c r="G100" s="285"/>
      <c r="H100" s="285"/>
      <c r="I100" s="285"/>
      <c r="J100" s="285"/>
      <c r="K100" s="285"/>
      <c r="L100" s="285"/>
      <c r="M100" s="285"/>
      <c r="N100" s="285"/>
      <c r="O100" s="285"/>
      <c r="P100" s="285"/>
      <c r="Q100" s="285"/>
      <c r="R100" s="285"/>
      <c r="S100" s="285"/>
      <c r="T100" s="285"/>
      <c r="U100" s="285"/>
      <c r="V100" s="285"/>
      <c r="W100" s="285"/>
      <c r="X100" s="285"/>
      <c r="Y100" s="286">
        <f>COUNTIF(C100:X100,"&gt;=R")</f>
        <v>0</v>
      </c>
      <c r="Z100" s="287">
        <f>Y100</f>
        <v>0</v>
      </c>
    </row>
    <row r="101" spans="1:31" ht="40.049999999999997" customHeight="1" x14ac:dyDescent="0.3">
      <c r="A101" s="281" t="s">
        <v>270</v>
      </c>
      <c r="B101" s="900" t="s">
        <v>271</v>
      </c>
      <c r="C101" s="284"/>
      <c r="D101" s="284"/>
      <c r="E101" s="285"/>
      <c r="F101" s="285"/>
      <c r="G101" s="285"/>
      <c r="H101" s="285"/>
      <c r="I101" s="285"/>
      <c r="J101" s="285"/>
      <c r="K101" s="285"/>
      <c r="L101" s="285"/>
      <c r="M101" s="285"/>
      <c r="N101" s="285"/>
      <c r="O101" s="285"/>
      <c r="P101" s="285"/>
      <c r="Q101" s="285"/>
      <c r="R101" s="285"/>
      <c r="S101" s="285"/>
      <c r="T101" s="285"/>
      <c r="U101" s="285"/>
      <c r="V101" s="285"/>
      <c r="W101" s="285"/>
      <c r="X101" s="285"/>
      <c r="Y101" s="286">
        <f>COUNTIF(C101:X101,"&gt;=R")</f>
        <v>0</v>
      </c>
      <c r="Z101" s="287">
        <f>Y101</f>
        <v>0</v>
      </c>
    </row>
    <row r="102" spans="1:31" ht="40.049999999999997" customHeight="1" x14ac:dyDescent="0.65">
      <c r="A102" s="310" t="s">
        <v>272</v>
      </c>
      <c r="B102" s="913" t="s">
        <v>273</v>
      </c>
      <c r="C102" s="291"/>
      <c r="D102" s="292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5"/>
      <c r="AA102" s="357"/>
      <c r="AB102" s="357"/>
      <c r="AC102" s="357"/>
      <c r="AD102" s="357"/>
      <c r="AE102" s="357"/>
    </row>
    <row r="103" spans="1:31" ht="40.049999999999997" customHeight="1" x14ac:dyDescent="0.3">
      <c r="A103" s="281" t="s">
        <v>274</v>
      </c>
      <c r="B103" s="900" t="s">
        <v>275</v>
      </c>
      <c r="C103" s="283"/>
      <c r="D103" s="283"/>
      <c r="E103" s="283"/>
      <c r="F103" s="285"/>
      <c r="G103" s="283"/>
      <c r="H103" s="285"/>
      <c r="I103" s="283"/>
      <c r="J103" s="285"/>
      <c r="K103" s="283"/>
      <c r="L103" s="285"/>
      <c r="M103" s="283"/>
      <c r="N103" s="285"/>
      <c r="O103" s="283"/>
      <c r="P103" s="285"/>
      <c r="Q103" s="283"/>
      <c r="R103" s="285"/>
      <c r="S103" s="283"/>
      <c r="T103" s="285"/>
      <c r="U103" s="283"/>
      <c r="V103" s="285"/>
      <c r="W103" s="283"/>
      <c r="X103" s="285"/>
      <c r="Y103" s="286">
        <f>COUNTIF(C103:X103,"&gt;=R")</f>
        <v>0</v>
      </c>
      <c r="Z103" s="287">
        <f>Y103</f>
        <v>0</v>
      </c>
    </row>
    <row r="104" spans="1:31" ht="40.049999999999997" customHeight="1" x14ac:dyDescent="0.65">
      <c r="A104" s="281" t="s">
        <v>276</v>
      </c>
      <c r="B104" s="900" t="s">
        <v>277</v>
      </c>
      <c r="C104" s="283" t="s">
        <v>68</v>
      </c>
      <c r="D104" s="284"/>
      <c r="E104" s="283"/>
      <c r="F104" s="285"/>
      <c r="G104" s="283"/>
      <c r="H104" s="285"/>
      <c r="I104" s="283"/>
      <c r="J104" s="285"/>
      <c r="K104" s="307"/>
      <c r="L104" s="285"/>
      <c r="M104" s="307" t="s">
        <v>77</v>
      </c>
      <c r="N104" s="285"/>
      <c r="O104" s="307" t="s">
        <v>57</v>
      </c>
      <c r="P104" s="285"/>
      <c r="Q104" s="307" t="s">
        <v>57</v>
      </c>
      <c r="R104" s="285"/>
      <c r="S104" s="285" t="s">
        <v>57</v>
      </c>
      <c r="T104" s="285"/>
      <c r="U104" s="285" t="s">
        <v>77</v>
      </c>
      <c r="V104" s="285"/>
      <c r="W104" s="285" t="s">
        <v>77</v>
      </c>
      <c r="X104" s="285"/>
      <c r="Y104" s="286">
        <f>COUNTIF(C104:X104,"&gt;=R")</f>
        <v>7</v>
      </c>
      <c r="Z104" s="287">
        <f>Y104</f>
        <v>7</v>
      </c>
      <c r="AA104" s="357"/>
      <c r="AB104" s="357"/>
      <c r="AC104" s="357"/>
      <c r="AD104" s="357"/>
      <c r="AE104" s="357"/>
    </row>
    <row r="105" spans="1:31" ht="40.049999999999997" customHeight="1" x14ac:dyDescent="0.65">
      <c r="A105" s="289" t="s">
        <v>278</v>
      </c>
      <c r="B105" s="913" t="s">
        <v>279</v>
      </c>
      <c r="C105" s="291"/>
      <c r="D105" s="292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5"/>
      <c r="AA105" s="357"/>
      <c r="AB105" s="357"/>
      <c r="AC105" s="357"/>
      <c r="AD105" s="357"/>
      <c r="AE105" s="357"/>
    </row>
    <row r="106" spans="1:31" ht="40.049999999999997" customHeight="1" x14ac:dyDescent="0.3">
      <c r="A106" s="296" t="s">
        <v>280</v>
      </c>
      <c r="B106" s="915" t="s">
        <v>281</v>
      </c>
      <c r="C106" s="283"/>
      <c r="D106" s="284"/>
      <c r="E106" s="285"/>
      <c r="F106" s="285"/>
      <c r="G106" s="288"/>
      <c r="H106" s="285"/>
      <c r="I106" s="288"/>
      <c r="J106" s="285"/>
      <c r="K106" s="285"/>
      <c r="L106" s="285"/>
      <c r="M106" s="285"/>
      <c r="N106" s="285"/>
      <c r="O106" s="285"/>
      <c r="P106" s="285"/>
      <c r="Q106" s="285"/>
      <c r="R106" s="285"/>
      <c r="S106" s="285"/>
      <c r="T106" s="285"/>
      <c r="U106" s="285"/>
      <c r="V106" s="285"/>
      <c r="W106" s="285"/>
      <c r="X106" s="285"/>
      <c r="Y106" s="286"/>
      <c r="Z106" s="287"/>
    </row>
    <row r="107" spans="1:31" ht="40.049999999999997" customHeight="1" x14ac:dyDescent="0.65">
      <c r="A107" s="357" t="s">
        <v>282</v>
      </c>
      <c r="B107" s="903" t="s">
        <v>283</v>
      </c>
      <c r="C107" s="283"/>
      <c r="D107" s="284"/>
      <c r="E107" s="285"/>
      <c r="F107" s="285"/>
      <c r="G107" s="288"/>
      <c r="H107" s="285"/>
      <c r="I107" s="288"/>
      <c r="J107" s="285"/>
      <c r="K107" s="285"/>
      <c r="L107" s="285"/>
      <c r="M107" s="285"/>
      <c r="N107" s="285"/>
      <c r="O107" s="285"/>
      <c r="P107" s="285"/>
      <c r="Q107" s="285"/>
      <c r="R107" s="285"/>
      <c r="S107" s="285"/>
      <c r="T107" s="285"/>
      <c r="U107" s="285"/>
      <c r="V107" s="285"/>
      <c r="W107" s="285"/>
      <c r="X107" s="285"/>
      <c r="Y107" s="286">
        <f>COUNTIF(C107:X107,"&gt;=R")</f>
        <v>0</v>
      </c>
      <c r="Z107" s="287">
        <f>Y107</f>
        <v>0</v>
      </c>
    </row>
    <row r="108" spans="1:31" ht="40.049999999999997" customHeight="1" x14ac:dyDescent="0.65">
      <c r="A108" s="308" t="s">
        <v>284</v>
      </c>
      <c r="B108" s="902" t="s">
        <v>285</v>
      </c>
      <c r="C108" s="283"/>
      <c r="D108" s="284"/>
      <c r="E108" s="285"/>
      <c r="F108" s="285"/>
      <c r="G108" s="285"/>
      <c r="H108" s="285"/>
      <c r="I108" s="285"/>
      <c r="J108" s="285"/>
      <c r="K108" s="285"/>
      <c r="L108" s="285"/>
      <c r="M108" s="285"/>
      <c r="N108" s="285"/>
      <c r="O108" s="285"/>
      <c r="P108" s="285"/>
      <c r="Q108" s="285"/>
      <c r="R108" s="285"/>
      <c r="S108" s="285"/>
      <c r="T108" s="285"/>
      <c r="U108" s="285"/>
      <c r="V108" s="285"/>
      <c r="W108" s="285"/>
      <c r="X108" s="285"/>
      <c r="Y108" s="286">
        <f>COUNTIF(C108:X108,"&gt;=R")</f>
        <v>0</v>
      </c>
      <c r="Z108" s="287">
        <f>Y108</f>
        <v>0</v>
      </c>
      <c r="AA108" s="357"/>
      <c r="AB108" s="357"/>
      <c r="AC108" s="357"/>
      <c r="AD108" s="357"/>
      <c r="AE108" s="357"/>
    </row>
    <row r="109" spans="1:31" ht="40.049999999999997" customHeight="1" x14ac:dyDescent="0.3">
      <c r="A109" s="296" t="s">
        <v>286</v>
      </c>
      <c r="B109" s="915" t="s">
        <v>287</v>
      </c>
      <c r="C109" s="283"/>
      <c r="D109" s="284"/>
      <c r="E109" s="285"/>
      <c r="F109" s="285"/>
      <c r="G109" s="285"/>
      <c r="H109" s="285"/>
      <c r="I109" s="285"/>
      <c r="J109" s="285"/>
      <c r="K109" s="285"/>
      <c r="L109" s="285"/>
      <c r="M109" s="285"/>
      <c r="N109" s="285"/>
      <c r="O109" s="285"/>
      <c r="P109" s="285"/>
      <c r="Q109" s="285"/>
      <c r="R109" s="285"/>
      <c r="S109" s="285"/>
      <c r="T109" s="285"/>
      <c r="U109" s="285"/>
      <c r="V109" s="285"/>
      <c r="W109" s="285"/>
      <c r="X109" s="285"/>
      <c r="Y109" s="286"/>
      <c r="Z109" s="287"/>
    </row>
    <row r="110" spans="1:31" ht="40.049999999999997" customHeight="1" x14ac:dyDescent="0.65">
      <c r="A110" s="281" t="s">
        <v>288</v>
      </c>
      <c r="B110" s="900" t="s">
        <v>289</v>
      </c>
      <c r="C110" s="284"/>
      <c r="D110" s="284"/>
      <c r="E110" s="285"/>
      <c r="F110" s="285"/>
      <c r="G110" s="285"/>
      <c r="H110" s="285"/>
      <c r="I110" s="285"/>
      <c r="J110" s="285"/>
      <c r="K110" s="285"/>
      <c r="L110" s="285"/>
      <c r="M110" s="285"/>
      <c r="N110" s="285"/>
      <c r="O110" s="285"/>
      <c r="P110" s="285"/>
      <c r="Q110" s="285"/>
      <c r="R110" s="285"/>
      <c r="S110" s="285"/>
      <c r="T110" s="285"/>
      <c r="U110" s="285"/>
      <c r="V110" s="285"/>
      <c r="W110" s="285"/>
      <c r="X110" s="285"/>
      <c r="Y110" s="286">
        <f>COUNTIF(C110:X110,"&gt;=R")</f>
        <v>0</v>
      </c>
      <c r="Z110" s="287">
        <f>Y110</f>
        <v>0</v>
      </c>
      <c r="AA110" s="357"/>
      <c r="AB110" s="357"/>
      <c r="AC110" s="357"/>
      <c r="AD110" s="357"/>
      <c r="AE110" s="357"/>
    </row>
    <row r="111" spans="1:31" ht="40.049999999999997" customHeight="1" x14ac:dyDescent="0.3">
      <c r="A111" s="281" t="s">
        <v>290</v>
      </c>
      <c r="B111" s="900" t="s">
        <v>291</v>
      </c>
      <c r="C111" s="283"/>
      <c r="D111" s="284"/>
      <c r="E111" s="283"/>
      <c r="F111" s="285"/>
      <c r="G111" s="283"/>
      <c r="H111" s="285"/>
      <c r="I111" s="283"/>
      <c r="J111" s="285"/>
      <c r="K111" s="283"/>
      <c r="L111" s="285"/>
      <c r="M111" s="283"/>
      <c r="N111" s="285"/>
      <c r="O111" s="283"/>
      <c r="P111" s="285"/>
      <c r="Q111" s="283"/>
      <c r="R111" s="285"/>
      <c r="S111" s="283"/>
      <c r="T111" s="285"/>
      <c r="U111" s="283"/>
      <c r="V111" s="285"/>
      <c r="W111" s="283"/>
      <c r="X111" s="285"/>
      <c r="Y111" s="286">
        <f>COUNTIF(C111:X111,"&gt;=R")</f>
        <v>0</v>
      </c>
      <c r="Z111" s="287">
        <f>Y111</f>
        <v>0</v>
      </c>
    </row>
    <row r="112" spans="1:31" ht="40.049999999999997" customHeight="1" x14ac:dyDescent="0.65">
      <c r="A112" s="357" t="s">
        <v>292</v>
      </c>
      <c r="B112" s="903" t="s">
        <v>293</v>
      </c>
      <c r="C112" s="283"/>
      <c r="D112" s="284"/>
      <c r="E112" s="285"/>
      <c r="F112" s="285"/>
      <c r="G112" s="288"/>
      <c r="H112" s="285"/>
      <c r="I112" s="288"/>
      <c r="J112" s="285"/>
      <c r="K112" s="285"/>
      <c r="L112" s="285"/>
      <c r="M112" s="285"/>
      <c r="N112" s="285"/>
      <c r="O112" s="285"/>
      <c r="P112" s="285"/>
      <c r="Q112" s="285"/>
      <c r="R112" s="285"/>
      <c r="S112" s="285"/>
      <c r="T112" s="285"/>
      <c r="U112" s="285"/>
      <c r="V112" s="285"/>
      <c r="W112" s="285"/>
      <c r="X112" s="285"/>
      <c r="Y112" s="286">
        <f>COUNTIF(C112:X112,"&gt;=R")</f>
        <v>0</v>
      </c>
      <c r="Z112" s="287">
        <f>Y112</f>
        <v>0</v>
      </c>
    </row>
    <row r="113" spans="1:31" ht="40.049999999999997" customHeight="1" x14ac:dyDescent="0.65">
      <c r="A113" s="289" t="s">
        <v>294</v>
      </c>
      <c r="B113" s="916" t="s">
        <v>295</v>
      </c>
      <c r="C113" s="291"/>
      <c r="D113" s="292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3"/>
      <c r="W113" s="293"/>
      <c r="X113" s="293"/>
      <c r="Y113" s="293"/>
      <c r="Z113" s="295"/>
      <c r="AA113" s="357"/>
      <c r="AB113" s="357"/>
      <c r="AC113" s="357"/>
      <c r="AD113" s="357"/>
      <c r="AE113" s="357"/>
    </row>
    <row r="114" spans="1:31" ht="40.049999999999997" customHeight="1" x14ac:dyDescent="0.65">
      <c r="A114" s="312" t="s">
        <v>296</v>
      </c>
      <c r="B114" s="313" t="s">
        <v>297</v>
      </c>
      <c r="C114" s="283" t="s">
        <v>93</v>
      </c>
      <c r="D114" s="284"/>
      <c r="E114" s="285"/>
      <c r="F114" s="285"/>
      <c r="G114" s="285"/>
      <c r="H114" s="285"/>
      <c r="I114" s="285"/>
      <c r="J114" s="285"/>
      <c r="K114" s="285"/>
      <c r="L114" s="285"/>
      <c r="M114" s="285"/>
      <c r="N114" s="285"/>
      <c r="O114" s="285" t="s">
        <v>93</v>
      </c>
      <c r="P114" s="285"/>
      <c r="Q114" s="285"/>
      <c r="R114" s="285"/>
      <c r="S114" s="285"/>
      <c r="T114" s="285"/>
      <c r="U114" s="285"/>
      <c r="V114" s="285"/>
      <c r="W114" s="285"/>
      <c r="X114" s="285"/>
      <c r="Y114" s="286">
        <f t="shared" ref="Y114:Y125" si="4">COUNTIF(C114:X114,"&gt;=R")</f>
        <v>2</v>
      </c>
      <c r="Z114" s="287">
        <f t="shared" ref="Z114:Z125" si="5">Y114</f>
        <v>2</v>
      </c>
      <c r="AA114" s="357"/>
      <c r="AB114" s="357"/>
      <c r="AC114" s="357"/>
      <c r="AD114" s="357"/>
      <c r="AE114" s="357"/>
    </row>
    <row r="115" spans="1:31" ht="40.049999999999997" customHeight="1" x14ac:dyDescent="0.3">
      <c r="A115" s="312" t="s">
        <v>298</v>
      </c>
      <c r="B115" s="313" t="s">
        <v>299</v>
      </c>
      <c r="C115" s="283" t="s">
        <v>48</v>
      </c>
      <c r="D115" s="284"/>
      <c r="E115" s="285" t="s">
        <v>85</v>
      </c>
      <c r="F115" s="285"/>
      <c r="G115" s="307" t="s">
        <v>85</v>
      </c>
      <c r="H115" s="285"/>
      <c r="I115" s="307" t="s">
        <v>77</v>
      </c>
      <c r="J115" s="285"/>
      <c r="K115" s="307" t="s">
        <v>77</v>
      </c>
      <c r="L115" s="285"/>
      <c r="M115" s="285" t="s">
        <v>77</v>
      </c>
      <c r="N115" s="285"/>
      <c r="O115" s="285" t="s">
        <v>48</v>
      </c>
      <c r="P115" s="285"/>
      <c r="Q115" s="307" t="s">
        <v>48</v>
      </c>
      <c r="R115" s="285"/>
      <c r="S115" s="307" t="s">
        <v>48</v>
      </c>
      <c r="T115" s="285"/>
      <c r="U115" s="307" t="s">
        <v>48</v>
      </c>
      <c r="V115" s="285"/>
      <c r="W115" s="307" t="s">
        <v>48</v>
      </c>
      <c r="X115" s="285"/>
      <c r="Y115" s="286">
        <f t="shared" si="4"/>
        <v>11</v>
      </c>
      <c r="Z115" s="287">
        <f t="shared" si="5"/>
        <v>11</v>
      </c>
    </row>
    <row r="116" spans="1:31" ht="40.049999999999997" customHeight="1" x14ac:dyDescent="0.3">
      <c r="A116" s="312" t="s">
        <v>300</v>
      </c>
      <c r="B116" s="313" t="s">
        <v>301</v>
      </c>
      <c r="C116" s="283"/>
      <c r="D116" s="284"/>
      <c r="E116" s="283"/>
      <c r="F116" s="285"/>
      <c r="G116" s="283"/>
      <c r="H116" s="285"/>
      <c r="I116" s="283"/>
      <c r="J116" s="285"/>
      <c r="K116" s="283"/>
      <c r="L116" s="285"/>
      <c r="M116" s="283"/>
      <c r="N116" s="285"/>
      <c r="O116" s="283"/>
      <c r="P116" s="285"/>
      <c r="Q116" s="283"/>
      <c r="R116" s="285"/>
      <c r="S116" s="283"/>
      <c r="T116" s="285"/>
      <c r="U116" s="283"/>
      <c r="V116" s="285"/>
      <c r="W116" s="283"/>
      <c r="X116" s="285"/>
      <c r="Y116" s="286">
        <f t="shared" si="4"/>
        <v>0</v>
      </c>
      <c r="Z116" s="287">
        <f t="shared" si="5"/>
        <v>0</v>
      </c>
    </row>
    <row r="117" spans="1:31" ht="40.049999999999997" customHeight="1" x14ac:dyDescent="0.65">
      <c r="A117" s="312" t="s">
        <v>302</v>
      </c>
      <c r="B117" s="313" t="s">
        <v>303</v>
      </c>
      <c r="C117" s="284"/>
      <c r="D117" s="284"/>
      <c r="E117" s="285"/>
      <c r="F117" s="285"/>
      <c r="G117" s="285"/>
      <c r="H117" s="285"/>
      <c r="I117" s="285"/>
      <c r="J117" s="285"/>
      <c r="K117" s="285"/>
      <c r="L117" s="285"/>
      <c r="M117" s="285"/>
      <c r="N117" s="285"/>
      <c r="O117" s="285"/>
      <c r="P117" s="285"/>
      <c r="Q117" s="285"/>
      <c r="R117" s="285"/>
      <c r="S117" s="285"/>
      <c r="T117" s="285"/>
      <c r="U117" s="285"/>
      <c r="V117" s="285"/>
      <c r="W117" s="285"/>
      <c r="X117" s="285"/>
      <c r="Y117" s="286">
        <f t="shared" si="4"/>
        <v>0</v>
      </c>
      <c r="Z117" s="287">
        <f t="shared" si="5"/>
        <v>0</v>
      </c>
      <c r="AA117" s="357"/>
      <c r="AB117" s="357"/>
      <c r="AC117" s="357"/>
      <c r="AD117" s="357"/>
      <c r="AE117" s="357"/>
    </row>
    <row r="118" spans="1:31" ht="40.049999999999997" customHeight="1" x14ac:dyDescent="0.3">
      <c r="A118" s="312" t="s">
        <v>304</v>
      </c>
      <c r="B118" s="313" t="s">
        <v>305</v>
      </c>
      <c r="C118" s="283"/>
      <c r="D118" s="284"/>
      <c r="E118" s="285"/>
      <c r="F118" s="285"/>
      <c r="G118" s="307"/>
      <c r="H118" s="285"/>
      <c r="I118" s="307"/>
      <c r="J118" s="285"/>
      <c r="K118" s="307"/>
      <c r="L118" s="285"/>
      <c r="M118" s="285"/>
      <c r="N118" s="285"/>
      <c r="O118" s="285"/>
      <c r="P118" s="285"/>
      <c r="Q118" s="307"/>
      <c r="R118" s="285"/>
      <c r="S118" s="307"/>
      <c r="T118" s="285"/>
      <c r="U118" s="285"/>
      <c r="V118" s="285"/>
      <c r="W118" s="285"/>
      <c r="X118" s="285"/>
      <c r="Y118" s="286">
        <f t="shared" si="4"/>
        <v>0</v>
      </c>
      <c r="Z118" s="287">
        <f t="shared" si="5"/>
        <v>0</v>
      </c>
    </row>
    <row r="119" spans="1:31" ht="40.049999999999997" customHeight="1" x14ac:dyDescent="0.3">
      <c r="A119" s="312" t="s">
        <v>306</v>
      </c>
      <c r="B119" s="313" t="s">
        <v>307</v>
      </c>
      <c r="C119" s="302"/>
      <c r="D119" s="284"/>
      <c r="E119" s="288"/>
      <c r="F119" s="285"/>
      <c r="G119" s="288"/>
      <c r="H119" s="285"/>
      <c r="I119" s="288"/>
      <c r="J119" s="285"/>
      <c r="K119" s="288"/>
      <c r="L119" s="285"/>
      <c r="M119" s="288"/>
      <c r="N119" s="285"/>
      <c r="O119" s="288"/>
      <c r="P119" s="285"/>
      <c r="Q119" s="288"/>
      <c r="R119" s="285"/>
      <c r="S119" s="288"/>
      <c r="T119" s="285"/>
      <c r="U119" s="288"/>
      <c r="V119" s="288"/>
      <c r="W119" s="288"/>
      <c r="X119" s="288"/>
      <c r="Y119" s="286">
        <f t="shared" si="4"/>
        <v>0</v>
      </c>
      <c r="Z119" s="287">
        <f t="shared" si="5"/>
        <v>0</v>
      </c>
    </row>
    <row r="120" spans="1:31" ht="40.049999999999997" customHeight="1" x14ac:dyDescent="0.3">
      <c r="A120" s="312" t="s">
        <v>308</v>
      </c>
      <c r="B120" s="313" t="s">
        <v>309</v>
      </c>
      <c r="C120" s="283"/>
      <c r="D120" s="284"/>
      <c r="E120" s="285"/>
      <c r="F120" s="285"/>
      <c r="G120" s="285"/>
      <c r="H120" s="285"/>
      <c r="I120" s="285"/>
      <c r="J120" s="285"/>
      <c r="K120" s="285"/>
      <c r="L120" s="285"/>
      <c r="M120" s="285"/>
      <c r="N120" s="285"/>
      <c r="O120" s="285"/>
      <c r="P120" s="285"/>
      <c r="Q120" s="285"/>
      <c r="R120" s="285"/>
      <c r="S120" s="285"/>
      <c r="T120" s="285"/>
      <c r="U120" s="288"/>
      <c r="V120" s="288"/>
      <c r="W120" s="288"/>
      <c r="X120" s="288"/>
      <c r="Y120" s="286">
        <f t="shared" si="4"/>
        <v>0</v>
      </c>
      <c r="Z120" s="287">
        <f t="shared" si="5"/>
        <v>0</v>
      </c>
    </row>
    <row r="121" spans="1:31" ht="40.049999999999997" customHeight="1" x14ac:dyDescent="0.3">
      <c r="A121" s="312" t="s">
        <v>310</v>
      </c>
      <c r="B121" s="313" t="s">
        <v>311</v>
      </c>
      <c r="C121" s="283"/>
      <c r="D121" s="302"/>
      <c r="E121" s="288"/>
      <c r="F121" s="288"/>
      <c r="G121" s="307"/>
      <c r="H121" s="288"/>
      <c r="I121" s="307"/>
      <c r="J121" s="288"/>
      <c r="K121" s="307"/>
      <c r="L121" s="288"/>
      <c r="M121" s="288"/>
      <c r="N121" s="288"/>
      <c r="O121" s="288"/>
      <c r="P121" s="288"/>
      <c r="Q121" s="307"/>
      <c r="R121" s="288"/>
      <c r="S121" s="307"/>
      <c r="T121" s="288"/>
      <c r="U121" s="307"/>
      <c r="V121" s="288"/>
      <c r="W121" s="307"/>
      <c r="X121" s="288"/>
      <c r="Y121" s="286">
        <f t="shared" si="4"/>
        <v>0</v>
      </c>
      <c r="Z121" s="287">
        <f t="shared" si="5"/>
        <v>0</v>
      </c>
    </row>
    <row r="122" spans="1:31" ht="40.049999999999997" customHeight="1" x14ac:dyDescent="0.3">
      <c r="A122" s="312" t="s">
        <v>312</v>
      </c>
      <c r="B122" s="313" t="s">
        <v>313</v>
      </c>
      <c r="C122" s="283"/>
      <c r="D122" s="302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6">
        <f t="shared" si="4"/>
        <v>0</v>
      </c>
      <c r="Z122" s="287">
        <f t="shared" si="5"/>
        <v>0</v>
      </c>
    </row>
    <row r="123" spans="1:31" ht="40.049999999999997" customHeight="1" x14ac:dyDescent="0.3">
      <c r="A123" s="312" t="s">
        <v>314</v>
      </c>
      <c r="B123" s="313" t="s">
        <v>315</v>
      </c>
      <c r="C123" s="283"/>
      <c r="D123" s="302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6">
        <f t="shared" si="4"/>
        <v>0</v>
      </c>
      <c r="Z123" s="287">
        <f t="shared" si="5"/>
        <v>0</v>
      </c>
    </row>
    <row r="124" spans="1:31" ht="40.049999999999997" customHeight="1" x14ac:dyDescent="0.3">
      <c r="A124" s="312" t="s">
        <v>316</v>
      </c>
      <c r="B124" s="313" t="s">
        <v>317</v>
      </c>
      <c r="C124" s="283"/>
      <c r="D124" s="302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6">
        <f t="shared" si="4"/>
        <v>0</v>
      </c>
      <c r="Z124" s="287">
        <f t="shared" si="5"/>
        <v>0</v>
      </c>
    </row>
    <row r="125" spans="1:31" ht="40.049999999999997" customHeight="1" x14ac:dyDescent="0.3">
      <c r="A125" s="312" t="s">
        <v>318</v>
      </c>
      <c r="B125" s="313" t="s">
        <v>319</v>
      </c>
      <c r="C125" s="283"/>
      <c r="D125" s="302"/>
      <c r="E125" s="302"/>
      <c r="F125" s="288"/>
      <c r="G125" s="302"/>
      <c r="H125" s="288"/>
      <c r="I125" s="302"/>
      <c r="J125" s="288"/>
      <c r="K125" s="302"/>
      <c r="L125" s="288"/>
      <c r="M125" s="302"/>
      <c r="N125" s="288"/>
      <c r="O125" s="302"/>
      <c r="P125" s="288"/>
      <c r="Q125" s="302"/>
      <c r="R125" s="288"/>
      <c r="S125" s="302"/>
      <c r="T125" s="288"/>
      <c r="U125" s="302"/>
      <c r="V125" s="288"/>
      <c r="W125" s="302"/>
      <c r="X125" s="288"/>
      <c r="Y125" s="286">
        <f t="shared" si="4"/>
        <v>0</v>
      </c>
      <c r="Z125" s="287">
        <f t="shared" si="5"/>
        <v>0</v>
      </c>
    </row>
    <row r="126" spans="1:31" ht="40.049999999999997" customHeight="1" x14ac:dyDescent="0.3">
      <c r="A126" s="303" t="s">
        <v>320</v>
      </c>
      <c r="B126" s="304" t="s">
        <v>321</v>
      </c>
      <c r="C126" s="291"/>
      <c r="D126" s="292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5"/>
    </row>
    <row r="127" spans="1:31" ht="40.049999999999997" customHeight="1" x14ac:dyDescent="0.3">
      <c r="A127" s="274" t="s">
        <v>322</v>
      </c>
      <c r="B127" s="314" t="s">
        <v>323</v>
      </c>
      <c r="C127" s="291"/>
      <c r="D127" s="292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3"/>
      <c r="W127" s="293"/>
      <c r="X127" s="293"/>
      <c r="Y127" s="293"/>
      <c r="Z127" s="295"/>
    </row>
    <row r="128" spans="1:31" ht="40.049999999999997" customHeight="1" x14ac:dyDescent="0.3">
      <c r="A128" s="308" t="s">
        <v>324</v>
      </c>
      <c r="B128" s="905" t="s">
        <v>325</v>
      </c>
      <c r="C128" s="283"/>
      <c r="D128" s="302"/>
      <c r="E128" s="283"/>
      <c r="F128" s="288"/>
      <c r="G128" s="283"/>
      <c r="H128" s="288"/>
      <c r="I128" s="283"/>
      <c r="J128" s="288"/>
      <c r="K128" s="283"/>
      <c r="L128" s="288"/>
      <c r="M128" s="283"/>
      <c r="N128" s="288"/>
      <c r="O128" s="283"/>
      <c r="P128" s="288"/>
      <c r="Q128" s="283"/>
      <c r="R128" s="288"/>
      <c r="S128" s="283"/>
      <c r="T128" s="288"/>
      <c r="U128" s="283"/>
      <c r="V128" s="288"/>
      <c r="W128" s="283"/>
      <c r="X128" s="288"/>
      <c r="Y128" s="286">
        <f t="shared" ref="Y128:Y139" si="6">COUNTIF(C128:X128,"&gt;=R")</f>
        <v>0</v>
      </c>
      <c r="Z128" s="287">
        <f t="shared" ref="Z128:Z139" si="7">Y128</f>
        <v>0</v>
      </c>
    </row>
    <row r="129" spans="1:26" ht="40.049999999999997" customHeight="1" x14ac:dyDescent="0.3">
      <c r="A129" s="316" t="s">
        <v>326</v>
      </c>
      <c r="B129" s="317" t="s">
        <v>327</v>
      </c>
      <c r="C129" s="283"/>
      <c r="D129" s="302"/>
      <c r="E129" s="283"/>
      <c r="F129" s="288"/>
      <c r="G129" s="283"/>
      <c r="H129" s="288"/>
      <c r="I129" s="283"/>
      <c r="J129" s="288"/>
      <c r="K129" s="283"/>
      <c r="L129" s="288"/>
      <c r="M129" s="283"/>
      <c r="N129" s="288"/>
      <c r="O129" s="283"/>
      <c r="P129" s="288"/>
      <c r="Q129" s="283"/>
      <c r="R129" s="288"/>
      <c r="S129" s="283"/>
      <c r="T129" s="288"/>
      <c r="U129" s="283"/>
      <c r="V129" s="288"/>
      <c r="W129" s="283"/>
      <c r="X129" s="288"/>
      <c r="Y129" s="286">
        <f t="shared" si="6"/>
        <v>0</v>
      </c>
      <c r="Z129" s="287">
        <f t="shared" si="7"/>
        <v>0</v>
      </c>
    </row>
    <row r="130" spans="1:26" ht="40.049999999999997" customHeight="1" x14ac:dyDescent="0.3">
      <c r="A130" s="308" t="s">
        <v>328</v>
      </c>
      <c r="B130" s="905" t="s">
        <v>329</v>
      </c>
      <c r="C130" s="283"/>
      <c r="D130" s="302"/>
      <c r="E130" s="307"/>
      <c r="F130" s="288"/>
      <c r="G130" s="288"/>
      <c r="H130" s="288"/>
      <c r="I130" s="288"/>
      <c r="J130" s="288"/>
      <c r="K130" s="288"/>
      <c r="L130" s="288"/>
      <c r="M130" s="307"/>
      <c r="N130" s="288"/>
      <c r="O130" s="285"/>
      <c r="P130" s="288"/>
      <c r="Q130" s="285"/>
      <c r="R130" s="288"/>
      <c r="S130" s="285"/>
      <c r="T130" s="288"/>
      <c r="U130" s="285"/>
      <c r="V130" s="288"/>
      <c r="W130" s="285"/>
      <c r="X130" s="288"/>
      <c r="Y130" s="286">
        <f t="shared" si="6"/>
        <v>0</v>
      </c>
      <c r="Z130" s="287">
        <f t="shared" si="7"/>
        <v>0</v>
      </c>
    </row>
    <row r="131" spans="1:26" ht="40.049999999999997" customHeight="1" x14ac:dyDescent="0.3">
      <c r="A131" s="308" t="s">
        <v>330</v>
      </c>
      <c r="B131" s="905" t="s">
        <v>331</v>
      </c>
      <c r="C131" s="284"/>
      <c r="D131" s="302"/>
      <c r="E131" s="285"/>
      <c r="F131" s="288"/>
      <c r="G131" s="285"/>
      <c r="H131" s="288"/>
      <c r="I131" s="285"/>
      <c r="J131" s="288"/>
      <c r="K131" s="285"/>
      <c r="L131" s="288"/>
      <c r="M131" s="285"/>
      <c r="N131" s="288"/>
      <c r="O131" s="285"/>
      <c r="P131" s="288"/>
      <c r="Q131" s="285"/>
      <c r="R131" s="288"/>
      <c r="S131" s="285"/>
      <c r="T131" s="288"/>
      <c r="U131" s="285"/>
      <c r="V131" s="288"/>
      <c r="W131" s="285"/>
      <c r="X131" s="288"/>
      <c r="Y131" s="286">
        <f t="shared" si="6"/>
        <v>0</v>
      </c>
      <c r="Z131" s="287">
        <f t="shared" si="7"/>
        <v>0</v>
      </c>
    </row>
    <row r="132" spans="1:26" ht="40.049999999999997" customHeight="1" x14ac:dyDescent="0.3">
      <c r="A132" s="308" t="s">
        <v>332</v>
      </c>
      <c r="B132" s="905" t="s">
        <v>333</v>
      </c>
      <c r="C132" s="283"/>
      <c r="D132" s="302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6">
        <f t="shared" si="6"/>
        <v>0</v>
      </c>
      <c r="Z132" s="287">
        <f t="shared" si="7"/>
        <v>0</v>
      </c>
    </row>
    <row r="133" spans="1:26" ht="40.049999999999997" customHeight="1" x14ac:dyDescent="0.3">
      <c r="A133" s="308" t="s">
        <v>334</v>
      </c>
      <c r="B133" s="905" t="s">
        <v>335</v>
      </c>
      <c r="C133" s="283"/>
      <c r="D133" s="284"/>
      <c r="E133" s="283"/>
      <c r="F133" s="285"/>
      <c r="G133" s="283"/>
      <c r="H133" s="285"/>
      <c r="I133" s="283"/>
      <c r="J133" s="285"/>
      <c r="K133" s="283"/>
      <c r="L133" s="288"/>
      <c r="M133" s="283"/>
      <c r="N133" s="288"/>
      <c r="O133" s="283"/>
      <c r="P133" s="288"/>
      <c r="Q133" s="283"/>
      <c r="R133" s="288"/>
      <c r="S133" s="283"/>
      <c r="T133" s="288"/>
      <c r="U133" s="283"/>
      <c r="V133" s="288"/>
      <c r="W133" s="283"/>
      <c r="X133" s="288"/>
      <c r="Y133" s="286">
        <f t="shared" si="6"/>
        <v>0</v>
      </c>
      <c r="Z133" s="287">
        <f t="shared" si="7"/>
        <v>0</v>
      </c>
    </row>
    <row r="134" spans="1:26" ht="40.049999999999997" customHeight="1" x14ac:dyDescent="0.3">
      <c r="A134" s="308" t="s">
        <v>336</v>
      </c>
      <c r="B134" s="905" t="s">
        <v>337</v>
      </c>
      <c r="C134" s="283"/>
      <c r="D134" s="302"/>
      <c r="E134" s="283"/>
      <c r="F134" s="288"/>
      <c r="G134" s="283"/>
      <c r="H134" s="288"/>
      <c r="I134" s="283"/>
      <c r="J134" s="288"/>
      <c r="K134" s="283"/>
      <c r="L134" s="288"/>
      <c r="M134" s="283"/>
      <c r="N134" s="288"/>
      <c r="O134" s="283"/>
      <c r="P134" s="288"/>
      <c r="Q134" s="283"/>
      <c r="R134" s="288"/>
      <c r="S134" s="283"/>
      <c r="T134" s="288"/>
      <c r="U134" s="283"/>
      <c r="V134" s="288"/>
      <c r="W134" s="283"/>
      <c r="X134" s="288"/>
      <c r="Y134" s="286">
        <f t="shared" si="6"/>
        <v>0</v>
      </c>
      <c r="Z134" s="287">
        <f t="shared" si="7"/>
        <v>0</v>
      </c>
    </row>
    <row r="135" spans="1:26" ht="40.049999999999997" customHeight="1" x14ac:dyDescent="0.3">
      <c r="A135" s="308" t="s">
        <v>338</v>
      </c>
      <c r="B135" s="905" t="s">
        <v>339</v>
      </c>
      <c r="C135" s="283"/>
      <c r="D135" s="302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6">
        <f t="shared" si="6"/>
        <v>0</v>
      </c>
      <c r="Z135" s="287">
        <f t="shared" si="7"/>
        <v>0</v>
      </c>
    </row>
    <row r="136" spans="1:26" ht="40.049999999999997" customHeight="1" x14ac:dyDescent="0.3">
      <c r="A136" s="308" t="s">
        <v>340</v>
      </c>
      <c r="B136" s="905" t="s">
        <v>341</v>
      </c>
      <c r="C136" s="283"/>
      <c r="D136" s="302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6">
        <f t="shared" si="6"/>
        <v>0</v>
      </c>
      <c r="Z136" s="287">
        <f t="shared" si="7"/>
        <v>0</v>
      </c>
    </row>
    <row r="137" spans="1:26" ht="40.049999999999997" customHeight="1" x14ac:dyDescent="0.3">
      <c r="A137" s="308" t="s">
        <v>342</v>
      </c>
      <c r="B137" s="905" t="s">
        <v>343</v>
      </c>
      <c r="C137" s="283"/>
      <c r="D137" s="302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6">
        <f t="shared" si="6"/>
        <v>0</v>
      </c>
      <c r="Z137" s="287">
        <f t="shared" si="7"/>
        <v>0</v>
      </c>
    </row>
    <row r="138" spans="1:26" ht="40.049999999999997" customHeight="1" x14ac:dyDescent="0.3">
      <c r="A138" s="308" t="s">
        <v>344</v>
      </c>
      <c r="B138" s="905" t="s">
        <v>345</v>
      </c>
      <c r="C138" s="283"/>
      <c r="D138" s="302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6">
        <f t="shared" si="6"/>
        <v>0</v>
      </c>
      <c r="Z138" s="287">
        <f t="shared" si="7"/>
        <v>0</v>
      </c>
    </row>
    <row r="139" spans="1:26" ht="40.049999999999997" customHeight="1" x14ac:dyDescent="0.3">
      <c r="A139" s="308" t="s">
        <v>346</v>
      </c>
      <c r="B139" s="905" t="s">
        <v>347</v>
      </c>
      <c r="C139" s="283"/>
      <c r="D139" s="302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6">
        <f t="shared" si="6"/>
        <v>0</v>
      </c>
      <c r="Z139" s="287">
        <f t="shared" si="7"/>
        <v>0</v>
      </c>
    </row>
    <row r="140" spans="1:26" ht="40.049999999999997" customHeight="1" x14ac:dyDescent="0.3">
      <c r="A140" s="289" t="s">
        <v>348</v>
      </c>
      <c r="B140" s="916" t="s">
        <v>349</v>
      </c>
      <c r="C140" s="291"/>
      <c r="D140" s="292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3"/>
      <c r="W140" s="293"/>
      <c r="X140" s="293"/>
      <c r="Y140" s="293"/>
      <c r="Z140" s="295"/>
    </row>
    <row r="141" spans="1:26" ht="40.049999999999997" customHeight="1" x14ac:dyDescent="0.3">
      <c r="A141" s="308" t="s">
        <v>350</v>
      </c>
      <c r="B141" s="902" t="s">
        <v>351</v>
      </c>
      <c r="C141" s="283"/>
      <c r="D141" s="302"/>
      <c r="E141" s="283"/>
      <c r="F141" s="288"/>
      <c r="G141" s="283"/>
      <c r="H141" s="288"/>
      <c r="I141" s="283"/>
      <c r="J141" s="288"/>
      <c r="K141" s="283"/>
      <c r="L141" s="288"/>
      <c r="M141" s="283"/>
      <c r="N141" s="288"/>
      <c r="O141" s="283"/>
      <c r="P141" s="288"/>
      <c r="Q141" s="283"/>
      <c r="R141" s="288"/>
      <c r="S141" s="283"/>
      <c r="T141" s="288"/>
      <c r="U141" s="283"/>
      <c r="V141" s="288"/>
      <c r="W141" s="283"/>
      <c r="X141" s="288"/>
      <c r="Y141" s="286">
        <f>COUNTIF(C141:X141,"&gt;=R")</f>
        <v>0</v>
      </c>
      <c r="Z141" s="287">
        <f>Y141</f>
        <v>0</v>
      </c>
    </row>
    <row r="142" spans="1:26" ht="40.049999999999997" customHeight="1" x14ac:dyDescent="0.3">
      <c r="A142" s="308" t="s">
        <v>352</v>
      </c>
      <c r="B142" s="902" t="s">
        <v>353</v>
      </c>
      <c r="C142" s="283"/>
      <c r="D142" s="302"/>
      <c r="E142" s="288"/>
      <c r="F142" s="288"/>
      <c r="G142" s="288"/>
      <c r="H142" s="288"/>
      <c r="I142" s="288"/>
      <c r="J142" s="288"/>
      <c r="K142" s="288"/>
      <c r="L142" s="288"/>
      <c r="M142" s="288" t="s">
        <v>91</v>
      </c>
      <c r="N142" s="288"/>
      <c r="O142" s="288"/>
      <c r="P142" s="288"/>
      <c r="Q142" s="288"/>
      <c r="R142" s="288"/>
      <c r="S142" s="288"/>
      <c r="T142" s="288"/>
      <c r="U142" s="285" t="s">
        <v>85</v>
      </c>
      <c r="V142" s="288"/>
      <c r="W142" s="285" t="s">
        <v>85</v>
      </c>
      <c r="X142" s="288"/>
      <c r="Y142" s="286">
        <f>COUNTIF(C142:X142,"&gt;=R")</f>
        <v>3</v>
      </c>
      <c r="Z142" s="287">
        <f>Y142</f>
        <v>3</v>
      </c>
    </row>
    <row r="143" spans="1:26" ht="40.049999999999997" customHeight="1" x14ac:dyDescent="0.3">
      <c r="A143" s="308" t="s">
        <v>354</v>
      </c>
      <c r="B143" s="902" t="s">
        <v>355</v>
      </c>
      <c r="C143" s="283"/>
      <c r="D143" s="302"/>
      <c r="E143" s="288"/>
      <c r="F143" s="288"/>
      <c r="G143" s="288"/>
      <c r="H143" s="288"/>
      <c r="I143" s="288"/>
      <c r="J143" s="288"/>
      <c r="K143" s="288"/>
      <c r="L143" s="288"/>
      <c r="M143" s="288" t="s">
        <v>91</v>
      </c>
      <c r="N143" s="288"/>
      <c r="O143" s="288"/>
      <c r="P143" s="288"/>
      <c r="Q143" s="288"/>
      <c r="R143" s="288"/>
      <c r="S143" s="288"/>
      <c r="T143" s="288"/>
      <c r="U143" s="285" t="s">
        <v>85</v>
      </c>
      <c r="V143" s="288"/>
      <c r="W143" s="285" t="s">
        <v>85</v>
      </c>
      <c r="X143" s="288"/>
      <c r="Y143" s="286">
        <f>COUNTIF(C143:X143,"&gt;=R")</f>
        <v>3</v>
      </c>
      <c r="Z143" s="287">
        <f>Y143</f>
        <v>3</v>
      </c>
    </row>
    <row r="144" spans="1:26" ht="40.049999999999997" customHeight="1" x14ac:dyDescent="0.3">
      <c r="A144" s="289" t="s">
        <v>356</v>
      </c>
      <c r="B144" s="916" t="s">
        <v>357</v>
      </c>
      <c r="C144" s="291"/>
      <c r="D144" s="292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3"/>
      <c r="W144" s="293"/>
      <c r="X144" s="293"/>
      <c r="Y144" s="293"/>
      <c r="Z144" s="295"/>
    </row>
    <row r="145" spans="1:26" ht="40.049999999999997" customHeight="1" x14ac:dyDescent="0.3">
      <c r="A145" s="308" t="s">
        <v>358</v>
      </c>
      <c r="B145" s="902" t="s">
        <v>359</v>
      </c>
      <c r="C145" s="283"/>
      <c r="D145" s="302"/>
      <c r="E145" s="283"/>
      <c r="F145" s="288"/>
      <c r="G145" s="283"/>
      <c r="H145" s="288"/>
      <c r="I145" s="283"/>
      <c r="J145" s="288"/>
      <c r="K145" s="283"/>
      <c r="L145" s="288"/>
      <c r="M145" s="283"/>
      <c r="N145" s="288"/>
      <c r="O145" s="283"/>
      <c r="P145" s="288"/>
      <c r="Q145" s="283" t="s">
        <v>57</v>
      </c>
      <c r="R145" s="288"/>
      <c r="S145" s="283" t="s">
        <v>57</v>
      </c>
      <c r="T145" s="288"/>
      <c r="U145" s="283"/>
      <c r="V145" s="288"/>
      <c r="W145" s="286"/>
      <c r="X145" s="288"/>
      <c r="Y145" s="286">
        <f>COUNTIF(C145:X145,"&gt;=R")</f>
        <v>2</v>
      </c>
      <c r="Z145" s="287">
        <f>Y145</f>
        <v>2</v>
      </c>
    </row>
    <row r="146" spans="1:26" ht="40.049999999999997" customHeight="1" x14ac:dyDescent="0.3">
      <c r="A146" s="308" t="s">
        <v>360</v>
      </c>
      <c r="B146" s="902" t="s">
        <v>361</v>
      </c>
      <c r="C146" s="284" t="s">
        <v>76</v>
      </c>
      <c r="D146" s="302"/>
      <c r="E146" s="285" t="s">
        <v>76</v>
      </c>
      <c r="F146" s="288"/>
      <c r="G146" s="285" t="s">
        <v>76</v>
      </c>
      <c r="H146" s="288"/>
      <c r="I146" s="285" t="s">
        <v>76</v>
      </c>
      <c r="J146" s="288"/>
      <c r="K146" s="285" t="s">
        <v>76</v>
      </c>
      <c r="L146" s="288"/>
      <c r="M146" s="285" t="s">
        <v>407</v>
      </c>
      <c r="N146" s="288"/>
      <c r="O146" s="285" t="s">
        <v>407</v>
      </c>
      <c r="P146" s="288"/>
      <c r="Q146" s="580" t="s">
        <v>37</v>
      </c>
      <c r="R146" s="288"/>
      <c r="S146" s="580" t="s">
        <v>37</v>
      </c>
      <c r="T146" s="288"/>
      <c r="U146" s="285" t="s">
        <v>76</v>
      </c>
      <c r="V146" s="288"/>
      <c r="W146" s="285" t="s">
        <v>76</v>
      </c>
      <c r="X146" s="288"/>
      <c r="Y146" s="286">
        <f>COUNTIF(C146:X146,"&gt;=R")</f>
        <v>11</v>
      </c>
      <c r="Z146" s="287">
        <f>Y146</f>
        <v>11</v>
      </c>
    </row>
    <row r="147" spans="1:26" ht="40.049999999999997" customHeight="1" x14ac:dyDescent="0.3">
      <c r="A147" s="308" t="s">
        <v>362</v>
      </c>
      <c r="B147" s="902" t="s">
        <v>363</v>
      </c>
      <c r="C147" s="283"/>
      <c r="D147" s="302"/>
      <c r="E147" s="283"/>
      <c r="F147" s="288"/>
      <c r="G147" s="283"/>
      <c r="H147" s="288"/>
      <c r="I147" s="283"/>
      <c r="J147" s="288"/>
      <c r="K147" s="283"/>
      <c r="L147" s="288"/>
      <c r="M147" s="283"/>
      <c r="N147" s="288"/>
      <c r="O147" s="283"/>
      <c r="P147" s="288"/>
      <c r="Q147" s="283"/>
      <c r="R147" s="288"/>
      <c r="S147" s="283"/>
      <c r="T147" s="288"/>
      <c r="U147" s="283"/>
      <c r="V147" s="288"/>
      <c r="W147" s="283"/>
      <c r="X147" s="288"/>
      <c r="Y147" s="286">
        <f>COUNTIF(C147:X147,"&gt;=R")</f>
        <v>0</v>
      </c>
      <c r="Z147" s="287">
        <f>Y147</f>
        <v>0</v>
      </c>
    </row>
    <row r="148" spans="1:26" ht="40.049999999999997" customHeight="1" x14ac:dyDescent="0.3">
      <c r="A148" s="289" t="s">
        <v>364</v>
      </c>
      <c r="B148" s="913" t="s">
        <v>365</v>
      </c>
      <c r="C148" s="291"/>
      <c r="D148" s="292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3"/>
      <c r="W148" s="293"/>
      <c r="X148" s="293"/>
      <c r="Y148" s="293"/>
      <c r="Z148" s="295"/>
    </row>
    <row r="149" spans="1:26" ht="40.049999999999997" customHeight="1" x14ac:dyDescent="0.3">
      <c r="A149" s="917" t="s">
        <v>366</v>
      </c>
      <c r="B149" s="496" t="s">
        <v>367</v>
      </c>
      <c r="C149" s="302"/>
      <c r="D149" s="302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6">
        <f t="shared" ref="Y149:Y156" si="8">COUNTIF(C149:X149,"&gt;=R")</f>
        <v>0</v>
      </c>
      <c r="Z149" s="287">
        <f t="shared" ref="Z149:Z156" si="9">Y149</f>
        <v>0</v>
      </c>
    </row>
    <row r="150" spans="1:26" ht="40.049999999999997" customHeight="1" x14ac:dyDescent="0.3">
      <c r="A150" s="918" t="s">
        <v>368</v>
      </c>
      <c r="B150" s="313" t="s">
        <v>369</v>
      </c>
      <c r="C150" s="302"/>
      <c r="D150" s="302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8"/>
      <c r="V150" s="288"/>
      <c r="W150" s="288"/>
      <c r="X150" s="288"/>
      <c r="Y150" s="286">
        <f t="shared" si="8"/>
        <v>0</v>
      </c>
      <c r="Z150" s="287">
        <f t="shared" si="9"/>
        <v>0</v>
      </c>
    </row>
    <row r="151" spans="1:26" ht="40.049999999999997" customHeight="1" x14ac:dyDescent="0.3">
      <c r="A151" s="918" t="s">
        <v>370</v>
      </c>
      <c r="B151" s="313" t="s">
        <v>371</v>
      </c>
      <c r="C151" s="284"/>
      <c r="D151" s="302"/>
      <c r="E151" s="285"/>
      <c r="F151" s="288"/>
      <c r="G151" s="285"/>
      <c r="H151" s="288"/>
      <c r="I151" s="285"/>
      <c r="J151" s="288"/>
      <c r="K151" s="285"/>
      <c r="L151" s="288"/>
      <c r="M151" s="285"/>
      <c r="N151" s="288"/>
      <c r="O151" s="285"/>
      <c r="P151" s="288"/>
      <c r="Q151" s="285"/>
      <c r="R151" s="288"/>
      <c r="S151" s="285"/>
      <c r="T151" s="288"/>
      <c r="U151" s="285"/>
      <c r="V151" s="288"/>
      <c r="W151" s="285"/>
      <c r="X151" s="288"/>
      <c r="Y151" s="286">
        <f t="shared" si="8"/>
        <v>0</v>
      </c>
      <c r="Z151" s="287">
        <f t="shared" si="9"/>
        <v>0</v>
      </c>
    </row>
    <row r="152" spans="1:26" ht="40.049999999999997" customHeight="1" x14ac:dyDescent="0.3">
      <c r="A152" s="312" t="s">
        <v>372</v>
      </c>
      <c r="B152" s="497" t="s">
        <v>373</v>
      </c>
      <c r="C152" s="284" t="s">
        <v>93</v>
      </c>
      <c r="D152" s="302"/>
      <c r="E152" s="288" t="s">
        <v>85</v>
      </c>
      <c r="F152" s="288"/>
      <c r="G152" s="288" t="s">
        <v>85</v>
      </c>
      <c r="H152" s="288"/>
      <c r="I152" s="285" t="s">
        <v>85</v>
      </c>
      <c r="J152" s="288"/>
      <c r="K152" s="285" t="s">
        <v>93</v>
      </c>
      <c r="L152" s="288"/>
      <c r="M152" s="285" t="s">
        <v>93</v>
      </c>
      <c r="N152" s="288"/>
      <c r="O152" s="285" t="s">
        <v>77</v>
      </c>
      <c r="P152" s="288"/>
      <c r="Q152" s="285" t="s">
        <v>85</v>
      </c>
      <c r="R152" s="288"/>
      <c r="S152" s="285" t="s">
        <v>93</v>
      </c>
      <c r="T152" s="288"/>
      <c r="U152" s="285" t="s">
        <v>85</v>
      </c>
      <c r="V152" s="288"/>
      <c r="W152" s="288" t="s">
        <v>85</v>
      </c>
      <c r="X152" s="288"/>
      <c r="Y152" s="286">
        <f t="shared" si="8"/>
        <v>11</v>
      </c>
      <c r="Z152" s="287">
        <f t="shared" si="9"/>
        <v>11</v>
      </c>
    </row>
    <row r="153" spans="1:26" ht="40.049999999999997" customHeight="1" x14ac:dyDescent="0.3">
      <c r="A153" s="312" t="s">
        <v>374</v>
      </c>
      <c r="B153" s="497" t="s">
        <v>375</v>
      </c>
      <c r="C153" s="284"/>
      <c r="D153" s="302"/>
      <c r="E153" s="288"/>
      <c r="F153" s="288"/>
      <c r="G153" s="288"/>
      <c r="H153" s="288"/>
      <c r="I153" s="285"/>
      <c r="J153" s="288"/>
      <c r="K153" s="285"/>
      <c r="L153" s="288"/>
      <c r="M153" s="285"/>
      <c r="N153" s="288"/>
      <c r="O153" s="285"/>
      <c r="P153" s="288"/>
      <c r="Q153" s="285"/>
      <c r="R153" s="288"/>
      <c r="S153" s="285"/>
      <c r="T153" s="288"/>
      <c r="U153" s="285"/>
      <c r="V153" s="288"/>
      <c r="W153" s="288"/>
      <c r="X153" s="288"/>
      <c r="Y153" s="286">
        <f t="shared" si="8"/>
        <v>0</v>
      </c>
      <c r="Z153" s="287">
        <f t="shared" si="9"/>
        <v>0</v>
      </c>
    </row>
    <row r="154" spans="1:26" ht="40.049999999999997" customHeight="1" x14ac:dyDescent="0.3">
      <c r="A154" s="312" t="s">
        <v>376</v>
      </c>
      <c r="B154" s="497" t="s">
        <v>377</v>
      </c>
      <c r="C154" s="284"/>
      <c r="D154" s="302"/>
      <c r="E154" s="285"/>
      <c r="F154" s="288"/>
      <c r="G154" s="285"/>
      <c r="H154" s="288"/>
      <c r="I154" s="285"/>
      <c r="J154" s="288"/>
      <c r="K154" s="285"/>
      <c r="L154" s="288"/>
      <c r="M154" s="285"/>
      <c r="N154" s="288"/>
      <c r="O154" s="285"/>
      <c r="P154" s="288"/>
      <c r="Q154" s="285"/>
      <c r="R154" s="288"/>
      <c r="S154" s="285"/>
      <c r="T154" s="288"/>
      <c r="U154" s="285"/>
      <c r="V154" s="288"/>
      <c r="W154" s="285"/>
      <c r="X154" s="288"/>
      <c r="Y154" s="286">
        <f t="shared" si="8"/>
        <v>0</v>
      </c>
      <c r="Z154" s="287">
        <f t="shared" si="9"/>
        <v>0</v>
      </c>
    </row>
    <row r="155" spans="1:26" ht="40.049999999999997" customHeight="1" x14ac:dyDescent="0.3">
      <c r="A155" s="312" t="s">
        <v>374</v>
      </c>
      <c r="B155" s="498" t="s">
        <v>375</v>
      </c>
      <c r="C155" s="302"/>
      <c r="D155" s="302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6">
        <f t="shared" si="8"/>
        <v>0</v>
      </c>
      <c r="Z155" s="287">
        <f t="shared" si="9"/>
        <v>0</v>
      </c>
    </row>
    <row r="156" spans="1:26" ht="40.049999999999997" customHeight="1" x14ac:dyDescent="0.65">
      <c r="A156" s="357" t="s">
        <v>378</v>
      </c>
      <c r="B156" s="903" t="s">
        <v>379</v>
      </c>
      <c r="C156" s="283"/>
      <c r="D156" s="284"/>
      <c r="E156" s="285"/>
      <c r="F156" s="285"/>
      <c r="G156" s="288"/>
      <c r="H156" s="285"/>
      <c r="I156" s="288"/>
      <c r="J156" s="285"/>
      <c r="K156" s="285"/>
      <c r="L156" s="285"/>
      <c r="M156" s="285"/>
      <c r="N156" s="285"/>
      <c r="O156" s="285"/>
      <c r="P156" s="285"/>
      <c r="Q156" s="285"/>
      <c r="R156" s="285"/>
      <c r="S156" s="285"/>
      <c r="T156" s="285"/>
      <c r="U156" s="285"/>
      <c r="V156" s="285"/>
      <c r="W156" s="285"/>
      <c r="X156" s="285"/>
      <c r="Y156" s="286">
        <f t="shared" si="8"/>
        <v>0</v>
      </c>
      <c r="Z156" s="287">
        <f t="shared" si="9"/>
        <v>0</v>
      </c>
    </row>
    <row r="157" spans="1:26" ht="40.049999999999997" customHeight="1" x14ac:dyDescent="0.3">
      <c r="A157" s="289" t="s">
        <v>380</v>
      </c>
      <c r="B157" s="913" t="s">
        <v>381</v>
      </c>
      <c r="C157" s="291"/>
      <c r="D157" s="292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3"/>
      <c r="W157" s="293"/>
      <c r="X157" s="293"/>
      <c r="Y157" s="293"/>
      <c r="Z157" s="295"/>
    </row>
    <row r="158" spans="1:26" ht="40.049999999999997" customHeight="1" x14ac:dyDescent="0.3">
      <c r="A158" s="308" t="s">
        <v>382</v>
      </c>
      <c r="B158" s="902" t="s">
        <v>383</v>
      </c>
      <c r="C158" s="283"/>
      <c r="D158" s="302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6">
        <f>COUNTIF(C158:X158,"&gt;=R")</f>
        <v>0</v>
      </c>
      <c r="Z158" s="287">
        <f>Y158</f>
        <v>0</v>
      </c>
    </row>
    <row r="159" spans="1:26" ht="40.049999999999997" customHeight="1" x14ac:dyDescent="0.3">
      <c r="A159" s="308" t="s">
        <v>384</v>
      </c>
      <c r="B159" s="902" t="s">
        <v>385</v>
      </c>
      <c r="C159" s="283"/>
      <c r="D159" s="302"/>
      <c r="E159" s="283"/>
      <c r="F159" s="288"/>
      <c r="G159" s="283"/>
      <c r="H159" s="288"/>
      <c r="I159" s="283"/>
      <c r="J159" s="288"/>
      <c r="K159" s="283"/>
      <c r="L159" s="288"/>
      <c r="M159" s="283"/>
      <c r="N159" s="288"/>
      <c r="O159" s="283"/>
      <c r="P159" s="288"/>
      <c r="Q159" s="283"/>
      <c r="R159" s="288"/>
      <c r="S159" s="283"/>
      <c r="T159" s="288"/>
      <c r="U159" s="283"/>
      <c r="V159" s="288"/>
      <c r="W159" s="283"/>
      <c r="X159" s="288"/>
      <c r="Y159" s="286">
        <f>COUNTIF(C159:X159,"&gt;=R")</f>
        <v>0</v>
      </c>
      <c r="Z159" s="287">
        <f>Y159</f>
        <v>0</v>
      </c>
    </row>
    <row r="160" spans="1:26" ht="40.049999999999997" customHeight="1" x14ac:dyDescent="0.3">
      <c r="A160" s="308" t="s">
        <v>386</v>
      </c>
      <c r="B160" s="902" t="s">
        <v>387</v>
      </c>
      <c r="C160" s="283"/>
      <c r="D160" s="302"/>
      <c r="E160" s="283"/>
      <c r="F160" s="288"/>
      <c r="G160" s="283"/>
      <c r="H160" s="288"/>
      <c r="I160" s="283"/>
      <c r="J160" s="288"/>
      <c r="K160" s="283"/>
      <c r="L160" s="288"/>
      <c r="M160" s="283"/>
      <c r="N160" s="288"/>
      <c r="O160" s="283"/>
      <c r="P160" s="288"/>
      <c r="Q160" s="283"/>
      <c r="R160" s="288"/>
      <c r="S160" s="283"/>
      <c r="T160" s="288"/>
      <c r="U160" s="283"/>
      <c r="V160" s="288"/>
      <c r="W160" s="283"/>
      <c r="X160" s="288"/>
      <c r="Y160" s="286">
        <f>COUNTIF(C160:X160,"&gt;=R")</f>
        <v>0</v>
      </c>
      <c r="Z160" s="287">
        <f>Y160</f>
        <v>0</v>
      </c>
    </row>
    <row r="161" spans="1:31" ht="40.049999999999997" customHeight="1" x14ac:dyDescent="0.3">
      <c r="A161" s="308" t="s">
        <v>388</v>
      </c>
      <c r="B161" s="902" t="s">
        <v>389</v>
      </c>
      <c r="C161" s="283"/>
      <c r="D161" s="302"/>
      <c r="E161" s="283"/>
      <c r="F161" s="288"/>
      <c r="G161" s="283"/>
      <c r="H161" s="288"/>
      <c r="I161" s="283"/>
      <c r="J161" s="288"/>
      <c r="K161" s="283"/>
      <c r="L161" s="288"/>
      <c r="M161" s="283"/>
      <c r="N161" s="288"/>
      <c r="O161" s="283"/>
      <c r="P161" s="288"/>
      <c r="Q161" s="283"/>
      <c r="R161" s="288"/>
      <c r="S161" s="283"/>
      <c r="T161" s="288"/>
      <c r="U161" s="283"/>
      <c r="V161" s="288"/>
      <c r="W161" s="283"/>
      <c r="X161" s="288"/>
      <c r="Y161" s="286">
        <f>COUNTIF(C161:X161,"&gt;=R")</f>
        <v>0</v>
      </c>
      <c r="Z161" s="287">
        <f>Y161</f>
        <v>0</v>
      </c>
    </row>
    <row r="162" spans="1:31" ht="40.049999999999997" customHeight="1" x14ac:dyDescent="0.3">
      <c r="A162" s="289" t="s">
        <v>390</v>
      </c>
      <c r="B162" s="916" t="s">
        <v>391</v>
      </c>
      <c r="C162" s="291"/>
      <c r="D162" s="292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3"/>
      <c r="W162" s="293"/>
      <c r="X162" s="293"/>
      <c r="Y162" s="293"/>
      <c r="Z162" s="295"/>
    </row>
    <row r="163" spans="1:31" ht="40.049999999999997" customHeight="1" x14ac:dyDescent="0.3">
      <c r="A163" s="918" t="s">
        <v>392</v>
      </c>
      <c r="B163" s="313" t="s">
        <v>393</v>
      </c>
      <c r="C163" s="283"/>
      <c r="D163" s="302"/>
      <c r="E163" s="283"/>
      <c r="F163" s="288"/>
      <c r="G163" s="283"/>
      <c r="H163" s="288"/>
      <c r="I163" s="288"/>
      <c r="J163" s="288"/>
      <c r="K163" s="283"/>
      <c r="L163" s="288"/>
      <c r="M163" s="283"/>
      <c r="N163" s="288"/>
      <c r="O163" s="283"/>
      <c r="P163" s="288"/>
      <c r="Q163" s="283"/>
      <c r="R163" s="288"/>
      <c r="S163" s="283"/>
      <c r="T163" s="288"/>
      <c r="U163" s="283"/>
      <c r="V163" s="288"/>
      <c r="W163" s="283"/>
      <c r="X163" s="288"/>
      <c r="Y163" s="286">
        <f>COUNTIF(C163:X163,"&gt;=R")</f>
        <v>0</v>
      </c>
      <c r="Z163" s="287">
        <f>Y163</f>
        <v>0</v>
      </c>
    </row>
    <row r="164" spans="1:31" ht="40.049999999999997" customHeight="1" x14ac:dyDescent="0.65">
      <c r="A164" s="918" t="s">
        <v>394</v>
      </c>
      <c r="B164" s="313" t="s">
        <v>395</v>
      </c>
      <c r="C164" s="283"/>
      <c r="D164" s="302"/>
      <c r="E164" s="283"/>
      <c r="F164" s="288"/>
      <c r="G164" s="283"/>
      <c r="H164" s="288"/>
      <c r="I164" s="288"/>
      <c r="J164" s="288"/>
      <c r="K164" s="283"/>
      <c r="L164" s="288"/>
      <c r="M164" s="283"/>
      <c r="N164" s="288"/>
      <c r="O164" s="283"/>
      <c r="P164" s="288"/>
      <c r="Q164" s="283"/>
      <c r="R164" s="288"/>
      <c r="S164" s="283"/>
      <c r="T164" s="288"/>
      <c r="U164" s="283"/>
      <c r="V164" s="288"/>
      <c r="W164" s="283"/>
      <c r="X164" s="288"/>
      <c r="Y164" s="286">
        <f>COUNTIF(C164:X164,"&gt;=R")</f>
        <v>0</v>
      </c>
      <c r="Z164" s="287">
        <f>Y164</f>
        <v>0</v>
      </c>
      <c r="AA164" s="393"/>
      <c r="AB164" s="393"/>
      <c r="AC164" s="393"/>
      <c r="AD164" s="393"/>
      <c r="AE164" s="393"/>
    </row>
    <row r="165" spans="1:31" ht="40.049999999999997" customHeight="1" thickBot="1" x14ac:dyDescent="0.7">
      <c r="A165" s="919" t="s">
        <v>396</v>
      </c>
      <c r="B165" s="499" t="s">
        <v>397</v>
      </c>
      <c r="C165" s="327"/>
      <c r="D165" s="328"/>
      <c r="E165" s="327"/>
      <c r="F165" s="329"/>
      <c r="G165" s="327"/>
      <c r="H165" s="329"/>
      <c r="I165" s="329"/>
      <c r="J165" s="329"/>
      <c r="K165" s="327"/>
      <c r="L165" s="329"/>
      <c r="M165" s="327"/>
      <c r="N165" s="329"/>
      <c r="O165" s="327"/>
      <c r="P165" s="329"/>
      <c r="Q165" s="327"/>
      <c r="R165" s="329"/>
      <c r="S165" s="327"/>
      <c r="T165" s="329"/>
      <c r="U165" s="327"/>
      <c r="V165" s="329"/>
      <c r="W165" s="327"/>
      <c r="X165" s="329"/>
      <c r="Y165" s="286">
        <f>COUNTIF(C165:X165,"&gt;=R")</f>
        <v>0</v>
      </c>
      <c r="Z165" s="287">
        <f>Y165</f>
        <v>0</v>
      </c>
      <c r="AA165" s="393"/>
      <c r="AB165" s="393"/>
      <c r="AC165" s="393"/>
      <c r="AD165" s="393"/>
      <c r="AE165" s="393"/>
    </row>
    <row r="166" spans="1:31" ht="25.2" customHeight="1" x14ac:dyDescent="0.45">
      <c r="A166" s="214"/>
      <c r="B166" s="2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3"/>
      <c r="AB166" s="3"/>
      <c r="AC166" s="3"/>
      <c r="AD166" s="1"/>
      <c r="AE166" s="1"/>
    </row>
    <row r="167" spans="1:31" ht="25.2" customHeight="1" x14ac:dyDescent="0.45">
      <c r="A167" s="214"/>
      <c r="B167" s="2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3"/>
      <c r="AB167" s="3"/>
      <c r="AC167" s="3"/>
      <c r="AD167" s="1"/>
      <c r="AE167" s="1"/>
    </row>
    <row r="168" spans="1:31" ht="25.2" customHeight="1" x14ac:dyDescent="0.45">
      <c r="A168" s="214"/>
      <c r="B168" s="2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3"/>
      <c r="AB168" s="3"/>
      <c r="AC168" s="3"/>
      <c r="AD168" s="1"/>
      <c r="AE168" s="1"/>
    </row>
    <row r="169" spans="1:31" ht="25.2" customHeight="1" x14ac:dyDescent="0.45">
      <c r="A169" s="214"/>
      <c r="B169" s="2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3"/>
      <c r="AB169" s="3"/>
      <c r="AC169" s="3"/>
      <c r="AD169" s="1"/>
      <c r="AE169" s="1"/>
    </row>
    <row r="170" spans="1:31" ht="25.2" customHeight="1" x14ac:dyDescent="0.45">
      <c r="A170" s="214"/>
      <c r="B170" s="2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3"/>
      <c r="AB170" s="3"/>
      <c r="AC170" s="3"/>
      <c r="AD170" s="1"/>
      <c r="AE170" s="1"/>
    </row>
    <row r="171" spans="1:31" ht="25.2" customHeight="1" x14ac:dyDescent="0.45">
      <c r="A171" s="214"/>
      <c r="B171" s="2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3"/>
      <c r="AB171" s="3"/>
      <c r="AC171" s="3"/>
      <c r="AD171" s="1"/>
      <c r="AE171" s="1"/>
    </row>
    <row r="172" spans="1:31" ht="25.2" customHeight="1" x14ac:dyDescent="0.45">
      <c r="A172" s="214"/>
      <c r="B172" s="2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3"/>
      <c r="AB172" s="3"/>
      <c r="AC172" s="3"/>
      <c r="AD172" s="1"/>
      <c r="AE172" s="1"/>
    </row>
    <row r="173" spans="1:31" ht="25.2" customHeight="1" x14ac:dyDescent="0.45">
      <c r="A173" s="216"/>
      <c r="B173" s="2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3"/>
      <c r="AB173" s="3"/>
      <c r="AC173" s="3"/>
      <c r="AD173" s="1"/>
      <c r="AE173" s="1"/>
    </row>
    <row r="174" spans="1:31" ht="25.2" customHeight="1" x14ac:dyDescent="0.45">
      <c r="A174" s="216"/>
      <c r="B174" s="2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3"/>
      <c r="AB174" s="3"/>
      <c r="AC174" s="3"/>
      <c r="AD174" s="1"/>
      <c r="AE174" s="1"/>
    </row>
    <row r="175" spans="1:31" ht="25.2" customHeight="1" x14ac:dyDescent="0.45">
      <c r="A175" s="216"/>
      <c r="B175" s="2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3"/>
      <c r="AB175" s="3"/>
      <c r="AC175" s="3"/>
      <c r="AD175" s="1"/>
      <c r="AE175" s="1"/>
    </row>
    <row r="176" spans="1:31" ht="25.2" customHeight="1" x14ac:dyDescent="0.45">
      <c r="A176" s="216"/>
      <c r="B176" s="2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3"/>
      <c r="AB176" s="3"/>
      <c r="AC176" s="3"/>
      <c r="AD176" s="1"/>
      <c r="AE176" s="1"/>
    </row>
    <row r="177" spans="1:31" ht="25.2" customHeight="1" x14ac:dyDescent="0.45">
      <c r="A177" s="217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3"/>
      <c r="AB177" s="3"/>
      <c r="AC177" s="3"/>
      <c r="AD177" s="1"/>
      <c r="AE177" s="1"/>
    </row>
    <row r="178" spans="1:31" ht="25.2" customHeight="1" x14ac:dyDescent="0.45">
      <c r="A178" s="218"/>
      <c r="B178" s="219"/>
      <c r="C178" s="220"/>
      <c r="D178" s="219"/>
      <c r="E178" s="219"/>
      <c r="F178" s="219"/>
      <c r="G178" s="219"/>
      <c r="H178" s="219"/>
      <c r="I178" s="221"/>
      <c r="J178" s="221"/>
      <c r="K178" s="221"/>
      <c r="L178" s="115"/>
      <c r="M178" s="115"/>
      <c r="N178" s="222"/>
      <c r="O178" s="222"/>
      <c r="P178" s="222"/>
      <c r="Q178" s="222"/>
      <c r="R178" s="222"/>
      <c r="S178" s="222"/>
      <c r="T178" s="222"/>
      <c r="U178" s="114"/>
      <c r="V178" s="227"/>
      <c r="W178" s="227"/>
      <c r="X178" s="221"/>
      <c r="Y178" s="221"/>
      <c r="Z178" s="221"/>
      <c r="AA178" s="4"/>
      <c r="AB178" s="4"/>
      <c r="AC178" s="3"/>
      <c r="AD178" s="1"/>
      <c r="AE178" s="1"/>
    </row>
    <row r="179" spans="1:31" s="357" customFormat="1" ht="25.2" customHeight="1" x14ac:dyDescent="0.65">
      <c r="A179" s="480"/>
      <c r="B179" s="330" t="s">
        <v>398</v>
      </c>
      <c r="C179" s="330"/>
      <c r="D179" s="1097" t="s">
        <v>44</v>
      </c>
      <c r="E179" s="1042"/>
      <c r="F179" s="1042"/>
      <c r="G179" s="1042"/>
      <c r="H179" s="1042"/>
      <c r="I179" s="1042"/>
      <c r="J179" s="1042"/>
      <c r="K179" s="1042"/>
      <c r="L179" s="474"/>
      <c r="M179" s="474"/>
      <c r="N179" s="1070" t="s">
        <v>399</v>
      </c>
      <c r="O179" s="1009"/>
      <c r="P179" s="1009"/>
      <c r="Q179" s="1009"/>
      <c r="R179" s="1009"/>
      <c r="S179" s="1009"/>
      <c r="T179" s="1009"/>
      <c r="V179" s="1094" t="s">
        <v>73</v>
      </c>
      <c r="W179" s="1009"/>
      <c r="X179" s="1009"/>
      <c r="Y179" s="1009"/>
      <c r="Z179" s="1009"/>
      <c r="AC179" s="475"/>
      <c r="AD179" s="475"/>
      <c r="AE179" s="475"/>
    </row>
    <row r="180" spans="1:31" s="357" customFormat="1" ht="25.2" customHeight="1" x14ac:dyDescent="0.65">
      <c r="A180" s="480"/>
      <c r="B180" s="476" t="s">
        <v>35</v>
      </c>
      <c r="C180" s="476"/>
      <c r="D180" s="1092" t="s">
        <v>54</v>
      </c>
      <c r="E180" s="1042"/>
      <c r="F180" s="1042"/>
      <c r="G180" s="1042"/>
      <c r="H180" s="1042"/>
      <c r="I180" s="1042"/>
      <c r="J180" s="1042"/>
      <c r="K180" s="1042"/>
      <c r="L180" s="477"/>
      <c r="M180" s="477"/>
      <c r="N180" s="1041" t="s">
        <v>400</v>
      </c>
      <c r="O180" s="1042"/>
      <c r="P180" s="1042"/>
      <c r="Q180" s="1042"/>
      <c r="R180" s="1042"/>
      <c r="S180" s="1042"/>
      <c r="T180" s="1042"/>
      <c r="V180" s="1147" t="s">
        <v>74</v>
      </c>
      <c r="W180" s="1042"/>
      <c r="X180" s="1042"/>
      <c r="Y180" s="1042"/>
      <c r="Z180" s="1042"/>
      <c r="AC180" s="482"/>
      <c r="AD180" s="482"/>
      <c r="AE180" s="482"/>
    </row>
    <row r="181" spans="1:31" ht="25.2" customHeight="1" x14ac:dyDescent="0.4">
      <c r="A181" s="897"/>
      <c r="B181" s="116"/>
      <c r="C181" s="116"/>
      <c r="D181" s="116"/>
      <c r="E181" s="116"/>
      <c r="F181" s="116"/>
      <c r="G181" s="224"/>
      <c r="H181" s="224"/>
      <c r="I181" s="115"/>
      <c r="J181" s="115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081"/>
      <c r="W181" s="978"/>
      <c r="X181" s="978"/>
      <c r="Y181" s="978"/>
      <c r="Z181" s="978"/>
      <c r="AA181" s="43"/>
      <c r="AB181" s="43"/>
      <c r="AC181" s="43"/>
      <c r="AD181" s="9"/>
      <c r="AE181" s="9"/>
    </row>
  </sheetData>
  <mergeCells count="70">
    <mergeCell ref="B1:B3"/>
    <mergeCell ref="K5:M5"/>
    <mergeCell ref="W5:Y5"/>
    <mergeCell ref="N179:T179"/>
    <mergeCell ref="O9:Q9"/>
    <mergeCell ref="V179:Z179"/>
    <mergeCell ref="C14:Z14"/>
    <mergeCell ref="S8:U8"/>
    <mergeCell ref="K11:M11"/>
    <mergeCell ref="A1:A3"/>
    <mergeCell ref="S5:U5"/>
    <mergeCell ref="S11:U11"/>
    <mergeCell ref="K10:M10"/>
    <mergeCell ref="Y16:Z16"/>
    <mergeCell ref="K6:M6"/>
    <mergeCell ref="K13:M13"/>
    <mergeCell ref="K4:M4"/>
    <mergeCell ref="G10:I13"/>
    <mergeCell ref="S4:U4"/>
    <mergeCell ref="O13:Q13"/>
    <mergeCell ref="O7:Q7"/>
    <mergeCell ref="W13:Y13"/>
    <mergeCell ref="W4:Y4"/>
    <mergeCell ref="S16:X16"/>
    <mergeCell ref="S12:U12"/>
    <mergeCell ref="A15:A17"/>
    <mergeCell ref="O8:Q8"/>
    <mergeCell ref="W11:Y11"/>
    <mergeCell ref="K7:M7"/>
    <mergeCell ref="W8:Y8"/>
    <mergeCell ref="O11:Q11"/>
    <mergeCell ref="I17:J17"/>
    <mergeCell ref="C17:D17"/>
    <mergeCell ref="K17:L17"/>
    <mergeCell ref="M17:N17"/>
    <mergeCell ref="O10:Q10"/>
    <mergeCell ref="W10:Y10"/>
    <mergeCell ref="O17:P17"/>
    <mergeCell ref="Q17:R17"/>
    <mergeCell ref="W17:X17"/>
    <mergeCell ref="K9:M9"/>
    <mergeCell ref="V180:Z180"/>
    <mergeCell ref="C1:Z3"/>
    <mergeCell ref="U17:V17"/>
    <mergeCell ref="C4:F9"/>
    <mergeCell ref="V181:Z181"/>
    <mergeCell ref="O12:Q12"/>
    <mergeCell ref="W9:Y9"/>
    <mergeCell ref="S9:U9"/>
    <mergeCell ref="D179:K179"/>
    <mergeCell ref="D180:K180"/>
    <mergeCell ref="W6:Y6"/>
    <mergeCell ref="N180:T180"/>
    <mergeCell ref="O6:Q6"/>
    <mergeCell ref="W7:Y7"/>
    <mergeCell ref="G17:H17"/>
    <mergeCell ref="C10:F13"/>
    <mergeCell ref="W12:Y12"/>
    <mergeCell ref="S10:U10"/>
    <mergeCell ref="K8:M8"/>
    <mergeCell ref="S17:T17"/>
    <mergeCell ref="O5:Q5"/>
    <mergeCell ref="S7:U7"/>
    <mergeCell ref="O4:Q4"/>
    <mergeCell ref="B15:B17"/>
    <mergeCell ref="S13:U13"/>
    <mergeCell ref="G4:I9"/>
    <mergeCell ref="K12:M12"/>
    <mergeCell ref="E17:F17"/>
    <mergeCell ref="S6:U6"/>
  </mergeCells>
  <conditionalFormatting sqref="C34:L34 N34:X34">
    <cfRule type="containsText" dxfId="609" priority="85" operator="containsText" text="R10">
      <formula>NOT(ISERROR(SEARCH("R10",C34)))</formula>
    </cfRule>
    <cfRule type="containsText" dxfId="608" priority="84" operator="containsText" text="R11">
      <formula>NOT(ISERROR(SEARCH("R11",C34)))</formula>
    </cfRule>
    <cfRule type="containsText" dxfId="607" priority="83" operator="containsText" text="R12">
      <formula>NOT(ISERROR(SEARCH("R12",C34)))</formula>
    </cfRule>
    <cfRule type="containsText" dxfId="606" priority="81" operator="containsText" text="R16">
      <formula>NOT(ISERROR(SEARCH("R16",C34)))</formula>
    </cfRule>
    <cfRule type="containsText" dxfId="605" priority="80" operator="containsText" text="R21">
      <formula>NOT(ISERROR(SEARCH("R21",C34)))</formula>
    </cfRule>
    <cfRule type="containsText" dxfId="604" priority="86" operator="containsText" text="R7">
      <formula>NOT(ISERROR(SEARCH("R7",C34)))</formula>
    </cfRule>
    <cfRule type="containsText" dxfId="603" priority="82" operator="containsText" text="R15">
      <formula>NOT(ISERROR(SEARCH("R15",C34)))</formula>
    </cfRule>
    <cfRule type="containsText" dxfId="602" priority="79" operator="containsText" text="R23">
      <formula>NOT(ISERROR(SEARCH("R23",C34)))</formula>
    </cfRule>
    <cfRule type="containsText" dxfId="601" priority="89" operator="containsText" text="R3">
      <formula>NOT(ISERROR(SEARCH("R3",C34)))</formula>
    </cfRule>
    <cfRule type="containsText" dxfId="600" priority="88" operator="containsText" text="R4">
      <formula>NOT(ISERROR(SEARCH("R4",C34)))</formula>
    </cfRule>
    <cfRule type="containsText" dxfId="599" priority="87" operator="containsText" text="R5">
      <formula>NOT(ISERROR(SEARCH("R5",C34)))</formula>
    </cfRule>
  </conditionalFormatting>
  <conditionalFormatting sqref="C34:L34">
    <cfRule type="cellIs" dxfId="598" priority="91" stopIfTrue="1" operator="equal">
      <formula>0</formula>
    </cfRule>
    <cfRule type="cellIs" dxfId="597" priority="90" stopIfTrue="1" operator="notEqual">
      <formula>0</formula>
    </cfRule>
  </conditionalFormatting>
  <conditionalFormatting sqref="C34:X34">
    <cfRule type="containsText" dxfId="596" priority="54" operator="containsText" text="R32">
      <formula>NOT(ISERROR(SEARCH("R32",C34)))</formula>
    </cfRule>
    <cfRule type="containsText" dxfId="595" priority="52" operator="containsText" text="R34">
      <formula>NOT(ISERROR(SEARCH("R34",C34)))</formula>
    </cfRule>
    <cfRule type="containsText" dxfId="594" priority="53" operator="containsText" text="R33">
      <formula>NOT(ISERROR(SEARCH("R33",C34)))</formula>
    </cfRule>
    <cfRule type="containsText" dxfId="593" priority="55" operator="containsText" text="R31">
      <formula>NOT(ISERROR(SEARCH("R31",C34)))</formula>
    </cfRule>
    <cfRule type="containsText" dxfId="592" priority="56" operator="containsText" text="R29">
      <formula>NOT(ISERROR(SEARCH("R29",C34)))</formula>
    </cfRule>
    <cfRule type="containsText" dxfId="591" priority="57" operator="containsText" text="R25">
      <formula>NOT(ISERROR(SEARCH("R25",C34)))</formula>
    </cfRule>
    <cfRule type="containsText" dxfId="590" priority="60" operator="containsText" text="R24">
      <formula>NOT(ISERROR(SEARCH("R24",C34)))</formula>
    </cfRule>
    <cfRule type="containsText" dxfId="589" priority="49" operator="containsText" text="R37">
      <formula>NOT(ISERROR(SEARCH("R37",C34)))</formula>
    </cfRule>
    <cfRule type="containsText" dxfId="588" priority="51" operator="containsText" text="R35">
      <formula>NOT(ISERROR(SEARCH("R35",C34)))</formula>
    </cfRule>
    <cfRule type="containsText" dxfId="587" priority="50" operator="containsText" text="R36">
      <formula>NOT(ISERROR(SEARCH("R36",C34)))</formula>
    </cfRule>
  </conditionalFormatting>
  <conditionalFormatting sqref="C55:X55">
    <cfRule type="containsText" dxfId="586" priority="27" operator="containsText" text="R36">
      <formula>NOT(ISERROR(SEARCH("R36",C55)))</formula>
    </cfRule>
    <cfRule type="containsText" dxfId="585" priority="28" operator="containsText" text="R35">
      <formula>NOT(ISERROR(SEARCH("R35",C55)))</formula>
    </cfRule>
    <cfRule type="containsText" dxfId="584" priority="29" operator="containsText" text="R34">
      <formula>NOT(ISERROR(SEARCH("R34",C55)))</formula>
    </cfRule>
    <cfRule type="containsText" dxfId="583" priority="30" operator="containsText" text="R33">
      <formula>NOT(ISERROR(SEARCH("R33",C55)))</formula>
    </cfRule>
    <cfRule type="containsText" dxfId="582" priority="31" operator="containsText" text="R32">
      <formula>NOT(ISERROR(SEARCH("R32",C55)))</formula>
    </cfRule>
    <cfRule type="containsText" dxfId="581" priority="33" operator="containsText" text="R29">
      <formula>NOT(ISERROR(SEARCH("R29",C55)))</formula>
    </cfRule>
    <cfRule type="containsText" dxfId="580" priority="34" operator="containsText" text="R25">
      <formula>NOT(ISERROR(SEARCH("R25",C55)))</formula>
    </cfRule>
    <cfRule type="containsText" dxfId="579" priority="26" operator="containsText" text="R37">
      <formula>NOT(ISERROR(SEARCH("R37",C55)))</formula>
    </cfRule>
    <cfRule type="containsText" dxfId="578" priority="44" operator="containsText" text="R5">
      <formula>NOT(ISERROR(SEARCH("R5",C55)))</formula>
    </cfRule>
    <cfRule type="cellIs" dxfId="577" priority="48" stopIfTrue="1" operator="equal">
      <formula>0</formula>
    </cfRule>
    <cfRule type="containsText" dxfId="576" priority="46" operator="containsText" text="R3">
      <formula>NOT(ISERROR(SEARCH("R3",C55)))</formula>
    </cfRule>
    <cfRule type="containsText" dxfId="575" priority="45" operator="containsText" text="R4">
      <formula>NOT(ISERROR(SEARCH("R4",C55)))</formula>
    </cfRule>
    <cfRule type="containsText" dxfId="574" priority="43" operator="containsText" text="R7">
      <formula>NOT(ISERROR(SEARCH("R7",C55)))</formula>
    </cfRule>
    <cfRule type="containsText" dxfId="573" priority="42" operator="containsText" text="R10">
      <formula>NOT(ISERROR(SEARCH("R10",C55)))</formula>
    </cfRule>
    <cfRule type="containsText" dxfId="572" priority="41" operator="containsText" text="R11">
      <formula>NOT(ISERROR(SEARCH("R11",C55)))</formula>
    </cfRule>
    <cfRule type="containsText" dxfId="571" priority="40" operator="containsText" text="R12">
      <formula>NOT(ISERROR(SEARCH("R12",C55)))</formula>
    </cfRule>
    <cfRule type="containsText" dxfId="570" priority="39" operator="containsText" text="R15">
      <formula>NOT(ISERROR(SEARCH("R15",C55)))</formula>
    </cfRule>
    <cfRule type="containsText" dxfId="569" priority="32" operator="containsText" text="R31">
      <formula>NOT(ISERROR(SEARCH("R31",C55)))</formula>
    </cfRule>
    <cfRule type="containsText" dxfId="568" priority="38" operator="containsText" text="R16">
      <formula>NOT(ISERROR(SEARCH("R16",C55)))</formula>
    </cfRule>
    <cfRule type="cellIs" dxfId="567" priority="47" stopIfTrue="1" operator="notEqual">
      <formula>0</formula>
    </cfRule>
    <cfRule type="containsText" dxfId="566" priority="37" operator="containsText" text="R21">
      <formula>NOT(ISERROR(SEARCH("R21",C55)))</formula>
    </cfRule>
    <cfRule type="containsText" dxfId="565" priority="36" operator="containsText" text="R23">
      <formula>NOT(ISERROR(SEARCH("R23",C55)))</formula>
    </cfRule>
    <cfRule type="containsText" dxfId="564" priority="35" operator="containsText" text="R24">
      <formula>NOT(ISERROR(SEARCH("R24",C55)))</formula>
    </cfRule>
  </conditionalFormatting>
  <conditionalFormatting sqref="C82:X82">
    <cfRule type="containsText" dxfId="563" priority="12" operator="containsText" text="R21">
      <formula>NOT(ISERROR(SEARCH("R21",C82)))</formula>
    </cfRule>
    <cfRule type="containsText" dxfId="562" priority="1" operator="containsText" text="R37">
      <formula>NOT(ISERROR(SEARCH("R37",C82)))</formula>
    </cfRule>
    <cfRule type="containsText" dxfId="561" priority="2" operator="containsText" text="R36">
      <formula>NOT(ISERROR(SEARCH("R36",C82)))</formula>
    </cfRule>
    <cfRule type="containsText" dxfId="560" priority="3" operator="containsText" text="R35">
      <formula>NOT(ISERROR(SEARCH("R35",C82)))</formula>
    </cfRule>
    <cfRule type="containsText" dxfId="559" priority="4" operator="containsText" text="R34">
      <formula>NOT(ISERROR(SEARCH("R34",C82)))</formula>
    </cfRule>
    <cfRule type="containsText" dxfId="558" priority="5" operator="containsText" text="R33">
      <formula>NOT(ISERROR(SEARCH("R33",C82)))</formula>
    </cfRule>
    <cfRule type="containsText" dxfId="557" priority="6" operator="containsText" text="R32">
      <formula>NOT(ISERROR(SEARCH("R32",C82)))</formula>
    </cfRule>
    <cfRule type="containsText" dxfId="556" priority="7" operator="containsText" text="R31">
      <formula>NOT(ISERROR(SEARCH("R31",C82)))</formula>
    </cfRule>
    <cfRule type="containsText" dxfId="555" priority="8" operator="containsText" text="R29">
      <formula>NOT(ISERROR(SEARCH("R29",C82)))</formula>
    </cfRule>
    <cfRule type="containsText" dxfId="554" priority="9" operator="containsText" text="R25">
      <formula>NOT(ISERROR(SEARCH("R25",C82)))</formula>
    </cfRule>
    <cfRule type="containsText" dxfId="553" priority="10" operator="containsText" text="R24">
      <formula>NOT(ISERROR(SEARCH("R24",C82)))</formula>
    </cfRule>
    <cfRule type="containsText" dxfId="552" priority="11" operator="containsText" text="R23">
      <formula>NOT(ISERROR(SEARCH("R23",C82)))</formula>
    </cfRule>
    <cfRule type="containsText" dxfId="551" priority="13" operator="containsText" text="R16">
      <formula>NOT(ISERROR(SEARCH("R16",C82)))</formula>
    </cfRule>
    <cfRule type="containsText" dxfId="550" priority="14" operator="containsText" text="R15">
      <formula>NOT(ISERROR(SEARCH("R15",C82)))</formula>
    </cfRule>
    <cfRule type="containsText" dxfId="549" priority="15" operator="containsText" text="R12">
      <formula>NOT(ISERROR(SEARCH("R12",C82)))</formula>
    </cfRule>
    <cfRule type="containsText" dxfId="548" priority="16" operator="containsText" text="R11">
      <formula>NOT(ISERROR(SEARCH("R11",C82)))</formula>
    </cfRule>
    <cfRule type="containsText" dxfId="547" priority="17" operator="containsText" text="R10">
      <formula>NOT(ISERROR(SEARCH("R10",C82)))</formula>
    </cfRule>
    <cfRule type="containsText" dxfId="546" priority="18" operator="containsText" text="R7">
      <formula>NOT(ISERROR(SEARCH("R7",C82)))</formula>
    </cfRule>
    <cfRule type="containsText" dxfId="545" priority="19" operator="containsText" text="R5">
      <formula>NOT(ISERROR(SEARCH("R5",C82)))</formula>
    </cfRule>
    <cfRule type="containsText" dxfId="544" priority="20" operator="containsText" text="R4">
      <formula>NOT(ISERROR(SEARCH("R4",C82)))</formula>
    </cfRule>
    <cfRule type="containsText" dxfId="543" priority="21" operator="containsText" text="R3">
      <formula>NOT(ISERROR(SEARCH("R3",C82)))</formula>
    </cfRule>
  </conditionalFormatting>
  <conditionalFormatting sqref="G82">
    <cfRule type="cellIs" dxfId="542" priority="25" stopIfTrue="1" operator="equal">
      <formula>0</formula>
    </cfRule>
    <cfRule type="cellIs" dxfId="541" priority="24" stopIfTrue="1" operator="notEqual">
      <formula>0</formula>
    </cfRule>
  </conditionalFormatting>
  <conditionalFormatting sqref="M34">
    <cfRule type="containsText" dxfId="540" priority="68" operator="containsText" text="R11">
      <formula>NOT(ISERROR(SEARCH("R11",M34)))</formula>
    </cfRule>
    <cfRule type="containsText" dxfId="539" priority="69" operator="containsText" text="R10">
      <formula>NOT(ISERROR(SEARCH("R10",M34)))</formula>
    </cfRule>
    <cfRule type="containsText" dxfId="538" priority="70" operator="containsText" text="R9">
      <formula>NOT(ISERROR(SEARCH("R9",M34)))</formula>
    </cfRule>
    <cfRule type="containsText" dxfId="537" priority="72" operator="containsText" text="R7">
      <formula>NOT(ISERROR(SEARCH("R7",M34)))</formula>
    </cfRule>
    <cfRule type="containsText" dxfId="536" priority="73" operator="containsText" text="R6">
      <formula>NOT(ISERROR(SEARCH("R6",M34)))</formula>
    </cfRule>
    <cfRule type="containsText" dxfId="535" priority="74" operator="containsText" text="R5">
      <formula>NOT(ISERROR(SEARCH("R5",M34)))</formula>
    </cfRule>
    <cfRule type="containsText" dxfId="534" priority="75" operator="containsText" text="R4">
      <formula>NOT(ISERROR(SEARCH("R4",M34)))</formula>
    </cfRule>
    <cfRule type="cellIs" dxfId="533" priority="76" stopIfTrue="1" operator="notEqual">
      <formula>0</formula>
    </cfRule>
    <cfRule type="cellIs" dxfId="532" priority="77" stopIfTrue="1" operator="equal">
      <formula>0</formula>
    </cfRule>
    <cfRule type="cellIs" dxfId="531" priority="58" stopIfTrue="1" operator="notEqual">
      <formula>0</formula>
    </cfRule>
    <cfRule type="containsText" dxfId="530" priority="71" operator="containsText" text="R8">
      <formula>NOT(ISERROR(SEARCH("R8",M34)))</formula>
    </cfRule>
    <cfRule type="cellIs" dxfId="529" priority="59" stopIfTrue="1" operator="equal">
      <formula>0</formula>
    </cfRule>
    <cfRule type="containsText" dxfId="528" priority="61" operator="containsText" text="R23">
      <formula>NOT(ISERROR(SEARCH("R23",M34)))</formula>
    </cfRule>
    <cfRule type="containsText" dxfId="527" priority="62" operator="containsText" text="R21">
      <formula>NOT(ISERROR(SEARCH("R21",M34)))</formula>
    </cfRule>
    <cfRule type="containsText" dxfId="526" priority="63" operator="containsText" text="R20">
      <formula>NOT(ISERROR(SEARCH("R20",M34)))</formula>
    </cfRule>
    <cfRule type="containsText" dxfId="525" priority="64" operator="containsText" text="R16">
      <formula>NOT(ISERROR(SEARCH("R16",M34)))</formula>
    </cfRule>
    <cfRule type="containsText" dxfId="524" priority="65" operator="containsText" text="R15">
      <formula>NOT(ISERROR(SEARCH("R15",M34)))</formula>
    </cfRule>
    <cfRule type="containsText" dxfId="523" priority="66" operator="containsText" text="R14">
      <formula>NOT(ISERROR(SEARCH("R14",M34)))</formula>
    </cfRule>
    <cfRule type="containsText" dxfId="522" priority="67" operator="containsText" text="R12">
      <formula>NOT(ISERROR(SEARCH("R12",M34)))</formula>
    </cfRule>
  </conditionalFormatting>
  <conditionalFormatting sqref="M82 U82 W82">
    <cfRule type="cellIs" dxfId="521" priority="22" stopIfTrue="1" operator="notEqual">
      <formula>0</formula>
    </cfRule>
    <cfRule type="cellIs" dxfId="520" priority="23" stopIfTrue="1" operator="equal">
      <formula>0</formula>
    </cfRule>
  </conditionalFormatting>
  <conditionalFormatting sqref="N34:X34">
    <cfRule type="cellIs" dxfId="519" priority="92" stopIfTrue="1" operator="notEqual">
      <formula>0</formula>
    </cfRule>
    <cfRule type="cellIs" dxfId="518" priority="93" stopIfTrue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/>
  <dimension ref="A1:AN160"/>
  <sheetViews>
    <sheetView topLeftCell="A11" zoomScale="55" zoomScaleNormal="55" workbookViewId="0">
      <selection activeCell="J23" sqref="J23"/>
    </sheetView>
  </sheetViews>
  <sheetFormatPr baseColWidth="10" defaultRowHeight="14.4" x14ac:dyDescent="0.3"/>
  <cols>
    <col min="1" max="1" width="30.44140625" bestFit="1" customWidth="1"/>
    <col min="2" max="2" width="103" bestFit="1" customWidth="1"/>
  </cols>
  <sheetData>
    <row r="1" spans="1:18" ht="27" customHeight="1" x14ac:dyDescent="0.3">
      <c r="A1" s="1281"/>
      <c r="B1" s="1281" t="s">
        <v>0</v>
      </c>
      <c r="C1" s="1282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5"/>
    </row>
    <row r="2" spans="1:18" ht="27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9"/>
    </row>
    <row r="3" spans="1:18" ht="79.5" customHeight="1" thickBot="1" x14ac:dyDescent="0.3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9"/>
    </row>
    <row r="4" spans="1:18" ht="18" customHeight="1" x14ac:dyDescent="0.3">
      <c r="A4" s="118" t="s">
        <v>2</v>
      </c>
      <c r="B4" s="119" t="s">
        <v>3</v>
      </c>
      <c r="C4" s="1283" t="s">
        <v>4</v>
      </c>
      <c r="D4" s="984"/>
      <c r="E4" s="985"/>
      <c r="F4" s="1018">
        <v>45966</v>
      </c>
      <c r="G4" s="984"/>
      <c r="H4" s="985"/>
      <c r="I4" s="614" t="s">
        <v>91</v>
      </c>
      <c r="J4" s="1269">
        <v>45905</v>
      </c>
      <c r="K4" s="984"/>
      <c r="L4" s="985"/>
      <c r="M4" s="1266"/>
      <c r="N4" s="978"/>
      <c r="O4" s="13"/>
      <c r="P4" s="1265"/>
      <c r="Q4" s="978"/>
      <c r="R4" s="978"/>
    </row>
    <row r="5" spans="1:18" ht="18" customHeight="1" x14ac:dyDescent="0.3">
      <c r="A5" s="120" t="s">
        <v>14</v>
      </c>
      <c r="B5" s="121" t="s">
        <v>15</v>
      </c>
      <c r="C5" s="978"/>
      <c r="D5" s="978"/>
      <c r="E5" s="979"/>
      <c r="F5" s="986"/>
      <c r="G5" s="978"/>
      <c r="H5" s="979"/>
      <c r="I5" s="615" t="s">
        <v>410</v>
      </c>
      <c r="J5" s="1284">
        <v>45912</v>
      </c>
      <c r="K5" s="978"/>
      <c r="L5" s="979"/>
      <c r="M5" s="1266"/>
      <c r="N5" s="978"/>
      <c r="O5" s="13"/>
      <c r="P5" s="1265"/>
      <c r="Q5" s="978"/>
      <c r="R5" s="978"/>
    </row>
    <row r="6" spans="1:18" ht="18" customHeight="1" x14ac:dyDescent="0.3">
      <c r="A6" s="120" t="s">
        <v>24</v>
      </c>
      <c r="B6" s="121" t="s">
        <v>25</v>
      </c>
      <c r="C6" s="978"/>
      <c r="D6" s="978"/>
      <c r="E6" s="979"/>
      <c r="F6" s="986"/>
      <c r="G6" s="978"/>
      <c r="H6" s="979"/>
      <c r="I6" s="122"/>
      <c r="J6" s="1264"/>
      <c r="K6" s="978"/>
      <c r="L6" s="979"/>
      <c r="M6" s="1266"/>
      <c r="N6" s="978"/>
      <c r="O6" s="13"/>
      <c r="P6" s="1265"/>
      <c r="Q6" s="978"/>
      <c r="R6" s="978"/>
    </row>
    <row r="7" spans="1:18" ht="18" customHeight="1" x14ac:dyDescent="0.3">
      <c r="A7" s="120" t="s">
        <v>34</v>
      </c>
      <c r="B7" s="121" t="s">
        <v>35</v>
      </c>
      <c r="C7" s="978"/>
      <c r="D7" s="978"/>
      <c r="E7" s="979"/>
      <c r="F7" s="986"/>
      <c r="G7" s="978"/>
      <c r="H7" s="979"/>
      <c r="I7" s="122"/>
      <c r="J7" s="1264"/>
      <c r="K7" s="978"/>
      <c r="L7" s="979"/>
      <c r="M7" s="1266"/>
      <c r="N7" s="978"/>
      <c r="O7" s="13"/>
      <c r="P7" s="1265"/>
      <c r="Q7" s="978"/>
      <c r="R7" s="978"/>
    </row>
    <row r="8" spans="1:18" ht="18" customHeight="1" thickBot="1" x14ac:dyDescent="0.35">
      <c r="A8" s="120" t="s">
        <v>44</v>
      </c>
      <c r="B8" s="121" t="s">
        <v>54</v>
      </c>
      <c r="C8" s="975"/>
      <c r="D8" s="975"/>
      <c r="E8" s="976"/>
      <c r="F8" s="987"/>
      <c r="G8" s="975"/>
      <c r="H8" s="976"/>
      <c r="I8" s="123"/>
      <c r="J8" s="1264"/>
      <c r="K8" s="978"/>
      <c r="L8" s="979"/>
      <c r="M8" s="1266"/>
      <c r="N8" s="978"/>
      <c r="O8" s="13"/>
      <c r="P8" s="1265"/>
      <c r="Q8" s="978"/>
      <c r="R8" s="978"/>
    </row>
    <row r="9" spans="1:18" ht="18" customHeight="1" thickBot="1" x14ac:dyDescent="0.35">
      <c r="A9" s="120" t="s">
        <v>62</v>
      </c>
      <c r="B9" s="121" t="s">
        <v>63</v>
      </c>
      <c r="C9" s="1283" t="s">
        <v>64</v>
      </c>
      <c r="D9" s="984"/>
      <c r="E9" s="985"/>
      <c r="F9" s="983" t="s">
        <v>65</v>
      </c>
      <c r="G9" s="984"/>
      <c r="H9" s="985"/>
      <c r="I9" s="123"/>
      <c r="J9" s="1264"/>
      <c r="K9" s="978"/>
      <c r="L9" s="979"/>
      <c r="M9" s="1266"/>
      <c r="N9" s="978"/>
      <c r="O9" s="13"/>
      <c r="P9" s="1265"/>
      <c r="Q9" s="978"/>
      <c r="R9" s="978"/>
    </row>
    <row r="10" spans="1:18" ht="18" customHeight="1" thickBot="1" x14ac:dyDescent="0.35">
      <c r="A10" s="120" t="s">
        <v>73</v>
      </c>
      <c r="B10" s="121" t="s">
        <v>74</v>
      </c>
      <c r="C10" s="978"/>
      <c r="D10" s="978"/>
      <c r="E10" s="979"/>
      <c r="F10" s="986"/>
      <c r="G10" s="978"/>
      <c r="H10" s="979"/>
      <c r="I10" s="123"/>
      <c r="J10" s="1285"/>
      <c r="K10" s="978"/>
      <c r="L10" s="979"/>
      <c r="M10" s="1266"/>
      <c r="N10" s="978"/>
      <c r="O10" s="13"/>
      <c r="P10" s="1265"/>
      <c r="Q10" s="978"/>
      <c r="R10" s="978"/>
    </row>
    <row r="11" spans="1:18" ht="18" customHeight="1" thickBot="1" x14ac:dyDescent="0.35">
      <c r="A11" s="120" t="s">
        <v>82</v>
      </c>
      <c r="B11" s="121" t="s">
        <v>400</v>
      </c>
      <c r="C11" s="978"/>
      <c r="D11" s="978"/>
      <c r="E11" s="979"/>
      <c r="F11" s="986"/>
      <c r="G11" s="978"/>
      <c r="H11" s="979"/>
      <c r="I11" s="122"/>
      <c r="J11" s="1264"/>
      <c r="K11" s="978"/>
      <c r="L11" s="979"/>
      <c r="M11" s="1266"/>
      <c r="N11" s="978"/>
      <c r="O11" s="13"/>
      <c r="P11" s="1265"/>
      <c r="Q11" s="978"/>
      <c r="R11" s="978"/>
    </row>
    <row r="12" spans="1:18" ht="18" customHeight="1" thickBot="1" x14ac:dyDescent="0.35">
      <c r="A12" s="189" t="s">
        <v>90</v>
      </c>
      <c r="B12" s="190">
        <v>182948</v>
      </c>
      <c r="C12" s="975"/>
      <c r="D12" s="975"/>
      <c r="E12" s="976"/>
      <c r="F12" s="987"/>
      <c r="G12" s="975"/>
      <c r="H12" s="976"/>
      <c r="I12" s="152"/>
      <c r="J12" s="1278"/>
      <c r="K12" s="975"/>
      <c r="L12" s="976"/>
      <c r="M12" s="1266"/>
      <c r="N12" s="978"/>
      <c r="O12" s="13"/>
      <c r="P12" s="1265"/>
      <c r="Q12" s="978"/>
      <c r="R12" s="978"/>
    </row>
    <row r="13" spans="1:18" ht="27" customHeight="1" thickBot="1" x14ac:dyDescent="0.5">
      <c r="A13" s="191"/>
      <c r="B13" s="192"/>
      <c r="C13" s="192"/>
      <c r="D13" s="192"/>
      <c r="E13" s="192"/>
      <c r="F13" s="192"/>
      <c r="G13" s="2"/>
      <c r="H13" s="2"/>
      <c r="I13" s="2"/>
      <c r="J13" s="2"/>
      <c r="K13" s="2"/>
      <c r="L13" s="2"/>
      <c r="M13" s="4"/>
      <c r="N13" s="4"/>
    </row>
    <row r="14" spans="1:18" ht="27" customHeight="1" x14ac:dyDescent="0.45">
      <c r="A14" s="1270" t="s">
        <v>98</v>
      </c>
      <c r="B14" s="1286" t="s">
        <v>99</v>
      </c>
      <c r="C14" s="182" t="s">
        <v>100</v>
      </c>
      <c r="D14" s="183"/>
      <c r="E14" s="183"/>
      <c r="F14" s="184"/>
      <c r="G14" s="4"/>
      <c r="H14" s="4"/>
      <c r="I14" s="4"/>
      <c r="J14" s="4"/>
      <c r="K14" s="4"/>
      <c r="L14" s="4"/>
      <c r="M14" s="4"/>
      <c r="N14" s="4"/>
    </row>
    <row r="15" spans="1:18" ht="27" customHeight="1" thickBot="1" x14ac:dyDescent="0.5">
      <c r="A15" s="997"/>
      <c r="B15" s="978"/>
      <c r="C15" s="1275" t="s">
        <v>429</v>
      </c>
      <c r="D15" s="1276"/>
      <c r="E15" s="1276"/>
      <c r="F15" s="1277"/>
      <c r="G15" s="4"/>
      <c r="H15" s="4"/>
      <c r="I15" s="4"/>
      <c r="J15" s="4"/>
      <c r="K15" s="4"/>
      <c r="L15" s="4"/>
      <c r="M15" s="4"/>
      <c r="N15" s="4"/>
    </row>
    <row r="16" spans="1:18" ht="27" customHeight="1" thickBot="1" x14ac:dyDescent="0.5">
      <c r="A16" s="997"/>
      <c r="B16" s="978"/>
      <c r="C16" s="1273">
        <v>1</v>
      </c>
      <c r="D16" s="994"/>
      <c r="E16" s="124" t="s">
        <v>104</v>
      </c>
      <c r="F16" s="125" t="s">
        <v>105</v>
      </c>
      <c r="G16" s="4"/>
      <c r="H16" s="4"/>
      <c r="I16" s="4"/>
      <c r="J16" s="4"/>
      <c r="K16" s="4"/>
      <c r="L16" s="4"/>
      <c r="M16" s="4"/>
      <c r="N16" s="4"/>
    </row>
    <row r="17" spans="1:14" ht="40.049999999999997" customHeight="1" thickBot="1" x14ac:dyDescent="0.5">
      <c r="A17" s="7" t="s">
        <v>106</v>
      </c>
      <c r="B17" s="11" t="s">
        <v>107</v>
      </c>
      <c r="C17" s="185" t="s">
        <v>108</v>
      </c>
      <c r="D17" s="186" t="s">
        <v>109</v>
      </c>
      <c r="E17" s="187"/>
      <c r="F17" s="188"/>
    </row>
    <row r="18" spans="1:14" ht="40.049999999999997" customHeight="1" x14ac:dyDescent="0.45">
      <c r="A18" s="135" t="s">
        <v>110</v>
      </c>
      <c r="B18" s="136" t="s">
        <v>111</v>
      </c>
      <c r="C18" s="153"/>
      <c r="D18" s="154"/>
      <c r="E18" s="126"/>
      <c r="F18" s="127"/>
      <c r="G18" s="4"/>
      <c r="H18" s="4"/>
      <c r="I18" s="4"/>
      <c r="J18" s="4"/>
      <c r="K18" s="4"/>
      <c r="L18" s="4"/>
      <c r="M18" s="4"/>
      <c r="N18" s="4"/>
    </row>
    <row r="19" spans="1:14" ht="40.049999999999997" customHeight="1" x14ac:dyDescent="0.3">
      <c r="A19" s="22" t="s">
        <v>112</v>
      </c>
      <c r="B19" s="23" t="s">
        <v>113</v>
      </c>
      <c r="C19" s="155" t="s">
        <v>91</v>
      </c>
      <c r="D19" s="156"/>
      <c r="E19" s="128">
        <v>1</v>
      </c>
      <c r="F19" s="129"/>
    </row>
    <row r="20" spans="1:14" ht="40.049999999999997" customHeight="1" x14ac:dyDescent="0.3">
      <c r="A20" s="22" t="s">
        <v>114</v>
      </c>
      <c r="B20" s="23" t="s">
        <v>115</v>
      </c>
      <c r="C20" s="155" t="s">
        <v>91</v>
      </c>
      <c r="D20" s="156"/>
      <c r="E20" s="128">
        <v>1</v>
      </c>
      <c r="F20" s="129"/>
    </row>
    <row r="21" spans="1:14" ht="40.049999999999997" customHeight="1" x14ac:dyDescent="0.3">
      <c r="A21" s="22" t="s">
        <v>116</v>
      </c>
      <c r="B21" s="23" t="s">
        <v>117</v>
      </c>
      <c r="C21" s="155" t="s">
        <v>91</v>
      </c>
      <c r="D21" s="156"/>
      <c r="E21" s="128">
        <v>1</v>
      </c>
      <c r="F21" s="129"/>
    </row>
    <row r="22" spans="1:14" ht="40.049999999999997" customHeight="1" x14ac:dyDescent="0.3">
      <c r="A22" s="22" t="s">
        <v>118</v>
      </c>
      <c r="B22" s="23" t="s">
        <v>119</v>
      </c>
      <c r="C22" s="155" t="s">
        <v>91</v>
      </c>
      <c r="D22" s="156"/>
      <c r="E22" s="128">
        <v>1</v>
      </c>
      <c r="F22" s="129"/>
    </row>
    <row r="23" spans="1:14" ht="40.049999999999997" customHeight="1" x14ac:dyDescent="0.3">
      <c r="A23" s="22" t="s">
        <v>120</v>
      </c>
      <c r="B23" s="23" t="s">
        <v>121</v>
      </c>
      <c r="C23" s="155" t="s">
        <v>410</v>
      </c>
      <c r="D23" s="156"/>
      <c r="E23" s="128">
        <v>1</v>
      </c>
      <c r="F23" s="129"/>
    </row>
    <row r="24" spans="1:14" ht="40.049999999999997" customHeight="1" x14ac:dyDescent="0.3">
      <c r="A24" s="22" t="s">
        <v>122</v>
      </c>
      <c r="B24" s="23" t="s">
        <v>123</v>
      </c>
      <c r="C24" s="155" t="s">
        <v>410</v>
      </c>
      <c r="D24" s="156"/>
      <c r="E24" s="128">
        <v>1</v>
      </c>
      <c r="F24" s="129"/>
    </row>
    <row r="25" spans="1:14" ht="40.049999999999997" customHeight="1" x14ac:dyDescent="0.3">
      <c r="A25" s="22" t="s">
        <v>124</v>
      </c>
      <c r="B25" s="23" t="s">
        <v>125</v>
      </c>
      <c r="C25" s="155" t="s">
        <v>410</v>
      </c>
      <c r="D25" s="156"/>
      <c r="E25" s="128">
        <v>1</v>
      </c>
      <c r="F25" s="129"/>
    </row>
    <row r="26" spans="1:14" ht="40.049999999999997" customHeight="1" x14ac:dyDescent="0.45">
      <c r="A26" s="137" t="s">
        <v>126</v>
      </c>
      <c r="B26" s="138" t="s">
        <v>127</v>
      </c>
      <c r="C26" s="157"/>
      <c r="D26" s="158"/>
      <c r="E26" s="158"/>
      <c r="F26" s="160"/>
      <c r="G26" s="4"/>
      <c r="H26" s="4"/>
      <c r="I26" s="4"/>
      <c r="J26" s="4"/>
      <c r="K26" s="4"/>
      <c r="L26" s="4"/>
      <c r="M26" s="4"/>
      <c r="N26" s="4"/>
    </row>
    <row r="27" spans="1:14" ht="40.049999999999997" customHeight="1" x14ac:dyDescent="0.3">
      <c r="A27" s="22" t="s">
        <v>128</v>
      </c>
      <c r="B27" s="23" t="s">
        <v>129</v>
      </c>
      <c r="C27" s="155" t="s">
        <v>410</v>
      </c>
      <c r="D27" s="156"/>
      <c r="E27" s="128">
        <v>1</v>
      </c>
      <c r="F27" s="129"/>
    </row>
    <row r="28" spans="1:14" ht="40.049999999999997" customHeight="1" x14ac:dyDescent="0.45">
      <c r="A28" s="22" t="s">
        <v>130</v>
      </c>
      <c r="B28" s="23" t="s">
        <v>430</v>
      </c>
      <c r="C28" s="155" t="s">
        <v>410</v>
      </c>
      <c r="D28" s="156"/>
      <c r="E28" s="128">
        <v>1</v>
      </c>
      <c r="F28" s="129"/>
      <c r="G28" s="4"/>
      <c r="H28" s="4"/>
      <c r="I28" s="4"/>
      <c r="J28" s="4"/>
      <c r="K28" s="4"/>
      <c r="L28" s="4"/>
      <c r="M28" s="4"/>
      <c r="N28" s="4"/>
    </row>
    <row r="29" spans="1:14" ht="40.049999999999997" customHeight="1" x14ac:dyDescent="0.45">
      <c r="A29" s="137" t="s">
        <v>132</v>
      </c>
      <c r="B29" s="138" t="s">
        <v>133</v>
      </c>
      <c r="C29" s="157"/>
      <c r="D29" s="158"/>
      <c r="E29" s="159"/>
      <c r="F29" s="160"/>
      <c r="G29" s="4"/>
      <c r="H29" s="4"/>
      <c r="I29" s="4"/>
      <c r="J29" s="4"/>
      <c r="K29" s="4"/>
      <c r="L29" s="4"/>
      <c r="M29" s="4"/>
      <c r="N29" s="4"/>
    </row>
    <row r="30" spans="1:14" ht="40.049999999999997" customHeight="1" x14ac:dyDescent="0.3">
      <c r="A30" s="24" t="s">
        <v>431</v>
      </c>
      <c r="B30" s="25" t="s">
        <v>139</v>
      </c>
      <c r="C30" s="155"/>
      <c r="D30" s="161"/>
      <c r="E30" s="128"/>
      <c r="F30" s="129"/>
    </row>
    <row r="31" spans="1:14" ht="40.049999999999997" customHeight="1" x14ac:dyDescent="0.45">
      <c r="A31" s="26" t="s">
        <v>134</v>
      </c>
      <c r="B31" s="23" t="s">
        <v>135</v>
      </c>
      <c r="C31" s="155"/>
      <c r="D31" s="156"/>
      <c r="E31" s="128"/>
      <c r="F31" s="129"/>
      <c r="G31" s="4"/>
      <c r="H31" s="4"/>
      <c r="I31" s="4"/>
      <c r="J31" s="4"/>
      <c r="K31" s="4"/>
      <c r="L31" s="4"/>
      <c r="M31" s="4"/>
      <c r="N31" s="4"/>
    </row>
    <row r="32" spans="1:14" ht="40.049999999999997" customHeight="1" x14ac:dyDescent="0.3">
      <c r="A32" s="26" t="s">
        <v>432</v>
      </c>
      <c r="B32" s="23" t="s">
        <v>433</v>
      </c>
      <c r="C32" s="155"/>
      <c r="D32" s="161"/>
      <c r="E32" s="128"/>
      <c r="F32" s="129"/>
    </row>
    <row r="33" spans="1:14" ht="40.049999999999997" customHeight="1" x14ac:dyDescent="0.3">
      <c r="A33" s="137" t="s">
        <v>146</v>
      </c>
      <c r="B33" s="138" t="s">
        <v>147</v>
      </c>
      <c r="C33" s="139"/>
      <c r="D33" s="158"/>
      <c r="E33" s="159"/>
      <c r="F33" s="160"/>
    </row>
    <row r="34" spans="1:14" ht="40.049999999999997" customHeight="1" x14ac:dyDescent="0.3">
      <c r="A34" s="24" t="s">
        <v>434</v>
      </c>
      <c r="B34" s="25" t="s">
        <v>435</v>
      </c>
      <c r="C34" s="144"/>
      <c r="D34" s="156"/>
      <c r="E34" s="128"/>
      <c r="F34" s="129"/>
    </row>
    <row r="35" spans="1:14" ht="40.049999999999997" customHeight="1" x14ac:dyDescent="0.3">
      <c r="A35" s="22" t="s">
        <v>148</v>
      </c>
      <c r="B35" s="23" t="s">
        <v>139</v>
      </c>
      <c r="C35" s="162"/>
      <c r="D35" s="161"/>
      <c r="E35" s="128"/>
      <c r="F35" s="129"/>
    </row>
    <row r="36" spans="1:14" ht="40.049999999999997" customHeight="1" x14ac:dyDescent="0.3">
      <c r="A36" s="27" t="s">
        <v>436</v>
      </c>
      <c r="B36" s="28" t="s">
        <v>437</v>
      </c>
      <c r="C36" s="144"/>
      <c r="D36" s="156"/>
      <c r="E36" s="128"/>
      <c r="F36" s="129"/>
    </row>
    <row r="37" spans="1:14" ht="40.049999999999997" customHeight="1" x14ac:dyDescent="0.45">
      <c r="A37" s="22" t="s">
        <v>149</v>
      </c>
      <c r="B37" s="23" t="s">
        <v>150</v>
      </c>
      <c r="C37" s="163"/>
      <c r="D37" s="156"/>
      <c r="E37" s="128"/>
      <c r="F37" s="129"/>
      <c r="G37" s="4"/>
      <c r="H37" s="4"/>
      <c r="I37" s="4"/>
      <c r="J37" s="4"/>
      <c r="K37" s="4"/>
      <c r="L37" s="4"/>
      <c r="M37" s="4"/>
      <c r="N37" s="4"/>
    </row>
    <row r="38" spans="1:14" ht="40.049999999999997" customHeight="1" x14ac:dyDescent="0.3">
      <c r="A38" s="27" t="s">
        <v>151</v>
      </c>
      <c r="B38" s="28" t="s">
        <v>152</v>
      </c>
      <c r="C38" s="144"/>
      <c r="D38" s="156"/>
      <c r="E38" s="128"/>
      <c r="F38" s="129"/>
    </row>
    <row r="39" spans="1:14" ht="40.049999999999997" customHeight="1" x14ac:dyDescent="0.3">
      <c r="A39" s="22" t="s">
        <v>153</v>
      </c>
      <c r="B39" s="23" t="s">
        <v>154</v>
      </c>
      <c r="C39" s="162"/>
      <c r="D39" s="156"/>
      <c r="E39" s="128"/>
      <c r="F39" s="129"/>
    </row>
    <row r="40" spans="1:14" ht="40.049999999999997" customHeight="1" x14ac:dyDescent="0.45">
      <c r="A40" s="22" t="s">
        <v>155</v>
      </c>
      <c r="B40" s="23" t="s">
        <v>156</v>
      </c>
      <c r="C40" s="162"/>
      <c r="D40" s="156"/>
      <c r="E40" s="128"/>
      <c r="F40" s="129"/>
      <c r="G40" s="4"/>
      <c r="H40" s="4"/>
      <c r="I40" s="4"/>
      <c r="J40" s="4"/>
      <c r="K40" s="4"/>
      <c r="L40" s="4"/>
      <c r="M40" s="4"/>
      <c r="N40" s="4"/>
    </row>
    <row r="41" spans="1:14" ht="40.049999999999997" customHeight="1" x14ac:dyDescent="0.45">
      <c r="A41" s="137" t="s">
        <v>438</v>
      </c>
      <c r="B41" s="138" t="s">
        <v>439</v>
      </c>
      <c r="C41" s="164"/>
      <c r="D41" s="158"/>
      <c r="E41" s="159"/>
      <c r="F41" s="165"/>
      <c r="G41" s="4"/>
      <c r="H41" s="4"/>
      <c r="I41" s="4"/>
      <c r="J41" s="4"/>
      <c r="K41" s="4"/>
      <c r="L41" s="4"/>
      <c r="M41" s="4"/>
      <c r="N41" s="4"/>
    </row>
    <row r="42" spans="1:14" ht="40.049999999999997" customHeight="1" x14ac:dyDescent="0.45">
      <c r="A42" s="29" t="s">
        <v>157</v>
      </c>
      <c r="B42" s="30" t="s">
        <v>158</v>
      </c>
      <c r="C42" s="163"/>
      <c r="D42" s="156"/>
      <c r="E42" s="128"/>
      <c r="F42" s="129"/>
      <c r="G42" s="4"/>
      <c r="H42" s="4"/>
      <c r="I42" s="4"/>
      <c r="J42" s="4"/>
      <c r="K42" s="4"/>
      <c r="L42" s="4"/>
      <c r="M42" s="4"/>
      <c r="N42" s="4"/>
    </row>
    <row r="43" spans="1:14" ht="40.049999999999997" customHeight="1" x14ac:dyDescent="0.45">
      <c r="A43" s="29" t="s">
        <v>159</v>
      </c>
      <c r="B43" s="30" t="s">
        <v>160</v>
      </c>
      <c r="C43" s="162"/>
      <c r="D43" s="128"/>
      <c r="E43" s="128"/>
      <c r="F43" s="129"/>
      <c r="G43" s="4"/>
      <c r="H43" s="4"/>
      <c r="I43" s="4"/>
      <c r="J43" s="4"/>
      <c r="K43" s="4"/>
      <c r="L43" s="4"/>
      <c r="M43" s="4"/>
      <c r="N43" s="4"/>
    </row>
    <row r="44" spans="1:14" ht="40.049999999999997" customHeight="1" x14ac:dyDescent="0.45">
      <c r="A44" s="29" t="s">
        <v>161</v>
      </c>
      <c r="B44" s="30" t="s">
        <v>162</v>
      </c>
      <c r="C44" s="162"/>
      <c r="D44" s="128"/>
      <c r="E44" s="128"/>
      <c r="F44" s="129"/>
      <c r="G44" s="4"/>
      <c r="H44" s="4"/>
      <c r="I44" s="4"/>
      <c r="J44" s="4"/>
      <c r="K44" s="4"/>
      <c r="L44" s="4"/>
      <c r="M44" s="4"/>
      <c r="N44" s="4"/>
    </row>
    <row r="45" spans="1:14" ht="40.049999999999997" customHeight="1" x14ac:dyDescent="0.45">
      <c r="A45" s="29" t="s">
        <v>163</v>
      </c>
      <c r="B45" s="30" t="s">
        <v>164</v>
      </c>
      <c r="C45" s="162"/>
      <c r="D45" s="128"/>
      <c r="E45" s="128"/>
      <c r="F45" s="129"/>
      <c r="G45" s="4"/>
      <c r="H45" s="4"/>
      <c r="I45" s="4"/>
      <c r="J45" s="4"/>
      <c r="K45" s="4"/>
      <c r="L45" s="4"/>
      <c r="M45" s="4"/>
      <c r="N45" s="4"/>
    </row>
    <row r="46" spans="1:14" ht="40.049999999999997" customHeight="1" x14ac:dyDescent="0.3">
      <c r="A46" s="137" t="s">
        <v>412</v>
      </c>
      <c r="B46" s="138" t="s">
        <v>440</v>
      </c>
      <c r="C46" s="139"/>
      <c r="D46" s="158"/>
      <c r="E46" s="159"/>
      <c r="F46" s="160"/>
    </row>
    <row r="47" spans="1:14" ht="40.049999999999997" customHeight="1" x14ac:dyDescent="0.45">
      <c r="A47" s="140" t="s">
        <v>165</v>
      </c>
      <c r="B47" s="141" t="s">
        <v>166</v>
      </c>
      <c r="C47" s="139"/>
      <c r="D47" s="158"/>
      <c r="E47" s="159"/>
      <c r="F47" s="160"/>
      <c r="G47" s="4"/>
      <c r="H47" s="4"/>
      <c r="I47" s="4"/>
      <c r="J47" s="4"/>
      <c r="K47" s="4"/>
      <c r="L47" s="4"/>
      <c r="M47" s="4"/>
      <c r="N47" s="4"/>
    </row>
    <row r="48" spans="1:14" ht="40.049999999999997" customHeight="1" x14ac:dyDescent="0.3">
      <c r="A48" s="142" t="s">
        <v>167</v>
      </c>
      <c r="B48" s="143" t="s">
        <v>168</v>
      </c>
      <c r="C48" s="144"/>
      <c r="D48" s="156"/>
      <c r="E48" s="128"/>
      <c r="F48" s="129"/>
    </row>
    <row r="49" spans="1:14" ht="40.049999999999997" customHeight="1" x14ac:dyDescent="0.45">
      <c r="A49" s="29" t="s">
        <v>441</v>
      </c>
      <c r="B49" s="30" t="s">
        <v>442</v>
      </c>
      <c r="C49" s="163"/>
      <c r="D49" s="156"/>
      <c r="E49" s="128"/>
      <c r="F49" s="129"/>
      <c r="G49" s="4"/>
      <c r="H49" s="4"/>
      <c r="I49" s="4"/>
      <c r="J49" s="4"/>
      <c r="K49" s="4"/>
      <c r="L49" s="4"/>
      <c r="M49" s="4"/>
      <c r="N49" s="4"/>
    </row>
    <row r="50" spans="1:14" ht="40.049999999999997" customHeight="1" x14ac:dyDescent="0.45">
      <c r="A50" s="29" t="s">
        <v>443</v>
      </c>
      <c r="B50" s="30" t="s">
        <v>444</v>
      </c>
      <c r="C50" s="145"/>
      <c r="D50" s="156"/>
      <c r="E50" s="128"/>
      <c r="F50" s="129"/>
      <c r="G50" s="4"/>
      <c r="H50" s="4"/>
      <c r="I50" s="4"/>
      <c r="J50" s="4"/>
      <c r="K50" s="4"/>
      <c r="L50" s="4"/>
      <c r="M50" s="4"/>
      <c r="N50" s="4"/>
    </row>
    <row r="51" spans="1:14" ht="40.049999999999997" customHeight="1" x14ac:dyDescent="0.3">
      <c r="A51" s="24" t="s">
        <v>173</v>
      </c>
      <c r="B51" s="25" t="s">
        <v>174</v>
      </c>
      <c r="C51" s="144"/>
      <c r="D51" s="156"/>
      <c r="E51" s="128"/>
      <c r="F51" s="129"/>
    </row>
    <row r="52" spans="1:14" ht="40.049999999999997" customHeight="1" x14ac:dyDescent="0.3">
      <c r="A52" s="29" t="s">
        <v>175</v>
      </c>
      <c r="B52" s="30" t="s">
        <v>176</v>
      </c>
      <c r="C52" s="162"/>
      <c r="D52" s="128"/>
      <c r="E52" s="128"/>
      <c r="F52" s="129"/>
    </row>
    <row r="53" spans="1:14" ht="40.049999999999997" customHeight="1" x14ac:dyDescent="0.3">
      <c r="A53" s="24" t="s">
        <v>179</v>
      </c>
      <c r="B53" s="25" t="s">
        <v>180</v>
      </c>
      <c r="C53" s="144"/>
      <c r="D53" s="156"/>
      <c r="E53" s="128"/>
      <c r="F53" s="129"/>
    </row>
    <row r="54" spans="1:14" ht="40.049999999999997" customHeight="1" x14ac:dyDescent="0.3">
      <c r="A54" s="29" t="s">
        <v>445</v>
      </c>
      <c r="B54" s="23" t="s">
        <v>446</v>
      </c>
      <c r="C54" s="162"/>
      <c r="D54" s="128"/>
      <c r="E54" s="128"/>
      <c r="F54" s="129"/>
    </row>
    <row r="55" spans="1:14" ht="40.049999999999997" customHeight="1" x14ac:dyDescent="0.3">
      <c r="A55" s="29" t="s">
        <v>447</v>
      </c>
      <c r="B55" s="23" t="s">
        <v>448</v>
      </c>
      <c r="C55" s="162"/>
      <c r="D55" s="128"/>
      <c r="E55" s="128"/>
      <c r="F55" s="129"/>
    </row>
    <row r="56" spans="1:14" ht="40.049999999999997" customHeight="1" x14ac:dyDescent="0.45">
      <c r="A56" s="137" t="s">
        <v>412</v>
      </c>
      <c r="B56" s="138" t="s">
        <v>440</v>
      </c>
      <c r="C56" s="164"/>
      <c r="D56" s="158"/>
      <c r="E56" s="159"/>
      <c r="F56" s="165"/>
      <c r="G56" s="4"/>
      <c r="H56" s="4"/>
      <c r="I56" s="4"/>
      <c r="J56" s="4"/>
      <c r="K56" s="4"/>
      <c r="L56" s="4"/>
      <c r="M56" s="4"/>
      <c r="N56" s="4"/>
    </row>
    <row r="57" spans="1:14" ht="40.049999999999997" customHeight="1" x14ac:dyDescent="0.3">
      <c r="A57" s="22" t="s">
        <v>191</v>
      </c>
      <c r="B57" s="23" t="s">
        <v>449</v>
      </c>
      <c r="C57" s="162"/>
      <c r="D57" s="128"/>
      <c r="E57" s="128"/>
      <c r="F57" s="129"/>
    </row>
    <row r="58" spans="1:14" ht="40.049999999999997" customHeight="1" x14ac:dyDescent="0.45">
      <c r="A58" s="137" t="s">
        <v>193</v>
      </c>
      <c r="B58" s="138" t="s">
        <v>194</v>
      </c>
      <c r="C58" s="139"/>
      <c r="D58" s="166"/>
      <c r="E58" s="159"/>
      <c r="F58" s="160"/>
      <c r="G58" s="4"/>
      <c r="H58" s="4"/>
      <c r="I58" s="4"/>
      <c r="J58" s="4"/>
      <c r="K58" s="4"/>
      <c r="L58" s="4"/>
      <c r="M58" s="4"/>
      <c r="N58" s="4"/>
    </row>
    <row r="59" spans="1:14" ht="40.049999999999997" customHeight="1" x14ac:dyDescent="0.3">
      <c r="A59" s="24" t="s">
        <v>195</v>
      </c>
      <c r="B59" s="25" t="s">
        <v>196</v>
      </c>
      <c r="C59" s="144"/>
      <c r="D59" s="156"/>
      <c r="E59" s="128"/>
      <c r="F59" s="129"/>
    </row>
    <row r="60" spans="1:14" ht="40.049999999999997" customHeight="1" x14ac:dyDescent="0.45">
      <c r="A60" s="29" t="s">
        <v>197</v>
      </c>
      <c r="B60" s="30" t="s">
        <v>139</v>
      </c>
      <c r="C60" s="162"/>
      <c r="D60" s="161"/>
      <c r="E60" s="128"/>
      <c r="F60" s="129"/>
      <c r="G60" s="4"/>
      <c r="H60" s="4"/>
      <c r="I60" s="4"/>
      <c r="J60" s="4"/>
      <c r="K60" s="4"/>
      <c r="L60" s="4"/>
      <c r="M60" s="4"/>
      <c r="N60" s="4"/>
    </row>
    <row r="61" spans="1:14" ht="40.049999999999997" customHeight="1" x14ac:dyDescent="0.45">
      <c r="A61" s="24" t="s">
        <v>198</v>
      </c>
      <c r="B61" s="25" t="s">
        <v>199</v>
      </c>
      <c r="C61" s="144"/>
      <c r="D61" s="156"/>
      <c r="E61" s="128"/>
      <c r="F61" s="129"/>
      <c r="G61" s="4"/>
      <c r="H61" s="4"/>
      <c r="I61" s="4"/>
      <c r="J61" s="4"/>
      <c r="K61" s="4"/>
      <c r="L61" s="4"/>
      <c r="M61" s="4"/>
      <c r="N61" s="4"/>
    </row>
    <row r="62" spans="1:14" ht="40.049999999999997" customHeight="1" x14ac:dyDescent="0.3">
      <c r="A62" s="29" t="s">
        <v>200</v>
      </c>
      <c r="B62" s="30" t="s">
        <v>176</v>
      </c>
      <c r="C62" s="162"/>
      <c r="D62" s="128"/>
      <c r="E62" s="128"/>
      <c r="F62" s="129"/>
    </row>
    <row r="63" spans="1:14" ht="40.049999999999997" customHeight="1" x14ac:dyDescent="0.3">
      <c r="A63" s="24" t="s">
        <v>201</v>
      </c>
      <c r="B63" s="28" t="s">
        <v>202</v>
      </c>
      <c r="C63" s="144"/>
      <c r="D63" s="156"/>
      <c r="E63" s="128"/>
      <c r="F63" s="129"/>
    </row>
    <row r="64" spans="1:14" ht="40.049999999999997" customHeight="1" x14ac:dyDescent="0.3">
      <c r="A64" s="29" t="s">
        <v>203</v>
      </c>
      <c r="B64" s="30" t="s">
        <v>204</v>
      </c>
      <c r="C64" s="162"/>
      <c r="D64" s="128"/>
      <c r="E64" s="128"/>
      <c r="F64" s="129"/>
    </row>
    <row r="65" spans="1:14" ht="40.049999999999997" customHeight="1" x14ac:dyDescent="0.45">
      <c r="A65" s="137" t="s">
        <v>205</v>
      </c>
      <c r="B65" s="138" t="s">
        <v>206</v>
      </c>
      <c r="C65" s="139"/>
      <c r="D65" s="158"/>
      <c r="E65" s="159"/>
      <c r="F65" s="160"/>
      <c r="G65" s="4"/>
      <c r="H65" s="4"/>
      <c r="I65" s="4"/>
      <c r="J65" s="4"/>
      <c r="K65" s="4"/>
      <c r="L65" s="4"/>
      <c r="M65" s="4"/>
      <c r="N65" s="4"/>
    </row>
    <row r="66" spans="1:14" ht="40.049999999999997" customHeight="1" x14ac:dyDescent="0.45">
      <c r="A66" s="22" t="s">
        <v>450</v>
      </c>
      <c r="B66" s="23" t="s">
        <v>451</v>
      </c>
      <c r="C66" s="162"/>
      <c r="D66" s="128"/>
      <c r="E66" s="128"/>
      <c r="F66" s="129"/>
      <c r="G66" s="4"/>
      <c r="H66" s="4"/>
      <c r="I66" s="4"/>
      <c r="J66" s="4"/>
      <c r="K66" s="4"/>
      <c r="L66" s="4"/>
      <c r="M66" s="4"/>
      <c r="N66" s="4"/>
    </row>
    <row r="67" spans="1:14" ht="40.049999999999997" customHeight="1" x14ac:dyDescent="0.3">
      <c r="A67" s="137" t="s">
        <v>209</v>
      </c>
      <c r="B67" s="138" t="s">
        <v>210</v>
      </c>
      <c r="C67" s="139"/>
      <c r="D67" s="166"/>
      <c r="E67" s="159"/>
      <c r="F67" s="160"/>
    </row>
    <row r="68" spans="1:14" ht="40.049999999999997" customHeight="1" x14ac:dyDescent="0.45">
      <c r="A68" s="22" t="s">
        <v>211</v>
      </c>
      <c r="B68" s="23" t="s">
        <v>212</v>
      </c>
      <c r="C68" s="163"/>
      <c r="D68" s="167"/>
      <c r="E68" s="128"/>
      <c r="F68" s="129"/>
    </row>
    <row r="69" spans="1:14" ht="40.049999999999997" customHeight="1" x14ac:dyDescent="0.45">
      <c r="A69" s="137" t="s">
        <v>219</v>
      </c>
      <c r="B69" s="138" t="s">
        <v>220</v>
      </c>
      <c r="C69" s="139"/>
      <c r="D69" s="168"/>
      <c r="E69" s="159"/>
      <c r="F69" s="160"/>
      <c r="G69" s="4"/>
      <c r="H69" s="4"/>
      <c r="I69" s="4"/>
      <c r="J69" s="4"/>
      <c r="K69" s="4"/>
      <c r="L69" s="4"/>
      <c r="M69" s="4"/>
      <c r="N69" s="4"/>
    </row>
    <row r="70" spans="1:14" ht="40.049999999999997" customHeight="1" x14ac:dyDescent="0.3">
      <c r="A70" s="24" t="s">
        <v>452</v>
      </c>
      <c r="B70" s="25" t="s">
        <v>453</v>
      </c>
      <c r="C70" s="144"/>
      <c r="D70" s="169"/>
      <c r="E70" s="128"/>
      <c r="F70" s="129"/>
    </row>
    <row r="71" spans="1:14" ht="40.049999999999997" customHeight="1" x14ac:dyDescent="0.3">
      <c r="A71" s="22" t="s">
        <v>221</v>
      </c>
      <c r="B71" s="23" t="s">
        <v>222</v>
      </c>
      <c r="C71" s="162"/>
      <c r="D71" s="169"/>
      <c r="E71" s="128"/>
      <c r="F71" s="129"/>
    </row>
    <row r="72" spans="1:14" ht="40.049999999999997" customHeight="1" x14ac:dyDescent="0.45">
      <c r="A72" s="22" t="s">
        <v>454</v>
      </c>
      <c r="B72" s="23" t="s">
        <v>455</v>
      </c>
      <c r="C72" s="145"/>
      <c r="D72" s="169"/>
      <c r="E72" s="128"/>
      <c r="F72" s="129"/>
      <c r="G72" s="4"/>
      <c r="H72" s="4"/>
      <c r="I72" s="4"/>
      <c r="J72" s="4"/>
      <c r="K72" s="4"/>
      <c r="L72" s="4"/>
      <c r="M72" s="4"/>
      <c r="N72" s="4"/>
    </row>
    <row r="73" spans="1:14" ht="40.049999999999997" customHeight="1" x14ac:dyDescent="0.3">
      <c r="A73" s="27" t="s">
        <v>223</v>
      </c>
      <c r="B73" s="28" t="s">
        <v>224</v>
      </c>
      <c r="C73" s="144"/>
      <c r="D73" s="169"/>
      <c r="E73" s="128"/>
      <c r="F73" s="129"/>
    </row>
    <row r="74" spans="1:14" ht="40.049999999999997" customHeight="1" x14ac:dyDescent="0.3">
      <c r="A74" s="22" t="s">
        <v>225</v>
      </c>
      <c r="B74" s="23" t="s">
        <v>456</v>
      </c>
      <c r="C74" s="145"/>
      <c r="D74" s="170"/>
      <c r="E74" s="128"/>
      <c r="F74" s="129"/>
    </row>
    <row r="75" spans="1:14" ht="40.049999999999997" customHeight="1" x14ac:dyDescent="0.45">
      <c r="A75" s="22" t="s">
        <v>457</v>
      </c>
      <c r="B75" s="23" t="s">
        <v>234</v>
      </c>
      <c r="C75" s="163"/>
      <c r="D75" s="167"/>
      <c r="E75" s="128"/>
      <c r="F75" s="129"/>
      <c r="G75" s="4"/>
      <c r="H75" s="4"/>
      <c r="I75" s="4"/>
      <c r="J75" s="4"/>
      <c r="K75" s="4"/>
      <c r="L75" s="4"/>
      <c r="M75" s="4"/>
      <c r="N75" s="4"/>
    </row>
    <row r="76" spans="1:14" ht="40.049999999999997" customHeight="1" x14ac:dyDescent="0.45">
      <c r="A76" s="22" t="s">
        <v>227</v>
      </c>
      <c r="B76" s="23" t="s">
        <v>228</v>
      </c>
      <c r="C76" s="145"/>
      <c r="D76" s="161"/>
      <c r="E76" s="128"/>
      <c r="F76" s="129"/>
      <c r="G76" s="4"/>
      <c r="H76" s="4"/>
      <c r="I76" s="4"/>
      <c r="J76" s="4"/>
      <c r="K76" s="4"/>
      <c r="L76" s="4"/>
      <c r="M76" s="4"/>
      <c r="N76" s="4"/>
    </row>
    <row r="77" spans="1:14" ht="40.049999999999997" customHeight="1" x14ac:dyDescent="0.3">
      <c r="A77" s="22" t="s">
        <v>229</v>
      </c>
      <c r="B77" s="23" t="s">
        <v>230</v>
      </c>
      <c r="C77" s="145"/>
      <c r="D77" s="169"/>
      <c r="E77" s="128"/>
      <c r="F77" s="129"/>
    </row>
    <row r="78" spans="1:14" ht="40.049999999999997" customHeight="1" x14ac:dyDescent="0.45">
      <c r="A78" s="22" t="s">
        <v>231</v>
      </c>
      <c r="B78" s="23" t="s">
        <v>458</v>
      </c>
      <c r="C78" s="163"/>
      <c r="D78" s="167"/>
      <c r="E78" s="128"/>
      <c r="F78" s="129"/>
      <c r="G78" s="4"/>
      <c r="H78" s="4"/>
      <c r="I78" s="4"/>
      <c r="J78" s="4"/>
      <c r="K78" s="4"/>
      <c r="L78" s="4"/>
      <c r="M78" s="4"/>
      <c r="N78" s="4"/>
    </row>
    <row r="79" spans="1:14" ht="40.049999999999997" customHeight="1" x14ac:dyDescent="0.3">
      <c r="A79" s="137" t="s">
        <v>235</v>
      </c>
      <c r="B79" s="138" t="s">
        <v>236</v>
      </c>
      <c r="C79" s="139"/>
      <c r="D79" s="171"/>
      <c r="E79" s="159"/>
      <c r="F79" s="160"/>
    </row>
    <row r="80" spans="1:14" ht="40.049999999999997" customHeight="1" x14ac:dyDescent="0.3">
      <c r="A80" s="24" t="s">
        <v>237</v>
      </c>
      <c r="B80" s="25" t="s">
        <v>238</v>
      </c>
      <c r="C80" s="144"/>
      <c r="D80" s="172"/>
      <c r="E80" s="128"/>
      <c r="F80" s="129"/>
    </row>
    <row r="81" spans="1:14" ht="40.049999999999997" customHeight="1" x14ac:dyDescent="0.45">
      <c r="A81" s="22" t="s">
        <v>239</v>
      </c>
      <c r="B81" s="23" t="s">
        <v>139</v>
      </c>
      <c r="C81" s="163"/>
      <c r="D81" s="167"/>
      <c r="E81" s="128"/>
      <c r="F81" s="129"/>
      <c r="G81" s="4"/>
      <c r="H81" s="4"/>
      <c r="I81" s="4"/>
      <c r="J81" s="4"/>
      <c r="K81" s="4"/>
      <c r="L81" s="4"/>
      <c r="M81" s="4"/>
      <c r="N81" s="4"/>
    </row>
    <row r="82" spans="1:14" ht="40.049999999999997" customHeight="1" x14ac:dyDescent="0.3">
      <c r="A82" s="24" t="s">
        <v>240</v>
      </c>
      <c r="B82" s="25" t="s">
        <v>241</v>
      </c>
      <c r="C82" s="144"/>
      <c r="D82" s="173"/>
      <c r="E82" s="128"/>
      <c r="F82" s="129"/>
    </row>
    <row r="83" spans="1:14" ht="40.049999999999997" customHeight="1" x14ac:dyDescent="0.45">
      <c r="A83" s="29" t="s">
        <v>242</v>
      </c>
      <c r="B83" s="30" t="s">
        <v>243</v>
      </c>
      <c r="C83" s="163"/>
      <c r="D83" s="167"/>
      <c r="E83" s="128"/>
      <c r="F83" s="129"/>
    </row>
    <row r="84" spans="1:14" ht="40.049999999999997" customHeight="1" x14ac:dyDescent="0.3">
      <c r="A84" s="29" t="s">
        <v>459</v>
      </c>
      <c r="B84" s="30" t="s">
        <v>460</v>
      </c>
      <c r="C84" s="145"/>
      <c r="D84" s="173"/>
      <c r="E84" s="128"/>
      <c r="F84" s="129"/>
    </row>
    <row r="85" spans="1:14" ht="40.049999999999997" customHeight="1" x14ac:dyDescent="0.45">
      <c r="A85" s="29" t="s">
        <v>244</v>
      </c>
      <c r="B85" s="30" t="s">
        <v>245</v>
      </c>
      <c r="C85" s="163"/>
      <c r="D85" s="167"/>
      <c r="E85" s="128"/>
      <c r="F85" s="129"/>
    </row>
    <row r="86" spans="1:14" ht="40.049999999999997" customHeight="1" x14ac:dyDescent="0.3">
      <c r="A86" s="24" t="s">
        <v>246</v>
      </c>
      <c r="B86" s="25" t="s">
        <v>247</v>
      </c>
      <c r="C86" s="144"/>
      <c r="D86" s="173"/>
      <c r="E86" s="128"/>
      <c r="F86" s="129"/>
    </row>
    <row r="87" spans="1:14" ht="40.049999999999997" customHeight="1" x14ac:dyDescent="0.45">
      <c r="A87" s="29" t="s">
        <v>248</v>
      </c>
      <c r="B87" s="30" t="s">
        <v>460</v>
      </c>
      <c r="C87" s="163"/>
      <c r="D87" s="167"/>
      <c r="E87" s="128"/>
      <c r="F87" s="129"/>
    </row>
    <row r="88" spans="1:14" ht="40.049999999999997" customHeight="1" x14ac:dyDescent="0.45">
      <c r="A88" s="24" t="s">
        <v>252</v>
      </c>
      <c r="B88" s="28" t="s">
        <v>253</v>
      </c>
      <c r="C88" s="144"/>
      <c r="D88" s="173"/>
      <c r="E88" s="128"/>
      <c r="F88" s="129"/>
      <c r="G88" s="4"/>
      <c r="H88" s="4"/>
      <c r="I88" s="4"/>
      <c r="J88" s="4"/>
      <c r="K88" s="4"/>
      <c r="L88" s="4"/>
      <c r="M88" s="4"/>
      <c r="N88" s="4"/>
    </row>
    <row r="89" spans="1:14" ht="40.049999999999997" customHeight="1" x14ac:dyDescent="0.45">
      <c r="A89" s="22" t="s">
        <v>254</v>
      </c>
      <c r="B89" s="23" t="s">
        <v>255</v>
      </c>
      <c r="C89" s="162"/>
      <c r="D89" s="173"/>
      <c r="E89" s="128"/>
      <c r="F89" s="129"/>
      <c r="G89" s="4"/>
      <c r="H89" s="4"/>
      <c r="I89" s="4"/>
      <c r="J89" s="4"/>
      <c r="K89" s="4"/>
      <c r="L89" s="4"/>
      <c r="M89" s="4"/>
      <c r="N89" s="4"/>
    </row>
    <row r="90" spans="1:14" ht="40.049999999999997" customHeight="1" x14ac:dyDescent="0.3">
      <c r="A90" s="22" t="s">
        <v>256</v>
      </c>
      <c r="B90" s="23" t="s">
        <v>257</v>
      </c>
      <c r="C90" s="162"/>
      <c r="D90" s="170"/>
      <c r="E90" s="128"/>
      <c r="F90" s="129"/>
    </row>
    <row r="91" spans="1:14" ht="40.049999999999997" customHeight="1" x14ac:dyDescent="0.45">
      <c r="A91" s="22" t="s">
        <v>258</v>
      </c>
      <c r="B91" s="23" t="s">
        <v>259</v>
      </c>
      <c r="C91" s="162"/>
      <c r="D91" s="169"/>
      <c r="E91" s="128"/>
      <c r="F91" s="129"/>
      <c r="G91" s="4"/>
      <c r="H91" s="4"/>
      <c r="I91" s="4"/>
      <c r="J91" s="4"/>
      <c r="K91" s="4"/>
      <c r="L91" s="4"/>
      <c r="M91" s="4"/>
      <c r="N91" s="4"/>
    </row>
    <row r="92" spans="1:14" ht="40.049999999999997" customHeight="1" x14ac:dyDescent="0.45">
      <c r="A92" s="22" t="s">
        <v>260</v>
      </c>
      <c r="B92" s="23" t="s">
        <v>261</v>
      </c>
      <c r="C92" s="162"/>
      <c r="D92" s="169"/>
      <c r="E92" s="128"/>
      <c r="F92" s="129"/>
      <c r="G92" s="4"/>
      <c r="H92" s="4"/>
      <c r="I92" s="4"/>
      <c r="J92" s="4"/>
      <c r="K92" s="4"/>
      <c r="L92" s="4"/>
      <c r="M92" s="4"/>
      <c r="N92" s="4"/>
    </row>
    <row r="93" spans="1:14" ht="40.049999999999997" customHeight="1" x14ac:dyDescent="0.3">
      <c r="A93" s="24" t="s">
        <v>262</v>
      </c>
      <c r="B93" s="25" t="s">
        <v>263</v>
      </c>
      <c r="C93" s="144"/>
      <c r="D93" s="169"/>
      <c r="E93" s="128"/>
      <c r="F93" s="129"/>
    </row>
    <row r="94" spans="1:14" ht="40.049999999999997" customHeight="1" x14ac:dyDescent="0.3">
      <c r="A94" s="29" t="s">
        <v>264</v>
      </c>
      <c r="B94" s="30" t="s">
        <v>461</v>
      </c>
      <c r="C94" s="163"/>
      <c r="D94" s="169"/>
      <c r="E94" s="128"/>
      <c r="F94" s="129"/>
    </row>
    <row r="95" spans="1:14" ht="40.049999999999997" customHeight="1" x14ac:dyDescent="0.3">
      <c r="A95" s="146" t="s">
        <v>266</v>
      </c>
      <c r="B95" s="138" t="s">
        <v>267</v>
      </c>
      <c r="C95" s="139"/>
      <c r="D95" s="168"/>
      <c r="E95" s="159"/>
      <c r="F95" s="160"/>
    </row>
    <row r="96" spans="1:14" ht="40.049999999999997" customHeight="1" x14ac:dyDescent="0.45">
      <c r="A96" s="22" t="s">
        <v>268</v>
      </c>
      <c r="B96" s="23" t="s">
        <v>269</v>
      </c>
      <c r="C96" s="163"/>
      <c r="D96" s="167"/>
      <c r="E96" s="128"/>
      <c r="F96" s="129"/>
    </row>
    <row r="97" spans="1:14" ht="40.049999999999997" customHeight="1" x14ac:dyDescent="0.45">
      <c r="A97" s="22" t="s">
        <v>270</v>
      </c>
      <c r="B97" s="23" t="s">
        <v>271</v>
      </c>
      <c r="C97" s="163"/>
      <c r="D97" s="167"/>
      <c r="E97" s="128"/>
      <c r="F97" s="129"/>
    </row>
    <row r="98" spans="1:14" ht="40.049999999999997" customHeight="1" x14ac:dyDescent="0.45">
      <c r="A98" s="146" t="s">
        <v>272</v>
      </c>
      <c r="B98" s="138" t="s">
        <v>273</v>
      </c>
      <c r="C98" s="139"/>
      <c r="D98" s="171"/>
      <c r="E98" s="159"/>
      <c r="F98" s="160"/>
      <c r="G98" s="4"/>
      <c r="H98" s="4"/>
      <c r="I98" s="4"/>
      <c r="J98" s="4"/>
      <c r="K98" s="4"/>
      <c r="L98" s="4"/>
      <c r="M98" s="4"/>
      <c r="N98" s="4"/>
    </row>
    <row r="99" spans="1:14" ht="40.049999999999997" customHeight="1" x14ac:dyDescent="0.3">
      <c r="A99" s="22" t="s">
        <v>274</v>
      </c>
      <c r="B99" s="23" t="s">
        <v>275</v>
      </c>
      <c r="C99" s="174"/>
      <c r="D99" s="172"/>
      <c r="E99" s="128"/>
      <c r="F99" s="129"/>
    </row>
    <row r="100" spans="1:14" ht="40.049999999999997" customHeight="1" x14ac:dyDescent="0.3">
      <c r="A100" s="22" t="s">
        <v>462</v>
      </c>
      <c r="B100" s="10" t="s">
        <v>463</v>
      </c>
      <c r="C100" s="145"/>
      <c r="D100" s="169"/>
      <c r="E100" s="128"/>
      <c r="F100" s="129"/>
    </row>
    <row r="101" spans="1:14" ht="40.049999999999997" customHeight="1" x14ac:dyDescent="0.45">
      <c r="A101" s="22" t="s">
        <v>464</v>
      </c>
      <c r="B101" s="23" t="s">
        <v>465</v>
      </c>
      <c r="C101" s="145"/>
      <c r="D101" s="169"/>
      <c r="E101" s="128"/>
      <c r="F101" s="129"/>
      <c r="G101" s="4"/>
      <c r="H101" s="4"/>
      <c r="I101" s="4"/>
      <c r="J101" s="4"/>
      <c r="K101" s="4"/>
      <c r="L101" s="4"/>
      <c r="M101" s="4"/>
      <c r="N101" s="4"/>
    </row>
    <row r="102" spans="1:14" ht="40.049999999999997" customHeight="1" x14ac:dyDescent="0.45">
      <c r="A102" s="22" t="s">
        <v>276</v>
      </c>
      <c r="B102" s="23" t="s">
        <v>277</v>
      </c>
      <c r="C102" s="145"/>
      <c r="D102" s="169"/>
      <c r="E102" s="128"/>
      <c r="F102" s="129"/>
      <c r="G102" s="4"/>
      <c r="H102" s="4"/>
      <c r="I102" s="4"/>
      <c r="J102" s="4"/>
      <c r="K102" s="4"/>
      <c r="L102" s="4"/>
      <c r="M102" s="4"/>
      <c r="N102" s="4"/>
    </row>
    <row r="103" spans="1:14" ht="40.049999999999997" customHeight="1" x14ac:dyDescent="0.45">
      <c r="A103" s="137" t="s">
        <v>278</v>
      </c>
      <c r="B103" s="138" t="s">
        <v>279</v>
      </c>
      <c r="C103" s="139"/>
      <c r="D103" s="168"/>
      <c r="E103" s="159"/>
      <c r="F103" s="160"/>
      <c r="G103" s="4"/>
      <c r="H103" s="4"/>
      <c r="I103" s="4"/>
      <c r="J103" s="4"/>
      <c r="K103" s="4"/>
      <c r="L103" s="4"/>
      <c r="M103" s="4"/>
      <c r="N103" s="4"/>
    </row>
    <row r="104" spans="1:14" ht="40.049999999999997" customHeight="1" x14ac:dyDescent="0.3">
      <c r="A104" s="24" t="s">
        <v>280</v>
      </c>
      <c r="B104" s="25" t="s">
        <v>281</v>
      </c>
      <c r="C104" s="144"/>
      <c r="D104" s="170"/>
      <c r="E104" s="128"/>
      <c r="F104" s="129"/>
    </row>
    <row r="105" spans="1:14" ht="40.049999999999997" customHeight="1" x14ac:dyDescent="0.3">
      <c r="A105" s="29" t="s">
        <v>466</v>
      </c>
      <c r="B105" s="30" t="s">
        <v>467</v>
      </c>
      <c r="C105" s="162"/>
      <c r="D105" s="169"/>
      <c r="E105" s="128"/>
      <c r="F105" s="129"/>
    </row>
    <row r="106" spans="1:14" ht="40.049999999999997" customHeight="1" x14ac:dyDescent="0.45">
      <c r="A106" s="29" t="s">
        <v>284</v>
      </c>
      <c r="B106" s="30" t="s">
        <v>468</v>
      </c>
      <c r="C106" s="162"/>
      <c r="D106" s="169"/>
      <c r="E106" s="128"/>
      <c r="F106" s="129"/>
      <c r="G106" s="4"/>
      <c r="H106" s="4"/>
      <c r="I106" s="4"/>
      <c r="J106" s="4"/>
      <c r="K106" s="4"/>
      <c r="L106" s="4"/>
      <c r="M106" s="4"/>
      <c r="N106" s="4"/>
    </row>
    <row r="107" spans="1:14" ht="40.049999999999997" customHeight="1" x14ac:dyDescent="0.3">
      <c r="A107" s="24" t="s">
        <v>286</v>
      </c>
      <c r="B107" s="25" t="s">
        <v>287</v>
      </c>
      <c r="C107" s="144"/>
      <c r="D107" s="170"/>
      <c r="E107" s="128"/>
      <c r="F107" s="129"/>
    </row>
    <row r="108" spans="1:14" ht="40.049999999999997" customHeight="1" x14ac:dyDescent="0.45">
      <c r="A108" s="22" t="s">
        <v>288</v>
      </c>
      <c r="B108" s="23" t="s">
        <v>289</v>
      </c>
      <c r="C108" s="145"/>
      <c r="D108" s="169"/>
      <c r="E108" s="128"/>
      <c r="F108" s="129"/>
      <c r="G108" s="4"/>
      <c r="H108" s="4"/>
      <c r="I108" s="4"/>
      <c r="J108" s="4"/>
      <c r="K108" s="4"/>
      <c r="L108" s="4"/>
      <c r="M108" s="4"/>
      <c r="N108" s="4"/>
    </row>
    <row r="109" spans="1:14" ht="40.049999999999997" customHeight="1" x14ac:dyDescent="0.3">
      <c r="A109" s="22" t="s">
        <v>290</v>
      </c>
      <c r="B109" s="23" t="s">
        <v>291</v>
      </c>
      <c r="C109" s="145"/>
      <c r="D109" s="169"/>
      <c r="E109" s="128"/>
      <c r="F109" s="129"/>
    </row>
    <row r="110" spans="1:14" ht="40.049999999999997" customHeight="1" x14ac:dyDescent="0.3">
      <c r="A110" s="22" t="s">
        <v>469</v>
      </c>
      <c r="B110" s="23" t="s">
        <v>293</v>
      </c>
      <c r="C110" s="145"/>
      <c r="D110" s="170"/>
      <c r="E110" s="128"/>
      <c r="F110" s="129"/>
    </row>
    <row r="111" spans="1:14" ht="40.049999999999997" customHeight="1" x14ac:dyDescent="0.45">
      <c r="A111" s="137" t="s">
        <v>294</v>
      </c>
      <c r="B111" s="147" t="s">
        <v>295</v>
      </c>
      <c r="C111" s="148"/>
      <c r="D111" s="168"/>
      <c r="E111" s="159"/>
      <c r="F111" s="160"/>
      <c r="G111" s="4"/>
      <c r="H111" s="4"/>
      <c r="I111" s="4"/>
      <c r="J111" s="4"/>
      <c r="K111" s="4"/>
      <c r="L111" s="4"/>
      <c r="M111" s="4"/>
      <c r="N111" s="4"/>
    </row>
    <row r="112" spans="1:14" ht="40.049999999999997" customHeight="1" x14ac:dyDescent="0.45">
      <c r="A112" s="26" t="s">
        <v>296</v>
      </c>
      <c r="B112" s="23" t="s">
        <v>470</v>
      </c>
      <c r="C112" s="175"/>
      <c r="D112" s="176"/>
      <c r="E112" s="128"/>
      <c r="F112" s="129"/>
      <c r="G112" s="4"/>
      <c r="H112" s="4"/>
      <c r="I112" s="4"/>
      <c r="J112" s="4"/>
      <c r="K112" s="4"/>
      <c r="L112" s="4"/>
      <c r="M112" s="4"/>
      <c r="N112" s="4"/>
    </row>
    <row r="113" spans="1:14" ht="40.049999999999997" customHeight="1" x14ac:dyDescent="0.45">
      <c r="A113" s="26" t="s">
        <v>298</v>
      </c>
      <c r="B113" s="23" t="s">
        <v>299</v>
      </c>
      <c r="C113" s="163"/>
      <c r="D113" s="169"/>
      <c r="E113" s="128"/>
      <c r="F113" s="129"/>
      <c r="G113" s="4"/>
      <c r="H113" s="4"/>
      <c r="I113" s="4"/>
      <c r="J113" s="4"/>
      <c r="K113" s="4"/>
      <c r="L113" s="4"/>
      <c r="M113" s="4"/>
      <c r="N113" s="4"/>
    </row>
    <row r="114" spans="1:14" ht="40.049999999999997" customHeight="1" x14ac:dyDescent="0.3">
      <c r="A114" s="26" t="s">
        <v>302</v>
      </c>
      <c r="B114" s="23" t="s">
        <v>303</v>
      </c>
      <c r="C114" s="145"/>
      <c r="D114" s="169"/>
      <c r="E114" s="128"/>
      <c r="F114" s="129"/>
    </row>
    <row r="115" spans="1:14" ht="40.049999999999997" customHeight="1" x14ac:dyDescent="0.45">
      <c r="A115" s="26" t="s">
        <v>304</v>
      </c>
      <c r="B115" s="23" t="s">
        <v>305</v>
      </c>
      <c r="C115" s="163"/>
      <c r="D115" s="167"/>
      <c r="E115" s="128"/>
      <c r="F115" s="129"/>
      <c r="G115" s="4"/>
      <c r="H115" s="4"/>
      <c r="I115" s="4"/>
      <c r="J115" s="4"/>
      <c r="K115" s="4"/>
      <c r="L115" s="4"/>
      <c r="M115" s="4"/>
      <c r="N115" s="4"/>
    </row>
    <row r="116" spans="1:14" ht="40.049999999999997" customHeight="1" x14ac:dyDescent="0.3">
      <c r="A116" s="26" t="s">
        <v>306</v>
      </c>
      <c r="B116" s="23" t="s">
        <v>307</v>
      </c>
      <c r="C116" s="163"/>
      <c r="D116" s="169"/>
      <c r="E116" s="128"/>
      <c r="F116" s="129"/>
    </row>
    <row r="117" spans="1:14" ht="40.049999999999997" customHeight="1" x14ac:dyDescent="0.3">
      <c r="A117" s="26" t="s">
        <v>308</v>
      </c>
      <c r="B117" s="23" t="s">
        <v>309</v>
      </c>
      <c r="C117" s="162"/>
      <c r="D117" s="156"/>
      <c r="E117" s="128"/>
      <c r="F117" s="129"/>
    </row>
    <row r="118" spans="1:14" ht="40.049999999999997" customHeight="1" x14ac:dyDescent="0.3">
      <c r="A118" s="26" t="s">
        <v>310</v>
      </c>
      <c r="B118" s="23" t="s">
        <v>311</v>
      </c>
      <c r="C118" s="145"/>
      <c r="D118" s="156"/>
      <c r="E118" s="128"/>
      <c r="F118" s="129"/>
    </row>
    <row r="119" spans="1:14" ht="40.049999999999997" customHeight="1" x14ac:dyDescent="0.45">
      <c r="A119" s="26" t="s">
        <v>471</v>
      </c>
      <c r="B119" s="23" t="s">
        <v>472</v>
      </c>
      <c r="C119" s="145"/>
      <c r="D119" s="177"/>
      <c r="E119" s="128"/>
      <c r="F119" s="129"/>
    </row>
    <row r="120" spans="1:14" ht="40.049999999999997" customHeight="1" x14ac:dyDescent="0.45">
      <c r="A120" s="26" t="s">
        <v>318</v>
      </c>
      <c r="B120" s="149" t="s">
        <v>473</v>
      </c>
      <c r="C120" s="162"/>
      <c r="D120" s="177"/>
      <c r="E120" s="128"/>
      <c r="F120" s="129"/>
    </row>
    <row r="121" spans="1:14" ht="40.049999999999997" customHeight="1" x14ac:dyDescent="0.45">
      <c r="A121" s="137" t="s">
        <v>320</v>
      </c>
      <c r="B121" s="138" t="s">
        <v>321</v>
      </c>
      <c r="C121" s="139"/>
      <c r="D121" s="178"/>
      <c r="E121" s="159"/>
      <c r="F121" s="160"/>
    </row>
    <row r="122" spans="1:14" ht="40.049999999999997" customHeight="1" x14ac:dyDescent="0.45">
      <c r="A122" s="137" t="s">
        <v>322</v>
      </c>
      <c r="B122" s="147" t="s">
        <v>323</v>
      </c>
      <c r="C122" s="148"/>
      <c r="D122" s="178"/>
      <c r="E122" s="159"/>
      <c r="F122" s="160"/>
    </row>
    <row r="123" spans="1:14" ht="40.049999999999997" customHeight="1" x14ac:dyDescent="0.45">
      <c r="A123" s="29" t="s">
        <v>324</v>
      </c>
      <c r="B123" s="31" t="s">
        <v>325</v>
      </c>
      <c r="C123" s="162"/>
      <c r="D123" s="177"/>
      <c r="E123" s="128"/>
      <c r="F123" s="129"/>
    </row>
    <row r="124" spans="1:14" ht="40.049999999999997" customHeight="1" x14ac:dyDescent="0.45">
      <c r="A124" s="150" t="s">
        <v>326</v>
      </c>
      <c r="B124" s="151" t="s">
        <v>327</v>
      </c>
      <c r="C124" s="162"/>
      <c r="D124" s="177"/>
      <c r="E124" s="128"/>
      <c r="F124" s="129"/>
    </row>
    <row r="125" spans="1:14" ht="40.049999999999997" customHeight="1" x14ac:dyDescent="0.45">
      <c r="A125" s="29" t="s">
        <v>328</v>
      </c>
      <c r="B125" s="31" t="s">
        <v>329</v>
      </c>
      <c r="C125" s="162"/>
      <c r="D125" s="177"/>
      <c r="E125" s="128"/>
      <c r="F125" s="129"/>
    </row>
    <row r="126" spans="1:14" ht="40.049999999999997" customHeight="1" x14ac:dyDescent="0.3">
      <c r="A126" s="29" t="s">
        <v>334</v>
      </c>
      <c r="B126" s="31" t="s">
        <v>335</v>
      </c>
      <c r="C126" s="179"/>
      <c r="D126" s="156"/>
      <c r="E126" s="128"/>
      <c r="F126" s="129"/>
    </row>
    <row r="127" spans="1:14" ht="40.049999999999997" customHeight="1" x14ac:dyDescent="0.45">
      <c r="A127" s="29" t="s">
        <v>338</v>
      </c>
      <c r="B127" s="31" t="s">
        <v>339</v>
      </c>
      <c r="C127" s="162"/>
      <c r="D127" s="177"/>
      <c r="E127" s="128"/>
      <c r="F127" s="129"/>
    </row>
    <row r="128" spans="1:14" ht="40.049999999999997" customHeight="1" x14ac:dyDescent="0.45">
      <c r="A128" s="29" t="s">
        <v>340</v>
      </c>
      <c r="B128" s="31" t="s">
        <v>341</v>
      </c>
      <c r="C128" s="162"/>
      <c r="D128" s="177"/>
      <c r="E128" s="128"/>
      <c r="F128" s="129"/>
    </row>
    <row r="129" spans="1:6" ht="40.049999999999997" customHeight="1" x14ac:dyDescent="0.45">
      <c r="A129" s="29" t="s">
        <v>344</v>
      </c>
      <c r="B129" s="31" t="s">
        <v>345</v>
      </c>
      <c r="C129" s="162"/>
      <c r="D129" s="177"/>
      <c r="E129" s="128"/>
      <c r="F129" s="129"/>
    </row>
    <row r="130" spans="1:6" ht="40.049999999999997" customHeight="1" x14ac:dyDescent="0.45">
      <c r="A130" s="137" t="s">
        <v>348</v>
      </c>
      <c r="B130" s="147" t="s">
        <v>349</v>
      </c>
      <c r="C130" s="148"/>
      <c r="D130" s="178"/>
      <c r="E130" s="159"/>
      <c r="F130" s="160"/>
    </row>
    <row r="131" spans="1:6" ht="40.049999999999997" customHeight="1" x14ac:dyDescent="0.45">
      <c r="A131" s="29" t="s">
        <v>350</v>
      </c>
      <c r="B131" s="30" t="s">
        <v>351</v>
      </c>
      <c r="C131" s="162"/>
      <c r="D131" s="177"/>
      <c r="E131" s="128"/>
      <c r="F131" s="129"/>
    </row>
    <row r="132" spans="1:6" ht="40.049999999999997" customHeight="1" x14ac:dyDescent="0.45">
      <c r="A132" s="29" t="s">
        <v>352</v>
      </c>
      <c r="B132" s="30" t="s">
        <v>353</v>
      </c>
      <c r="C132" s="163"/>
      <c r="D132" s="177"/>
      <c r="E132" s="128"/>
      <c r="F132" s="129"/>
    </row>
    <row r="133" spans="1:6" ht="40.049999999999997" customHeight="1" x14ac:dyDescent="0.45">
      <c r="A133" s="29" t="s">
        <v>354</v>
      </c>
      <c r="B133" s="30" t="s">
        <v>355</v>
      </c>
      <c r="C133" s="163"/>
      <c r="D133" s="177"/>
      <c r="E133" s="128"/>
      <c r="F133" s="129"/>
    </row>
    <row r="134" spans="1:6" ht="40.049999999999997" customHeight="1" x14ac:dyDescent="0.45">
      <c r="A134" s="137" t="s">
        <v>356</v>
      </c>
      <c r="B134" s="147" t="s">
        <v>357</v>
      </c>
      <c r="C134" s="148"/>
      <c r="D134" s="178"/>
      <c r="E134" s="159"/>
      <c r="F134" s="160"/>
    </row>
    <row r="135" spans="1:6" ht="40.049999999999997" customHeight="1" x14ac:dyDescent="0.45">
      <c r="A135" s="29" t="s">
        <v>358</v>
      </c>
      <c r="B135" s="30" t="s">
        <v>359</v>
      </c>
      <c r="C135" s="162" t="s">
        <v>77</v>
      </c>
      <c r="D135" s="177"/>
      <c r="E135" s="128"/>
      <c r="F135" s="129"/>
    </row>
    <row r="136" spans="1:6" ht="40.049999999999997" customHeight="1" x14ac:dyDescent="0.3">
      <c r="A136" s="29" t="s">
        <v>360</v>
      </c>
      <c r="B136" s="30" t="s">
        <v>361</v>
      </c>
      <c r="C136" s="162" t="s">
        <v>77</v>
      </c>
      <c r="D136" s="128"/>
      <c r="E136" s="128"/>
      <c r="F136" s="129"/>
    </row>
    <row r="137" spans="1:6" ht="40.049999999999997" customHeight="1" x14ac:dyDescent="0.45">
      <c r="A137" s="29" t="s">
        <v>362</v>
      </c>
      <c r="B137" s="30" t="s">
        <v>363</v>
      </c>
      <c r="C137" s="145"/>
      <c r="D137" s="177"/>
      <c r="E137" s="128"/>
      <c r="F137" s="129"/>
    </row>
    <row r="138" spans="1:6" ht="40.049999999999997" customHeight="1" x14ac:dyDescent="0.45">
      <c r="A138" s="137" t="s">
        <v>364</v>
      </c>
      <c r="B138" s="138" t="s">
        <v>365</v>
      </c>
      <c r="C138" s="139"/>
      <c r="D138" s="178"/>
      <c r="E138" s="159"/>
      <c r="F138" s="160"/>
    </row>
    <row r="139" spans="1:6" ht="40.049999999999997" customHeight="1" x14ac:dyDescent="0.45">
      <c r="A139" s="29" t="s">
        <v>366</v>
      </c>
      <c r="B139" s="30" t="s">
        <v>367</v>
      </c>
      <c r="C139" s="162"/>
      <c r="D139" s="177"/>
      <c r="E139" s="128"/>
      <c r="F139" s="129"/>
    </row>
    <row r="140" spans="1:6" ht="40.049999999999997" customHeight="1" x14ac:dyDescent="0.45">
      <c r="A140" s="29" t="s">
        <v>368</v>
      </c>
      <c r="B140" s="30" t="s">
        <v>369</v>
      </c>
      <c r="C140" s="162"/>
      <c r="D140" s="177"/>
      <c r="E140" s="128"/>
      <c r="F140" s="129"/>
    </row>
    <row r="141" spans="1:6" ht="40.049999999999997" customHeight="1" x14ac:dyDescent="0.45">
      <c r="A141" s="29" t="s">
        <v>370</v>
      </c>
      <c r="B141" s="30" t="s">
        <v>371</v>
      </c>
      <c r="C141" s="162"/>
      <c r="D141" s="177"/>
      <c r="E141" s="128"/>
      <c r="F141" s="129"/>
    </row>
    <row r="142" spans="1:6" ht="40.049999999999997" customHeight="1" x14ac:dyDescent="0.45">
      <c r="A142" s="29" t="s">
        <v>474</v>
      </c>
      <c r="B142" s="30" t="s">
        <v>383</v>
      </c>
      <c r="C142" s="174"/>
      <c r="D142" s="177"/>
      <c r="E142" s="128"/>
      <c r="F142" s="129"/>
    </row>
    <row r="143" spans="1:6" ht="40.049999999999997" customHeight="1" x14ac:dyDescent="0.45">
      <c r="A143" s="137" t="s">
        <v>380</v>
      </c>
      <c r="B143" s="138" t="s">
        <v>381</v>
      </c>
      <c r="C143" s="139"/>
      <c r="D143" s="178"/>
      <c r="E143" s="159"/>
      <c r="F143" s="160"/>
    </row>
    <row r="144" spans="1:6" ht="40.049999999999997" customHeight="1" x14ac:dyDescent="0.45">
      <c r="A144" s="29" t="s">
        <v>382</v>
      </c>
      <c r="B144" s="30" t="s">
        <v>383</v>
      </c>
      <c r="C144" s="145"/>
      <c r="D144" s="177"/>
      <c r="E144" s="128"/>
      <c r="F144" s="129"/>
    </row>
    <row r="145" spans="1:40" ht="40.049999999999997" customHeight="1" x14ac:dyDescent="0.45">
      <c r="A145" s="29" t="s">
        <v>384</v>
      </c>
      <c r="B145" s="30" t="s">
        <v>385</v>
      </c>
      <c r="C145" s="145"/>
      <c r="D145" s="177"/>
      <c r="E145" s="128"/>
      <c r="F145" s="129"/>
    </row>
    <row r="146" spans="1:40" ht="40.049999999999997" customHeight="1" x14ac:dyDescent="0.45">
      <c r="A146" s="29" t="s">
        <v>386</v>
      </c>
      <c r="B146" s="30" t="s">
        <v>387</v>
      </c>
      <c r="C146" s="145"/>
      <c r="D146" s="177"/>
      <c r="E146" s="128"/>
      <c r="F146" s="129"/>
    </row>
    <row r="147" spans="1:40" ht="40.049999999999997" customHeight="1" x14ac:dyDescent="0.45">
      <c r="A147" s="29" t="s">
        <v>388</v>
      </c>
      <c r="B147" s="30" t="s">
        <v>389</v>
      </c>
      <c r="C147" s="145"/>
      <c r="D147" s="177"/>
      <c r="E147" s="128"/>
      <c r="F147" s="129"/>
    </row>
    <row r="148" spans="1:40" ht="40.049999999999997" customHeight="1" x14ac:dyDescent="0.45">
      <c r="A148" s="137" t="s">
        <v>390</v>
      </c>
      <c r="B148" s="147" t="s">
        <v>391</v>
      </c>
      <c r="C148" s="148"/>
      <c r="D148" s="178"/>
      <c r="E148" s="159"/>
      <c r="F148" s="160"/>
      <c r="G148" s="3"/>
      <c r="H148" s="3"/>
      <c r="I148" s="3"/>
      <c r="J148" s="3"/>
      <c r="K148" s="3"/>
      <c r="L148" s="3"/>
    </row>
    <row r="149" spans="1:40" ht="40.049999999999997" customHeight="1" thickBot="1" x14ac:dyDescent="0.5">
      <c r="A149" s="33" t="s">
        <v>392</v>
      </c>
      <c r="B149" s="34" t="s">
        <v>393</v>
      </c>
      <c r="C149" s="180"/>
      <c r="D149" s="181"/>
      <c r="E149" s="130"/>
      <c r="F149" s="131"/>
      <c r="G149" s="3"/>
      <c r="H149" s="3"/>
      <c r="I149" s="3"/>
      <c r="J149" s="3"/>
      <c r="K149" s="3"/>
      <c r="L149" s="3"/>
    </row>
    <row r="150" spans="1:40" s="4" customFormat="1" ht="34.5" customHeight="1" x14ac:dyDescent="0.45">
      <c r="A150" s="2"/>
      <c r="B150" s="13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23.4" customHeight="1" x14ac:dyDescent="0.45">
      <c r="A151" s="2"/>
      <c r="B151" s="13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23.4" customHeight="1" x14ac:dyDescent="0.45">
      <c r="A152" s="2"/>
      <c r="B152" s="13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s="898" customFormat="1" ht="25.2" customHeight="1" x14ac:dyDescent="0.3">
      <c r="A153" s="649"/>
      <c r="B153" s="648"/>
      <c r="C153" s="210"/>
      <c r="D153" s="210"/>
      <c r="E153" s="210"/>
      <c r="F153" s="210"/>
      <c r="G153" s="210"/>
      <c r="H153" s="210"/>
      <c r="I153" s="210"/>
      <c r="J153" s="210"/>
      <c r="K153" s="210"/>
      <c r="L153" s="210"/>
      <c r="M153" s="210"/>
      <c r="N153" s="210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/>
      <c r="AE153" s="210"/>
    </row>
    <row r="154" spans="1:40" s="898" customFormat="1" ht="25.2" customHeight="1" x14ac:dyDescent="0.3">
      <c r="A154" s="649"/>
      <c r="B154" s="648"/>
      <c r="C154" s="210"/>
      <c r="D154" s="210"/>
      <c r="E154" s="210"/>
      <c r="F154" s="210"/>
      <c r="G154" s="210"/>
      <c r="H154" s="210"/>
      <c r="I154" s="210"/>
      <c r="J154" s="210"/>
      <c r="K154" s="210"/>
      <c r="L154" s="210"/>
      <c r="M154" s="210"/>
      <c r="N154" s="210"/>
      <c r="O154" s="210"/>
      <c r="P154" s="210"/>
      <c r="Q154" s="210"/>
      <c r="R154" s="210"/>
      <c r="S154" s="210"/>
      <c r="T154" s="210"/>
      <c r="U154" s="210"/>
      <c r="V154" s="210"/>
      <c r="W154" s="210"/>
      <c r="X154" s="210"/>
      <c r="Y154" s="210"/>
      <c r="Z154" s="210"/>
      <c r="AA154" s="210"/>
      <c r="AB154" s="210"/>
      <c r="AC154" s="210"/>
      <c r="AD154" s="210"/>
      <c r="AE154" s="210"/>
    </row>
    <row r="155" spans="1:40" s="898" customFormat="1" ht="25.2" customHeight="1" x14ac:dyDescent="0.3">
      <c r="A155" s="649"/>
      <c r="B155" s="648"/>
      <c r="C155" s="210"/>
      <c r="D155" s="210"/>
      <c r="E155" s="210"/>
      <c r="F155" s="210"/>
      <c r="G155" s="210"/>
      <c r="H155" s="210"/>
      <c r="I155" s="210"/>
      <c r="J155" s="210"/>
      <c r="K155" s="210"/>
      <c r="L155" s="210"/>
      <c r="M155" s="210"/>
      <c r="N155" s="210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/>
      <c r="AE155" s="210"/>
    </row>
    <row r="156" spans="1:40" s="898" customFormat="1" ht="25.2" customHeight="1" x14ac:dyDescent="0.3">
      <c r="A156" s="649"/>
      <c r="B156" s="648"/>
      <c r="C156" s="210"/>
      <c r="D156" s="210"/>
      <c r="E156" s="210"/>
      <c r="F156" s="210"/>
      <c r="G156" s="210"/>
      <c r="H156" s="210"/>
      <c r="I156" s="210"/>
      <c r="J156" s="210"/>
      <c r="K156" s="210"/>
      <c r="L156" s="210"/>
      <c r="M156" s="210"/>
      <c r="N156" s="210"/>
      <c r="O156" s="210"/>
      <c r="P156" s="210"/>
      <c r="Q156" s="210"/>
      <c r="R156" s="210"/>
      <c r="S156" s="210"/>
      <c r="T156" s="210"/>
      <c r="U156" s="210"/>
      <c r="V156" s="210"/>
      <c r="W156" s="210"/>
      <c r="X156" s="210"/>
      <c r="Y156" s="210"/>
      <c r="Z156" s="210"/>
      <c r="AA156" s="210"/>
      <c r="AB156" s="210"/>
      <c r="AC156" s="210"/>
      <c r="AD156" s="210"/>
      <c r="AE156" s="210"/>
    </row>
    <row r="157" spans="1:40" s="898" customFormat="1" ht="25.2" customHeight="1" x14ac:dyDescent="0.3">
      <c r="A157" s="650"/>
      <c r="B157" s="210"/>
      <c r="C157" s="210"/>
      <c r="D157" s="210"/>
      <c r="E157" s="210"/>
      <c r="F157" s="210"/>
      <c r="G157" s="210"/>
      <c r="H157" s="210"/>
      <c r="I157" s="210"/>
      <c r="J157" s="210"/>
      <c r="K157" s="210"/>
      <c r="L157" s="210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/>
      <c r="AE157" s="210"/>
    </row>
    <row r="158" spans="1:40" s="898" customFormat="1" ht="25.2" customHeight="1" x14ac:dyDescent="0.3">
      <c r="A158" s="651"/>
      <c r="B158" s="652"/>
      <c r="C158" s="653"/>
      <c r="D158" s="652"/>
      <c r="E158" s="652"/>
      <c r="F158" s="652"/>
      <c r="G158" s="652"/>
      <c r="H158" s="652"/>
      <c r="I158" s="654"/>
      <c r="J158" s="654"/>
      <c r="K158" s="654"/>
      <c r="L158" s="210"/>
      <c r="M158" s="210"/>
      <c r="N158" s="655"/>
      <c r="O158" s="655"/>
      <c r="P158" s="655"/>
      <c r="Q158" s="655"/>
      <c r="R158" s="655"/>
      <c r="S158" s="655"/>
      <c r="T158" s="655"/>
      <c r="V158" s="656"/>
      <c r="W158" s="656"/>
      <c r="X158" s="654"/>
      <c r="Y158" s="654"/>
      <c r="Z158" s="654"/>
      <c r="AA158" s="656"/>
      <c r="AC158" s="210"/>
      <c r="AD158" s="210"/>
      <c r="AE158" s="210"/>
    </row>
    <row r="159" spans="1:40" s="898" customFormat="1" ht="25.2" customHeight="1" x14ac:dyDescent="0.3">
      <c r="A159" s="649"/>
      <c r="B159" s="653" t="s">
        <v>398</v>
      </c>
      <c r="C159" s="653"/>
      <c r="D159" s="1267" t="s">
        <v>44</v>
      </c>
      <c r="E159" s="1268"/>
      <c r="F159" s="1268"/>
      <c r="G159" s="1268"/>
      <c r="H159" s="1268"/>
      <c r="I159" s="1268"/>
      <c r="J159" s="1268"/>
      <c r="K159" s="1268"/>
      <c r="L159" s="657"/>
      <c r="M159" s="657"/>
      <c r="N159" s="1280" t="s">
        <v>399</v>
      </c>
      <c r="O159" s="1009"/>
      <c r="P159" s="1009"/>
      <c r="Q159" s="1009"/>
      <c r="R159" s="1009"/>
      <c r="S159" s="1009"/>
      <c r="T159" s="1009"/>
      <c r="V159" s="1271" t="s">
        <v>73</v>
      </c>
      <c r="W159" s="1268"/>
      <c r="X159" s="1268"/>
      <c r="Y159" s="1268"/>
      <c r="Z159" s="1268"/>
      <c r="AC159" s="209"/>
      <c r="AD159" s="209"/>
      <c r="AE159" s="209"/>
    </row>
    <row r="160" spans="1:40" s="898" customFormat="1" ht="25.2" customHeight="1" x14ac:dyDescent="0.3">
      <c r="A160" s="649"/>
      <c r="B160" s="658" t="s">
        <v>35</v>
      </c>
      <c r="C160" s="658"/>
      <c r="D160" s="1274" t="s">
        <v>54</v>
      </c>
      <c r="E160" s="1268"/>
      <c r="F160" s="1268"/>
      <c r="G160" s="1268"/>
      <c r="H160" s="1268"/>
      <c r="I160" s="1268"/>
      <c r="J160" s="1268"/>
      <c r="K160" s="1268"/>
      <c r="L160" s="211"/>
      <c r="M160" s="211"/>
      <c r="N160" s="1279" t="s">
        <v>400</v>
      </c>
      <c r="O160" s="1268"/>
      <c r="P160" s="1268"/>
      <c r="Q160" s="1268"/>
      <c r="R160" s="1268"/>
      <c r="S160" s="1268"/>
      <c r="T160" s="1268"/>
      <c r="V160" s="1272" t="s">
        <v>74</v>
      </c>
      <c r="W160" s="1268"/>
      <c r="X160" s="1268"/>
      <c r="Y160" s="1268"/>
      <c r="Z160" s="1268"/>
      <c r="AC160" s="659"/>
      <c r="AD160" s="659"/>
      <c r="AE160" s="659"/>
    </row>
  </sheetData>
  <mergeCells count="44">
    <mergeCell ref="A1:A3"/>
    <mergeCell ref="M12:N12"/>
    <mergeCell ref="P5:R5"/>
    <mergeCell ref="M6:N6"/>
    <mergeCell ref="C1:P3"/>
    <mergeCell ref="C9:E12"/>
    <mergeCell ref="J8:L8"/>
    <mergeCell ref="P4:R4"/>
    <mergeCell ref="M8:N8"/>
    <mergeCell ref="J5:L5"/>
    <mergeCell ref="B1:B3"/>
    <mergeCell ref="J10:L10"/>
    <mergeCell ref="P10:R10"/>
    <mergeCell ref="F4:H8"/>
    <mergeCell ref="P9:R9"/>
    <mergeCell ref="J9:L9"/>
    <mergeCell ref="V159:Z159"/>
    <mergeCell ref="V160:Z160"/>
    <mergeCell ref="J11:L11"/>
    <mergeCell ref="J7:L7"/>
    <mergeCell ref="P7:R7"/>
    <mergeCell ref="M11:N11"/>
    <mergeCell ref="M10:N10"/>
    <mergeCell ref="D160:K160"/>
    <mergeCell ref="C15:F15"/>
    <mergeCell ref="J12:L12"/>
    <mergeCell ref="P12:R12"/>
    <mergeCell ref="N160:T160"/>
    <mergeCell ref="N159:T159"/>
    <mergeCell ref="M7:N7"/>
    <mergeCell ref="C4:E8"/>
    <mergeCell ref="D159:K159"/>
    <mergeCell ref="J4:L4"/>
    <mergeCell ref="M5:N5"/>
    <mergeCell ref="P6:R6"/>
    <mergeCell ref="A14:A16"/>
    <mergeCell ref="C16:D16"/>
    <mergeCell ref="B14:B16"/>
    <mergeCell ref="M4:N4"/>
    <mergeCell ref="J6:L6"/>
    <mergeCell ref="P11:R11"/>
    <mergeCell ref="P8:R8"/>
    <mergeCell ref="F9:H12"/>
    <mergeCell ref="M9:N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/>
  <dimension ref="A1:TH188"/>
  <sheetViews>
    <sheetView zoomScale="40" zoomScaleNormal="40" workbookViewId="0">
      <selection activeCell="AC21" sqref="AC21"/>
    </sheetView>
  </sheetViews>
  <sheetFormatPr baseColWidth="10" defaultRowHeight="14.4" x14ac:dyDescent="0.3"/>
  <cols>
    <col min="1" max="1" width="32.88671875" bestFit="1" customWidth="1"/>
    <col min="2" max="2" width="115.77734375" bestFit="1" customWidth="1"/>
  </cols>
  <sheetData>
    <row r="1" spans="1:528" ht="27" customHeight="1" x14ac:dyDescent="0.3">
      <c r="A1" s="1297"/>
      <c r="B1" s="1297" t="s">
        <v>0</v>
      </c>
      <c r="C1" s="1309" t="s">
        <v>1</v>
      </c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984"/>
      <c r="O1" s="984"/>
      <c r="P1" s="984"/>
      <c r="Q1" s="984"/>
      <c r="R1" s="984"/>
      <c r="S1" s="984"/>
      <c r="T1" s="984"/>
      <c r="U1" s="984"/>
      <c r="V1" s="984"/>
      <c r="W1" s="984"/>
      <c r="X1" s="984"/>
      <c r="Y1" s="984"/>
      <c r="Z1" s="984"/>
      <c r="AA1" s="984"/>
      <c r="AB1" s="984"/>
      <c r="AC1" s="984"/>
      <c r="AD1" s="984"/>
      <c r="AE1" s="984"/>
      <c r="AF1" s="984"/>
      <c r="AG1" s="984"/>
      <c r="AH1" s="984"/>
      <c r="AI1" s="984"/>
      <c r="AJ1" s="984"/>
      <c r="AK1" s="984"/>
      <c r="AL1" s="984"/>
      <c r="AM1" s="984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</row>
    <row r="2" spans="1:528" ht="27" customHeight="1" x14ac:dyDescent="0.3">
      <c r="A2" s="997"/>
      <c r="B2" s="997"/>
      <c r="C2" s="986"/>
      <c r="D2" s="978"/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8"/>
      <c r="AC2" s="978"/>
      <c r="AD2" s="978"/>
      <c r="AE2" s="978"/>
      <c r="AF2" s="978"/>
      <c r="AG2" s="978"/>
      <c r="AH2" s="978"/>
      <c r="AI2" s="978"/>
      <c r="AJ2" s="978"/>
      <c r="AK2" s="978"/>
      <c r="AL2" s="978"/>
      <c r="AM2" s="978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</row>
    <row r="3" spans="1:528" ht="79.5" customHeight="1" thickBot="1" x14ac:dyDescent="0.35">
      <c r="A3" s="997"/>
      <c r="B3" s="997"/>
      <c r="C3" s="986"/>
      <c r="D3" s="978"/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978"/>
      <c r="AA3" s="978"/>
      <c r="AB3" s="978"/>
      <c r="AC3" s="978"/>
      <c r="AD3" s="978"/>
      <c r="AE3" s="978"/>
      <c r="AF3" s="978"/>
      <c r="AG3" s="978"/>
      <c r="AH3" s="978"/>
      <c r="AI3" s="978"/>
      <c r="AJ3" s="978"/>
      <c r="AK3" s="978"/>
      <c r="AL3" s="978"/>
      <c r="AM3" s="978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</row>
    <row r="4" spans="1:528" ht="22.2" customHeight="1" x14ac:dyDescent="0.3">
      <c r="A4" s="526" t="s">
        <v>2</v>
      </c>
      <c r="B4" s="527" t="s">
        <v>3</v>
      </c>
      <c r="C4" s="1305" t="s">
        <v>4</v>
      </c>
      <c r="D4" s="984"/>
      <c r="E4" s="984"/>
      <c r="F4" s="985"/>
      <c r="G4" s="1314">
        <v>45939</v>
      </c>
      <c r="H4" s="984"/>
      <c r="I4" s="984"/>
      <c r="J4" s="984"/>
      <c r="K4" s="985"/>
      <c r="L4" s="525"/>
      <c r="M4" s="1287"/>
      <c r="N4" s="978"/>
      <c r="O4" s="525"/>
      <c r="P4" s="1287"/>
      <c r="Q4" s="978"/>
      <c r="R4" s="525"/>
      <c r="S4" s="525"/>
      <c r="T4" s="525"/>
      <c r="U4" s="525"/>
      <c r="V4" s="525"/>
      <c r="W4" s="525"/>
      <c r="X4" s="525"/>
      <c r="Y4" s="525"/>
      <c r="Z4" s="525"/>
      <c r="AA4" s="1287"/>
      <c r="AB4" s="978"/>
      <c r="AC4" s="525"/>
      <c r="AD4" s="1287"/>
      <c r="AE4" s="978"/>
      <c r="AF4" s="525"/>
      <c r="AG4" s="1287"/>
      <c r="AH4" s="978"/>
      <c r="AI4" s="642"/>
      <c r="AJ4" s="1296"/>
      <c r="AK4" s="978"/>
      <c r="AL4" s="643"/>
      <c r="AM4" s="1288"/>
      <c r="AN4" s="978"/>
      <c r="AO4" s="643"/>
      <c r="AP4" s="1288"/>
      <c r="AQ4" s="978"/>
      <c r="AR4" s="643"/>
      <c r="AS4" s="1288"/>
      <c r="AT4" s="978"/>
      <c r="AU4" s="643"/>
      <c r="AV4" s="1288"/>
      <c r="AW4" s="978"/>
      <c r="AX4" s="643"/>
      <c r="AY4" s="1288"/>
      <c r="AZ4" s="978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</row>
    <row r="5" spans="1:528" ht="22.2" customHeight="1" x14ac:dyDescent="0.3">
      <c r="A5" s="528" t="s">
        <v>14</v>
      </c>
      <c r="B5" s="529" t="s">
        <v>15</v>
      </c>
      <c r="C5" s="986"/>
      <c r="D5" s="978"/>
      <c r="E5" s="978"/>
      <c r="F5" s="979"/>
      <c r="G5" s="986"/>
      <c r="H5" s="978"/>
      <c r="I5" s="978"/>
      <c r="J5" s="978"/>
      <c r="K5" s="979"/>
      <c r="L5" s="525"/>
      <c r="M5" s="1287"/>
      <c r="N5" s="978"/>
      <c r="O5" s="525"/>
      <c r="P5" s="1287"/>
      <c r="Q5" s="978"/>
      <c r="R5" s="525"/>
      <c r="S5" s="525"/>
      <c r="T5" s="525"/>
      <c r="U5" s="525"/>
      <c r="V5" s="525"/>
      <c r="W5" s="525"/>
      <c r="X5" s="525"/>
      <c r="Y5" s="525"/>
      <c r="Z5" s="525"/>
      <c r="AA5" s="1287"/>
      <c r="AB5" s="978"/>
      <c r="AC5" s="525"/>
      <c r="AD5" s="1287"/>
      <c r="AE5" s="978"/>
      <c r="AF5" s="525"/>
      <c r="AG5" s="1287"/>
      <c r="AH5" s="978"/>
      <c r="AI5" s="644"/>
      <c r="AJ5" s="1292"/>
      <c r="AK5" s="978"/>
      <c r="AL5" s="643"/>
      <c r="AM5" s="1288"/>
      <c r="AN5" s="978"/>
      <c r="AO5" s="643"/>
      <c r="AP5" s="1288"/>
      <c r="AQ5" s="978"/>
      <c r="AR5" s="643"/>
      <c r="AS5" s="1288"/>
      <c r="AT5" s="978"/>
      <c r="AU5" s="643"/>
      <c r="AV5" s="1288"/>
      <c r="AW5" s="978"/>
      <c r="AX5" s="643"/>
      <c r="AY5" s="1288"/>
      <c r="AZ5" s="978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</row>
    <row r="6" spans="1:528" ht="22.2" customHeight="1" x14ac:dyDescent="0.3">
      <c r="A6" s="528" t="s">
        <v>24</v>
      </c>
      <c r="B6" s="529" t="s">
        <v>25</v>
      </c>
      <c r="C6" s="986"/>
      <c r="D6" s="978"/>
      <c r="E6" s="978"/>
      <c r="F6" s="979"/>
      <c r="G6" s="986"/>
      <c r="H6" s="978"/>
      <c r="I6" s="978"/>
      <c r="J6" s="978"/>
      <c r="K6" s="979"/>
      <c r="L6" s="525"/>
      <c r="M6" s="1287"/>
      <c r="N6" s="978"/>
      <c r="O6" s="525"/>
      <c r="P6" s="1287"/>
      <c r="Q6" s="978"/>
      <c r="R6" s="525"/>
      <c r="S6" s="525"/>
      <c r="T6" s="525"/>
      <c r="U6" s="525"/>
      <c r="V6" s="525"/>
      <c r="W6" s="525"/>
      <c r="X6" s="525"/>
      <c r="Y6" s="525"/>
      <c r="Z6" s="525"/>
      <c r="AA6" s="1287"/>
      <c r="AB6" s="978"/>
      <c r="AC6" s="525"/>
      <c r="AD6" s="1287"/>
      <c r="AE6" s="978"/>
      <c r="AF6" s="525"/>
      <c r="AG6" s="1287"/>
      <c r="AH6" s="978"/>
      <c r="AI6" s="644"/>
      <c r="AJ6" s="1292"/>
      <c r="AK6" s="978"/>
      <c r="AL6" s="643"/>
      <c r="AM6" s="1288"/>
      <c r="AN6" s="978"/>
      <c r="AO6" s="643"/>
      <c r="AP6" s="1288"/>
      <c r="AQ6" s="978"/>
      <c r="AR6" s="643"/>
      <c r="AS6" s="1288"/>
      <c r="AT6" s="978"/>
      <c r="AU6" s="643"/>
      <c r="AV6" s="1288"/>
      <c r="AW6" s="978"/>
      <c r="AX6" s="643"/>
      <c r="AY6" s="1288"/>
      <c r="AZ6" s="978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</row>
    <row r="7" spans="1:528" ht="22.2" customHeight="1" x14ac:dyDescent="0.3">
      <c r="A7" s="528" t="s">
        <v>34</v>
      </c>
      <c r="B7" s="529" t="s">
        <v>35</v>
      </c>
      <c r="C7" s="986"/>
      <c r="D7" s="978"/>
      <c r="E7" s="978"/>
      <c r="F7" s="979"/>
      <c r="G7" s="986"/>
      <c r="H7" s="978"/>
      <c r="I7" s="978"/>
      <c r="J7" s="978"/>
      <c r="K7" s="979"/>
      <c r="L7" s="525"/>
      <c r="M7" s="1287"/>
      <c r="N7" s="978"/>
      <c r="O7" s="525"/>
      <c r="P7" s="1287"/>
      <c r="Q7" s="978"/>
      <c r="R7" s="525"/>
      <c r="S7" s="525"/>
      <c r="T7" s="525"/>
      <c r="U7" s="525"/>
      <c r="V7" s="525"/>
      <c r="W7" s="525"/>
      <c r="X7" s="525"/>
      <c r="Y7" s="525"/>
      <c r="Z7" s="525"/>
      <c r="AA7" s="1287"/>
      <c r="AB7" s="978"/>
      <c r="AC7" s="525"/>
      <c r="AD7" s="1287"/>
      <c r="AE7" s="978"/>
      <c r="AF7" s="525"/>
      <c r="AG7" s="1287"/>
      <c r="AH7" s="978"/>
      <c r="AI7" s="644"/>
      <c r="AJ7" s="1292"/>
      <c r="AK7" s="978"/>
      <c r="AL7" s="643"/>
      <c r="AM7" s="1288"/>
      <c r="AN7" s="978"/>
      <c r="AO7" s="643"/>
      <c r="AP7" s="1288"/>
      <c r="AQ7" s="978"/>
      <c r="AR7" s="643"/>
      <c r="AS7" s="1288"/>
      <c r="AT7" s="978"/>
      <c r="AU7" s="643"/>
      <c r="AV7" s="1288"/>
      <c r="AW7" s="978"/>
      <c r="AX7" s="643"/>
      <c r="AY7" s="1288"/>
      <c r="AZ7" s="978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</row>
    <row r="8" spans="1:528" ht="19.8" customHeight="1" x14ac:dyDescent="0.3">
      <c r="A8" s="528" t="s">
        <v>44</v>
      </c>
      <c r="B8" s="529" t="s">
        <v>45</v>
      </c>
      <c r="C8" s="986"/>
      <c r="D8" s="978"/>
      <c r="E8" s="978"/>
      <c r="F8" s="979"/>
      <c r="G8" s="986"/>
      <c r="H8" s="978"/>
      <c r="I8" s="978"/>
      <c r="J8" s="978"/>
      <c r="K8" s="979"/>
      <c r="L8" s="525"/>
      <c r="M8" s="1287"/>
      <c r="N8" s="978"/>
      <c r="O8" s="525"/>
      <c r="P8" s="1287"/>
      <c r="Q8" s="978"/>
      <c r="R8" s="525"/>
      <c r="S8" s="525"/>
      <c r="T8" s="525"/>
      <c r="U8" s="525"/>
      <c r="V8" s="525"/>
      <c r="W8" s="525"/>
      <c r="X8" s="525"/>
      <c r="Y8" s="525"/>
      <c r="Z8" s="525"/>
      <c r="AA8" s="1287"/>
      <c r="AB8" s="978"/>
      <c r="AC8" s="525"/>
      <c r="AD8" s="1287"/>
      <c r="AE8" s="978"/>
      <c r="AF8" s="525"/>
      <c r="AG8" s="1287"/>
      <c r="AH8" s="978"/>
      <c r="AI8" s="644"/>
      <c r="AJ8" s="1292"/>
      <c r="AK8" s="978"/>
      <c r="AL8" s="643"/>
      <c r="AM8" s="1288"/>
      <c r="AN8" s="978"/>
      <c r="AO8" s="643"/>
      <c r="AP8" s="1288"/>
      <c r="AQ8" s="978"/>
      <c r="AR8" s="643"/>
      <c r="AS8" s="1288"/>
      <c r="AT8" s="978"/>
      <c r="AU8" s="643"/>
      <c r="AV8" s="1288"/>
      <c r="AW8" s="978"/>
      <c r="AX8" s="643"/>
      <c r="AY8" s="1288"/>
      <c r="AZ8" s="978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</row>
    <row r="9" spans="1:528" ht="22.2" customHeight="1" thickBot="1" x14ac:dyDescent="0.35">
      <c r="A9" s="528" t="s">
        <v>44</v>
      </c>
      <c r="B9" s="529" t="s">
        <v>54</v>
      </c>
      <c r="C9" s="987"/>
      <c r="D9" s="975"/>
      <c r="E9" s="975"/>
      <c r="F9" s="976"/>
      <c r="G9" s="987"/>
      <c r="H9" s="975"/>
      <c r="I9" s="975"/>
      <c r="J9" s="975"/>
      <c r="K9" s="976"/>
      <c r="L9" s="525"/>
      <c r="M9" s="1287"/>
      <c r="N9" s="978"/>
      <c r="O9" s="525"/>
      <c r="P9" s="1287"/>
      <c r="Q9" s="978"/>
      <c r="R9" s="525"/>
      <c r="S9" s="525"/>
      <c r="T9" s="525"/>
      <c r="U9" s="525"/>
      <c r="V9" s="525"/>
      <c r="W9" s="525"/>
      <c r="X9" s="525"/>
      <c r="Y9" s="525"/>
      <c r="Z9" s="525"/>
      <c r="AA9" s="1287"/>
      <c r="AB9" s="978"/>
      <c r="AC9" s="525"/>
      <c r="AD9" s="1287"/>
      <c r="AE9" s="978"/>
      <c r="AF9" s="525"/>
      <c r="AG9" s="1287"/>
      <c r="AH9" s="978"/>
      <c r="AI9" s="644"/>
      <c r="AJ9" s="1292"/>
      <c r="AK9" s="978"/>
      <c r="AL9" s="643"/>
      <c r="AM9" s="1288"/>
      <c r="AN9" s="978"/>
      <c r="AO9" s="643"/>
      <c r="AP9" s="1288"/>
      <c r="AQ9" s="978"/>
      <c r="AR9" s="643"/>
      <c r="AS9" s="1288"/>
      <c r="AT9" s="978"/>
      <c r="AU9" s="643"/>
      <c r="AV9" s="1288"/>
      <c r="AW9" s="978"/>
      <c r="AX9" s="643"/>
      <c r="AY9" s="1288"/>
      <c r="AZ9" s="978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</row>
    <row r="10" spans="1:528" ht="22.2" customHeight="1" thickBot="1" x14ac:dyDescent="0.35">
      <c r="A10" s="528" t="s">
        <v>62</v>
      </c>
      <c r="B10" s="529" t="s">
        <v>63</v>
      </c>
      <c r="C10" s="1305" t="s">
        <v>64</v>
      </c>
      <c r="D10" s="984"/>
      <c r="E10" s="984"/>
      <c r="F10" s="985"/>
      <c r="G10" s="1305" t="s">
        <v>65</v>
      </c>
      <c r="H10" s="984"/>
      <c r="I10" s="984"/>
      <c r="J10" s="984"/>
      <c r="K10" s="985"/>
      <c r="L10" s="525"/>
      <c r="M10" s="1287"/>
      <c r="N10" s="978"/>
      <c r="O10" s="525"/>
      <c r="P10" s="1287"/>
      <c r="Q10" s="978"/>
      <c r="R10" s="525"/>
      <c r="S10" s="525"/>
      <c r="T10" s="525"/>
      <c r="U10" s="525"/>
      <c r="V10" s="525"/>
      <c r="W10" s="525"/>
      <c r="X10" s="525"/>
      <c r="Y10" s="525"/>
      <c r="Z10" s="525"/>
      <c r="AA10" s="1287"/>
      <c r="AB10" s="978"/>
      <c r="AC10" s="525"/>
      <c r="AD10" s="1287"/>
      <c r="AE10" s="978"/>
      <c r="AF10" s="525"/>
      <c r="AG10" s="1287"/>
      <c r="AH10" s="978"/>
      <c r="AI10" s="644"/>
      <c r="AJ10" s="1292"/>
      <c r="AK10" s="978"/>
      <c r="AL10" s="643"/>
      <c r="AM10" s="1288"/>
      <c r="AN10" s="978"/>
      <c r="AO10" s="643"/>
      <c r="AP10" s="1288"/>
      <c r="AQ10" s="978"/>
      <c r="AR10" s="643"/>
      <c r="AS10" s="1288"/>
      <c r="AT10" s="978"/>
      <c r="AU10" s="643"/>
      <c r="AV10" s="1288"/>
      <c r="AW10" s="978"/>
      <c r="AX10" s="643"/>
      <c r="AY10" s="1288"/>
      <c r="AZ10" s="978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</row>
    <row r="11" spans="1:528" ht="22.2" customHeight="1" thickBot="1" x14ac:dyDescent="0.35">
      <c r="A11" s="528" t="s">
        <v>73</v>
      </c>
      <c r="B11" s="529" t="s">
        <v>74</v>
      </c>
      <c r="C11" s="986"/>
      <c r="D11" s="978"/>
      <c r="E11" s="978"/>
      <c r="F11" s="979"/>
      <c r="G11" s="986"/>
      <c r="H11" s="978"/>
      <c r="I11" s="978"/>
      <c r="J11" s="978"/>
      <c r="K11" s="979"/>
      <c r="L11" s="525"/>
      <c r="M11" s="1287"/>
      <c r="N11" s="978"/>
      <c r="O11" s="525"/>
      <c r="P11" s="1287"/>
      <c r="Q11" s="978"/>
      <c r="R11" s="525"/>
      <c r="S11" s="525"/>
      <c r="T11" s="525"/>
      <c r="U11" s="525"/>
      <c r="V11" s="525"/>
      <c r="W11" s="525"/>
      <c r="X11" s="525"/>
      <c r="Y11" s="525"/>
      <c r="Z11" s="525"/>
      <c r="AA11" s="1287"/>
      <c r="AB11" s="978"/>
      <c r="AC11" s="525"/>
      <c r="AD11" s="1287"/>
      <c r="AE11" s="978"/>
      <c r="AF11" s="525"/>
      <c r="AG11" s="1287"/>
      <c r="AH11" s="978"/>
      <c r="AI11" s="644"/>
      <c r="AJ11" s="1292"/>
      <c r="AK11" s="978"/>
      <c r="AL11" s="643"/>
      <c r="AM11" s="1288"/>
      <c r="AN11" s="978"/>
      <c r="AO11" s="643"/>
      <c r="AP11" s="1288"/>
      <c r="AQ11" s="978"/>
      <c r="AR11" s="643"/>
      <c r="AS11" s="1288"/>
      <c r="AT11" s="978"/>
      <c r="AU11" s="643"/>
      <c r="AV11" s="1288"/>
      <c r="AW11" s="978"/>
      <c r="AX11" s="643"/>
      <c r="AY11" s="1288"/>
      <c r="AZ11" s="978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</row>
    <row r="12" spans="1:528" ht="22.2" customHeight="1" thickBot="1" x14ac:dyDescent="0.4">
      <c r="A12" s="528" t="s">
        <v>82</v>
      </c>
      <c r="B12" s="529" t="s">
        <v>400</v>
      </c>
      <c r="C12" s="986"/>
      <c r="D12" s="978"/>
      <c r="E12" s="978"/>
      <c r="F12" s="979"/>
      <c r="G12" s="986"/>
      <c r="H12" s="978"/>
      <c r="I12" s="978"/>
      <c r="J12" s="978"/>
      <c r="K12" s="979"/>
      <c r="L12" s="525"/>
      <c r="M12" s="1287"/>
      <c r="N12" s="978"/>
      <c r="O12" s="525"/>
      <c r="P12" s="1287"/>
      <c r="Q12" s="978"/>
      <c r="R12" s="525"/>
      <c r="S12" s="525"/>
      <c r="T12" s="525"/>
      <c r="U12" s="525"/>
      <c r="V12" s="525"/>
      <c r="W12" s="525"/>
      <c r="X12" s="525"/>
      <c r="Y12" s="525"/>
      <c r="Z12" s="525"/>
      <c r="AA12" s="1287"/>
      <c r="AB12" s="978"/>
      <c r="AC12" s="525"/>
      <c r="AD12" s="1287"/>
      <c r="AE12" s="978"/>
      <c r="AF12" s="525"/>
      <c r="AG12" s="1287"/>
      <c r="AH12" s="978"/>
      <c r="AI12" s="644"/>
      <c r="AJ12" s="1292"/>
      <c r="AK12" s="978"/>
      <c r="AL12" s="643"/>
      <c r="AM12" s="1288"/>
      <c r="AN12" s="978"/>
      <c r="AO12" s="643"/>
      <c r="AP12" s="1288"/>
      <c r="AQ12" s="978"/>
      <c r="AR12" s="643"/>
      <c r="AS12" s="1288"/>
      <c r="AT12" s="978"/>
      <c r="AU12" s="643"/>
      <c r="AV12" s="1288"/>
      <c r="AW12" s="978"/>
      <c r="AX12" s="643"/>
      <c r="AY12" s="1288"/>
      <c r="AZ12" s="978"/>
      <c r="BA12" s="14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</row>
    <row r="13" spans="1:528" ht="22.2" customHeight="1" thickBot="1" x14ac:dyDescent="0.4">
      <c r="A13" s="530" t="s">
        <v>90</v>
      </c>
      <c r="B13" s="531">
        <v>182948</v>
      </c>
      <c r="C13" s="987"/>
      <c r="D13" s="975"/>
      <c r="E13" s="975"/>
      <c r="F13" s="976"/>
      <c r="G13" s="987"/>
      <c r="H13" s="975"/>
      <c r="I13" s="975"/>
      <c r="J13" s="975"/>
      <c r="K13" s="976"/>
      <c r="L13" s="525"/>
      <c r="M13" s="1287"/>
      <c r="N13" s="978"/>
      <c r="O13" s="525"/>
      <c r="P13" s="1287"/>
      <c r="Q13" s="978"/>
      <c r="R13" s="525"/>
      <c r="S13" s="525"/>
      <c r="T13" s="525"/>
      <c r="U13" s="525"/>
      <c r="V13" s="525"/>
      <c r="W13" s="525"/>
      <c r="X13" s="525"/>
      <c r="Y13" s="525"/>
      <c r="Z13" s="525"/>
      <c r="AA13" s="1287"/>
      <c r="AB13" s="978"/>
      <c r="AC13" s="525"/>
      <c r="AD13" s="1287"/>
      <c r="AE13" s="978"/>
      <c r="AF13" s="525"/>
      <c r="AG13" s="1287"/>
      <c r="AH13" s="978"/>
      <c r="AI13" s="645"/>
      <c r="AJ13" s="1288"/>
      <c r="AK13" s="978"/>
      <c r="AL13" s="643"/>
      <c r="AM13" s="1288"/>
      <c r="AN13" s="978"/>
      <c r="AO13" s="643"/>
      <c r="AP13" s="1288"/>
      <c r="AQ13" s="978"/>
      <c r="AR13" s="643"/>
      <c r="AS13" s="1288"/>
      <c r="AT13" s="978"/>
      <c r="AU13" s="643"/>
      <c r="AV13" s="1288"/>
      <c r="AW13" s="978"/>
      <c r="AX13" s="643"/>
      <c r="AY13" s="1288"/>
      <c r="AZ13" s="978"/>
      <c r="BA13" s="14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</row>
    <row r="14" spans="1:528" ht="27" customHeight="1" thickBot="1" x14ac:dyDescent="0.55000000000000004">
      <c r="A14" s="532"/>
      <c r="B14" s="533"/>
      <c r="C14" s="534"/>
      <c r="D14" s="534"/>
      <c r="E14" s="534"/>
      <c r="F14" s="534"/>
      <c r="G14" s="534"/>
      <c r="H14" s="534"/>
      <c r="I14" s="534"/>
      <c r="J14" s="534"/>
      <c r="K14" s="534"/>
      <c r="L14" s="535"/>
      <c r="M14" s="535"/>
      <c r="N14" s="535"/>
      <c r="O14" s="535"/>
      <c r="P14" s="535"/>
      <c r="Q14" s="535"/>
      <c r="R14" s="535"/>
      <c r="S14" s="535"/>
      <c r="T14" s="535"/>
      <c r="U14" s="535"/>
      <c r="V14" s="535"/>
      <c r="W14" s="535"/>
      <c r="X14" s="535"/>
      <c r="Y14" s="535"/>
      <c r="Z14" s="535"/>
      <c r="AA14" s="535"/>
      <c r="AB14" s="535"/>
      <c r="AC14" s="535"/>
      <c r="AD14" s="535"/>
      <c r="AE14" s="535"/>
      <c r="AF14" s="535"/>
      <c r="AG14" s="535"/>
      <c r="AH14" s="535"/>
      <c r="AI14" s="1"/>
      <c r="AJ14" s="1"/>
      <c r="AK14" s="1"/>
      <c r="AL14" s="1"/>
      <c r="AM14" s="1"/>
      <c r="AY14" s="1290"/>
      <c r="AZ14" s="978"/>
      <c r="BA14" s="978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</row>
    <row r="15" spans="1:528" s="199" customFormat="1" ht="25.2" customHeight="1" thickBot="1" x14ac:dyDescent="0.35">
      <c r="A15" s="1291" t="s">
        <v>98</v>
      </c>
      <c r="B15" s="1304" t="s">
        <v>99</v>
      </c>
      <c r="C15" s="536" t="s">
        <v>475</v>
      </c>
      <c r="D15" s="537"/>
      <c r="E15" s="537"/>
      <c r="F15" s="537"/>
      <c r="G15" s="537"/>
      <c r="H15" s="537"/>
      <c r="I15" s="537"/>
      <c r="J15" s="537"/>
      <c r="K15" s="537"/>
      <c r="L15" s="537"/>
      <c r="M15" s="537"/>
      <c r="N15" s="537"/>
      <c r="O15" s="537"/>
      <c r="P15" s="537"/>
      <c r="Q15" s="537"/>
      <c r="R15" s="537"/>
      <c r="S15" s="537"/>
      <c r="T15" s="537"/>
      <c r="U15" s="537"/>
      <c r="V15" s="537"/>
      <c r="W15" s="537"/>
      <c r="X15" s="537"/>
      <c r="Y15" s="537"/>
      <c r="Z15" s="537"/>
      <c r="AA15" s="537"/>
      <c r="AB15" s="537"/>
      <c r="AC15" s="537"/>
      <c r="AD15" s="537"/>
      <c r="AE15" s="537"/>
      <c r="AF15" s="537"/>
      <c r="AG15" s="537"/>
      <c r="AH15" s="538"/>
      <c r="AI15" s="198"/>
      <c r="AJ15" s="198"/>
      <c r="AK15" s="198"/>
      <c r="AL15" s="198"/>
      <c r="AM15" s="198"/>
      <c r="AN15" s="198"/>
      <c r="AY15" s="1265"/>
      <c r="AZ15" s="1300"/>
      <c r="BA15" s="1300"/>
      <c r="BB15" s="198"/>
      <c r="BC15" s="198"/>
      <c r="BD15" s="198"/>
      <c r="BE15" s="198"/>
      <c r="BF15" s="198"/>
      <c r="BG15" s="198"/>
      <c r="BH15" s="198"/>
      <c r="BI15" s="198"/>
      <c r="BJ15" s="198"/>
      <c r="BK15" s="198"/>
      <c r="BL15" s="198"/>
      <c r="BM15" s="198"/>
      <c r="BN15" s="198"/>
      <c r="BO15" s="198"/>
      <c r="BP15" s="198"/>
      <c r="BQ15" s="198"/>
      <c r="BR15" s="198"/>
      <c r="BS15" s="198"/>
      <c r="BT15" s="198"/>
      <c r="BU15" s="198"/>
      <c r="BV15" s="198"/>
      <c r="BW15" s="198"/>
      <c r="BX15" s="198"/>
      <c r="BY15" s="198"/>
      <c r="BZ15" s="198"/>
      <c r="CA15" s="198"/>
      <c r="CB15" s="198"/>
      <c r="CC15" s="198"/>
      <c r="CD15" s="198"/>
      <c r="CE15" s="198"/>
      <c r="CF15" s="198"/>
      <c r="CG15" s="198"/>
      <c r="CH15" s="198"/>
      <c r="CI15" s="198"/>
      <c r="CJ15" s="198"/>
      <c r="CK15" s="198"/>
      <c r="CL15" s="198"/>
      <c r="CM15" s="198"/>
      <c r="CN15" s="198"/>
      <c r="CO15" s="198"/>
      <c r="CP15" s="198"/>
      <c r="CQ15" s="198"/>
      <c r="CR15" s="198"/>
      <c r="CS15" s="198"/>
      <c r="CT15" s="198"/>
      <c r="CU15" s="198"/>
      <c r="CV15" s="198"/>
      <c r="CW15" s="198"/>
      <c r="CX15" s="198"/>
      <c r="CY15" s="198"/>
      <c r="CZ15" s="198"/>
      <c r="DA15" s="198"/>
      <c r="DB15" s="198"/>
      <c r="DC15" s="198"/>
      <c r="DD15" s="198"/>
      <c r="DE15" s="198"/>
      <c r="DF15" s="198"/>
      <c r="DG15" s="198"/>
      <c r="DH15" s="198"/>
      <c r="DI15" s="198"/>
      <c r="DJ15" s="198"/>
      <c r="DK15" s="198"/>
      <c r="DL15" s="198"/>
      <c r="DM15" s="198"/>
      <c r="DN15" s="198"/>
      <c r="DO15" s="198"/>
      <c r="DP15" s="198"/>
      <c r="DQ15" s="198"/>
      <c r="DR15" s="198"/>
      <c r="DS15" s="198"/>
      <c r="DT15" s="198"/>
      <c r="DU15" s="198"/>
      <c r="DV15" s="198"/>
      <c r="DW15" s="198"/>
      <c r="DX15" s="198"/>
      <c r="DY15" s="198"/>
      <c r="DZ15" s="198"/>
      <c r="EA15" s="198"/>
      <c r="EB15" s="198"/>
      <c r="EC15" s="198"/>
      <c r="ED15" s="198"/>
      <c r="EE15" s="198"/>
      <c r="EF15" s="198"/>
      <c r="EG15" s="198"/>
      <c r="EH15" s="198"/>
      <c r="EI15" s="198"/>
      <c r="EJ15" s="198"/>
      <c r="EK15" s="198"/>
      <c r="EL15" s="198"/>
      <c r="EM15" s="198"/>
      <c r="EN15" s="198"/>
      <c r="EO15" s="198"/>
      <c r="EP15" s="198"/>
      <c r="EQ15" s="198"/>
      <c r="ER15" s="198"/>
      <c r="ES15" s="198"/>
      <c r="ET15" s="198"/>
      <c r="EU15" s="198"/>
      <c r="EV15" s="198"/>
      <c r="EW15" s="198"/>
      <c r="EX15" s="198"/>
      <c r="EY15" s="198"/>
      <c r="EZ15" s="198"/>
      <c r="FA15" s="198"/>
      <c r="FB15" s="198"/>
      <c r="FC15" s="198"/>
      <c r="FD15" s="198"/>
      <c r="FE15" s="198"/>
      <c r="FF15" s="198"/>
      <c r="FG15" s="198"/>
      <c r="FH15" s="198"/>
      <c r="FI15" s="198"/>
      <c r="FJ15" s="198"/>
      <c r="FK15" s="198"/>
      <c r="FL15" s="198"/>
      <c r="FM15" s="198"/>
      <c r="FN15" s="198"/>
      <c r="FO15" s="198"/>
      <c r="FP15" s="198"/>
      <c r="FQ15" s="198"/>
      <c r="FR15" s="198"/>
      <c r="FS15" s="198"/>
      <c r="FT15" s="198"/>
      <c r="FU15" s="198"/>
      <c r="FV15" s="198"/>
      <c r="FW15" s="198"/>
      <c r="FX15" s="198"/>
      <c r="FY15" s="198"/>
      <c r="FZ15" s="198"/>
      <c r="GA15" s="198"/>
      <c r="GB15" s="198"/>
      <c r="GC15" s="198"/>
      <c r="GD15" s="198"/>
      <c r="GE15" s="198"/>
      <c r="GF15" s="198"/>
      <c r="GG15" s="198"/>
      <c r="GH15" s="198"/>
      <c r="GI15" s="198"/>
      <c r="GJ15" s="198"/>
      <c r="GK15" s="198"/>
      <c r="GL15" s="198"/>
      <c r="GM15" s="198"/>
      <c r="GN15" s="198"/>
      <c r="GO15" s="198"/>
      <c r="GP15" s="198"/>
      <c r="GQ15" s="198"/>
      <c r="GR15" s="198"/>
      <c r="GS15" s="198"/>
      <c r="GT15" s="198"/>
      <c r="GU15" s="198"/>
      <c r="GV15" s="198"/>
      <c r="GW15" s="198"/>
      <c r="GX15" s="198"/>
      <c r="GY15" s="198"/>
      <c r="GZ15" s="198"/>
      <c r="HA15" s="198"/>
      <c r="HB15" s="198"/>
      <c r="HC15" s="198"/>
      <c r="HD15" s="198"/>
      <c r="HE15" s="198"/>
      <c r="HF15" s="198"/>
      <c r="HG15" s="198"/>
      <c r="HH15" s="198"/>
      <c r="HI15" s="198"/>
      <c r="HJ15" s="198"/>
      <c r="HK15" s="198"/>
      <c r="HL15" s="198"/>
      <c r="HM15" s="198"/>
      <c r="HN15" s="198"/>
      <c r="HO15" s="198"/>
      <c r="HP15" s="198"/>
      <c r="HQ15" s="198"/>
      <c r="HR15" s="198"/>
      <c r="HS15" s="198"/>
      <c r="HT15" s="198"/>
      <c r="HU15" s="198"/>
      <c r="HV15" s="198"/>
      <c r="HW15" s="198"/>
      <c r="HX15" s="198"/>
      <c r="HY15" s="198"/>
      <c r="HZ15" s="198"/>
      <c r="IA15" s="198"/>
      <c r="IB15" s="198"/>
      <c r="IC15" s="198"/>
      <c r="ID15" s="198"/>
      <c r="IE15" s="198"/>
      <c r="IF15" s="198"/>
      <c r="IG15" s="198"/>
      <c r="IH15" s="198"/>
      <c r="II15" s="198"/>
      <c r="IJ15" s="198"/>
      <c r="IK15" s="198"/>
      <c r="IL15" s="198"/>
      <c r="IM15" s="198"/>
      <c r="IN15" s="198"/>
      <c r="IO15" s="198"/>
      <c r="IP15" s="198"/>
      <c r="IQ15" s="198"/>
      <c r="IR15" s="198"/>
      <c r="IS15" s="198"/>
      <c r="IT15" s="198"/>
      <c r="IU15" s="198"/>
      <c r="IV15" s="198"/>
      <c r="IW15" s="198"/>
      <c r="IX15" s="198"/>
      <c r="IY15" s="198"/>
      <c r="IZ15" s="198"/>
      <c r="JA15" s="198"/>
      <c r="JB15" s="198"/>
      <c r="JC15" s="198"/>
      <c r="JD15" s="198"/>
      <c r="JE15" s="198"/>
      <c r="JF15" s="198"/>
      <c r="JG15" s="198"/>
      <c r="JH15" s="198"/>
      <c r="JI15" s="198"/>
      <c r="JJ15" s="198"/>
      <c r="JK15" s="198"/>
      <c r="JL15" s="198"/>
      <c r="JM15" s="198"/>
      <c r="JN15" s="198"/>
      <c r="JO15" s="198"/>
      <c r="JP15" s="198"/>
      <c r="JQ15" s="198"/>
      <c r="JR15" s="198"/>
      <c r="JS15" s="198"/>
      <c r="JT15" s="198"/>
      <c r="JU15" s="198"/>
      <c r="JV15" s="198"/>
      <c r="JW15" s="198"/>
      <c r="JX15" s="198"/>
      <c r="JY15" s="198"/>
      <c r="JZ15" s="198"/>
      <c r="KA15" s="198"/>
      <c r="KB15" s="198"/>
      <c r="KC15" s="198"/>
      <c r="KD15" s="198"/>
      <c r="KE15" s="198"/>
      <c r="KF15" s="198"/>
      <c r="KG15" s="198"/>
      <c r="KH15" s="198"/>
      <c r="KI15" s="198"/>
      <c r="KJ15" s="198"/>
      <c r="KK15" s="198"/>
      <c r="KL15" s="198"/>
      <c r="KM15" s="198"/>
      <c r="KN15" s="198"/>
      <c r="KO15" s="198"/>
      <c r="KP15" s="198"/>
      <c r="KQ15" s="198"/>
      <c r="KR15" s="198"/>
      <c r="KS15" s="198"/>
      <c r="KT15" s="198"/>
      <c r="KU15" s="198"/>
      <c r="KV15" s="198"/>
      <c r="KW15" s="198"/>
      <c r="KX15" s="198"/>
      <c r="KY15" s="198"/>
      <c r="KZ15" s="198"/>
      <c r="LA15" s="198"/>
      <c r="LB15" s="198"/>
      <c r="LC15" s="198"/>
      <c r="LD15" s="198"/>
      <c r="LE15" s="198"/>
      <c r="LF15" s="198"/>
      <c r="LG15" s="198"/>
      <c r="LH15" s="198"/>
      <c r="LI15" s="198"/>
      <c r="LJ15" s="198"/>
      <c r="LK15" s="198"/>
      <c r="LL15" s="198"/>
      <c r="LM15" s="198"/>
      <c r="LN15" s="198"/>
      <c r="LO15" s="198"/>
      <c r="LP15" s="198"/>
      <c r="LQ15" s="198"/>
      <c r="LR15" s="198"/>
      <c r="LS15" s="198"/>
      <c r="LT15" s="198"/>
      <c r="LU15" s="198"/>
      <c r="LV15" s="198"/>
      <c r="LW15" s="198"/>
      <c r="LX15" s="198"/>
      <c r="LY15" s="198"/>
      <c r="LZ15" s="198"/>
      <c r="MA15" s="198"/>
      <c r="MB15" s="198"/>
      <c r="MC15" s="198"/>
      <c r="MD15" s="198"/>
      <c r="ME15" s="198"/>
      <c r="MF15" s="198"/>
      <c r="MG15" s="198"/>
      <c r="MH15" s="198"/>
      <c r="MI15" s="198"/>
      <c r="MJ15" s="198"/>
      <c r="MK15" s="198"/>
      <c r="ML15" s="198"/>
      <c r="MM15" s="198"/>
      <c r="MN15" s="198"/>
      <c r="MO15" s="198"/>
      <c r="MP15" s="198"/>
      <c r="MQ15" s="198"/>
      <c r="MR15" s="198"/>
      <c r="MS15" s="198"/>
      <c r="MT15" s="198"/>
      <c r="MU15" s="198"/>
      <c r="MV15" s="198"/>
      <c r="MW15" s="198"/>
      <c r="MX15" s="198"/>
      <c r="MY15" s="198"/>
      <c r="MZ15" s="198"/>
      <c r="NA15" s="198"/>
      <c r="NB15" s="198"/>
      <c r="NC15" s="198"/>
      <c r="ND15" s="198"/>
      <c r="NE15" s="198"/>
      <c r="NF15" s="198"/>
      <c r="NG15" s="198"/>
      <c r="NH15" s="198"/>
      <c r="NI15" s="198"/>
      <c r="NJ15" s="198"/>
      <c r="NK15" s="198"/>
      <c r="NL15" s="198"/>
      <c r="NM15" s="198"/>
      <c r="NN15" s="198"/>
      <c r="NO15" s="198"/>
      <c r="NP15" s="198"/>
      <c r="NQ15" s="198"/>
      <c r="NR15" s="198"/>
      <c r="NS15" s="198"/>
      <c r="NT15" s="198"/>
      <c r="NU15" s="198"/>
      <c r="NV15" s="198"/>
      <c r="NW15" s="198"/>
      <c r="NX15" s="198"/>
      <c r="NY15" s="198"/>
      <c r="NZ15" s="198"/>
      <c r="OA15" s="198"/>
      <c r="OB15" s="198"/>
      <c r="OC15" s="198"/>
      <c r="OD15" s="198"/>
      <c r="OE15" s="198"/>
      <c r="OF15" s="198"/>
      <c r="OG15" s="198"/>
      <c r="OH15" s="198"/>
      <c r="OI15" s="198"/>
      <c r="OJ15" s="198"/>
      <c r="OK15" s="198"/>
      <c r="OL15" s="198"/>
      <c r="OM15" s="198"/>
      <c r="ON15" s="198"/>
      <c r="OO15" s="198"/>
      <c r="OP15" s="198"/>
      <c r="OQ15" s="198"/>
      <c r="OR15" s="198"/>
      <c r="OS15" s="198"/>
      <c r="OT15" s="198"/>
      <c r="OU15" s="198"/>
      <c r="OV15" s="198"/>
      <c r="OW15" s="198"/>
      <c r="OX15" s="198"/>
      <c r="OY15" s="198"/>
      <c r="OZ15" s="198"/>
      <c r="PA15" s="198"/>
      <c r="PB15" s="198"/>
      <c r="PC15" s="198"/>
      <c r="PD15" s="198"/>
      <c r="PE15" s="198"/>
      <c r="PF15" s="198"/>
      <c r="PG15" s="198"/>
      <c r="PH15" s="198"/>
      <c r="PI15" s="198"/>
      <c r="PJ15" s="198"/>
      <c r="PK15" s="198"/>
      <c r="PL15" s="198"/>
      <c r="PM15" s="198"/>
      <c r="PN15" s="198"/>
      <c r="PO15" s="198"/>
      <c r="PP15" s="198"/>
      <c r="PQ15" s="198"/>
      <c r="PR15" s="198"/>
      <c r="PS15" s="198"/>
      <c r="PT15" s="198"/>
      <c r="PU15" s="198"/>
      <c r="PV15" s="198"/>
      <c r="PW15" s="198"/>
      <c r="PX15" s="198"/>
      <c r="PY15" s="198"/>
      <c r="PZ15" s="198"/>
      <c r="QA15" s="198"/>
      <c r="QB15" s="198"/>
      <c r="QC15" s="198"/>
      <c r="QD15" s="198"/>
      <c r="QE15" s="198"/>
      <c r="QF15" s="198"/>
      <c r="QG15" s="198"/>
      <c r="QH15" s="198"/>
      <c r="QI15" s="198"/>
      <c r="QJ15" s="198"/>
      <c r="QK15" s="198"/>
      <c r="QL15" s="198"/>
      <c r="QM15" s="198"/>
      <c r="QN15" s="198"/>
      <c r="QO15" s="198"/>
      <c r="QP15" s="198"/>
      <c r="QQ15" s="198"/>
      <c r="QR15" s="198"/>
      <c r="QS15" s="198"/>
      <c r="QT15" s="198"/>
      <c r="QU15" s="198"/>
      <c r="QV15" s="198"/>
      <c r="QW15" s="198"/>
      <c r="QX15" s="198"/>
      <c r="QY15" s="198"/>
      <c r="QZ15" s="198"/>
      <c r="RA15" s="198"/>
      <c r="RB15" s="198"/>
      <c r="RC15" s="198"/>
      <c r="RD15" s="198"/>
      <c r="RE15" s="198"/>
      <c r="RF15" s="198"/>
      <c r="RG15" s="198"/>
      <c r="RH15" s="198"/>
      <c r="RI15" s="198"/>
      <c r="RJ15" s="198"/>
      <c r="RK15" s="198"/>
      <c r="RL15" s="198"/>
      <c r="RM15" s="198"/>
      <c r="RN15" s="198"/>
      <c r="RO15" s="198"/>
      <c r="RP15" s="198"/>
      <c r="RQ15" s="198"/>
      <c r="RR15" s="198"/>
      <c r="RS15" s="198"/>
      <c r="RT15" s="198"/>
      <c r="RU15" s="198"/>
      <c r="RV15" s="198"/>
      <c r="RW15" s="198"/>
      <c r="RX15" s="198"/>
      <c r="RY15" s="198"/>
      <c r="RZ15" s="198"/>
      <c r="SA15" s="198"/>
      <c r="SB15" s="198"/>
      <c r="SC15" s="198"/>
      <c r="SD15" s="198"/>
      <c r="SE15" s="198"/>
      <c r="SF15" s="198"/>
      <c r="SG15" s="198"/>
      <c r="SH15" s="198"/>
      <c r="SI15" s="198"/>
      <c r="SJ15" s="198"/>
      <c r="SK15" s="198"/>
      <c r="SL15" s="198"/>
      <c r="SM15" s="198"/>
      <c r="SN15" s="198"/>
      <c r="SO15" s="198"/>
      <c r="SP15" s="198"/>
      <c r="SQ15" s="198"/>
      <c r="SR15" s="198"/>
      <c r="SS15" s="198"/>
      <c r="ST15" s="198"/>
      <c r="SU15" s="198"/>
      <c r="SV15" s="198"/>
      <c r="SW15" s="198"/>
      <c r="SX15" s="198"/>
      <c r="SY15" s="198"/>
      <c r="SZ15" s="198"/>
      <c r="TA15" s="198"/>
      <c r="TB15" s="198"/>
      <c r="TC15" s="198"/>
      <c r="TD15" s="198"/>
      <c r="TE15" s="198"/>
      <c r="TF15" s="198"/>
      <c r="TG15" s="198"/>
      <c r="TH15" s="198"/>
    </row>
    <row r="16" spans="1:528" s="199" customFormat="1" ht="25.2" customHeight="1" thickBot="1" x14ac:dyDescent="0.35">
      <c r="A16" s="997"/>
      <c r="B16" s="986"/>
      <c r="C16" s="1308" t="s">
        <v>476</v>
      </c>
      <c r="D16" s="1000"/>
      <c r="E16" s="1000"/>
      <c r="F16" s="1000"/>
      <c r="G16" s="1000"/>
      <c r="H16" s="1000"/>
      <c r="I16" s="1000"/>
      <c r="J16" s="1000"/>
      <c r="K16" s="1000"/>
      <c r="L16" s="1000"/>
      <c r="M16" s="1000"/>
      <c r="N16" s="1000"/>
      <c r="O16" s="1000"/>
      <c r="P16" s="1000"/>
      <c r="Q16" s="1000"/>
      <c r="R16" s="1001"/>
      <c r="S16" s="539"/>
      <c r="T16" s="539"/>
      <c r="U16" s="539"/>
      <c r="V16" s="539"/>
      <c r="W16" s="539"/>
      <c r="X16" s="539"/>
      <c r="Y16" s="539"/>
      <c r="Z16" s="539"/>
      <c r="AA16" s="1299" t="s">
        <v>477</v>
      </c>
      <c r="AB16" s="1000"/>
      <c r="AC16" s="1000"/>
      <c r="AD16" s="1000"/>
      <c r="AE16" s="1000"/>
      <c r="AF16" s="1001"/>
      <c r="AG16" s="1289" t="s">
        <v>105</v>
      </c>
      <c r="AH16" s="985"/>
      <c r="AI16" s="198"/>
      <c r="AJ16" s="198"/>
      <c r="AK16" s="198"/>
      <c r="AL16" s="198"/>
      <c r="AM16" s="198"/>
      <c r="AN16" s="198"/>
      <c r="AY16" s="198"/>
      <c r="AZ16" s="198"/>
      <c r="BA16" s="198"/>
      <c r="BB16" s="198"/>
      <c r="BC16" s="198"/>
      <c r="BD16" s="198"/>
      <c r="BE16" s="198"/>
      <c r="BF16" s="198"/>
      <c r="BG16" s="198"/>
      <c r="BH16" s="198"/>
      <c r="BI16" s="198"/>
      <c r="BJ16" s="198"/>
      <c r="BK16" s="198"/>
      <c r="BL16" s="198"/>
      <c r="BM16" s="198"/>
      <c r="BN16" s="198"/>
      <c r="BO16" s="198"/>
      <c r="BP16" s="198"/>
      <c r="BQ16" s="198"/>
      <c r="BR16" s="198"/>
      <c r="BS16" s="198"/>
      <c r="BT16" s="198"/>
      <c r="BU16" s="198"/>
      <c r="BV16" s="198"/>
      <c r="BW16" s="198"/>
      <c r="BX16" s="198"/>
      <c r="BY16" s="198"/>
      <c r="BZ16" s="198"/>
      <c r="CA16" s="198"/>
      <c r="CB16" s="198"/>
      <c r="CC16" s="198"/>
      <c r="CD16" s="198"/>
      <c r="CE16" s="198"/>
      <c r="CF16" s="198"/>
      <c r="CG16" s="198"/>
      <c r="CH16" s="198"/>
      <c r="CI16" s="198"/>
      <c r="CJ16" s="198"/>
      <c r="CK16" s="198"/>
      <c r="CL16" s="198"/>
      <c r="CM16" s="198"/>
      <c r="CN16" s="198"/>
      <c r="CO16" s="198"/>
      <c r="CP16" s="198"/>
      <c r="CQ16" s="198"/>
      <c r="CR16" s="198"/>
      <c r="CS16" s="198"/>
      <c r="CT16" s="198"/>
      <c r="CU16" s="198"/>
      <c r="CV16" s="198"/>
      <c r="CW16" s="198"/>
      <c r="CX16" s="198"/>
      <c r="CY16" s="198"/>
      <c r="CZ16" s="198"/>
      <c r="DA16" s="198"/>
      <c r="DB16" s="198"/>
      <c r="DC16" s="198"/>
      <c r="DD16" s="198"/>
      <c r="DE16" s="198"/>
      <c r="DF16" s="198"/>
      <c r="DG16" s="198"/>
      <c r="DH16" s="198"/>
      <c r="DI16" s="198"/>
      <c r="DJ16" s="198"/>
      <c r="DK16" s="198"/>
      <c r="DL16" s="198"/>
      <c r="DM16" s="198"/>
      <c r="DN16" s="198"/>
      <c r="DO16" s="198"/>
      <c r="DP16" s="198"/>
      <c r="DQ16" s="198"/>
      <c r="DR16" s="198"/>
      <c r="DS16" s="198"/>
      <c r="DT16" s="198"/>
      <c r="DU16" s="198"/>
      <c r="DV16" s="198"/>
      <c r="DW16" s="198"/>
      <c r="DX16" s="198"/>
      <c r="DY16" s="198"/>
      <c r="DZ16" s="198"/>
      <c r="EA16" s="198"/>
      <c r="EB16" s="198"/>
      <c r="EC16" s="198"/>
      <c r="ED16" s="198"/>
      <c r="EE16" s="198"/>
      <c r="EF16" s="198"/>
      <c r="EG16" s="198"/>
      <c r="EH16" s="198"/>
      <c r="EI16" s="198"/>
      <c r="EJ16" s="198"/>
      <c r="EK16" s="198"/>
      <c r="EL16" s="198"/>
      <c r="EM16" s="198"/>
      <c r="EN16" s="198"/>
      <c r="EO16" s="198"/>
      <c r="EP16" s="198"/>
      <c r="EQ16" s="198"/>
      <c r="ER16" s="198"/>
      <c r="ES16" s="198"/>
      <c r="ET16" s="198"/>
      <c r="EU16" s="198"/>
      <c r="EV16" s="198"/>
      <c r="EW16" s="198"/>
      <c r="EX16" s="198"/>
      <c r="EY16" s="198"/>
      <c r="EZ16" s="198"/>
      <c r="FA16" s="198"/>
      <c r="FB16" s="198"/>
      <c r="FC16" s="198"/>
      <c r="FD16" s="198"/>
      <c r="FE16" s="198"/>
      <c r="FF16" s="198"/>
      <c r="FG16" s="198"/>
      <c r="FH16" s="198"/>
      <c r="FI16" s="198"/>
      <c r="FJ16" s="198"/>
      <c r="FK16" s="198"/>
      <c r="FL16" s="198"/>
      <c r="FM16" s="198"/>
      <c r="FN16" s="198"/>
      <c r="FO16" s="198"/>
      <c r="FP16" s="198"/>
      <c r="FQ16" s="198"/>
      <c r="FR16" s="198"/>
      <c r="FS16" s="198"/>
      <c r="FT16" s="198"/>
      <c r="FU16" s="198"/>
      <c r="FV16" s="198"/>
      <c r="FW16" s="198"/>
      <c r="FX16" s="198"/>
      <c r="FY16" s="198"/>
      <c r="FZ16" s="198"/>
      <c r="GA16" s="198"/>
      <c r="GB16" s="198"/>
      <c r="GC16" s="198"/>
      <c r="GD16" s="198"/>
      <c r="GE16" s="198"/>
      <c r="GF16" s="198"/>
      <c r="GG16" s="198"/>
      <c r="GH16" s="198"/>
      <c r="GI16" s="198"/>
      <c r="GJ16" s="198"/>
      <c r="GK16" s="198"/>
      <c r="GL16" s="198"/>
      <c r="GM16" s="198"/>
      <c r="GN16" s="198"/>
      <c r="GO16" s="198"/>
      <c r="GP16" s="198"/>
      <c r="GQ16" s="198"/>
      <c r="GR16" s="198"/>
      <c r="GS16" s="198"/>
      <c r="GT16" s="198"/>
      <c r="GU16" s="198"/>
      <c r="GV16" s="198"/>
      <c r="GW16" s="198"/>
      <c r="GX16" s="198"/>
      <c r="GY16" s="198"/>
      <c r="GZ16" s="198"/>
      <c r="HA16" s="198"/>
      <c r="HB16" s="198"/>
      <c r="HC16" s="198"/>
      <c r="HD16" s="198"/>
      <c r="HE16" s="198"/>
      <c r="HF16" s="198"/>
      <c r="HG16" s="198"/>
      <c r="HH16" s="198"/>
      <c r="HI16" s="198"/>
      <c r="HJ16" s="198"/>
      <c r="HK16" s="198"/>
      <c r="HL16" s="198"/>
      <c r="HM16" s="198"/>
      <c r="HN16" s="198"/>
      <c r="HO16" s="198"/>
      <c r="HP16" s="198"/>
      <c r="HQ16" s="198"/>
      <c r="HR16" s="198"/>
      <c r="HS16" s="198"/>
      <c r="HT16" s="198"/>
      <c r="HU16" s="198"/>
      <c r="HV16" s="198"/>
      <c r="HW16" s="198"/>
      <c r="HX16" s="198"/>
      <c r="HY16" s="198"/>
      <c r="HZ16" s="198"/>
      <c r="IA16" s="198"/>
      <c r="IB16" s="198"/>
      <c r="IC16" s="198"/>
      <c r="ID16" s="198"/>
      <c r="IE16" s="198"/>
      <c r="IF16" s="198"/>
      <c r="IG16" s="198"/>
      <c r="IH16" s="198"/>
      <c r="II16" s="198"/>
      <c r="IJ16" s="198"/>
      <c r="IK16" s="198"/>
      <c r="IL16" s="198"/>
      <c r="IM16" s="198"/>
      <c r="IN16" s="198"/>
      <c r="IO16" s="198"/>
      <c r="IP16" s="198"/>
      <c r="IQ16" s="198"/>
      <c r="IR16" s="198"/>
      <c r="IS16" s="198"/>
      <c r="IT16" s="198"/>
      <c r="IU16" s="198"/>
      <c r="IV16" s="198"/>
      <c r="IW16" s="198"/>
      <c r="IX16" s="198"/>
      <c r="IY16" s="198"/>
      <c r="IZ16" s="198"/>
      <c r="JA16" s="198"/>
      <c r="JB16" s="198"/>
      <c r="JC16" s="198"/>
      <c r="JD16" s="198"/>
      <c r="JE16" s="198"/>
      <c r="JF16" s="198"/>
      <c r="JG16" s="198"/>
      <c r="JH16" s="198"/>
      <c r="JI16" s="198"/>
      <c r="JJ16" s="198"/>
      <c r="JK16" s="198"/>
      <c r="JL16" s="198"/>
      <c r="JM16" s="198"/>
      <c r="JN16" s="198"/>
      <c r="JO16" s="198"/>
      <c r="JP16" s="198"/>
      <c r="JQ16" s="198"/>
      <c r="JR16" s="198"/>
      <c r="JS16" s="198"/>
      <c r="JT16" s="198"/>
      <c r="JU16" s="198"/>
      <c r="JV16" s="198"/>
      <c r="JW16" s="198"/>
      <c r="JX16" s="198"/>
      <c r="JY16" s="198"/>
      <c r="JZ16" s="198"/>
      <c r="KA16" s="198"/>
      <c r="KB16" s="198"/>
      <c r="KC16" s="198"/>
      <c r="KD16" s="198"/>
      <c r="KE16" s="198"/>
      <c r="KF16" s="198"/>
      <c r="KG16" s="198"/>
      <c r="KH16" s="198"/>
      <c r="KI16" s="198"/>
      <c r="KJ16" s="198"/>
      <c r="KK16" s="198"/>
      <c r="KL16" s="198"/>
      <c r="KM16" s="198"/>
      <c r="KN16" s="198"/>
      <c r="KO16" s="198"/>
      <c r="KP16" s="198"/>
      <c r="KQ16" s="198"/>
      <c r="KR16" s="198"/>
      <c r="KS16" s="198"/>
      <c r="KT16" s="198"/>
      <c r="KU16" s="198"/>
      <c r="KV16" s="198"/>
      <c r="KW16" s="198"/>
      <c r="KX16" s="198"/>
      <c r="KY16" s="198"/>
      <c r="KZ16" s="198"/>
      <c r="LA16" s="198"/>
      <c r="LB16" s="198"/>
      <c r="LC16" s="198"/>
      <c r="LD16" s="198"/>
      <c r="LE16" s="198"/>
      <c r="LF16" s="198"/>
      <c r="LG16" s="198"/>
      <c r="LH16" s="198"/>
      <c r="LI16" s="198"/>
      <c r="LJ16" s="198"/>
      <c r="LK16" s="198"/>
      <c r="LL16" s="198"/>
      <c r="LM16" s="198"/>
      <c r="LN16" s="198"/>
      <c r="LO16" s="198"/>
      <c r="LP16" s="198"/>
      <c r="LQ16" s="198"/>
      <c r="LR16" s="198"/>
      <c r="LS16" s="198"/>
      <c r="LT16" s="198"/>
      <c r="LU16" s="198"/>
      <c r="LV16" s="198"/>
      <c r="LW16" s="198"/>
      <c r="LX16" s="198"/>
      <c r="LY16" s="198"/>
      <c r="LZ16" s="198"/>
      <c r="MA16" s="198"/>
      <c r="MB16" s="198"/>
      <c r="MC16" s="198"/>
      <c r="MD16" s="198"/>
      <c r="ME16" s="198"/>
      <c r="MF16" s="198"/>
      <c r="MG16" s="198"/>
      <c r="MH16" s="198"/>
      <c r="MI16" s="198"/>
      <c r="MJ16" s="198"/>
      <c r="MK16" s="198"/>
      <c r="ML16" s="198"/>
      <c r="MM16" s="198"/>
      <c r="MN16" s="198"/>
      <c r="MO16" s="198"/>
      <c r="MP16" s="198"/>
      <c r="MQ16" s="198"/>
      <c r="MR16" s="198"/>
      <c r="MS16" s="198"/>
      <c r="MT16" s="198"/>
      <c r="MU16" s="198"/>
      <c r="MV16" s="198"/>
      <c r="MW16" s="198"/>
      <c r="MX16" s="198"/>
      <c r="MY16" s="198"/>
      <c r="MZ16" s="198"/>
      <c r="NA16" s="198"/>
      <c r="NB16" s="198"/>
      <c r="NC16" s="198"/>
      <c r="ND16" s="198"/>
      <c r="NE16" s="198"/>
      <c r="NF16" s="198"/>
      <c r="NG16" s="198"/>
      <c r="NH16" s="198"/>
      <c r="NI16" s="198"/>
      <c r="NJ16" s="198"/>
      <c r="NK16" s="198"/>
      <c r="NL16" s="198"/>
      <c r="NM16" s="198"/>
      <c r="NN16" s="198"/>
      <c r="NO16" s="198"/>
      <c r="NP16" s="198"/>
      <c r="NQ16" s="198"/>
      <c r="NR16" s="198"/>
      <c r="NS16" s="198"/>
      <c r="NT16" s="198"/>
      <c r="NU16" s="198"/>
      <c r="NV16" s="198"/>
      <c r="NW16" s="198"/>
      <c r="NX16" s="198"/>
      <c r="NY16" s="198"/>
      <c r="NZ16" s="198"/>
      <c r="OA16" s="198"/>
      <c r="OB16" s="198"/>
      <c r="OC16" s="198"/>
      <c r="OD16" s="198"/>
      <c r="OE16" s="198"/>
      <c r="OF16" s="198"/>
      <c r="OG16" s="198"/>
      <c r="OH16" s="198"/>
      <c r="OI16" s="198"/>
      <c r="OJ16" s="198"/>
      <c r="OK16" s="198"/>
      <c r="OL16" s="198"/>
      <c r="OM16" s="198"/>
      <c r="ON16" s="198"/>
      <c r="OO16" s="198"/>
      <c r="OP16" s="198"/>
      <c r="OQ16" s="198"/>
      <c r="OR16" s="198"/>
      <c r="OS16" s="198"/>
      <c r="OT16" s="198"/>
      <c r="OU16" s="198"/>
      <c r="OV16" s="198"/>
      <c r="OW16" s="198"/>
      <c r="OX16" s="198"/>
      <c r="OY16" s="198"/>
      <c r="OZ16" s="198"/>
      <c r="PA16" s="198"/>
      <c r="PB16" s="198"/>
      <c r="PC16" s="198"/>
      <c r="PD16" s="198"/>
      <c r="PE16" s="198"/>
      <c r="PF16" s="198"/>
      <c r="PG16" s="198"/>
      <c r="PH16" s="198"/>
      <c r="PI16" s="198"/>
      <c r="PJ16" s="198"/>
      <c r="PK16" s="198"/>
      <c r="PL16" s="198"/>
      <c r="PM16" s="198"/>
      <c r="PN16" s="198"/>
      <c r="PO16" s="198"/>
      <c r="PP16" s="198"/>
      <c r="PQ16" s="198"/>
      <c r="PR16" s="198"/>
      <c r="PS16" s="198"/>
      <c r="PT16" s="198"/>
      <c r="PU16" s="198"/>
      <c r="PV16" s="198"/>
      <c r="PW16" s="198"/>
      <c r="PX16" s="198"/>
      <c r="PY16" s="198"/>
      <c r="PZ16" s="198"/>
      <c r="QA16" s="198"/>
      <c r="QB16" s="198"/>
      <c r="QC16" s="198"/>
      <c r="QD16" s="198"/>
      <c r="QE16" s="198"/>
      <c r="QF16" s="198"/>
      <c r="QG16" s="198"/>
      <c r="QH16" s="198"/>
      <c r="QI16" s="198"/>
      <c r="QJ16" s="198"/>
      <c r="QK16" s="198"/>
      <c r="QL16" s="198"/>
      <c r="QM16" s="198"/>
      <c r="QN16" s="198"/>
      <c r="QO16" s="198"/>
      <c r="QP16" s="198"/>
      <c r="QQ16" s="198"/>
      <c r="QR16" s="198"/>
      <c r="QS16" s="198"/>
      <c r="QT16" s="198"/>
      <c r="QU16" s="198"/>
      <c r="QV16" s="198"/>
      <c r="QW16" s="198"/>
      <c r="QX16" s="198"/>
      <c r="QY16" s="198"/>
      <c r="QZ16" s="198"/>
      <c r="RA16" s="198"/>
      <c r="RB16" s="198"/>
      <c r="RC16" s="198"/>
      <c r="RD16" s="198"/>
      <c r="RE16" s="198"/>
      <c r="RF16" s="198"/>
      <c r="RG16" s="198"/>
      <c r="RH16" s="198"/>
      <c r="RI16" s="198"/>
      <c r="RJ16" s="198"/>
      <c r="RK16" s="198"/>
      <c r="RL16" s="198"/>
      <c r="RM16" s="198"/>
      <c r="RN16" s="198"/>
      <c r="RO16" s="198"/>
      <c r="RP16" s="198"/>
      <c r="RQ16" s="198"/>
      <c r="RR16" s="198"/>
      <c r="RS16" s="198"/>
      <c r="RT16" s="198"/>
      <c r="RU16" s="198"/>
      <c r="RV16" s="198"/>
      <c r="RW16" s="198"/>
      <c r="RX16" s="198"/>
      <c r="RY16" s="198"/>
      <c r="RZ16" s="198"/>
      <c r="SA16" s="198"/>
      <c r="SB16" s="198"/>
      <c r="SC16" s="198"/>
      <c r="SD16" s="198"/>
      <c r="SE16" s="198"/>
      <c r="SF16" s="198"/>
      <c r="SG16" s="198"/>
      <c r="SH16" s="198"/>
      <c r="SI16" s="198"/>
      <c r="SJ16" s="198"/>
      <c r="SK16" s="198"/>
      <c r="SL16" s="198"/>
      <c r="SM16" s="198"/>
      <c r="SN16" s="198"/>
      <c r="SO16" s="198"/>
      <c r="SP16" s="198"/>
      <c r="SQ16" s="198"/>
      <c r="SR16" s="198"/>
      <c r="SS16" s="198"/>
      <c r="ST16" s="198"/>
      <c r="SU16" s="198"/>
      <c r="SV16" s="198"/>
      <c r="SW16" s="198"/>
      <c r="SX16" s="198"/>
      <c r="SY16" s="198"/>
      <c r="SZ16" s="198"/>
      <c r="TA16" s="198"/>
      <c r="TB16" s="198"/>
      <c r="TC16" s="198"/>
      <c r="TD16" s="198"/>
      <c r="TE16" s="198"/>
      <c r="TF16" s="198"/>
      <c r="TG16" s="198"/>
      <c r="TH16" s="198"/>
    </row>
    <row r="17" spans="1:501" s="199" customFormat="1" ht="25.2" customHeight="1" thickBot="1" x14ac:dyDescent="0.35">
      <c r="A17" s="1013"/>
      <c r="B17" s="987"/>
      <c r="C17" s="1293" t="s">
        <v>478</v>
      </c>
      <c r="D17" s="985"/>
      <c r="E17" s="1310" t="s">
        <v>479</v>
      </c>
      <c r="F17" s="985"/>
      <c r="G17" s="1311" t="s">
        <v>480</v>
      </c>
      <c r="H17" s="985"/>
      <c r="I17" s="1301" t="s">
        <v>481</v>
      </c>
      <c r="J17" s="985"/>
      <c r="K17" s="1302" t="s">
        <v>482</v>
      </c>
      <c r="L17" s="985"/>
      <c r="M17" s="1294" t="s">
        <v>483</v>
      </c>
      <c r="N17" s="985"/>
      <c r="O17" s="1295" t="s">
        <v>484</v>
      </c>
      <c r="P17" s="985"/>
      <c r="Q17" s="1298" t="s">
        <v>485</v>
      </c>
      <c r="R17" s="985"/>
      <c r="S17" s="1312" t="s">
        <v>486</v>
      </c>
      <c r="T17" s="985"/>
      <c r="U17" s="1313" t="s">
        <v>487</v>
      </c>
      <c r="V17" s="985"/>
      <c r="W17" s="1303" t="s">
        <v>488</v>
      </c>
      <c r="X17" s="985"/>
      <c r="Y17" s="1315" t="s">
        <v>489</v>
      </c>
      <c r="Z17" s="985"/>
      <c r="AA17" s="1306" t="s">
        <v>429</v>
      </c>
      <c r="AB17" s="984"/>
      <c r="AC17" s="984"/>
      <c r="AD17" s="984"/>
      <c r="AE17" s="984"/>
      <c r="AF17" s="1307"/>
      <c r="AG17" s="975"/>
      <c r="AH17" s="976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8"/>
      <c r="AU17" s="198"/>
      <c r="AV17" s="198"/>
      <c r="AW17" s="198"/>
      <c r="AX17" s="198"/>
      <c r="AY17" s="198"/>
      <c r="AZ17" s="198"/>
      <c r="BA17" s="198"/>
      <c r="BB17" s="198"/>
      <c r="BC17" s="198"/>
      <c r="BD17" s="198"/>
      <c r="BE17" s="198"/>
      <c r="BF17" s="198"/>
      <c r="BG17" s="198"/>
      <c r="BH17" s="198"/>
      <c r="BI17" s="198"/>
      <c r="BJ17" s="198"/>
      <c r="BK17" s="198"/>
      <c r="BL17" s="198"/>
      <c r="BM17" s="198"/>
      <c r="BN17" s="198"/>
      <c r="BO17" s="198"/>
      <c r="BP17" s="198"/>
      <c r="BQ17" s="198"/>
      <c r="BR17" s="198"/>
      <c r="BS17" s="198"/>
      <c r="BT17" s="198"/>
      <c r="BU17" s="198"/>
      <c r="BV17" s="198"/>
      <c r="BW17" s="198"/>
      <c r="BX17" s="198"/>
      <c r="BY17" s="198"/>
      <c r="BZ17" s="198"/>
      <c r="CA17" s="198"/>
      <c r="CB17" s="198"/>
      <c r="CC17" s="198"/>
      <c r="CD17" s="198"/>
      <c r="CE17" s="198"/>
      <c r="CF17" s="198"/>
      <c r="CG17" s="198"/>
      <c r="CH17" s="198"/>
      <c r="CI17" s="198"/>
      <c r="CJ17" s="198"/>
      <c r="CK17" s="198"/>
      <c r="CL17" s="198"/>
      <c r="CM17" s="198"/>
      <c r="CN17" s="198"/>
      <c r="CO17" s="198"/>
      <c r="CP17" s="198"/>
      <c r="CQ17" s="198"/>
      <c r="CR17" s="198"/>
      <c r="CS17" s="198"/>
      <c r="CT17" s="198"/>
      <c r="CU17" s="198"/>
      <c r="CV17" s="198"/>
      <c r="CW17" s="198"/>
      <c r="CX17" s="198"/>
      <c r="CY17" s="198"/>
      <c r="CZ17" s="198"/>
      <c r="DA17" s="198"/>
      <c r="DB17" s="198"/>
      <c r="DC17" s="198"/>
      <c r="DD17" s="198"/>
      <c r="DE17" s="198"/>
      <c r="DF17" s="198"/>
      <c r="DG17" s="198"/>
      <c r="DH17" s="198"/>
      <c r="DI17" s="198"/>
      <c r="DJ17" s="198"/>
      <c r="DK17" s="198"/>
      <c r="DL17" s="198"/>
      <c r="DM17" s="198"/>
      <c r="DN17" s="198"/>
      <c r="DO17" s="198"/>
      <c r="DP17" s="198"/>
      <c r="DQ17" s="198"/>
      <c r="DR17" s="198"/>
      <c r="DS17" s="198"/>
      <c r="DT17" s="198"/>
      <c r="DU17" s="198"/>
      <c r="DV17" s="198"/>
      <c r="DW17" s="198"/>
      <c r="DX17" s="198"/>
      <c r="DY17" s="198"/>
      <c r="DZ17" s="198"/>
      <c r="EA17" s="198"/>
      <c r="EB17" s="198"/>
      <c r="EC17" s="198"/>
      <c r="ED17" s="198"/>
      <c r="EE17" s="198"/>
      <c r="EF17" s="198"/>
      <c r="EG17" s="198"/>
      <c r="EH17" s="198"/>
      <c r="EI17" s="198"/>
      <c r="EJ17" s="198"/>
      <c r="EK17" s="198"/>
      <c r="EL17" s="198"/>
      <c r="EM17" s="198"/>
      <c r="EN17" s="198"/>
      <c r="EO17" s="198"/>
      <c r="EP17" s="198"/>
      <c r="EQ17" s="198"/>
      <c r="ER17" s="198"/>
      <c r="ES17" s="198"/>
      <c r="ET17" s="198"/>
      <c r="EU17" s="198"/>
      <c r="EV17" s="198"/>
      <c r="EW17" s="198"/>
      <c r="EX17" s="198"/>
      <c r="EY17" s="198"/>
      <c r="EZ17" s="198"/>
      <c r="FA17" s="198"/>
      <c r="FB17" s="198"/>
      <c r="FC17" s="198"/>
      <c r="FD17" s="198"/>
      <c r="FE17" s="198"/>
      <c r="FF17" s="198"/>
      <c r="FG17" s="198"/>
      <c r="FH17" s="198"/>
      <c r="FI17" s="198"/>
      <c r="FJ17" s="198"/>
      <c r="FK17" s="198"/>
      <c r="FL17" s="198"/>
      <c r="FM17" s="198"/>
      <c r="FN17" s="198"/>
      <c r="FO17" s="198"/>
      <c r="FP17" s="198"/>
      <c r="FQ17" s="198"/>
      <c r="FR17" s="198"/>
      <c r="FS17" s="198"/>
      <c r="FT17" s="198"/>
      <c r="FU17" s="198"/>
      <c r="FV17" s="198"/>
      <c r="FW17" s="198"/>
      <c r="FX17" s="198"/>
      <c r="FY17" s="198"/>
      <c r="FZ17" s="198"/>
      <c r="GA17" s="198"/>
      <c r="GB17" s="198"/>
      <c r="GC17" s="198"/>
      <c r="GD17" s="198"/>
      <c r="GE17" s="198"/>
      <c r="GF17" s="198"/>
      <c r="GG17" s="198"/>
      <c r="GH17" s="198"/>
      <c r="GI17" s="198"/>
      <c r="GJ17" s="198"/>
      <c r="GK17" s="198"/>
      <c r="GL17" s="198"/>
      <c r="GM17" s="198"/>
      <c r="GN17" s="198"/>
      <c r="GO17" s="198"/>
      <c r="GP17" s="198"/>
      <c r="GQ17" s="198"/>
      <c r="GR17" s="198"/>
      <c r="GS17" s="198"/>
      <c r="GT17" s="198"/>
      <c r="GU17" s="198"/>
      <c r="GV17" s="198"/>
      <c r="GW17" s="198"/>
      <c r="GX17" s="198"/>
      <c r="GY17" s="198"/>
      <c r="GZ17" s="198"/>
      <c r="HA17" s="198"/>
      <c r="HB17" s="198"/>
      <c r="HC17" s="198"/>
      <c r="HD17" s="198"/>
      <c r="HE17" s="198"/>
      <c r="HF17" s="198"/>
      <c r="HG17" s="198"/>
      <c r="HH17" s="198"/>
      <c r="HI17" s="198"/>
      <c r="HJ17" s="198"/>
      <c r="HK17" s="198"/>
      <c r="HL17" s="198"/>
      <c r="HM17" s="198"/>
      <c r="HN17" s="198"/>
      <c r="HO17" s="198"/>
      <c r="HP17" s="198"/>
      <c r="HQ17" s="198"/>
      <c r="HR17" s="198"/>
      <c r="HS17" s="198"/>
      <c r="HT17" s="198"/>
      <c r="HU17" s="198"/>
      <c r="HV17" s="198"/>
      <c r="HW17" s="198"/>
      <c r="HX17" s="198"/>
      <c r="HY17" s="198"/>
      <c r="HZ17" s="198"/>
      <c r="IA17" s="198"/>
      <c r="IB17" s="198"/>
      <c r="IC17" s="198"/>
      <c r="ID17" s="198"/>
      <c r="IE17" s="198"/>
      <c r="IF17" s="198"/>
      <c r="IG17" s="198"/>
      <c r="IH17" s="198"/>
      <c r="II17" s="198"/>
      <c r="IJ17" s="198"/>
      <c r="IK17" s="198"/>
      <c r="IL17" s="198"/>
      <c r="IM17" s="198"/>
      <c r="IN17" s="198"/>
      <c r="IO17" s="198"/>
      <c r="IP17" s="198"/>
      <c r="IQ17" s="198"/>
      <c r="IR17" s="198"/>
      <c r="IS17" s="198"/>
      <c r="IT17" s="198"/>
      <c r="IU17" s="198"/>
      <c r="IV17" s="198"/>
      <c r="IW17" s="198"/>
      <c r="IX17" s="198"/>
      <c r="IY17" s="198"/>
      <c r="IZ17" s="198"/>
      <c r="JA17" s="198"/>
      <c r="JB17" s="198"/>
      <c r="JC17" s="198"/>
      <c r="JD17" s="198"/>
      <c r="JE17" s="198"/>
      <c r="JF17" s="198"/>
      <c r="JG17" s="198"/>
      <c r="JH17" s="198"/>
      <c r="JI17" s="198"/>
      <c r="JJ17" s="198"/>
      <c r="JK17" s="198"/>
      <c r="JL17" s="198"/>
      <c r="JM17" s="198"/>
      <c r="JN17" s="198"/>
      <c r="JO17" s="198"/>
      <c r="JP17" s="198"/>
      <c r="JQ17" s="198"/>
      <c r="JR17" s="198"/>
      <c r="JS17" s="198"/>
      <c r="JT17" s="198"/>
      <c r="JU17" s="198"/>
      <c r="JV17" s="198"/>
      <c r="JW17" s="198"/>
      <c r="JX17" s="198"/>
      <c r="JY17" s="198"/>
      <c r="JZ17" s="198"/>
      <c r="KA17" s="198"/>
      <c r="KB17" s="198"/>
      <c r="KC17" s="198"/>
      <c r="KD17" s="198"/>
      <c r="KE17" s="198"/>
      <c r="KF17" s="198"/>
      <c r="KG17" s="198"/>
      <c r="KH17" s="198"/>
      <c r="KI17" s="198"/>
      <c r="KJ17" s="198"/>
      <c r="KK17" s="198"/>
      <c r="KL17" s="198"/>
      <c r="KM17" s="198"/>
      <c r="KN17" s="198"/>
      <c r="KO17" s="198"/>
      <c r="KP17" s="198"/>
      <c r="KQ17" s="198"/>
      <c r="KR17" s="198"/>
      <c r="KS17" s="198"/>
      <c r="KT17" s="198"/>
      <c r="KU17" s="198"/>
      <c r="KV17" s="198"/>
      <c r="KW17" s="198"/>
      <c r="KX17" s="198"/>
      <c r="KY17" s="198"/>
      <c r="KZ17" s="198"/>
      <c r="LA17" s="198"/>
      <c r="LB17" s="198"/>
      <c r="LC17" s="198"/>
      <c r="LD17" s="198"/>
      <c r="LE17" s="198"/>
      <c r="LF17" s="198"/>
      <c r="LG17" s="198"/>
      <c r="LH17" s="198"/>
      <c r="LI17" s="198"/>
      <c r="LJ17" s="198"/>
      <c r="LK17" s="198"/>
      <c r="LL17" s="198"/>
      <c r="LM17" s="198"/>
      <c r="LN17" s="198"/>
      <c r="LO17" s="198"/>
      <c r="LP17" s="198"/>
      <c r="LQ17" s="198"/>
      <c r="LR17" s="198"/>
      <c r="LS17" s="198"/>
      <c r="LT17" s="198"/>
      <c r="LU17" s="198"/>
      <c r="LV17" s="198"/>
      <c r="LW17" s="198"/>
      <c r="LX17" s="198"/>
      <c r="LY17" s="198"/>
      <c r="LZ17" s="198"/>
      <c r="MA17" s="198"/>
      <c r="MB17" s="198"/>
      <c r="MC17" s="198"/>
      <c r="MD17" s="198"/>
      <c r="ME17" s="198"/>
      <c r="MF17" s="198"/>
      <c r="MG17" s="198"/>
      <c r="MH17" s="198"/>
      <c r="MI17" s="198"/>
      <c r="MJ17" s="198"/>
      <c r="MK17" s="198"/>
      <c r="ML17" s="198"/>
      <c r="MM17" s="198"/>
      <c r="MN17" s="198"/>
      <c r="MO17" s="198"/>
      <c r="MP17" s="198"/>
      <c r="MQ17" s="198"/>
      <c r="MR17" s="198"/>
      <c r="MS17" s="198"/>
      <c r="MT17" s="198"/>
      <c r="MU17" s="198"/>
      <c r="MV17" s="198"/>
      <c r="MW17" s="198"/>
      <c r="MX17" s="198"/>
      <c r="MY17" s="198"/>
      <c r="MZ17" s="198"/>
      <c r="NA17" s="198"/>
      <c r="NB17" s="198"/>
      <c r="NC17" s="198"/>
      <c r="ND17" s="198"/>
      <c r="NE17" s="198"/>
      <c r="NF17" s="198"/>
      <c r="NG17" s="198"/>
      <c r="NH17" s="198"/>
      <c r="NI17" s="198"/>
      <c r="NJ17" s="198"/>
      <c r="NK17" s="198"/>
      <c r="NL17" s="198"/>
      <c r="NM17" s="198"/>
      <c r="NN17" s="198"/>
      <c r="NO17" s="198"/>
      <c r="NP17" s="198"/>
      <c r="NQ17" s="198"/>
      <c r="NR17" s="198"/>
      <c r="NS17" s="198"/>
      <c r="NT17" s="198"/>
      <c r="NU17" s="198"/>
      <c r="NV17" s="198"/>
      <c r="NW17" s="198"/>
      <c r="NX17" s="198"/>
      <c r="NY17" s="198"/>
      <c r="NZ17" s="198"/>
      <c r="OA17" s="198"/>
      <c r="OB17" s="198"/>
      <c r="OC17" s="198"/>
      <c r="OD17" s="198"/>
      <c r="OE17" s="198"/>
      <c r="OF17" s="198"/>
      <c r="OG17" s="198"/>
      <c r="OH17" s="198"/>
      <c r="OI17" s="198"/>
      <c r="OJ17" s="198"/>
      <c r="OK17" s="198"/>
      <c r="OL17" s="198"/>
      <c r="OM17" s="198"/>
      <c r="ON17" s="198"/>
      <c r="OO17" s="198"/>
      <c r="OP17" s="198"/>
      <c r="OQ17" s="198"/>
      <c r="OR17" s="198"/>
      <c r="OS17" s="198"/>
      <c r="OT17" s="198"/>
      <c r="OU17" s="198"/>
      <c r="OV17" s="198"/>
      <c r="OW17" s="198"/>
      <c r="OX17" s="198"/>
      <c r="OY17" s="198"/>
      <c r="OZ17" s="198"/>
      <c r="PA17" s="198"/>
      <c r="PB17" s="198"/>
      <c r="PC17" s="198"/>
      <c r="PD17" s="198"/>
      <c r="PE17" s="198"/>
      <c r="PF17" s="198"/>
      <c r="PG17" s="198"/>
      <c r="PH17" s="198"/>
      <c r="PI17" s="198"/>
      <c r="PJ17" s="198"/>
      <c r="PK17" s="198"/>
      <c r="PL17" s="198"/>
      <c r="PM17" s="198"/>
      <c r="PN17" s="198"/>
      <c r="PO17" s="198"/>
      <c r="PP17" s="198"/>
      <c r="PQ17" s="198"/>
      <c r="PR17" s="198"/>
      <c r="PS17" s="198"/>
      <c r="PT17" s="198"/>
      <c r="PU17" s="198"/>
      <c r="PV17" s="198"/>
      <c r="PW17" s="198"/>
      <c r="PX17" s="198"/>
      <c r="PY17" s="198"/>
      <c r="PZ17" s="198"/>
      <c r="QA17" s="198"/>
      <c r="QB17" s="198"/>
      <c r="QC17" s="198"/>
      <c r="QD17" s="198"/>
      <c r="QE17" s="198"/>
      <c r="QF17" s="198"/>
      <c r="QG17" s="198"/>
      <c r="QH17" s="198"/>
      <c r="QI17" s="198"/>
      <c r="QJ17" s="198"/>
      <c r="QK17" s="198"/>
      <c r="QL17" s="198"/>
      <c r="QM17" s="198"/>
      <c r="QN17" s="198"/>
      <c r="QO17" s="198"/>
      <c r="QP17" s="198"/>
      <c r="QQ17" s="198"/>
      <c r="QR17" s="198"/>
      <c r="QS17" s="198"/>
      <c r="QT17" s="198"/>
      <c r="QU17" s="198"/>
      <c r="QV17" s="198"/>
      <c r="QW17" s="198"/>
      <c r="QX17" s="198"/>
      <c r="QY17" s="198"/>
      <c r="QZ17" s="198"/>
      <c r="RA17" s="198"/>
      <c r="RB17" s="198"/>
      <c r="RC17" s="198"/>
      <c r="RD17" s="198"/>
      <c r="RE17" s="198"/>
      <c r="RF17" s="198"/>
      <c r="RG17" s="198"/>
      <c r="RH17" s="198"/>
      <c r="RI17" s="198"/>
      <c r="RJ17" s="198"/>
      <c r="RK17" s="198"/>
      <c r="RL17" s="198"/>
      <c r="RM17" s="198"/>
      <c r="RN17" s="198"/>
      <c r="RO17" s="198"/>
      <c r="RP17" s="198"/>
      <c r="RQ17" s="198"/>
      <c r="RR17" s="198"/>
      <c r="RS17" s="198"/>
      <c r="RT17" s="198"/>
      <c r="RU17" s="198"/>
      <c r="RV17" s="198"/>
      <c r="RW17" s="198"/>
      <c r="RX17" s="198"/>
      <c r="RY17" s="198"/>
      <c r="RZ17" s="198"/>
      <c r="SA17" s="198"/>
      <c r="SB17" s="198"/>
      <c r="SC17" s="198"/>
      <c r="SD17" s="198"/>
      <c r="SE17" s="198"/>
      <c r="SF17" s="198"/>
      <c r="SG17" s="198"/>
    </row>
    <row r="18" spans="1:501" ht="40.049999999999997" customHeight="1" thickBot="1" x14ac:dyDescent="0.35">
      <c r="A18" s="968" t="s">
        <v>106</v>
      </c>
      <c r="B18" s="969" t="s">
        <v>107</v>
      </c>
      <c r="C18" s="646"/>
      <c r="D18" s="855"/>
      <c r="E18" s="646"/>
      <c r="F18" s="855"/>
      <c r="G18" s="646"/>
      <c r="H18" s="855"/>
      <c r="I18" s="646"/>
      <c r="J18" s="855"/>
      <c r="K18" s="646"/>
      <c r="L18" s="855"/>
      <c r="M18" s="646"/>
      <c r="N18" s="855"/>
      <c r="O18" s="646"/>
      <c r="P18" s="855"/>
      <c r="Q18" s="646"/>
      <c r="R18" s="855"/>
      <c r="S18" s="646"/>
      <c r="T18" s="646"/>
      <c r="U18" s="646"/>
      <c r="V18" s="646"/>
      <c r="W18" s="646"/>
      <c r="X18" s="646"/>
      <c r="Y18" s="646"/>
      <c r="Z18" s="646"/>
      <c r="AA18" s="646"/>
      <c r="AB18" s="855"/>
      <c r="AC18" s="855"/>
      <c r="AD18" s="855"/>
      <c r="AE18" s="855"/>
      <c r="AF18" s="855"/>
      <c r="AG18" s="646"/>
      <c r="AH18" s="647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8"/>
      <c r="AU18" s="198"/>
      <c r="AV18" s="198"/>
      <c r="AW18" s="198"/>
      <c r="AX18" s="198"/>
      <c r="AY18" s="198"/>
      <c r="AZ18" s="198"/>
      <c r="BA18" s="198"/>
      <c r="BB18" s="198"/>
      <c r="BC18" s="198"/>
      <c r="BD18" s="198"/>
      <c r="BE18" s="198"/>
      <c r="BF18" s="198"/>
      <c r="BG18" s="198"/>
      <c r="BH18" s="198"/>
      <c r="BI18" s="198"/>
      <c r="BJ18" s="198"/>
      <c r="BK18" s="198"/>
      <c r="BL18" s="198"/>
      <c r="BM18" s="198"/>
      <c r="BN18" s="198"/>
      <c r="BO18" s="198"/>
      <c r="BP18" s="198"/>
      <c r="BQ18" s="198"/>
      <c r="BR18" s="198"/>
      <c r="BS18" s="198"/>
      <c r="BT18" s="198"/>
      <c r="BU18" s="198"/>
      <c r="BV18" s="198"/>
      <c r="BW18" s="198"/>
      <c r="BX18" s="198"/>
      <c r="BY18" s="198"/>
      <c r="BZ18" s="198"/>
      <c r="CA18" s="198"/>
      <c r="CB18" s="198"/>
      <c r="CC18" s="198"/>
      <c r="CD18" s="198"/>
      <c r="CE18" s="198"/>
      <c r="CF18" s="198"/>
      <c r="CG18" s="198"/>
      <c r="CH18" s="198"/>
      <c r="CI18" s="198"/>
      <c r="CJ18" s="198"/>
      <c r="CK18" s="198"/>
      <c r="CL18" s="198"/>
      <c r="CM18" s="198"/>
      <c r="CN18" s="198"/>
      <c r="CO18" s="198"/>
      <c r="CP18" s="198"/>
      <c r="CQ18" s="198"/>
      <c r="CR18" s="198"/>
      <c r="CS18" s="198"/>
      <c r="CT18" s="198"/>
      <c r="CU18" s="198"/>
      <c r="CV18" s="198"/>
      <c r="CW18" s="198"/>
      <c r="CX18" s="198"/>
      <c r="CY18" s="198"/>
      <c r="CZ18" s="198"/>
      <c r="DA18" s="198"/>
      <c r="DB18" s="198"/>
      <c r="DC18" s="198"/>
      <c r="DD18" s="198"/>
      <c r="DE18" s="198"/>
      <c r="DF18" s="198"/>
      <c r="DG18" s="198"/>
      <c r="DH18" s="198"/>
      <c r="DI18" s="198"/>
      <c r="DJ18" s="198"/>
      <c r="DK18" s="198"/>
      <c r="DL18" s="198"/>
      <c r="DM18" s="198"/>
      <c r="DN18" s="198"/>
      <c r="DO18" s="198"/>
      <c r="DP18" s="198"/>
      <c r="DQ18" s="198"/>
      <c r="DR18" s="198"/>
      <c r="DS18" s="198"/>
      <c r="DT18" s="198"/>
      <c r="DU18" s="198"/>
      <c r="DV18" s="198"/>
      <c r="DW18" s="198"/>
      <c r="DX18" s="198"/>
      <c r="DY18" s="198"/>
      <c r="DZ18" s="198"/>
      <c r="EA18" s="198"/>
      <c r="EB18" s="198"/>
      <c r="EC18" s="198"/>
      <c r="ED18" s="198"/>
      <c r="EE18" s="198"/>
      <c r="EF18" s="198"/>
      <c r="EG18" s="198"/>
      <c r="EH18" s="198"/>
      <c r="EI18" s="198"/>
      <c r="EJ18" s="198"/>
      <c r="EK18" s="198"/>
      <c r="EL18" s="198"/>
      <c r="EM18" s="198"/>
      <c r="EN18" s="198"/>
      <c r="EO18" s="198"/>
      <c r="EP18" s="198"/>
      <c r="EQ18" s="198"/>
      <c r="ER18" s="198"/>
      <c r="ES18" s="198"/>
      <c r="ET18" s="198"/>
      <c r="EU18" s="198"/>
      <c r="EV18" s="198"/>
      <c r="EW18" s="198"/>
      <c r="EX18" s="198"/>
      <c r="EY18" s="198"/>
      <c r="EZ18" s="198"/>
      <c r="FA18" s="198"/>
      <c r="FB18" s="198"/>
      <c r="FC18" s="198"/>
      <c r="FD18" s="198"/>
      <c r="FE18" s="198"/>
      <c r="FF18" s="198"/>
      <c r="FG18" s="198"/>
      <c r="FH18" s="198"/>
      <c r="FI18" s="198"/>
      <c r="FJ18" s="198"/>
      <c r="FK18" s="198"/>
      <c r="FL18" s="198"/>
      <c r="FM18" s="198"/>
      <c r="FN18" s="198"/>
      <c r="FO18" s="198"/>
      <c r="FP18" s="198"/>
      <c r="FQ18" s="198"/>
      <c r="FR18" s="198"/>
      <c r="FS18" s="198"/>
      <c r="FT18" s="198"/>
      <c r="FU18" s="198"/>
      <c r="FV18" s="198"/>
      <c r="FW18" s="198"/>
      <c r="FX18" s="198"/>
      <c r="FY18" s="198"/>
      <c r="FZ18" s="198"/>
      <c r="GA18" s="198"/>
      <c r="GB18" s="198"/>
      <c r="GC18" s="198"/>
      <c r="GD18" s="198"/>
      <c r="GE18" s="198"/>
      <c r="GF18" s="198"/>
      <c r="GG18" s="198"/>
      <c r="GH18" s="198"/>
      <c r="GI18" s="198"/>
      <c r="GJ18" s="198"/>
      <c r="GK18" s="198"/>
      <c r="GL18" s="198"/>
      <c r="GM18" s="198"/>
      <c r="GN18" s="198"/>
      <c r="GO18" s="198"/>
      <c r="GP18" s="198"/>
      <c r="GQ18" s="198"/>
      <c r="GR18" s="198"/>
      <c r="GS18" s="198"/>
      <c r="GT18" s="198"/>
      <c r="GU18" s="198"/>
      <c r="GV18" s="198"/>
      <c r="GW18" s="198"/>
      <c r="GX18" s="198"/>
      <c r="GY18" s="198"/>
      <c r="GZ18" s="198"/>
      <c r="HA18" s="198"/>
      <c r="HB18" s="198"/>
      <c r="HC18" s="198"/>
      <c r="HD18" s="198"/>
      <c r="HE18" s="198"/>
      <c r="HF18" s="198"/>
      <c r="HG18" s="198"/>
      <c r="HH18" s="198"/>
      <c r="HI18" s="198"/>
      <c r="HJ18" s="198"/>
      <c r="HK18" s="198"/>
      <c r="HL18" s="198"/>
      <c r="HM18" s="198"/>
      <c r="HN18" s="198"/>
      <c r="HO18" s="198"/>
      <c r="HP18" s="198"/>
      <c r="HQ18" s="198"/>
      <c r="HR18" s="198"/>
      <c r="HS18" s="198"/>
      <c r="HT18" s="198"/>
      <c r="HU18" s="198"/>
      <c r="HV18" s="198"/>
      <c r="HW18" s="198"/>
      <c r="HX18" s="198"/>
      <c r="HY18" s="198"/>
      <c r="HZ18" s="198"/>
      <c r="IA18" s="198"/>
      <c r="IB18" s="198"/>
      <c r="IC18" s="198"/>
      <c r="ID18" s="198"/>
      <c r="IE18" s="198"/>
      <c r="IF18" s="198"/>
      <c r="IG18" s="198"/>
      <c r="IH18" s="198"/>
      <c r="II18" s="198"/>
      <c r="IJ18" s="198"/>
      <c r="IK18" s="198"/>
      <c r="IL18" s="198"/>
      <c r="IM18" s="198"/>
      <c r="IN18" s="198"/>
      <c r="IO18" s="198"/>
      <c r="IP18" s="198"/>
      <c r="IQ18" s="198"/>
      <c r="IR18" s="198"/>
      <c r="IS18" s="198"/>
      <c r="IT18" s="198"/>
      <c r="IU18" s="198"/>
      <c r="IV18" s="198"/>
      <c r="IW18" s="198"/>
      <c r="IX18" s="198"/>
      <c r="IY18" s="198"/>
      <c r="IZ18" s="198"/>
      <c r="JA18" s="198"/>
      <c r="JB18" s="198"/>
      <c r="JC18" s="198"/>
      <c r="JD18" s="198"/>
      <c r="JE18" s="198"/>
      <c r="JF18" s="198"/>
      <c r="JG18" s="198"/>
      <c r="JH18" s="198"/>
      <c r="JI18" s="198"/>
      <c r="JJ18" s="198"/>
      <c r="JK18" s="198"/>
      <c r="JL18" s="198"/>
      <c r="JM18" s="198"/>
      <c r="JN18" s="198"/>
      <c r="JO18" s="198"/>
      <c r="JP18" s="198"/>
      <c r="JQ18" s="198"/>
      <c r="JR18" s="198"/>
      <c r="JS18" s="198"/>
      <c r="JT18" s="198"/>
      <c r="JU18" s="198"/>
      <c r="JV18" s="198"/>
      <c r="JW18" s="198"/>
      <c r="JX18" s="198"/>
      <c r="JY18" s="198"/>
      <c r="JZ18" s="198"/>
      <c r="KA18" s="198"/>
      <c r="KB18" s="198"/>
      <c r="KC18" s="198"/>
      <c r="KD18" s="198"/>
      <c r="KE18" s="198"/>
      <c r="KF18" s="198"/>
      <c r="KG18" s="198"/>
      <c r="KH18" s="198"/>
      <c r="KI18" s="198"/>
      <c r="KJ18" s="198"/>
      <c r="KK18" s="198"/>
      <c r="KL18" s="198"/>
      <c r="KM18" s="198"/>
      <c r="KN18" s="198"/>
      <c r="KO18" s="198"/>
      <c r="KP18" s="198"/>
      <c r="KQ18" s="198"/>
      <c r="KR18" s="198"/>
      <c r="KS18" s="198"/>
      <c r="KT18" s="198"/>
      <c r="KU18" s="198"/>
      <c r="KV18" s="198"/>
      <c r="KW18" s="198"/>
      <c r="KX18" s="198"/>
      <c r="KY18" s="198"/>
      <c r="KZ18" s="198"/>
      <c r="LA18" s="198"/>
      <c r="LB18" s="198"/>
      <c r="LC18" s="198"/>
      <c r="LD18" s="198"/>
      <c r="LE18" s="198"/>
      <c r="LF18" s="198"/>
      <c r="LG18" s="198"/>
      <c r="LH18" s="198"/>
      <c r="LI18" s="198"/>
      <c r="LJ18" s="198"/>
      <c r="LK18" s="198"/>
      <c r="LL18" s="198"/>
      <c r="LM18" s="198"/>
      <c r="LN18" s="198"/>
      <c r="LO18" s="198"/>
      <c r="LP18" s="198"/>
      <c r="LQ18" s="198"/>
      <c r="LR18" s="198"/>
      <c r="LS18" s="198"/>
      <c r="LT18" s="198"/>
      <c r="LU18" s="198"/>
      <c r="LV18" s="198"/>
      <c r="LW18" s="198"/>
      <c r="LX18" s="198"/>
      <c r="LY18" s="198"/>
      <c r="LZ18" s="198"/>
      <c r="MA18" s="198"/>
      <c r="MB18" s="198"/>
      <c r="MC18" s="198"/>
      <c r="MD18" s="198"/>
      <c r="ME18" s="198"/>
      <c r="MF18" s="198"/>
      <c r="MG18" s="198"/>
      <c r="MH18" s="198"/>
      <c r="MI18" s="198"/>
      <c r="MJ18" s="198"/>
      <c r="MK18" s="198"/>
      <c r="ML18" s="198"/>
      <c r="MM18" s="198"/>
      <c r="MN18" s="198"/>
      <c r="MO18" s="198"/>
      <c r="MP18" s="198"/>
      <c r="MQ18" s="198"/>
      <c r="MR18" s="198"/>
      <c r="MS18" s="198"/>
      <c r="MT18" s="198"/>
      <c r="MU18" s="198"/>
      <c r="MV18" s="198"/>
      <c r="MW18" s="198"/>
      <c r="MX18" s="198"/>
      <c r="MY18" s="198"/>
      <c r="MZ18" s="198"/>
      <c r="NA18" s="198"/>
      <c r="NB18" s="198"/>
      <c r="NC18" s="198"/>
      <c r="ND18" s="198"/>
      <c r="NE18" s="198"/>
      <c r="NF18" s="198"/>
      <c r="NG18" s="198"/>
      <c r="NH18" s="198"/>
      <c r="NI18" s="198"/>
      <c r="NJ18" s="198"/>
      <c r="NK18" s="198"/>
      <c r="NL18" s="198"/>
      <c r="NM18" s="198"/>
      <c r="NN18" s="198"/>
      <c r="NO18" s="198"/>
      <c r="NP18" s="198"/>
      <c r="NQ18" s="198"/>
      <c r="NR18" s="198"/>
      <c r="NS18" s="198"/>
      <c r="NT18" s="198"/>
      <c r="NU18" s="198"/>
      <c r="NV18" s="198"/>
      <c r="NW18" s="198"/>
      <c r="NX18" s="198"/>
      <c r="NY18" s="198"/>
      <c r="NZ18" s="198"/>
      <c r="OA18" s="198"/>
      <c r="OB18" s="198"/>
      <c r="OC18" s="198"/>
      <c r="OD18" s="198"/>
      <c r="OE18" s="198"/>
      <c r="OF18" s="198"/>
      <c r="OG18" s="198"/>
      <c r="OH18" s="198"/>
      <c r="OI18" s="198"/>
      <c r="OJ18" s="198"/>
      <c r="OK18" s="198"/>
      <c r="OL18" s="198"/>
      <c r="OM18" s="198"/>
      <c r="ON18" s="198"/>
      <c r="OO18" s="198"/>
      <c r="OP18" s="198"/>
      <c r="OQ18" s="198"/>
      <c r="OR18" s="198"/>
      <c r="OS18" s="198"/>
      <c r="OT18" s="198"/>
      <c r="OU18" s="198"/>
      <c r="OV18" s="198"/>
      <c r="OW18" s="198"/>
      <c r="OX18" s="198"/>
      <c r="OY18" s="198"/>
      <c r="OZ18" s="198"/>
      <c r="PA18" s="198"/>
      <c r="PB18" s="198"/>
      <c r="PC18" s="198"/>
      <c r="PD18" s="198"/>
      <c r="PE18" s="198"/>
      <c r="PF18" s="198"/>
      <c r="PG18" s="198"/>
      <c r="PH18" s="198"/>
      <c r="PI18" s="198"/>
      <c r="PJ18" s="198"/>
      <c r="PK18" s="198"/>
      <c r="PL18" s="198"/>
      <c r="PM18" s="198"/>
      <c r="PN18" s="198"/>
      <c r="PO18" s="198"/>
      <c r="PP18" s="198"/>
      <c r="PQ18" s="198"/>
      <c r="PR18" s="198"/>
      <c r="PS18" s="198"/>
      <c r="PT18" s="198"/>
      <c r="PU18" s="198"/>
      <c r="PV18" s="198"/>
      <c r="PW18" s="198"/>
      <c r="PX18" s="198"/>
      <c r="PY18" s="198"/>
      <c r="PZ18" s="198"/>
      <c r="QA18" s="198"/>
      <c r="QB18" s="198"/>
      <c r="QC18" s="198"/>
      <c r="QD18" s="198"/>
      <c r="QE18" s="198"/>
      <c r="QF18" s="198"/>
      <c r="QG18" s="198"/>
      <c r="QH18" s="198"/>
      <c r="QI18" s="198"/>
      <c r="QJ18" s="198"/>
      <c r="QK18" s="198"/>
      <c r="QL18" s="198"/>
      <c r="QM18" s="198"/>
      <c r="QN18" s="198"/>
      <c r="QO18" s="198"/>
      <c r="QP18" s="198"/>
      <c r="QQ18" s="198"/>
      <c r="QR18" s="198"/>
      <c r="QS18" s="198"/>
      <c r="QT18" s="198"/>
      <c r="QU18" s="198"/>
      <c r="QV18" s="198"/>
      <c r="QW18" s="198"/>
      <c r="QX18" s="198"/>
      <c r="QY18" s="198"/>
      <c r="QZ18" s="198"/>
      <c r="RA18" s="198"/>
      <c r="RB18" s="198"/>
      <c r="RC18" s="198"/>
      <c r="RD18" s="198"/>
      <c r="RE18" s="198"/>
      <c r="RF18" s="198"/>
      <c r="RG18" s="198"/>
      <c r="RH18" s="198"/>
      <c r="RI18" s="198"/>
      <c r="RJ18" s="198"/>
      <c r="RK18" s="198"/>
      <c r="RL18" s="198"/>
      <c r="RM18" s="198"/>
      <c r="RN18" s="198"/>
      <c r="RO18" s="198"/>
      <c r="RP18" s="198"/>
      <c r="RQ18" s="198"/>
      <c r="RR18" s="198"/>
      <c r="RS18" s="198"/>
      <c r="RT18" s="198"/>
      <c r="RU18" s="198"/>
      <c r="RV18" s="198"/>
      <c r="RW18" s="198"/>
      <c r="RX18" s="198"/>
      <c r="RY18" s="198"/>
      <c r="RZ18" s="198"/>
      <c r="SA18" s="198"/>
      <c r="SB18" s="198"/>
      <c r="SC18" s="198"/>
      <c r="SD18" s="198"/>
      <c r="SE18" s="198"/>
      <c r="SF18" s="198"/>
      <c r="SG18" s="198"/>
    </row>
    <row r="19" spans="1:501" ht="40.049999999999997" customHeight="1" x14ac:dyDescent="0.3">
      <c r="A19" s="966" t="s">
        <v>110</v>
      </c>
      <c r="B19" s="967" t="s">
        <v>111</v>
      </c>
      <c r="C19" s="944"/>
      <c r="D19" s="944"/>
      <c r="E19" s="944"/>
      <c r="F19" s="944"/>
      <c r="G19" s="944"/>
      <c r="H19" s="944"/>
      <c r="I19" s="944"/>
      <c r="J19" s="944"/>
      <c r="K19" s="944"/>
      <c r="L19" s="944"/>
      <c r="M19" s="944"/>
      <c r="N19" s="944"/>
      <c r="O19" s="944"/>
      <c r="P19" s="944"/>
      <c r="Q19" s="944"/>
      <c r="R19" s="944"/>
      <c r="S19" s="944"/>
      <c r="T19" s="944"/>
      <c r="U19" s="944"/>
      <c r="V19" s="944"/>
      <c r="W19" s="944"/>
      <c r="X19" s="944"/>
      <c r="Y19" s="944"/>
      <c r="Z19" s="944"/>
      <c r="AA19" s="944"/>
      <c r="AB19" s="944"/>
      <c r="AC19" s="944"/>
      <c r="AD19" s="944"/>
      <c r="AE19" s="944"/>
      <c r="AF19" s="944"/>
      <c r="AG19" s="944"/>
      <c r="AH19" s="945"/>
      <c r="AI19" s="198"/>
      <c r="AJ19" s="198"/>
      <c r="AK19" s="198"/>
      <c r="AL19" s="198"/>
      <c r="AM19" s="198"/>
      <c r="AN19" s="198"/>
      <c r="AO19" s="198"/>
      <c r="AP19" s="198"/>
      <c r="AQ19" s="198"/>
      <c r="AR19" s="198"/>
      <c r="AS19" s="198"/>
      <c r="AT19" s="198"/>
      <c r="AU19" s="198"/>
      <c r="AV19" s="198"/>
      <c r="AW19" s="198"/>
      <c r="AX19" s="198"/>
      <c r="AY19" s="198"/>
      <c r="AZ19" s="198"/>
      <c r="BA19" s="198"/>
      <c r="BB19" s="198"/>
      <c r="BC19" s="198"/>
      <c r="BD19" s="198"/>
      <c r="BE19" s="198"/>
      <c r="BF19" s="198"/>
      <c r="BG19" s="198"/>
      <c r="BH19" s="198"/>
      <c r="BI19" s="198"/>
      <c r="BJ19" s="198"/>
      <c r="BK19" s="198"/>
      <c r="BL19" s="198"/>
      <c r="BM19" s="198"/>
      <c r="BN19" s="198"/>
      <c r="BO19" s="198"/>
      <c r="BP19" s="198"/>
      <c r="BQ19" s="198"/>
      <c r="BR19" s="198"/>
      <c r="BS19" s="198"/>
      <c r="BT19" s="198"/>
      <c r="BU19" s="198"/>
      <c r="BV19" s="198"/>
      <c r="BW19" s="198"/>
      <c r="BX19" s="198"/>
      <c r="BY19" s="198"/>
      <c r="BZ19" s="198"/>
      <c r="CA19" s="198"/>
      <c r="CB19" s="198"/>
      <c r="CC19" s="198"/>
      <c r="CD19" s="198"/>
      <c r="CE19" s="198"/>
      <c r="CF19" s="198"/>
      <c r="CG19" s="198"/>
      <c r="CH19" s="198"/>
      <c r="CI19" s="198"/>
      <c r="CJ19" s="198"/>
      <c r="CK19" s="198"/>
      <c r="CL19" s="198"/>
      <c r="CM19" s="198"/>
      <c r="CN19" s="198"/>
      <c r="CO19" s="198"/>
      <c r="CP19" s="198"/>
      <c r="CQ19" s="198"/>
      <c r="CR19" s="198"/>
      <c r="CS19" s="198"/>
      <c r="CT19" s="198"/>
      <c r="CU19" s="198"/>
      <c r="CV19" s="198"/>
      <c r="CW19" s="198"/>
      <c r="CX19" s="198"/>
      <c r="CY19" s="198"/>
      <c r="CZ19" s="198"/>
      <c r="DA19" s="198"/>
      <c r="DB19" s="198"/>
      <c r="DC19" s="198"/>
      <c r="DD19" s="198"/>
      <c r="DE19" s="198"/>
      <c r="DF19" s="198"/>
      <c r="DG19" s="198"/>
      <c r="DH19" s="198"/>
      <c r="DI19" s="198"/>
      <c r="DJ19" s="198"/>
      <c r="DK19" s="198"/>
      <c r="DL19" s="198"/>
      <c r="DM19" s="198"/>
      <c r="DN19" s="198"/>
      <c r="DO19" s="198"/>
      <c r="DP19" s="198"/>
      <c r="DQ19" s="198"/>
      <c r="DR19" s="198"/>
      <c r="DS19" s="198"/>
      <c r="DT19" s="198"/>
      <c r="DU19" s="198"/>
      <c r="DV19" s="198"/>
      <c r="DW19" s="198"/>
      <c r="DX19" s="198"/>
      <c r="DY19" s="198"/>
      <c r="DZ19" s="198"/>
      <c r="EA19" s="198"/>
      <c r="EB19" s="198"/>
      <c r="EC19" s="198"/>
      <c r="ED19" s="198"/>
      <c r="EE19" s="198"/>
      <c r="EF19" s="198"/>
      <c r="EG19" s="198"/>
      <c r="EH19" s="198"/>
      <c r="EI19" s="198"/>
      <c r="EJ19" s="198"/>
      <c r="EK19" s="198"/>
      <c r="EL19" s="198"/>
      <c r="EM19" s="198"/>
      <c r="EN19" s="198"/>
      <c r="EO19" s="198"/>
      <c r="EP19" s="198"/>
      <c r="EQ19" s="198"/>
      <c r="ER19" s="198"/>
      <c r="ES19" s="198"/>
      <c r="ET19" s="198"/>
      <c r="EU19" s="198"/>
      <c r="EV19" s="198"/>
      <c r="EW19" s="198"/>
      <c r="EX19" s="198"/>
      <c r="EY19" s="198"/>
      <c r="EZ19" s="198"/>
      <c r="FA19" s="198"/>
      <c r="FB19" s="198"/>
      <c r="FC19" s="198"/>
      <c r="FD19" s="198"/>
      <c r="FE19" s="198"/>
      <c r="FF19" s="198"/>
      <c r="FG19" s="198"/>
      <c r="FH19" s="198"/>
      <c r="FI19" s="198"/>
      <c r="FJ19" s="198"/>
      <c r="FK19" s="198"/>
      <c r="FL19" s="198"/>
      <c r="FM19" s="198"/>
      <c r="FN19" s="198"/>
      <c r="FO19" s="198"/>
      <c r="FP19" s="198"/>
      <c r="FQ19" s="198"/>
      <c r="FR19" s="198"/>
      <c r="FS19" s="198"/>
      <c r="FT19" s="198"/>
      <c r="FU19" s="198"/>
      <c r="FV19" s="198"/>
      <c r="FW19" s="198"/>
      <c r="FX19" s="198"/>
      <c r="FY19" s="198"/>
      <c r="FZ19" s="198"/>
      <c r="GA19" s="198"/>
      <c r="GB19" s="198"/>
      <c r="GC19" s="198"/>
      <c r="GD19" s="198"/>
      <c r="GE19" s="198"/>
      <c r="GF19" s="198"/>
      <c r="GG19" s="198"/>
      <c r="GH19" s="198"/>
      <c r="GI19" s="198"/>
      <c r="GJ19" s="198"/>
      <c r="GK19" s="198"/>
      <c r="GL19" s="198"/>
      <c r="GM19" s="198"/>
      <c r="GN19" s="198"/>
      <c r="GO19" s="198"/>
      <c r="GP19" s="198"/>
      <c r="GQ19" s="198"/>
      <c r="GR19" s="198"/>
      <c r="GS19" s="198"/>
      <c r="GT19" s="198"/>
      <c r="GU19" s="198"/>
      <c r="GV19" s="198"/>
      <c r="GW19" s="198"/>
      <c r="GX19" s="198"/>
      <c r="GY19" s="198"/>
      <c r="GZ19" s="198"/>
      <c r="HA19" s="198"/>
      <c r="HB19" s="198"/>
      <c r="HC19" s="198"/>
      <c r="HD19" s="198"/>
      <c r="HE19" s="198"/>
      <c r="HF19" s="198"/>
      <c r="HG19" s="198"/>
      <c r="HH19" s="198"/>
      <c r="HI19" s="198"/>
      <c r="HJ19" s="198"/>
      <c r="HK19" s="198"/>
      <c r="HL19" s="198"/>
      <c r="HM19" s="198"/>
      <c r="HN19" s="198"/>
      <c r="HO19" s="198"/>
      <c r="HP19" s="198"/>
      <c r="HQ19" s="198"/>
      <c r="HR19" s="198"/>
      <c r="HS19" s="198"/>
      <c r="HT19" s="198"/>
      <c r="HU19" s="198"/>
      <c r="HV19" s="198"/>
      <c r="HW19" s="198"/>
      <c r="HX19" s="198"/>
      <c r="HY19" s="198"/>
      <c r="HZ19" s="198"/>
      <c r="IA19" s="198"/>
      <c r="IB19" s="198"/>
      <c r="IC19" s="198"/>
      <c r="ID19" s="198"/>
      <c r="IE19" s="198"/>
      <c r="IF19" s="198"/>
      <c r="IG19" s="198"/>
      <c r="IH19" s="198"/>
      <c r="II19" s="198"/>
      <c r="IJ19" s="198"/>
      <c r="IK19" s="198"/>
      <c r="IL19" s="198"/>
      <c r="IM19" s="198"/>
      <c r="IN19" s="198"/>
      <c r="IO19" s="198"/>
      <c r="IP19" s="198"/>
      <c r="IQ19" s="198"/>
      <c r="IR19" s="198"/>
      <c r="IS19" s="198"/>
      <c r="IT19" s="198"/>
      <c r="IU19" s="198"/>
      <c r="IV19" s="198"/>
      <c r="IW19" s="198"/>
      <c r="IX19" s="198"/>
      <c r="IY19" s="198"/>
      <c r="IZ19" s="198"/>
      <c r="JA19" s="198"/>
      <c r="JB19" s="198"/>
      <c r="JC19" s="198"/>
      <c r="JD19" s="198"/>
      <c r="JE19" s="198"/>
      <c r="JF19" s="198"/>
      <c r="JG19" s="198"/>
      <c r="JH19" s="198"/>
      <c r="JI19" s="198"/>
      <c r="JJ19" s="198"/>
      <c r="JK19" s="198"/>
      <c r="JL19" s="198"/>
      <c r="JM19" s="198"/>
      <c r="JN19" s="198"/>
      <c r="JO19" s="198"/>
      <c r="JP19" s="198"/>
      <c r="JQ19" s="198"/>
      <c r="JR19" s="198"/>
      <c r="JS19" s="198"/>
      <c r="JT19" s="198"/>
      <c r="JU19" s="198"/>
      <c r="JV19" s="198"/>
      <c r="JW19" s="198"/>
      <c r="JX19" s="198"/>
      <c r="JY19" s="198"/>
      <c r="JZ19" s="198"/>
      <c r="KA19" s="198"/>
      <c r="KB19" s="198"/>
      <c r="KC19" s="198"/>
      <c r="KD19" s="198"/>
      <c r="KE19" s="198"/>
      <c r="KF19" s="198"/>
      <c r="KG19" s="198"/>
      <c r="KH19" s="198"/>
      <c r="KI19" s="198"/>
      <c r="KJ19" s="198"/>
      <c r="KK19" s="198"/>
      <c r="KL19" s="198"/>
      <c r="KM19" s="198"/>
      <c r="KN19" s="198"/>
      <c r="KO19" s="198"/>
      <c r="KP19" s="198"/>
      <c r="KQ19" s="198"/>
      <c r="KR19" s="198"/>
      <c r="KS19" s="198"/>
      <c r="KT19" s="198"/>
      <c r="KU19" s="198"/>
      <c r="KV19" s="198"/>
      <c r="KW19" s="198"/>
      <c r="KX19" s="198"/>
      <c r="KY19" s="198"/>
      <c r="KZ19" s="198"/>
      <c r="LA19" s="198"/>
      <c r="LB19" s="198"/>
      <c r="LC19" s="198"/>
      <c r="LD19" s="198"/>
      <c r="LE19" s="198"/>
      <c r="LF19" s="198"/>
      <c r="LG19" s="198"/>
      <c r="LH19" s="198"/>
      <c r="LI19" s="198"/>
      <c r="LJ19" s="198"/>
      <c r="LK19" s="198"/>
      <c r="LL19" s="198"/>
      <c r="LM19" s="198"/>
      <c r="LN19" s="198"/>
      <c r="LO19" s="198"/>
      <c r="LP19" s="198"/>
      <c r="LQ19" s="198"/>
      <c r="LR19" s="198"/>
      <c r="LS19" s="198"/>
      <c r="LT19" s="198"/>
      <c r="LU19" s="198"/>
      <c r="LV19" s="198"/>
      <c r="LW19" s="198"/>
      <c r="LX19" s="198"/>
      <c r="LY19" s="198"/>
      <c r="LZ19" s="198"/>
      <c r="MA19" s="198"/>
      <c r="MB19" s="198"/>
      <c r="MC19" s="198"/>
      <c r="MD19" s="198"/>
      <c r="ME19" s="198"/>
      <c r="MF19" s="198"/>
      <c r="MG19" s="198"/>
      <c r="MH19" s="198"/>
      <c r="MI19" s="198"/>
      <c r="MJ19" s="198"/>
      <c r="MK19" s="198"/>
      <c r="ML19" s="198"/>
      <c r="MM19" s="198"/>
      <c r="MN19" s="198"/>
      <c r="MO19" s="198"/>
      <c r="MP19" s="198"/>
      <c r="MQ19" s="198"/>
      <c r="MR19" s="198"/>
      <c r="MS19" s="198"/>
      <c r="MT19" s="198"/>
      <c r="MU19" s="198"/>
      <c r="MV19" s="198"/>
      <c r="MW19" s="198"/>
      <c r="MX19" s="198"/>
      <c r="MY19" s="198"/>
      <c r="MZ19" s="198"/>
      <c r="NA19" s="198"/>
      <c r="NB19" s="198"/>
      <c r="NC19" s="198"/>
      <c r="ND19" s="198"/>
      <c r="NE19" s="198"/>
      <c r="NF19" s="198"/>
      <c r="NG19" s="198"/>
      <c r="NH19" s="198"/>
      <c r="NI19" s="198"/>
      <c r="NJ19" s="198"/>
      <c r="NK19" s="198"/>
      <c r="NL19" s="198"/>
      <c r="NM19" s="198"/>
      <c r="NN19" s="198"/>
      <c r="NO19" s="198"/>
      <c r="NP19" s="198"/>
      <c r="NQ19" s="198"/>
      <c r="NR19" s="198"/>
      <c r="NS19" s="198"/>
      <c r="NT19" s="198"/>
      <c r="NU19" s="198"/>
      <c r="NV19" s="198"/>
      <c r="NW19" s="198"/>
      <c r="NX19" s="198"/>
      <c r="NY19" s="198"/>
      <c r="NZ19" s="198"/>
      <c r="OA19" s="198"/>
      <c r="OB19" s="198"/>
      <c r="OC19" s="198"/>
      <c r="OD19" s="198"/>
      <c r="OE19" s="198"/>
      <c r="OF19" s="198"/>
      <c r="OG19" s="198"/>
      <c r="OH19" s="198"/>
      <c r="OI19" s="198"/>
      <c r="OJ19" s="198"/>
      <c r="OK19" s="198"/>
      <c r="OL19" s="198"/>
      <c r="OM19" s="198"/>
      <c r="ON19" s="198"/>
      <c r="OO19" s="198"/>
      <c r="OP19" s="198"/>
      <c r="OQ19" s="198"/>
      <c r="OR19" s="198"/>
      <c r="OS19" s="198"/>
      <c r="OT19" s="198"/>
      <c r="OU19" s="198"/>
      <c r="OV19" s="198"/>
      <c r="OW19" s="198"/>
      <c r="OX19" s="198"/>
      <c r="OY19" s="198"/>
      <c r="OZ19" s="198"/>
      <c r="PA19" s="198"/>
      <c r="PB19" s="198"/>
      <c r="PC19" s="198"/>
      <c r="PD19" s="198"/>
      <c r="PE19" s="198"/>
      <c r="PF19" s="198"/>
      <c r="PG19" s="198"/>
      <c r="PH19" s="198"/>
      <c r="PI19" s="198"/>
      <c r="PJ19" s="198"/>
      <c r="PK19" s="198"/>
      <c r="PL19" s="198"/>
      <c r="PM19" s="198"/>
      <c r="PN19" s="198"/>
      <c r="PO19" s="198"/>
      <c r="PP19" s="198"/>
      <c r="PQ19" s="198"/>
      <c r="PR19" s="198"/>
      <c r="PS19" s="198"/>
      <c r="PT19" s="198"/>
      <c r="PU19" s="198"/>
      <c r="PV19" s="198"/>
      <c r="PW19" s="198"/>
      <c r="PX19" s="198"/>
      <c r="PY19" s="198"/>
      <c r="PZ19" s="198"/>
      <c r="QA19" s="198"/>
      <c r="QB19" s="198"/>
      <c r="QC19" s="198"/>
      <c r="QD19" s="198"/>
      <c r="QE19" s="198"/>
      <c r="QF19" s="198"/>
      <c r="QG19" s="198"/>
      <c r="QH19" s="198"/>
      <c r="QI19" s="198"/>
      <c r="QJ19" s="198"/>
      <c r="QK19" s="198"/>
      <c r="QL19" s="198"/>
      <c r="QM19" s="198"/>
      <c r="QN19" s="198"/>
      <c r="QO19" s="198"/>
      <c r="QP19" s="198"/>
      <c r="QQ19" s="198"/>
      <c r="QR19" s="198"/>
      <c r="QS19" s="198"/>
      <c r="QT19" s="198"/>
      <c r="QU19" s="198"/>
      <c r="QV19" s="198"/>
      <c r="QW19" s="198"/>
      <c r="QX19" s="198"/>
      <c r="QY19" s="198"/>
      <c r="QZ19" s="198"/>
      <c r="RA19" s="198"/>
      <c r="RB19" s="198"/>
      <c r="RC19" s="198"/>
      <c r="RD19" s="198"/>
      <c r="RE19" s="198"/>
      <c r="RF19" s="198"/>
      <c r="RG19" s="198"/>
      <c r="RH19" s="198"/>
      <c r="RI19" s="198"/>
      <c r="RJ19" s="198"/>
      <c r="RK19" s="198"/>
      <c r="RL19" s="198"/>
      <c r="RM19" s="198"/>
      <c r="RN19" s="198"/>
      <c r="RO19" s="198"/>
      <c r="RP19" s="198"/>
      <c r="RQ19" s="198"/>
      <c r="RR19" s="198"/>
      <c r="RS19" s="198"/>
      <c r="RT19" s="198"/>
      <c r="RU19" s="198"/>
      <c r="RV19" s="198"/>
      <c r="RW19" s="198"/>
      <c r="RX19" s="198"/>
      <c r="RY19" s="198"/>
      <c r="RZ19" s="198"/>
      <c r="SA19" s="198"/>
      <c r="SB19" s="198"/>
      <c r="SC19" s="198"/>
      <c r="SD19" s="198"/>
      <c r="SE19" s="198"/>
      <c r="SF19" s="198"/>
      <c r="SG19" s="198"/>
    </row>
    <row r="20" spans="1:501" ht="40.049999999999997" customHeight="1" x14ac:dyDescent="0.3">
      <c r="A20" s="541" t="s">
        <v>112</v>
      </c>
      <c r="B20" s="952" t="s">
        <v>113</v>
      </c>
      <c r="C20" s="950">
        <f>'MANZ. A'!H22</f>
        <v>0</v>
      </c>
      <c r="D20" s="861"/>
      <c r="E20" s="862">
        <f>'MANZ. B'!R20</f>
        <v>5</v>
      </c>
      <c r="F20" s="861"/>
      <c r="G20" s="863" t="e">
        <f>MANZ.C!#REF!</f>
        <v>#REF!</v>
      </c>
      <c r="H20" s="861"/>
      <c r="I20" s="863" t="e">
        <f>MANZ.D!#REF!</f>
        <v>#REF!</v>
      </c>
      <c r="J20" s="861"/>
      <c r="K20" s="863" t="e">
        <f>MANZ.E!#REF!</f>
        <v>#REF!</v>
      </c>
      <c r="L20" s="861"/>
      <c r="M20" s="863" t="e">
        <f>MANZ.F!#REF!</f>
        <v>#REF!</v>
      </c>
      <c r="N20" s="861"/>
      <c r="O20" s="862" t="e">
        <f>MANZ.G!#REF!</f>
        <v>#REF!</v>
      </c>
      <c r="P20" s="861"/>
      <c r="Q20" s="863" t="e">
        <f>MANZ.H!#REF!</f>
        <v>#REF!</v>
      </c>
      <c r="R20" s="861"/>
      <c r="S20" s="863" t="e">
        <f>MANZ.I!#REF!</f>
        <v>#REF!</v>
      </c>
      <c r="T20" s="861"/>
      <c r="U20" s="863" t="e">
        <f>MANZ.J!#REF!</f>
        <v>#REF!</v>
      </c>
      <c r="V20" s="861"/>
      <c r="W20" s="863" t="e">
        <f>MANZ.K!#REF!</f>
        <v>#REF!</v>
      </c>
      <c r="X20" s="861"/>
      <c r="Y20" s="863" t="e">
        <f>MANZ.L!#REF!</f>
        <v>#REF!</v>
      </c>
      <c r="Z20" s="861"/>
      <c r="AA20" s="863">
        <f>'SALA MULTIUSO'!F19</f>
        <v>0</v>
      </c>
      <c r="AB20" s="864"/>
      <c r="AC20" s="864"/>
      <c r="AD20" s="864"/>
      <c r="AE20" s="864"/>
      <c r="AF20" s="861"/>
      <c r="AG20" s="865" t="e">
        <f>SUM(C20:AF20)</f>
        <v>#REF!</v>
      </c>
      <c r="AH20" s="866"/>
      <c r="AI20" s="198"/>
      <c r="AJ20" s="198"/>
      <c r="AK20" s="198"/>
      <c r="AL20" s="198"/>
      <c r="AM20" s="198"/>
      <c r="AN20" s="198"/>
      <c r="AO20" s="198"/>
      <c r="AP20" s="198"/>
      <c r="AQ20" s="198"/>
      <c r="AR20" s="198"/>
      <c r="AS20" s="198"/>
      <c r="AT20" s="198"/>
      <c r="AU20" s="198"/>
      <c r="AV20" s="198"/>
      <c r="AW20" s="198"/>
      <c r="AX20" s="198"/>
      <c r="AY20" s="198"/>
      <c r="AZ20" s="198"/>
      <c r="BA20" s="198"/>
      <c r="BB20" s="198"/>
      <c r="BC20" s="198"/>
      <c r="BD20" s="198"/>
      <c r="BE20" s="198"/>
      <c r="BF20" s="198"/>
      <c r="BG20" s="198"/>
      <c r="BH20" s="198"/>
      <c r="BI20" s="198"/>
      <c r="BJ20" s="198"/>
      <c r="BK20" s="198"/>
      <c r="BL20" s="198"/>
      <c r="BM20" s="198"/>
      <c r="BN20" s="198"/>
      <c r="BO20" s="198"/>
      <c r="BP20" s="198"/>
      <c r="BQ20" s="198"/>
      <c r="BR20" s="198"/>
      <c r="BS20" s="198"/>
      <c r="BT20" s="198"/>
      <c r="BU20" s="198"/>
      <c r="BV20" s="198"/>
      <c r="BW20" s="198"/>
      <c r="BX20" s="198"/>
      <c r="BY20" s="198"/>
      <c r="BZ20" s="198"/>
      <c r="CA20" s="198"/>
      <c r="CB20" s="198"/>
      <c r="CC20" s="198"/>
      <c r="CD20" s="198"/>
      <c r="CE20" s="198"/>
      <c r="CF20" s="198"/>
      <c r="CG20" s="198"/>
      <c r="CH20" s="198"/>
      <c r="CI20" s="198"/>
      <c r="CJ20" s="198"/>
      <c r="CK20" s="198"/>
      <c r="CL20" s="198"/>
      <c r="CM20" s="198"/>
      <c r="CN20" s="198"/>
      <c r="CO20" s="198"/>
      <c r="CP20" s="198"/>
      <c r="CQ20" s="198"/>
      <c r="CR20" s="198"/>
      <c r="CS20" s="198"/>
      <c r="CT20" s="198"/>
      <c r="CU20" s="198"/>
      <c r="CV20" s="198"/>
      <c r="CW20" s="198"/>
      <c r="CX20" s="198"/>
      <c r="CY20" s="198"/>
      <c r="CZ20" s="198"/>
      <c r="DA20" s="198"/>
      <c r="DB20" s="198"/>
      <c r="DC20" s="198"/>
      <c r="DD20" s="198"/>
      <c r="DE20" s="198"/>
      <c r="DF20" s="198"/>
      <c r="DG20" s="198"/>
      <c r="DH20" s="198"/>
      <c r="DI20" s="198"/>
      <c r="DJ20" s="198"/>
      <c r="DK20" s="198"/>
      <c r="DL20" s="198"/>
      <c r="DM20" s="198"/>
      <c r="DN20" s="198"/>
      <c r="DO20" s="198"/>
      <c r="DP20" s="198"/>
      <c r="DQ20" s="198"/>
      <c r="DR20" s="198"/>
      <c r="DS20" s="198"/>
      <c r="DT20" s="198"/>
      <c r="DU20" s="198"/>
      <c r="DV20" s="198"/>
      <c r="DW20" s="198"/>
      <c r="DX20" s="198"/>
      <c r="DY20" s="198"/>
      <c r="DZ20" s="198"/>
      <c r="EA20" s="198"/>
      <c r="EB20" s="198"/>
      <c r="EC20" s="198"/>
      <c r="ED20" s="198"/>
      <c r="EE20" s="198"/>
      <c r="EF20" s="198"/>
      <c r="EG20" s="198"/>
      <c r="EH20" s="198"/>
      <c r="EI20" s="198"/>
      <c r="EJ20" s="198"/>
      <c r="EK20" s="198"/>
      <c r="EL20" s="198"/>
      <c r="EM20" s="198"/>
      <c r="EN20" s="198"/>
      <c r="EO20" s="198"/>
      <c r="EP20" s="198"/>
      <c r="EQ20" s="198"/>
      <c r="ER20" s="198"/>
      <c r="ES20" s="198"/>
      <c r="ET20" s="198"/>
      <c r="EU20" s="198"/>
      <c r="EV20" s="198"/>
      <c r="EW20" s="198"/>
      <c r="EX20" s="198"/>
      <c r="EY20" s="198"/>
      <c r="EZ20" s="198"/>
      <c r="FA20" s="198"/>
      <c r="FB20" s="198"/>
      <c r="FC20" s="198"/>
      <c r="FD20" s="198"/>
      <c r="FE20" s="198"/>
      <c r="FF20" s="198"/>
      <c r="FG20" s="198"/>
      <c r="FH20" s="198"/>
      <c r="FI20" s="198"/>
      <c r="FJ20" s="198"/>
      <c r="FK20" s="198"/>
      <c r="FL20" s="198"/>
      <c r="FM20" s="198"/>
      <c r="FN20" s="198"/>
      <c r="FO20" s="198"/>
      <c r="FP20" s="198"/>
      <c r="FQ20" s="198"/>
      <c r="FR20" s="198"/>
      <c r="FS20" s="198"/>
      <c r="FT20" s="198"/>
      <c r="FU20" s="198"/>
      <c r="FV20" s="198"/>
      <c r="FW20" s="198"/>
      <c r="FX20" s="198"/>
      <c r="FY20" s="198"/>
      <c r="FZ20" s="198"/>
      <c r="GA20" s="198"/>
      <c r="GB20" s="198"/>
      <c r="GC20" s="198"/>
      <c r="GD20" s="198"/>
      <c r="GE20" s="198"/>
      <c r="GF20" s="198"/>
      <c r="GG20" s="198"/>
      <c r="GH20" s="198"/>
      <c r="GI20" s="198"/>
      <c r="GJ20" s="198"/>
      <c r="GK20" s="198"/>
      <c r="GL20" s="198"/>
      <c r="GM20" s="198"/>
      <c r="GN20" s="198"/>
      <c r="GO20" s="198"/>
      <c r="GP20" s="198"/>
      <c r="GQ20" s="198"/>
      <c r="GR20" s="198"/>
      <c r="GS20" s="198"/>
      <c r="GT20" s="198"/>
      <c r="GU20" s="198"/>
      <c r="GV20" s="198"/>
      <c r="GW20" s="198"/>
      <c r="GX20" s="198"/>
      <c r="GY20" s="198"/>
      <c r="GZ20" s="198"/>
      <c r="HA20" s="198"/>
      <c r="HB20" s="198"/>
      <c r="HC20" s="198"/>
      <c r="HD20" s="198"/>
      <c r="HE20" s="198"/>
      <c r="HF20" s="198"/>
      <c r="HG20" s="198"/>
      <c r="HH20" s="198"/>
      <c r="HI20" s="198"/>
      <c r="HJ20" s="198"/>
      <c r="HK20" s="198"/>
      <c r="HL20" s="198"/>
      <c r="HM20" s="198"/>
      <c r="HN20" s="198"/>
      <c r="HO20" s="198"/>
      <c r="HP20" s="198"/>
      <c r="HQ20" s="198"/>
      <c r="HR20" s="198"/>
      <c r="HS20" s="198"/>
      <c r="HT20" s="198"/>
      <c r="HU20" s="198"/>
      <c r="HV20" s="198"/>
      <c r="HW20" s="198"/>
      <c r="HX20" s="198"/>
      <c r="HY20" s="198"/>
      <c r="HZ20" s="198"/>
      <c r="IA20" s="198"/>
      <c r="IB20" s="198"/>
      <c r="IC20" s="198"/>
      <c r="ID20" s="198"/>
      <c r="IE20" s="198"/>
      <c r="IF20" s="198"/>
      <c r="IG20" s="198"/>
      <c r="IH20" s="198"/>
      <c r="II20" s="198"/>
      <c r="IJ20" s="198"/>
      <c r="IK20" s="198"/>
      <c r="IL20" s="198"/>
      <c r="IM20" s="198"/>
      <c r="IN20" s="198"/>
      <c r="IO20" s="198"/>
      <c r="IP20" s="198"/>
      <c r="IQ20" s="198"/>
      <c r="IR20" s="198"/>
      <c r="IS20" s="198"/>
      <c r="IT20" s="198"/>
      <c r="IU20" s="198"/>
      <c r="IV20" s="198"/>
      <c r="IW20" s="198"/>
      <c r="IX20" s="198"/>
      <c r="IY20" s="198"/>
      <c r="IZ20" s="198"/>
      <c r="JA20" s="198"/>
      <c r="JB20" s="198"/>
      <c r="JC20" s="198"/>
      <c r="JD20" s="198"/>
      <c r="JE20" s="198"/>
      <c r="JF20" s="198"/>
      <c r="JG20" s="198"/>
      <c r="JH20" s="198"/>
      <c r="JI20" s="198"/>
      <c r="JJ20" s="198"/>
      <c r="JK20" s="198"/>
      <c r="JL20" s="198"/>
      <c r="JM20" s="198"/>
      <c r="JN20" s="198"/>
      <c r="JO20" s="198"/>
      <c r="JP20" s="198"/>
      <c r="JQ20" s="198"/>
      <c r="JR20" s="198"/>
      <c r="JS20" s="198"/>
      <c r="JT20" s="198"/>
      <c r="JU20" s="198"/>
      <c r="JV20" s="198"/>
      <c r="JW20" s="198"/>
      <c r="JX20" s="198"/>
      <c r="JY20" s="198"/>
      <c r="JZ20" s="198"/>
      <c r="KA20" s="198"/>
      <c r="KB20" s="198"/>
      <c r="KC20" s="198"/>
      <c r="KD20" s="198"/>
      <c r="KE20" s="198"/>
      <c r="KF20" s="198"/>
      <c r="KG20" s="198"/>
      <c r="KH20" s="198"/>
      <c r="KI20" s="198"/>
      <c r="KJ20" s="198"/>
      <c r="KK20" s="198"/>
      <c r="KL20" s="198"/>
      <c r="KM20" s="198"/>
      <c r="KN20" s="198"/>
      <c r="KO20" s="198"/>
      <c r="KP20" s="198"/>
      <c r="KQ20" s="198"/>
      <c r="KR20" s="198"/>
      <c r="KS20" s="198"/>
      <c r="KT20" s="198"/>
      <c r="KU20" s="198"/>
      <c r="KV20" s="198"/>
      <c r="KW20" s="198"/>
      <c r="KX20" s="198"/>
      <c r="KY20" s="198"/>
      <c r="KZ20" s="198"/>
      <c r="LA20" s="198"/>
      <c r="LB20" s="198"/>
      <c r="LC20" s="198"/>
      <c r="LD20" s="198"/>
      <c r="LE20" s="198"/>
      <c r="LF20" s="198"/>
      <c r="LG20" s="198"/>
      <c r="LH20" s="198"/>
      <c r="LI20" s="198"/>
      <c r="LJ20" s="198"/>
      <c r="LK20" s="198"/>
      <c r="LL20" s="198"/>
      <c r="LM20" s="198"/>
      <c r="LN20" s="198"/>
      <c r="LO20" s="198"/>
      <c r="LP20" s="198"/>
      <c r="LQ20" s="198"/>
      <c r="LR20" s="198"/>
      <c r="LS20" s="198"/>
      <c r="LT20" s="198"/>
      <c r="LU20" s="198"/>
      <c r="LV20" s="198"/>
      <c r="LW20" s="198"/>
      <c r="LX20" s="198"/>
      <c r="LY20" s="198"/>
      <c r="LZ20" s="198"/>
      <c r="MA20" s="198"/>
      <c r="MB20" s="198"/>
      <c r="MC20" s="198"/>
      <c r="MD20" s="198"/>
      <c r="ME20" s="198"/>
      <c r="MF20" s="198"/>
      <c r="MG20" s="198"/>
      <c r="MH20" s="198"/>
      <c r="MI20" s="198"/>
      <c r="MJ20" s="198"/>
      <c r="MK20" s="198"/>
      <c r="ML20" s="198"/>
      <c r="MM20" s="198"/>
      <c r="MN20" s="198"/>
      <c r="MO20" s="198"/>
      <c r="MP20" s="198"/>
      <c r="MQ20" s="198"/>
      <c r="MR20" s="198"/>
      <c r="MS20" s="198"/>
      <c r="MT20" s="198"/>
      <c r="MU20" s="198"/>
      <c r="MV20" s="198"/>
      <c r="MW20" s="198"/>
      <c r="MX20" s="198"/>
      <c r="MY20" s="198"/>
      <c r="MZ20" s="198"/>
      <c r="NA20" s="198"/>
      <c r="NB20" s="198"/>
      <c r="NC20" s="198"/>
      <c r="ND20" s="198"/>
      <c r="NE20" s="198"/>
      <c r="NF20" s="198"/>
      <c r="NG20" s="198"/>
      <c r="NH20" s="198"/>
      <c r="NI20" s="198"/>
      <c r="NJ20" s="198"/>
      <c r="NK20" s="198"/>
      <c r="NL20" s="198"/>
      <c r="NM20" s="198"/>
      <c r="NN20" s="198"/>
      <c r="NO20" s="198"/>
      <c r="NP20" s="198"/>
      <c r="NQ20" s="198"/>
      <c r="NR20" s="198"/>
      <c r="NS20" s="198"/>
      <c r="NT20" s="198"/>
      <c r="NU20" s="198"/>
      <c r="NV20" s="198"/>
      <c r="NW20" s="198"/>
      <c r="NX20" s="198"/>
      <c r="NY20" s="198"/>
      <c r="NZ20" s="198"/>
      <c r="OA20" s="198"/>
      <c r="OB20" s="198"/>
      <c r="OC20" s="198"/>
      <c r="OD20" s="198"/>
      <c r="OE20" s="198"/>
      <c r="OF20" s="198"/>
      <c r="OG20" s="198"/>
      <c r="OH20" s="198"/>
      <c r="OI20" s="198"/>
      <c r="OJ20" s="198"/>
      <c r="OK20" s="198"/>
      <c r="OL20" s="198"/>
      <c r="OM20" s="198"/>
      <c r="ON20" s="198"/>
      <c r="OO20" s="198"/>
      <c r="OP20" s="198"/>
      <c r="OQ20" s="198"/>
      <c r="OR20" s="198"/>
      <c r="OS20" s="198"/>
      <c r="OT20" s="198"/>
      <c r="OU20" s="198"/>
      <c r="OV20" s="198"/>
      <c r="OW20" s="198"/>
      <c r="OX20" s="198"/>
      <c r="OY20" s="198"/>
      <c r="OZ20" s="198"/>
      <c r="PA20" s="198"/>
      <c r="PB20" s="198"/>
      <c r="PC20" s="198"/>
      <c r="PD20" s="198"/>
      <c r="PE20" s="198"/>
      <c r="PF20" s="198"/>
      <c r="PG20" s="198"/>
      <c r="PH20" s="198"/>
      <c r="PI20" s="198"/>
      <c r="PJ20" s="198"/>
      <c r="PK20" s="198"/>
      <c r="PL20" s="198"/>
      <c r="PM20" s="198"/>
      <c r="PN20" s="198"/>
      <c r="PO20" s="198"/>
      <c r="PP20" s="198"/>
      <c r="PQ20" s="198"/>
      <c r="PR20" s="198"/>
      <c r="PS20" s="198"/>
      <c r="PT20" s="198"/>
      <c r="PU20" s="198"/>
      <c r="PV20" s="198"/>
      <c r="PW20" s="198"/>
      <c r="PX20" s="198"/>
      <c r="PY20" s="198"/>
      <c r="PZ20" s="198"/>
      <c r="QA20" s="198"/>
      <c r="QB20" s="198"/>
      <c r="QC20" s="198"/>
      <c r="QD20" s="198"/>
      <c r="QE20" s="198"/>
      <c r="QF20" s="198"/>
      <c r="QG20" s="198"/>
      <c r="QH20" s="198"/>
      <c r="QI20" s="198"/>
      <c r="QJ20" s="198"/>
      <c r="QK20" s="198"/>
      <c r="QL20" s="198"/>
      <c r="QM20" s="198"/>
      <c r="QN20" s="198"/>
      <c r="QO20" s="198"/>
      <c r="QP20" s="198"/>
      <c r="QQ20" s="198"/>
      <c r="QR20" s="198"/>
      <c r="QS20" s="198"/>
      <c r="QT20" s="198"/>
      <c r="QU20" s="198"/>
      <c r="QV20" s="198"/>
      <c r="QW20" s="198"/>
      <c r="QX20" s="198"/>
      <c r="QY20" s="198"/>
      <c r="QZ20" s="198"/>
      <c r="RA20" s="198"/>
      <c r="RB20" s="198"/>
      <c r="RC20" s="198"/>
      <c r="RD20" s="198"/>
      <c r="RE20" s="198"/>
      <c r="RF20" s="198"/>
      <c r="RG20" s="198"/>
      <c r="RH20" s="198"/>
      <c r="RI20" s="198"/>
      <c r="RJ20" s="198"/>
      <c r="RK20" s="198"/>
      <c r="RL20" s="198"/>
      <c r="RM20" s="198"/>
      <c r="RN20" s="198"/>
      <c r="RO20" s="198"/>
      <c r="RP20" s="198"/>
      <c r="RQ20" s="198"/>
      <c r="RR20" s="198"/>
      <c r="RS20" s="198"/>
      <c r="RT20" s="198"/>
      <c r="RU20" s="198"/>
      <c r="RV20" s="198"/>
      <c r="RW20" s="198"/>
      <c r="RX20" s="198"/>
      <c r="RY20" s="198"/>
      <c r="RZ20" s="198"/>
      <c r="SA20" s="198"/>
      <c r="SB20" s="198"/>
      <c r="SC20" s="198"/>
      <c r="SD20" s="198"/>
      <c r="SE20" s="198"/>
      <c r="SF20" s="198"/>
      <c r="SG20" s="198"/>
    </row>
    <row r="21" spans="1:501" ht="40.049999999999997" customHeight="1" x14ac:dyDescent="0.3">
      <c r="A21" s="541" t="s">
        <v>114</v>
      </c>
      <c r="B21" s="952" t="s">
        <v>115</v>
      </c>
      <c r="C21" s="950">
        <f>'MANZ. A'!H23</f>
        <v>0</v>
      </c>
      <c r="D21" s="861"/>
      <c r="E21" s="862">
        <f>'MANZ. B'!R21</f>
        <v>5</v>
      </c>
      <c r="F21" s="861"/>
      <c r="G21" s="863" t="e">
        <f>MANZ.C!#REF!</f>
        <v>#REF!</v>
      </c>
      <c r="H21" s="861"/>
      <c r="I21" s="863" t="e">
        <f>MANZ.D!#REF!</f>
        <v>#REF!</v>
      </c>
      <c r="J21" s="861"/>
      <c r="K21" s="863" t="e">
        <f>MANZ.E!#REF!</f>
        <v>#REF!</v>
      </c>
      <c r="L21" s="861"/>
      <c r="M21" s="863" t="e">
        <f>MANZ.F!#REF!</f>
        <v>#REF!</v>
      </c>
      <c r="N21" s="861"/>
      <c r="O21" s="862" t="e">
        <f>MANZ.G!#REF!</f>
        <v>#REF!</v>
      </c>
      <c r="P21" s="861"/>
      <c r="Q21" s="863" t="e">
        <f>MANZ.H!#REF!</f>
        <v>#REF!</v>
      </c>
      <c r="R21" s="861"/>
      <c r="S21" s="863" t="e">
        <f>MANZ.I!#REF!</f>
        <v>#REF!</v>
      </c>
      <c r="T21" s="861"/>
      <c r="U21" s="863" t="e">
        <f>MANZ.J!#REF!</f>
        <v>#REF!</v>
      </c>
      <c r="V21" s="861"/>
      <c r="W21" s="863" t="e">
        <f>MANZ.K!#REF!</f>
        <v>#REF!</v>
      </c>
      <c r="X21" s="861"/>
      <c r="Y21" s="863" t="e">
        <f>MANZ.L!#REF!</f>
        <v>#REF!</v>
      </c>
      <c r="Z21" s="861"/>
      <c r="AA21" s="863">
        <f>'SALA MULTIUSO'!F20</f>
        <v>0</v>
      </c>
      <c r="AB21" s="864"/>
      <c r="AC21" s="864"/>
      <c r="AD21" s="864"/>
      <c r="AE21" s="864"/>
      <c r="AF21" s="861"/>
      <c r="AG21" s="865" t="e">
        <f>SUM(#REF!)</f>
        <v>#REF!</v>
      </c>
      <c r="AH21" s="866"/>
      <c r="AI21" s="198"/>
      <c r="AJ21" s="198"/>
      <c r="AK21" s="198"/>
      <c r="AL21" s="198"/>
      <c r="AM21" s="198"/>
      <c r="AN21" s="198"/>
      <c r="AO21" s="198"/>
      <c r="AP21" s="198"/>
      <c r="AQ21" s="198"/>
      <c r="AR21" s="198"/>
      <c r="AS21" s="198"/>
      <c r="AT21" s="198"/>
      <c r="AU21" s="198"/>
      <c r="AV21" s="198"/>
      <c r="AW21" s="198"/>
      <c r="AX21" s="198"/>
      <c r="AY21" s="198"/>
      <c r="AZ21" s="198"/>
      <c r="BA21" s="198"/>
      <c r="BB21" s="198"/>
      <c r="BC21" s="198"/>
      <c r="BD21" s="198"/>
      <c r="BE21" s="198"/>
      <c r="BF21" s="198"/>
      <c r="BG21" s="198"/>
      <c r="BH21" s="198"/>
      <c r="BI21" s="198"/>
      <c r="BJ21" s="198"/>
      <c r="BK21" s="198"/>
      <c r="BL21" s="198"/>
      <c r="BM21" s="198"/>
      <c r="BN21" s="198"/>
      <c r="BO21" s="198"/>
      <c r="BP21" s="198"/>
      <c r="BQ21" s="198"/>
      <c r="BR21" s="198"/>
      <c r="BS21" s="198"/>
      <c r="BT21" s="198"/>
      <c r="BU21" s="198"/>
      <c r="BV21" s="198"/>
      <c r="BW21" s="198"/>
      <c r="BX21" s="198"/>
      <c r="BY21" s="198"/>
      <c r="BZ21" s="198"/>
      <c r="CA21" s="198"/>
      <c r="CB21" s="198"/>
      <c r="CC21" s="198"/>
      <c r="CD21" s="198"/>
      <c r="CE21" s="198"/>
      <c r="CF21" s="198"/>
      <c r="CG21" s="198"/>
      <c r="CH21" s="198"/>
      <c r="CI21" s="198"/>
      <c r="CJ21" s="198"/>
      <c r="CK21" s="198"/>
      <c r="CL21" s="198"/>
      <c r="CM21" s="198"/>
      <c r="CN21" s="198"/>
      <c r="CO21" s="198"/>
      <c r="CP21" s="198"/>
      <c r="CQ21" s="198"/>
      <c r="CR21" s="198"/>
      <c r="CS21" s="198"/>
      <c r="CT21" s="198"/>
      <c r="CU21" s="198"/>
      <c r="CV21" s="198"/>
      <c r="CW21" s="198"/>
      <c r="CX21" s="198"/>
      <c r="CY21" s="198"/>
      <c r="CZ21" s="198"/>
      <c r="DA21" s="198"/>
      <c r="DB21" s="198"/>
      <c r="DC21" s="198"/>
      <c r="DD21" s="198"/>
      <c r="DE21" s="198"/>
      <c r="DF21" s="198"/>
      <c r="DG21" s="198"/>
      <c r="DH21" s="198"/>
      <c r="DI21" s="198"/>
      <c r="DJ21" s="198"/>
      <c r="DK21" s="198"/>
      <c r="DL21" s="198"/>
      <c r="DM21" s="198"/>
      <c r="DN21" s="198"/>
      <c r="DO21" s="198"/>
      <c r="DP21" s="198"/>
      <c r="DQ21" s="198"/>
      <c r="DR21" s="198"/>
      <c r="DS21" s="198"/>
      <c r="DT21" s="198"/>
      <c r="DU21" s="198"/>
      <c r="DV21" s="198"/>
      <c r="DW21" s="198"/>
      <c r="DX21" s="198"/>
      <c r="DY21" s="198"/>
      <c r="DZ21" s="198"/>
      <c r="EA21" s="198"/>
      <c r="EB21" s="198"/>
      <c r="EC21" s="198"/>
      <c r="ED21" s="198"/>
      <c r="EE21" s="198"/>
      <c r="EF21" s="198"/>
      <c r="EG21" s="198"/>
      <c r="EH21" s="198"/>
      <c r="EI21" s="198"/>
      <c r="EJ21" s="198"/>
      <c r="EK21" s="198"/>
      <c r="EL21" s="198"/>
      <c r="EM21" s="198"/>
      <c r="EN21" s="198"/>
      <c r="EO21" s="198"/>
      <c r="EP21" s="198"/>
      <c r="EQ21" s="198"/>
      <c r="ER21" s="198"/>
      <c r="ES21" s="198"/>
      <c r="ET21" s="198"/>
      <c r="EU21" s="198"/>
      <c r="EV21" s="198"/>
      <c r="EW21" s="198"/>
      <c r="EX21" s="198"/>
      <c r="EY21" s="198"/>
      <c r="EZ21" s="198"/>
      <c r="FA21" s="198"/>
      <c r="FB21" s="198"/>
      <c r="FC21" s="198"/>
      <c r="FD21" s="198"/>
      <c r="FE21" s="198"/>
      <c r="FF21" s="198"/>
      <c r="FG21" s="198"/>
      <c r="FH21" s="198"/>
      <c r="FI21" s="198"/>
      <c r="FJ21" s="198"/>
      <c r="FK21" s="198"/>
      <c r="FL21" s="198"/>
      <c r="FM21" s="198"/>
      <c r="FN21" s="198"/>
      <c r="FO21" s="198"/>
      <c r="FP21" s="198"/>
      <c r="FQ21" s="198"/>
      <c r="FR21" s="198"/>
      <c r="FS21" s="198"/>
      <c r="FT21" s="198"/>
      <c r="FU21" s="198"/>
      <c r="FV21" s="198"/>
      <c r="FW21" s="198"/>
      <c r="FX21" s="198"/>
      <c r="FY21" s="198"/>
      <c r="FZ21" s="198"/>
      <c r="GA21" s="198"/>
      <c r="GB21" s="198"/>
      <c r="GC21" s="198"/>
      <c r="GD21" s="198"/>
      <c r="GE21" s="198"/>
      <c r="GF21" s="198"/>
      <c r="GG21" s="198"/>
      <c r="GH21" s="198"/>
      <c r="GI21" s="198"/>
      <c r="GJ21" s="198"/>
      <c r="GK21" s="198"/>
      <c r="GL21" s="198"/>
      <c r="GM21" s="198"/>
      <c r="GN21" s="198"/>
      <c r="GO21" s="198"/>
      <c r="GP21" s="198"/>
      <c r="GQ21" s="198"/>
      <c r="GR21" s="198"/>
      <c r="GS21" s="198"/>
      <c r="GT21" s="198"/>
      <c r="GU21" s="198"/>
      <c r="GV21" s="198"/>
      <c r="GW21" s="198"/>
      <c r="GX21" s="198"/>
      <c r="GY21" s="198"/>
      <c r="GZ21" s="198"/>
      <c r="HA21" s="198"/>
      <c r="HB21" s="198"/>
      <c r="HC21" s="198"/>
      <c r="HD21" s="198"/>
      <c r="HE21" s="198"/>
      <c r="HF21" s="198"/>
      <c r="HG21" s="198"/>
      <c r="HH21" s="198"/>
      <c r="HI21" s="198"/>
      <c r="HJ21" s="198"/>
      <c r="HK21" s="198"/>
      <c r="HL21" s="198"/>
      <c r="HM21" s="198"/>
      <c r="HN21" s="198"/>
      <c r="HO21" s="198"/>
      <c r="HP21" s="198"/>
      <c r="HQ21" s="198"/>
      <c r="HR21" s="198"/>
      <c r="HS21" s="198"/>
      <c r="HT21" s="198"/>
      <c r="HU21" s="198"/>
      <c r="HV21" s="198"/>
      <c r="HW21" s="198"/>
      <c r="HX21" s="198"/>
      <c r="HY21" s="198"/>
      <c r="HZ21" s="198"/>
      <c r="IA21" s="198"/>
      <c r="IB21" s="198"/>
      <c r="IC21" s="198"/>
      <c r="ID21" s="198"/>
      <c r="IE21" s="198"/>
      <c r="IF21" s="198"/>
      <c r="IG21" s="198"/>
      <c r="IH21" s="198"/>
      <c r="II21" s="198"/>
      <c r="IJ21" s="198"/>
      <c r="IK21" s="198"/>
      <c r="IL21" s="198"/>
      <c r="IM21" s="198"/>
      <c r="IN21" s="198"/>
      <c r="IO21" s="198"/>
      <c r="IP21" s="198"/>
      <c r="IQ21" s="198"/>
      <c r="IR21" s="198"/>
      <c r="IS21" s="198"/>
      <c r="IT21" s="198"/>
      <c r="IU21" s="198"/>
      <c r="IV21" s="198"/>
      <c r="IW21" s="198"/>
      <c r="IX21" s="198"/>
      <c r="IY21" s="198"/>
      <c r="IZ21" s="198"/>
      <c r="JA21" s="198"/>
      <c r="JB21" s="198"/>
      <c r="JC21" s="198"/>
      <c r="JD21" s="198"/>
      <c r="JE21" s="198"/>
      <c r="JF21" s="198"/>
      <c r="JG21" s="198"/>
      <c r="JH21" s="198"/>
      <c r="JI21" s="198"/>
      <c r="JJ21" s="198"/>
      <c r="JK21" s="198"/>
      <c r="JL21" s="198"/>
      <c r="JM21" s="198"/>
      <c r="JN21" s="198"/>
      <c r="JO21" s="198"/>
      <c r="JP21" s="198"/>
      <c r="JQ21" s="198"/>
      <c r="JR21" s="198"/>
      <c r="JS21" s="198"/>
      <c r="JT21" s="198"/>
      <c r="JU21" s="198"/>
      <c r="JV21" s="198"/>
      <c r="JW21" s="198"/>
      <c r="JX21" s="198"/>
      <c r="JY21" s="198"/>
      <c r="JZ21" s="198"/>
      <c r="KA21" s="198"/>
      <c r="KB21" s="198"/>
      <c r="KC21" s="198"/>
      <c r="KD21" s="198"/>
      <c r="KE21" s="198"/>
      <c r="KF21" s="198"/>
      <c r="KG21" s="198"/>
      <c r="KH21" s="198"/>
      <c r="KI21" s="198"/>
      <c r="KJ21" s="198"/>
      <c r="KK21" s="198"/>
      <c r="KL21" s="198"/>
      <c r="KM21" s="198"/>
      <c r="KN21" s="198"/>
      <c r="KO21" s="198"/>
      <c r="KP21" s="198"/>
      <c r="KQ21" s="198"/>
      <c r="KR21" s="198"/>
      <c r="KS21" s="198"/>
      <c r="KT21" s="198"/>
      <c r="KU21" s="198"/>
      <c r="KV21" s="198"/>
      <c r="KW21" s="198"/>
      <c r="KX21" s="198"/>
      <c r="KY21" s="198"/>
      <c r="KZ21" s="198"/>
      <c r="LA21" s="198"/>
      <c r="LB21" s="198"/>
      <c r="LC21" s="198"/>
      <c r="LD21" s="198"/>
      <c r="LE21" s="198"/>
      <c r="LF21" s="198"/>
      <c r="LG21" s="198"/>
      <c r="LH21" s="198"/>
      <c r="LI21" s="198"/>
      <c r="LJ21" s="198"/>
      <c r="LK21" s="198"/>
      <c r="LL21" s="198"/>
      <c r="LM21" s="198"/>
      <c r="LN21" s="198"/>
      <c r="LO21" s="198"/>
      <c r="LP21" s="198"/>
      <c r="LQ21" s="198"/>
      <c r="LR21" s="198"/>
      <c r="LS21" s="198"/>
      <c r="LT21" s="198"/>
      <c r="LU21" s="198"/>
      <c r="LV21" s="198"/>
      <c r="LW21" s="198"/>
      <c r="LX21" s="198"/>
      <c r="LY21" s="198"/>
      <c r="LZ21" s="198"/>
      <c r="MA21" s="198"/>
      <c r="MB21" s="198"/>
      <c r="MC21" s="198"/>
      <c r="MD21" s="198"/>
      <c r="ME21" s="198"/>
      <c r="MF21" s="198"/>
      <c r="MG21" s="198"/>
      <c r="MH21" s="198"/>
      <c r="MI21" s="198"/>
      <c r="MJ21" s="198"/>
      <c r="MK21" s="198"/>
      <c r="ML21" s="198"/>
      <c r="MM21" s="198"/>
      <c r="MN21" s="198"/>
      <c r="MO21" s="198"/>
      <c r="MP21" s="198"/>
      <c r="MQ21" s="198"/>
      <c r="MR21" s="198"/>
      <c r="MS21" s="198"/>
      <c r="MT21" s="198"/>
      <c r="MU21" s="198"/>
      <c r="MV21" s="198"/>
      <c r="MW21" s="198"/>
      <c r="MX21" s="198"/>
      <c r="MY21" s="198"/>
      <c r="MZ21" s="198"/>
      <c r="NA21" s="198"/>
      <c r="NB21" s="198"/>
      <c r="NC21" s="198"/>
      <c r="ND21" s="198"/>
      <c r="NE21" s="198"/>
      <c r="NF21" s="198"/>
      <c r="NG21" s="198"/>
      <c r="NH21" s="198"/>
      <c r="NI21" s="198"/>
      <c r="NJ21" s="198"/>
      <c r="NK21" s="198"/>
      <c r="NL21" s="198"/>
      <c r="NM21" s="198"/>
      <c r="NN21" s="198"/>
      <c r="NO21" s="198"/>
      <c r="NP21" s="198"/>
      <c r="NQ21" s="198"/>
      <c r="NR21" s="198"/>
      <c r="NS21" s="198"/>
      <c r="NT21" s="198"/>
      <c r="NU21" s="198"/>
      <c r="NV21" s="198"/>
      <c r="NW21" s="198"/>
      <c r="NX21" s="198"/>
      <c r="NY21" s="198"/>
      <c r="NZ21" s="198"/>
      <c r="OA21" s="198"/>
      <c r="OB21" s="198"/>
      <c r="OC21" s="198"/>
      <c r="OD21" s="198"/>
      <c r="OE21" s="198"/>
      <c r="OF21" s="198"/>
      <c r="OG21" s="198"/>
      <c r="OH21" s="198"/>
      <c r="OI21" s="198"/>
      <c r="OJ21" s="198"/>
      <c r="OK21" s="198"/>
      <c r="OL21" s="198"/>
      <c r="OM21" s="198"/>
      <c r="ON21" s="198"/>
      <c r="OO21" s="198"/>
      <c r="OP21" s="198"/>
      <c r="OQ21" s="198"/>
      <c r="OR21" s="198"/>
      <c r="OS21" s="198"/>
      <c r="OT21" s="198"/>
      <c r="OU21" s="198"/>
      <c r="OV21" s="198"/>
      <c r="OW21" s="198"/>
      <c r="OX21" s="198"/>
      <c r="OY21" s="198"/>
      <c r="OZ21" s="198"/>
      <c r="PA21" s="198"/>
      <c r="PB21" s="198"/>
      <c r="PC21" s="198"/>
      <c r="PD21" s="198"/>
      <c r="PE21" s="198"/>
      <c r="PF21" s="198"/>
      <c r="PG21" s="198"/>
      <c r="PH21" s="198"/>
      <c r="PI21" s="198"/>
      <c r="PJ21" s="198"/>
      <c r="PK21" s="198"/>
      <c r="PL21" s="198"/>
      <c r="PM21" s="198"/>
      <c r="PN21" s="198"/>
      <c r="PO21" s="198"/>
      <c r="PP21" s="198"/>
      <c r="PQ21" s="198"/>
      <c r="PR21" s="198"/>
      <c r="PS21" s="198"/>
      <c r="PT21" s="198"/>
      <c r="PU21" s="198"/>
      <c r="PV21" s="198"/>
      <c r="PW21" s="198"/>
      <c r="PX21" s="198"/>
      <c r="PY21" s="198"/>
      <c r="PZ21" s="198"/>
      <c r="QA21" s="198"/>
      <c r="QB21" s="198"/>
      <c r="QC21" s="198"/>
      <c r="QD21" s="198"/>
      <c r="QE21" s="198"/>
      <c r="QF21" s="198"/>
      <c r="QG21" s="198"/>
      <c r="QH21" s="198"/>
      <c r="QI21" s="198"/>
      <c r="QJ21" s="198"/>
      <c r="QK21" s="198"/>
      <c r="QL21" s="198"/>
      <c r="QM21" s="198"/>
      <c r="QN21" s="198"/>
      <c r="QO21" s="198"/>
      <c r="QP21" s="198"/>
      <c r="QQ21" s="198"/>
      <c r="QR21" s="198"/>
      <c r="QS21" s="198"/>
      <c r="QT21" s="198"/>
      <c r="QU21" s="198"/>
      <c r="QV21" s="198"/>
      <c r="QW21" s="198"/>
      <c r="QX21" s="198"/>
      <c r="QY21" s="198"/>
      <c r="QZ21" s="198"/>
      <c r="RA21" s="198"/>
      <c r="RB21" s="198"/>
      <c r="RC21" s="198"/>
      <c r="RD21" s="198"/>
      <c r="RE21" s="198"/>
      <c r="RF21" s="198"/>
      <c r="RG21" s="198"/>
      <c r="RH21" s="198"/>
      <c r="RI21" s="198"/>
      <c r="RJ21" s="198"/>
      <c r="RK21" s="198"/>
      <c r="RL21" s="198"/>
      <c r="RM21" s="198"/>
      <c r="RN21" s="198"/>
      <c r="RO21" s="198"/>
      <c r="RP21" s="198"/>
      <c r="RQ21" s="198"/>
      <c r="RR21" s="198"/>
      <c r="RS21" s="198"/>
      <c r="RT21" s="198"/>
      <c r="RU21" s="198"/>
      <c r="RV21" s="198"/>
      <c r="RW21" s="198"/>
      <c r="RX21" s="198"/>
      <c r="RY21" s="198"/>
      <c r="RZ21" s="198"/>
      <c r="SA21" s="198"/>
      <c r="SB21" s="198"/>
      <c r="SC21" s="198"/>
      <c r="SD21" s="198"/>
      <c r="SE21" s="198"/>
      <c r="SF21" s="198"/>
      <c r="SG21" s="198"/>
    </row>
    <row r="22" spans="1:501" ht="40.049999999999997" customHeight="1" x14ac:dyDescent="0.3">
      <c r="A22" s="541" t="s">
        <v>116</v>
      </c>
      <c r="B22" s="952" t="s">
        <v>117</v>
      </c>
      <c r="C22" s="950">
        <f>'MANZ. A'!H24</f>
        <v>0</v>
      </c>
      <c r="D22" s="861"/>
      <c r="E22" s="862">
        <f>'MANZ. B'!R22</f>
        <v>5</v>
      </c>
      <c r="F22" s="861"/>
      <c r="G22" s="863" t="e">
        <f>MANZ.C!#REF!</f>
        <v>#REF!</v>
      </c>
      <c r="H22" s="861"/>
      <c r="I22" s="863" t="e">
        <f>MANZ.D!#REF!</f>
        <v>#REF!</v>
      </c>
      <c r="J22" s="861"/>
      <c r="K22" s="863" t="e">
        <f>MANZ.E!#REF!</f>
        <v>#REF!</v>
      </c>
      <c r="L22" s="861"/>
      <c r="M22" s="863" t="e">
        <f>MANZ.F!#REF!</f>
        <v>#REF!</v>
      </c>
      <c r="N22" s="861"/>
      <c r="O22" s="862" t="e">
        <f>MANZ.G!#REF!</f>
        <v>#REF!</v>
      </c>
      <c r="P22" s="861"/>
      <c r="Q22" s="863" t="e">
        <f>MANZ.H!#REF!</f>
        <v>#REF!</v>
      </c>
      <c r="R22" s="861"/>
      <c r="S22" s="863" t="e">
        <f>MANZ.I!#REF!</f>
        <v>#REF!</v>
      </c>
      <c r="T22" s="861"/>
      <c r="U22" s="863" t="e">
        <f>MANZ.J!#REF!</f>
        <v>#REF!</v>
      </c>
      <c r="V22" s="861"/>
      <c r="W22" s="863" t="e">
        <f>MANZ.K!#REF!</f>
        <v>#REF!</v>
      </c>
      <c r="X22" s="861"/>
      <c r="Y22" s="863" t="e">
        <f>MANZ.L!#REF!</f>
        <v>#REF!</v>
      </c>
      <c r="Z22" s="861"/>
      <c r="AA22" s="863">
        <f>'SALA MULTIUSO'!F21</f>
        <v>0</v>
      </c>
      <c r="AB22" s="864"/>
      <c r="AC22" s="864"/>
      <c r="AD22" s="864"/>
      <c r="AE22" s="864"/>
      <c r="AF22" s="861"/>
      <c r="AG22" s="865" t="e">
        <f>SUM(#REF!)</f>
        <v>#REF!</v>
      </c>
      <c r="AH22" s="866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8"/>
      <c r="AU22" s="198"/>
      <c r="AV22" s="198"/>
      <c r="AW22" s="198"/>
      <c r="AX22" s="198"/>
      <c r="AY22" s="198"/>
      <c r="AZ22" s="198"/>
      <c r="BA22" s="198"/>
      <c r="BB22" s="198"/>
      <c r="BC22" s="198"/>
      <c r="BD22" s="198"/>
      <c r="BE22" s="198"/>
      <c r="BF22" s="198"/>
      <c r="BG22" s="198"/>
      <c r="BH22" s="198"/>
      <c r="BI22" s="198"/>
      <c r="BJ22" s="198"/>
      <c r="BK22" s="198"/>
      <c r="BL22" s="198"/>
      <c r="BM22" s="198"/>
      <c r="BN22" s="198"/>
      <c r="BO22" s="198"/>
      <c r="BP22" s="198"/>
      <c r="BQ22" s="198"/>
      <c r="BR22" s="198"/>
      <c r="BS22" s="198"/>
      <c r="BT22" s="198"/>
      <c r="BU22" s="198"/>
      <c r="BV22" s="198"/>
      <c r="BW22" s="198"/>
      <c r="BX22" s="198"/>
      <c r="BY22" s="198"/>
      <c r="BZ22" s="198"/>
      <c r="CA22" s="198"/>
      <c r="CB22" s="198"/>
      <c r="CC22" s="198"/>
      <c r="CD22" s="198"/>
      <c r="CE22" s="198"/>
      <c r="CF22" s="198"/>
      <c r="CG22" s="198"/>
      <c r="CH22" s="198"/>
      <c r="CI22" s="198"/>
      <c r="CJ22" s="198"/>
      <c r="CK22" s="198"/>
      <c r="CL22" s="198"/>
      <c r="CM22" s="198"/>
      <c r="CN22" s="198"/>
      <c r="CO22" s="198"/>
      <c r="CP22" s="198"/>
      <c r="CQ22" s="198"/>
      <c r="CR22" s="198"/>
      <c r="CS22" s="198"/>
      <c r="CT22" s="198"/>
      <c r="CU22" s="198"/>
      <c r="CV22" s="198"/>
      <c r="CW22" s="198"/>
      <c r="CX22" s="198"/>
      <c r="CY22" s="198"/>
      <c r="CZ22" s="198"/>
      <c r="DA22" s="198"/>
      <c r="DB22" s="198"/>
      <c r="DC22" s="198"/>
      <c r="DD22" s="198"/>
      <c r="DE22" s="198"/>
      <c r="DF22" s="198"/>
      <c r="DG22" s="198"/>
      <c r="DH22" s="198"/>
      <c r="DI22" s="198"/>
      <c r="DJ22" s="198"/>
      <c r="DK22" s="198"/>
      <c r="DL22" s="198"/>
      <c r="DM22" s="198"/>
      <c r="DN22" s="198"/>
      <c r="DO22" s="198"/>
      <c r="DP22" s="198"/>
      <c r="DQ22" s="198"/>
      <c r="DR22" s="198"/>
      <c r="DS22" s="198"/>
      <c r="DT22" s="198"/>
      <c r="DU22" s="198"/>
      <c r="DV22" s="198"/>
      <c r="DW22" s="198"/>
      <c r="DX22" s="198"/>
      <c r="DY22" s="198"/>
      <c r="DZ22" s="198"/>
      <c r="EA22" s="198"/>
      <c r="EB22" s="198"/>
      <c r="EC22" s="198"/>
      <c r="ED22" s="198"/>
      <c r="EE22" s="198"/>
      <c r="EF22" s="198"/>
      <c r="EG22" s="198"/>
      <c r="EH22" s="198"/>
      <c r="EI22" s="198"/>
      <c r="EJ22" s="198"/>
      <c r="EK22" s="198"/>
      <c r="EL22" s="198"/>
      <c r="EM22" s="198"/>
      <c r="EN22" s="198"/>
      <c r="EO22" s="198"/>
      <c r="EP22" s="198"/>
      <c r="EQ22" s="198"/>
      <c r="ER22" s="198"/>
      <c r="ES22" s="198"/>
      <c r="ET22" s="198"/>
      <c r="EU22" s="198"/>
      <c r="EV22" s="198"/>
      <c r="EW22" s="198"/>
      <c r="EX22" s="198"/>
      <c r="EY22" s="198"/>
      <c r="EZ22" s="198"/>
      <c r="FA22" s="198"/>
      <c r="FB22" s="198"/>
      <c r="FC22" s="198"/>
      <c r="FD22" s="198"/>
      <c r="FE22" s="198"/>
      <c r="FF22" s="198"/>
      <c r="FG22" s="198"/>
      <c r="FH22" s="198"/>
      <c r="FI22" s="198"/>
      <c r="FJ22" s="198"/>
      <c r="FK22" s="198"/>
      <c r="FL22" s="198"/>
      <c r="FM22" s="198"/>
      <c r="FN22" s="198"/>
      <c r="FO22" s="198"/>
      <c r="FP22" s="198"/>
      <c r="FQ22" s="198"/>
      <c r="FR22" s="198"/>
      <c r="FS22" s="198"/>
      <c r="FT22" s="198"/>
      <c r="FU22" s="198"/>
      <c r="FV22" s="198"/>
      <c r="FW22" s="198"/>
      <c r="FX22" s="198"/>
      <c r="FY22" s="198"/>
      <c r="FZ22" s="198"/>
      <c r="GA22" s="198"/>
      <c r="GB22" s="198"/>
      <c r="GC22" s="198"/>
      <c r="GD22" s="198"/>
      <c r="GE22" s="198"/>
      <c r="GF22" s="198"/>
      <c r="GG22" s="198"/>
      <c r="GH22" s="198"/>
      <c r="GI22" s="198"/>
      <c r="GJ22" s="198"/>
      <c r="GK22" s="198"/>
      <c r="GL22" s="198"/>
      <c r="GM22" s="198"/>
      <c r="GN22" s="198"/>
      <c r="GO22" s="198"/>
      <c r="GP22" s="198"/>
      <c r="GQ22" s="198"/>
      <c r="GR22" s="198"/>
      <c r="GS22" s="198"/>
      <c r="GT22" s="198"/>
      <c r="GU22" s="198"/>
      <c r="GV22" s="198"/>
      <c r="GW22" s="198"/>
      <c r="GX22" s="198"/>
      <c r="GY22" s="198"/>
      <c r="GZ22" s="198"/>
      <c r="HA22" s="198"/>
      <c r="HB22" s="198"/>
      <c r="HC22" s="198"/>
      <c r="HD22" s="198"/>
      <c r="HE22" s="198"/>
      <c r="HF22" s="198"/>
      <c r="HG22" s="198"/>
      <c r="HH22" s="198"/>
      <c r="HI22" s="198"/>
      <c r="HJ22" s="198"/>
      <c r="HK22" s="198"/>
      <c r="HL22" s="198"/>
      <c r="HM22" s="198"/>
      <c r="HN22" s="198"/>
      <c r="HO22" s="198"/>
      <c r="HP22" s="198"/>
      <c r="HQ22" s="198"/>
      <c r="HR22" s="198"/>
      <c r="HS22" s="198"/>
      <c r="HT22" s="198"/>
      <c r="HU22" s="198"/>
      <c r="HV22" s="198"/>
      <c r="HW22" s="198"/>
      <c r="HX22" s="198"/>
      <c r="HY22" s="198"/>
      <c r="HZ22" s="198"/>
      <c r="IA22" s="198"/>
      <c r="IB22" s="198"/>
      <c r="IC22" s="198"/>
      <c r="ID22" s="198"/>
      <c r="IE22" s="198"/>
      <c r="IF22" s="198"/>
      <c r="IG22" s="198"/>
      <c r="IH22" s="198"/>
      <c r="II22" s="198"/>
      <c r="IJ22" s="198"/>
      <c r="IK22" s="198"/>
      <c r="IL22" s="198"/>
      <c r="IM22" s="198"/>
      <c r="IN22" s="198"/>
      <c r="IO22" s="198"/>
      <c r="IP22" s="198"/>
      <c r="IQ22" s="198"/>
      <c r="IR22" s="198"/>
      <c r="IS22" s="198"/>
      <c r="IT22" s="198"/>
      <c r="IU22" s="198"/>
      <c r="IV22" s="198"/>
      <c r="IW22" s="198"/>
      <c r="IX22" s="198"/>
      <c r="IY22" s="198"/>
      <c r="IZ22" s="198"/>
      <c r="JA22" s="198"/>
      <c r="JB22" s="198"/>
      <c r="JC22" s="198"/>
      <c r="JD22" s="198"/>
      <c r="JE22" s="198"/>
      <c r="JF22" s="198"/>
      <c r="JG22" s="198"/>
      <c r="JH22" s="198"/>
      <c r="JI22" s="198"/>
      <c r="JJ22" s="198"/>
      <c r="JK22" s="198"/>
      <c r="JL22" s="198"/>
      <c r="JM22" s="198"/>
      <c r="JN22" s="198"/>
      <c r="JO22" s="198"/>
      <c r="JP22" s="198"/>
      <c r="JQ22" s="198"/>
      <c r="JR22" s="198"/>
      <c r="JS22" s="198"/>
      <c r="JT22" s="198"/>
      <c r="JU22" s="198"/>
      <c r="JV22" s="198"/>
      <c r="JW22" s="198"/>
      <c r="JX22" s="198"/>
      <c r="JY22" s="198"/>
      <c r="JZ22" s="198"/>
      <c r="KA22" s="198"/>
      <c r="KB22" s="198"/>
      <c r="KC22" s="198"/>
      <c r="KD22" s="198"/>
      <c r="KE22" s="198"/>
      <c r="KF22" s="198"/>
      <c r="KG22" s="198"/>
      <c r="KH22" s="198"/>
      <c r="KI22" s="198"/>
      <c r="KJ22" s="198"/>
      <c r="KK22" s="198"/>
      <c r="KL22" s="198"/>
      <c r="KM22" s="198"/>
      <c r="KN22" s="198"/>
      <c r="KO22" s="198"/>
      <c r="KP22" s="198"/>
      <c r="KQ22" s="198"/>
      <c r="KR22" s="198"/>
      <c r="KS22" s="198"/>
      <c r="KT22" s="198"/>
      <c r="KU22" s="198"/>
      <c r="KV22" s="198"/>
      <c r="KW22" s="198"/>
      <c r="KX22" s="198"/>
      <c r="KY22" s="198"/>
      <c r="KZ22" s="198"/>
      <c r="LA22" s="198"/>
      <c r="LB22" s="198"/>
      <c r="LC22" s="198"/>
      <c r="LD22" s="198"/>
      <c r="LE22" s="198"/>
      <c r="LF22" s="198"/>
      <c r="LG22" s="198"/>
      <c r="LH22" s="198"/>
      <c r="LI22" s="198"/>
      <c r="LJ22" s="198"/>
      <c r="LK22" s="198"/>
      <c r="LL22" s="198"/>
      <c r="LM22" s="198"/>
      <c r="LN22" s="198"/>
      <c r="LO22" s="198"/>
      <c r="LP22" s="198"/>
      <c r="LQ22" s="198"/>
      <c r="LR22" s="198"/>
      <c r="LS22" s="198"/>
      <c r="LT22" s="198"/>
      <c r="LU22" s="198"/>
      <c r="LV22" s="198"/>
      <c r="LW22" s="198"/>
      <c r="LX22" s="198"/>
      <c r="LY22" s="198"/>
      <c r="LZ22" s="198"/>
      <c r="MA22" s="198"/>
      <c r="MB22" s="198"/>
      <c r="MC22" s="198"/>
      <c r="MD22" s="198"/>
      <c r="ME22" s="198"/>
      <c r="MF22" s="198"/>
      <c r="MG22" s="198"/>
      <c r="MH22" s="198"/>
      <c r="MI22" s="198"/>
      <c r="MJ22" s="198"/>
      <c r="MK22" s="198"/>
      <c r="ML22" s="198"/>
      <c r="MM22" s="198"/>
      <c r="MN22" s="198"/>
      <c r="MO22" s="198"/>
      <c r="MP22" s="198"/>
      <c r="MQ22" s="198"/>
      <c r="MR22" s="198"/>
      <c r="MS22" s="198"/>
      <c r="MT22" s="198"/>
      <c r="MU22" s="198"/>
      <c r="MV22" s="198"/>
      <c r="MW22" s="198"/>
      <c r="MX22" s="198"/>
      <c r="MY22" s="198"/>
      <c r="MZ22" s="198"/>
      <c r="NA22" s="198"/>
      <c r="NB22" s="198"/>
      <c r="NC22" s="198"/>
      <c r="ND22" s="198"/>
      <c r="NE22" s="198"/>
      <c r="NF22" s="198"/>
      <c r="NG22" s="198"/>
      <c r="NH22" s="198"/>
      <c r="NI22" s="198"/>
      <c r="NJ22" s="198"/>
      <c r="NK22" s="198"/>
      <c r="NL22" s="198"/>
      <c r="NM22" s="198"/>
      <c r="NN22" s="198"/>
      <c r="NO22" s="198"/>
      <c r="NP22" s="198"/>
      <c r="NQ22" s="198"/>
      <c r="NR22" s="198"/>
      <c r="NS22" s="198"/>
      <c r="NT22" s="198"/>
      <c r="NU22" s="198"/>
      <c r="NV22" s="198"/>
      <c r="NW22" s="198"/>
      <c r="NX22" s="198"/>
      <c r="NY22" s="198"/>
      <c r="NZ22" s="198"/>
      <c r="OA22" s="198"/>
      <c r="OB22" s="198"/>
      <c r="OC22" s="198"/>
      <c r="OD22" s="198"/>
      <c r="OE22" s="198"/>
      <c r="OF22" s="198"/>
      <c r="OG22" s="198"/>
      <c r="OH22" s="198"/>
      <c r="OI22" s="198"/>
      <c r="OJ22" s="198"/>
      <c r="OK22" s="198"/>
      <c r="OL22" s="198"/>
      <c r="OM22" s="198"/>
      <c r="ON22" s="198"/>
      <c r="OO22" s="198"/>
      <c r="OP22" s="198"/>
      <c r="OQ22" s="198"/>
      <c r="OR22" s="198"/>
      <c r="OS22" s="198"/>
      <c r="OT22" s="198"/>
      <c r="OU22" s="198"/>
      <c r="OV22" s="198"/>
      <c r="OW22" s="198"/>
      <c r="OX22" s="198"/>
      <c r="OY22" s="198"/>
      <c r="OZ22" s="198"/>
      <c r="PA22" s="198"/>
      <c r="PB22" s="198"/>
      <c r="PC22" s="198"/>
      <c r="PD22" s="198"/>
      <c r="PE22" s="198"/>
      <c r="PF22" s="198"/>
      <c r="PG22" s="198"/>
      <c r="PH22" s="198"/>
      <c r="PI22" s="198"/>
      <c r="PJ22" s="198"/>
      <c r="PK22" s="198"/>
      <c r="PL22" s="198"/>
      <c r="PM22" s="198"/>
      <c r="PN22" s="198"/>
      <c r="PO22" s="198"/>
      <c r="PP22" s="198"/>
      <c r="PQ22" s="198"/>
      <c r="PR22" s="198"/>
      <c r="PS22" s="198"/>
      <c r="PT22" s="198"/>
      <c r="PU22" s="198"/>
      <c r="PV22" s="198"/>
      <c r="PW22" s="198"/>
      <c r="PX22" s="198"/>
      <c r="PY22" s="198"/>
      <c r="PZ22" s="198"/>
      <c r="QA22" s="198"/>
      <c r="QB22" s="198"/>
      <c r="QC22" s="198"/>
      <c r="QD22" s="198"/>
      <c r="QE22" s="198"/>
      <c r="QF22" s="198"/>
      <c r="QG22" s="198"/>
      <c r="QH22" s="198"/>
      <c r="QI22" s="198"/>
      <c r="QJ22" s="198"/>
      <c r="QK22" s="198"/>
      <c r="QL22" s="198"/>
      <c r="QM22" s="198"/>
      <c r="QN22" s="198"/>
      <c r="QO22" s="198"/>
      <c r="QP22" s="198"/>
      <c r="QQ22" s="198"/>
      <c r="QR22" s="198"/>
      <c r="QS22" s="198"/>
      <c r="QT22" s="198"/>
      <c r="QU22" s="198"/>
      <c r="QV22" s="198"/>
      <c r="QW22" s="198"/>
      <c r="QX22" s="198"/>
      <c r="QY22" s="198"/>
      <c r="QZ22" s="198"/>
      <c r="RA22" s="198"/>
      <c r="RB22" s="198"/>
      <c r="RC22" s="198"/>
      <c r="RD22" s="198"/>
      <c r="RE22" s="198"/>
      <c r="RF22" s="198"/>
      <c r="RG22" s="198"/>
      <c r="RH22" s="198"/>
      <c r="RI22" s="198"/>
      <c r="RJ22" s="198"/>
      <c r="RK22" s="198"/>
      <c r="RL22" s="198"/>
      <c r="RM22" s="198"/>
      <c r="RN22" s="198"/>
      <c r="RO22" s="198"/>
      <c r="RP22" s="198"/>
      <c r="RQ22" s="198"/>
      <c r="RR22" s="198"/>
      <c r="RS22" s="198"/>
      <c r="RT22" s="198"/>
      <c r="RU22" s="198"/>
      <c r="RV22" s="198"/>
      <c r="RW22" s="198"/>
      <c r="RX22" s="198"/>
      <c r="RY22" s="198"/>
      <c r="RZ22" s="198"/>
      <c r="SA22" s="198"/>
      <c r="SB22" s="198"/>
      <c r="SC22" s="198"/>
      <c r="SD22" s="198"/>
      <c r="SE22" s="198"/>
      <c r="SF22" s="198"/>
      <c r="SG22" s="198"/>
    </row>
    <row r="23" spans="1:501" ht="40.049999999999997" customHeight="1" x14ac:dyDescent="0.3">
      <c r="A23" s="541" t="s">
        <v>118</v>
      </c>
      <c r="B23" s="952" t="s">
        <v>119</v>
      </c>
      <c r="C23" s="950">
        <f>'MANZ. A'!H25</f>
        <v>0</v>
      </c>
      <c r="D23" s="861"/>
      <c r="E23" s="862">
        <f>'MANZ. B'!R23</f>
        <v>5</v>
      </c>
      <c r="F23" s="861"/>
      <c r="G23" s="863" t="e">
        <f>MANZ.C!#REF!</f>
        <v>#REF!</v>
      </c>
      <c r="H23" s="861"/>
      <c r="I23" s="863" t="e">
        <f>MANZ.D!#REF!</f>
        <v>#REF!</v>
      </c>
      <c r="J23" s="861"/>
      <c r="K23" s="863" t="e">
        <f>MANZ.E!#REF!</f>
        <v>#REF!</v>
      </c>
      <c r="L23" s="861"/>
      <c r="M23" s="863" t="e">
        <f>MANZ.F!#REF!</f>
        <v>#REF!</v>
      </c>
      <c r="N23" s="861"/>
      <c r="O23" s="862" t="e">
        <f>MANZ.G!#REF!</f>
        <v>#REF!</v>
      </c>
      <c r="P23" s="861"/>
      <c r="Q23" s="863" t="e">
        <f>MANZ.H!#REF!</f>
        <v>#REF!</v>
      </c>
      <c r="R23" s="861"/>
      <c r="S23" s="863" t="e">
        <f>MANZ.I!#REF!</f>
        <v>#REF!</v>
      </c>
      <c r="T23" s="861"/>
      <c r="U23" s="863" t="e">
        <f>MANZ.J!#REF!</f>
        <v>#REF!</v>
      </c>
      <c r="V23" s="861"/>
      <c r="W23" s="863" t="e">
        <f>MANZ.K!#REF!</f>
        <v>#REF!</v>
      </c>
      <c r="X23" s="861"/>
      <c r="Y23" s="863" t="e">
        <f>MANZ.L!#REF!</f>
        <v>#REF!</v>
      </c>
      <c r="Z23" s="861"/>
      <c r="AA23" s="863">
        <f>'SALA MULTIUSO'!F22</f>
        <v>0</v>
      </c>
      <c r="AB23" s="864"/>
      <c r="AC23" s="864"/>
      <c r="AD23" s="864"/>
      <c r="AE23" s="864"/>
      <c r="AF23" s="861"/>
      <c r="AG23" s="865" t="e">
        <f>SUM(#REF!)</f>
        <v>#REF!</v>
      </c>
      <c r="AH23" s="866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8"/>
      <c r="AU23" s="198"/>
      <c r="AV23" s="198"/>
      <c r="AW23" s="198"/>
      <c r="AX23" s="198"/>
      <c r="AY23" s="198"/>
      <c r="AZ23" s="198"/>
      <c r="BA23" s="198"/>
      <c r="BB23" s="198"/>
      <c r="BC23" s="198"/>
      <c r="BD23" s="198"/>
      <c r="BE23" s="198"/>
      <c r="BF23" s="198"/>
      <c r="BG23" s="198"/>
      <c r="BH23" s="198"/>
      <c r="BI23" s="198"/>
      <c r="BJ23" s="198"/>
      <c r="BK23" s="198"/>
      <c r="BL23" s="198"/>
      <c r="BM23" s="198"/>
      <c r="BN23" s="198"/>
      <c r="BO23" s="198"/>
      <c r="BP23" s="198"/>
      <c r="BQ23" s="198"/>
      <c r="BR23" s="198"/>
      <c r="BS23" s="198"/>
      <c r="BT23" s="198"/>
      <c r="BU23" s="198"/>
      <c r="BV23" s="198"/>
      <c r="BW23" s="198"/>
      <c r="BX23" s="198"/>
      <c r="BY23" s="198"/>
      <c r="BZ23" s="198"/>
      <c r="CA23" s="198"/>
      <c r="CB23" s="198"/>
      <c r="CC23" s="198"/>
      <c r="CD23" s="198"/>
      <c r="CE23" s="198"/>
      <c r="CF23" s="198"/>
      <c r="CG23" s="198"/>
      <c r="CH23" s="198"/>
      <c r="CI23" s="198"/>
      <c r="CJ23" s="198"/>
      <c r="CK23" s="198"/>
      <c r="CL23" s="198"/>
      <c r="CM23" s="198"/>
      <c r="CN23" s="198"/>
      <c r="CO23" s="198"/>
      <c r="CP23" s="198"/>
      <c r="CQ23" s="198"/>
      <c r="CR23" s="198"/>
      <c r="CS23" s="198"/>
      <c r="CT23" s="198"/>
      <c r="CU23" s="198"/>
      <c r="CV23" s="198"/>
      <c r="CW23" s="198"/>
      <c r="CX23" s="198"/>
      <c r="CY23" s="198"/>
      <c r="CZ23" s="198"/>
      <c r="DA23" s="198"/>
      <c r="DB23" s="198"/>
      <c r="DC23" s="198"/>
      <c r="DD23" s="198"/>
      <c r="DE23" s="198"/>
      <c r="DF23" s="198"/>
      <c r="DG23" s="198"/>
      <c r="DH23" s="198"/>
      <c r="DI23" s="198"/>
      <c r="DJ23" s="198"/>
      <c r="DK23" s="198"/>
      <c r="DL23" s="198"/>
      <c r="DM23" s="198"/>
      <c r="DN23" s="198"/>
      <c r="DO23" s="198"/>
      <c r="DP23" s="198"/>
      <c r="DQ23" s="198"/>
      <c r="DR23" s="198"/>
      <c r="DS23" s="198"/>
      <c r="DT23" s="198"/>
      <c r="DU23" s="198"/>
      <c r="DV23" s="198"/>
      <c r="DW23" s="198"/>
      <c r="DX23" s="198"/>
      <c r="DY23" s="198"/>
      <c r="DZ23" s="198"/>
      <c r="EA23" s="198"/>
      <c r="EB23" s="198"/>
      <c r="EC23" s="198"/>
      <c r="ED23" s="198"/>
      <c r="EE23" s="198"/>
      <c r="EF23" s="198"/>
      <c r="EG23" s="198"/>
      <c r="EH23" s="198"/>
      <c r="EI23" s="198"/>
      <c r="EJ23" s="198"/>
      <c r="EK23" s="198"/>
      <c r="EL23" s="198"/>
      <c r="EM23" s="198"/>
      <c r="EN23" s="198"/>
      <c r="EO23" s="198"/>
      <c r="EP23" s="198"/>
      <c r="EQ23" s="198"/>
      <c r="ER23" s="198"/>
      <c r="ES23" s="198"/>
      <c r="ET23" s="198"/>
      <c r="EU23" s="198"/>
      <c r="EV23" s="198"/>
      <c r="EW23" s="198"/>
      <c r="EX23" s="198"/>
      <c r="EY23" s="198"/>
      <c r="EZ23" s="198"/>
      <c r="FA23" s="198"/>
      <c r="FB23" s="198"/>
      <c r="FC23" s="198"/>
      <c r="FD23" s="198"/>
      <c r="FE23" s="198"/>
      <c r="FF23" s="198"/>
      <c r="FG23" s="198"/>
      <c r="FH23" s="198"/>
      <c r="FI23" s="198"/>
      <c r="FJ23" s="198"/>
      <c r="FK23" s="198"/>
      <c r="FL23" s="198"/>
      <c r="FM23" s="198"/>
      <c r="FN23" s="198"/>
      <c r="FO23" s="198"/>
      <c r="FP23" s="198"/>
      <c r="FQ23" s="198"/>
      <c r="FR23" s="198"/>
      <c r="FS23" s="198"/>
      <c r="FT23" s="198"/>
      <c r="FU23" s="198"/>
      <c r="FV23" s="198"/>
      <c r="FW23" s="198"/>
      <c r="FX23" s="198"/>
      <c r="FY23" s="198"/>
      <c r="FZ23" s="198"/>
      <c r="GA23" s="198"/>
      <c r="GB23" s="198"/>
      <c r="GC23" s="198"/>
      <c r="GD23" s="198"/>
      <c r="GE23" s="198"/>
      <c r="GF23" s="198"/>
      <c r="GG23" s="198"/>
      <c r="GH23" s="198"/>
      <c r="GI23" s="198"/>
      <c r="GJ23" s="198"/>
      <c r="GK23" s="198"/>
      <c r="GL23" s="198"/>
      <c r="GM23" s="198"/>
      <c r="GN23" s="198"/>
      <c r="GO23" s="198"/>
      <c r="GP23" s="198"/>
      <c r="GQ23" s="198"/>
      <c r="GR23" s="198"/>
      <c r="GS23" s="198"/>
      <c r="GT23" s="198"/>
      <c r="GU23" s="198"/>
      <c r="GV23" s="198"/>
      <c r="GW23" s="198"/>
      <c r="GX23" s="198"/>
      <c r="GY23" s="198"/>
      <c r="GZ23" s="198"/>
      <c r="HA23" s="198"/>
      <c r="HB23" s="198"/>
      <c r="HC23" s="198"/>
      <c r="HD23" s="198"/>
      <c r="HE23" s="198"/>
      <c r="HF23" s="198"/>
      <c r="HG23" s="198"/>
      <c r="HH23" s="198"/>
      <c r="HI23" s="198"/>
      <c r="HJ23" s="198"/>
      <c r="HK23" s="198"/>
      <c r="HL23" s="198"/>
      <c r="HM23" s="198"/>
      <c r="HN23" s="198"/>
      <c r="HO23" s="198"/>
      <c r="HP23" s="198"/>
      <c r="HQ23" s="198"/>
      <c r="HR23" s="198"/>
      <c r="HS23" s="198"/>
      <c r="HT23" s="198"/>
      <c r="HU23" s="198"/>
      <c r="HV23" s="198"/>
      <c r="HW23" s="198"/>
      <c r="HX23" s="198"/>
      <c r="HY23" s="198"/>
      <c r="HZ23" s="198"/>
      <c r="IA23" s="198"/>
      <c r="IB23" s="198"/>
      <c r="IC23" s="198"/>
      <c r="ID23" s="198"/>
      <c r="IE23" s="198"/>
      <c r="IF23" s="198"/>
      <c r="IG23" s="198"/>
      <c r="IH23" s="198"/>
      <c r="II23" s="198"/>
      <c r="IJ23" s="198"/>
      <c r="IK23" s="198"/>
      <c r="IL23" s="198"/>
      <c r="IM23" s="198"/>
      <c r="IN23" s="198"/>
      <c r="IO23" s="198"/>
      <c r="IP23" s="198"/>
      <c r="IQ23" s="198"/>
      <c r="IR23" s="198"/>
      <c r="IS23" s="198"/>
      <c r="IT23" s="198"/>
      <c r="IU23" s="198"/>
      <c r="IV23" s="198"/>
      <c r="IW23" s="198"/>
      <c r="IX23" s="198"/>
      <c r="IY23" s="198"/>
      <c r="IZ23" s="198"/>
      <c r="JA23" s="198"/>
      <c r="JB23" s="198"/>
      <c r="JC23" s="198"/>
      <c r="JD23" s="198"/>
      <c r="JE23" s="198"/>
      <c r="JF23" s="198"/>
      <c r="JG23" s="198"/>
      <c r="JH23" s="198"/>
      <c r="JI23" s="198"/>
      <c r="JJ23" s="198"/>
      <c r="JK23" s="198"/>
      <c r="JL23" s="198"/>
      <c r="JM23" s="198"/>
      <c r="JN23" s="198"/>
      <c r="JO23" s="198"/>
      <c r="JP23" s="198"/>
      <c r="JQ23" s="198"/>
      <c r="JR23" s="198"/>
      <c r="JS23" s="198"/>
      <c r="JT23" s="198"/>
      <c r="JU23" s="198"/>
      <c r="JV23" s="198"/>
      <c r="JW23" s="198"/>
      <c r="JX23" s="198"/>
      <c r="JY23" s="198"/>
      <c r="JZ23" s="198"/>
      <c r="KA23" s="198"/>
      <c r="KB23" s="198"/>
      <c r="KC23" s="198"/>
      <c r="KD23" s="198"/>
      <c r="KE23" s="198"/>
      <c r="KF23" s="198"/>
      <c r="KG23" s="198"/>
      <c r="KH23" s="198"/>
      <c r="KI23" s="198"/>
      <c r="KJ23" s="198"/>
      <c r="KK23" s="198"/>
      <c r="KL23" s="198"/>
      <c r="KM23" s="198"/>
      <c r="KN23" s="198"/>
      <c r="KO23" s="198"/>
      <c r="KP23" s="198"/>
      <c r="KQ23" s="198"/>
      <c r="KR23" s="198"/>
      <c r="KS23" s="198"/>
      <c r="KT23" s="198"/>
      <c r="KU23" s="198"/>
      <c r="KV23" s="198"/>
      <c r="KW23" s="198"/>
      <c r="KX23" s="198"/>
      <c r="KY23" s="198"/>
      <c r="KZ23" s="198"/>
      <c r="LA23" s="198"/>
      <c r="LB23" s="198"/>
      <c r="LC23" s="198"/>
      <c r="LD23" s="198"/>
      <c r="LE23" s="198"/>
      <c r="LF23" s="198"/>
      <c r="LG23" s="198"/>
      <c r="LH23" s="198"/>
      <c r="LI23" s="198"/>
      <c r="LJ23" s="198"/>
      <c r="LK23" s="198"/>
      <c r="LL23" s="198"/>
      <c r="LM23" s="198"/>
      <c r="LN23" s="198"/>
      <c r="LO23" s="198"/>
      <c r="LP23" s="198"/>
      <c r="LQ23" s="198"/>
      <c r="LR23" s="198"/>
      <c r="LS23" s="198"/>
      <c r="LT23" s="198"/>
      <c r="LU23" s="198"/>
      <c r="LV23" s="198"/>
      <c r="LW23" s="198"/>
      <c r="LX23" s="198"/>
      <c r="LY23" s="198"/>
      <c r="LZ23" s="198"/>
      <c r="MA23" s="198"/>
      <c r="MB23" s="198"/>
      <c r="MC23" s="198"/>
      <c r="MD23" s="198"/>
      <c r="ME23" s="198"/>
      <c r="MF23" s="198"/>
      <c r="MG23" s="198"/>
      <c r="MH23" s="198"/>
      <c r="MI23" s="198"/>
      <c r="MJ23" s="198"/>
      <c r="MK23" s="198"/>
      <c r="ML23" s="198"/>
      <c r="MM23" s="198"/>
      <c r="MN23" s="198"/>
      <c r="MO23" s="198"/>
      <c r="MP23" s="198"/>
      <c r="MQ23" s="198"/>
      <c r="MR23" s="198"/>
      <c r="MS23" s="198"/>
      <c r="MT23" s="198"/>
      <c r="MU23" s="198"/>
      <c r="MV23" s="198"/>
      <c r="MW23" s="198"/>
      <c r="MX23" s="198"/>
      <c r="MY23" s="198"/>
      <c r="MZ23" s="198"/>
      <c r="NA23" s="198"/>
      <c r="NB23" s="198"/>
      <c r="NC23" s="198"/>
      <c r="ND23" s="198"/>
      <c r="NE23" s="198"/>
      <c r="NF23" s="198"/>
      <c r="NG23" s="198"/>
      <c r="NH23" s="198"/>
      <c r="NI23" s="198"/>
      <c r="NJ23" s="198"/>
      <c r="NK23" s="198"/>
      <c r="NL23" s="198"/>
      <c r="NM23" s="198"/>
      <c r="NN23" s="198"/>
      <c r="NO23" s="198"/>
      <c r="NP23" s="198"/>
      <c r="NQ23" s="198"/>
      <c r="NR23" s="198"/>
      <c r="NS23" s="198"/>
      <c r="NT23" s="198"/>
      <c r="NU23" s="198"/>
      <c r="NV23" s="198"/>
      <c r="NW23" s="198"/>
      <c r="NX23" s="198"/>
      <c r="NY23" s="198"/>
      <c r="NZ23" s="198"/>
      <c r="OA23" s="198"/>
      <c r="OB23" s="198"/>
      <c r="OC23" s="198"/>
      <c r="OD23" s="198"/>
      <c r="OE23" s="198"/>
      <c r="OF23" s="198"/>
      <c r="OG23" s="198"/>
      <c r="OH23" s="198"/>
      <c r="OI23" s="198"/>
      <c r="OJ23" s="198"/>
      <c r="OK23" s="198"/>
      <c r="OL23" s="198"/>
      <c r="OM23" s="198"/>
      <c r="ON23" s="198"/>
      <c r="OO23" s="198"/>
      <c r="OP23" s="198"/>
      <c r="OQ23" s="198"/>
      <c r="OR23" s="198"/>
      <c r="OS23" s="198"/>
      <c r="OT23" s="198"/>
      <c r="OU23" s="198"/>
      <c r="OV23" s="198"/>
      <c r="OW23" s="198"/>
      <c r="OX23" s="198"/>
      <c r="OY23" s="198"/>
      <c r="OZ23" s="198"/>
      <c r="PA23" s="198"/>
      <c r="PB23" s="198"/>
      <c r="PC23" s="198"/>
      <c r="PD23" s="198"/>
      <c r="PE23" s="198"/>
      <c r="PF23" s="198"/>
      <c r="PG23" s="198"/>
      <c r="PH23" s="198"/>
      <c r="PI23" s="198"/>
      <c r="PJ23" s="198"/>
      <c r="PK23" s="198"/>
      <c r="PL23" s="198"/>
      <c r="PM23" s="198"/>
      <c r="PN23" s="198"/>
      <c r="PO23" s="198"/>
      <c r="PP23" s="198"/>
      <c r="PQ23" s="198"/>
      <c r="PR23" s="198"/>
      <c r="PS23" s="198"/>
      <c r="PT23" s="198"/>
      <c r="PU23" s="198"/>
      <c r="PV23" s="198"/>
      <c r="PW23" s="198"/>
      <c r="PX23" s="198"/>
      <c r="PY23" s="198"/>
      <c r="PZ23" s="198"/>
      <c r="QA23" s="198"/>
      <c r="QB23" s="198"/>
      <c r="QC23" s="198"/>
      <c r="QD23" s="198"/>
      <c r="QE23" s="198"/>
      <c r="QF23" s="198"/>
      <c r="QG23" s="198"/>
      <c r="QH23" s="198"/>
      <c r="QI23" s="198"/>
      <c r="QJ23" s="198"/>
      <c r="QK23" s="198"/>
      <c r="QL23" s="198"/>
      <c r="QM23" s="198"/>
      <c r="QN23" s="198"/>
      <c r="QO23" s="198"/>
      <c r="QP23" s="198"/>
      <c r="QQ23" s="198"/>
      <c r="QR23" s="198"/>
      <c r="QS23" s="198"/>
      <c r="QT23" s="198"/>
      <c r="QU23" s="198"/>
      <c r="QV23" s="198"/>
      <c r="QW23" s="198"/>
      <c r="QX23" s="198"/>
      <c r="QY23" s="198"/>
      <c r="QZ23" s="198"/>
      <c r="RA23" s="198"/>
      <c r="RB23" s="198"/>
      <c r="RC23" s="198"/>
      <c r="RD23" s="198"/>
      <c r="RE23" s="198"/>
      <c r="RF23" s="198"/>
      <c r="RG23" s="198"/>
      <c r="RH23" s="198"/>
      <c r="RI23" s="198"/>
      <c r="RJ23" s="198"/>
      <c r="RK23" s="198"/>
      <c r="RL23" s="198"/>
      <c r="RM23" s="198"/>
      <c r="RN23" s="198"/>
      <c r="RO23" s="198"/>
      <c r="RP23" s="198"/>
      <c r="RQ23" s="198"/>
      <c r="RR23" s="198"/>
      <c r="RS23" s="198"/>
      <c r="RT23" s="198"/>
      <c r="RU23" s="198"/>
      <c r="RV23" s="198"/>
      <c r="RW23" s="198"/>
      <c r="RX23" s="198"/>
      <c r="RY23" s="198"/>
      <c r="RZ23" s="198"/>
      <c r="SA23" s="198"/>
      <c r="SB23" s="198"/>
      <c r="SC23" s="198"/>
      <c r="SD23" s="198"/>
      <c r="SE23" s="198"/>
      <c r="SF23" s="198"/>
      <c r="SG23" s="198"/>
    </row>
    <row r="24" spans="1:501" ht="40.049999999999997" customHeight="1" x14ac:dyDescent="0.3">
      <c r="A24" s="541" t="s">
        <v>120</v>
      </c>
      <c r="B24" s="952" t="s">
        <v>121</v>
      </c>
      <c r="C24" s="950">
        <f>'MANZ. A'!H26</f>
        <v>0</v>
      </c>
      <c r="D24" s="861"/>
      <c r="E24" s="862">
        <f>'MANZ. B'!R24</f>
        <v>5</v>
      </c>
      <c r="F24" s="861"/>
      <c r="G24" s="863" t="e">
        <f>MANZ.C!#REF!</f>
        <v>#REF!</v>
      </c>
      <c r="H24" s="861"/>
      <c r="I24" s="863" t="e">
        <f>MANZ.D!#REF!</f>
        <v>#REF!</v>
      </c>
      <c r="J24" s="861"/>
      <c r="K24" s="863" t="e">
        <f>MANZ.E!#REF!</f>
        <v>#REF!</v>
      </c>
      <c r="L24" s="861"/>
      <c r="M24" s="863" t="e">
        <f>MANZ.F!#REF!</f>
        <v>#REF!</v>
      </c>
      <c r="N24" s="861"/>
      <c r="O24" s="862" t="e">
        <f>MANZ.G!#REF!</f>
        <v>#REF!</v>
      </c>
      <c r="P24" s="861"/>
      <c r="Q24" s="863" t="e">
        <f>MANZ.H!#REF!</f>
        <v>#REF!</v>
      </c>
      <c r="R24" s="861"/>
      <c r="S24" s="863" t="e">
        <f>MANZ.I!#REF!</f>
        <v>#REF!</v>
      </c>
      <c r="T24" s="861"/>
      <c r="U24" s="863" t="e">
        <f>MANZ.J!#REF!</f>
        <v>#REF!</v>
      </c>
      <c r="V24" s="861"/>
      <c r="W24" s="863" t="e">
        <f>MANZ.K!#REF!</f>
        <v>#REF!</v>
      </c>
      <c r="X24" s="861"/>
      <c r="Y24" s="863" t="e">
        <f>MANZ.L!#REF!</f>
        <v>#REF!</v>
      </c>
      <c r="Z24" s="861"/>
      <c r="AA24" s="863">
        <f>'SALA MULTIUSO'!F23</f>
        <v>0</v>
      </c>
      <c r="AB24" s="864"/>
      <c r="AC24" s="864"/>
      <c r="AD24" s="864"/>
      <c r="AE24" s="864"/>
      <c r="AF24" s="861"/>
      <c r="AG24" s="865" t="e">
        <f>SUM(#REF!)</f>
        <v>#REF!</v>
      </c>
      <c r="AH24" s="866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198"/>
      <c r="AU24" s="198"/>
      <c r="AV24" s="198"/>
      <c r="AW24" s="198"/>
      <c r="AX24" s="198"/>
      <c r="AY24" s="198"/>
      <c r="AZ24" s="198"/>
      <c r="BA24" s="198"/>
      <c r="BB24" s="198"/>
      <c r="BC24" s="198"/>
      <c r="BD24" s="198"/>
      <c r="BE24" s="198"/>
      <c r="BF24" s="198"/>
      <c r="BG24" s="198"/>
      <c r="BH24" s="198"/>
      <c r="BI24" s="198"/>
      <c r="BJ24" s="198"/>
      <c r="BK24" s="198"/>
      <c r="BL24" s="198"/>
      <c r="BM24" s="198"/>
      <c r="BN24" s="198"/>
      <c r="BO24" s="198"/>
      <c r="BP24" s="198"/>
      <c r="BQ24" s="198"/>
      <c r="BR24" s="198"/>
      <c r="BS24" s="198"/>
      <c r="BT24" s="198"/>
      <c r="BU24" s="198"/>
      <c r="BV24" s="198"/>
      <c r="BW24" s="198"/>
      <c r="BX24" s="198"/>
      <c r="BY24" s="198"/>
      <c r="BZ24" s="198"/>
      <c r="CA24" s="198"/>
      <c r="CB24" s="198"/>
      <c r="CC24" s="198"/>
      <c r="CD24" s="198"/>
      <c r="CE24" s="198"/>
      <c r="CF24" s="198"/>
      <c r="CG24" s="198"/>
      <c r="CH24" s="198"/>
      <c r="CI24" s="198"/>
      <c r="CJ24" s="198"/>
      <c r="CK24" s="198"/>
      <c r="CL24" s="198"/>
      <c r="CM24" s="198"/>
      <c r="CN24" s="198"/>
      <c r="CO24" s="198"/>
      <c r="CP24" s="198"/>
      <c r="CQ24" s="198"/>
      <c r="CR24" s="198"/>
      <c r="CS24" s="198"/>
      <c r="CT24" s="198"/>
      <c r="CU24" s="198"/>
      <c r="CV24" s="198"/>
      <c r="CW24" s="198"/>
      <c r="CX24" s="198"/>
      <c r="CY24" s="198"/>
      <c r="CZ24" s="198"/>
      <c r="DA24" s="198"/>
      <c r="DB24" s="198"/>
      <c r="DC24" s="198"/>
      <c r="DD24" s="198"/>
      <c r="DE24" s="198"/>
      <c r="DF24" s="198"/>
      <c r="DG24" s="198"/>
      <c r="DH24" s="198"/>
      <c r="DI24" s="198"/>
      <c r="DJ24" s="198"/>
      <c r="DK24" s="198"/>
      <c r="DL24" s="198"/>
      <c r="DM24" s="198"/>
      <c r="DN24" s="198"/>
      <c r="DO24" s="198"/>
      <c r="DP24" s="198"/>
      <c r="DQ24" s="198"/>
      <c r="DR24" s="198"/>
      <c r="DS24" s="198"/>
      <c r="DT24" s="198"/>
      <c r="DU24" s="198"/>
      <c r="DV24" s="198"/>
      <c r="DW24" s="198"/>
      <c r="DX24" s="198"/>
      <c r="DY24" s="198"/>
      <c r="DZ24" s="198"/>
      <c r="EA24" s="198"/>
      <c r="EB24" s="198"/>
      <c r="EC24" s="198"/>
      <c r="ED24" s="198"/>
      <c r="EE24" s="198"/>
      <c r="EF24" s="198"/>
      <c r="EG24" s="198"/>
      <c r="EH24" s="198"/>
      <c r="EI24" s="198"/>
      <c r="EJ24" s="198"/>
      <c r="EK24" s="198"/>
      <c r="EL24" s="198"/>
      <c r="EM24" s="198"/>
      <c r="EN24" s="198"/>
      <c r="EO24" s="198"/>
      <c r="EP24" s="198"/>
      <c r="EQ24" s="198"/>
      <c r="ER24" s="198"/>
      <c r="ES24" s="198"/>
      <c r="ET24" s="198"/>
      <c r="EU24" s="198"/>
      <c r="EV24" s="198"/>
      <c r="EW24" s="198"/>
      <c r="EX24" s="198"/>
      <c r="EY24" s="198"/>
      <c r="EZ24" s="198"/>
      <c r="FA24" s="198"/>
      <c r="FB24" s="198"/>
      <c r="FC24" s="198"/>
      <c r="FD24" s="198"/>
      <c r="FE24" s="198"/>
      <c r="FF24" s="198"/>
      <c r="FG24" s="198"/>
      <c r="FH24" s="198"/>
      <c r="FI24" s="198"/>
      <c r="FJ24" s="198"/>
      <c r="FK24" s="198"/>
      <c r="FL24" s="198"/>
      <c r="FM24" s="198"/>
      <c r="FN24" s="198"/>
      <c r="FO24" s="198"/>
      <c r="FP24" s="198"/>
      <c r="FQ24" s="198"/>
      <c r="FR24" s="198"/>
      <c r="FS24" s="198"/>
      <c r="FT24" s="198"/>
      <c r="FU24" s="198"/>
      <c r="FV24" s="198"/>
      <c r="FW24" s="198"/>
      <c r="FX24" s="198"/>
      <c r="FY24" s="198"/>
      <c r="FZ24" s="198"/>
      <c r="GA24" s="198"/>
      <c r="GB24" s="198"/>
      <c r="GC24" s="198"/>
      <c r="GD24" s="198"/>
      <c r="GE24" s="198"/>
      <c r="GF24" s="198"/>
      <c r="GG24" s="198"/>
      <c r="GH24" s="198"/>
      <c r="GI24" s="198"/>
      <c r="GJ24" s="198"/>
      <c r="GK24" s="198"/>
      <c r="GL24" s="198"/>
      <c r="GM24" s="198"/>
      <c r="GN24" s="198"/>
      <c r="GO24" s="198"/>
      <c r="GP24" s="198"/>
      <c r="GQ24" s="198"/>
      <c r="GR24" s="198"/>
      <c r="GS24" s="198"/>
      <c r="GT24" s="198"/>
      <c r="GU24" s="198"/>
      <c r="GV24" s="198"/>
      <c r="GW24" s="198"/>
      <c r="GX24" s="198"/>
      <c r="GY24" s="198"/>
      <c r="GZ24" s="198"/>
      <c r="HA24" s="198"/>
      <c r="HB24" s="198"/>
      <c r="HC24" s="198"/>
      <c r="HD24" s="198"/>
      <c r="HE24" s="198"/>
      <c r="HF24" s="198"/>
      <c r="HG24" s="198"/>
      <c r="HH24" s="198"/>
      <c r="HI24" s="198"/>
      <c r="HJ24" s="198"/>
      <c r="HK24" s="198"/>
      <c r="HL24" s="198"/>
      <c r="HM24" s="198"/>
      <c r="HN24" s="198"/>
      <c r="HO24" s="198"/>
      <c r="HP24" s="198"/>
      <c r="HQ24" s="198"/>
      <c r="HR24" s="198"/>
      <c r="HS24" s="198"/>
      <c r="HT24" s="198"/>
      <c r="HU24" s="198"/>
      <c r="HV24" s="198"/>
      <c r="HW24" s="198"/>
      <c r="HX24" s="198"/>
      <c r="HY24" s="198"/>
      <c r="HZ24" s="198"/>
      <c r="IA24" s="198"/>
      <c r="IB24" s="198"/>
      <c r="IC24" s="198"/>
      <c r="ID24" s="198"/>
      <c r="IE24" s="198"/>
      <c r="IF24" s="198"/>
      <c r="IG24" s="198"/>
      <c r="IH24" s="198"/>
      <c r="II24" s="198"/>
      <c r="IJ24" s="198"/>
      <c r="IK24" s="198"/>
      <c r="IL24" s="198"/>
      <c r="IM24" s="198"/>
      <c r="IN24" s="198"/>
      <c r="IO24" s="198"/>
      <c r="IP24" s="198"/>
      <c r="IQ24" s="198"/>
      <c r="IR24" s="198"/>
      <c r="IS24" s="198"/>
      <c r="IT24" s="198"/>
      <c r="IU24" s="198"/>
      <c r="IV24" s="198"/>
      <c r="IW24" s="198"/>
      <c r="IX24" s="198"/>
      <c r="IY24" s="198"/>
      <c r="IZ24" s="198"/>
      <c r="JA24" s="198"/>
      <c r="JB24" s="198"/>
      <c r="JC24" s="198"/>
      <c r="JD24" s="198"/>
      <c r="JE24" s="198"/>
      <c r="JF24" s="198"/>
      <c r="JG24" s="198"/>
      <c r="JH24" s="198"/>
      <c r="JI24" s="198"/>
      <c r="JJ24" s="198"/>
      <c r="JK24" s="198"/>
      <c r="JL24" s="198"/>
      <c r="JM24" s="198"/>
      <c r="JN24" s="198"/>
      <c r="JO24" s="198"/>
      <c r="JP24" s="198"/>
      <c r="JQ24" s="198"/>
      <c r="JR24" s="198"/>
      <c r="JS24" s="198"/>
      <c r="JT24" s="198"/>
      <c r="JU24" s="198"/>
      <c r="JV24" s="198"/>
      <c r="JW24" s="198"/>
      <c r="JX24" s="198"/>
      <c r="JY24" s="198"/>
      <c r="JZ24" s="198"/>
      <c r="KA24" s="198"/>
      <c r="KB24" s="198"/>
      <c r="KC24" s="198"/>
      <c r="KD24" s="198"/>
      <c r="KE24" s="198"/>
      <c r="KF24" s="198"/>
      <c r="KG24" s="198"/>
      <c r="KH24" s="198"/>
      <c r="KI24" s="198"/>
      <c r="KJ24" s="198"/>
      <c r="KK24" s="198"/>
      <c r="KL24" s="198"/>
      <c r="KM24" s="198"/>
      <c r="KN24" s="198"/>
      <c r="KO24" s="198"/>
      <c r="KP24" s="198"/>
      <c r="KQ24" s="198"/>
      <c r="KR24" s="198"/>
      <c r="KS24" s="198"/>
      <c r="KT24" s="198"/>
      <c r="KU24" s="198"/>
      <c r="KV24" s="198"/>
      <c r="KW24" s="198"/>
      <c r="KX24" s="198"/>
      <c r="KY24" s="198"/>
      <c r="KZ24" s="198"/>
      <c r="LA24" s="198"/>
      <c r="LB24" s="198"/>
      <c r="LC24" s="198"/>
      <c r="LD24" s="198"/>
      <c r="LE24" s="198"/>
      <c r="LF24" s="198"/>
      <c r="LG24" s="198"/>
      <c r="LH24" s="198"/>
      <c r="LI24" s="198"/>
      <c r="LJ24" s="198"/>
      <c r="LK24" s="198"/>
      <c r="LL24" s="198"/>
      <c r="LM24" s="198"/>
      <c r="LN24" s="198"/>
      <c r="LO24" s="198"/>
      <c r="LP24" s="198"/>
      <c r="LQ24" s="198"/>
      <c r="LR24" s="198"/>
      <c r="LS24" s="198"/>
      <c r="LT24" s="198"/>
      <c r="LU24" s="198"/>
      <c r="LV24" s="198"/>
      <c r="LW24" s="198"/>
      <c r="LX24" s="198"/>
      <c r="LY24" s="198"/>
      <c r="LZ24" s="198"/>
      <c r="MA24" s="198"/>
      <c r="MB24" s="198"/>
      <c r="MC24" s="198"/>
      <c r="MD24" s="198"/>
      <c r="ME24" s="198"/>
      <c r="MF24" s="198"/>
      <c r="MG24" s="198"/>
      <c r="MH24" s="198"/>
      <c r="MI24" s="198"/>
      <c r="MJ24" s="198"/>
      <c r="MK24" s="198"/>
      <c r="ML24" s="198"/>
      <c r="MM24" s="198"/>
      <c r="MN24" s="198"/>
      <c r="MO24" s="198"/>
      <c r="MP24" s="198"/>
      <c r="MQ24" s="198"/>
      <c r="MR24" s="198"/>
      <c r="MS24" s="198"/>
      <c r="MT24" s="198"/>
      <c r="MU24" s="198"/>
      <c r="MV24" s="198"/>
      <c r="MW24" s="198"/>
      <c r="MX24" s="198"/>
      <c r="MY24" s="198"/>
      <c r="MZ24" s="198"/>
      <c r="NA24" s="198"/>
      <c r="NB24" s="198"/>
      <c r="NC24" s="198"/>
      <c r="ND24" s="198"/>
      <c r="NE24" s="198"/>
      <c r="NF24" s="198"/>
      <c r="NG24" s="198"/>
      <c r="NH24" s="198"/>
      <c r="NI24" s="198"/>
      <c r="NJ24" s="198"/>
      <c r="NK24" s="198"/>
      <c r="NL24" s="198"/>
      <c r="NM24" s="198"/>
      <c r="NN24" s="198"/>
      <c r="NO24" s="198"/>
      <c r="NP24" s="198"/>
      <c r="NQ24" s="198"/>
      <c r="NR24" s="198"/>
      <c r="NS24" s="198"/>
      <c r="NT24" s="198"/>
      <c r="NU24" s="198"/>
      <c r="NV24" s="198"/>
      <c r="NW24" s="198"/>
      <c r="NX24" s="198"/>
      <c r="NY24" s="198"/>
      <c r="NZ24" s="198"/>
      <c r="OA24" s="198"/>
      <c r="OB24" s="198"/>
      <c r="OC24" s="198"/>
      <c r="OD24" s="198"/>
      <c r="OE24" s="198"/>
      <c r="OF24" s="198"/>
      <c r="OG24" s="198"/>
      <c r="OH24" s="198"/>
      <c r="OI24" s="198"/>
      <c r="OJ24" s="198"/>
      <c r="OK24" s="198"/>
      <c r="OL24" s="198"/>
      <c r="OM24" s="198"/>
      <c r="ON24" s="198"/>
      <c r="OO24" s="198"/>
      <c r="OP24" s="198"/>
      <c r="OQ24" s="198"/>
      <c r="OR24" s="198"/>
      <c r="OS24" s="198"/>
      <c r="OT24" s="198"/>
      <c r="OU24" s="198"/>
      <c r="OV24" s="198"/>
      <c r="OW24" s="198"/>
      <c r="OX24" s="198"/>
      <c r="OY24" s="198"/>
      <c r="OZ24" s="198"/>
      <c r="PA24" s="198"/>
      <c r="PB24" s="198"/>
      <c r="PC24" s="198"/>
      <c r="PD24" s="198"/>
      <c r="PE24" s="198"/>
      <c r="PF24" s="198"/>
      <c r="PG24" s="198"/>
      <c r="PH24" s="198"/>
      <c r="PI24" s="198"/>
      <c r="PJ24" s="198"/>
      <c r="PK24" s="198"/>
      <c r="PL24" s="198"/>
      <c r="PM24" s="198"/>
      <c r="PN24" s="198"/>
      <c r="PO24" s="198"/>
      <c r="PP24" s="198"/>
      <c r="PQ24" s="198"/>
      <c r="PR24" s="198"/>
      <c r="PS24" s="198"/>
      <c r="PT24" s="198"/>
      <c r="PU24" s="198"/>
      <c r="PV24" s="198"/>
      <c r="PW24" s="198"/>
      <c r="PX24" s="198"/>
      <c r="PY24" s="198"/>
      <c r="PZ24" s="198"/>
      <c r="QA24" s="198"/>
      <c r="QB24" s="198"/>
      <c r="QC24" s="198"/>
      <c r="QD24" s="198"/>
      <c r="QE24" s="198"/>
      <c r="QF24" s="198"/>
      <c r="QG24" s="198"/>
      <c r="QH24" s="198"/>
      <c r="QI24" s="198"/>
      <c r="QJ24" s="198"/>
      <c r="QK24" s="198"/>
      <c r="QL24" s="198"/>
      <c r="QM24" s="198"/>
      <c r="QN24" s="198"/>
      <c r="QO24" s="198"/>
      <c r="QP24" s="198"/>
      <c r="QQ24" s="198"/>
      <c r="QR24" s="198"/>
      <c r="QS24" s="198"/>
      <c r="QT24" s="198"/>
      <c r="QU24" s="198"/>
      <c r="QV24" s="198"/>
      <c r="QW24" s="198"/>
      <c r="QX24" s="198"/>
      <c r="QY24" s="198"/>
      <c r="QZ24" s="198"/>
      <c r="RA24" s="198"/>
      <c r="RB24" s="198"/>
      <c r="RC24" s="198"/>
      <c r="RD24" s="198"/>
      <c r="RE24" s="198"/>
      <c r="RF24" s="198"/>
      <c r="RG24" s="198"/>
      <c r="RH24" s="198"/>
      <c r="RI24" s="198"/>
      <c r="RJ24" s="198"/>
      <c r="RK24" s="198"/>
      <c r="RL24" s="198"/>
      <c r="RM24" s="198"/>
      <c r="RN24" s="198"/>
      <c r="RO24" s="198"/>
      <c r="RP24" s="198"/>
      <c r="RQ24" s="198"/>
      <c r="RR24" s="198"/>
      <c r="RS24" s="198"/>
      <c r="RT24" s="198"/>
      <c r="RU24" s="198"/>
      <c r="RV24" s="198"/>
      <c r="RW24" s="198"/>
      <c r="RX24" s="198"/>
      <c r="RY24" s="198"/>
      <c r="RZ24" s="198"/>
      <c r="SA24" s="198"/>
      <c r="SB24" s="198"/>
      <c r="SC24" s="198"/>
      <c r="SD24" s="198"/>
      <c r="SE24" s="198"/>
      <c r="SF24" s="198"/>
      <c r="SG24" s="198"/>
    </row>
    <row r="25" spans="1:501" ht="40.049999999999997" customHeight="1" x14ac:dyDescent="0.3">
      <c r="A25" s="541" t="s">
        <v>122</v>
      </c>
      <c r="B25" s="952" t="s">
        <v>123</v>
      </c>
      <c r="C25" s="950">
        <f>'MANZ. A'!H27</f>
        <v>0</v>
      </c>
      <c r="D25" s="861"/>
      <c r="E25" s="862">
        <f>'MANZ. B'!R25</f>
        <v>5</v>
      </c>
      <c r="F25" s="861"/>
      <c r="G25" s="863" t="e">
        <f>MANZ.C!#REF!</f>
        <v>#REF!</v>
      </c>
      <c r="H25" s="861"/>
      <c r="I25" s="863" t="e">
        <f>MANZ.D!#REF!</f>
        <v>#REF!</v>
      </c>
      <c r="J25" s="861"/>
      <c r="K25" s="863" t="e">
        <f>MANZ.E!#REF!</f>
        <v>#REF!</v>
      </c>
      <c r="L25" s="861"/>
      <c r="M25" s="863" t="e">
        <f>MANZ.F!#REF!</f>
        <v>#REF!</v>
      </c>
      <c r="N25" s="861"/>
      <c r="O25" s="862" t="e">
        <f>MANZ.G!#REF!</f>
        <v>#REF!</v>
      </c>
      <c r="P25" s="861"/>
      <c r="Q25" s="863" t="e">
        <f>MANZ.H!#REF!</f>
        <v>#REF!</v>
      </c>
      <c r="R25" s="861"/>
      <c r="S25" s="863" t="e">
        <f>MANZ.I!#REF!</f>
        <v>#REF!</v>
      </c>
      <c r="T25" s="861"/>
      <c r="U25" s="863" t="e">
        <f>MANZ.J!#REF!</f>
        <v>#REF!</v>
      </c>
      <c r="V25" s="861"/>
      <c r="W25" s="863" t="e">
        <f>MANZ.K!#REF!</f>
        <v>#REF!</v>
      </c>
      <c r="X25" s="861"/>
      <c r="Y25" s="863" t="e">
        <f>MANZ.L!#REF!</f>
        <v>#REF!</v>
      </c>
      <c r="Z25" s="861"/>
      <c r="AA25" s="863">
        <f>'SALA MULTIUSO'!F24</f>
        <v>0</v>
      </c>
      <c r="AB25" s="864"/>
      <c r="AC25" s="864"/>
      <c r="AD25" s="864"/>
      <c r="AE25" s="864"/>
      <c r="AF25" s="861"/>
      <c r="AG25" s="865" t="e">
        <f>SUM(#REF!)</f>
        <v>#REF!</v>
      </c>
      <c r="AH25" s="866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8"/>
      <c r="AW25" s="198"/>
      <c r="AX25" s="198"/>
      <c r="AY25" s="198"/>
      <c r="AZ25" s="198"/>
      <c r="BA25" s="198"/>
      <c r="BB25" s="198"/>
      <c r="BC25" s="198"/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8"/>
      <c r="BU25" s="198"/>
      <c r="BV25" s="198"/>
      <c r="BW25" s="198"/>
      <c r="BX25" s="198"/>
      <c r="BY25" s="198"/>
      <c r="BZ25" s="198"/>
      <c r="CA25" s="198"/>
      <c r="CB25" s="198"/>
      <c r="CC25" s="198"/>
      <c r="CD25" s="198"/>
      <c r="CE25" s="198"/>
      <c r="CF25" s="198"/>
      <c r="CG25" s="198"/>
      <c r="CH25" s="198"/>
      <c r="CI25" s="198"/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8"/>
      <c r="DA25" s="198"/>
      <c r="DB25" s="198"/>
      <c r="DC25" s="198"/>
      <c r="DD25" s="198"/>
      <c r="DE25" s="198"/>
      <c r="DF25" s="198"/>
      <c r="DG25" s="198"/>
      <c r="DH25" s="198"/>
      <c r="DI25" s="198"/>
      <c r="DJ25" s="198"/>
      <c r="DK25" s="198"/>
      <c r="DL25" s="198"/>
      <c r="DM25" s="198"/>
      <c r="DN25" s="198"/>
      <c r="DO25" s="198"/>
      <c r="DP25" s="198"/>
      <c r="DQ25" s="198"/>
      <c r="DR25" s="198"/>
      <c r="DS25" s="198"/>
      <c r="DT25" s="198"/>
      <c r="DU25" s="198"/>
      <c r="DV25" s="198"/>
      <c r="DW25" s="198"/>
      <c r="DX25" s="198"/>
      <c r="DY25" s="198"/>
      <c r="DZ25" s="198"/>
      <c r="EA25" s="198"/>
      <c r="EB25" s="198"/>
      <c r="EC25" s="198"/>
      <c r="ED25" s="198"/>
      <c r="EE25" s="198"/>
      <c r="EF25" s="198"/>
      <c r="EG25" s="198"/>
      <c r="EH25" s="198"/>
      <c r="EI25" s="198"/>
      <c r="EJ25" s="198"/>
      <c r="EK25" s="198"/>
      <c r="EL25" s="198"/>
      <c r="EM25" s="198"/>
      <c r="EN25" s="198"/>
      <c r="EO25" s="198"/>
      <c r="EP25" s="198"/>
      <c r="EQ25" s="198"/>
      <c r="ER25" s="198"/>
      <c r="ES25" s="198"/>
      <c r="ET25" s="198"/>
      <c r="EU25" s="198"/>
      <c r="EV25" s="198"/>
      <c r="EW25" s="198"/>
      <c r="EX25" s="198"/>
      <c r="EY25" s="198"/>
      <c r="EZ25" s="198"/>
      <c r="FA25" s="198"/>
      <c r="FB25" s="198"/>
      <c r="FC25" s="198"/>
      <c r="FD25" s="198"/>
      <c r="FE25" s="198"/>
      <c r="FF25" s="198"/>
      <c r="FG25" s="198"/>
      <c r="FH25" s="198"/>
      <c r="FI25" s="198"/>
      <c r="FJ25" s="198"/>
      <c r="FK25" s="198"/>
      <c r="FL25" s="198"/>
      <c r="FM25" s="198"/>
      <c r="FN25" s="198"/>
      <c r="FO25" s="198"/>
      <c r="FP25" s="198"/>
      <c r="FQ25" s="198"/>
      <c r="FR25" s="198"/>
      <c r="FS25" s="198"/>
      <c r="FT25" s="198"/>
      <c r="FU25" s="198"/>
      <c r="FV25" s="198"/>
      <c r="FW25" s="198"/>
      <c r="FX25" s="198"/>
      <c r="FY25" s="198"/>
      <c r="FZ25" s="198"/>
      <c r="GA25" s="198"/>
      <c r="GB25" s="198"/>
      <c r="GC25" s="198"/>
      <c r="GD25" s="198"/>
      <c r="GE25" s="198"/>
      <c r="GF25" s="198"/>
      <c r="GG25" s="198"/>
      <c r="GH25" s="198"/>
      <c r="GI25" s="198"/>
      <c r="GJ25" s="198"/>
      <c r="GK25" s="198"/>
      <c r="GL25" s="198"/>
      <c r="GM25" s="198"/>
      <c r="GN25" s="198"/>
      <c r="GO25" s="198"/>
      <c r="GP25" s="198"/>
      <c r="GQ25" s="198"/>
      <c r="GR25" s="198"/>
      <c r="GS25" s="198"/>
      <c r="GT25" s="198"/>
      <c r="GU25" s="198"/>
      <c r="GV25" s="198"/>
      <c r="GW25" s="198"/>
      <c r="GX25" s="198"/>
      <c r="GY25" s="198"/>
      <c r="GZ25" s="198"/>
      <c r="HA25" s="198"/>
      <c r="HB25" s="198"/>
      <c r="HC25" s="198"/>
      <c r="HD25" s="198"/>
      <c r="HE25" s="198"/>
      <c r="HF25" s="198"/>
      <c r="HG25" s="198"/>
      <c r="HH25" s="198"/>
      <c r="HI25" s="198"/>
      <c r="HJ25" s="198"/>
      <c r="HK25" s="198"/>
      <c r="HL25" s="198"/>
      <c r="HM25" s="198"/>
      <c r="HN25" s="198"/>
      <c r="HO25" s="198"/>
      <c r="HP25" s="198"/>
      <c r="HQ25" s="198"/>
      <c r="HR25" s="198"/>
      <c r="HS25" s="198"/>
      <c r="HT25" s="198"/>
      <c r="HU25" s="198"/>
      <c r="HV25" s="198"/>
      <c r="HW25" s="198"/>
      <c r="HX25" s="198"/>
      <c r="HY25" s="198"/>
      <c r="HZ25" s="198"/>
      <c r="IA25" s="198"/>
      <c r="IB25" s="198"/>
      <c r="IC25" s="198"/>
      <c r="ID25" s="198"/>
      <c r="IE25" s="198"/>
      <c r="IF25" s="198"/>
      <c r="IG25" s="198"/>
      <c r="IH25" s="198"/>
      <c r="II25" s="198"/>
      <c r="IJ25" s="198"/>
      <c r="IK25" s="198"/>
      <c r="IL25" s="198"/>
      <c r="IM25" s="198"/>
      <c r="IN25" s="198"/>
      <c r="IO25" s="198"/>
      <c r="IP25" s="198"/>
      <c r="IQ25" s="198"/>
      <c r="IR25" s="198"/>
      <c r="IS25" s="198"/>
      <c r="IT25" s="198"/>
      <c r="IU25" s="198"/>
      <c r="IV25" s="198"/>
      <c r="IW25" s="198"/>
      <c r="IX25" s="198"/>
      <c r="IY25" s="198"/>
      <c r="IZ25" s="198"/>
      <c r="JA25" s="198"/>
      <c r="JB25" s="198"/>
      <c r="JC25" s="198"/>
      <c r="JD25" s="198"/>
      <c r="JE25" s="198"/>
      <c r="JF25" s="198"/>
      <c r="JG25" s="198"/>
      <c r="JH25" s="198"/>
      <c r="JI25" s="198"/>
      <c r="JJ25" s="198"/>
      <c r="JK25" s="198"/>
      <c r="JL25" s="198"/>
      <c r="JM25" s="198"/>
      <c r="JN25" s="198"/>
      <c r="JO25" s="198"/>
      <c r="JP25" s="198"/>
      <c r="JQ25" s="198"/>
      <c r="JR25" s="198"/>
      <c r="JS25" s="198"/>
      <c r="JT25" s="198"/>
      <c r="JU25" s="198"/>
      <c r="JV25" s="198"/>
      <c r="JW25" s="198"/>
      <c r="JX25" s="198"/>
      <c r="JY25" s="198"/>
      <c r="JZ25" s="198"/>
      <c r="KA25" s="198"/>
      <c r="KB25" s="198"/>
      <c r="KC25" s="198"/>
      <c r="KD25" s="198"/>
      <c r="KE25" s="198"/>
      <c r="KF25" s="198"/>
      <c r="KG25" s="198"/>
      <c r="KH25" s="198"/>
      <c r="KI25" s="198"/>
      <c r="KJ25" s="198"/>
      <c r="KK25" s="198"/>
      <c r="KL25" s="198"/>
      <c r="KM25" s="198"/>
      <c r="KN25" s="198"/>
      <c r="KO25" s="198"/>
      <c r="KP25" s="198"/>
      <c r="KQ25" s="198"/>
      <c r="KR25" s="198"/>
      <c r="KS25" s="198"/>
      <c r="KT25" s="198"/>
      <c r="KU25" s="198"/>
      <c r="KV25" s="198"/>
      <c r="KW25" s="198"/>
      <c r="KX25" s="198"/>
      <c r="KY25" s="198"/>
      <c r="KZ25" s="198"/>
      <c r="LA25" s="198"/>
      <c r="LB25" s="198"/>
      <c r="LC25" s="198"/>
      <c r="LD25" s="198"/>
      <c r="LE25" s="198"/>
      <c r="LF25" s="198"/>
      <c r="LG25" s="198"/>
      <c r="LH25" s="198"/>
      <c r="LI25" s="198"/>
      <c r="LJ25" s="198"/>
      <c r="LK25" s="198"/>
      <c r="LL25" s="198"/>
      <c r="LM25" s="198"/>
      <c r="LN25" s="198"/>
      <c r="LO25" s="198"/>
      <c r="LP25" s="198"/>
      <c r="LQ25" s="198"/>
      <c r="LR25" s="198"/>
      <c r="LS25" s="198"/>
      <c r="LT25" s="198"/>
      <c r="LU25" s="198"/>
      <c r="LV25" s="198"/>
      <c r="LW25" s="198"/>
      <c r="LX25" s="198"/>
      <c r="LY25" s="198"/>
      <c r="LZ25" s="198"/>
      <c r="MA25" s="198"/>
      <c r="MB25" s="198"/>
      <c r="MC25" s="198"/>
      <c r="MD25" s="198"/>
      <c r="ME25" s="198"/>
      <c r="MF25" s="198"/>
      <c r="MG25" s="198"/>
      <c r="MH25" s="198"/>
      <c r="MI25" s="198"/>
      <c r="MJ25" s="198"/>
      <c r="MK25" s="198"/>
      <c r="ML25" s="198"/>
      <c r="MM25" s="198"/>
      <c r="MN25" s="198"/>
      <c r="MO25" s="198"/>
      <c r="MP25" s="198"/>
      <c r="MQ25" s="198"/>
      <c r="MR25" s="198"/>
      <c r="MS25" s="198"/>
      <c r="MT25" s="198"/>
      <c r="MU25" s="198"/>
      <c r="MV25" s="198"/>
      <c r="MW25" s="198"/>
      <c r="MX25" s="198"/>
      <c r="MY25" s="198"/>
      <c r="MZ25" s="198"/>
      <c r="NA25" s="198"/>
      <c r="NB25" s="198"/>
      <c r="NC25" s="198"/>
      <c r="ND25" s="198"/>
      <c r="NE25" s="198"/>
      <c r="NF25" s="198"/>
      <c r="NG25" s="198"/>
      <c r="NH25" s="198"/>
      <c r="NI25" s="198"/>
      <c r="NJ25" s="198"/>
      <c r="NK25" s="198"/>
      <c r="NL25" s="198"/>
      <c r="NM25" s="198"/>
      <c r="NN25" s="198"/>
      <c r="NO25" s="198"/>
      <c r="NP25" s="198"/>
      <c r="NQ25" s="198"/>
      <c r="NR25" s="198"/>
      <c r="NS25" s="198"/>
      <c r="NT25" s="198"/>
      <c r="NU25" s="198"/>
      <c r="NV25" s="198"/>
      <c r="NW25" s="198"/>
      <c r="NX25" s="198"/>
      <c r="NY25" s="198"/>
      <c r="NZ25" s="198"/>
      <c r="OA25" s="198"/>
      <c r="OB25" s="198"/>
      <c r="OC25" s="198"/>
      <c r="OD25" s="198"/>
      <c r="OE25" s="198"/>
      <c r="OF25" s="198"/>
      <c r="OG25" s="198"/>
      <c r="OH25" s="198"/>
      <c r="OI25" s="198"/>
      <c r="OJ25" s="198"/>
      <c r="OK25" s="198"/>
      <c r="OL25" s="198"/>
      <c r="OM25" s="198"/>
      <c r="ON25" s="198"/>
      <c r="OO25" s="198"/>
      <c r="OP25" s="198"/>
      <c r="OQ25" s="198"/>
      <c r="OR25" s="198"/>
      <c r="OS25" s="198"/>
      <c r="OT25" s="198"/>
      <c r="OU25" s="198"/>
      <c r="OV25" s="198"/>
      <c r="OW25" s="198"/>
      <c r="OX25" s="198"/>
      <c r="OY25" s="198"/>
      <c r="OZ25" s="198"/>
      <c r="PA25" s="198"/>
      <c r="PB25" s="198"/>
      <c r="PC25" s="198"/>
      <c r="PD25" s="198"/>
      <c r="PE25" s="198"/>
      <c r="PF25" s="198"/>
      <c r="PG25" s="198"/>
      <c r="PH25" s="198"/>
      <c r="PI25" s="198"/>
      <c r="PJ25" s="198"/>
      <c r="PK25" s="198"/>
      <c r="PL25" s="198"/>
      <c r="PM25" s="198"/>
      <c r="PN25" s="198"/>
      <c r="PO25" s="198"/>
      <c r="PP25" s="198"/>
      <c r="PQ25" s="198"/>
      <c r="PR25" s="198"/>
      <c r="PS25" s="198"/>
      <c r="PT25" s="198"/>
      <c r="PU25" s="198"/>
      <c r="PV25" s="198"/>
      <c r="PW25" s="198"/>
      <c r="PX25" s="198"/>
      <c r="PY25" s="198"/>
      <c r="PZ25" s="198"/>
      <c r="QA25" s="198"/>
      <c r="QB25" s="198"/>
      <c r="QC25" s="198"/>
      <c r="QD25" s="198"/>
      <c r="QE25" s="198"/>
      <c r="QF25" s="198"/>
      <c r="QG25" s="198"/>
      <c r="QH25" s="198"/>
      <c r="QI25" s="198"/>
      <c r="QJ25" s="198"/>
      <c r="QK25" s="198"/>
      <c r="QL25" s="198"/>
      <c r="QM25" s="198"/>
      <c r="QN25" s="198"/>
      <c r="QO25" s="198"/>
      <c r="QP25" s="198"/>
      <c r="QQ25" s="198"/>
      <c r="QR25" s="198"/>
      <c r="QS25" s="198"/>
      <c r="QT25" s="198"/>
      <c r="QU25" s="198"/>
      <c r="QV25" s="198"/>
      <c r="QW25" s="198"/>
      <c r="QX25" s="198"/>
      <c r="QY25" s="198"/>
      <c r="QZ25" s="198"/>
      <c r="RA25" s="198"/>
      <c r="RB25" s="198"/>
      <c r="RC25" s="198"/>
      <c r="RD25" s="198"/>
      <c r="RE25" s="198"/>
      <c r="RF25" s="198"/>
      <c r="RG25" s="198"/>
      <c r="RH25" s="198"/>
      <c r="RI25" s="198"/>
      <c r="RJ25" s="198"/>
      <c r="RK25" s="198"/>
      <c r="RL25" s="198"/>
      <c r="RM25" s="198"/>
      <c r="RN25" s="198"/>
      <c r="RO25" s="198"/>
      <c r="RP25" s="198"/>
      <c r="RQ25" s="198"/>
      <c r="RR25" s="198"/>
      <c r="RS25" s="198"/>
      <c r="RT25" s="198"/>
      <c r="RU25" s="198"/>
      <c r="RV25" s="198"/>
      <c r="RW25" s="198"/>
      <c r="RX25" s="198"/>
      <c r="RY25" s="198"/>
      <c r="RZ25" s="198"/>
      <c r="SA25" s="198"/>
      <c r="SB25" s="198"/>
      <c r="SC25" s="198"/>
      <c r="SD25" s="198"/>
      <c r="SE25" s="198"/>
      <c r="SF25" s="198"/>
      <c r="SG25" s="198"/>
    </row>
    <row r="26" spans="1:501" ht="40.049999999999997" customHeight="1" thickBot="1" x14ac:dyDescent="0.35">
      <c r="A26" s="541" t="s">
        <v>124</v>
      </c>
      <c r="B26" s="952" t="s">
        <v>125</v>
      </c>
      <c r="C26" s="950">
        <f>'MANZ. A'!H28</f>
        <v>0</v>
      </c>
      <c r="D26" s="861"/>
      <c r="E26" s="862">
        <f>'MANZ. B'!R26</f>
        <v>5</v>
      </c>
      <c r="F26" s="861"/>
      <c r="G26" s="863" t="e">
        <f>MANZ.C!#REF!</f>
        <v>#REF!</v>
      </c>
      <c r="H26" s="861"/>
      <c r="I26" s="863" t="e">
        <f>MANZ.D!#REF!</f>
        <v>#REF!</v>
      </c>
      <c r="J26" s="861"/>
      <c r="K26" s="863" t="e">
        <f>MANZ.E!#REF!</f>
        <v>#REF!</v>
      </c>
      <c r="L26" s="861"/>
      <c r="M26" s="863" t="e">
        <f>MANZ.F!#REF!</f>
        <v>#REF!</v>
      </c>
      <c r="N26" s="861"/>
      <c r="O26" s="862" t="e">
        <f>MANZ.G!#REF!</f>
        <v>#REF!</v>
      </c>
      <c r="P26" s="861"/>
      <c r="Q26" s="863" t="e">
        <f>MANZ.H!#REF!</f>
        <v>#REF!</v>
      </c>
      <c r="R26" s="861"/>
      <c r="S26" s="863" t="e">
        <f>MANZ.I!#REF!</f>
        <v>#REF!</v>
      </c>
      <c r="T26" s="861"/>
      <c r="U26" s="863" t="e">
        <f>MANZ.J!#REF!</f>
        <v>#REF!</v>
      </c>
      <c r="V26" s="861"/>
      <c r="W26" s="863" t="e">
        <f>MANZ.K!#REF!</f>
        <v>#REF!</v>
      </c>
      <c r="X26" s="861"/>
      <c r="Y26" s="863" t="e">
        <f>MANZ.L!#REF!</f>
        <v>#REF!</v>
      </c>
      <c r="Z26" s="861"/>
      <c r="AA26" s="863">
        <f>'SALA MULTIUSO'!F25</f>
        <v>0</v>
      </c>
      <c r="AB26" s="864"/>
      <c r="AC26" s="864"/>
      <c r="AD26" s="864"/>
      <c r="AE26" s="864"/>
      <c r="AF26" s="861"/>
      <c r="AG26" s="865" t="e">
        <f>SUM(#REF!)</f>
        <v>#REF!</v>
      </c>
      <c r="AH26" s="866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  <c r="DH26" s="198"/>
      <c r="DI26" s="198"/>
      <c r="DJ26" s="198"/>
      <c r="DK26" s="198"/>
      <c r="DL26" s="198"/>
      <c r="DM26" s="198"/>
      <c r="DN26" s="198"/>
      <c r="DO26" s="198"/>
      <c r="DP26" s="198"/>
      <c r="DQ26" s="198"/>
      <c r="DR26" s="198"/>
      <c r="DS26" s="198"/>
      <c r="DT26" s="198"/>
      <c r="DU26" s="198"/>
      <c r="DV26" s="198"/>
      <c r="DW26" s="198"/>
      <c r="DX26" s="198"/>
      <c r="DY26" s="198"/>
      <c r="DZ26" s="198"/>
      <c r="EA26" s="198"/>
      <c r="EB26" s="198"/>
      <c r="EC26" s="198"/>
      <c r="ED26" s="198"/>
      <c r="EE26" s="198"/>
      <c r="EF26" s="198"/>
      <c r="EG26" s="198"/>
      <c r="EH26" s="198"/>
      <c r="EI26" s="198"/>
      <c r="EJ26" s="198"/>
      <c r="EK26" s="198"/>
      <c r="EL26" s="198"/>
      <c r="EM26" s="198"/>
      <c r="EN26" s="198"/>
      <c r="EO26" s="198"/>
      <c r="EP26" s="198"/>
      <c r="EQ26" s="198"/>
      <c r="ER26" s="198"/>
      <c r="ES26" s="198"/>
      <c r="ET26" s="198"/>
      <c r="EU26" s="198"/>
      <c r="EV26" s="198"/>
      <c r="EW26" s="198"/>
      <c r="EX26" s="198"/>
      <c r="EY26" s="198"/>
      <c r="EZ26" s="198"/>
      <c r="FA26" s="198"/>
      <c r="FB26" s="198"/>
      <c r="FC26" s="198"/>
      <c r="FD26" s="198"/>
      <c r="FE26" s="198"/>
      <c r="FF26" s="198"/>
      <c r="FG26" s="198"/>
      <c r="FH26" s="198"/>
      <c r="FI26" s="198"/>
      <c r="FJ26" s="198"/>
      <c r="FK26" s="198"/>
      <c r="FL26" s="198"/>
      <c r="FM26" s="198"/>
      <c r="FN26" s="198"/>
      <c r="FO26" s="198"/>
      <c r="FP26" s="198"/>
      <c r="FQ26" s="198"/>
      <c r="FR26" s="198"/>
      <c r="FS26" s="198"/>
      <c r="FT26" s="198"/>
      <c r="FU26" s="198"/>
      <c r="FV26" s="198"/>
      <c r="FW26" s="198"/>
      <c r="FX26" s="198"/>
      <c r="FY26" s="198"/>
      <c r="FZ26" s="198"/>
      <c r="GA26" s="198"/>
      <c r="GB26" s="198"/>
      <c r="GC26" s="198"/>
      <c r="GD26" s="198"/>
      <c r="GE26" s="198"/>
      <c r="GF26" s="198"/>
      <c r="GG26" s="198"/>
      <c r="GH26" s="198"/>
      <c r="GI26" s="198"/>
      <c r="GJ26" s="198"/>
      <c r="GK26" s="198"/>
      <c r="GL26" s="198"/>
      <c r="GM26" s="198"/>
      <c r="GN26" s="198"/>
      <c r="GO26" s="198"/>
      <c r="GP26" s="198"/>
      <c r="GQ26" s="198"/>
      <c r="GR26" s="198"/>
      <c r="GS26" s="198"/>
      <c r="GT26" s="198"/>
      <c r="GU26" s="198"/>
      <c r="GV26" s="198"/>
      <c r="GW26" s="198"/>
      <c r="GX26" s="198"/>
      <c r="GY26" s="198"/>
      <c r="GZ26" s="198"/>
      <c r="HA26" s="198"/>
      <c r="HB26" s="198"/>
      <c r="HC26" s="198"/>
      <c r="HD26" s="198"/>
      <c r="HE26" s="198"/>
      <c r="HF26" s="198"/>
      <c r="HG26" s="198"/>
      <c r="HH26" s="198"/>
      <c r="HI26" s="198"/>
      <c r="HJ26" s="198"/>
      <c r="HK26" s="198"/>
      <c r="HL26" s="198"/>
      <c r="HM26" s="198"/>
      <c r="HN26" s="198"/>
      <c r="HO26" s="198"/>
      <c r="HP26" s="198"/>
      <c r="HQ26" s="198"/>
      <c r="HR26" s="198"/>
      <c r="HS26" s="198"/>
      <c r="HT26" s="198"/>
      <c r="HU26" s="198"/>
      <c r="HV26" s="198"/>
      <c r="HW26" s="198"/>
      <c r="HX26" s="198"/>
      <c r="HY26" s="198"/>
      <c r="HZ26" s="198"/>
      <c r="IA26" s="198"/>
      <c r="IB26" s="198"/>
      <c r="IC26" s="198"/>
      <c r="ID26" s="198"/>
      <c r="IE26" s="198"/>
      <c r="IF26" s="198"/>
      <c r="IG26" s="198"/>
      <c r="IH26" s="198"/>
      <c r="II26" s="198"/>
      <c r="IJ26" s="198"/>
      <c r="IK26" s="198"/>
      <c r="IL26" s="198"/>
      <c r="IM26" s="198"/>
      <c r="IN26" s="198"/>
      <c r="IO26" s="198"/>
      <c r="IP26" s="198"/>
      <c r="IQ26" s="198"/>
      <c r="IR26" s="198"/>
      <c r="IS26" s="198"/>
      <c r="IT26" s="198"/>
      <c r="IU26" s="198"/>
      <c r="IV26" s="198"/>
      <c r="IW26" s="198"/>
      <c r="IX26" s="198"/>
      <c r="IY26" s="198"/>
      <c r="IZ26" s="198"/>
      <c r="JA26" s="198"/>
      <c r="JB26" s="198"/>
      <c r="JC26" s="198"/>
      <c r="JD26" s="198"/>
      <c r="JE26" s="198"/>
      <c r="JF26" s="198"/>
      <c r="JG26" s="198"/>
      <c r="JH26" s="198"/>
      <c r="JI26" s="198"/>
      <c r="JJ26" s="198"/>
      <c r="JK26" s="198"/>
      <c r="JL26" s="198"/>
      <c r="JM26" s="198"/>
      <c r="JN26" s="198"/>
      <c r="JO26" s="198"/>
      <c r="JP26" s="198"/>
      <c r="JQ26" s="198"/>
      <c r="JR26" s="198"/>
      <c r="JS26" s="198"/>
      <c r="JT26" s="198"/>
      <c r="JU26" s="198"/>
      <c r="JV26" s="198"/>
      <c r="JW26" s="198"/>
      <c r="JX26" s="198"/>
      <c r="JY26" s="198"/>
      <c r="JZ26" s="198"/>
      <c r="KA26" s="198"/>
      <c r="KB26" s="198"/>
      <c r="KC26" s="198"/>
      <c r="KD26" s="198"/>
      <c r="KE26" s="198"/>
      <c r="KF26" s="198"/>
      <c r="KG26" s="198"/>
      <c r="KH26" s="198"/>
      <c r="KI26" s="198"/>
      <c r="KJ26" s="198"/>
      <c r="KK26" s="198"/>
      <c r="KL26" s="198"/>
      <c r="KM26" s="198"/>
      <c r="KN26" s="198"/>
      <c r="KO26" s="198"/>
      <c r="KP26" s="198"/>
      <c r="KQ26" s="198"/>
      <c r="KR26" s="198"/>
      <c r="KS26" s="198"/>
      <c r="KT26" s="198"/>
      <c r="KU26" s="198"/>
      <c r="KV26" s="198"/>
      <c r="KW26" s="198"/>
      <c r="KX26" s="198"/>
      <c r="KY26" s="198"/>
      <c r="KZ26" s="198"/>
      <c r="LA26" s="198"/>
      <c r="LB26" s="198"/>
      <c r="LC26" s="198"/>
      <c r="LD26" s="198"/>
      <c r="LE26" s="198"/>
      <c r="LF26" s="198"/>
      <c r="LG26" s="198"/>
      <c r="LH26" s="198"/>
      <c r="LI26" s="198"/>
      <c r="LJ26" s="198"/>
      <c r="LK26" s="198"/>
      <c r="LL26" s="198"/>
      <c r="LM26" s="198"/>
      <c r="LN26" s="198"/>
      <c r="LO26" s="198"/>
      <c r="LP26" s="198"/>
      <c r="LQ26" s="198"/>
      <c r="LR26" s="198"/>
      <c r="LS26" s="198"/>
      <c r="LT26" s="198"/>
      <c r="LU26" s="198"/>
      <c r="LV26" s="198"/>
      <c r="LW26" s="198"/>
      <c r="LX26" s="198"/>
      <c r="LY26" s="198"/>
      <c r="LZ26" s="198"/>
      <c r="MA26" s="198"/>
      <c r="MB26" s="198"/>
      <c r="MC26" s="198"/>
      <c r="MD26" s="198"/>
      <c r="ME26" s="198"/>
      <c r="MF26" s="198"/>
      <c r="MG26" s="198"/>
      <c r="MH26" s="198"/>
      <c r="MI26" s="198"/>
      <c r="MJ26" s="198"/>
      <c r="MK26" s="198"/>
      <c r="ML26" s="198"/>
      <c r="MM26" s="198"/>
      <c r="MN26" s="198"/>
      <c r="MO26" s="198"/>
      <c r="MP26" s="198"/>
      <c r="MQ26" s="198"/>
      <c r="MR26" s="198"/>
      <c r="MS26" s="198"/>
      <c r="MT26" s="198"/>
      <c r="MU26" s="198"/>
      <c r="MV26" s="198"/>
      <c r="MW26" s="198"/>
      <c r="MX26" s="198"/>
      <c r="MY26" s="198"/>
      <c r="MZ26" s="198"/>
      <c r="NA26" s="198"/>
      <c r="NB26" s="198"/>
      <c r="NC26" s="198"/>
      <c r="ND26" s="198"/>
      <c r="NE26" s="198"/>
      <c r="NF26" s="198"/>
      <c r="NG26" s="198"/>
      <c r="NH26" s="198"/>
      <c r="NI26" s="198"/>
      <c r="NJ26" s="198"/>
      <c r="NK26" s="198"/>
      <c r="NL26" s="198"/>
      <c r="NM26" s="198"/>
      <c r="NN26" s="198"/>
      <c r="NO26" s="198"/>
      <c r="NP26" s="198"/>
      <c r="NQ26" s="198"/>
      <c r="NR26" s="198"/>
      <c r="NS26" s="198"/>
      <c r="NT26" s="198"/>
      <c r="NU26" s="198"/>
      <c r="NV26" s="198"/>
      <c r="NW26" s="198"/>
      <c r="NX26" s="198"/>
      <c r="NY26" s="198"/>
      <c r="NZ26" s="198"/>
      <c r="OA26" s="198"/>
      <c r="OB26" s="198"/>
      <c r="OC26" s="198"/>
      <c r="OD26" s="198"/>
      <c r="OE26" s="198"/>
      <c r="OF26" s="198"/>
      <c r="OG26" s="198"/>
      <c r="OH26" s="198"/>
      <c r="OI26" s="198"/>
      <c r="OJ26" s="198"/>
      <c r="OK26" s="198"/>
      <c r="OL26" s="198"/>
      <c r="OM26" s="198"/>
      <c r="ON26" s="198"/>
      <c r="OO26" s="198"/>
      <c r="OP26" s="198"/>
      <c r="OQ26" s="198"/>
      <c r="OR26" s="198"/>
      <c r="OS26" s="198"/>
      <c r="OT26" s="198"/>
      <c r="OU26" s="198"/>
      <c r="OV26" s="198"/>
      <c r="OW26" s="198"/>
      <c r="OX26" s="198"/>
      <c r="OY26" s="198"/>
      <c r="OZ26" s="198"/>
      <c r="PA26" s="198"/>
      <c r="PB26" s="198"/>
      <c r="PC26" s="198"/>
      <c r="PD26" s="198"/>
      <c r="PE26" s="198"/>
      <c r="PF26" s="198"/>
      <c r="PG26" s="198"/>
      <c r="PH26" s="198"/>
      <c r="PI26" s="198"/>
      <c r="PJ26" s="198"/>
      <c r="PK26" s="198"/>
      <c r="PL26" s="198"/>
      <c r="PM26" s="198"/>
      <c r="PN26" s="198"/>
      <c r="PO26" s="198"/>
      <c r="PP26" s="198"/>
      <c r="PQ26" s="198"/>
      <c r="PR26" s="198"/>
      <c r="PS26" s="198"/>
      <c r="PT26" s="198"/>
      <c r="PU26" s="198"/>
      <c r="PV26" s="198"/>
      <c r="PW26" s="198"/>
      <c r="PX26" s="198"/>
      <c r="PY26" s="198"/>
      <c r="PZ26" s="198"/>
      <c r="QA26" s="198"/>
      <c r="QB26" s="198"/>
      <c r="QC26" s="198"/>
      <c r="QD26" s="198"/>
      <c r="QE26" s="198"/>
      <c r="QF26" s="198"/>
      <c r="QG26" s="198"/>
      <c r="QH26" s="198"/>
      <c r="QI26" s="198"/>
      <c r="QJ26" s="198"/>
      <c r="QK26" s="198"/>
      <c r="QL26" s="198"/>
      <c r="QM26" s="198"/>
      <c r="QN26" s="198"/>
      <c r="QO26" s="198"/>
      <c r="QP26" s="198"/>
      <c r="QQ26" s="198"/>
      <c r="QR26" s="198"/>
      <c r="QS26" s="198"/>
      <c r="QT26" s="198"/>
      <c r="QU26" s="198"/>
      <c r="QV26" s="198"/>
      <c r="QW26" s="198"/>
      <c r="QX26" s="198"/>
      <c r="QY26" s="198"/>
      <c r="QZ26" s="198"/>
      <c r="RA26" s="198"/>
      <c r="RB26" s="198"/>
      <c r="RC26" s="198"/>
      <c r="RD26" s="198"/>
      <c r="RE26" s="198"/>
      <c r="RF26" s="198"/>
      <c r="RG26" s="198"/>
      <c r="RH26" s="198"/>
      <c r="RI26" s="198"/>
      <c r="RJ26" s="198"/>
      <c r="RK26" s="198"/>
      <c r="RL26" s="198"/>
      <c r="RM26" s="198"/>
      <c r="RN26" s="198"/>
      <c r="RO26" s="198"/>
      <c r="RP26" s="198"/>
      <c r="RQ26" s="198"/>
      <c r="RR26" s="198"/>
      <c r="RS26" s="198"/>
      <c r="RT26" s="198"/>
      <c r="RU26" s="198"/>
      <c r="RV26" s="198"/>
      <c r="RW26" s="198"/>
      <c r="RX26" s="198"/>
      <c r="RY26" s="198"/>
      <c r="RZ26" s="198"/>
      <c r="SA26" s="198"/>
      <c r="SB26" s="198"/>
      <c r="SC26" s="198"/>
      <c r="SD26" s="198"/>
      <c r="SE26" s="198"/>
      <c r="SF26" s="198"/>
      <c r="SG26" s="198"/>
    </row>
    <row r="27" spans="1:501" ht="40.049999999999997" customHeight="1" x14ac:dyDescent="0.3">
      <c r="A27" s="970" t="s">
        <v>126</v>
      </c>
      <c r="B27" s="971" t="s">
        <v>127</v>
      </c>
      <c r="C27" s="944"/>
      <c r="D27" s="944"/>
      <c r="E27" s="944"/>
      <c r="F27" s="944"/>
      <c r="G27" s="944"/>
      <c r="H27" s="944"/>
      <c r="I27" s="944"/>
      <c r="J27" s="944"/>
      <c r="K27" s="944"/>
      <c r="L27" s="944"/>
      <c r="M27" s="944"/>
      <c r="N27" s="944"/>
      <c r="O27" s="944"/>
      <c r="P27" s="944"/>
      <c r="Q27" s="944"/>
      <c r="R27" s="944"/>
      <c r="S27" s="944"/>
      <c r="T27" s="944"/>
      <c r="U27" s="944"/>
      <c r="V27" s="944"/>
      <c r="W27" s="944"/>
      <c r="X27" s="944"/>
      <c r="Y27" s="944"/>
      <c r="Z27" s="944"/>
      <c r="AA27" s="944"/>
      <c r="AB27" s="944"/>
      <c r="AC27" s="944"/>
      <c r="AD27" s="944"/>
      <c r="AE27" s="944"/>
      <c r="AF27" s="944"/>
      <c r="AG27" s="944"/>
      <c r="AH27" s="945"/>
      <c r="AI27" s="198"/>
      <c r="AJ27" s="198"/>
      <c r="AK27" s="198"/>
      <c r="AL27" s="198"/>
      <c r="AM27" s="198"/>
      <c r="AN27" s="198"/>
      <c r="AO27" s="198"/>
      <c r="AP27" s="198"/>
      <c r="AQ27" s="198"/>
      <c r="AR27" s="198"/>
      <c r="AS27" s="198"/>
      <c r="AT27" s="198"/>
      <c r="AU27" s="198"/>
      <c r="AV27" s="198"/>
      <c r="AW27" s="198"/>
      <c r="AX27" s="198"/>
      <c r="AY27" s="198"/>
      <c r="AZ27" s="198"/>
      <c r="BA27" s="198"/>
      <c r="BB27" s="198"/>
      <c r="BC27" s="198"/>
      <c r="BD27" s="198"/>
      <c r="BE27" s="198"/>
      <c r="BF27" s="198"/>
      <c r="BG27" s="198"/>
      <c r="BH27" s="198"/>
      <c r="BI27" s="198"/>
      <c r="BJ27" s="198"/>
      <c r="BK27" s="198"/>
      <c r="BL27" s="198"/>
      <c r="BM27" s="198"/>
      <c r="BN27" s="198"/>
      <c r="BO27" s="198"/>
      <c r="BP27" s="198"/>
      <c r="BQ27" s="198"/>
      <c r="BR27" s="198"/>
      <c r="BS27" s="198"/>
      <c r="BT27" s="198"/>
      <c r="BU27" s="198"/>
      <c r="BV27" s="198"/>
      <c r="BW27" s="198"/>
      <c r="BX27" s="198"/>
      <c r="BY27" s="198"/>
      <c r="BZ27" s="198"/>
      <c r="CA27" s="198"/>
      <c r="CB27" s="198"/>
      <c r="CC27" s="198"/>
      <c r="CD27" s="198"/>
      <c r="CE27" s="198"/>
      <c r="CF27" s="198"/>
      <c r="CG27" s="198"/>
      <c r="CH27" s="198"/>
      <c r="CI27" s="198"/>
      <c r="CJ27" s="198"/>
      <c r="CK27" s="198"/>
      <c r="CL27" s="198"/>
      <c r="CM27" s="198"/>
      <c r="CN27" s="198"/>
      <c r="CO27" s="198"/>
      <c r="CP27" s="198"/>
      <c r="CQ27" s="198"/>
      <c r="CR27" s="198"/>
      <c r="CS27" s="198"/>
      <c r="CT27" s="198"/>
      <c r="CU27" s="198"/>
      <c r="CV27" s="198"/>
      <c r="CW27" s="198"/>
      <c r="CX27" s="198"/>
      <c r="CY27" s="198"/>
      <c r="CZ27" s="198"/>
      <c r="DA27" s="198"/>
      <c r="DB27" s="198"/>
      <c r="DC27" s="198"/>
      <c r="DD27" s="198"/>
      <c r="DE27" s="198"/>
      <c r="DF27" s="198"/>
      <c r="DG27" s="198"/>
      <c r="DH27" s="198"/>
      <c r="DI27" s="198"/>
      <c r="DJ27" s="198"/>
      <c r="DK27" s="198"/>
      <c r="DL27" s="198"/>
      <c r="DM27" s="198"/>
      <c r="DN27" s="198"/>
      <c r="DO27" s="198"/>
      <c r="DP27" s="198"/>
      <c r="DQ27" s="198"/>
      <c r="DR27" s="198"/>
      <c r="DS27" s="198"/>
      <c r="DT27" s="198"/>
      <c r="DU27" s="198"/>
      <c r="DV27" s="198"/>
      <c r="DW27" s="198"/>
      <c r="DX27" s="198"/>
      <c r="DY27" s="198"/>
      <c r="DZ27" s="198"/>
      <c r="EA27" s="198"/>
      <c r="EB27" s="198"/>
      <c r="EC27" s="198"/>
      <c r="ED27" s="198"/>
      <c r="EE27" s="198"/>
      <c r="EF27" s="198"/>
      <c r="EG27" s="198"/>
      <c r="EH27" s="198"/>
      <c r="EI27" s="198"/>
      <c r="EJ27" s="198"/>
      <c r="EK27" s="198"/>
      <c r="EL27" s="198"/>
      <c r="EM27" s="198"/>
      <c r="EN27" s="198"/>
      <c r="EO27" s="198"/>
      <c r="EP27" s="198"/>
      <c r="EQ27" s="198"/>
      <c r="ER27" s="198"/>
      <c r="ES27" s="198"/>
      <c r="ET27" s="198"/>
      <c r="EU27" s="198"/>
      <c r="EV27" s="198"/>
      <c r="EW27" s="198"/>
      <c r="EX27" s="198"/>
      <c r="EY27" s="198"/>
      <c r="EZ27" s="198"/>
      <c r="FA27" s="198"/>
      <c r="FB27" s="198"/>
      <c r="FC27" s="198"/>
      <c r="FD27" s="198"/>
      <c r="FE27" s="198"/>
      <c r="FF27" s="198"/>
      <c r="FG27" s="198"/>
      <c r="FH27" s="198"/>
      <c r="FI27" s="198"/>
      <c r="FJ27" s="198"/>
      <c r="FK27" s="198"/>
      <c r="FL27" s="198"/>
      <c r="FM27" s="198"/>
      <c r="FN27" s="198"/>
      <c r="FO27" s="198"/>
      <c r="FP27" s="198"/>
      <c r="FQ27" s="198"/>
      <c r="FR27" s="198"/>
      <c r="FS27" s="198"/>
      <c r="FT27" s="198"/>
      <c r="FU27" s="198"/>
      <c r="FV27" s="198"/>
      <c r="FW27" s="198"/>
      <c r="FX27" s="198"/>
      <c r="FY27" s="198"/>
      <c r="FZ27" s="198"/>
      <c r="GA27" s="198"/>
      <c r="GB27" s="198"/>
      <c r="GC27" s="198"/>
      <c r="GD27" s="198"/>
      <c r="GE27" s="198"/>
      <c r="GF27" s="198"/>
      <c r="GG27" s="198"/>
      <c r="GH27" s="198"/>
      <c r="GI27" s="198"/>
      <c r="GJ27" s="198"/>
      <c r="GK27" s="198"/>
      <c r="GL27" s="198"/>
      <c r="GM27" s="198"/>
      <c r="GN27" s="198"/>
      <c r="GO27" s="198"/>
      <c r="GP27" s="198"/>
      <c r="GQ27" s="198"/>
      <c r="GR27" s="198"/>
      <c r="GS27" s="198"/>
      <c r="GT27" s="198"/>
      <c r="GU27" s="198"/>
      <c r="GV27" s="198"/>
      <c r="GW27" s="198"/>
      <c r="GX27" s="198"/>
      <c r="GY27" s="198"/>
      <c r="GZ27" s="198"/>
      <c r="HA27" s="198"/>
      <c r="HB27" s="198"/>
      <c r="HC27" s="198"/>
      <c r="HD27" s="198"/>
      <c r="HE27" s="198"/>
      <c r="HF27" s="198"/>
      <c r="HG27" s="198"/>
      <c r="HH27" s="198"/>
      <c r="HI27" s="198"/>
      <c r="HJ27" s="198"/>
      <c r="HK27" s="198"/>
      <c r="HL27" s="198"/>
      <c r="HM27" s="198"/>
      <c r="HN27" s="198"/>
      <c r="HO27" s="198"/>
      <c r="HP27" s="198"/>
      <c r="HQ27" s="198"/>
      <c r="HR27" s="198"/>
      <c r="HS27" s="198"/>
      <c r="HT27" s="198"/>
      <c r="HU27" s="198"/>
      <c r="HV27" s="198"/>
      <c r="HW27" s="198"/>
      <c r="HX27" s="198"/>
      <c r="HY27" s="198"/>
      <c r="HZ27" s="198"/>
      <c r="IA27" s="198"/>
      <c r="IB27" s="198"/>
      <c r="IC27" s="198"/>
      <c r="ID27" s="198"/>
      <c r="IE27" s="198"/>
      <c r="IF27" s="198"/>
      <c r="IG27" s="198"/>
      <c r="IH27" s="198"/>
      <c r="II27" s="198"/>
      <c r="IJ27" s="198"/>
      <c r="IK27" s="198"/>
      <c r="IL27" s="198"/>
      <c r="IM27" s="198"/>
      <c r="IN27" s="198"/>
      <c r="IO27" s="198"/>
      <c r="IP27" s="198"/>
      <c r="IQ27" s="198"/>
      <c r="IR27" s="198"/>
      <c r="IS27" s="198"/>
      <c r="IT27" s="198"/>
      <c r="IU27" s="198"/>
      <c r="IV27" s="198"/>
      <c r="IW27" s="198"/>
      <c r="IX27" s="198"/>
      <c r="IY27" s="198"/>
      <c r="IZ27" s="198"/>
      <c r="JA27" s="198"/>
      <c r="JB27" s="198"/>
      <c r="JC27" s="198"/>
      <c r="JD27" s="198"/>
      <c r="JE27" s="198"/>
      <c r="JF27" s="198"/>
      <c r="JG27" s="198"/>
      <c r="JH27" s="198"/>
      <c r="JI27" s="198"/>
      <c r="JJ27" s="198"/>
      <c r="JK27" s="198"/>
      <c r="JL27" s="198"/>
      <c r="JM27" s="198"/>
      <c r="JN27" s="198"/>
      <c r="JO27" s="198"/>
      <c r="JP27" s="198"/>
      <c r="JQ27" s="198"/>
      <c r="JR27" s="198"/>
      <c r="JS27" s="198"/>
      <c r="JT27" s="198"/>
      <c r="JU27" s="198"/>
      <c r="JV27" s="198"/>
      <c r="JW27" s="198"/>
      <c r="JX27" s="198"/>
      <c r="JY27" s="198"/>
      <c r="JZ27" s="198"/>
      <c r="KA27" s="198"/>
      <c r="KB27" s="198"/>
      <c r="KC27" s="198"/>
      <c r="KD27" s="198"/>
      <c r="KE27" s="198"/>
      <c r="KF27" s="198"/>
      <c r="KG27" s="198"/>
      <c r="KH27" s="198"/>
      <c r="KI27" s="198"/>
      <c r="KJ27" s="198"/>
      <c r="KK27" s="198"/>
      <c r="KL27" s="198"/>
      <c r="KM27" s="198"/>
      <c r="KN27" s="198"/>
      <c r="KO27" s="198"/>
      <c r="KP27" s="198"/>
      <c r="KQ27" s="198"/>
      <c r="KR27" s="198"/>
      <c r="KS27" s="198"/>
      <c r="KT27" s="198"/>
      <c r="KU27" s="198"/>
      <c r="KV27" s="198"/>
      <c r="KW27" s="198"/>
      <c r="KX27" s="198"/>
      <c r="KY27" s="198"/>
      <c r="KZ27" s="198"/>
      <c r="LA27" s="198"/>
      <c r="LB27" s="198"/>
      <c r="LC27" s="198"/>
      <c r="LD27" s="198"/>
      <c r="LE27" s="198"/>
      <c r="LF27" s="198"/>
      <c r="LG27" s="198"/>
      <c r="LH27" s="198"/>
      <c r="LI27" s="198"/>
      <c r="LJ27" s="198"/>
      <c r="LK27" s="198"/>
      <c r="LL27" s="198"/>
      <c r="LM27" s="198"/>
      <c r="LN27" s="198"/>
      <c r="LO27" s="198"/>
      <c r="LP27" s="198"/>
      <c r="LQ27" s="198"/>
      <c r="LR27" s="198"/>
      <c r="LS27" s="198"/>
      <c r="LT27" s="198"/>
      <c r="LU27" s="198"/>
      <c r="LV27" s="198"/>
      <c r="LW27" s="198"/>
      <c r="LX27" s="198"/>
      <c r="LY27" s="198"/>
      <c r="LZ27" s="198"/>
      <c r="MA27" s="198"/>
      <c r="MB27" s="198"/>
      <c r="MC27" s="198"/>
      <c r="MD27" s="198"/>
      <c r="ME27" s="198"/>
      <c r="MF27" s="198"/>
      <c r="MG27" s="198"/>
      <c r="MH27" s="198"/>
      <c r="MI27" s="198"/>
      <c r="MJ27" s="198"/>
      <c r="MK27" s="198"/>
      <c r="ML27" s="198"/>
      <c r="MM27" s="198"/>
      <c r="MN27" s="198"/>
      <c r="MO27" s="198"/>
      <c r="MP27" s="198"/>
      <c r="MQ27" s="198"/>
      <c r="MR27" s="198"/>
      <c r="MS27" s="198"/>
      <c r="MT27" s="198"/>
      <c r="MU27" s="198"/>
      <c r="MV27" s="198"/>
      <c r="MW27" s="198"/>
      <c r="MX27" s="198"/>
      <c r="MY27" s="198"/>
      <c r="MZ27" s="198"/>
      <c r="NA27" s="198"/>
      <c r="NB27" s="198"/>
      <c r="NC27" s="198"/>
      <c r="ND27" s="198"/>
      <c r="NE27" s="198"/>
      <c r="NF27" s="198"/>
      <c r="NG27" s="198"/>
      <c r="NH27" s="198"/>
      <c r="NI27" s="198"/>
      <c r="NJ27" s="198"/>
      <c r="NK27" s="198"/>
      <c r="NL27" s="198"/>
      <c r="NM27" s="198"/>
      <c r="NN27" s="198"/>
      <c r="NO27" s="198"/>
      <c r="NP27" s="198"/>
      <c r="NQ27" s="198"/>
      <c r="NR27" s="198"/>
      <c r="NS27" s="198"/>
      <c r="NT27" s="198"/>
      <c r="NU27" s="198"/>
      <c r="NV27" s="198"/>
      <c r="NW27" s="198"/>
      <c r="NX27" s="198"/>
      <c r="NY27" s="198"/>
      <c r="NZ27" s="198"/>
      <c r="OA27" s="198"/>
      <c r="OB27" s="198"/>
      <c r="OC27" s="198"/>
      <c r="OD27" s="198"/>
      <c r="OE27" s="198"/>
      <c r="OF27" s="198"/>
      <c r="OG27" s="198"/>
      <c r="OH27" s="198"/>
      <c r="OI27" s="198"/>
      <c r="OJ27" s="198"/>
      <c r="OK27" s="198"/>
      <c r="OL27" s="198"/>
      <c r="OM27" s="198"/>
      <c r="ON27" s="198"/>
      <c r="OO27" s="198"/>
      <c r="OP27" s="198"/>
      <c r="OQ27" s="198"/>
      <c r="OR27" s="198"/>
      <c r="OS27" s="198"/>
      <c r="OT27" s="198"/>
      <c r="OU27" s="198"/>
      <c r="OV27" s="198"/>
      <c r="OW27" s="198"/>
      <c r="OX27" s="198"/>
      <c r="OY27" s="198"/>
      <c r="OZ27" s="198"/>
      <c r="PA27" s="198"/>
      <c r="PB27" s="198"/>
      <c r="PC27" s="198"/>
      <c r="PD27" s="198"/>
      <c r="PE27" s="198"/>
      <c r="PF27" s="198"/>
      <c r="PG27" s="198"/>
      <c r="PH27" s="198"/>
      <c r="PI27" s="198"/>
      <c r="PJ27" s="198"/>
      <c r="PK27" s="198"/>
      <c r="PL27" s="198"/>
      <c r="PM27" s="198"/>
      <c r="PN27" s="198"/>
      <c r="PO27" s="198"/>
      <c r="PP27" s="198"/>
      <c r="PQ27" s="198"/>
      <c r="PR27" s="198"/>
      <c r="PS27" s="198"/>
      <c r="PT27" s="198"/>
      <c r="PU27" s="198"/>
      <c r="PV27" s="198"/>
      <c r="PW27" s="198"/>
      <c r="PX27" s="198"/>
      <c r="PY27" s="198"/>
      <c r="PZ27" s="198"/>
      <c r="QA27" s="198"/>
      <c r="QB27" s="198"/>
      <c r="QC27" s="198"/>
      <c r="QD27" s="198"/>
      <c r="QE27" s="198"/>
      <c r="QF27" s="198"/>
      <c r="QG27" s="198"/>
      <c r="QH27" s="198"/>
      <c r="QI27" s="198"/>
      <c r="QJ27" s="198"/>
      <c r="QK27" s="198"/>
      <c r="QL27" s="198"/>
      <c r="QM27" s="198"/>
      <c r="QN27" s="198"/>
      <c r="QO27" s="198"/>
      <c r="QP27" s="198"/>
      <c r="QQ27" s="198"/>
      <c r="QR27" s="198"/>
      <c r="QS27" s="198"/>
      <c r="QT27" s="198"/>
      <c r="QU27" s="198"/>
      <c r="QV27" s="198"/>
      <c r="QW27" s="198"/>
      <c r="QX27" s="198"/>
      <c r="QY27" s="198"/>
      <c r="QZ27" s="198"/>
      <c r="RA27" s="198"/>
      <c r="RB27" s="198"/>
      <c r="RC27" s="198"/>
      <c r="RD27" s="198"/>
      <c r="RE27" s="198"/>
      <c r="RF27" s="198"/>
      <c r="RG27" s="198"/>
      <c r="RH27" s="198"/>
      <c r="RI27" s="198"/>
      <c r="RJ27" s="198"/>
      <c r="RK27" s="198"/>
      <c r="RL27" s="198"/>
      <c r="RM27" s="198"/>
      <c r="RN27" s="198"/>
      <c r="RO27" s="198"/>
      <c r="RP27" s="198"/>
      <c r="RQ27" s="198"/>
      <c r="RR27" s="198"/>
      <c r="RS27" s="198"/>
      <c r="RT27" s="198"/>
      <c r="RU27" s="198"/>
      <c r="RV27" s="198"/>
      <c r="RW27" s="198"/>
      <c r="RX27" s="198"/>
      <c r="RY27" s="198"/>
      <c r="RZ27" s="198"/>
      <c r="SA27" s="198"/>
      <c r="SB27" s="198"/>
      <c r="SC27" s="198"/>
      <c r="SD27" s="198"/>
      <c r="SE27" s="198"/>
      <c r="SF27" s="198"/>
      <c r="SG27" s="198"/>
    </row>
    <row r="28" spans="1:501" ht="40.049999999999997" customHeight="1" x14ac:dyDescent="0.3">
      <c r="A28" s="541" t="s">
        <v>128</v>
      </c>
      <c r="B28" s="952" t="s">
        <v>129</v>
      </c>
      <c r="C28" s="950">
        <f>'MANZ. A'!H30</f>
        <v>0</v>
      </c>
      <c r="D28" s="861"/>
      <c r="E28" s="862">
        <f>'MANZ. B'!R18</f>
        <v>0</v>
      </c>
      <c r="F28" s="861"/>
      <c r="G28" s="863">
        <f>MANZ.C!AL17</f>
        <v>0</v>
      </c>
      <c r="H28" s="861"/>
      <c r="I28" s="863">
        <f>MANZ.D!Z17</f>
        <v>0</v>
      </c>
      <c r="J28" s="861"/>
      <c r="K28" s="863">
        <f>MANZ.E!AL18</f>
        <v>0</v>
      </c>
      <c r="L28" s="861"/>
      <c r="M28" s="863">
        <f>MANZ.F!AB17</f>
        <v>0</v>
      </c>
      <c r="N28" s="861"/>
      <c r="O28" s="862">
        <f>MANZ.G!AT20</f>
        <v>0</v>
      </c>
      <c r="P28" s="861"/>
      <c r="Q28" s="863">
        <f>MANZ.H!V18</f>
        <v>0</v>
      </c>
      <c r="R28" s="861"/>
      <c r="S28" s="863">
        <f>MANZ.I!AB18</f>
        <v>0</v>
      </c>
      <c r="T28" s="861"/>
      <c r="U28" s="863">
        <f>MANZ.J!AT21</f>
        <v>0</v>
      </c>
      <c r="V28" s="861"/>
      <c r="W28" s="863">
        <f>MANZ.K!AB18</f>
        <v>0</v>
      </c>
      <c r="X28" s="861"/>
      <c r="Y28" s="863">
        <f>MANZ.L!Z18</f>
        <v>0</v>
      </c>
      <c r="Z28" s="861"/>
      <c r="AA28" s="863">
        <f>'SALA MULTIUSO'!F27</f>
        <v>0</v>
      </c>
      <c r="AB28" s="864"/>
      <c r="AC28" s="864"/>
      <c r="AD28" s="864"/>
      <c r="AE28" s="864"/>
      <c r="AF28" s="861"/>
      <c r="AG28" s="865">
        <f>SUM(C18:AA18)</f>
        <v>0</v>
      </c>
      <c r="AH28" s="866"/>
      <c r="AI28" s="198"/>
      <c r="AJ28" s="198"/>
      <c r="AK28" s="198"/>
      <c r="AL28" s="198"/>
      <c r="AM28" s="198"/>
      <c r="AN28" s="198"/>
      <c r="AO28" s="198"/>
      <c r="AP28" s="198"/>
      <c r="AQ28" s="198"/>
      <c r="AR28" s="198"/>
      <c r="AS28" s="198"/>
      <c r="AT28" s="198"/>
      <c r="AU28" s="198"/>
      <c r="AV28" s="198"/>
      <c r="AW28" s="198"/>
      <c r="AX28" s="198"/>
      <c r="AY28" s="198"/>
      <c r="AZ28" s="198"/>
      <c r="BA28" s="198"/>
      <c r="BB28" s="198"/>
      <c r="BC28" s="198"/>
      <c r="BD28" s="198"/>
      <c r="BE28" s="198"/>
      <c r="BF28" s="198"/>
      <c r="BG28" s="198"/>
      <c r="BH28" s="198"/>
      <c r="BI28" s="198"/>
      <c r="BJ28" s="198"/>
      <c r="BK28" s="198"/>
      <c r="BL28" s="198"/>
      <c r="BM28" s="198"/>
      <c r="BN28" s="198"/>
      <c r="BO28" s="198"/>
      <c r="BP28" s="198"/>
      <c r="BQ28" s="198"/>
      <c r="BR28" s="198"/>
      <c r="BS28" s="198"/>
      <c r="BT28" s="198"/>
      <c r="BU28" s="198"/>
      <c r="BV28" s="198"/>
      <c r="BW28" s="198"/>
      <c r="BX28" s="198"/>
      <c r="BY28" s="198"/>
      <c r="BZ28" s="198"/>
      <c r="CA28" s="198"/>
      <c r="CB28" s="198"/>
      <c r="CC28" s="198"/>
      <c r="CD28" s="198"/>
      <c r="CE28" s="198"/>
      <c r="CF28" s="198"/>
      <c r="CG28" s="198"/>
      <c r="CH28" s="198"/>
      <c r="CI28" s="198"/>
      <c r="CJ28" s="198"/>
      <c r="CK28" s="198"/>
      <c r="CL28" s="198"/>
      <c r="CM28" s="198"/>
      <c r="CN28" s="198"/>
      <c r="CO28" s="198"/>
      <c r="CP28" s="198"/>
      <c r="CQ28" s="198"/>
      <c r="CR28" s="198"/>
      <c r="CS28" s="198"/>
      <c r="CT28" s="198"/>
      <c r="CU28" s="198"/>
      <c r="CV28" s="198"/>
      <c r="CW28" s="198"/>
      <c r="CX28" s="198"/>
      <c r="CY28" s="198"/>
      <c r="CZ28" s="198"/>
      <c r="DA28" s="198"/>
      <c r="DB28" s="198"/>
      <c r="DC28" s="198"/>
      <c r="DD28" s="198"/>
      <c r="DE28" s="198"/>
      <c r="DF28" s="198"/>
      <c r="DG28" s="198"/>
      <c r="DH28" s="198"/>
      <c r="DI28" s="198"/>
      <c r="DJ28" s="198"/>
      <c r="DK28" s="198"/>
      <c r="DL28" s="198"/>
      <c r="DM28" s="198"/>
      <c r="DN28" s="198"/>
      <c r="DO28" s="198"/>
      <c r="DP28" s="198"/>
      <c r="DQ28" s="198"/>
      <c r="DR28" s="198"/>
      <c r="DS28" s="198"/>
      <c r="DT28" s="198"/>
      <c r="DU28" s="198"/>
      <c r="DV28" s="198"/>
      <c r="DW28" s="198"/>
      <c r="DX28" s="198"/>
      <c r="DY28" s="198"/>
      <c r="DZ28" s="198"/>
      <c r="EA28" s="198"/>
      <c r="EB28" s="198"/>
      <c r="EC28" s="198"/>
      <c r="ED28" s="198"/>
      <c r="EE28" s="198"/>
      <c r="EF28" s="198"/>
      <c r="EG28" s="198"/>
      <c r="EH28" s="198"/>
      <c r="EI28" s="198"/>
      <c r="EJ28" s="198"/>
      <c r="EK28" s="198"/>
      <c r="EL28" s="198"/>
      <c r="EM28" s="198"/>
      <c r="EN28" s="198"/>
      <c r="EO28" s="198"/>
      <c r="EP28" s="198"/>
      <c r="EQ28" s="198"/>
      <c r="ER28" s="198"/>
      <c r="ES28" s="198"/>
      <c r="ET28" s="198"/>
      <c r="EU28" s="198"/>
      <c r="EV28" s="198"/>
      <c r="EW28" s="198"/>
      <c r="EX28" s="198"/>
      <c r="EY28" s="198"/>
      <c r="EZ28" s="198"/>
      <c r="FA28" s="198"/>
      <c r="FB28" s="198"/>
      <c r="FC28" s="198"/>
      <c r="FD28" s="198"/>
      <c r="FE28" s="198"/>
      <c r="FF28" s="198"/>
      <c r="FG28" s="198"/>
      <c r="FH28" s="198"/>
      <c r="FI28" s="198"/>
      <c r="FJ28" s="198"/>
      <c r="FK28" s="198"/>
      <c r="FL28" s="198"/>
      <c r="FM28" s="198"/>
      <c r="FN28" s="198"/>
      <c r="FO28" s="198"/>
      <c r="FP28" s="198"/>
      <c r="FQ28" s="198"/>
      <c r="FR28" s="198"/>
      <c r="FS28" s="198"/>
      <c r="FT28" s="198"/>
      <c r="FU28" s="198"/>
      <c r="FV28" s="198"/>
      <c r="FW28" s="198"/>
      <c r="FX28" s="198"/>
      <c r="FY28" s="198"/>
      <c r="FZ28" s="198"/>
      <c r="GA28" s="198"/>
      <c r="GB28" s="198"/>
      <c r="GC28" s="198"/>
      <c r="GD28" s="198"/>
      <c r="GE28" s="198"/>
      <c r="GF28" s="198"/>
      <c r="GG28" s="198"/>
      <c r="GH28" s="198"/>
      <c r="GI28" s="198"/>
      <c r="GJ28" s="198"/>
      <c r="GK28" s="198"/>
      <c r="GL28" s="198"/>
      <c r="GM28" s="198"/>
      <c r="GN28" s="198"/>
      <c r="GO28" s="198"/>
      <c r="GP28" s="198"/>
      <c r="GQ28" s="198"/>
      <c r="GR28" s="198"/>
      <c r="GS28" s="198"/>
      <c r="GT28" s="198"/>
      <c r="GU28" s="198"/>
      <c r="GV28" s="198"/>
      <c r="GW28" s="198"/>
      <c r="GX28" s="198"/>
      <c r="GY28" s="198"/>
      <c r="GZ28" s="198"/>
      <c r="HA28" s="198"/>
      <c r="HB28" s="198"/>
      <c r="HC28" s="198"/>
      <c r="HD28" s="198"/>
      <c r="HE28" s="198"/>
      <c r="HF28" s="198"/>
      <c r="HG28" s="198"/>
      <c r="HH28" s="198"/>
      <c r="HI28" s="198"/>
      <c r="HJ28" s="198"/>
      <c r="HK28" s="198"/>
      <c r="HL28" s="198"/>
      <c r="HM28" s="198"/>
      <c r="HN28" s="198"/>
      <c r="HO28" s="198"/>
      <c r="HP28" s="198"/>
      <c r="HQ28" s="198"/>
      <c r="HR28" s="198"/>
      <c r="HS28" s="198"/>
      <c r="HT28" s="198"/>
      <c r="HU28" s="198"/>
      <c r="HV28" s="198"/>
      <c r="HW28" s="198"/>
      <c r="HX28" s="198"/>
      <c r="HY28" s="198"/>
      <c r="HZ28" s="198"/>
      <c r="IA28" s="198"/>
      <c r="IB28" s="198"/>
      <c r="IC28" s="198"/>
      <c r="ID28" s="198"/>
      <c r="IE28" s="198"/>
      <c r="IF28" s="198"/>
      <c r="IG28" s="198"/>
      <c r="IH28" s="198"/>
      <c r="II28" s="198"/>
      <c r="IJ28" s="198"/>
      <c r="IK28" s="198"/>
      <c r="IL28" s="198"/>
      <c r="IM28" s="198"/>
      <c r="IN28" s="198"/>
      <c r="IO28" s="198"/>
      <c r="IP28" s="198"/>
      <c r="IQ28" s="198"/>
      <c r="IR28" s="198"/>
      <c r="IS28" s="198"/>
      <c r="IT28" s="198"/>
      <c r="IU28" s="198"/>
      <c r="IV28" s="198"/>
      <c r="IW28" s="198"/>
      <c r="IX28" s="198"/>
      <c r="IY28" s="198"/>
      <c r="IZ28" s="198"/>
      <c r="JA28" s="198"/>
      <c r="JB28" s="198"/>
      <c r="JC28" s="198"/>
      <c r="JD28" s="198"/>
      <c r="JE28" s="198"/>
      <c r="JF28" s="198"/>
      <c r="JG28" s="198"/>
      <c r="JH28" s="198"/>
      <c r="JI28" s="198"/>
      <c r="JJ28" s="198"/>
      <c r="JK28" s="198"/>
      <c r="JL28" s="198"/>
      <c r="JM28" s="198"/>
      <c r="JN28" s="198"/>
      <c r="JO28" s="198"/>
      <c r="JP28" s="198"/>
      <c r="JQ28" s="198"/>
      <c r="JR28" s="198"/>
      <c r="JS28" s="198"/>
      <c r="JT28" s="198"/>
      <c r="JU28" s="198"/>
      <c r="JV28" s="198"/>
      <c r="JW28" s="198"/>
      <c r="JX28" s="198"/>
      <c r="JY28" s="198"/>
      <c r="JZ28" s="198"/>
      <c r="KA28" s="198"/>
      <c r="KB28" s="198"/>
      <c r="KC28" s="198"/>
      <c r="KD28" s="198"/>
      <c r="KE28" s="198"/>
      <c r="KF28" s="198"/>
      <c r="KG28" s="198"/>
      <c r="KH28" s="198"/>
      <c r="KI28" s="198"/>
      <c r="KJ28" s="198"/>
      <c r="KK28" s="198"/>
      <c r="KL28" s="198"/>
      <c r="KM28" s="198"/>
      <c r="KN28" s="198"/>
      <c r="KO28" s="198"/>
      <c r="KP28" s="198"/>
      <c r="KQ28" s="198"/>
      <c r="KR28" s="198"/>
      <c r="KS28" s="198"/>
      <c r="KT28" s="198"/>
      <c r="KU28" s="198"/>
      <c r="KV28" s="198"/>
      <c r="KW28" s="198"/>
      <c r="KX28" s="198"/>
      <c r="KY28" s="198"/>
      <c r="KZ28" s="198"/>
      <c r="LA28" s="198"/>
      <c r="LB28" s="198"/>
      <c r="LC28" s="198"/>
      <c r="LD28" s="198"/>
      <c r="LE28" s="198"/>
      <c r="LF28" s="198"/>
      <c r="LG28" s="198"/>
      <c r="LH28" s="198"/>
      <c r="LI28" s="198"/>
      <c r="LJ28" s="198"/>
      <c r="LK28" s="198"/>
      <c r="LL28" s="198"/>
      <c r="LM28" s="198"/>
      <c r="LN28" s="198"/>
      <c r="LO28" s="198"/>
      <c r="LP28" s="198"/>
      <c r="LQ28" s="198"/>
      <c r="LR28" s="198"/>
      <c r="LS28" s="198"/>
      <c r="LT28" s="198"/>
      <c r="LU28" s="198"/>
      <c r="LV28" s="198"/>
      <c r="LW28" s="198"/>
      <c r="LX28" s="198"/>
      <c r="LY28" s="198"/>
      <c r="LZ28" s="198"/>
      <c r="MA28" s="198"/>
      <c r="MB28" s="198"/>
      <c r="MC28" s="198"/>
      <c r="MD28" s="198"/>
      <c r="ME28" s="198"/>
      <c r="MF28" s="198"/>
      <c r="MG28" s="198"/>
      <c r="MH28" s="198"/>
      <c r="MI28" s="198"/>
      <c r="MJ28" s="198"/>
      <c r="MK28" s="198"/>
      <c r="ML28" s="198"/>
      <c r="MM28" s="198"/>
      <c r="MN28" s="198"/>
      <c r="MO28" s="198"/>
      <c r="MP28" s="198"/>
      <c r="MQ28" s="198"/>
      <c r="MR28" s="198"/>
      <c r="MS28" s="198"/>
      <c r="MT28" s="198"/>
      <c r="MU28" s="198"/>
      <c r="MV28" s="198"/>
      <c r="MW28" s="198"/>
      <c r="MX28" s="198"/>
      <c r="MY28" s="198"/>
      <c r="MZ28" s="198"/>
      <c r="NA28" s="198"/>
      <c r="NB28" s="198"/>
      <c r="NC28" s="198"/>
      <c r="ND28" s="198"/>
      <c r="NE28" s="198"/>
      <c r="NF28" s="198"/>
      <c r="NG28" s="198"/>
      <c r="NH28" s="198"/>
      <c r="NI28" s="198"/>
      <c r="NJ28" s="198"/>
      <c r="NK28" s="198"/>
      <c r="NL28" s="198"/>
      <c r="NM28" s="198"/>
      <c r="NN28" s="198"/>
      <c r="NO28" s="198"/>
      <c r="NP28" s="198"/>
      <c r="NQ28" s="198"/>
      <c r="NR28" s="198"/>
      <c r="NS28" s="198"/>
      <c r="NT28" s="198"/>
      <c r="NU28" s="198"/>
      <c r="NV28" s="198"/>
      <c r="NW28" s="198"/>
      <c r="NX28" s="198"/>
      <c r="NY28" s="198"/>
      <c r="NZ28" s="198"/>
      <c r="OA28" s="198"/>
      <c r="OB28" s="198"/>
      <c r="OC28" s="198"/>
      <c r="OD28" s="198"/>
      <c r="OE28" s="198"/>
      <c r="OF28" s="198"/>
      <c r="OG28" s="198"/>
      <c r="OH28" s="198"/>
      <c r="OI28" s="198"/>
      <c r="OJ28" s="198"/>
      <c r="OK28" s="198"/>
      <c r="OL28" s="198"/>
      <c r="OM28" s="198"/>
      <c r="ON28" s="198"/>
      <c r="OO28" s="198"/>
      <c r="OP28" s="198"/>
      <c r="OQ28" s="198"/>
      <c r="OR28" s="198"/>
      <c r="OS28" s="198"/>
      <c r="OT28" s="198"/>
      <c r="OU28" s="198"/>
      <c r="OV28" s="198"/>
      <c r="OW28" s="198"/>
      <c r="OX28" s="198"/>
      <c r="OY28" s="198"/>
      <c r="OZ28" s="198"/>
      <c r="PA28" s="198"/>
      <c r="PB28" s="198"/>
      <c r="PC28" s="198"/>
      <c r="PD28" s="198"/>
      <c r="PE28" s="198"/>
      <c r="PF28" s="198"/>
      <c r="PG28" s="198"/>
      <c r="PH28" s="198"/>
      <c r="PI28" s="198"/>
      <c r="PJ28" s="198"/>
      <c r="PK28" s="198"/>
      <c r="PL28" s="198"/>
      <c r="PM28" s="198"/>
      <c r="PN28" s="198"/>
      <c r="PO28" s="198"/>
      <c r="PP28" s="198"/>
      <c r="PQ28" s="198"/>
      <c r="PR28" s="198"/>
      <c r="PS28" s="198"/>
      <c r="PT28" s="198"/>
      <c r="PU28" s="198"/>
      <c r="PV28" s="198"/>
      <c r="PW28" s="198"/>
      <c r="PX28" s="198"/>
      <c r="PY28" s="198"/>
      <c r="PZ28" s="198"/>
      <c r="QA28" s="198"/>
      <c r="QB28" s="198"/>
      <c r="QC28" s="198"/>
      <c r="QD28" s="198"/>
      <c r="QE28" s="198"/>
      <c r="QF28" s="198"/>
      <c r="QG28" s="198"/>
      <c r="QH28" s="198"/>
      <c r="QI28" s="198"/>
      <c r="QJ28" s="198"/>
      <c r="QK28" s="198"/>
      <c r="QL28" s="198"/>
      <c r="QM28" s="198"/>
      <c r="QN28" s="198"/>
      <c r="QO28" s="198"/>
      <c r="QP28" s="198"/>
      <c r="QQ28" s="198"/>
      <c r="QR28" s="198"/>
      <c r="QS28" s="198"/>
      <c r="QT28" s="198"/>
      <c r="QU28" s="198"/>
      <c r="QV28" s="198"/>
      <c r="QW28" s="198"/>
      <c r="QX28" s="198"/>
      <c r="QY28" s="198"/>
      <c r="QZ28" s="198"/>
      <c r="RA28" s="198"/>
      <c r="RB28" s="198"/>
      <c r="RC28" s="198"/>
      <c r="RD28" s="198"/>
      <c r="RE28" s="198"/>
      <c r="RF28" s="198"/>
      <c r="RG28" s="198"/>
      <c r="RH28" s="198"/>
      <c r="RI28" s="198"/>
      <c r="RJ28" s="198"/>
      <c r="RK28" s="198"/>
      <c r="RL28" s="198"/>
      <c r="RM28" s="198"/>
      <c r="RN28" s="198"/>
      <c r="RO28" s="198"/>
      <c r="RP28" s="198"/>
      <c r="RQ28" s="198"/>
      <c r="RR28" s="198"/>
      <c r="RS28" s="198"/>
      <c r="RT28" s="198"/>
      <c r="RU28" s="198"/>
      <c r="RV28" s="198"/>
      <c r="RW28" s="198"/>
      <c r="RX28" s="198"/>
      <c r="RY28" s="198"/>
      <c r="RZ28" s="198"/>
      <c r="SA28" s="198"/>
      <c r="SB28" s="198"/>
      <c r="SC28" s="198"/>
      <c r="SD28" s="198"/>
      <c r="SE28" s="198"/>
      <c r="SF28" s="198"/>
      <c r="SG28" s="198"/>
    </row>
    <row r="29" spans="1:501" ht="40.049999999999997" customHeight="1" thickBot="1" x14ac:dyDescent="0.35">
      <c r="A29" s="541" t="s">
        <v>130</v>
      </c>
      <c r="B29" s="952" t="s">
        <v>131</v>
      </c>
      <c r="C29" s="950">
        <f>'MANZ. A'!H31</f>
        <v>0</v>
      </c>
      <c r="D29" s="861"/>
      <c r="E29" s="862">
        <f>'MANZ. B'!R19</f>
        <v>0</v>
      </c>
      <c r="F29" s="861"/>
      <c r="G29" s="863">
        <f>MANZ.C!AL18</f>
        <v>0</v>
      </c>
      <c r="H29" s="861"/>
      <c r="I29" s="863">
        <f>MANZ.D!Z18</f>
        <v>0</v>
      </c>
      <c r="J29" s="861"/>
      <c r="K29" s="863">
        <f>MANZ.E!AL18</f>
        <v>0</v>
      </c>
      <c r="L29" s="861"/>
      <c r="M29" s="863">
        <f>MANZ.F!AB18</f>
        <v>0</v>
      </c>
      <c r="N29" s="861"/>
      <c r="O29" s="862">
        <f>MANZ.G!AT21</f>
        <v>0</v>
      </c>
      <c r="P29" s="861"/>
      <c r="Q29" s="863">
        <f>MANZ.H!V19</f>
        <v>0</v>
      </c>
      <c r="R29" s="861"/>
      <c r="S29" s="863">
        <f>MANZ.I!AB19</f>
        <v>0</v>
      </c>
      <c r="T29" s="861"/>
      <c r="U29" s="863">
        <f>MANZ.J!AT22</f>
        <v>0</v>
      </c>
      <c r="V29" s="861"/>
      <c r="W29" s="863">
        <f>MANZ.K!AB19</f>
        <v>0</v>
      </c>
      <c r="X29" s="861"/>
      <c r="Y29" s="863">
        <f>MANZ.L!Z19</f>
        <v>0</v>
      </c>
      <c r="Z29" s="861"/>
      <c r="AA29" s="863">
        <f>'SALA MULTIUSO'!F28</f>
        <v>0</v>
      </c>
      <c r="AB29" s="864"/>
      <c r="AC29" s="864"/>
      <c r="AD29" s="864"/>
      <c r="AE29" s="864"/>
      <c r="AF29" s="861"/>
      <c r="AG29" s="865">
        <f>SUM(C19:AA19)</f>
        <v>0</v>
      </c>
      <c r="AH29" s="866"/>
      <c r="AI29" s="198"/>
      <c r="AJ29" s="198"/>
      <c r="AK29" s="198"/>
      <c r="AL29" s="198"/>
      <c r="AM29" s="198"/>
      <c r="AN29" s="198"/>
      <c r="AO29" s="198"/>
      <c r="AP29" s="198"/>
      <c r="AQ29" s="198"/>
      <c r="AR29" s="198"/>
      <c r="AS29" s="198"/>
      <c r="AT29" s="198"/>
      <c r="AU29" s="198"/>
      <c r="AV29" s="198"/>
      <c r="AW29" s="198"/>
      <c r="AX29" s="198"/>
      <c r="AY29" s="198"/>
      <c r="AZ29" s="198"/>
      <c r="BA29" s="198"/>
      <c r="BB29" s="198"/>
      <c r="BC29" s="198"/>
      <c r="BD29" s="198"/>
      <c r="BE29" s="198"/>
      <c r="BF29" s="198"/>
      <c r="BG29" s="198"/>
      <c r="BH29" s="198"/>
      <c r="BI29" s="198"/>
      <c r="BJ29" s="198"/>
      <c r="BK29" s="198"/>
      <c r="BL29" s="198"/>
      <c r="BM29" s="198"/>
      <c r="BN29" s="198"/>
      <c r="BO29" s="198"/>
      <c r="BP29" s="198"/>
      <c r="BQ29" s="198"/>
      <c r="BR29" s="198"/>
      <c r="BS29" s="198"/>
      <c r="BT29" s="198"/>
      <c r="BU29" s="198"/>
      <c r="BV29" s="198"/>
      <c r="BW29" s="198"/>
      <c r="BX29" s="198"/>
      <c r="BY29" s="198"/>
      <c r="BZ29" s="198"/>
      <c r="CA29" s="198"/>
      <c r="CB29" s="198"/>
      <c r="CC29" s="198"/>
      <c r="CD29" s="198"/>
      <c r="CE29" s="198"/>
      <c r="CF29" s="198"/>
      <c r="CG29" s="198"/>
      <c r="CH29" s="198"/>
      <c r="CI29" s="198"/>
      <c r="CJ29" s="198"/>
      <c r="CK29" s="198"/>
      <c r="CL29" s="198"/>
      <c r="CM29" s="198"/>
      <c r="CN29" s="198"/>
      <c r="CO29" s="198"/>
      <c r="CP29" s="198"/>
      <c r="CQ29" s="198"/>
      <c r="CR29" s="198"/>
      <c r="CS29" s="198"/>
      <c r="CT29" s="198"/>
      <c r="CU29" s="198"/>
      <c r="CV29" s="198"/>
      <c r="CW29" s="198"/>
      <c r="CX29" s="198"/>
      <c r="CY29" s="198"/>
      <c r="CZ29" s="198"/>
      <c r="DA29" s="198"/>
      <c r="DB29" s="198"/>
      <c r="DC29" s="198"/>
      <c r="DD29" s="198"/>
      <c r="DE29" s="198"/>
      <c r="DF29" s="198"/>
      <c r="DG29" s="198"/>
      <c r="DH29" s="198"/>
      <c r="DI29" s="198"/>
      <c r="DJ29" s="198"/>
      <c r="DK29" s="198"/>
      <c r="DL29" s="198"/>
      <c r="DM29" s="198"/>
      <c r="DN29" s="198"/>
      <c r="DO29" s="198"/>
      <c r="DP29" s="198"/>
      <c r="DQ29" s="198"/>
      <c r="DR29" s="198"/>
      <c r="DS29" s="198"/>
      <c r="DT29" s="198"/>
      <c r="DU29" s="198"/>
      <c r="DV29" s="198"/>
      <c r="DW29" s="198"/>
      <c r="DX29" s="198"/>
      <c r="DY29" s="198"/>
      <c r="DZ29" s="198"/>
      <c r="EA29" s="198"/>
      <c r="EB29" s="198"/>
      <c r="EC29" s="198"/>
      <c r="ED29" s="198"/>
      <c r="EE29" s="198"/>
      <c r="EF29" s="198"/>
      <c r="EG29" s="198"/>
      <c r="EH29" s="198"/>
      <c r="EI29" s="198"/>
      <c r="EJ29" s="198"/>
      <c r="EK29" s="198"/>
      <c r="EL29" s="198"/>
      <c r="EM29" s="198"/>
      <c r="EN29" s="198"/>
      <c r="EO29" s="198"/>
      <c r="EP29" s="198"/>
      <c r="EQ29" s="198"/>
      <c r="ER29" s="198"/>
      <c r="ES29" s="198"/>
      <c r="ET29" s="198"/>
      <c r="EU29" s="198"/>
      <c r="EV29" s="198"/>
      <c r="EW29" s="198"/>
      <c r="EX29" s="198"/>
      <c r="EY29" s="198"/>
      <c r="EZ29" s="198"/>
      <c r="FA29" s="198"/>
      <c r="FB29" s="198"/>
      <c r="FC29" s="198"/>
      <c r="FD29" s="198"/>
      <c r="FE29" s="198"/>
      <c r="FF29" s="198"/>
      <c r="FG29" s="198"/>
      <c r="FH29" s="198"/>
      <c r="FI29" s="198"/>
      <c r="FJ29" s="198"/>
      <c r="FK29" s="198"/>
      <c r="FL29" s="198"/>
      <c r="FM29" s="198"/>
      <c r="FN29" s="198"/>
      <c r="FO29" s="198"/>
      <c r="FP29" s="198"/>
      <c r="FQ29" s="198"/>
      <c r="FR29" s="198"/>
      <c r="FS29" s="198"/>
      <c r="FT29" s="198"/>
      <c r="FU29" s="198"/>
      <c r="FV29" s="198"/>
      <c r="FW29" s="198"/>
      <c r="FX29" s="198"/>
      <c r="FY29" s="198"/>
      <c r="FZ29" s="198"/>
      <c r="GA29" s="198"/>
      <c r="GB29" s="198"/>
      <c r="GC29" s="198"/>
      <c r="GD29" s="198"/>
      <c r="GE29" s="198"/>
      <c r="GF29" s="198"/>
      <c r="GG29" s="198"/>
      <c r="GH29" s="198"/>
      <c r="GI29" s="198"/>
      <c r="GJ29" s="198"/>
      <c r="GK29" s="198"/>
      <c r="GL29" s="198"/>
      <c r="GM29" s="198"/>
      <c r="GN29" s="198"/>
      <c r="GO29" s="198"/>
      <c r="GP29" s="198"/>
      <c r="GQ29" s="198"/>
      <c r="GR29" s="198"/>
      <c r="GS29" s="198"/>
      <c r="GT29" s="198"/>
      <c r="GU29" s="198"/>
      <c r="GV29" s="198"/>
      <c r="GW29" s="198"/>
      <c r="GX29" s="198"/>
      <c r="GY29" s="198"/>
      <c r="GZ29" s="198"/>
      <c r="HA29" s="198"/>
      <c r="HB29" s="198"/>
      <c r="HC29" s="198"/>
      <c r="HD29" s="198"/>
      <c r="HE29" s="198"/>
      <c r="HF29" s="198"/>
      <c r="HG29" s="198"/>
      <c r="HH29" s="198"/>
      <c r="HI29" s="198"/>
      <c r="HJ29" s="198"/>
      <c r="HK29" s="198"/>
      <c r="HL29" s="198"/>
      <c r="HM29" s="198"/>
      <c r="HN29" s="198"/>
      <c r="HO29" s="198"/>
      <c r="HP29" s="198"/>
      <c r="HQ29" s="198"/>
      <c r="HR29" s="198"/>
      <c r="HS29" s="198"/>
      <c r="HT29" s="198"/>
      <c r="HU29" s="198"/>
      <c r="HV29" s="198"/>
      <c r="HW29" s="198"/>
      <c r="HX29" s="198"/>
      <c r="HY29" s="198"/>
      <c r="HZ29" s="198"/>
      <c r="IA29" s="198"/>
      <c r="IB29" s="198"/>
      <c r="IC29" s="198"/>
      <c r="ID29" s="198"/>
      <c r="IE29" s="198"/>
      <c r="IF29" s="198"/>
      <c r="IG29" s="198"/>
      <c r="IH29" s="198"/>
      <c r="II29" s="198"/>
      <c r="IJ29" s="198"/>
      <c r="IK29" s="198"/>
      <c r="IL29" s="198"/>
      <c r="IM29" s="198"/>
      <c r="IN29" s="198"/>
      <c r="IO29" s="198"/>
      <c r="IP29" s="198"/>
      <c r="IQ29" s="198"/>
      <c r="IR29" s="198"/>
      <c r="IS29" s="198"/>
      <c r="IT29" s="198"/>
      <c r="IU29" s="198"/>
      <c r="IV29" s="198"/>
      <c r="IW29" s="198"/>
      <c r="IX29" s="198"/>
      <c r="IY29" s="198"/>
      <c r="IZ29" s="198"/>
      <c r="JA29" s="198"/>
      <c r="JB29" s="198"/>
      <c r="JC29" s="198"/>
      <c r="JD29" s="198"/>
      <c r="JE29" s="198"/>
      <c r="JF29" s="198"/>
      <c r="JG29" s="198"/>
      <c r="JH29" s="198"/>
      <c r="JI29" s="198"/>
      <c r="JJ29" s="198"/>
      <c r="JK29" s="198"/>
      <c r="JL29" s="198"/>
      <c r="JM29" s="198"/>
      <c r="JN29" s="198"/>
      <c r="JO29" s="198"/>
      <c r="JP29" s="198"/>
      <c r="JQ29" s="198"/>
      <c r="JR29" s="198"/>
      <c r="JS29" s="198"/>
      <c r="JT29" s="198"/>
      <c r="JU29" s="198"/>
      <c r="JV29" s="198"/>
      <c r="JW29" s="198"/>
      <c r="JX29" s="198"/>
      <c r="JY29" s="198"/>
      <c r="JZ29" s="198"/>
      <c r="KA29" s="198"/>
      <c r="KB29" s="198"/>
      <c r="KC29" s="198"/>
      <c r="KD29" s="198"/>
      <c r="KE29" s="198"/>
      <c r="KF29" s="198"/>
      <c r="KG29" s="198"/>
      <c r="KH29" s="198"/>
      <c r="KI29" s="198"/>
      <c r="KJ29" s="198"/>
      <c r="KK29" s="198"/>
      <c r="KL29" s="198"/>
      <c r="KM29" s="198"/>
      <c r="KN29" s="198"/>
      <c r="KO29" s="198"/>
      <c r="KP29" s="198"/>
      <c r="KQ29" s="198"/>
      <c r="KR29" s="198"/>
      <c r="KS29" s="198"/>
      <c r="KT29" s="198"/>
      <c r="KU29" s="198"/>
      <c r="KV29" s="198"/>
      <c r="KW29" s="198"/>
      <c r="KX29" s="198"/>
      <c r="KY29" s="198"/>
      <c r="KZ29" s="198"/>
      <c r="LA29" s="198"/>
      <c r="LB29" s="198"/>
      <c r="LC29" s="198"/>
      <c r="LD29" s="198"/>
      <c r="LE29" s="198"/>
      <c r="LF29" s="198"/>
      <c r="LG29" s="198"/>
      <c r="LH29" s="198"/>
      <c r="LI29" s="198"/>
      <c r="LJ29" s="198"/>
      <c r="LK29" s="198"/>
      <c r="LL29" s="198"/>
      <c r="LM29" s="198"/>
      <c r="LN29" s="198"/>
      <c r="LO29" s="198"/>
      <c r="LP29" s="198"/>
      <c r="LQ29" s="198"/>
      <c r="LR29" s="198"/>
      <c r="LS29" s="198"/>
      <c r="LT29" s="198"/>
      <c r="LU29" s="198"/>
      <c r="LV29" s="198"/>
      <c r="LW29" s="198"/>
      <c r="LX29" s="198"/>
      <c r="LY29" s="198"/>
      <c r="LZ29" s="198"/>
      <c r="MA29" s="198"/>
      <c r="MB29" s="198"/>
      <c r="MC29" s="198"/>
      <c r="MD29" s="198"/>
      <c r="ME29" s="198"/>
      <c r="MF29" s="198"/>
      <c r="MG29" s="198"/>
      <c r="MH29" s="198"/>
      <c r="MI29" s="198"/>
      <c r="MJ29" s="198"/>
      <c r="MK29" s="198"/>
      <c r="ML29" s="198"/>
      <c r="MM29" s="198"/>
      <c r="MN29" s="198"/>
      <c r="MO29" s="198"/>
      <c r="MP29" s="198"/>
      <c r="MQ29" s="198"/>
      <c r="MR29" s="198"/>
      <c r="MS29" s="198"/>
      <c r="MT29" s="198"/>
      <c r="MU29" s="198"/>
      <c r="MV29" s="198"/>
      <c r="MW29" s="198"/>
      <c r="MX29" s="198"/>
      <c r="MY29" s="198"/>
      <c r="MZ29" s="198"/>
      <c r="NA29" s="198"/>
      <c r="NB29" s="198"/>
      <c r="NC29" s="198"/>
      <c r="ND29" s="198"/>
      <c r="NE29" s="198"/>
      <c r="NF29" s="198"/>
      <c r="NG29" s="198"/>
      <c r="NH29" s="198"/>
      <c r="NI29" s="198"/>
      <c r="NJ29" s="198"/>
      <c r="NK29" s="198"/>
      <c r="NL29" s="198"/>
      <c r="NM29" s="198"/>
      <c r="NN29" s="198"/>
      <c r="NO29" s="198"/>
      <c r="NP29" s="198"/>
      <c r="NQ29" s="198"/>
      <c r="NR29" s="198"/>
      <c r="NS29" s="198"/>
      <c r="NT29" s="198"/>
      <c r="NU29" s="198"/>
      <c r="NV29" s="198"/>
      <c r="NW29" s="198"/>
      <c r="NX29" s="198"/>
      <c r="NY29" s="198"/>
      <c r="NZ29" s="198"/>
      <c r="OA29" s="198"/>
      <c r="OB29" s="198"/>
      <c r="OC29" s="198"/>
      <c r="OD29" s="198"/>
      <c r="OE29" s="198"/>
      <c r="OF29" s="198"/>
      <c r="OG29" s="198"/>
      <c r="OH29" s="198"/>
      <c r="OI29" s="198"/>
      <c r="OJ29" s="198"/>
      <c r="OK29" s="198"/>
      <c r="OL29" s="198"/>
      <c r="OM29" s="198"/>
      <c r="ON29" s="198"/>
      <c r="OO29" s="198"/>
      <c r="OP29" s="198"/>
      <c r="OQ29" s="198"/>
      <c r="OR29" s="198"/>
      <c r="OS29" s="198"/>
      <c r="OT29" s="198"/>
      <c r="OU29" s="198"/>
      <c r="OV29" s="198"/>
      <c r="OW29" s="198"/>
      <c r="OX29" s="198"/>
      <c r="OY29" s="198"/>
      <c r="OZ29" s="198"/>
      <c r="PA29" s="198"/>
      <c r="PB29" s="198"/>
      <c r="PC29" s="198"/>
      <c r="PD29" s="198"/>
      <c r="PE29" s="198"/>
      <c r="PF29" s="198"/>
      <c r="PG29" s="198"/>
      <c r="PH29" s="198"/>
      <c r="PI29" s="198"/>
      <c r="PJ29" s="198"/>
      <c r="PK29" s="198"/>
      <c r="PL29" s="198"/>
      <c r="PM29" s="198"/>
      <c r="PN29" s="198"/>
      <c r="PO29" s="198"/>
      <c r="PP29" s="198"/>
      <c r="PQ29" s="198"/>
      <c r="PR29" s="198"/>
      <c r="PS29" s="198"/>
      <c r="PT29" s="198"/>
      <c r="PU29" s="198"/>
      <c r="PV29" s="198"/>
      <c r="PW29" s="198"/>
      <c r="PX29" s="198"/>
      <c r="PY29" s="198"/>
      <c r="PZ29" s="198"/>
      <c r="QA29" s="198"/>
      <c r="QB29" s="198"/>
      <c r="QC29" s="198"/>
      <c r="QD29" s="198"/>
      <c r="QE29" s="198"/>
      <c r="QF29" s="198"/>
      <c r="QG29" s="198"/>
      <c r="QH29" s="198"/>
      <c r="QI29" s="198"/>
      <c r="QJ29" s="198"/>
      <c r="QK29" s="198"/>
      <c r="QL29" s="198"/>
      <c r="QM29" s="198"/>
      <c r="QN29" s="198"/>
      <c r="QO29" s="198"/>
      <c r="QP29" s="198"/>
      <c r="QQ29" s="198"/>
      <c r="QR29" s="198"/>
      <c r="QS29" s="198"/>
      <c r="QT29" s="198"/>
      <c r="QU29" s="198"/>
      <c r="QV29" s="198"/>
      <c r="QW29" s="198"/>
      <c r="QX29" s="198"/>
      <c r="QY29" s="198"/>
      <c r="QZ29" s="198"/>
      <c r="RA29" s="198"/>
      <c r="RB29" s="198"/>
      <c r="RC29" s="198"/>
      <c r="RD29" s="198"/>
      <c r="RE29" s="198"/>
      <c r="RF29" s="198"/>
      <c r="RG29" s="198"/>
      <c r="RH29" s="198"/>
      <c r="RI29" s="198"/>
      <c r="RJ29" s="198"/>
      <c r="RK29" s="198"/>
      <c r="RL29" s="198"/>
      <c r="RM29" s="198"/>
      <c r="RN29" s="198"/>
      <c r="RO29" s="198"/>
      <c r="RP29" s="198"/>
      <c r="RQ29" s="198"/>
      <c r="RR29" s="198"/>
      <c r="RS29" s="198"/>
      <c r="RT29" s="198"/>
      <c r="RU29" s="198"/>
      <c r="RV29" s="198"/>
      <c r="RW29" s="198"/>
      <c r="RX29" s="198"/>
      <c r="RY29" s="198"/>
      <c r="RZ29" s="198"/>
      <c r="SA29" s="198"/>
      <c r="SB29" s="198"/>
      <c r="SC29" s="198"/>
      <c r="SD29" s="198"/>
      <c r="SE29" s="198"/>
      <c r="SF29" s="198"/>
      <c r="SG29" s="198"/>
    </row>
    <row r="30" spans="1:501" ht="40.049999999999997" customHeight="1" x14ac:dyDescent="0.3">
      <c r="A30" s="970" t="s">
        <v>132</v>
      </c>
      <c r="B30" s="971" t="s">
        <v>133</v>
      </c>
      <c r="C30" s="944"/>
      <c r="D30" s="944"/>
      <c r="E30" s="944"/>
      <c r="F30" s="944"/>
      <c r="G30" s="944"/>
      <c r="H30" s="944"/>
      <c r="I30" s="944"/>
      <c r="J30" s="944"/>
      <c r="K30" s="944"/>
      <c r="L30" s="944"/>
      <c r="M30" s="944"/>
      <c r="N30" s="944"/>
      <c r="O30" s="944"/>
      <c r="P30" s="944"/>
      <c r="Q30" s="944"/>
      <c r="R30" s="944"/>
      <c r="S30" s="944"/>
      <c r="T30" s="944"/>
      <c r="U30" s="944"/>
      <c r="V30" s="944"/>
      <c r="W30" s="944"/>
      <c r="X30" s="944"/>
      <c r="Y30" s="944"/>
      <c r="Z30" s="944"/>
      <c r="AA30" s="944"/>
      <c r="AB30" s="944"/>
      <c r="AC30" s="944"/>
      <c r="AD30" s="944"/>
      <c r="AE30" s="944"/>
      <c r="AF30" s="944"/>
      <c r="AG30" s="944"/>
      <c r="AH30" s="945"/>
      <c r="AI30" s="198"/>
      <c r="AJ30" s="198"/>
      <c r="AK30" s="198"/>
      <c r="AL30" s="198"/>
      <c r="AM30" s="198"/>
      <c r="AN30" s="198"/>
      <c r="AO30" s="198"/>
      <c r="AP30" s="198"/>
      <c r="AQ30" s="198"/>
      <c r="AR30" s="198"/>
      <c r="AS30" s="198"/>
      <c r="AT30" s="198"/>
      <c r="AU30" s="198"/>
      <c r="AV30" s="198"/>
      <c r="AW30" s="198"/>
      <c r="AX30" s="198"/>
      <c r="AY30" s="198"/>
      <c r="AZ30" s="198"/>
      <c r="BA30" s="198"/>
      <c r="BB30" s="198"/>
      <c r="BC30" s="198"/>
      <c r="BD30" s="198"/>
      <c r="BE30" s="198"/>
      <c r="BF30" s="198"/>
      <c r="BG30" s="198"/>
      <c r="BH30" s="198"/>
      <c r="BI30" s="198"/>
      <c r="BJ30" s="198"/>
      <c r="BK30" s="198"/>
      <c r="BL30" s="198"/>
      <c r="BM30" s="198"/>
      <c r="BN30" s="198"/>
      <c r="BO30" s="198"/>
      <c r="BP30" s="198"/>
      <c r="BQ30" s="198"/>
      <c r="BR30" s="198"/>
      <c r="BS30" s="198"/>
      <c r="BT30" s="198"/>
      <c r="BU30" s="198"/>
      <c r="BV30" s="198"/>
      <c r="BW30" s="198"/>
      <c r="BX30" s="198"/>
      <c r="BY30" s="198"/>
      <c r="BZ30" s="198"/>
      <c r="CA30" s="198"/>
      <c r="CB30" s="198"/>
      <c r="CC30" s="198"/>
      <c r="CD30" s="198"/>
      <c r="CE30" s="198"/>
      <c r="CF30" s="198"/>
      <c r="CG30" s="198"/>
      <c r="CH30" s="198"/>
      <c r="CI30" s="198"/>
      <c r="CJ30" s="198"/>
      <c r="CK30" s="198"/>
      <c r="CL30" s="198"/>
      <c r="CM30" s="198"/>
      <c r="CN30" s="198"/>
      <c r="CO30" s="198"/>
      <c r="CP30" s="198"/>
      <c r="CQ30" s="198"/>
      <c r="CR30" s="198"/>
      <c r="CS30" s="198"/>
      <c r="CT30" s="198"/>
      <c r="CU30" s="198"/>
      <c r="CV30" s="198"/>
      <c r="CW30" s="198"/>
      <c r="CX30" s="198"/>
      <c r="CY30" s="198"/>
      <c r="CZ30" s="198"/>
      <c r="DA30" s="198"/>
      <c r="DB30" s="198"/>
      <c r="DC30" s="198"/>
      <c r="DD30" s="198"/>
      <c r="DE30" s="198"/>
      <c r="DF30" s="198"/>
      <c r="DG30" s="198"/>
      <c r="DH30" s="198"/>
      <c r="DI30" s="198"/>
      <c r="DJ30" s="198"/>
      <c r="DK30" s="198"/>
      <c r="DL30" s="198"/>
      <c r="DM30" s="198"/>
      <c r="DN30" s="198"/>
      <c r="DO30" s="198"/>
      <c r="DP30" s="198"/>
      <c r="DQ30" s="198"/>
      <c r="DR30" s="198"/>
      <c r="DS30" s="198"/>
      <c r="DT30" s="198"/>
      <c r="DU30" s="198"/>
      <c r="DV30" s="198"/>
      <c r="DW30" s="198"/>
      <c r="DX30" s="198"/>
      <c r="DY30" s="198"/>
      <c r="DZ30" s="198"/>
      <c r="EA30" s="198"/>
      <c r="EB30" s="198"/>
      <c r="EC30" s="198"/>
      <c r="ED30" s="198"/>
      <c r="EE30" s="198"/>
      <c r="EF30" s="198"/>
      <c r="EG30" s="198"/>
      <c r="EH30" s="198"/>
      <c r="EI30" s="198"/>
      <c r="EJ30" s="198"/>
      <c r="EK30" s="198"/>
      <c r="EL30" s="198"/>
      <c r="EM30" s="198"/>
      <c r="EN30" s="198"/>
      <c r="EO30" s="198"/>
      <c r="EP30" s="198"/>
      <c r="EQ30" s="198"/>
      <c r="ER30" s="198"/>
      <c r="ES30" s="198"/>
      <c r="ET30" s="198"/>
      <c r="EU30" s="198"/>
      <c r="EV30" s="198"/>
      <c r="EW30" s="198"/>
      <c r="EX30" s="198"/>
      <c r="EY30" s="198"/>
      <c r="EZ30" s="198"/>
      <c r="FA30" s="198"/>
      <c r="FB30" s="198"/>
      <c r="FC30" s="198"/>
      <c r="FD30" s="198"/>
      <c r="FE30" s="198"/>
      <c r="FF30" s="198"/>
      <c r="FG30" s="198"/>
      <c r="FH30" s="198"/>
      <c r="FI30" s="198"/>
      <c r="FJ30" s="198"/>
      <c r="FK30" s="198"/>
      <c r="FL30" s="198"/>
      <c r="FM30" s="198"/>
      <c r="FN30" s="198"/>
      <c r="FO30" s="198"/>
      <c r="FP30" s="198"/>
      <c r="FQ30" s="198"/>
      <c r="FR30" s="198"/>
      <c r="FS30" s="198"/>
      <c r="FT30" s="198"/>
      <c r="FU30" s="198"/>
      <c r="FV30" s="198"/>
      <c r="FW30" s="198"/>
      <c r="FX30" s="198"/>
      <c r="FY30" s="198"/>
      <c r="FZ30" s="198"/>
      <c r="GA30" s="198"/>
      <c r="GB30" s="198"/>
      <c r="GC30" s="198"/>
      <c r="GD30" s="198"/>
      <c r="GE30" s="198"/>
      <c r="GF30" s="198"/>
      <c r="GG30" s="198"/>
      <c r="GH30" s="198"/>
      <c r="GI30" s="198"/>
      <c r="GJ30" s="198"/>
      <c r="GK30" s="198"/>
      <c r="GL30" s="198"/>
      <c r="GM30" s="198"/>
      <c r="GN30" s="198"/>
      <c r="GO30" s="198"/>
      <c r="GP30" s="198"/>
      <c r="GQ30" s="198"/>
      <c r="GR30" s="198"/>
      <c r="GS30" s="198"/>
      <c r="GT30" s="198"/>
      <c r="GU30" s="198"/>
      <c r="GV30" s="198"/>
      <c r="GW30" s="198"/>
      <c r="GX30" s="198"/>
      <c r="GY30" s="198"/>
      <c r="GZ30" s="198"/>
      <c r="HA30" s="198"/>
      <c r="HB30" s="198"/>
      <c r="HC30" s="198"/>
      <c r="HD30" s="198"/>
      <c r="HE30" s="198"/>
      <c r="HF30" s="198"/>
      <c r="HG30" s="198"/>
      <c r="HH30" s="198"/>
      <c r="HI30" s="198"/>
      <c r="HJ30" s="198"/>
      <c r="HK30" s="198"/>
      <c r="HL30" s="198"/>
      <c r="HM30" s="198"/>
      <c r="HN30" s="198"/>
      <c r="HO30" s="198"/>
      <c r="HP30" s="198"/>
      <c r="HQ30" s="198"/>
      <c r="HR30" s="198"/>
      <c r="HS30" s="198"/>
      <c r="HT30" s="198"/>
      <c r="HU30" s="198"/>
      <c r="HV30" s="198"/>
      <c r="HW30" s="198"/>
      <c r="HX30" s="198"/>
      <c r="HY30" s="198"/>
      <c r="HZ30" s="198"/>
      <c r="IA30" s="198"/>
      <c r="IB30" s="198"/>
      <c r="IC30" s="198"/>
      <c r="ID30" s="198"/>
      <c r="IE30" s="198"/>
      <c r="IF30" s="198"/>
      <c r="IG30" s="198"/>
      <c r="IH30" s="198"/>
      <c r="II30" s="198"/>
      <c r="IJ30" s="198"/>
      <c r="IK30" s="198"/>
      <c r="IL30" s="198"/>
      <c r="IM30" s="198"/>
      <c r="IN30" s="198"/>
      <c r="IO30" s="198"/>
      <c r="IP30" s="198"/>
      <c r="IQ30" s="198"/>
      <c r="IR30" s="198"/>
      <c r="IS30" s="198"/>
      <c r="IT30" s="198"/>
      <c r="IU30" s="198"/>
      <c r="IV30" s="198"/>
      <c r="IW30" s="198"/>
      <c r="IX30" s="198"/>
      <c r="IY30" s="198"/>
      <c r="IZ30" s="198"/>
      <c r="JA30" s="198"/>
      <c r="JB30" s="198"/>
      <c r="JC30" s="198"/>
      <c r="JD30" s="198"/>
      <c r="JE30" s="198"/>
      <c r="JF30" s="198"/>
      <c r="JG30" s="198"/>
      <c r="JH30" s="198"/>
      <c r="JI30" s="198"/>
      <c r="JJ30" s="198"/>
      <c r="JK30" s="198"/>
      <c r="JL30" s="198"/>
      <c r="JM30" s="198"/>
      <c r="JN30" s="198"/>
      <c r="JO30" s="198"/>
      <c r="JP30" s="198"/>
      <c r="JQ30" s="198"/>
      <c r="JR30" s="198"/>
      <c r="JS30" s="198"/>
      <c r="JT30" s="198"/>
      <c r="JU30" s="198"/>
      <c r="JV30" s="198"/>
      <c r="JW30" s="198"/>
      <c r="JX30" s="198"/>
      <c r="JY30" s="198"/>
      <c r="JZ30" s="198"/>
      <c r="KA30" s="198"/>
      <c r="KB30" s="198"/>
      <c r="KC30" s="198"/>
      <c r="KD30" s="198"/>
      <c r="KE30" s="198"/>
      <c r="KF30" s="198"/>
      <c r="KG30" s="198"/>
      <c r="KH30" s="198"/>
      <c r="KI30" s="198"/>
      <c r="KJ30" s="198"/>
      <c r="KK30" s="198"/>
      <c r="KL30" s="198"/>
      <c r="KM30" s="198"/>
      <c r="KN30" s="198"/>
      <c r="KO30" s="198"/>
      <c r="KP30" s="198"/>
      <c r="KQ30" s="198"/>
      <c r="KR30" s="198"/>
      <c r="KS30" s="198"/>
      <c r="KT30" s="198"/>
      <c r="KU30" s="198"/>
      <c r="KV30" s="198"/>
      <c r="KW30" s="198"/>
      <c r="KX30" s="198"/>
      <c r="KY30" s="198"/>
      <c r="KZ30" s="198"/>
      <c r="LA30" s="198"/>
      <c r="LB30" s="198"/>
      <c r="LC30" s="198"/>
      <c r="LD30" s="198"/>
      <c r="LE30" s="198"/>
      <c r="LF30" s="198"/>
      <c r="LG30" s="198"/>
      <c r="LH30" s="198"/>
      <c r="LI30" s="198"/>
      <c r="LJ30" s="198"/>
      <c r="LK30" s="198"/>
      <c r="LL30" s="198"/>
      <c r="LM30" s="198"/>
      <c r="LN30" s="198"/>
      <c r="LO30" s="198"/>
      <c r="LP30" s="198"/>
      <c r="LQ30" s="198"/>
      <c r="LR30" s="198"/>
      <c r="LS30" s="198"/>
      <c r="LT30" s="198"/>
      <c r="LU30" s="198"/>
      <c r="LV30" s="198"/>
      <c r="LW30" s="198"/>
      <c r="LX30" s="198"/>
      <c r="LY30" s="198"/>
      <c r="LZ30" s="198"/>
      <c r="MA30" s="198"/>
      <c r="MB30" s="198"/>
      <c r="MC30" s="198"/>
      <c r="MD30" s="198"/>
      <c r="ME30" s="198"/>
      <c r="MF30" s="198"/>
      <c r="MG30" s="198"/>
      <c r="MH30" s="198"/>
      <c r="MI30" s="198"/>
      <c r="MJ30" s="198"/>
      <c r="MK30" s="198"/>
      <c r="ML30" s="198"/>
      <c r="MM30" s="198"/>
      <c r="MN30" s="198"/>
      <c r="MO30" s="198"/>
      <c r="MP30" s="198"/>
      <c r="MQ30" s="198"/>
      <c r="MR30" s="198"/>
      <c r="MS30" s="198"/>
      <c r="MT30" s="198"/>
      <c r="MU30" s="198"/>
      <c r="MV30" s="198"/>
      <c r="MW30" s="198"/>
      <c r="MX30" s="198"/>
      <c r="MY30" s="198"/>
      <c r="MZ30" s="198"/>
      <c r="NA30" s="198"/>
      <c r="NB30" s="198"/>
      <c r="NC30" s="198"/>
      <c r="ND30" s="198"/>
      <c r="NE30" s="198"/>
      <c r="NF30" s="198"/>
      <c r="NG30" s="198"/>
      <c r="NH30" s="198"/>
      <c r="NI30" s="198"/>
      <c r="NJ30" s="198"/>
      <c r="NK30" s="198"/>
      <c r="NL30" s="198"/>
      <c r="NM30" s="198"/>
      <c r="NN30" s="198"/>
      <c r="NO30" s="198"/>
      <c r="NP30" s="198"/>
      <c r="NQ30" s="198"/>
      <c r="NR30" s="198"/>
      <c r="NS30" s="198"/>
      <c r="NT30" s="198"/>
      <c r="NU30" s="198"/>
      <c r="NV30" s="198"/>
      <c r="NW30" s="198"/>
      <c r="NX30" s="198"/>
      <c r="NY30" s="198"/>
      <c r="NZ30" s="198"/>
      <c r="OA30" s="198"/>
      <c r="OB30" s="198"/>
      <c r="OC30" s="198"/>
      <c r="OD30" s="198"/>
      <c r="OE30" s="198"/>
      <c r="OF30" s="198"/>
      <c r="OG30" s="198"/>
      <c r="OH30" s="198"/>
      <c r="OI30" s="198"/>
      <c r="OJ30" s="198"/>
      <c r="OK30" s="198"/>
      <c r="OL30" s="198"/>
      <c r="OM30" s="198"/>
      <c r="ON30" s="198"/>
      <c r="OO30" s="198"/>
      <c r="OP30" s="198"/>
      <c r="OQ30" s="198"/>
      <c r="OR30" s="198"/>
      <c r="OS30" s="198"/>
      <c r="OT30" s="198"/>
      <c r="OU30" s="198"/>
      <c r="OV30" s="198"/>
      <c r="OW30" s="198"/>
      <c r="OX30" s="198"/>
      <c r="OY30" s="198"/>
      <c r="OZ30" s="198"/>
      <c r="PA30" s="198"/>
      <c r="PB30" s="198"/>
      <c r="PC30" s="198"/>
      <c r="PD30" s="198"/>
      <c r="PE30" s="198"/>
      <c r="PF30" s="198"/>
      <c r="PG30" s="198"/>
      <c r="PH30" s="198"/>
      <c r="PI30" s="198"/>
      <c r="PJ30" s="198"/>
      <c r="PK30" s="198"/>
      <c r="PL30" s="198"/>
      <c r="PM30" s="198"/>
      <c r="PN30" s="198"/>
      <c r="PO30" s="198"/>
      <c r="PP30" s="198"/>
      <c r="PQ30" s="198"/>
      <c r="PR30" s="198"/>
      <c r="PS30" s="198"/>
      <c r="PT30" s="198"/>
      <c r="PU30" s="198"/>
      <c r="PV30" s="198"/>
      <c r="PW30" s="198"/>
      <c r="PX30" s="198"/>
      <c r="PY30" s="198"/>
      <c r="PZ30" s="198"/>
      <c r="QA30" s="198"/>
      <c r="QB30" s="198"/>
      <c r="QC30" s="198"/>
      <c r="QD30" s="198"/>
      <c r="QE30" s="198"/>
      <c r="QF30" s="198"/>
      <c r="QG30" s="198"/>
      <c r="QH30" s="198"/>
      <c r="QI30" s="198"/>
      <c r="QJ30" s="198"/>
      <c r="QK30" s="198"/>
      <c r="QL30" s="198"/>
      <c r="QM30" s="198"/>
      <c r="QN30" s="198"/>
      <c r="QO30" s="198"/>
      <c r="QP30" s="198"/>
      <c r="QQ30" s="198"/>
      <c r="QR30" s="198"/>
      <c r="QS30" s="198"/>
      <c r="QT30" s="198"/>
      <c r="QU30" s="198"/>
      <c r="QV30" s="198"/>
      <c r="QW30" s="198"/>
      <c r="QX30" s="198"/>
      <c r="QY30" s="198"/>
      <c r="QZ30" s="198"/>
      <c r="RA30" s="198"/>
      <c r="RB30" s="198"/>
      <c r="RC30" s="198"/>
      <c r="RD30" s="198"/>
      <c r="RE30" s="198"/>
      <c r="RF30" s="198"/>
      <c r="RG30" s="198"/>
      <c r="RH30" s="198"/>
      <c r="RI30" s="198"/>
      <c r="RJ30" s="198"/>
      <c r="RK30" s="198"/>
      <c r="RL30" s="198"/>
      <c r="RM30" s="198"/>
      <c r="RN30" s="198"/>
      <c r="RO30" s="198"/>
      <c r="RP30" s="198"/>
      <c r="RQ30" s="198"/>
      <c r="RR30" s="198"/>
      <c r="RS30" s="198"/>
      <c r="RT30" s="198"/>
      <c r="RU30" s="198"/>
      <c r="RV30" s="198"/>
      <c r="RW30" s="198"/>
      <c r="RX30" s="198"/>
      <c r="RY30" s="198"/>
      <c r="RZ30" s="198"/>
      <c r="SA30" s="198"/>
      <c r="SB30" s="198"/>
      <c r="SC30" s="198"/>
      <c r="SD30" s="198"/>
      <c r="SE30" s="198"/>
      <c r="SF30" s="198"/>
      <c r="SG30" s="198"/>
    </row>
    <row r="31" spans="1:501" ht="40.049999999999997" customHeight="1" thickBot="1" x14ac:dyDescent="0.35">
      <c r="A31" s="541" t="s">
        <v>134</v>
      </c>
      <c r="B31" s="952" t="s">
        <v>135</v>
      </c>
      <c r="C31" s="950">
        <f>'MANZ. A'!H33</f>
        <v>0</v>
      </c>
      <c r="D31" s="861"/>
      <c r="E31" s="862">
        <f>'MANZ. B'!R22</f>
        <v>5</v>
      </c>
      <c r="F31" s="861"/>
      <c r="G31" s="863">
        <f>MANZ.C!AL21</f>
        <v>17</v>
      </c>
      <c r="H31" s="861"/>
      <c r="I31" s="863">
        <f>MANZ.D!Z21</f>
        <v>11</v>
      </c>
      <c r="J31" s="861"/>
      <c r="K31" s="862">
        <f>MANZ.E!AK22</f>
        <v>17</v>
      </c>
      <c r="L31" s="861"/>
      <c r="M31" s="863">
        <f>MANZ.F!AB21</f>
        <v>12</v>
      </c>
      <c r="N31" s="861"/>
      <c r="O31" s="862">
        <f>MANZ.G!AT23</f>
        <v>19</v>
      </c>
      <c r="P31" s="861"/>
      <c r="Q31" s="863">
        <f>MANZ.H!V22</f>
        <v>9</v>
      </c>
      <c r="R31" s="861"/>
      <c r="S31" s="863">
        <f>MANZ.I!AB22</f>
        <v>12</v>
      </c>
      <c r="T31" s="861"/>
      <c r="U31" s="863">
        <f>MANZ.J!AT25</f>
        <v>21</v>
      </c>
      <c r="V31" s="861"/>
      <c r="W31" s="863">
        <f>MANZ.K!AB22</f>
        <v>12</v>
      </c>
      <c r="X31" s="861"/>
      <c r="Y31" s="863">
        <f>MANZ.L!Z22</f>
        <v>11</v>
      </c>
      <c r="Z31" s="861"/>
      <c r="AA31" s="862">
        <f>'SALA MULTIUSO'!F31</f>
        <v>0</v>
      </c>
      <c r="AB31" s="864"/>
      <c r="AC31" s="864"/>
      <c r="AD31" s="864"/>
      <c r="AE31" s="864"/>
      <c r="AF31" s="861"/>
      <c r="AG31" s="865" t="e">
        <f>SUM(C22:AA22)</f>
        <v>#REF!</v>
      </c>
      <c r="AH31" s="866"/>
      <c r="AI31" s="198"/>
      <c r="AJ31" s="198"/>
      <c r="AK31" s="198"/>
      <c r="AL31" s="198"/>
      <c r="AM31" s="198"/>
      <c r="AN31" s="198"/>
      <c r="AO31" s="198"/>
      <c r="AP31" s="198"/>
      <c r="AQ31" s="198"/>
      <c r="AR31" s="198"/>
      <c r="AS31" s="198"/>
      <c r="AT31" s="198"/>
      <c r="AU31" s="198"/>
      <c r="AV31" s="198"/>
      <c r="AW31" s="198"/>
      <c r="AX31" s="198"/>
      <c r="AY31" s="198"/>
      <c r="AZ31" s="198"/>
      <c r="BA31" s="198"/>
      <c r="BB31" s="198"/>
      <c r="BC31" s="198"/>
      <c r="BD31" s="198"/>
      <c r="BE31" s="198"/>
      <c r="BF31" s="198"/>
      <c r="BG31" s="198"/>
      <c r="BH31" s="198"/>
      <c r="BI31" s="198"/>
      <c r="BJ31" s="198"/>
      <c r="BK31" s="198"/>
      <c r="BL31" s="198"/>
      <c r="BM31" s="198"/>
      <c r="BN31" s="198"/>
      <c r="BO31" s="198"/>
      <c r="BP31" s="198"/>
      <c r="BQ31" s="198"/>
      <c r="BR31" s="198"/>
      <c r="BS31" s="198"/>
      <c r="BT31" s="198"/>
      <c r="BU31" s="198"/>
      <c r="BV31" s="198"/>
      <c r="BW31" s="198"/>
      <c r="BX31" s="198"/>
      <c r="BY31" s="198"/>
      <c r="BZ31" s="198"/>
      <c r="CA31" s="198"/>
      <c r="CB31" s="198"/>
      <c r="CC31" s="198"/>
      <c r="CD31" s="198"/>
      <c r="CE31" s="198"/>
      <c r="CF31" s="198"/>
      <c r="CG31" s="198"/>
      <c r="CH31" s="198"/>
      <c r="CI31" s="198"/>
      <c r="CJ31" s="198"/>
      <c r="CK31" s="198"/>
      <c r="CL31" s="198"/>
      <c r="CM31" s="198"/>
      <c r="CN31" s="198"/>
      <c r="CO31" s="198"/>
      <c r="CP31" s="198"/>
      <c r="CQ31" s="198"/>
      <c r="CR31" s="198"/>
      <c r="CS31" s="198"/>
      <c r="CT31" s="198"/>
      <c r="CU31" s="198"/>
      <c r="CV31" s="198"/>
      <c r="CW31" s="198"/>
      <c r="CX31" s="198"/>
      <c r="CY31" s="198"/>
      <c r="CZ31" s="198"/>
      <c r="DA31" s="198"/>
      <c r="DB31" s="198"/>
      <c r="DC31" s="198"/>
      <c r="DD31" s="198"/>
      <c r="DE31" s="198"/>
      <c r="DF31" s="198"/>
      <c r="DG31" s="198"/>
      <c r="DH31" s="198"/>
      <c r="DI31" s="198"/>
      <c r="DJ31" s="198"/>
      <c r="DK31" s="198"/>
      <c r="DL31" s="198"/>
      <c r="DM31" s="198"/>
      <c r="DN31" s="198"/>
      <c r="DO31" s="198"/>
      <c r="DP31" s="198"/>
      <c r="DQ31" s="198"/>
      <c r="DR31" s="198"/>
      <c r="DS31" s="198"/>
      <c r="DT31" s="198"/>
      <c r="DU31" s="198"/>
      <c r="DV31" s="198"/>
      <c r="DW31" s="198"/>
      <c r="DX31" s="198"/>
      <c r="DY31" s="198"/>
      <c r="DZ31" s="198"/>
      <c r="EA31" s="198"/>
      <c r="EB31" s="198"/>
      <c r="EC31" s="198"/>
      <c r="ED31" s="198"/>
      <c r="EE31" s="198"/>
      <c r="EF31" s="198"/>
      <c r="EG31" s="198"/>
      <c r="EH31" s="198"/>
      <c r="EI31" s="198"/>
      <c r="EJ31" s="198"/>
      <c r="EK31" s="198"/>
      <c r="EL31" s="198"/>
      <c r="EM31" s="198"/>
      <c r="EN31" s="198"/>
      <c r="EO31" s="198"/>
      <c r="EP31" s="198"/>
      <c r="EQ31" s="198"/>
      <c r="ER31" s="198"/>
      <c r="ES31" s="198"/>
      <c r="ET31" s="198"/>
      <c r="EU31" s="198"/>
      <c r="EV31" s="198"/>
      <c r="EW31" s="198"/>
      <c r="EX31" s="198"/>
      <c r="EY31" s="198"/>
      <c r="EZ31" s="198"/>
      <c r="FA31" s="198"/>
      <c r="FB31" s="198"/>
      <c r="FC31" s="198"/>
      <c r="FD31" s="198"/>
      <c r="FE31" s="198"/>
      <c r="FF31" s="198"/>
      <c r="FG31" s="198"/>
      <c r="FH31" s="198"/>
      <c r="FI31" s="198"/>
      <c r="FJ31" s="198"/>
      <c r="FK31" s="198"/>
      <c r="FL31" s="198"/>
      <c r="FM31" s="198"/>
      <c r="FN31" s="198"/>
      <c r="FO31" s="198"/>
      <c r="FP31" s="198"/>
      <c r="FQ31" s="198"/>
      <c r="FR31" s="198"/>
      <c r="FS31" s="198"/>
      <c r="FT31" s="198"/>
      <c r="FU31" s="198"/>
      <c r="FV31" s="198"/>
      <c r="FW31" s="198"/>
      <c r="FX31" s="198"/>
      <c r="FY31" s="198"/>
      <c r="FZ31" s="198"/>
      <c r="GA31" s="198"/>
      <c r="GB31" s="198"/>
      <c r="GC31" s="198"/>
      <c r="GD31" s="198"/>
      <c r="GE31" s="198"/>
      <c r="GF31" s="198"/>
      <c r="GG31" s="198"/>
      <c r="GH31" s="198"/>
      <c r="GI31" s="198"/>
      <c r="GJ31" s="198"/>
      <c r="GK31" s="198"/>
      <c r="GL31" s="198"/>
      <c r="GM31" s="198"/>
      <c r="GN31" s="198"/>
      <c r="GO31" s="198"/>
      <c r="GP31" s="198"/>
      <c r="GQ31" s="198"/>
      <c r="GR31" s="198"/>
      <c r="GS31" s="198"/>
      <c r="GT31" s="198"/>
      <c r="GU31" s="198"/>
      <c r="GV31" s="198"/>
      <c r="GW31" s="198"/>
      <c r="GX31" s="198"/>
      <c r="GY31" s="198"/>
      <c r="GZ31" s="198"/>
      <c r="HA31" s="198"/>
      <c r="HB31" s="198"/>
      <c r="HC31" s="198"/>
      <c r="HD31" s="198"/>
      <c r="HE31" s="198"/>
      <c r="HF31" s="198"/>
      <c r="HG31" s="198"/>
      <c r="HH31" s="198"/>
      <c r="HI31" s="198"/>
      <c r="HJ31" s="198"/>
      <c r="HK31" s="198"/>
      <c r="HL31" s="198"/>
      <c r="HM31" s="198"/>
      <c r="HN31" s="198"/>
      <c r="HO31" s="198"/>
      <c r="HP31" s="198"/>
      <c r="HQ31" s="198"/>
      <c r="HR31" s="198"/>
      <c r="HS31" s="198"/>
      <c r="HT31" s="198"/>
      <c r="HU31" s="198"/>
      <c r="HV31" s="198"/>
      <c r="HW31" s="198"/>
      <c r="HX31" s="198"/>
      <c r="HY31" s="198"/>
      <c r="HZ31" s="198"/>
      <c r="IA31" s="198"/>
      <c r="IB31" s="198"/>
      <c r="IC31" s="198"/>
      <c r="ID31" s="198"/>
      <c r="IE31" s="198"/>
      <c r="IF31" s="198"/>
      <c r="IG31" s="198"/>
      <c r="IH31" s="198"/>
      <c r="II31" s="198"/>
      <c r="IJ31" s="198"/>
      <c r="IK31" s="198"/>
      <c r="IL31" s="198"/>
      <c r="IM31" s="198"/>
      <c r="IN31" s="198"/>
      <c r="IO31" s="198"/>
      <c r="IP31" s="198"/>
      <c r="IQ31" s="198"/>
      <c r="IR31" s="198"/>
      <c r="IS31" s="198"/>
      <c r="IT31" s="198"/>
      <c r="IU31" s="198"/>
      <c r="IV31" s="198"/>
      <c r="IW31" s="198"/>
      <c r="IX31" s="198"/>
      <c r="IY31" s="198"/>
      <c r="IZ31" s="198"/>
      <c r="JA31" s="198"/>
      <c r="JB31" s="198"/>
      <c r="JC31" s="198"/>
      <c r="JD31" s="198"/>
      <c r="JE31" s="198"/>
      <c r="JF31" s="198"/>
      <c r="JG31" s="198"/>
      <c r="JH31" s="198"/>
      <c r="JI31" s="198"/>
      <c r="JJ31" s="198"/>
      <c r="JK31" s="198"/>
      <c r="JL31" s="198"/>
      <c r="JM31" s="198"/>
      <c r="JN31" s="198"/>
      <c r="JO31" s="198"/>
      <c r="JP31" s="198"/>
      <c r="JQ31" s="198"/>
      <c r="JR31" s="198"/>
      <c r="JS31" s="198"/>
      <c r="JT31" s="198"/>
      <c r="JU31" s="198"/>
      <c r="JV31" s="198"/>
      <c r="JW31" s="198"/>
      <c r="JX31" s="198"/>
      <c r="JY31" s="198"/>
      <c r="JZ31" s="198"/>
      <c r="KA31" s="198"/>
      <c r="KB31" s="198"/>
      <c r="KC31" s="198"/>
      <c r="KD31" s="198"/>
      <c r="KE31" s="198"/>
      <c r="KF31" s="198"/>
      <c r="KG31" s="198"/>
      <c r="KH31" s="198"/>
      <c r="KI31" s="198"/>
      <c r="KJ31" s="198"/>
      <c r="KK31" s="198"/>
      <c r="KL31" s="198"/>
      <c r="KM31" s="198"/>
      <c r="KN31" s="198"/>
      <c r="KO31" s="198"/>
      <c r="KP31" s="198"/>
      <c r="KQ31" s="198"/>
      <c r="KR31" s="198"/>
      <c r="KS31" s="198"/>
      <c r="KT31" s="198"/>
      <c r="KU31" s="198"/>
      <c r="KV31" s="198"/>
      <c r="KW31" s="198"/>
      <c r="KX31" s="198"/>
      <c r="KY31" s="198"/>
      <c r="KZ31" s="198"/>
      <c r="LA31" s="198"/>
      <c r="LB31" s="198"/>
      <c r="LC31" s="198"/>
      <c r="LD31" s="198"/>
      <c r="LE31" s="198"/>
      <c r="LF31" s="198"/>
      <c r="LG31" s="198"/>
      <c r="LH31" s="198"/>
      <c r="LI31" s="198"/>
      <c r="LJ31" s="198"/>
      <c r="LK31" s="198"/>
      <c r="LL31" s="198"/>
      <c r="LM31" s="198"/>
      <c r="LN31" s="198"/>
      <c r="LO31" s="198"/>
      <c r="LP31" s="198"/>
      <c r="LQ31" s="198"/>
      <c r="LR31" s="198"/>
      <c r="LS31" s="198"/>
      <c r="LT31" s="198"/>
      <c r="LU31" s="198"/>
      <c r="LV31" s="198"/>
      <c r="LW31" s="198"/>
      <c r="LX31" s="198"/>
      <c r="LY31" s="198"/>
      <c r="LZ31" s="198"/>
      <c r="MA31" s="198"/>
      <c r="MB31" s="198"/>
      <c r="MC31" s="198"/>
      <c r="MD31" s="198"/>
      <c r="ME31" s="198"/>
      <c r="MF31" s="198"/>
      <c r="MG31" s="198"/>
      <c r="MH31" s="198"/>
      <c r="MI31" s="198"/>
      <c r="MJ31" s="198"/>
      <c r="MK31" s="198"/>
      <c r="ML31" s="198"/>
      <c r="MM31" s="198"/>
      <c r="MN31" s="198"/>
      <c r="MO31" s="198"/>
      <c r="MP31" s="198"/>
      <c r="MQ31" s="198"/>
      <c r="MR31" s="198"/>
      <c r="MS31" s="198"/>
      <c r="MT31" s="198"/>
      <c r="MU31" s="198"/>
      <c r="MV31" s="198"/>
      <c r="MW31" s="198"/>
      <c r="MX31" s="198"/>
      <c r="MY31" s="198"/>
      <c r="MZ31" s="198"/>
      <c r="NA31" s="198"/>
      <c r="NB31" s="198"/>
      <c r="NC31" s="198"/>
      <c r="ND31" s="198"/>
      <c r="NE31" s="198"/>
      <c r="NF31" s="198"/>
      <c r="NG31" s="198"/>
      <c r="NH31" s="198"/>
      <c r="NI31" s="198"/>
      <c r="NJ31" s="198"/>
      <c r="NK31" s="198"/>
      <c r="NL31" s="198"/>
      <c r="NM31" s="198"/>
      <c r="NN31" s="198"/>
      <c r="NO31" s="198"/>
      <c r="NP31" s="198"/>
      <c r="NQ31" s="198"/>
      <c r="NR31" s="198"/>
      <c r="NS31" s="198"/>
      <c r="NT31" s="198"/>
      <c r="NU31" s="198"/>
      <c r="NV31" s="198"/>
      <c r="NW31" s="198"/>
      <c r="NX31" s="198"/>
      <c r="NY31" s="198"/>
      <c r="NZ31" s="198"/>
      <c r="OA31" s="198"/>
      <c r="OB31" s="198"/>
      <c r="OC31" s="198"/>
      <c r="OD31" s="198"/>
      <c r="OE31" s="198"/>
      <c r="OF31" s="198"/>
      <c r="OG31" s="198"/>
      <c r="OH31" s="198"/>
      <c r="OI31" s="198"/>
      <c r="OJ31" s="198"/>
      <c r="OK31" s="198"/>
      <c r="OL31" s="198"/>
      <c r="OM31" s="198"/>
      <c r="ON31" s="198"/>
      <c r="OO31" s="198"/>
      <c r="OP31" s="198"/>
      <c r="OQ31" s="198"/>
      <c r="OR31" s="198"/>
      <c r="OS31" s="198"/>
      <c r="OT31" s="198"/>
      <c r="OU31" s="198"/>
      <c r="OV31" s="198"/>
      <c r="OW31" s="198"/>
      <c r="OX31" s="198"/>
      <c r="OY31" s="198"/>
      <c r="OZ31" s="198"/>
      <c r="PA31" s="198"/>
      <c r="PB31" s="198"/>
      <c r="PC31" s="198"/>
      <c r="PD31" s="198"/>
      <c r="PE31" s="198"/>
      <c r="PF31" s="198"/>
      <c r="PG31" s="198"/>
      <c r="PH31" s="198"/>
      <c r="PI31" s="198"/>
      <c r="PJ31" s="198"/>
      <c r="PK31" s="198"/>
      <c r="PL31" s="198"/>
      <c r="PM31" s="198"/>
      <c r="PN31" s="198"/>
      <c r="PO31" s="198"/>
      <c r="PP31" s="198"/>
      <c r="PQ31" s="198"/>
      <c r="PR31" s="198"/>
      <c r="PS31" s="198"/>
      <c r="PT31" s="198"/>
      <c r="PU31" s="198"/>
      <c r="PV31" s="198"/>
      <c r="PW31" s="198"/>
      <c r="PX31" s="198"/>
      <c r="PY31" s="198"/>
      <c r="PZ31" s="198"/>
      <c r="QA31" s="198"/>
      <c r="QB31" s="198"/>
      <c r="QC31" s="198"/>
      <c r="QD31" s="198"/>
      <c r="QE31" s="198"/>
      <c r="QF31" s="198"/>
      <c r="QG31" s="198"/>
      <c r="QH31" s="198"/>
      <c r="QI31" s="198"/>
      <c r="QJ31" s="198"/>
      <c r="QK31" s="198"/>
      <c r="QL31" s="198"/>
      <c r="QM31" s="198"/>
      <c r="QN31" s="198"/>
      <c r="QO31" s="198"/>
      <c r="QP31" s="198"/>
      <c r="QQ31" s="198"/>
      <c r="QR31" s="198"/>
      <c r="QS31" s="198"/>
      <c r="QT31" s="198"/>
      <c r="QU31" s="198"/>
      <c r="QV31" s="198"/>
      <c r="QW31" s="198"/>
      <c r="QX31" s="198"/>
      <c r="QY31" s="198"/>
      <c r="QZ31" s="198"/>
      <c r="RA31" s="198"/>
      <c r="RB31" s="198"/>
      <c r="RC31" s="198"/>
      <c r="RD31" s="198"/>
      <c r="RE31" s="198"/>
      <c r="RF31" s="198"/>
      <c r="RG31" s="198"/>
      <c r="RH31" s="198"/>
      <c r="RI31" s="198"/>
      <c r="RJ31" s="198"/>
      <c r="RK31" s="198"/>
      <c r="RL31" s="198"/>
      <c r="RM31" s="198"/>
      <c r="RN31" s="198"/>
      <c r="RO31" s="198"/>
      <c r="RP31" s="198"/>
      <c r="RQ31" s="198"/>
      <c r="RR31" s="198"/>
      <c r="RS31" s="198"/>
      <c r="RT31" s="198"/>
      <c r="RU31" s="198"/>
      <c r="RV31" s="198"/>
      <c r="RW31" s="198"/>
      <c r="RX31" s="198"/>
      <c r="RY31" s="198"/>
      <c r="RZ31" s="198"/>
      <c r="SA31" s="198"/>
      <c r="SB31" s="198"/>
      <c r="SC31" s="198"/>
      <c r="SD31" s="198"/>
      <c r="SE31" s="198"/>
      <c r="SF31" s="198"/>
      <c r="SG31" s="198"/>
    </row>
    <row r="32" spans="1:501" ht="40.049999999999997" customHeight="1" x14ac:dyDescent="0.3">
      <c r="A32" s="970" t="s">
        <v>136</v>
      </c>
      <c r="B32" s="971" t="s">
        <v>137</v>
      </c>
      <c r="C32" s="944"/>
      <c r="D32" s="944"/>
      <c r="E32" s="944"/>
      <c r="F32" s="944"/>
      <c r="G32" s="944"/>
      <c r="H32" s="944"/>
      <c r="I32" s="944"/>
      <c r="J32" s="944"/>
      <c r="K32" s="944"/>
      <c r="L32" s="944"/>
      <c r="M32" s="944"/>
      <c r="N32" s="944"/>
      <c r="O32" s="944"/>
      <c r="P32" s="944"/>
      <c r="Q32" s="944"/>
      <c r="R32" s="944"/>
      <c r="S32" s="944"/>
      <c r="T32" s="944"/>
      <c r="U32" s="944"/>
      <c r="V32" s="944"/>
      <c r="W32" s="944"/>
      <c r="X32" s="944"/>
      <c r="Y32" s="944"/>
      <c r="Z32" s="944"/>
      <c r="AA32" s="944"/>
      <c r="AB32" s="944"/>
      <c r="AC32" s="944"/>
      <c r="AD32" s="944"/>
      <c r="AE32" s="944"/>
      <c r="AF32" s="944"/>
      <c r="AG32" s="944"/>
      <c r="AH32" s="945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  <c r="AS32" s="198"/>
      <c r="AT32" s="198"/>
      <c r="AU32" s="198"/>
      <c r="AV32" s="198"/>
      <c r="AW32" s="198"/>
      <c r="AX32" s="198"/>
      <c r="AY32" s="198"/>
      <c r="AZ32" s="198"/>
      <c r="BA32" s="198"/>
      <c r="BB32" s="198"/>
      <c r="BC32" s="198"/>
      <c r="BD32" s="198"/>
      <c r="BE32" s="198"/>
      <c r="BF32" s="198"/>
      <c r="BG32" s="198"/>
      <c r="BH32" s="198"/>
      <c r="BI32" s="198"/>
      <c r="BJ32" s="198"/>
      <c r="BK32" s="198"/>
      <c r="BL32" s="198"/>
      <c r="BM32" s="198"/>
      <c r="BN32" s="198"/>
      <c r="BO32" s="198"/>
      <c r="BP32" s="198"/>
      <c r="BQ32" s="198"/>
      <c r="BR32" s="198"/>
      <c r="BS32" s="198"/>
      <c r="BT32" s="198"/>
      <c r="BU32" s="198"/>
      <c r="BV32" s="198"/>
      <c r="BW32" s="198"/>
      <c r="BX32" s="198"/>
      <c r="BY32" s="198"/>
      <c r="BZ32" s="198"/>
      <c r="CA32" s="198"/>
      <c r="CB32" s="198"/>
      <c r="CC32" s="198"/>
      <c r="CD32" s="198"/>
      <c r="CE32" s="198"/>
      <c r="CF32" s="198"/>
      <c r="CG32" s="198"/>
      <c r="CH32" s="198"/>
      <c r="CI32" s="198"/>
      <c r="CJ32" s="198"/>
      <c r="CK32" s="198"/>
      <c r="CL32" s="198"/>
      <c r="CM32" s="198"/>
      <c r="CN32" s="198"/>
      <c r="CO32" s="198"/>
      <c r="CP32" s="198"/>
      <c r="CQ32" s="198"/>
      <c r="CR32" s="198"/>
      <c r="CS32" s="198"/>
      <c r="CT32" s="198"/>
      <c r="CU32" s="198"/>
      <c r="CV32" s="198"/>
      <c r="CW32" s="198"/>
      <c r="CX32" s="198"/>
      <c r="CY32" s="198"/>
      <c r="CZ32" s="198"/>
      <c r="DA32" s="198"/>
      <c r="DB32" s="198"/>
      <c r="DC32" s="198"/>
      <c r="DD32" s="198"/>
      <c r="DE32" s="198"/>
      <c r="DF32" s="198"/>
      <c r="DG32" s="198"/>
      <c r="DH32" s="198"/>
      <c r="DI32" s="198"/>
      <c r="DJ32" s="198"/>
      <c r="DK32" s="198"/>
      <c r="DL32" s="198"/>
      <c r="DM32" s="198"/>
      <c r="DN32" s="198"/>
      <c r="DO32" s="198"/>
      <c r="DP32" s="198"/>
      <c r="DQ32" s="198"/>
      <c r="DR32" s="198"/>
      <c r="DS32" s="198"/>
      <c r="DT32" s="198"/>
      <c r="DU32" s="198"/>
      <c r="DV32" s="198"/>
      <c r="DW32" s="198"/>
      <c r="DX32" s="198"/>
      <c r="DY32" s="198"/>
      <c r="DZ32" s="198"/>
      <c r="EA32" s="198"/>
      <c r="EB32" s="198"/>
      <c r="EC32" s="198"/>
      <c r="ED32" s="198"/>
      <c r="EE32" s="198"/>
      <c r="EF32" s="198"/>
      <c r="EG32" s="198"/>
      <c r="EH32" s="198"/>
      <c r="EI32" s="198"/>
      <c r="EJ32" s="198"/>
      <c r="EK32" s="198"/>
      <c r="EL32" s="198"/>
      <c r="EM32" s="198"/>
      <c r="EN32" s="198"/>
      <c r="EO32" s="198"/>
      <c r="EP32" s="198"/>
      <c r="EQ32" s="198"/>
      <c r="ER32" s="198"/>
      <c r="ES32" s="198"/>
      <c r="ET32" s="198"/>
      <c r="EU32" s="198"/>
      <c r="EV32" s="198"/>
      <c r="EW32" s="198"/>
      <c r="EX32" s="198"/>
      <c r="EY32" s="198"/>
      <c r="EZ32" s="198"/>
      <c r="FA32" s="198"/>
      <c r="FB32" s="198"/>
      <c r="FC32" s="198"/>
      <c r="FD32" s="198"/>
      <c r="FE32" s="198"/>
      <c r="FF32" s="198"/>
      <c r="FG32" s="198"/>
      <c r="FH32" s="198"/>
      <c r="FI32" s="198"/>
      <c r="FJ32" s="198"/>
      <c r="FK32" s="198"/>
      <c r="FL32" s="198"/>
      <c r="FM32" s="198"/>
      <c r="FN32" s="198"/>
      <c r="FO32" s="198"/>
      <c r="FP32" s="198"/>
      <c r="FQ32" s="198"/>
      <c r="FR32" s="198"/>
      <c r="FS32" s="198"/>
      <c r="FT32" s="198"/>
      <c r="FU32" s="198"/>
      <c r="FV32" s="198"/>
      <c r="FW32" s="198"/>
      <c r="FX32" s="198"/>
      <c r="FY32" s="198"/>
      <c r="FZ32" s="198"/>
      <c r="GA32" s="198"/>
      <c r="GB32" s="198"/>
      <c r="GC32" s="198"/>
      <c r="GD32" s="198"/>
      <c r="GE32" s="198"/>
      <c r="GF32" s="198"/>
      <c r="GG32" s="198"/>
      <c r="GH32" s="198"/>
      <c r="GI32" s="198"/>
      <c r="GJ32" s="198"/>
      <c r="GK32" s="198"/>
      <c r="GL32" s="198"/>
      <c r="GM32" s="198"/>
      <c r="GN32" s="198"/>
      <c r="GO32" s="198"/>
      <c r="GP32" s="198"/>
      <c r="GQ32" s="198"/>
      <c r="GR32" s="198"/>
      <c r="GS32" s="198"/>
      <c r="GT32" s="198"/>
      <c r="GU32" s="198"/>
      <c r="GV32" s="198"/>
      <c r="GW32" s="198"/>
      <c r="GX32" s="198"/>
      <c r="GY32" s="198"/>
      <c r="GZ32" s="198"/>
      <c r="HA32" s="198"/>
      <c r="HB32" s="198"/>
      <c r="HC32" s="198"/>
      <c r="HD32" s="198"/>
      <c r="HE32" s="198"/>
      <c r="HF32" s="198"/>
      <c r="HG32" s="198"/>
      <c r="HH32" s="198"/>
      <c r="HI32" s="198"/>
      <c r="HJ32" s="198"/>
      <c r="HK32" s="198"/>
      <c r="HL32" s="198"/>
      <c r="HM32" s="198"/>
      <c r="HN32" s="198"/>
      <c r="HO32" s="198"/>
      <c r="HP32" s="198"/>
      <c r="HQ32" s="198"/>
      <c r="HR32" s="198"/>
      <c r="HS32" s="198"/>
      <c r="HT32" s="198"/>
      <c r="HU32" s="198"/>
      <c r="HV32" s="198"/>
      <c r="HW32" s="198"/>
      <c r="HX32" s="198"/>
      <c r="HY32" s="198"/>
      <c r="HZ32" s="198"/>
      <c r="IA32" s="198"/>
      <c r="IB32" s="198"/>
      <c r="IC32" s="198"/>
      <c r="ID32" s="198"/>
      <c r="IE32" s="198"/>
      <c r="IF32" s="198"/>
      <c r="IG32" s="198"/>
      <c r="IH32" s="198"/>
      <c r="II32" s="198"/>
      <c r="IJ32" s="198"/>
      <c r="IK32" s="198"/>
      <c r="IL32" s="198"/>
      <c r="IM32" s="198"/>
      <c r="IN32" s="198"/>
      <c r="IO32" s="198"/>
      <c r="IP32" s="198"/>
      <c r="IQ32" s="198"/>
      <c r="IR32" s="198"/>
      <c r="IS32" s="198"/>
      <c r="IT32" s="198"/>
      <c r="IU32" s="198"/>
      <c r="IV32" s="198"/>
      <c r="IW32" s="198"/>
      <c r="IX32" s="198"/>
      <c r="IY32" s="198"/>
      <c r="IZ32" s="198"/>
      <c r="JA32" s="198"/>
      <c r="JB32" s="198"/>
      <c r="JC32" s="198"/>
      <c r="JD32" s="198"/>
      <c r="JE32" s="198"/>
      <c r="JF32" s="198"/>
      <c r="JG32" s="198"/>
      <c r="JH32" s="198"/>
      <c r="JI32" s="198"/>
      <c r="JJ32" s="198"/>
      <c r="JK32" s="198"/>
      <c r="JL32" s="198"/>
      <c r="JM32" s="198"/>
      <c r="JN32" s="198"/>
      <c r="JO32" s="198"/>
      <c r="JP32" s="198"/>
      <c r="JQ32" s="198"/>
      <c r="JR32" s="198"/>
      <c r="JS32" s="198"/>
      <c r="JT32" s="198"/>
      <c r="JU32" s="198"/>
      <c r="JV32" s="198"/>
      <c r="JW32" s="198"/>
      <c r="JX32" s="198"/>
      <c r="JY32" s="198"/>
      <c r="JZ32" s="198"/>
      <c r="KA32" s="198"/>
      <c r="KB32" s="198"/>
      <c r="KC32" s="198"/>
      <c r="KD32" s="198"/>
      <c r="KE32" s="198"/>
      <c r="KF32" s="198"/>
      <c r="KG32" s="198"/>
      <c r="KH32" s="198"/>
      <c r="KI32" s="198"/>
      <c r="KJ32" s="198"/>
      <c r="KK32" s="198"/>
      <c r="KL32" s="198"/>
      <c r="KM32" s="198"/>
      <c r="KN32" s="198"/>
      <c r="KO32" s="198"/>
      <c r="KP32" s="198"/>
      <c r="KQ32" s="198"/>
      <c r="KR32" s="198"/>
      <c r="KS32" s="198"/>
      <c r="KT32" s="198"/>
      <c r="KU32" s="198"/>
      <c r="KV32" s="198"/>
      <c r="KW32" s="198"/>
      <c r="KX32" s="198"/>
      <c r="KY32" s="198"/>
      <c r="KZ32" s="198"/>
      <c r="LA32" s="198"/>
      <c r="LB32" s="198"/>
      <c r="LC32" s="198"/>
      <c r="LD32" s="198"/>
      <c r="LE32" s="198"/>
      <c r="LF32" s="198"/>
      <c r="LG32" s="198"/>
      <c r="LH32" s="198"/>
      <c r="LI32" s="198"/>
      <c r="LJ32" s="198"/>
      <c r="LK32" s="198"/>
      <c r="LL32" s="198"/>
      <c r="LM32" s="198"/>
      <c r="LN32" s="198"/>
      <c r="LO32" s="198"/>
      <c r="LP32" s="198"/>
      <c r="LQ32" s="198"/>
      <c r="LR32" s="198"/>
      <c r="LS32" s="198"/>
      <c r="LT32" s="198"/>
      <c r="LU32" s="198"/>
      <c r="LV32" s="198"/>
      <c r="LW32" s="198"/>
      <c r="LX32" s="198"/>
      <c r="LY32" s="198"/>
      <c r="LZ32" s="198"/>
      <c r="MA32" s="198"/>
      <c r="MB32" s="198"/>
      <c r="MC32" s="198"/>
      <c r="MD32" s="198"/>
      <c r="ME32" s="198"/>
      <c r="MF32" s="198"/>
      <c r="MG32" s="198"/>
      <c r="MH32" s="198"/>
      <c r="MI32" s="198"/>
      <c r="MJ32" s="198"/>
      <c r="MK32" s="198"/>
      <c r="ML32" s="198"/>
      <c r="MM32" s="198"/>
      <c r="MN32" s="198"/>
      <c r="MO32" s="198"/>
      <c r="MP32" s="198"/>
      <c r="MQ32" s="198"/>
      <c r="MR32" s="198"/>
      <c r="MS32" s="198"/>
      <c r="MT32" s="198"/>
      <c r="MU32" s="198"/>
      <c r="MV32" s="198"/>
      <c r="MW32" s="198"/>
      <c r="MX32" s="198"/>
      <c r="MY32" s="198"/>
      <c r="MZ32" s="198"/>
      <c r="NA32" s="198"/>
      <c r="NB32" s="198"/>
      <c r="NC32" s="198"/>
      <c r="ND32" s="198"/>
      <c r="NE32" s="198"/>
      <c r="NF32" s="198"/>
      <c r="NG32" s="198"/>
      <c r="NH32" s="198"/>
      <c r="NI32" s="198"/>
      <c r="NJ32" s="198"/>
      <c r="NK32" s="198"/>
      <c r="NL32" s="198"/>
      <c r="NM32" s="198"/>
      <c r="NN32" s="198"/>
      <c r="NO32" s="198"/>
      <c r="NP32" s="198"/>
      <c r="NQ32" s="198"/>
      <c r="NR32" s="198"/>
      <c r="NS32" s="198"/>
      <c r="NT32" s="198"/>
      <c r="NU32" s="198"/>
      <c r="NV32" s="198"/>
      <c r="NW32" s="198"/>
      <c r="NX32" s="198"/>
      <c r="NY32" s="198"/>
      <c r="NZ32" s="198"/>
      <c r="OA32" s="198"/>
      <c r="OB32" s="198"/>
      <c r="OC32" s="198"/>
      <c r="OD32" s="198"/>
      <c r="OE32" s="198"/>
      <c r="OF32" s="198"/>
      <c r="OG32" s="198"/>
      <c r="OH32" s="198"/>
      <c r="OI32" s="198"/>
      <c r="OJ32" s="198"/>
      <c r="OK32" s="198"/>
      <c r="OL32" s="198"/>
      <c r="OM32" s="198"/>
      <c r="ON32" s="198"/>
      <c r="OO32" s="198"/>
      <c r="OP32" s="198"/>
      <c r="OQ32" s="198"/>
      <c r="OR32" s="198"/>
      <c r="OS32" s="198"/>
      <c r="OT32" s="198"/>
      <c r="OU32" s="198"/>
      <c r="OV32" s="198"/>
      <c r="OW32" s="198"/>
      <c r="OX32" s="198"/>
      <c r="OY32" s="198"/>
      <c r="OZ32" s="198"/>
      <c r="PA32" s="198"/>
      <c r="PB32" s="198"/>
      <c r="PC32" s="198"/>
      <c r="PD32" s="198"/>
      <c r="PE32" s="198"/>
      <c r="PF32" s="198"/>
      <c r="PG32" s="198"/>
      <c r="PH32" s="198"/>
      <c r="PI32" s="198"/>
      <c r="PJ32" s="198"/>
      <c r="PK32" s="198"/>
      <c r="PL32" s="198"/>
      <c r="PM32" s="198"/>
      <c r="PN32" s="198"/>
      <c r="PO32" s="198"/>
      <c r="PP32" s="198"/>
      <c r="PQ32" s="198"/>
      <c r="PR32" s="198"/>
      <c r="PS32" s="198"/>
      <c r="PT32" s="198"/>
      <c r="PU32" s="198"/>
      <c r="PV32" s="198"/>
      <c r="PW32" s="198"/>
      <c r="PX32" s="198"/>
      <c r="PY32" s="198"/>
      <c r="PZ32" s="198"/>
      <c r="QA32" s="198"/>
      <c r="QB32" s="198"/>
      <c r="QC32" s="198"/>
      <c r="QD32" s="198"/>
      <c r="QE32" s="198"/>
      <c r="QF32" s="198"/>
      <c r="QG32" s="198"/>
      <c r="QH32" s="198"/>
      <c r="QI32" s="198"/>
      <c r="QJ32" s="198"/>
      <c r="QK32" s="198"/>
      <c r="QL32" s="198"/>
      <c r="QM32" s="198"/>
      <c r="QN32" s="198"/>
      <c r="QO32" s="198"/>
      <c r="QP32" s="198"/>
      <c r="QQ32" s="198"/>
      <c r="QR32" s="198"/>
      <c r="QS32" s="198"/>
      <c r="QT32" s="198"/>
      <c r="QU32" s="198"/>
      <c r="QV32" s="198"/>
      <c r="QW32" s="198"/>
      <c r="QX32" s="198"/>
      <c r="QY32" s="198"/>
      <c r="QZ32" s="198"/>
      <c r="RA32" s="198"/>
      <c r="RB32" s="198"/>
      <c r="RC32" s="198"/>
      <c r="RD32" s="198"/>
      <c r="RE32" s="198"/>
      <c r="RF32" s="198"/>
      <c r="RG32" s="198"/>
      <c r="RH32" s="198"/>
      <c r="RI32" s="198"/>
      <c r="RJ32" s="198"/>
      <c r="RK32" s="198"/>
      <c r="RL32" s="198"/>
      <c r="RM32" s="198"/>
      <c r="RN32" s="198"/>
      <c r="RO32" s="198"/>
      <c r="RP32" s="198"/>
      <c r="RQ32" s="198"/>
      <c r="RR32" s="198"/>
      <c r="RS32" s="198"/>
      <c r="RT32" s="198"/>
      <c r="RU32" s="198"/>
      <c r="RV32" s="198"/>
      <c r="RW32" s="198"/>
      <c r="RX32" s="198"/>
      <c r="RY32" s="198"/>
      <c r="RZ32" s="198"/>
      <c r="SA32" s="198"/>
      <c r="SB32" s="198"/>
      <c r="SC32" s="198"/>
      <c r="SD32" s="198"/>
      <c r="SE32" s="198"/>
      <c r="SF32" s="198"/>
      <c r="SG32" s="198"/>
    </row>
    <row r="33" spans="1:501" ht="40.049999999999997" customHeight="1" x14ac:dyDescent="0.3">
      <c r="A33" s="541" t="s">
        <v>138</v>
      </c>
      <c r="B33" s="952" t="s">
        <v>139</v>
      </c>
      <c r="C33" s="950">
        <f>'MANZ. A'!H35</f>
        <v>0</v>
      </c>
      <c r="D33" s="861"/>
      <c r="E33" s="862">
        <f>'MANZ. B'!R25</f>
        <v>5</v>
      </c>
      <c r="F33" s="861"/>
      <c r="G33" s="863">
        <f>MANZ.C!AL24</f>
        <v>17</v>
      </c>
      <c r="H33" s="861"/>
      <c r="I33" s="862">
        <f>MANZ.D!Z24</f>
        <v>11</v>
      </c>
      <c r="J33" s="861"/>
      <c r="K33" s="862">
        <f>MANZ.E!AK25</f>
        <v>17</v>
      </c>
      <c r="L33" s="861"/>
      <c r="M33" s="862">
        <f>MANZ.F!AB24</f>
        <v>11</v>
      </c>
      <c r="N33" s="861"/>
      <c r="O33" s="862">
        <f>MANZ.G!AT25</f>
        <v>19</v>
      </c>
      <c r="P33" s="861"/>
      <c r="Q33" s="863">
        <f>MANZ.H!V25</f>
        <v>9</v>
      </c>
      <c r="R33" s="861"/>
      <c r="S33" s="862">
        <f>MANZ.I!AB25</f>
        <v>12</v>
      </c>
      <c r="T33" s="861"/>
      <c r="U33" s="862">
        <f>MANZ.J!AT28</f>
        <v>21</v>
      </c>
      <c r="V33" s="861"/>
      <c r="W33" s="862">
        <f>MANZ.K!AB25</f>
        <v>12</v>
      </c>
      <c r="X33" s="861"/>
      <c r="Y33" s="862">
        <f>MANZ.L!Z25</f>
        <v>11</v>
      </c>
      <c r="Z33" s="861"/>
      <c r="AA33" s="862">
        <f>'SALA MULTIUSO'!F34</f>
        <v>0</v>
      </c>
      <c r="AB33" s="864"/>
      <c r="AC33" s="864"/>
      <c r="AD33" s="864"/>
      <c r="AE33" s="864"/>
      <c r="AF33" s="861"/>
      <c r="AG33" s="865" t="e">
        <f>SUM(C25:AA25)</f>
        <v>#REF!</v>
      </c>
      <c r="AH33" s="866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  <c r="AS33" s="198"/>
      <c r="AT33" s="198"/>
      <c r="AU33" s="198"/>
      <c r="AV33" s="198"/>
      <c r="AW33" s="198"/>
      <c r="AX33" s="198"/>
      <c r="AY33" s="198"/>
      <c r="AZ33" s="198"/>
      <c r="BA33" s="198"/>
      <c r="BB33" s="198"/>
      <c r="BC33" s="198"/>
      <c r="BD33" s="198"/>
      <c r="BE33" s="198"/>
      <c r="BF33" s="198"/>
      <c r="BG33" s="198"/>
      <c r="BH33" s="198"/>
      <c r="BI33" s="198"/>
      <c r="BJ33" s="198"/>
      <c r="BK33" s="198"/>
      <c r="BL33" s="198"/>
      <c r="BM33" s="198"/>
      <c r="BN33" s="198"/>
      <c r="BO33" s="198"/>
      <c r="BP33" s="198"/>
      <c r="BQ33" s="198"/>
      <c r="BR33" s="198"/>
      <c r="BS33" s="198"/>
      <c r="BT33" s="198"/>
      <c r="BU33" s="198"/>
      <c r="BV33" s="198"/>
      <c r="BW33" s="198"/>
      <c r="BX33" s="198"/>
      <c r="BY33" s="198"/>
      <c r="BZ33" s="198"/>
      <c r="CA33" s="198"/>
      <c r="CB33" s="198"/>
      <c r="CC33" s="198"/>
      <c r="CD33" s="198"/>
      <c r="CE33" s="198"/>
      <c r="CF33" s="198"/>
      <c r="CG33" s="198"/>
      <c r="CH33" s="198"/>
      <c r="CI33" s="198"/>
      <c r="CJ33" s="198"/>
      <c r="CK33" s="198"/>
      <c r="CL33" s="198"/>
      <c r="CM33" s="198"/>
      <c r="CN33" s="198"/>
      <c r="CO33" s="198"/>
      <c r="CP33" s="198"/>
      <c r="CQ33" s="198"/>
      <c r="CR33" s="198"/>
      <c r="CS33" s="198"/>
      <c r="CT33" s="198"/>
      <c r="CU33" s="198"/>
      <c r="CV33" s="198"/>
      <c r="CW33" s="198"/>
      <c r="CX33" s="198"/>
      <c r="CY33" s="198"/>
      <c r="CZ33" s="198"/>
      <c r="DA33" s="198"/>
      <c r="DB33" s="198"/>
      <c r="DC33" s="198"/>
      <c r="DD33" s="198"/>
      <c r="DE33" s="198"/>
      <c r="DF33" s="198"/>
      <c r="DG33" s="198"/>
      <c r="DH33" s="198"/>
      <c r="DI33" s="198"/>
      <c r="DJ33" s="198"/>
      <c r="DK33" s="198"/>
      <c r="DL33" s="198"/>
      <c r="DM33" s="198"/>
      <c r="DN33" s="198"/>
      <c r="DO33" s="198"/>
      <c r="DP33" s="198"/>
      <c r="DQ33" s="198"/>
      <c r="DR33" s="198"/>
      <c r="DS33" s="198"/>
      <c r="DT33" s="198"/>
      <c r="DU33" s="198"/>
      <c r="DV33" s="198"/>
      <c r="DW33" s="198"/>
      <c r="DX33" s="198"/>
      <c r="DY33" s="198"/>
      <c r="DZ33" s="198"/>
      <c r="EA33" s="198"/>
      <c r="EB33" s="198"/>
      <c r="EC33" s="198"/>
      <c r="ED33" s="198"/>
      <c r="EE33" s="198"/>
      <c r="EF33" s="198"/>
      <c r="EG33" s="198"/>
      <c r="EH33" s="198"/>
      <c r="EI33" s="198"/>
      <c r="EJ33" s="198"/>
      <c r="EK33" s="198"/>
      <c r="EL33" s="198"/>
      <c r="EM33" s="198"/>
      <c r="EN33" s="198"/>
      <c r="EO33" s="198"/>
      <c r="EP33" s="198"/>
      <c r="EQ33" s="198"/>
      <c r="ER33" s="198"/>
      <c r="ES33" s="198"/>
      <c r="ET33" s="198"/>
      <c r="EU33" s="198"/>
      <c r="EV33" s="198"/>
      <c r="EW33" s="198"/>
      <c r="EX33" s="198"/>
      <c r="EY33" s="198"/>
      <c r="EZ33" s="198"/>
      <c r="FA33" s="198"/>
      <c r="FB33" s="198"/>
      <c r="FC33" s="198"/>
      <c r="FD33" s="198"/>
      <c r="FE33" s="198"/>
      <c r="FF33" s="198"/>
      <c r="FG33" s="198"/>
      <c r="FH33" s="198"/>
      <c r="FI33" s="198"/>
      <c r="FJ33" s="198"/>
      <c r="FK33" s="198"/>
      <c r="FL33" s="198"/>
      <c r="FM33" s="198"/>
      <c r="FN33" s="198"/>
      <c r="FO33" s="198"/>
      <c r="FP33" s="198"/>
      <c r="FQ33" s="198"/>
      <c r="FR33" s="198"/>
      <c r="FS33" s="198"/>
      <c r="FT33" s="198"/>
      <c r="FU33" s="198"/>
      <c r="FV33" s="198"/>
      <c r="FW33" s="198"/>
      <c r="FX33" s="198"/>
      <c r="FY33" s="198"/>
      <c r="FZ33" s="198"/>
      <c r="GA33" s="198"/>
      <c r="GB33" s="198"/>
      <c r="GC33" s="198"/>
      <c r="GD33" s="198"/>
      <c r="GE33" s="198"/>
      <c r="GF33" s="198"/>
      <c r="GG33" s="198"/>
      <c r="GH33" s="198"/>
      <c r="GI33" s="198"/>
      <c r="GJ33" s="198"/>
      <c r="GK33" s="198"/>
      <c r="GL33" s="198"/>
      <c r="GM33" s="198"/>
      <c r="GN33" s="198"/>
      <c r="GO33" s="198"/>
      <c r="GP33" s="198"/>
      <c r="GQ33" s="198"/>
      <c r="GR33" s="198"/>
      <c r="GS33" s="198"/>
      <c r="GT33" s="198"/>
      <c r="GU33" s="198"/>
      <c r="GV33" s="198"/>
      <c r="GW33" s="198"/>
      <c r="GX33" s="198"/>
      <c r="GY33" s="198"/>
      <c r="GZ33" s="198"/>
      <c r="HA33" s="198"/>
      <c r="HB33" s="198"/>
      <c r="HC33" s="198"/>
      <c r="HD33" s="198"/>
      <c r="HE33" s="198"/>
      <c r="HF33" s="198"/>
      <c r="HG33" s="198"/>
      <c r="HH33" s="198"/>
      <c r="HI33" s="198"/>
      <c r="HJ33" s="198"/>
      <c r="HK33" s="198"/>
      <c r="HL33" s="198"/>
      <c r="HM33" s="198"/>
      <c r="HN33" s="198"/>
      <c r="HO33" s="198"/>
      <c r="HP33" s="198"/>
      <c r="HQ33" s="198"/>
      <c r="HR33" s="198"/>
      <c r="HS33" s="198"/>
      <c r="HT33" s="198"/>
      <c r="HU33" s="198"/>
      <c r="HV33" s="198"/>
      <c r="HW33" s="198"/>
      <c r="HX33" s="198"/>
      <c r="HY33" s="198"/>
      <c r="HZ33" s="198"/>
      <c r="IA33" s="198"/>
      <c r="IB33" s="198"/>
      <c r="IC33" s="198"/>
      <c r="ID33" s="198"/>
      <c r="IE33" s="198"/>
      <c r="IF33" s="198"/>
      <c r="IG33" s="198"/>
      <c r="IH33" s="198"/>
      <c r="II33" s="198"/>
      <c r="IJ33" s="198"/>
      <c r="IK33" s="198"/>
      <c r="IL33" s="198"/>
      <c r="IM33" s="198"/>
      <c r="IN33" s="198"/>
      <c r="IO33" s="198"/>
      <c r="IP33" s="198"/>
      <c r="IQ33" s="198"/>
      <c r="IR33" s="198"/>
      <c r="IS33" s="198"/>
      <c r="IT33" s="198"/>
      <c r="IU33" s="198"/>
      <c r="IV33" s="198"/>
      <c r="IW33" s="198"/>
      <c r="IX33" s="198"/>
      <c r="IY33" s="198"/>
      <c r="IZ33" s="198"/>
      <c r="JA33" s="198"/>
      <c r="JB33" s="198"/>
      <c r="JC33" s="198"/>
      <c r="JD33" s="198"/>
      <c r="JE33" s="198"/>
      <c r="JF33" s="198"/>
      <c r="JG33" s="198"/>
      <c r="JH33" s="198"/>
      <c r="JI33" s="198"/>
      <c r="JJ33" s="198"/>
      <c r="JK33" s="198"/>
      <c r="JL33" s="198"/>
      <c r="JM33" s="198"/>
      <c r="JN33" s="198"/>
      <c r="JO33" s="198"/>
      <c r="JP33" s="198"/>
      <c r="JQ33" s="198"/>
      <c r="JR33" s="198"/>
      <c r="JS33" s="198"/>
      <c r="JT33" s="198"/>
      <c r="JU33" s="198"/>
      <c r="JV33" s="198"/>
      <c r="JW33" s="198"/>
      <c r="JX33" s="198"/>
      <c r="JY33" s="198"/>
      <c r="JZ33" s="198"/>
      <c r="KA33" s="198"/>
      <c r="KB33" s="198"/>
      <c r="KC33" s="198"/>
      <c r="KD33" s="198"/>
      <c r="KE33" s="198"/>
      <c r="KF33" s="198"/>
      <c r="KG33" s="198"/>
      <c r="KH33" s="198"/>
      <c r="KI33" s="198"/>
      <c r="KJ33" s="198"/>
      <c r="KK33" s="198"/>
      <c r="KL33" s="198"/>
      <c r="KM33" s="198"/>
      <c r="KN33" s="198"/>
      <c r="KO33" s="198"/>
      <c r="KP33" s="198"/>
      <c r="KQ33" s="198"/>
      <c r="KR33" s="198"/>
      <c r="KS33" s="198"/>
      <c r="KT33" s="198"/>
      <c r="KU33" s="198"/>
      <c r="KV33" s="198"/>
      <c r="KW33" s="198"/>
      <c r="KX33" s="198"/>
      <c r="KY33" s="198"/>
      <c r="KZ33" s="198"/>
      <c r="LA33" s="198"/>
      <c r="LB33" s="198"/>
      <c r="LC33" s="198"/>
      <c r="LD33" s="198"/>
      <c r="LE33" s="198"/>
      <c r="LF33" s="198"/>
      <c r="LG33" s="198"/>
      <c r="LH33" s="198"/>
      <c r="LI33" s="198"/>
      <c r="LJ33" s="198"/>
      <c r="LK33" s="198"/>
      <c r="LL33" s="198"/>
      <c r="LM33" s="198"/>
      <c r="LN33" s="198"/>
      <c r="LO33" s="198"/>
      <c r="LP33" s="198"/>
      <c r="LQ33" s="198"/>
      <c r="LR33" s="198"/>
      <c r="LS33" s="198"/>
      <c r="LT33" s="198"/>
      <c r="LU33" s="198"/>
      <c r="LV33" s="198"/>
      <c r="LW33" s="198"/>
      <c r="LX33" s="198"/>
      <c r="LY33" s="198"/>
      <c r="LZ33" s="198"/>
      <c r="MA33" s="198"/>
      <c r="MB33" s="198"/>
      <c r="MC33" s="198"/>
      <c r="MD33" s="198"/>
      <c r="ME33" s="198"/>
      <c r="MF33" s="198"/>
      <c r="MG33" s="198"/>
      <c r="MH33" s="198"/>
      <c r="MI33" s="198"/>
      <c r="MJ33" s="198"/>
      <c r="MK33" s="198"/>
      <c r="ML33" s="198"/>
      <c r="MM33" s="198"/>
      <c r="MN33" s="198"/>
      <c r="MO33" s="198"/>
      <c r="MP33" s="198"/>
      <c r="MQ33" s="198"/>
      <c r="MR33" s="198"/>
      <c r="MS33" s="198"/>
      <c r="MT33" s="198"/>
      <c r="MU33" s="198"/>
      <c r="MV33" s="198"/>
      <c r="MW33" s="198"/>
      <c r="MX33" s="198"/>
      <c r="MY33" s="198"/>
      <c r="MZ33" s="198"/>
      <c r="NA33" s="198"/>
      <c r="NB33" s="198"/>
      <c r="NC33" s="198"/>
      <c r="ND33" s="198"/>
      <c r="NE33" s="198"/>
      <c r="NF33" s="198"/>
      <c r="NG33" s="198"/>
      <c r="NH33" s="198"/>
      <c r="NI33" s="198"/>
      <c r="NJ33" s="198"/>
      <c r="NK33" s="198"/>
      <c r="NL33" s="198"/>
      <c r="NM33" s="198"/>
      <c r="NN33" s="198"/>
      <c r="NO33" s="198"/>
      <c r="NP33" s="198"/>
      <c r="NQ33" s="198"/>
      <c r="NR33" s="198"/>
      <c r="NS33" s="198"/>
      <c r="NT33" s="198"/>
      <c r="NU33" s="198"/>
      <c r="NV33" s="198"/>
      <c r="NW33" s="198"/>
      <c r="NX33" s="198"/>
      <c r="NY33" s="198"/>
      <c r="NZ33" s="198"/>
      <c r="OA33" s="198"/>
      <c r="OB33" s="198"/>
      <c r="OC33" s="198"/>
      <c r="OD33" s="198"/>
      <c r="OE33" s="198"/>
      <c r="OF33" s="198"/>
      <c r="OG33" s="198"/>
      <c r="OH33" s="198"/>
      <c r="OI33" s="198"/>
      <c r="OJ33" s="198"/>
      <c r="OK33" s="198"/>
      <c r="OL33" s="198"/>
      <c r="OM33" s="198"/>
      <c r="ON33" s="198"/>
      <c r="OO33" s="198"/>
      <c r="OP33" s="198"/>
      <c r="OQ33" s="198"/>
      <c r="OR33" s="198"/>
      <c r="OS33" s="198"/>
      <c r="OT33" s="198"/>
      <c r="OU33" s="198"/>
      <c r="OV33" s="198"/>
      <c r="OW33" s="198"/>
      <c r="OX33" s="198"/>
      <c r="OY33" s="198"/>
      <c r="OZ33" s="198"/>
      <c r="PA33" s="198"/>
      <c r="PB33" s="198"/>
      <c r="PC33" s="198"/>
      <c r="PD33" s="198"/>
      <c r="PE33" s="198"/>
      <c r="PF33" s="198"/>
      <c r="PG33" s="198"/>
      <c r="PH33" s="198"/>
      <c r="PI33" s="198"/>
      <c r="PJ33" s="198"/>
      <c r="PK33" s="198"/>
      <c r="PL33" s="198"/>
      <c r="PM33" s="198"/>
      <c r="PN33" s="198"/>
      <c r="PO33" s="198"/>
      <c r="PP33" s="198"/>
      <c r="PQ33" s="198"/>
      <c r="PR33" s="198"/>
      <c r="PS33" s="198"/>
      <c r="PT33" s="198"/>
      <c r="PU33" s="198"/>
      <c r="PV33" s="198"/>
      <c r="PW33" s="198"/>
      <c r="PX33" s="198"/>
      <c r="PY33" s="198"/>
      <c r="PZ33" s="198"/>
      <c r="QA33" s="198"/>
      <c r="QB33" s="198"/>
      <c r="QC33" s="198"/>
      <c r="QD33" s="198"/>
      <c r="QE33" s="198"/>
      <c r="QF33" s="198"/>
      <c r="QG33" s="198"/>
      <c r="QH33" s="198"/>
      <c r="QI33" s="198"/>
      <c r="QJ33" s="198"/>
      <c r="QK33" s="198"/>
      <c r="QL33" s="198"/>
      <c r="QM33" s="198"/>
      <c r="QN33" s="198"/>
      <c r="QO33" s="198"/>
      <c r="QP33" s="198"/>
      <c r="QQ33" s="198"/>
      <c r="QR33" s="198"/>
      <c r="QS33" s="198"/>
      <c r="QT33" s="198"/>
      <c r="QU33" s="198"/>
      <c r="QV33" s="198"/>
      <c r="QW33" s="198"/>
      <c r="QX33" s="198"/>
      <c r="QY33" s="198"/>
      <c r="QZ33" s="198"/>
      <c r="RA33" s="198"/>
      <c r="RB33" s="198"/>
      <c r="RC33" s="198"/>
      <c r="RD33" s="198"/>
      <c r="RE33" s="198"/>
      <c r="RF33" s="198"/>
      <c r="RG33" s="198"/>
      <c r="RH33" s="198"/>
      <c r="RI33" s="198"/>
      <c r="RJ33" s="198"/>
      <c r="RK33" s="198"/>
      <c r="RL33" s="198"/>
      <c r="RM33" s="198"/>
      <c r="RN33" s="198"/>
      <c r="RO33" s="198"/>
      <c r="RP33" s="198"/>
      <c r="RQ33" s="198"/>
      <c r="RR33" s="198"/>
      <c r="RS33" s="198"/>
      <c r="RT33" s="198"/>
      <c r="RU33" s="198"/>
      <c r="RV33" s="198"/>
      <c r="RW33" s="198"/>
      <c r="RX33" s="198"/>
      <c r="RY33" s="198"/>
      <c r="RZ33" s="198"/>
      <c r="SA33" s="198"/>
      <c r="SB33" s="198"/>
      <c r="SC33" s="198"/>
      <c r="SD33" s="198"/>
      <c r="SE33" s="198"/>
      <c r="SF33" s="198"/>
      <c r="SG33" s="198"/>
    </row>
    <row r="34" spans="1:501" ht="40.049999999999997" customHeight="1" thickBot="1" x14ac:dyDescent="0.55000000000000004">
      <c r="A34" s="943" t="s">
        <v>140</v>
      </c>
      <c r="B34" s="954" t="s">
        <v>141</v>
      </c>
      <c r="C34" s="950"/>
      <c r="D34" s="861"/>
      <c r="E34" s="862"/>
      <c r="F34" s="861"/>
      <c r="G34" s="862"/>
      <c r="H34" s="861"/>
      <c r="I34" s="862"/>
      <c r="J34" s="861"/>
      <c r="K34" s="862"/>
      <c r="L34" s="861"/>
      <c r="M34" s="862"/>
      <c r="N34" s="861"/>
      <c r="O34" s="862">
        <f>MANZ.G!AS30</f>
        <v>19</v>
      </c>
      <c r="P34" s="861"/>
      <c r="Q34" s="862"/>
      <c r="R34" s="861"/>
      <c r="S34" s="862"/>
      <c r="T34" s="861"/>
      <c r="U34" s="862"/>
      <c r="V34" s="861"/>
      <c r="W34" s="862"/>
      <c r="X34" s="861"/>
      <c r="Y34" s="862"/>
      <c r="Z34" s="861"/>
      <c r="AA34" s="862"/>
      <c r="AB34" s="864"/>
      <c r="AC34" s="864"/>
      <c r="AD34" s="864"/>
      <c r="AE34" s="864"/>
      <c r="AF34" s="861"/>
      <c r="AG34" s="865">
        <f>SUM(C35:AA35)</f>
        <v>0</v>
      </c>
      <c r="AH34" s="866"/>
    </row>
    <row r="35" spans="1:501" ht="40.049999999999997" customHeight="1" x14ac:dyDescent="0.3">
      <c r="A35" s="970" t="s">
        <v>142</v>
      </c>
      <c r="B35" s="971" t="s">
        <v>143</v>
      </c>
      <c r="C35" s="944"/>
      <c r="D35" s="944"/>
      <c r="E35" s="944"/>
      <c r="F35" s="944"/>
      <c r="G35" s="944"/>
      <c r="H35" s="944"/>
      <c r="I35" s="944"/>
      <c r="J35" s="944"/>
      <c r="K35" s="944"/>
      <c r="L35" s="944"/>
      <c r="M35" s="944"/>
      <c r="N35" s="944"/>
      <c r="O35" s="944"/>
      <c r="P35" s="944"/>
      <c r="Q35" s="944"/>
      <c r="R35" s="944"/>
      <c r="S35" s="944"/>
      <c r="T35" s="944"/>
      <c r="U35" s="944"/>
      <c r="V35" s="944"/>
      <c r="W35" s="944"/>
      <c r="X35" s="944"/>
      <c r="Y35" s="944"/>
      <c r="Z35" s="944"/>
      <c r="AA35" s="944"/>
      <c r="AB35" s="944"/>
      <c r="AC35" s="944"/>
      <c r="AD35" s="944"/>
      <c r="AE35" s="944"/>
      <c r="AF35" s="944"/>
      <c r="AG35" s="944"/>
      <c r="AH35" s="945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  <c r="AS35" s="198"/>
      <c r="AT35" s="198"/>
      <c r="AU35" s="198"/>
      <c r="AV35" s="198"/>
      <c r="AW35" s="198"/>
      <c r="AX35" s="198"/>
      <c r="AY35" s="198"/>
      <c r="AZ35" s="198"/>
      <c r="BA35" s="198"/>
      <c r="BB35" s="198"/>
      <c r="BC35" s="198"/>
      <c r="BD35" s="198"/>
      <c r="BE35" s="198"/>
      <c r="BF35" s="198"/>
      <c r="BG35" s="198"/>
      <c r="BH35" s="198"/>
      <c r="BI35" s="198"/>
      <c r="BJ35" s="198"/>
      <c r="BK35" s="198"/>
      <c r="BL35" s="198"/>
      <c r="BM35" s="198"/>
      <c r="BN35" s="198"/>
      <c r="BO35" s="198"/>
      <c r="BP35" s="198"/>
      <c r="BQ35" s="198"/>
      <c r="BR35" s="198"/>
      <c r="BS35" s="198"/>
      <c r="BT35" s="198"/>
      <c r="BU35" s="198"/>
      <c r="BV35" s="198"/>
      <c r="BW35" s="198"/>
      <c r="BX35" s="198"/>
      <c r="BY35" s="198"/>
      <c r="BZ35" s="198"/>
      <c r="CA35" s="198"/>
      <c r="CB35" s="198"/>
      <c r="CC35" s="198"/>
      <c r="CD35" s="198"/>
      <c r="CE35" s="198"/>
      <c r="CF35" s="198"/>
      <c r="CG35" s="198"/>
      <c r="CH35" s="198"/>
      <c r="CI35" s="198"/>
      <c r="CJ35" s="198"/>
      <c r="CK35" s="198"/>
      <c r="CL35" s="198"/>
      <c r="CM35" s="198"/>
      <c r="CN35" s="198"/>
      <c r="CO35" s="198"/>
      <c r="CP35" s="198"/>
      <c r="CQ35" s="198"/>
      <c r="CR35" s="198"/>
      <c r="CS35" s="198"/>
      <c r="CT35" s="198"/>
      <c r="CU35" s="198"/>
      <c r="CV35" s="198"/>
      <c r="CW35" s="198"/>
      <c r="CX35" s="198"/>
      <c r="CY35" s="198"/>
      <c r="CZ35" s="198"/>
      <c r="DA35" s="198"/>
      <c r="DB35" s="198"/>
      <c r="DC35" s="198"/>
      <c r="DD35" s="198"/>
      <c r="DE35" s="198"/>
      <c r="DF35" s="198"/>
      <c r="DG35" s="198"/>
      <c r="DH35" s="198"/>
      <c r="DI35" s="198"/>
      <c r="DJ35" s="198"/>
      <c r="DK35" s="198"/>
      <c r="DL35" s="198"/>
      <c r="DM35" s="198"/>
      <c r="DN35" s="198"/>
      <c r="DO35" s="198"/>
      <c r="DP35" s="198"/>
      <c r="DQ35" s="198"/>
      <c r="DR35" s="198"/>
      <c r="DS35" s="198"/>
      <c r="DT35" s="198"/>
      <c r="DU35" s="198"/>
      <c r="DV35" s="198"/>
      <c r="DW35" s="198"/>
      <c r="DX35" s="198"/>
      <c r="DY35" s="198"/>
      <c r="DZ35" s="198"/>
      <c r="EA35" s="198"/>
      <c r="EB35" s="198"/>
      <c r="EC35" s="198"/>
      <c r="ED35" s="198"/>
      <c r="EE35" s="198"/>
      <c r="EF35" s="198"/>
      <c r="EG35" s="198"/>
      <c r="EH35" s="198"/>
      <c r="EI35" s="198"/>
      <c r="EJ35" s="198"/>
      <c r="EK35" s="198"/>
      <c r="EL35" s="198"/>
      <c r="EM35" s="198"/>
      <c r="EN35" s="198"/>
      <c r="EO35" s="198"/>
      <c r="EP35" s="198"/>
      <c r="EQ35" s="198"/>
      <c r="ER35" s="198"/>
      <c r="ES35" s="198"/>
      <c r="ET35" s="198"/>
      <c r="EU35" s="198"/>
      <c r="EV35" s="198"/>
      <c r="EW35" s="198"/>
      <c r="EX35" s="198"/>
      <c r="EY35" s="198"/>
      <c r="EZ35" s="198"/>
      <c r="FA35" s="198"/>
      <c r="FB35" s="198"/>
      <c r="FC35" s="198"/>
      <c r="FD35" s="198"/>
      <c r="FE35" s="198"/>
      <c r="FF35" s="198"/>
      <c r="FG35" s="198"/>
      <c r="FH35" s="198"/>
      <c r="FI35" s="198"/>
      <c r="FJ35" s="198"/>
      <c r="FK35" s="198"/>
      <c r="FL35" s="198"/>
      <c r="FM35" s="198"/>
      <c r="FN35" s="198"/>
      <c r="FO35" s="198"/>
      <c r="FP35" s="198"/>
      <c r="FQ35" s="198"/>
      <c r="FR35" s="198"/>
      <c r="FS35" s="198"/>
      <c r="FT35" s="198"/>
      <c r="FU35" s="198"/>
      <c r="FV35" s="198"/>
      <c r="FW35" s="198"/>
      <c r="FX35" s="198"/>
      <c r="FY35" s="198"/>
      <c r="FZ35" s="198"/>
      <c r="GA35" s="198"/>
      <c r="GB35" s="198"/>
      <c r="GC35" s="198"/>
      <c r="GD35" s="198"/>
      <c r="GE35" s="198"/>
      <c r="GF35" s="198"/>
      <c r="GG35" s="198"/>
      <c r="GH35" s="198"/>
      <c r="GI35" s="198"/>
      <c r="GJ35" s="198"/>
      <c r="GK35" s="198"/>
      <c r="GL35" s="198"/>
      <c r="GM35" s="198"/>
      <c r="GN35" s="198"/>
      <c r="GO35" s="198"/>
      <c r="GP35" s="198"/>
      <c r="GQ35" s="198"/>
      <c r="GR35" s="198"/>
      <c r="GS35" s="198"/>
      <c r="GT35" s="198"/>
      <c r="GU35" s="198"/>
      <c r="GV35" s="198"/>
      <c r="GW35" s="198"/>
      <c r="GX35" s="198"/>
      <c r="GY35" s="198"/>
      <c r="GZ35" s="198"/>
      <c r="HA35" s="198"/>
      <c r="HB35" s="198"/>
      <c r="HC35" s="198"/>
      <c r="HD35" s="198"/>
      <c r="HE35" s="198"/>
      <c r="HF35" s="198"/>
      <c r="HG35" s="198"/>
      <c r="HH35" s="198"/>
      <c r="HI35" s="198"/>
      <c r="HJ35" s="198"/>
      <c r="HK35" s="198"/>
      <c r="HL35" s="198"/>
      <c r="HM35" s="198"/>
      <c r="HN35" s="198"/>
      <c r="HO35" s="198"/>
      <c r="HP35" s="198"/>
      <c r="HQ35" s="198"/>
      <c r="HR35" s="198"/>
      <c r="HS35" s="198"/>
      <c r="HT35" s="198"/>
      <c r="HU35" s="198"/>
      <c r="HV35" s="198"/>
      <c r="HW35" s="198"/>
      <c r="HX35" s="198"/>
      <c r="HY35" s="198"/>
      <c r="HZ35" s="198"/>
      <c r="IA35" s="198"/>
      <c r="IB35" s="198"/>
      <c r="IC35" s="198"/>
      <c r="ID35" s="198"/>
      <c r="IE35" s="198"/>
      <c r="IF35" s="198"/>
      <c r="IG35" s="198"/>
      <c r="IH35" s="198"/>
      <c r="II35" s="198"/>
      <c r="IJ35" s="198"/>
      <c r="IK35" s="198"/>
      <c r="IL35" s="198"/>
      <c r="IM35" s="198"/>
      <c r="IN35" s="198"/>
      <c r="IO35" s="198"/>
      <c r="IP35" s="198"/>
      <c r="IQ35" s="198"/>
      <c r="IR35" s="198"/>
      <c r="IS35" s="198"/>
      <c r="IT35" s="198"/>
      <c r="IU35" s="198"/>
      <c r="IV35" s="198"/>
      <c r="IW35" s="198"/>
      <c r="IX35" s="198"/>
      <c r="IY35" s="198"/>
      <c r="IZ35" s="198"/>
      <c r="JA35" s="198"/>
      <c r="JB35" s="198"/>
      <c r="JC35" s="198"/>
      <c r="JD35" s="198"/>
      <c r="JE35" s="198"/>
      <c r="JF35" s="198"/>
      <c r="JG35" s="198"/>
      <c r="JH35" s="198"/>
      <c r="JI35" s="198"/>
      <c r="JJ35" s="198"/>
      <c r="JK35" s="198"/>
      <c r="JL35" s="198"/>
      <c r="JM35" s="198"/>
      <c r="JN35" s="198"/>
      <c r="JO35" s="198"/>
      <c r="JP35" s="198"/>
      <c r="JQ35" s="198"/>
      <c r="JR35" s="198"/>
      <c r="JS35" s="198"/>
      <c r="JT35" s="198"/>
      <c r="JU35" s="198"/>
      <c r="JV35" s="198"/>
      <c r="JW35" s="198"/>
      <c r="JX35" s="198"/>
      <c r="JY35" s="198"/>
      <c r="JZ35" s="198"/>
      <c r="KA35" s="198"/>
      <c r="KB35" s="198"/>
      <c r="KC35" s="198"/>
      <c r="KD35" s="198"/>
      <c r="KE35" s="198"/>
      <c r="KF35" s="198"/>
      <c r="KG35" s="198"/>
      <c r="KH35" s="198"/>
      <c r="KI35" s="198"/>
      <c r="KJ35" s="198"/>
      <c r="KK35" s="198"/>
      <c r="KL35" s="198"/>
      <c r="KM35" s="198"/>
      <c r="KN35" s="198"/>
      <c r="KO35" s="198"/>
      <c r="KP35" s="198"/>
      <c r="KQ35" s="198"/>
      <c r="KR35" s="198"/>
      <c r="KS35" s="198"/>
      <c r="KT35" s="198"/>
      <c r="KU35" s="198"/>
      <c r="KV35" s="198"/>
      <c r="KW35" s="198"/>
      <c r="KX35" s="198"/>
      <c r="KY35" s="198"/>
      <c r="KZ35" s="198"/>
      <c r="LA35" s="198"/>
      <c r="LB35" s="198"/>
      <c r="LC35" s="198"/>
      <c r="LD35" s="198"/>
      <c r="LE35" s="198"/>
      <c r="LF35" s="198"/>
      <c r="LG35" s="198"/>
      <c r="LH35" s="198"/>
      <c r="LI35" s="198"/>
      <c r="LJ35" s="198"/>
      <c r="LK35" s="198"/>
      <c r="LL35" s="198"/>
      <c r="LM35" s="198"/>
      <c r="LN35" s="198"/>
      <c r="LO35" s="198"/>
      <c r="LP35" s="198"/>
      <c r="LQ35" s="198"/>
      <c r="LR35" s="198"/>
      <c r="LS35" s="198"/>
      <c r="LT35" s="198"/>
      <c r="LU35" s="198"/>
      <c r="LV35" s="198"/>
      <c r="LW35" s="198"/>
      <c r="LX35" s="198"/>
      <c r="LY35" s="198"/>
      <c r="LZ35" s="198"/>
      <c r="MA35" s="198"/>
      <c r="MB35" s="198"/>
      <c r="MC35" s="198"/>
      <c r="MD35" s="198"/>
      <c r="ME35" s="198"/>
      <c r="MF35" s="198"/>
      <c r="MG35" s="198"/>
      <c r="MH35" s="198"/>
      <c r="MI35" s="198"/>
      <c r="MJ35" s="198"/>
      <c r="MK35" s="198"/>
      <c r="ML35" s="198"/>
      <c r="MM35" s="198"/>
      <c r="MN35" s="198"/>
      <c r="MO35" s="198"/>
      <c r="MP35" s="198"/>
      <c r="MQ35" s="198"/>
      <c r="MR35" s="198"/>
      <c r="MS35" s="198"/>
      <c r="MT35" s="198"/>
      <c r="MU35" s="198"/>
      <c r="MV35" s="198"/>
      <c r="MW35" s="198"/>
      <c r="MX35" s="198"/>
      <c r="MY35" s="198"/>
      <c r="MZ35" s="198"/>
      <c r="NA35" s="198"/>
      <c r="NB35" s="198"/>
      <c r="NC35" s="198"/>
      <c r="ND35" s="198"/>
      <c r="NE35" s="198"/>
      <c r="NF35" s="198"/>
      <c r="NG35" s="198"/>
      <c r="NH35" s="198"/>
      <c r="NI35" s="198"/>
      <c r="NJ35" s="198"/>
      <c r="NK35" s="198"/>
      <c r="NL35" s="198"/>
      <c r="NM35" s="198"/>
      <c r="NN35" s="198"/>
      <c r="NO35" s="198"/>
      <c r="NP35" s="198"/>
      <c r="NQ35" s="198"/>
      <c r="NR35" s="198"/>
      <c r="NS35" s="198"/>
      <c r="NT35" s="198"/>
      <c r="NU35" s="198"/>
      <c r="NV35" s="198"/>
      <c r="NW35" s="198"/>
      <c r="NX35" s="198"/>
      <c r="NY35" s="198"/>
      <c r="NZ35" s="198"/>
      <c r="OA35" s="198"/>
      <c r="OB35" s="198"/>
      <c r="OC35" s="198"/>
      <c r="OD35" s="198"/>
      <c r="OE35" s="198"/>
      <c r="OF35" s="198"/>
      <c r="OG35" s="198"/>
      <c r="OH35" s="198"/>
      <c r="OI35" s="198"/>
      <c r="OJ35" s="198"/>
      <c r="OK35" s="198"/>
      <c r="OL35" s="198"/>
      <c r="OM35" s="198"/>
      <c r="ON35" s="198"/>
      <c r="OO35" s="198"/>
      <c r="OP35" s="198"/>
      <c r="OQ35" s="198"/>
      <c r="OR35" s="198"/>
      <c r="OS35" s="198"/>
      <c r="OT35" s="198"/>
      <c r="OU35" s="198"/>
      <c r="OV35" s="198"/>
      <c r="OW35" s="198"/>
      <c r="OX35" s="198"/>
      <c r="OY35" s="198"/>
      <c r="OZ35" s="198"/>
      <c r="PA35" s="198"/>
      <c r="PB35" s="198"/>
      <c r="PC35" s="198"/>
      <c r="PD35" s="198"/>
      <c r="PE35" s="198"/>
      <c r="PF35" s="198"/>
      <c r="PG35" s="198"/>
      <c r="PH35" s="198"/>
      <c r="PI35" s="198"/>
      <c r="PJ35" s="198"/>
      <c r="PK35" s="198"/>
      <c r="PL35" s="198"/>
      <c r="PM35" s="198"/>
      <c r="PN35" s="198"/>
      <c r="PO35" s="198"/>
      <c r="PP35" s="198"/>
      <c r="PQ35" s="198"/>
      <c r="PR35" s="198"/>
      <c r="PS35" s="198"/>
      <c r="PT35" s="198"/>
      <c r="PU35" s="198"/>
      <c r="PV35" s="198"/>
      <c r="PW35" s="198"/>
      <c r="PX35" s="198"/>
      <c r="PY35" s="198"/>
      <c r="PZ35" s="198"/>
      <c r="QA35" s="198"/>
      <c r="QB35" s="198"/>
      <c r="QC35" s="198"/>
      <c r="QD35" s="198"/>
      <c r="QE35" s="198"/>
      <c r="QF35" s="198"/>
      <c r="QG35" s="198"/>
      <c r="QH35" s="198"/>
      <c r="QI35" s="198"/>
      <c r="QJ35" s="198"/>
      <c r="QK35" s="198"/>
      <c r="QL35" s="198"/>
      <c r="QM35" s="198"/>
      <c r="QN35" s="198"/>
      <c r="QO35" s="198"/>
      <c r="QP35" s="198"/>
      <c r="QQ35" s="198"/>
      <c r="QR35" s="198"/>
      <c r="QS35" s="198"/>
      <c r="QT35" s="198"/>
      <c r="QU35" s="198"/>
      <c r="QV35" s="198"/>
      <c r="QW35" s="198"/>
      <c r="QX35" s="198"/>
      <c r="QY35" s="198"/>
      <c r="QZ35" s="198"/>
      <c r="RA35" s="198"/>
      <c r="RB35" s="198"/>
      <c r="RC35" s="198"/>
      <c r="RD35" s="198"/>
      <c r="RE35" s="198"/>
      <c r="RF35" s="198"/>
      <c r="RG35" s="198"/>
      <c r="RH35" s="198"/>
      <c r="RI35" s="198"/>
      <c r="RJ35" s="198"/>
      <c r="RK35" s="198"/>
      <c r="RL35" s="198"/>
      <c r="RM35" s="198"/>
      <c r="RN35" s="198"/>
      <c r="RO35" s="198"/>
      <c r="RP35" s="198"/>
      <c r="RQ35" s="198"/>
      <c r="RR35" s="198"/>
      <c r="RS35" s="198"/>
      <c r="RT35" s="198"/>
      <c r="RU35" s="198"/>
      <c r="RV35" s="198"/>
      <c r="RW35" s="198"/>
      <c r="RX35" s="198"/>
      <c r="RY35" s="198"/>
      <c r="RZ35" s="198"/>
      <c r="SA35" s="198"/>
      <c r="SB35" s="198"/>
      <c r="SC35" s="198"/>
      <c r="SD35" s="198"/>
      <c r="SE35" s="198"/>
      <c r="SF35" s="198"/>
      <c r="SG35" s="198"/>
    </row>
    <row r="36" spans="1:501" ht="40.049999999999997" customHeight="1" thickBot="1" x14ac:dyDescent="0.35">
      <c r="A36" s="541" t="s">
        <v>144</v>
      </c>
      <c r="B36" s="952" t="s">
        <v>145</v>
      </c>
      <c r="C36" s="950">
        <f>'MANZ. A'!H38</f>
        <v>0</v>
      </c>
      <c r="D36" s="861"/>
      <c r="E36" s="862">
        <f>'MANZ. B'!R29</f>
        <v>5</v>
      </c>
      <c r="F36" s="861"/>
      <c r="G36" s="863">
        <f>MANZ.C!AL28</f>
        <v>17</v>
      </c>
      <c r="H36" s="861"/>
      <c r="I36" s="862">
        <f>MANZ.D!Z28</f>
        <v>11</v>
      </c>
      <c r="J36" s="861"/>
      <c r="K36" s="862">
        <f>MANZ.E!AK29</f>
        <v>17</v>
      </c>
      <c r="L36" s="861"/>
      <c r="M36" s="862">
        <f>MANZ.F!AB28</f>
        <v>12</v>
      </c>
      <c r="N36" s="861"/>
      <c r="O36" s="862">
        <f>MANZ.G!AT28</f>
        <v>19</v>
      </c>
      <c r="P36" s="861"/>
      <c r="Q36" s="863">
        <f>MANZ.H!V29</f>
        <v>9</v>
      </c>
      <c r="R36" s="861"/>
      <c r="S36" s="862">
        <f>MANZ.I!AB29</f>
        <v>12</v>
      </c>
      <c r="T36" s="861"/>
      <c r="U36" s="862">
        <f>MANZ.J!AS32</f>
        <v>21</v>
      </c>
      <c r="V36" s="861"/>
      <c r="W36" s="862">
        <f>MANZ.K!AB29</f>
        <v>12</v>
      </c>
      <c r="X36" s="861"/>
      <c r="Y36" s="862">
        <f>MANZ.L!Z29</f>
        <v>11</v>
      </c>
      <c r="Z36" s="861"/>
      <c r="AA36" s="862">
        <f>'SALA MULTIUSO'!F38</f>
        <v>0</v>
      </c>
      <c r="AB36" s="864"/>
      <c r="AC36" s="864"/>
      <c r="AD36" s="864"/>
      <c r="AE36" s="864"/>
      <c r="AF36" s="861"/>
      <c r="AG36" s="865">
        <f>SUM(C29:AA29)</f>
        <v>0</v>
      </c>
      <c r="AH36" s="866"/>
      <c r="AI36" s="198"/>
      <c r="AJ36" s="198"/>
      <c r="AK36" s="198"/>
      <c r="AL36" s="198"/>
      <c r="AM36" s="198"/>
      <c r="AN36" s="198"/>
      <c r="AO36" s="198"/>
      <c r="AP36" s="198"/>
      <c r="AQ36" s="198"/>
      <c r="AR36" s="198"/>
      <c r="AS36" s="198"/>
      <c r="AT36" s="198"/>
      <c r="AU36" s="198"/>
      <c r="AV36" s="198"/>
      <c r="AW36" s="198"/>
      <c r="AX36" s="198"/>
      <c r="AY36" s="198"/>
      <c r="AZ36" s="198"/>
      <c r="BA36" s="198"/>
      <c r="BB36" s="198"/>
      <c r="BC36" s="198"/>
      <c r="BD36" s="198"/>
      <c r="BE36" s="198"/>
      <c r="BF36" s="198"/>
      <c r="BG36" s="198"/>
      <c r="BH36" s="198"/>
      <c r="BI36" s="198"/>
      <c r="BJ36" s="198"/>
      <c r="BK36" s="198"/>
      <c r="BL36" s="198"/>
      <c r="BM36" s="198"/>
      <c r="BN36" s="198"/>
      <c r="BO36" s="198"/>
      <c r="BP36" s="198"/>
      <c r="BQ36" s="198"/>
      <c r="BR36" s="198"/>
      <c r="BS36" s="198"/>
      <c r="BT36" s="198"/>
      <c r="BU36" s="198"/>
      <c r="BV36" s="198"/>
      <c r="BW36" s="198"/>
      <c r="BX36" s="198"/>
      <c r="BY36" s="198"/>
      <c r="BZ36" s="198"/>
      <c r="CA36" s="198"/>
      <c r="CB36" s="198"/>
      <c r="CC36" s="198"/>
      <c r="CD36" s="198"/>
      <c r="CE36" s="198"/>
      <c r="CF36" s="198"/>
      <c r="CG36" s="198"/>
      <c r="CH36" s="198"/>
      <c r="CI36" s="198"/>
      <c r="CJ36" s="198"/>
      <c r="CK36" s="198"/>
      <c r="CL36" s="198"/>
      <c r="CM36" s="198"/>
      <c r="CN36" s="198"/>
      <c r="CO36" s="198"/>
      <c r="CP36" s="198"/>
      <c r="CQ36" s="198"/>
      <c r="CR36" s="198"/>
      <c r="CS36" s="198"/>
      <c r="CT36" s="198"/>
      <c r="CU36" s="198"/>
      <c r="CV36" s="198"/>
      <c r="CW36" s="198"/>
      <c r="CX36" s="198"/>
      <c r="CY36" s="198"/>
      <c r="CZ36" s="198"/>
      <c r="DA36" s="198"/>
      <c r="DB36" s="198"/>
      <c r="DC36" s="198"/>
      <c r="DD36" s="198"/>
      <c r="DE36" s="198"/>
      <c r="DF36" s="198"/>
      <c r="DG36" s="198"/>
      <c r="DH36" s="198"/>
      <c r="DI36" s="198"/>
      <c r="DJ36" s="198"/>
      <c r="DK36" s="198"/>
      <c r="DL36" s="198"/>
      <c r="DM36" s="198"/>
      <c r="DN36" s="198"/>
      <c r="DO36" s="198"/>
      <c r="DP36" s="198"/>
      <c r="DQ36" s="198"/>
      <c r="DR36" s="198"/>
      <c r="DS36" s="198"/>
      <c r="DT36" s="198"/>
      <c r="DU36" s="198"/>
      <c r="DV36" s="198"/>
      <c r="DW36" s="198"/>
      <c r="DX36" s="198"/>
      <c r="DY36" s="198"/>
      <c r="DZ36" s="198"/>
      <c r="EA36" s="198"/>
      <c r="EB36" s="198"/>
      <c r="EC36" s="198"/>
      <c r="ED36" s="198"/>
      <c r="EE36" s="198"/>
      <c r="EF36" s="198"/>
      <c r="EG36" s="198"/>
      <c r="EH36" s="198"/>
      <c r="EI36" s="198"/>
      <c r="EJ36" s="198"/>
      <c r="EK36" s="198"/>
      <c r="EL36" s="198"/>
      <c r="EM36" s="198"/>
      <c r="EN36" s="198"/>
      <c r="EO36" s="198"/>
      <c r="EP36" s="198"/>
      <c r="EQ36" s="198"/>
      <c r="ER36" s="198"/>
      <c r="ES36" s="198"/>
      <c r="ET36" s="198"/>
      <c r="EU36" s="198"/>
      <c r="EV36" s="198"/>
      <c r="EW36" s="198"/>
      <c r="EX36" s="198"/>
      <c r="EY36" s="198"/>
      <c r="EZ36" s="198"/>
      <c r="FA36" s="198"/>
      <c r="FB36" s="198"/>
      <c r="FC36" s="198"/>
      <c r="FD36" s="198"/>
      <c r="FE36" s="198"/>
      <c r="FF36" s="198"/>
      <c r="FG36" s="198"/>
      <c r="FH36" s="198"/>
      <c r="FI36" s="198"/>
      <c r="FJ36" s="198"/>
      <c r="FK36" s="198"/>
      <c r="FL36" s="198"/>
      <c r="FM36" s="198"/>
      <c r="FN36" s="198"/>
      <c r="FO36" s="198"/>
      <c r="FP36" s="198"/>
      <c r="FQ36" s="198"/>
      <c r="FR36" s="198"/>
      <c r="FS36" s="198"/>
      <c r="FT36" s="198"/>
      <c r="FU36" s="198"/>
      <c r="FV36" s="198"/>
      <c r="FW36" s="198"/>
      <c r="FX36" s="198"/>
      <c r="FY36" s="198"/>
      <c r="FZ36" s="198"/>
      <c r="GA36" s="198"/>
      <c r="GB36" s="198"/>
      <c r="GC36" s="198"/>
      <c r="GD36" s="198"/>
      <c r="GE36" s="198"/>
      <c r="GF36" s="198"/>
      <c r="GG36" s="198"/>
      <c r="GH36" s="198"/>
      <c r="GI36" s="198"/>
      <c r="GJ36" s="198"/>
      <c r="GK36" s="198"/>
      <c r="GL36" s="198"/>
      <c r="GM36" s="198"/>
      <c r="GN36" s="198"/>
      <c r="GO36" s="198"/>
      <c r="GP36" s="198"/>
      <c r="GQ36" s="198"/>
      <c r="GR36" s="198"/>
      <c r="GS36" s="198"/>
      <c r="GT36" s="198"/>
      <c r="GU36" s="198"/>
      <c r="GV36" s="198"/>
      <c r="GW36" s="198"/>
      <c r="GX36" s="198"/>
      <c r="GY36" s="198"/>
      <c r="GZ36" s="198"/>
      <c r="HA36" s="198"/>
      <c r="HB36" s="198"/>
      <c r="HC36" s="198"/>
      <c r="HD36" s="198"/>
      <c r="HE36" s="198"/>
      <c r="HF36" s="198"/>
      <c r="HG36" s="198"/>
      <c r="HH36" s="198"/>
      <c r="HI36" s="198"/>
      <c r="HJ36" s="198"/>
      <c r="HK36" s="198"/>
      <c r="HL36" s="198"/>
      <c r="HM36" s="198"/>
      <c r="HN36" s="198"/>
      <c r="HO36" s="198"/>
      <c r="HP36" s="198"/>
      <c r="HQ36" s="198"/>
      <c r="HR36" s="198"/>
      <c r="HS36" s="198"/>
      <c r="HT36" s="198"/>
      <c r="HU36" s="198"/>
      <c r="HV36" s="198"/>
      <c r="HW36" s="198"/>
      <c r="HX36" s="198"/>
      <c r="HY36" s="198"/>
      <c r="HZ36" s="198"/>
      <c r="IA36" s="198"/>
      <c r="IB36" s="198"/>
      <c r="IC36" s="198"/>
      <c r="ID36" s="198"/>
      <c r="IE36" s="198"/>
      <c r="IF36" s="198"/>
      <c r="IG36" s="198"/>
      <c r="IH36" s="198"/>
      <c r="II36" s="198"/>
      <c r="IJ36" s="198"/>
      <c r="IK36" s="198"/>
      <c r="IL36" s="198"/>
      <c r="IM36" s="198"/>
      <c r="IN36" s="198"/>
      <c r="IO36" s="198"/>
      <c r="IP36" s="198"/>
      <c r="IQ36" s="198"/>
      <c r="IR36" s="198"/>
      <c r="IS36" s="198"/>
      <c r="IT36" s="198"/>
      <c r="IU36" s="198"/>
      <c r="IV36" s="198"/>
      <c r="IW36" s="198"/>
      <c r="IX36" s="198"/>
      <c r="IY36" s="198"/>
      <c r="IZ36" s="198"/>
      <c r="JA36" s="198"/>
      <c r="JB36" s="198"/>
      <c r="JC36" s="198"/>
      <c r="JD36" s="198"/>
      <c r="JE36" s="198"/>
      <c r="JF36" s="198"/>
      <c r="JG36" s="198"/>
      <c r="JH36" s="198"/>
      <c r="JI36" s="198"/>
      <c r="JJ36" s="198"/>
      <c r="JK36" s="198"/>
      <c r="JL36" s="198"/>
      <c r="JM36" s="198"/>
      <c r="JN36" s="198"/>
      <c r="JO36" s="198"/>
      <c r="JP36" s="198"/>
      <c r="JQ36" s="198"/>
      <c r="JR36" s="198"/>
      <c r="JS36" s="198"/>
      <c r="JT36" s="198"/>
      <c r="JU36" s="198"/>
      <c r="JV36" s="198"/>
      <c r="JW36" s="198"/>
      <c r="JX36" s="198"/>
      <c r="JY36" s="198"/>
      <c r="JZ36" s="198"/>
      <c r="KA36" s="198"/>
      <c r="KB36" s="198"/>
      <c r="KC36" s="198"/>
      <c r="KD36" s="198"/>
      <c r="KE36" s="198"/>
      <c r="KF36" s="198"/>
      <c r="KG36" s="198"/>
      <c r="KH36" s="198"/>
      <c r="KI36" s="198"/>
      <c r="KJ36" s="198"/>
      <c r="KK36" s="198"/>
      <c r="KL36" s="198"/>
      <c r="KM36" s="198"/>
      <c r="KN36" s="198"/>
      <c r="KO36" s="198"/>
      <c r="KP36" s="198"/>
      <c r="KQ36" s="198"/>
      <c r="KR36" s="198"/>
      <c r="KS36" s="198"/>
      <c r="KT36" s="198"/>
      <c r="KU36" s="198"/>
      <c r="KV36" s="198"/>
      <c r="KW36" s="198"/>
      <c r="KX36" s="198"/>
      <c r="KY36" s="198"/>
      <c r="KZ36" s="198"/>
      <c r="LA36" s="198"/>
      <c r="LB36" s="198"/>
      <c r="LC36" s="198"/>
      <c r="LD36" s="198"/>
      <c r="LE36" s="198"/>
      <c r="LF36" s="198"/>
      <c r="LG36" s="198"/>
      <c r="LH36" s="198"/>
      <c r="LI36" s="198"/>
      <c r="LJ36" s="198"/>
      <c r="LK36" s="198"/>
      <c r="LL36" s="198"/>
      <c r="LM36" s="198"/>
      <c r="LN36" s="198"/>
      <c r="LO36" s="198"/>
      <c r="LP36" s="198"/>
      <c r="LQ36" s="198"/>
      <c r="LR36" s="198"/>
      <c r="LS36" s="198"/>
      <c r="LT36" s="198"/>
      <c r="LU36" s="198"/>
      <c r="LV36" s="198"/>
      <c r="LW36" s="198"/>
      <c r="LX36" s="198"/>
      <c r="LY36" s="198"/>
      <c r="LZ36" s="198"/>
      <c r="MA36" s="198"/>
      <c r="MB36" s="198"/>
      <c r="MC36" s="198"/>
      <c r="MD36" s="198"/>
      <c r="ME36" s="198"/>
      <c r="MF36" s="198"/>
      <c r="MG36" s="198"/>
      <c r="MH36" s="198"/>
      <c r="MI36" s="198"/>
      <c r="MJ36" s="198"/>
      <c r="MK36" s="198"/>
      <c r="ML36" s="198"/>
      <c r="MM36" s="198"/>
      <c r="MN36" s="198"/>
      <c r="MO36" s="198"/>
      <c r="MP36" s="198"/>
      <c r="MQ36" s="198"/>
      <c r="MR36" s="198"/>
      <c r="MS36" s="198"/>
      <c r="MT36" s="198"/>
      <c r="MU36" s="198"/>
      <c r="MV36" s="198"/>
      <c r="MW36" s="198"/>
      <c r="MX36" s="198"/>
      <c r="MY36" s="198"/>
      <c r="MZ36" s="198"/>
      <c r="NA36" s="198"/>
      <c r="NB36" s="198"/>
      <c r="NC36" s="198"/>
      <c r="ND36" s="198"/>
      <c r="NE36" s="198"/>
      <c r="NF36" s="198"/>
      <c r="NG36" s="198"/>
      <c r="NH36" s="198"/>
      <c r="NI36" s="198"/>
      <c r="NJ36" s="198"/>
      <c r="NK36" s="198"/>
      <c r="NL36" s="198"/>
      <c r="NM36" s="198"/>
      <c r="NN36" s="198"/>
      <c r="NO36" s="198"/>
      <c r="NP36" s="198"/>
      <c r="NQ36" s="198"/>
      <c r="NR36" s="198"/>
      <c r="NS36" s="198"/>
      <c r="NT36" s="198"/>
      <c r="NU36" s="198"/>
      <c r="NV36" s="198"/>
      <c r="NW36" s="198"/>
      <c r="NX36" s="198"/>
      <c r="NY36" s="198"/>
      <c r="NZ36" s="198"/>
      <c r="OA36" s="198"/>
      <c r="OB36" s="198"/>
      <c r="OC36" s="198"/>
      <c r="OD36" s="198"/>
      <c r="OE36" s="198"/>
      <c r="OF36" s="198"/>
      <c r="OG36" s="198"/>
      <c r="OH36" s="198"/>
      <c r="OI36" s="198"/>
      <c r="OJ36" s="198"/>
      <c r="OK36" s="198"/>
      <c r="OL36" s="198"/>
      <c r="OM36" s="198"/>
      <c r="ON36" s="198"/>
      <c r="OO36" s="198"/>
      <c r="OP36" s="198"/>
      <c r="OQ36" s="198"/>
      <c r="OR36" s="198"/>
      <c r="OS36" s="198"/>
      <c r="OT36" s="198"/>
      <c r="OU36" s="198"/>
      <c r="OV36" s="198"/>
      <c r="OW36" s="198"/>
      <c r="OX36" s="198"/>
      <c r="OY36" s="198"/>
      <c r="OZ36" s="198"/>
      <c r="PA36" s="198"/>
      <c r="PB36" s="198"/>
      <c r="PC36" s="198"/>
      <c r="PD36" s="198"/>
      <c r="PE36" s="198"/>
      <c r="PF36" s="198"/>
      <c r="PG36" s="198"/>
      <c r="PH36" s="198"/>
      <c r="PI36" s="198"/>
      <c r="PJ36" s="198"/>
      <c r="PK36" s="198"/>
      <c r="PL36" s="198"/>
      <c r="PM36" s="198"/>
      <c r="PN36" s="198"/>
      <c r="PO36" s="198"/>
      <c r="PP36" s="198"/>
      <c r="PQ36" s="198"/>
      <c r="PR36" s="198"/>
      <c r="PS36" s="198"/>
      <c r="PT36" s="198"/>
      <c r="PU36" s="198"/>
      <c r="PV36" s="198"/>
      <c r="PW36" s="198"/>
      <c r="PX36" s="198"/>
      <c r="PY36" s="198"/>
      <c r="PZ36" s="198"/>
      <c r="QA36" s="198"/>
      <c r="QB36" s="198"/>
      <c r="QC36" s="198"/>
      <c r="QD36" s="198"/>
      <c r="QE36" s="198"/>
      <c r="QF36" s="198"/>
      <c r="QG36" s="198"/>
      <c r="QH36" s="198"/>
      <c r="QI36" s="198"/>
      <c r="QJ36" s="198"/>
      <c r="QK36" s="198"/>
      <c r="QL36" s="198"/>
      <c r="QM36" s="198"/>
      <c r="QN36" s="198"/>
      <c r="QO36" s="198"/>
      <c r="QP36" s="198"/>
      <c r="QQ36" s="198"/>
      <c r="QR36" s="198"/>
      <c r="QS36" s="198"/>
      <c r="QT36" s="198"/>
      <c r="QU36" s="198"/>
      <c r="QV36" s="198"/>
      <c r="QW36" s="198"/>
      <c r="QX36" s="198"/>
      <c r="QY36" s="198"/>
      <c r="QZ36" s="198"/>
      <c r="RA36" s="198"/>
      <c r="RB36" s="198"/>
      <c r="RC36" s="198"/>
      <c r="RD36" s="198"/>
      <c r="RE36" s="198"/>
      <c r="RF36" s="198"/>
      <c r="RG36" s="198"/>
      <c r="RH36" s="198"/>
      <c r="RI36" s="198"/>
      <c r="RJ36" s="198"/>
      <c r="RK36" s="198"/>
      <c r="RL36" s="198"/>
      <c r="RM36" s="198"/>
      <c r="RN36" s="198"/>
      <c r="RO36" s="198"/>
      <c r="RP36" s="198"/>
      <c r="RQ36" s="198"/>
      <c r="RR36" s="198"/>
      <c r="RS36" s="198"/>
      <c r="RT36" s="198"/>
      <c r="RU36" s="198"/>
      <c r="RV36" s="198"/>
      <c r="RW36" s="198"/>
      <c r="RX36" s="198"/>
      <c r="RY36" s="198"/>
      <c r="RZ36" s="198"/>
      <c r="SA36" s="198"/>
      <c r="SB36" s="198"/>
      <c r="SC36" s="198"/>
      <c r="SD36" s="198"/>
      <c r="SE36" s="198"/>
      <c r="SF36" s="198"/>
      <c r="SG36" s="198"/>
    </row>
    <row r="37" spans="1:501" ht="40.049999999999997" customHeight="1" x14ac:dyDescent="0.3">
      <c r="A37" s="970" t="s">
        <v>146</v>
      </c>
      <c r="B37" s="971" t="s">
        <v>147</v>
      </c>
      <c r="C37" s="944"/>
      <c r="D37" s="944"/>
      <c r="E37" s="944"/>
      <c r="F37" s="944"/>
      <c r="G37" s="944"/>
      <c r="H37" s="944"/>
      <c r="I37" s="944"/>
      <c r="J37" s="944"/>
      <c r="K37" s="944"/>
      <c r="L37" s="944"/>
      <c r="M37" s="944"/>
      <c r="N37" s="944"/>
      <c r="O37" s="944"/>
      <c r="P37" s="944"/>
      <c r="Q37" s="944"/>
      <c r="R37" s="944"/>
      <c r="S37" s="944"/>
      <c r="T37" s="944"/>
      <c r="U37" s="944"/>
      <c r="V37" s="944"/>
      <c r="W37" s="944"/>
      <c r="X37" s="944"/>
      <c r="Y37" s="944"/>
      <c r="Z37" s="944"/>
      <c r="AA37" s="944"/>
      <c r="AB37" s="944"/>
      <c r="AC37" s="944"/>
      <c r="AD37" s="944"/>
      <c r="AE37" s="944"/>
      <c r="AF37" s="944"/>
      <c r="AG37" s="944"/>
      <c r="AH37" s="945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  <c r="AS37" s="198"/>
      <c r="AT37" s="198"/>
      <c r="AU37" s="198"/>
      <c r="AV37" s="198"/>
      <c r="AW37" s="198"/>
      <c r="AX37" s="198"/>
      <c r="AY37" s="198"/>
      <c r="AZ37" s="198"/>
      <c r="BA37" s="198"/>
      <c r="BB37" s="198"/>
      <c r="BC37" s="198"/>
      <c r="BD37" s="198"/>
      <c r="BE37" s="198"/>
      <c r="BF37" s="198"/>
      <c r="BG37" s="198"/>
      <c r="BH37" s="198"/>
      <c r="BI37" s="198"/>
      <c r="BJ37" s="198"/>
      <c r="BK37" s="198"/>
      <c r="BL37" s="198"/>
      <c r="BM37" s="198"/>
      <c r="BN37" s="198"/>
      <c r="BO37" s="198"/>
      <c r="BP37" s="198"/>
      <c r="BQ37" s="198"/>
      <c r="BR37" s="198"/>
      <c r="BS37" s="198"/>
      <c r="BT37" s="198"/>
      <c r="BU37" s="198"/>
      <c r="BV37" s="198"/>
      <c r="BW37" s="198"/>
      <c r="BX37" s="198"/>
      <c r="BY37" s="198"/>
      <c r="BZ37" s="198"/>
      <c r="CA37" s="198"/>
      <c r="CB37" s="198"/>
      <c r="CC37" s="198"/>
      <c r="CD37" s="198"/>
      <c r="CE37" s="198"/>
      <c r="CF37" s="198"/>
      <c r="CG37" s="198"/>
      <c r="CH37" s="198"/>
      <c r="CI37" s="198"/>
      <c r="CJ37" s="198"/>
      <c r="CK37" s="198"/>
      <c r="CL37" s="198"/>
      <c r="CM37" s="198"/>
      <c r="CN37" s="198"/>
      <c r="CO37" s="198"/>
      <c r="CP37" s="198"/>
      <c r="CQ37" s="198"/>
      <c r="CR37" s="198"/>
      <c r="CS37" s="198"/>
      <c r="CT37" s="198"/>
      <c r="CU37" s="198"/>
      <c r="CV37" s="198"/>
      <c r="CW37" s="198"/>
      <c r="CX37" s="198"/>
      <c r="CY37" s="198"/>
      <c r="CZ37" s="198"/>
      <c r="DA37" s="198"/>
      <c r="DB37" s="198"/>
      <c r="DC37" s="198"/>
      <c r="DD37" s="198"/>
      <c r="DE37" s="198"/>
      <c r="DF37" s="198"/>
      <c r="DG37" s="198"/>
      <c r="DH37" s="198"/>
      <c r="DI37" s="198"/>
      <c r="DJ37" s="198"/>
      <c r="DK37" s="198"/>
      <c r="DL37" s="198"/>
      <c r="DM37" s="198"/>
      <c r="DN37" s="198"/>
      <c r="DO37" s="198"/>
      <c r="DP37" s="198"/>
      <c r="DQ37" s="198"/>
      <c r="DR37" s="198"/>
      <c r="DS37" s="198"/>
      <c r="DT37" s="198"/>
      <c r="DU37" s="198"/>
      <c r="DV37" s="198"/>
      <c r="DW37" s="198"/>
      <c r="DX37" s="198"/>
      <c r="DY37" s="198"/>
      <c r="DZ37" s="198"/>
      <c r="EA37" s="198"/>
      <c r="EB37" s="198"/>
      <c r="EC37" s="198"/>
      <c r="ED37" s="198"/>
      <c r="EE37" s="198"/>
      <c r="EF37" s="198"/>
      <c r="EG37" s="198"/>
      <c r="EH37" s="198"/>
      <c r="EI37" s="198"/>
      <c r="EJ37" s="198"/>
      <c r="EK37" s="198"/>
      <c r="EL37" s="198"/>
      <c r="EM37" s="198"/>
      <c r="EN37" s="198"/>
      <c r="EO37" s="198"/>
      <c r="EP37" s="198"/>
      <c r="EQ37" s="198"/>
      <c r="ER37" s="198"/>
      <c r="ES37" s="198"/>
      <c r="ET37" s="198"/>
      <c r="EU37" s="198"/>
      <c r="EV37" s="198"/>
      <c r="EW37" s="198"/>
      <c r="EX37" s="198"/>
      <c r="EY37" s="198"/>
      <c r="EZ37" s="198"/>
      <c r="FA37" s="198"/>
      <c r="FB37" s="198"/>
      <c r="FC37" s="198"/>
      <c r="FD37" s="198"/>
      <c r="FE37" s="198"/>
      <c r="FF37" s="198"/>
      <c r="FG37" s="198"/>
      <c r="FH37" s="198"/>
      <c r="FI37" s="198"/>
      <c r="FJ37" s="198"/>
      <c r="FK37" s="198"/>
      <c r="FL37" s="198"/>
      <c r="FM37" s="198"/>
      <c r="FN37" s="198"/>
      <c r="FO37" s="198"/>
      <c r="FP37" s="198"/>
      <c r="FQ37" s="198"/>
      <c r="FR37" s="198"/>
      <c r="FS37" s="198"/>
      <c r="FT37" s="198"/>
      <c r="FU37" s="198"/>
      <c r="FV37" s="198"/>
      <c r="FW37" s="198"/>
      <c r="FX37" s="198"/>
      <c r="FY37" s="198"/>
      <c r="FZ37" s="198"/>
      <c r="GA37" s="198"/>
      <c r="GB37" s="198"/>
      <c r="GC37" s="198"/>
      <c r="GD37" s="198"/>
      <c r="GE37" s="198"/>
      <c r="GF37" s="198"/>
      <c r="GG37" s="198"/>
      <c r="GH37" s="198"/>
      <c r="GI37" s="198"/>
      <c r="GJ37" s="198"/>
      <c r="GK37" s="198"/>
      <c r="GL37" s="198"/>
      <c r="GM37" s="198"/>
      <c r="GN37" s="198"/>
      <c r="GO37" s="198"/>
      <c r="GP37" s="198"/>
      <c r="GQ37" s="198"/>
      <c r="GR37" s="198"/>
      <c r="GS37" s="198"/>
      <c r="GT37" s="198"/>
      <c r="GU37" s="198"/>
      <c r="GV37" s="198"/>
      <c r="GW37" s="198"/>
      <c r="GX37" s="198"/>
      <c r="GY37" s="198"/>
      <c r="GZ37" s="198"/>
      <c r="HA37" s="198"/>
      <c r="HB37" s="198"/>
      <c r="HC37" s="198"/>
      <c r="HD37" s="198"/>
      <c r="HE37" s="198"/>
      <c r="HF37" s="198"/>
      <c r="HG37" s="198"/>
      <c r="HH37" s="198"/>
      <c r="HI37" s="198"/>
      <c r="HJ37" s="198"/>
      <c r="HK37" s="198"/>
      <c r="HL37" s="198"/>
      <c r="HM37" s="198"/>
      <c r="HN37" s="198"/>
      <c r="HO37" s="198"/>
      <c r="HP37" s="198"/>
      <c r="HQ37" s="198"/>
      <c r="HR37" s="198"/>
      <c r="HS37" s="198"/>
      <c r="HT37" s="198"/>
      <c r="HU37" s="198"/>
      <c r="HV37" s="198"/>
      <c r="HW37" s="198"/>
      <c r="HX37" s="198"/>
      <c r="HY37" s="198"/>
      <c r="HZ37" s="198"/>
      <c r="IA37" s="198"/>
      <c r="IB37" s="198"/>
      <c r="IC37" s="198"/>
      <c r="ID37" s="198"/>
      <c r="IE37" s="198"/>
      <c r="IF37" s="198"/>
      <c r="IG37" s="198"/>
      <c r="IH37" s="198"/>
      <c r="II37" s="198"/>
      <c r="IJ37" s="198"/>
      <c r="IK37" s="198"/>
      <c r="IL37" s="198"/>
      <c r="IM37" s="198"/>
      <c r="IN37" s="198"/>
      <c r="IO37" s="198"/>
      <c r="IP37" s="198"/>
      <c r="IQ37" s="198"/>
      <c r="IR37" s="198"/>
      <c r="IS37" s="198"/>
      <c r="IT37" s="198"/>
      <c r="IU37" s="198"/>
      <c r="IV37" s="198"/>
      <c r="IW37" s="198"/>
      <c r="IX37" s="198"/>
      <c r="IY37" s="198"/>
      <c r="IZ37" s="198"/>
      <c r="JA37" s="198"/>
      <c r="JB37" s="198"/>
      <c r="JC37" s="198"/>
      <c r="JD37" s="198"/>
      <c r="JE37" s="198"/>
      <c r="JF37" s="198"/>
      <c r="JG37" s="198"/>
      <c r="JH37" s="198"/>
      <c r="JI37" s="198"/>
      <c r="JJ37" s="198"/>
      <c r="JK37" s="198"/>
      <c r="JL37" s="198"/>
      <c r="JM37" s="198"/>
      <c r="JN37" s="198"/>
      <c r="JO37" s="198"/>
      <c r="JP37" s="198"/>
      <c r="JQ37" s="198"/>
      <c r="JR37" s="198"/>
      <c r="JS37" s="198"/>
      <c r="JT37" s="198"/>
      <c r="JU37" s="198"/>
      <c r="JV37" s="198"/>
      <c r="JW37" s="198"/>
      <c r="JX37" s="198"/>
      <c r="JY37" s="198"/>
      <c r="JZ37" s="198"/>
      <c r="KA37" s="198"/>
      <c r="KB37" s="198"/>
      <c r="KC37" s="198"/>
      <c r="KD37" s="198"/>
      <c r="KE37" s="198"/>
      <c r="KF37" s="198"/>
      <c r="KG37" s="198"/>
      <c r="KH37" s="198"/>
      <c r="KI37" s="198"/>
      <c r="KJ37" s="198"/>
      <c r="KK37" s="198"/>
      <c r="KL37" s="198"/>
      <c r="KM37" s="198"/>
      <c r="KN37" s="198"/>
      <c r="KO37" s="198"/>
      <c r="KP37" s="198"/>
      <c r="KQ37" s="198"/>
      <c r="KR37" s="198"/>
      <c r="KS37" s="198"/>
      <c r="KT37" s="198"/>
      <c r="KU37" s="198"/>
      <c r="KV37" s="198"/>
      <c r="KW37" s="198"/>
      <c r="KX37" s="198"/>
      <c r="KY37" s="198"/>
      <c r="KZ37" s="198"/>
      <c r="LA37" s="198"/>
      <c r="LB37" s="198"/>
      <c r="LC37" s="198"/>
      <c r="LD37" s="198"/>
      <c r="LE37" s="198"/>
      <c r="LF37" s="198"/>
      <c r="LG37" s="198"/>
      <c r="LH37" s="198"/>
      <c r="LI37" s="198"/>
      <c r="LJ37" s="198"/>
      <c r="LK37" s="198"/>
      <c r="LL37" s="198"/>
      <c r="LM37" s="198"/>
      <c r="LN37" s="198"/>
      <c r="LO37" s="198"/>
      <c r="LP37" s="198"/>
      <c r="LQ37" s="198"/>
      <c r="LR37" s="198"/>
      <c r="LS37" s="198"/>
      <c r="LT37" s="198"/>
      <c r="LU37" s="198"/>
      <c r="LV37" s="198"/>
      <c r="LW37" s="198"/>
      <c r="LX37" s="198"/>
      <c r="LY37" s="198"/>
      <c r="LZ37" s="198"/>
      <c r="MA37" s="198"/>
      <c r="MB37" s="198"/>
      <c r="MC37" s="198"/>
      <c r="MD37" s="198"/>
      <c r="ME37" s="198"/>
      <c r="MF37" s="198"/>
      <c r="MG37" s="198"/>
      <c r="MH37" s="198"/>
      <c r="MI37" s="198"/>
      <c r="MJ37" s="198"/>
      <c r="MK37" s="198"/>
      <c r="ML37" s="198"/>
      <c r="MM37" s="198"/>
      <c r="MN37" s="198"/>
      <c r="MO37" s="198"/>
      <c r="MP37" s="198"/>
      <c r="MQ37" s="198"/>
      <c r="MR37" s="198"/>
      <c r="MS37" s="198"/>
      <c r="MT37" s="198"/>
      <c r="MU37" s="198"/>
      <c r="MV37" s="198"/>
      <c r="MW37" s="198"/>
      <c r="MX37" s="198"/>
      <c r="MY37" s="198"/>
      <c r="MZ37" s="198"/>
      <c r="NA37" s="198"/>
      <c r="NB37" s="198"/>
      <c r="NC37" s="198"/>
      <c r="ND37" s="198"/>
      <c r="NE37" s="198"/>
      <c r="NF37" s="198"/>
      <c r="NG37" s="198"/>
      <c r="NH37" s="198"/>
      <c r="NI37" s="198"/>
      <c r="NJ37" s="198"/>
      <c r="NK37" s="198"/>
      <c r="NL37" s="198"/>
      <c r="NM37" s="198"/>
      <c r="NN37" s="198"/>
      <c r="NO37" s="198"/>
      <c r="NP37" s="198"/>
      <c r="NQ37" s="198"/>
      <c r="NR37" s="198"/>
      <c r="NS37" s="198"/>
      <c r="NT37" s="198"/>
      <c r="NU37" s="198"/>
      <c r="NV37" s="198"/>
      <c r="NW37" s="198"/>
      <c r="NX37" s="198"/>
      <c r="NY37" s="198"/>
      <c r="NZ37" s="198"/>
      <c r="OA37" s="198"/>
      <c r="OB37" s="198"/>
      <c r="OC37" s="198"/>
      <c r="OD37" s="198"/>
      <c r="OE37" s="198"/>
      <c r="OF37" s="198"/>
      <c r="OG37" s="198"/>
      <c r="OH37" s="198"/>
      <c r="OI37" s="198"/>
      <c r="OJ37" s="198"/>
      <c r="OK37" s="198"/>
      <c r="OL37" s="198"/>
      <c r="OM37" s="198"/>
      <c r="ON37" s="198"/>
      <c r="OO37" s="198"/>
      <c r="OP37" s="198"/>
      <c r="OQ37" s="198"/>
      <c r="OR37" s="198"/>
      <c r="OS37" s="198"/>
      <c r="OT37" s="198"/>
      <c r="OU37" s="198"/>
      <c r="OV37" s="198"/>
      <c r="OW37" s="198"/>
      <c r="OX37" s="198"/>
      <c r="OY37" s="198"/>
      <c r="OZ37" s="198"/>
      <c r="PA37" s="198"/>
      <c r="PB37" s="198"/>
      <c r="PC37" s="198"/>
      <c r="PD37" s="198"/>
      <c r="PE37" s="198"/>
      <c r="PF37" s="198"/>
      <c r="PG37" s="198"/>
      <c r="PH37" s="198"/>
      <c r="PI37" s="198"/>
      <c r="PJ37" s="198"/>
      <c r="PK37" s="198"/>
      <c r="PL37" s="198"/>
      <c r="PM37" s="198"/>
      <c r="PN37" s="198"/>
      <c r="PO37" s="198"/>
      <c r="PP37" s="198"/>
      <c r="PQ37" s="198"/>
      <c r="PR37" s="198"/>
      <c r="PS37" s="198"/>
      <c r="PT37" s="198"/>
      <c r="PU37" s="198"/>
      <c r="PV37" s="198"/>
      <c r="PW37" s="198"/>
      <c r="PX37" s="198"/>
      <c r="PY37" s="198"/>
      <c r="PZ37" s="198"/>
      <c r="QA37" s="198"/>
      <c r="QB37" s="198"/>
      <c r="QC37" s="198"/>
      <c r="QD37" s="198"/>
      <c r="QE37" s="198"/>
      <c r="QF37" s="198"/>
      <c r="QG37" s="198"/>
      <c r="QH37" s="198"/>
      <c r="QI37" s="198"/>
      <c r="QJ37" s="198"/>
      <c r="QK37" s="198"/>
      <c r="QL37" s="198"/>
      <c r="QM37" s="198"/>
      <c r="QN37" s="198"/>
      <c r="QO37" s="198"/>
      <c r="QP37" s="198"/>
      <c r="QQ37" s="198"/>
      <c r="QR37" s="198"/>
      <c r="QS37" s="198"/>
      <c r="QT37" s="198"/>
      <c r="QU37" s="198"/>
      <c r="QV37" s="198"/>
      <c r="QW37" s="198"/>
      <c r="QX37" s="198"/>
      <c r="QY37" s="198"/>
      <c r="QZ37" s="198"/>
      <c r="RA37" s="198"/>
      <c r="RB37" s="198"/>
      <c r="RC37" s="198"/>
      <c r="RD37" s="198"/>
      <c r="RE37" s="198"/>
      <c r="RF37" s="198"/>
      <c r="RG37" s="198"/>
      <c r="RH37" s="198"/>
      <c r="RI37" s="198"/>
      <c r="RJ37" s="198"/>
      <c r="RK37" s="198"/>
      <c r="RL37" s="198"/>
      <c r="RM37" s="198"/>
      <c r="RN37" s="198"/>
      <c r="RO37" s="198"/>
      <c r="RP37" s="198"/>
      <c r="RQ37" s="198"/>
      <c r="RR37" s="198"/>
      <c r="RS37" s="198"/>
      <c r="RT37" s="198"/>
      <c r="RU37" s="198"/>
      <c r="RV37" s="198"/>
      <c r="RW37" s="198"/>
      <c r="RX37" s="198"/>
      <c r="RY37" s="198"/>
      <c r="RZ37" s="198"/>
      <c r="SA37" s="198"/>
      <c r="SB37" s="198"/>
      <c r="SC37" s="198"/>
      <c r="SD37" s="198"/>
      <c r="SE37" s="198"/>
      <c r="SF37" s="198"/>
      <c r="SG37" s="198"/>
    </row>
    <row r="38" spans="1:501" ht="40.049999999999997" customHeight="1" x14ac:dyDescent="0.3">
      <c r="A38" s="541" t="s">
        <v>148</v>
      </c>
      <c r="B38" s="952" t="s">
        <v>139</v>
      </c>
      <c r="C38" s="950">
        <f>'MANZ. A'!H40</f>
        <v>0</v>
      </c>
      <c r="D38" s="861"/>
      <c r="E38" s="862">
        <f>'MANZ. B'!R32</f>
        <v>0</v>
      </c>
      <c r="F38" s="861"/>
      <c r="G38" s="863">
        <f>MANZ.C!AL31</f>
        <v>0</v>
      </c>
      <c r="H38" s="861"/>
      <c r="I38" s="863">
        <f>MANZ.D!Z31</f>
        <v>0</v>
      </c>
      <c r="J38" s="861"/>
      <c r="K38" s="862">
        <f>MANZ.E!AK32</f>
        <v>0</v>
      </c>
      <c r="L38" s="861"/>
      <c r="M38" s="863">
        <f>MANZ.F!AB31</f>
        <v>0</v>
      </c>
      <c r="N38" s="861"/>
      <c r="O38" s="862">
        <f>MANZ.G!AT30</f>
        <v>19</v>
      </c>
      <c r="P38" s="861"/>
      <c r="Q38" s="863">
        <f>MANZ.H!V32</f>
        <v>0</v>
      </c>
      <c r="R38" s="861"/>
      <c r="S38" s="863">
        <f>MANZ.I!AB32</f>
        <v>0</v>
      </c>
      <c r="T38" s="861"/>
      <c r="U38" s="862">
        <f>MANZ.J!AT35</f>
        <v>0</v>
      </c>
      <c r="V38" s="861"/>
      <c r="W38" s="863">
        <f>MANZ.K!AB32</f>
        <v>0</v>
      </c>
      <c r="X38" s="861"/>
      <c r="Y38" s="862">
        <f>MANZ.L!Z32</f>
        <v>0</v>
      </c>
      <c r="Z38" s="861"/>
      <c r="AA38" s="862">
        <f>'SALA MULTIUSO'!F41</f>
        <v>0</v>
      </c>
      <c r="AB38" s="864"/>
      <c r="AC38" s="864"/>
      <c r="AD38" s="864"/>
      <c r="AE38" s="864"/>
      <c r="AF38" s="861"/>
      <c r="AG38" s="865">
        <f>SUM(C32:AA32)</f>
        <v>0</v>
      </c>
      <c r="AH38" s="866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  <c r="AS38" s="198"/>
      <c r="AT38" s="198"/>
      <c r="AU38" s="198"/>
      <c r="AV38" s="198"/>
      <c r="AW38" s="198"/>
      <c r="AX38" s="198"/>
      <c r="AY38" s="198"/>
      <c r="AZ38" s="198"/>
      <c r="BA38" s="198"/>
      <c r="BB38" s="198"/>
      <c r="BC38" s="198"/>
      <c r="BD38" s="198"/>
      <c r="BE38" s="198"/>
      <c r="BF38" s="198"/>
      <c r="BG38" s="198"/>
      <c r="BH38" s="198"/>
      <c r="BI38" s="198"/>
      <c r="BJ38" s="198"/>
      <c r="BK38" s="198"/>
      <c r="BL38" s="198"/>
      <c r="BM38" s="198"/>
      <c r="BN38" s="198"/>
      <c r="BO38" s="198"/>
      <c r="BP38" s="198"/>
      <c r="BQ38" s="198"/>
      <c r="BR38" s="198"/>
      <c r="BS38" s="198"/>
      <c r="BT38" s="198"/>
      <c r="BU38" s="198"/>
      <c r="BV38" s="198"/>
      <c r="BW38" s="198"/>
      <c r="BX38" s="198"/>
      <c r="BY38" s="198"/>
      <c r="BZ38" s="198"/>
      <c r="CA38" s="198"/>
      <c r="CB38" s="198"/>
      <c r="CC38" s="198"/>
      <c r="CD38" s="198"/>
      <c r="CE38" s="198"/>
      <c r="CF38" s="198"/>
      <c r="CG38" s="198"/>
      <c r="CH38" s="198"/>
      <c r="CI38" s="198"/>
      <c r="CJ38" s="198"/>
      <c r="CK38" s="198"/>
      <c r="CL38" s="198"/>
      <c r="CM38" s="198"/>
      <c r="CN38" s="198"/>
      <c r="CO38" s="198"/>
      <c r="CP38" s="198"/>
      <c r="CQ38" s="198"/>
      <c r="CR38" s="198"/>
      <c r="CS38" s="198"/>
      <c r="CT38" s="198"/>
      <c r="CU38" s="198"/>
      <c r="CV38" s="198"/>
      <c r="CW38" s="198"/>
      <c r="CX38" s="198"/>
      <c r="CY38" s="198"/>
      <c r="CZ38" s="198"/>
      <c r="DA38" s="198"/>
      <c r="DB38" s="198"/>
      <c r="DC38" s="198"/>
      <c r="DD38" s="198"/>
      <c r="DE38" s="198"/>
      <c r="DF38" s="198"/>
      <c r="DG38" s="198"/>
      <c r="DH38" s="198"/>
      <c r="DI38" s="198"/>
      <c r="DJ38" s="198"/>
      <c r="DK38" s="198"/>
      <c r="DL38" s="198"/>
      <c r="DM38" s="198"/>
      <c r="DN38" s="198"/>
      <c r="DO38" s="198"/>
      <c r="DP38" s="198"/>
      <c r="DQ38" s="198"/>
      <c r="DR38" s="198"/>
      <c r="DS38" s="198"/>
      <c r="DT38" s="198"/>
      <c r="DU38" s="198"/>
      <c r="DV38" s="198"/>
      <c r="DW38" s="198"/>
      <c r="DX38" s="198"/>
      <c r="DY38" s="198"/>
      <c r="DZ38" s="198"/>
      <c r="EA38" s="198"/>
      <c r="EB38" s="198"/>
      <c r="EC38" s="198"/>
      <c r="ED38" s="198"/>
      <c r="EE38" s="198"/>
      <c r="EF38" s="198"/>
      <c r="EG38" s="198"/>
      <c r="EH38" s="198"/>
      <c r="EI38" s="198"/>
      <c r="EJ38" s="198"/>
      <c r="EK38" s="198"/>
      <c r="EL38" s="198"/>
      <c r="EM38" s="198"/>
      <c r="EN38" s="198"/>
      <c r="EO38" s="198"/>
      <c r="EP38" s="198"/>
      <c r="EQ38" s="198"/>
      <c r="ER38" s="198"/>
      <c r="ES38" s="198"/>
      <c r="ET38" s="198"/>
      <c r="EU38" s="198"/>
      <c r="EV38" s="198"/>
      <c r="EW38" s="198"/>
      <c r="EX38" s="198"/>
      <c r="EY38" s="198"/>
      <c r="EZ38" s="198"/>
      <c r="FA38" s="198"/>
      <c r="FB38" s="198"/>
      <c r="FC38" s="198"/>
      <c r="FD38" s="198"/>
      <c r="FE38" s="198"/>
      <c r="FF38" s="198"/>
      <c r="FG38" s="198"/>
      <c r="FH38" s="198"/>
      <c r="FI38" s="198"/>
      <c r="FJ38" s="198"/>
      <c r="FK38" s="198"/>
      <c r="FL38" s="198"/>
      <c r="FM38" s="198"/>
      <c r="FN38" s="198"/>
      <c r="FO38" s="198"/>
      <c r="FP38" s="198"/>
      <c r="FQ38" s="198"/>
      <c r="FR38" s="198"/>
      <c r="FS38" s="198"/>
      <c r="FT38" s="198"/>
      <c r="FU38" s="198"/>
      <c r="FV38" s="198"/>
      <c r="FW38" s="198"/>
      <c r="FX38" s="198"/>
      <c r="FY38" s="198"/>
      <c r="FZ38" s="198"/>
      <c r="GA38" s="198"/>
      <c r="GB38" s="198"/>
      <c r="GC38" s="198"/>
      <c r="GD38" s="198"/>
      <c r="GE38" s="198"/>
      <c r="GF38" s="198"/>
      <c r="GG38" s="198"/>
      <c r="GH38" s="198"/>
      <c r="GI38" s="198"/>
      <c r="GJ38" s="198"/>
      <c r="GK38" s="198"/>
      <c r="GL38" s="198"/>
      <c r="GM38" s="198"/>
      <c r="GN38" s="198"/>
      <c r="GO38" s="198"/>
      <c r="GP38" s="198"/>
      <c r="GQ38" s="198"/>
      <c r="GR38" s="198"/>
      <c r="GS38" s="198"/>
      <c r="GT38" s="198"/>
      <c r="GU38" s="198"/>
      <c r="GV38" s="198"/>
      <c r="GW38" s="198"/>
      <c r="GX38" s="198"/>
      <c r="GY38" s="198"/>
      <c r="GZ38" s="198"/>
      <c r="HA38" s="198"/>
      <c r="HB38" s="198"/>
      <c r="HC38" s="198"/>
      <c r="HD38" s="198"/>
      <c r="HE38" s="198"/>
      <c r="HF38" s="198"/>
      <c r="HG38" s="198"/>
      <c r="HH38" s="198"/>
      <c r="HI38" s="198"/>
      <c r="HJ38" s="198"/>
      <c r="HK38" s="198"/>
      <c r="HL38" s="198"/>
      <c r="HM38" s="198"/>
      <c r="HN38" s="198"/>
      <c r="HO38" s="198"/>
      <c r="HP38" s="198"/>
      <c r="HQ38" s="198"/>
      <c r="HR38" s="198"/>
      <c r="HS38" s="198"/>
      <c r="HT38" s="198"/>
      <c r="HU38" s="198"/>
      <c r="HV38" s="198"/>
      <c r="HW38" s="198"/>
      <c r="HX38" s="198"/>
      <c r="HY38" s="198"/>
      <c r="HZ38" s="198"/>
      <c r="IA38" s="198"/>
      <c r="IB38" s="198"/>
      <c r="IC38" s="198"/>
      <c r="ID38" s="198"/>
      <c r="IE38" s="198"/>
      <c r="IF38" s="198"/>
      <c r="IG38" s="198"/>
      <c r="IH38" s="198"/>
      <c r="II38" s="198"/>
      <c r="IJ38" s="198"/>
      <c r="IK38" s="198"/>
      <c r="IL38" s="198"/>
      <c r="IM38" s="198"/>
      <c r="IN38" s="198"/>
      <c r="IO38" s="198"/>
      <c r="IP38" s="198"/>
      <c r="IQ38" s="198"/>
      <c r="IR38" s="198"/>
      <c r="IS38" s="198"/>
      <c r="IT38" s="198"/>
      <c r="IU38" s="198"/>
      <c r="IV38" s="198"/>
      <c r="IW38" s="198"/>
      <c r="IX38" s="198"/>
      <c r="IY38" s="198"/>
      <c r="IZ38" s="198"/>
      <c r="JA38" s="198"/>
      <c r="JB38" s="198"/>
      <c r="JC38" s="198"/>
      <c r="JD38" s="198"/>
      <c r="JE38" s="198"/>
      <c r="JF38" s="198"/>
      <c r="JG38" s="198"/>
      <c r="JH38" s="198"/>
      <c r="JI38" s="198"/>
      <c r="JJ38" s="198"/>
      <c r="JK38" s="198"/>
      <c r="JL38" s="198"/>
      <c r="JM38" s="198"/>
      <c r="JN38" s="198"/>
      <c r="JO38" s="198"/>
      <c r="JP38" s="198"/>
      <c r="JQ38" s="198"/>
      <c r="JR38" s="198"/>
      <c r="JS38" s="198"/>
      <c r="JT38" s="198"/>
      <c r="JU38" s="198"/>
      <c r="JV38" s="198"/>
      <c r="JW38" s="198"/>
      <c r="JX38" s="198"/>
      <c r="JY38" s="198"/>
      <c r="JZ38" s="198"/>
      <c r="KA38" s="198"/>
      <c r="KB38" s="198"/>
      <c r="KC38" s="198"/>
      <c r="KD38" s="198"/>
      <c r="KE38" s="198"/>
      <c r="KF38" s="198"/>
      <c r="KG38" s="198"/>
      <c r="KH38" s="198"/>
      <c r="KI38" s="198"/>
      <c r="KJ38" s="198"/>
      <c r="KK38" s="198"/>
      <c r="KL38" s="198"/>
      <c r="KM38" s="198"/>
      <c r="KN38" s="198"/>
      <c r="KO38" s="198"/>
      <c r="KP38" s="198"/>
      <c r="KQ38" s="198"/>
      <c r="KR38" s="198"/>
      <c r="KS38" s="198"/>
      <c r="KT38" s="198"/>
      <c r="KU38" s="198"/>
      <c r="KV38" s="198"/>
      <c r="KW38" s="198"/>
      <c r="KX38" s="198"/>
      <c r="KY38" s="198"/>
      <c r="KZ38" s="198"/>
      <c r="LA38" s="198"/>
      <c r="LB38" s="198"/>
      <c r="LC38" s="198"/>
      <c r="LD38" s="198"/>
      <c r="LE38" s="198"/>
      <c r="LF38" s="198"/>
      <c r="LG38" s="198"/>
      <c r="LH38" s="198"/>
      <c r="LI38" s="198"/>
      <c r="LJ38" s="198"/>
      <c r="LK38" s="198"/>
      <c r="LL38" s="198"/>
      <c r="LM38" s="198"/>
      <c r="LN38" s="198"/>
      <c r="LO38" s="198"/>
      <c r="LP38" s="198"/>
      <c r="LQ38" s="198"/>
      <c r="LR38" s="198"/>
      <c r="LS38" s="198"/>
      <c r="LT38" s="198"/>
      <c r="LU38" s="198"/>
      <c r="LV38" s="198"/>
      <c r="LW38" s="198"/>
      <c r="LX38" s="198"/>
      <c r="LY38" s="198"/>
      <c r="LZ38" s="198"/>
      <c r="MA38" s="198"/>
      <c r="MB38" s="198"/>
      <c r="MC38" s="198"/>
      <c r="MD38" s="198"/>
      <c r="ME38" s="198"/>
      <c r="MF38" s="198"/>
      <c r="MG38" s="198"/>
      <c r="MH38" s="198"/>
      <c r="MI38" s="198"/>
      <c r="MJ38" s="198"/>
      <c r="MK38" s="198"/>
      <c r="ML38" s="198"/>
      <c r="MM38" s="198"/>
      <c r="MN38" s="198"/>
      <c r="MO38" s="198"/>
      <c r="MP38" s="198"/>
      <c r="MQ38" s="198"/>
      <c r="MR38" s="198"/>
      <c r="MS38" s="198"/>
      <c r="MT38" s="198"/>
      <c r="MU38" s="198"/>
      <c r="MV38" s="198"/>
      <c r="MW38" s="198"/>
      <c r="MX38" s="198"/>
      <c r="MY38" s="198"/>
      <c r="MZ38" s="198"/>
      <c r="NA38" s="198"/>
      <c r="NB38" s="198"/>
      <c r="NC38" s="198"/>
      <c r="ND38" s="198"/>
      <c r="NE38" s="198"/>
      <c r="NF38" s="198"/>
      <c r="NG38" s="198"/>
      <c r="NH38" s="198"/>
      <c r="NI38" s="198"/>
      <c r="NJ38" s="198"/>
      <c r="NK38" s="198"/>
      <c r="NL38" s="198"/>
      <c r="NM38" s="198"/>
      <c r="NN38" s="198"/>
      <c r="NO38" s="198"/>
      <c r="NP38" s="198"/>
      <c r="NQ38" s="198"/>
      <c r="NR38" s="198"/>
      <c r="NS38" s="198"/>
      <c r="NT38" s="198"/>
      <c r="NU38" s="198"/>
      <c r="NV38" s="198"/>
      <c r="NW38" s="198"/>
      <c r="NX38" s="198"/>
      <c r="NY38" s="198"/>
      <c r="NZ38" s="198"/>
      <c r="OA38" s="198"/>
      <c r="OB38" s="198"/>
      <c r="OC38" s="198"/>
      <c r="OD38" s="198"/>
      <c r="OE38" s="198"/>
      <c r="OF38" s="198"/>
      <c r="OG38" s="198"/>
      <c r="OH38" s="198"/>
      <c r="OI38" s="198"/>
      <c r="OJ38" s="198"/>
      <c r="OK38" s="198"/>
      <c r="OL38" s="198"/>
      <c r="OM38" s="198"/>
      <c r="ON38" s="198"/>
      <c r="OO38" s="198"/>
      <c r="OP38" s="198"/>
      <c r="OQ38" s="198"/>
      <c r="OR38" s="198"/>
      <c r="OS38" s="198"/>
      <c r="OT38" s="198"/>
      <c r="OU38" s="198"/>
      <c r="OV38" s="198"/>
      <c r="OW38" s="198"/>
      <c r="OX38" s="198"/>
      <c r="OY38" s="198"/>
      <c r="OZ38" s="198"/>
      <c r="PA38" s="198"/>
      <c r="PB38" s="198"/>
      <c r="PC38" s="198"/>
      <c r="PD38" s="198"/>
      <c r="PE38" s="198"/>
      <c r="PF38" s="198"/>
      <c r="PG38" s="198"/>
      <c r="PH38" s="198"/>
      <c r="PI38" s="198"/>
      <c r="PJ38" s="198"/>
      <c r="PK38" s="198"/>
      <c r="PL38" s="198"/>
      <c r="PM38" s="198"/>
      <c r="PN38" s="198"/>
      <c r="PO38" s="198"/>
      <c r="PP38" s="198"/>
      <c r="PQ38" s="198"/>
      <c r="PR38" s="198"/>
      <c r="PS38" s="198"/>
      <c r="PT38" s="198"/>
      <c r="PU38" s="198"/>
      <c r="PV38" s="198"/>
      <c r="PW38" s="198"/>
      <c r="PX38" s="198"/>
      <c r="PY38" s="198"/>
      <c r="PZ38" s="198"/>
      <c r="QA38" s="198"/>
      <c r="QB38" s="198"/>
      <c r="QC38" s="198"/>
      <c r="QD38" s="198"/>
      <c r="QE38" s="198"/>
      <c r="QF38" s="198"/>
      <c r="QG38" s="198"/>
      <c r="QH38" s="198"/>
      <c r="QI38" s="198"/>
      <c r="QJ38" s="198"/>
      <c r="QK38" s="198"/>
      <c r="QL38" s="198"/>
      <c r="QM38" s="198"/>
      <c r="QN38" s="198"/>
      <c r="QO38" s="198"/>
      <c r="QP38" s="198"/>
      <c r="QQ38" s="198"/>
      <c r="QR38" s="198"/>
      <c r="QS38" s="198"/>
      <c r="QT38" s="198"/>
      <c r="QU38" s="198"/>
      <c r="QV38" s="198"/>
      <c r="QW38" s="198"/>
      <c r="QX38" s="198"/>
      <c r="QY38" s="198"/>
      <c r="QZ38" s="198"/>
      <c r="RA38" s="198"/>
      <c r="RB38" s="198"/>
      <c r="RC38" s="198"/>
      <c r="RD38" s="198"/>
      <c r="RE38" s="198"/>
      <c r="RF38" s="198"/>
      <c r="RG38" s="198"/>
      <c r="RH38" s="198"/>
      <c r="RI38" s="198"/>
      <c r="RJ38" s="198"/>
      <c r="RK38" s="198"/>
      <c r="RL38" s="198"/>
      <c r="RM38" s="198"/>
      <c r="RN38" s="198"/>
      <c r="RO38" s="198"/>
      <c r="RP38" s="198"/>
      <c r="RQ38" s="198"/>
      <c r="RR38" s="198"/>
      <c r="RS38" s="198"/>
      <c r="RT38" s="198"/>
      <c r="RU38" s="198"/>
      <c r="RV38" s="198"/>
      <c r="RW38" s="198"/>
      <c r="RX38" s="198"/>
      <c r="RY38" s="198"/>
      <c r="RZ38" s="198"/>
      <c r="SA38" s="198"/>
      <c r="SB38" s="198"/>
      <c r="SC38" s="198"/>
      <c r="SD38" s="198"/>
      <c r="SE38" s="198"/>
      <c r="SF38" s="198"/>
      <c r="SG38" s="198"/>
    </row>
    <row r="39" spans="1:501" ht="40.049999999999997" customHeight="1" x14ac:dyDescent="0.3">
      <c r="A39" s="541" t="s">
        <v>149</v>
      </c>
      <c r="B39" s="952" t="s">
        <v>150</v>
      </c>
      <c r="C39" s="950">
        <f>'MANZ. A'!H41</f>
        <v>0</v>
      </c>
      <c r="D39" s="861"/>
      <c r="E39" s="862">
        <f>'MANZ. B'!R34</f>
        <v>0</v>
      </c>
      <c r="F39" s="861"/>
      <c r="G39" s="863">
        <f>MANZ.C!AL33</f>
        <v>17</v>
      </c>
      <c r="H39" s="861"/>
      <c r="I39" s="863">
        <f>MANZ.D!Z33</f>
        <v>10</v>
      </c>
      <c r="J39" s="861"/>
      <c r="K39" s="862">
        <f>MANZ.E!AK34</f>
        <v>15</v>
      </c>
      <c r="L39" s="861"/>
      <c r="M39" s="863">
        <f>MANZ.F!AB33</f>
        <v>10</v>
      </c>
      <c r="N39" s="861"/>
      <c r="O39" s="862">
        <f>MANZ.G!AT32</f>
        <v>0</v>
      </c>
      <c r="P39" s="861"/>
      <c r="Q39" s="863">
        <f>MANZ.H!V34</f>
        <v>9</v>
      </c>
      <c r="R39" s="861"/>
      <c r="S39" s="863">
        <f>MANZ.I!AB34</f>
        <v>10</v>
      </c>
      <c r="T39" s="861"/>
      <c r="U39" s="862">
        <f>MANZ.J!AS37</f>
        <v>19</v>
      </c>
      <c r="V39" s="861"/>
      <c r="W39" s="862">
        <f>MANZ.K!AB34</f>
        <v>10</v>
      </c>
      <c r="X39" s="861"/>
      <c r="Y39" s="862">
        <f>MANZ.L!Z34</f>
        <v>9</v>
      </c>
      <c r="Z39" s="861"/>
      <c r="AA39" s="862">
        <f>'SALA MULTIUSO'!F43</f>
        <v>0</v>
      </c>
      <c r="AB39" s="864"/>
      <c r="AC39" s="864"/>
      <c r="AD39" s="864"/>
      <c r="AE39" s="864"/>
      <c r="AF39" s="861"/>
      <c r="AG39" s="865">
        <f>SUM(C34:AA34)</f>
        <v>19</v>
      </c>
      <c r="AH39" s="866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  <c r="AS39" s="198"/>
      <c r="AT39" s="198"/>
      <c r="AU39" s="198"/>
      <c r="AV39" s="198"/>
      <c r="AW39" s="198"/>
      <c r="AX39" s="198"/>
      <c r="AY39" s="198"/>
      <c r="AZ39" s="198"/>
      <c r="BA39" s="198"/>
      <c r="BB39" s="198"/>
      <c r="BC39" s="198"/>
      <c r="BD39" s="198"/>
      <c r="BE39" s="198"/>
      <c r="BF39" s="198"/>
      <c r="BG39" s="198"/>
      <c r="BH39" s="198"/>
      <c r="BI39" s="198"/>
      <c r="BJ39" s="198"/>
      <c r="BK39" s="198"/>
      <c r="BL39" s="198"/>
      <c r="BM39" s="198"/>
      <c r="BN39" s="198"/>
      <c r="BO39" s="198"/>
      <c r="BP39" s="198"/>
      <c r="BQ39" s="198"/>
      <c r="BR39" s="198"/>
      <c r="BS39" s="198"/>
      <c r="BT39" s="198"/>
      <c r="BU39" s="198"/>
      <c r="BV39" s="198"/>
      <c r="BW39" s="198"/>
      <c r="BX39" s="198"/>
      <c r="BY39" s="198"/>
      <c r="BZ39" s="198"/>
      <c r="CA39" s="198"/>
      <c r="CB39" s="198"/>
      <c r="CC39" s="198"/>
      <c r="CD39" s="198"/>
      <c r="CE39" s="198"/>
      <c r="CF39" s="198"/>
      <c r="CG39" s="198"/>
      <c r="CH39" s="198"/>
      <c r="CI39" s="198"/>
      <c r="CJ39" s="198"/>
      <c r="CK39" s="198"/>
      <c r="CL39" s="198"/>
      <c r="CM39" s="198"/>
      <c r="CN39" s="198"/>
      <c r="CO39" s="198"/>
      <c r="CP39" s="198"/>
      <c r="CQ39" s="198"/>
      <c r="CR39" s="198"/>
      <c r="CS39" s="198"/>
      <c r="CT39" s="198"/>
      <c r="CU39" s="198"/>
      <c r="CV39" s="198"/>
      <c r="CW39" s="198"/>
      <c r="CX39" s="198"/>
      <c r="CY39" s="198"/>
      <c r="CZ39" s="198"/>
      <c r="DA39" s="198"/>
      <c r="DB39" s="198"/>
      <c r="DC39" s="198"/>
      <c r="DD39" s="198"/>
      <c r="DE39" s="198"/>
      <c r="DF39" s="198"/>
      <c r="DG39" s="198"/>
      <c r="DH39" s="198"/>
      <c r="DI39" s="198"/>
      <c r="DJ39" s="198"/>
      <c r="DK39" s="198"/>
      <c r="DL39" s="198"/>
      <c r="DM39" s="198"/>
      <c r="DN39" s="198"/>
      <c r="DO39" s="198"/>
      <c r="DP39" s="198"/>
      <c r="DQ39" s="198"/>
      <c r="DR39" s="198"/>
      <c r="DS39" s="198"/>
      <c r="DT39" s="198"/>
      <c r="DU39" s="198"/>
      <c r="DV39" s="198"/>
      <c r="DW39" s="198"/>
      <c r="DX39" s="198"/>
      <c r="DY39" s="198"/>
      <c r="DZ39" s="198"/>
      <c r="EA39" s="198"/>
      <c r="EB39" s="198"/>
      <c r="EC39" s="198"/>
      <c r="ED39" s="198"/>
      <c r="EE39" s="198"/>
      <c r="EF39" s="198"/>
      <c r="EG39" s="198"/>
      <c r="EH39" s="198"/>
      <c r="EI39" s="198"/>
      <c r="EJ39" s="198"/>
      <c r="EK39" s="198"/>
      <c r="EL39" s="198"/>
      <c r="EM39" s="198"/>
      <c r="EN39" s="198"/>
      <c r="EO39" s="198"/>
      <c r="EP39" s="198"/>
      <c r="EQ39" s="198"/>
      <c r="ER39" s="198"/>
      <c r="ES39" s="198"/>
      <c r="ET39" s="198"/>
      <c r="EU39" s="198"/>
      <c r="EV39" s="198"/>
      <c r="EW39" s="198"/>
      <c r="EX39" s="198"/>
      <c r="EY39" s="198"/>
      <c r="EZ39" s="198"/>
      <c r="FA39" s="198"/>
      <c r="FB39" s="198"/>
      <c r="FC39" s="198"/>
      <c r="FD39" s="198"/>
      <c r="FE39" s="198"/>
      <c r="FF39" s="198"/>
      <c r="FG39" s="198"/>
      <c r="FH39" s="198"/>
      <c r="FI39" s="198"/>
      <c r="FJ39" s="198"/>
      <c r="FK39" s="198"/>
      <c r="FL39" s="198"/>
      <c r="FM39" s="198"/>
      <c r="FN39" s="198"/>
      <c r="FO39" s="198"/>
      <c r="FP39" s="198"/>
      <c r="FQ39" s="198"/>
      <c r="FR39" s="198"/>
      <c r="FS39" s="198"/>
      <c r="FT39" s="198"/>
      <c r="FU39" s="198"/>
      <c r="FV39" s="198"/>
      <c r="FW39" s="198"/>
      <c r="FX39" s="198"/>
      <c r="FY39" s="198"/>
      <c r="FZ39" s="198"/>
      <c r="GA39" s="198"/>
      <c r="GB39" s="198"/>
      <c r="GC39" s="198"/>
      <c r="GD39" s="198"/>
      <c r="GE39" s="198"/>
      <c r="GF39" s="198"/>
      <c r="GG39" s="198"/>
      <c r="GH39" s="198"/>
      <c r="GI39" s="198"/>
      <c r="GJ39" s="198"/>
      <c r="GK39" s="198"/>
      <c r="GL39" s="198"/>
      <c r="GM39" s="198"/>
      <c r="GN39" s="198"/>
      <c r="GO39" s="198"/>
      <c r="GP39" s="198"/>
      <c r="GQ39" s="198"/>
      <c r="GR39" s="198"/>
      <c r="GS39" s="198"/>
      <c r="GT39" s="198"/>
      <c r="GU39" s="198"/>
      <c r="GV39" s="198"/>
      <c r="GW39" s="198"/>
      <c r="GX39" s="198"/>
      <c r="GY39" s="198"/>
      <c r="GZ39" s="198"/>
      <c r="HA39" s="198"/>
      <c r="HB39" s="198"/>
      <c r="HC39" s="198"/>
      <c r="HD39" s="198"/>
      <c r="HE39" s="198"/>
      <c r="HF39" s="198"/>
      <c r="HG39" s="198"/>
      <c r="HH39" s="198"/>
      <c r="HI39" s="198"/>
      <c r="HJ39" s="198"/>
      <c r="HK39" s="198"/>
      <c r="HL39" s="198"/>
      <c r="HM39" s="198"/>
      <c r="HN39" s="198"/>
      <c r="HO39" s="198"/>
      <c r="HP39" s="198"/>
      <c r="HQ39" s="198"/>
      <c r="HR39" s="198"/>
      <c r="HS39" s="198"/>
      <c r="HT39" s="198"/>
      <c r="HU39" s="198"/>
      <c r="HV39" s="198"/>
      <c r="HW39" s="198"/>
      <c r="HX39" s="198"/>
      <c r="HY39" s="198"/>
      <c r="HZ39" s="198"/>
      <c r="IA39" s="198"/>
      <c r="IB39" s="198"/>
      <c r="IC39" s="198"/>
      <c r="ID39" s="198"/>
      <c r="IE39" s="198"/>
      <c r="IF39" s="198"/>
      <c r="IG39" s="198"/>
      <c r="IH39" s="198"/>
      <c r="II39" s="198"/>
      <c r="IJ39" s="198"/>
      <c r="IK39" s="198"/>
      <c r="IL39" s="198"/>
      <c r="IM39" s="198"/>
      <c r="IN39" s="198"/>
      <c r="IO39" s="198"/>
      <c r="IP39" s="198"/>
      <c r="IQ39" s="198"/>
      <c r="IR39" s="198"/>
      <c r="IS39" s="198"/>
      <c r="IT39" s="198"/>
      <c r="IU39" s="198"/>
      <c r="IV39" s="198"/>
      <c r="IW39" s="198"/>
      <c r="IX39" s="198"/>
      <c r="IY39" s="198"/>
      <c r="IZ39" s="198"/>
      <c r="JA39" s="198"/>
      <c r="JB39" s="198"/>
      <c r="JC39" s="198"/>
      <c r="JD39" s="198"/>
      <c r="JE39" s="198"/>
      <c r="JF39" s="198"/>
      <c r="JG39" s="198"/>
      <c r="JH39" s="198"/>
      <c r="JI39" s="198"/>
      <c r="JJ39" s="198"/>
      <c r="JK39" s="198"/>
      <c r="JL39" s="198"/>
      <c r="JM39" s="198"/>
      <c r="JN39" s="198"/>
      <c r="JO39" s="198"/>
      <c r="JP39" s="198"/>
      <c r="JQ39" s="198"/>
      <c r="JR39" s="198"/>
      <c r="JS39" s="198"/>
      <c r="JT39" s="198"/>
      <c r="JU39" s="198"/>
      <c r="JV39" s="198"/>
      <c r="JW39" s="198"/>
      <c r="JX39" s="198"/>
      <c r="JY39" s="198"/>
      <c r="JZ39" s="198"/>
      <c r="KA39" s="198"/>
      <c r="KB39" s="198"/>
      <c r="KC39" s="198"/>
      <c r="KD39" s="198"/>
      <c r="KE39" s="198"/>
      <c r="KF39" s="198"/>
      <c r="KG39" s="198"/>
      <c r="KH39" s="198"/>
      <c r="KI39" s="198"/>
      <c r="KJ39" s="198"/>
      <c r="KK39" s="198"/>
      <c r="KL39" s="198"/>
      <c r="KM39" s="198"/>
      <c r="KN39" s="198"/>
      <c r="KO39" s="198"/>
      <c r="KP39" s="198"/>
      <c r="KQ39" s="198"/>
      <c r="KR39" s="198"/>
      <c r="KS39" s="198"/>
      <c r="KT39" s="198"/>
      <c r="KU39" s="198"/>
      <c r="KV39" s="198"/>
      <c r="KW39" s="198"/>
      <c r="KX39" s="198"/>
      <c r="KY39" s="198"/>
      <c r="KZ39" s="198"/>
      <c r="LA39" s="198"/>
      <c r="LB39" s="198"/>
      <c r="LC39" s="198"/>
      <c r="LD39" s="198"/>
      <c r="LE39" s="198"/>
      <c r="LF39" s="198"/>
      <c r="LG39" s="198"/>
      <c r="LH39" s="198"/>
      <c r="LI39" s="198"/>
      <c r="LJ39" s="198"/>
      <c r="LK39" s="198"/>
      <c r="LL39" s="198"/>
      <c r="LM39" s="198"/>
      <c r="LN39" s="198"/>
      <c r="LO39" s="198"/>
      <c r="LP39" s="198"/>
      <c r="LQ39" s="198"/>
      <c r="LR39" s="198"/>
      <c r="LS39" s="198"/>
      <c r="LT39" s="198"/>
      <c r="LU39" s="198"/>
      <c r="LV39" s="198"/>
      <c r="LW39" s="198"/>
      <c r="LX39" s="198"/>
      <c r="LY39" s="198"/>
      <c r="LZ39" s="198"/>
      <c r="MA39" s="198"/>
      <c r="MB39" s="198"/>
      <c r="MC39" s="198"/>
      <c r="MD39" s="198"/>
      <c r="ME39" s="198"/>
      <c r="MF39" s="198"/>
      <c r="MG39" s="198"/>
      <c r="MH39" s="198"/>
      <c r="MI39" s="198"/>
      <c r="MJ39" s="198"/>
      <c r="MK39" s="198"/>
      <c r="ML39" s="198"/>
      <c r="MM39" s="198"/>
      <c r="MN39" s="198"/>
      <c r="MO39" s="198"/>
      <c r="MP39" s="198"/>
      <c r="MQ39" s="198"/>
      <c r="MR39" s="198"/>
      <c r="MS39" s="198"/>
      <c r="MT39" s="198"/>
      <c r="MU39" s="198"/>
      <c r="MV39" s="198"/>
      <c r="MW39" s="198"/>
      <c r="MX39" s="198"/>
      <c r="MY39" s="198"/>
      <c r="MZ39" s="198"/>
      <c r="NA39" s="198"/>
      <c r="NB39" s="198"/>
      <c r="NC39" s="198"/>
      <c r="ND39" s="198"/>
      <c r="NE39" s="198"/>
      <c r="NF39" s="198"/>
      <c r="NG39" s="198"/>
      <c r="NH39" s="198"/>
      <c r="NI39" s="198"/>
      <c r="NJ39" s="198"/>
      <c r="NK39" s="198"/>
      <c r="NL39" s="198"/>
      <c r="NM39" s="198"/>
      <c r="NN39" s="198"/>
      <c r="NO39" s="198"/>
      <c r="NP39" s="198"/>
      <c r="NQ39" s="198"/>
      <c r="NR39" s="198"/>
      <c r="NS39" s="198"/>
      <c r="NT39" s="198"/>
      <c r="NU39" s="198"/>
      <c r="NV39" s="198"/>
      <c r="NW39" s="198"/>
      <c r="NX39" s="198"/>
      <c r="NY39" s="198"/>
      <c r="NZ39" s="198"/>
      <c r="OA39" s="198"/>
      <c r="OB39" s="198"/>
      <c r="OC39" s="198"/>
      <c r="OD39" s="198"/>
      <c r="OE39" s="198"/>
      <c r="OF39" s="198"/>
      <c r="OG39" s="198"/>
      <c r="OH39" s="198"/>
      <c r="OI39" s="198"/>
      <c r="OJ39" s="198"/>
      <c r="OK39" s="198"/>
      <c r="OL39" s="198"/>
      <c r="OM39" s="198"/>
      <c r="ON39" s="198"/>
      <c r="OO39" s="198"/>
      <c r="OP39" s="198"/>
      <c r="OQ39" s="198"/>
      <c r="OR39" s="198"/>
      <c r="OS39" s="198"/>
      <c r="OT39" s="198"/>
      <c r="OU39" s="198"/>
      <c r="OV39" s="198"/>
      <c r="OW39" s="198"/>
      <c r="OX39" s="198"/>
      <c r="OY39" s="198"/>
      <c r="OZ39" s="198"/>
      <c r="PA39" s="198"/>
      <c r="PB39" s="198"/>
      <c r="PC39" s="198"/>
      <c r="PD39" s="198"/>
      <c r="PE39" s="198"/>
      <c r="PF39" s="198"/>
      <c r="PG39" s="198"/>
      <c r="PH39" s="198"/>
      <c r="PI39" s="198"/>
      <c r="PJ39" s="198"/>
      <c r="PK39" s="198"/>
      <c r="PL39" s="198"/>
      <c r="PM39" s="198"/>
      <c r="PN39" s="198"/>
      <c r="PO39" s="198"/>
      <c r="PP39" s="198"/>
      <c r="PQ39" s="198"/>
      <c r="PR39" s="198"/>
      <c r="PS39" s="198"/>
      <c r="PT39" s="198"/>
      <c r="PU39" s="198"/>
      <c r="PV39" s="198"/>
      <c r="PW39" s="198"/>
      <c r="PX39" s="198"/>
      <c r="PY39" s="198"/>
      <c r="PZ39" s="198"/>
      <c r="QA39" s="198"/>
      <c r="QB39" s="198"/>
      <c r="QC39" s="198"/>
      <c r="QD39" s="198"/>
      <c r="QE39" s="198"/>
      <c r="QF39" s="198"/>
      <c r="QG39" s="198"/>
      <c r="QH39" s="198"/>
      <c r="QI39" s="198"/>
      <c r="QJ39" s="198"/>
      <c r="QK39" s="198"/>
      <c r="QL39" s="198"/>
      <c r="QM39" s="198"/>
      <c r="QN39" s="198"/>
      <c r="QO39" s="198"/>
      <c r="QP39" s="198"/>
      <c r="QQ39" s="198"/>
      <c r="QR39" s="198"/>
      <c r="QS39" s="198"/>
      <c r="QT39" s="198"/>
      <c r="QU39" s="198"/>
      <c r="QV39" s="198"/>
      <c r="QW39" s="198"/>
      <c r="QX39" s="198"/>
      <c r="QY39" s="198"/>
      <c r="QZ39" s="198"/>
      <c r="RA39" s="198"/>
      <c r="RB39" s="198"/>
      <c r="RC39" s="198"/>
      <c r="RD39" s="198"/>
      <c r="RE39" s="198"/>
      <c r="RF39" s="198"/>
      <c r="RG39" s="198"/>
      <c r="RH39" s="198"/>
      <c r="RI39" s="198"/>
      <c r="RJ39" s="198"/>
      <c r="RK39" s="198"/>
      <c r="RL39" s="198"/>
      <c r="RM39" s="198"/>
      <c r="RN39" s="198"/>
      <c r="RO39" s="198"/>
      <c r="RP39" s="198"/>
      <c r="RQ39" s="198"/>
      <c r="RR39" s="198"/>
      <c r="RS39" s="198"/>
      <c r="RT39" s="198"/>
      <c r="RU39" s="198"/>
      <c r="RV39" s="198"/>
      <c r="RW39" s="198"/>
      <c r="RX39" s="198"/>
      <c r="RY39" s="198"/>
      <c r="RZ39" s="198"/>
      <c r="SA39" s="198"/>
      <c r="SB39" s="198"/>
      <c r="SC39" s="198"/>
      <c r="SD39" s="198"/>
      <c r="SE39" s="198"/>
      <c r="SF39" s="198"/>
      <c r="SG39" s="198"/>
    </row>
    <row r="40" spans="1:501" ht="40.049999999999997" customHeight="1" x14ac:dyDescent="0.3">
      <c r="A40" s="972" t="s">
        <v>151</v>
      </c>
      <c r="B40" s="973" t="s">
        <v>152</v>
      </c>
      <c r="C40" s="950"/>
      <c r="D40" s="861"/>
      <c r="E40" s="862"/>
      <c r="F40" s="861"/>
      <c r="G40" s="862"/>
      <c r="H40" s="861"/>
      <c r="I40" s="862"/>
      <c r="J40" s="861"/>
      <c r="K40" s="862"/>
      <c r="L40" s="861"/>
      <c r="M40" s="862"/>
      <c r="N40" s="861"/>
      <c r="O40" s="862"/>
      <c r="P40" s="861"/>
      <c r="Q40" s="862"/>
      <c r="R40" s="861"/>
      <c r="S40" s="862"/>
      <c r="T40" s="861"/>
      <c r="U40" s="862"/>
      <c r="V40" s="861"/>
      <c r="W40" s="862"/>
      <c r="X40" s="861"/>
      <c r="Y40" s="862"/>
      <c r="Z40" s="861"/>
      <c r="AA40" s="862"/>
      <c r="AB40" s="864"/>
      <c r="AC40" s="864"/>
      <c r="AD40" s="864"/>
      <c r="AE40" s="864"/>
      <c r="AF40" s="861"/>
      <c r="AG40" s="865"/>
      <c r="AH40" s="866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  <c r="AS40" s="198"/>
      <c r="AT40" s="198"/>
      <c r="AU40" s="198"/>
      <c r="AV40" s="198"/>
      <c r="AW40" s="198"/>
      <c r="AX40" s="198"/>
      <c r="AY40" s="198"/>
      <c r="AZ40" s="198"/>
      <c r="BA40" s="198"/>
      <c r="BB40" s="198"/>
      <c r="BC40" s="198"/>
      <c r="BD40" s="198"/>
      <c r="BE40" s="198"/>
      <c r="BF40" s="198"/>
      <c r="BG40" s="198"/>
      <c r="BH40" s="198"/>
      <c r="BI40" s="198"/>
      <c r="BJ40" s="198"/>
      <c r="BK40" s="198"/>
      <c r="BL40" s="198"/>
      <c r="BM40" s="198"/>
      <c r="BN40" s="198"/>
      <c r="BO40" s="198"/>
      <c r="BP40" s="198"/>
      <c r="BQ40" s="198"/>
      <c r="BR40" s="198"/>
      <c r="BS40" s="198"/>
      <c r="BT40" s="198"/>
      <c r="BU40" s="198"/>
      <c r="BV40" s="198"/>
      <c r="BW40" s="198"/>
      <c r="BX40" s="198"/>
      <c r="BY40" s="198"/>
      <c r="BZ40" s="198"/>
      <c r="CA40" s="198"/>
      <c r="CB40" s="198"/>
      <c r="CC40" s="198"/>
      <c r="CD40" s="198"/>
      <c r="CE40" s="198"/>
      <c r="CF40" s="198"/>
      <c r="CG40" s="198"/>
      <c r="CH40" s="198"/>
      <c r="CI40" s="198"/>
      <c r="CJ40" s="198"/>
      <c r="CK40" s="198"/>
      <c r="CL40" s="198"/>
      <c r="CM40" s="198"/>
      <c r="CN40" s="198"/>
      <c r="CO40" s="198"/>
      <c r="CP40" s="198"/>
      <c r="CQ40" s="198"/>
      <c r="CR40" s="198"/>
      <c r="CS40" s="198"/>
      <c r="CT40" s="198"/>
      <c r="CU40" s="198"/>
      <c r="CV40" s="198"/>
      <c r="CW40" s="198"/>
      <c r="CX40" s="198"/>
      <c r="CY40" s="198"/>
      <c r="CZ40" s="198"/>
      <c r="DA40" s="198"/>
      <c r="DB40" s="198"/>
      <c r="DC40" s="198"/>
      <c r="DD40" s="198"/>
      <c r="DE40" s="198"/>
      <c r="DF40" s="198"/>
      <c r="DG40" s="198"/>
      <c r="DH40" s="198"/>
      <c r="DI40" s="198"/>
      <c r="DJ40" s="198"/>
      <c r="DK40" s="198"/>
      <c r="DL40" s="198"/>
      <c r="DM40" s="198"/>
      <c r="DN40" s="198"/>
      <c r="DO40" s="198"/>
      <c r="DP40" s="198"/>
      <c r="DQ40" s="198"/>
      <c r="DR40" s="198"/>
      <c r="DS40" s="198"/>
      <c r="DT40" s="198"/>
      <c r="DU40" s="198"/>
      <c r="DV40" s="198"/>
      <c r="DW40" s="198"/>
      <c r="DX40" s="198"/>
      <c r="DY40" s="198"/>
      <c r="DZ40" s="198"/>
      <c r="EA40" s="198"/>
      <c r="EB40" s="198"/>
      <c r="EC40" s="198"/>
      <c r="ED40" s="198"/>
      <c r="EE40" s="198"/>
      <c r="EF40" s="198"/>
      <c r="EG40" s="198"/>
      <c r="EH40" s="198"/>
      <c r="EI40" s="198"/>
      <c r="EJ40" s="198"/>
      <c r="EK40" s="198"/>
      <c r="EL40" s="198"/>
      <c r="EM40" s="198"/>
      <c r="EN40" s="198"/>
      <c r="EO40" s="198"/>
      <c r="EP40" s="198"/>
      <c r="EQ40" s="198"/>
      <c r="ER40" s="198"/>
      <c r="ES40" s="198"/>
      <c r="ET40" s="198"/>
      <c r="EU40" s="198"/>
      <c r="EV40" s="198"/>
      <c r="EW40" s="198"/>
      <c r="EX40" s="198"/>
      <c r="EY40" s="198"/>
      <c r="EZ40" s="198"/>
      <c r="FA40" s="198"/>
      <c r="FB40" s="198"/>
      <c r="FC40" s="198"/>
      <c r="FD40" s="198"/>
      <c r="FE40" s="198"/>
      <c r="FF40" s="198"/>
      <c r="FG40" s="198"/>
      <c r="FH40" s="198"/>
      <c r="FI40" s="198"/>
      <c r="FJ40" s="198"/>
      <c r="FK40" s="198"/>
      <c r="FL40" s="198"/>
      <c r="FM40" s="198"/>
      <c r="FN40" s="198"/>
      <c r="FO40" s="198"/>
      <c r="FP40" s="198"/>
      <c r="FQ40" s="198"/>
      <c r="FR40" s="198"/>
      <c r="FS40" s="198"/>
      <c r="FT40" s="198"/>
      <c r="FU40" s="198"/>
      <c r="FV40" s="198"/>
      <c r="FW40" s="198"/>
      <c r="FX40" s="198"/>
      <c r="FY40" s="198"/>
      <c r="FZ40" s="198"/>
      <c r="GA40" s="198"/>
      <c r="GB40" s="198"/>
      <c r="GC40" s="198"/>
      <c r="GD40" s="198"/>
      <c r="GE40" s="198"/>
      <c r="GF40" s="198"/>
      <c r="GG40" s="198"/>
      <c r="GH40" s="198"/>
      <c r="GI40" s="198"/>
      <c r="GJ40" s="198"/>
      <c r="GK40" s="198"/>
      <c r="GL40" s="198"/>
      <c r="GM40" s="198"/>
      <c r="GN40" s="198"/>
      <c r="GO40" s="198"/>
      <c r="GP40" s="198"/>
      <c r="GQ40" s="198"/>
      <c r="GR40" s="198"/>
      <c r="GS40" s="198"/>
      <c r="GT40" s="198"/>
      <c r="GU40" s="198"/>
      <c r="GV40" s="198"/>
      <c r="GW40" s="198"/>
      <c r="GX40" s="198"/>
      <c r="GY40" s="198"/>
      <c r="GZ40" s="198"/>
      <c r="HA40" s="198"/>
      <c r="HB40" s="198"/>
      <c r="HC40" s="198"/>
      <c r="HD40" s="198"/>
      <c r="HE40" s="198"/>
      <c r="HF40" s="198"/>
      <c r="HG40" s="198"/>
      <c r="HH40" s="198"/>
      <c r="HI40" s="198"/>
      <c r="HJ40" s="198"/>
      <c r="HK40" s="198"/>
      <c r="HL40" s="198"/>
      <c r="HM40" s="198"/>
      <c r="HN40" s="198"/>
      <c r="HO40" s="198"/>
      <c r="HP40" s="198"/>
      <c r="HQ40" s="198"/>
      <c r="HR40" s="198"/>
      <c r="HS40" s="198"/>
      <c r="HT40" s="198"/>
      <c r="HU40" s="198"/>
      <c r="HV40" s="198"/>
      <c r="HW40" s="198"/>
      <c r="HX40" s="198"/>
      <c r="HY40" s="198"/>
      <c r="HZ40" s="198"/>
      <c r="IA40" s="198"/>
      <c r="IB40" s="198"/>
      <c r="IC40" s="198"/>
      <c r="ID40" s="198"/>
      <c r="IE40" s="198"/>
      <c r="IF40" s="198"/>
      <c r="IG40" s="198"/>
      <c r="IH40" s="198"/>
      <c r="II40" s="198"/>
      <c r="IJ40" s="198"/>
      <c r="IK40" s="198"/>
      <c r="IL40" s="198"/>
      <c r="IM40" s="198"/>
      <c r="IN40" s="198"/>
      <c r="IO40" s="198"/>
      <c r="IP40" s="198"/>
      <c r="IQ40" s="198"/>
      <c r="IR40" s="198"/>
      <c r="IS40" s="198"/>
      <c r="IT40" s="198"/>
      <c r="IU40" s="198"/>
      <c r="IV40" s="198"/>
      <c r="IW40" s="198"/>
      <c r="IX40" s="198"/>
      <c r="IY40" s="198"/>
      <c r="IZ40" s="198"/>
      <c r="JA40" s="198"/>
      <c r="JB40" s="198"/>
      <c r="JC40" s="198"/>
      <c r="JD40" s="198"/>
      <c r="JE40" s="198"/>
      <c r="JF40" s="198"/>
      <c r="JG40" s="198"/>
      <c r="JH40" s="198"/>
      <c r="JI40" s="198"/>
      <c r="JJ40" s="198"/>
      <c r="JK40" s="198"/>
      <c r="JL40" s="198"/>
      <c r="JM40" s="198"/>
      <c r="JN40" s="198"/>
      <c r="JO40" s="198"/>
      <c r="JP40" s="198"/>
      <c r="JQ40" s="198"/>
      <c r="JR40" s="198"/>
      <c r="JS40" s="198"/>
      <c r="JT40" s="198"/>
      <c r="JU40" s="198"/>
      <c r="JV40" s="198"/>
      <c r="JW40" s="198"/>
      <c r="JX40" s="198"/>
      <c r="JY40" s="198"/>
      <c r="JZ40" s="198"/>
      <c r="KA40" s="198"/>
      <c r="KB40" s="198"/>
      <c r="KC40" s="198"/>
      <c r="KD40" s="198"/>
      <c r="KE40" s="198"/>
      <c r="KF40" s="198"/>
      <c r="KG40" s="198"/>
      <c r="KH40" s="198"/>
      <c r="KI40" s="198"/>
      <c r="KJ40" s="198"/>
      <c r="KK40" s="198"/>
      <c r="KL40" s="198"/>
      <c r="KM40" s="198"/>
      <c r="KN40" s="198"/>
      <c r="KO40" s="198"/>
      <c r="KP40" s="198"/>
      <c r="KQ40" s="198"/>
      <c r="KR40" s="198"/>
      <c r="KS40" s="198"/>
      <c r="KT40" s="198"/>
      <c r="KU40" s="198"/>
      <c r="KV40" s="198"/>
      <c r="KW40" s="198"/>
      <c r="KX40" s="198"/>
      <c r="KY40" s="198"/>
      <c r="KZ40" s="198"/>
      <c r="LA40" s="198"/>
      <c r="LB40" s="198"/>
      <c r="LC40" s="198"/>
      <c r="LD40" s="198"/>
      <c r="LE40" s="198"/>
      <c r="LF40" s="198"/>
      <c r="LG40" s="198"/>
      <c r="LH40" s="198"/>
      <c r="LI40" s="198"/>
      <c r="LJ40" s="198"/>
      <c r="LK40" s="198"/>
      <c r="LL40" s="198"/>
      <c r="LM40" s="198"/>
      <c r="LN40" s="198"/>
      <c r="LO40" s="198"/>
      <c r="LP40" s="198"/>
      <c r="LQ40" s="198"/>
      <c r="LR40" s="198"/>
      <c r="LS40" s="198"/>
      <c r="LT40" s="198"/>
      <c r="LU40" s="198"/>
      <c r="LV40" s="198"/>
      <c r="LW40" s="198"/>
      <c r="LX40" s="198"/>
      <c r="LY40" s="198"/>
      <c r="LZ40" s="198"/>
      <c r="MA40" s="198"/>
      <c r="MB40" s="198"/>
      <c r="MC40" s="198"/>
      <c r="MD40" s="198"/>
      <c r="ME40" s="198"/>
      <c r="MF40" s="198"/>
      <c r="MG40" s="198"/>
      <c r="MH40" s="198"/>
      <c r="MI40" s="198"/>
      <c r="MJ40" s="198"/>
      <c r="MK40" s="198"/>
      <c r="ML40" s="198"/>
      <c r="MM40" s="198"/>
      <c r="MN40" s="198"/>
      <c r="MO40" s="198"/>
      <c r="MP40" s="198"/>
      <c r="MQ40" s="198"/>
      <c r="MR40" s="198"/>
      <c r="MS40" s="198"/>
      <c r="MT40" s="198"/>
      <c r="MU40" s="198"/>
      <c r="MV40" s="198"/>
      <c r="MW40" s="198"/>
      <c r="MX40" s="198"/>
      <c r="MY40" s="198"/>
      <c r="MZ40" s="198"/>
      <c r="NA40" s="198"/>
      <c r="NB40" s="198"/>
      <c r="NC40" s="198"/>
      <c r="ND40" s="198"/>
      <c r="NE40" s="198"/>
      <c r="NF40" s="198"/>
      <c r="NG40" s="198"/>
      <c r="NH40" s="198"/>
      <c r="NI40" s="198"/>
      <c r="NJ40" s="198"/>
      <c r="NK40" s="198"/>
      <c r="NL40" s="198"/>
      <c r="NM40" s="198"/>
      <c r="NN40" s="198"/>
      <c r="NO40" s="198"/>
      <c r="NP40" s="198"/>
      <c r="NQ40" s="198"/>
      <c r="NR40" s="198"/>
      <c r="NS40" s="198"/>
      <c r="NT40" s="198"/>
      <c r="NU40" s="198"/>
      <c r="NV40" s="198"/>
      <c r="NW40" s="198"/>
      <c r="NX40" s="198"/>
      <c r="NY40" s="198"/>
      <c r="NZ40" s="198"/>
      <c r="OA40" s="198"/>
      <c r="OB40" s="198"/>
      <c r="OC40" s="198"/>
      <c r="OD40" s="198"/>
      <c r="OE40" s="198"/>
      <c r="OF40" s="198"/>
      <c r="OG40" s="198"/>
      <c r="OH40" s="198"/>
      <c r="OI40" s="198"/>
      <c r="OJ40" s="198"/>
      <c r="OK40" s="198"/>
      <c r="OL40" s="198"/>
      <c r="OM40" s="198"/>
      <c r="ON40" s="198"/>
      <c r="OO40" s="198"/>
      <c r="OP40" s="198"/>
      <c r="OQ40" s="198"/>
      <c r="OR40" s="198"/>
      <c r="OS40" s="198"/>
      <c r="OT40" s="198"/>
      <c r="OU40" s="198"/>
      <c r="OV40" s="198"/>
      <c r="OW40" s="198"/>
      <c r="OX40" s="198"/>
      <c r="OY40" s="198"/>
      <c r="OZ40" s="198"/>
      <c r="PA40" s="198"/>
      <c r="PB40" s="198"/>
      <c r="PC40" s="198"/>
      <c r="PD40" s="198"/>
      <c r="PE40" s="198"/>
      <c r="PF40" s="198"/>
      <c r="PG40" s="198"/>
      <c r="PH40" s="198"/>
      <c r="PI40" s="198"/>
      <c r="PJ40" s="198"/>
      <c r="PK40" s="198"/>
      <c r="PL40" s="198"/>
      <c r="PM40" s="198"/>
      <c r="PN40" s="198"/>
      <c r="PO40" s="198"/>
      <c r="PP40" s="198"/>
      <c r="PQ40" s="198"/>
      <c r="PR40" s="198"/>
      <c r="PS40" s="198"/>
      <c r="PT40" s="198"/>
      <c r="PU40" s="198"/>
      <c r="PV40" s="198"/>
      <c r="PW40" s="198"/>
      <c r="PX40" s="198"/>
      <c r="PY40" s="198"/>
      <c r="PZ40" s="198"/>
      <c r="QA40" s="198"/>
      <c r="QB40" s="198"/>
      <c r="QC40" s="198"/>
      <c r="QD40" s="198"/>
      <c r="QE40" s="198"/>
      <c r="QF40" s="198"/>
      <c r="QG40" s="198"/>
      <c r="QH40" s="198"/>
      <c r="QI40" s="198"/>
      <c r="QJ40" s="198"/>
      <c r="QK40" s="198"/>
      <c r="QL40" s="198"/>
      <c r="QM40" s="198"/>
      <c r="QN40" s="198"/>
      <c r="QO40" s="198"/>
      <c r="QP40" s="198"/>
      <c r="QQ40" s="198"/>
      <c r="QR40" s="198"/>
      <c r="QS40" s="198"/>
      <c r="QT40" s="198"/>
      <c r="QU40" s="198"/>
      <c r="QV40" s="198"/>
      <c r="QW40" s="198"/>
      <c r="QX40" s="198"/>
      <c r="QY40" s="198"/>
      <c r="QZ40" s="198"/>
      <c r="RA40" s="198"/>
      <c r="RB40" s="198"/>
      <c r="RC40" s="198"/>
      <c r="RD40" s="198"/>
      <c r="RE40" s="198"/>
      <c r="RF40" s="198"/>
      <c r="RG40" s="198"/>
      <c r="RH40" s="198"/>
      <c r="RI40" s="198"/>
      <c r="RJ40" s="198"/>
      <c r="RK40" s="198"/>
      <c r="RL40" s="198"/>
      <c r="RM40" s="198"/>
      <c r="RN40" s="198"/>
      <c r="RO40" s="198"/>
      <c r="RP40" s="198"/>
      <c r="RQ40" s="198"/>
      <c r="RR40" s="198"/>
      <c r="RS40" s="198"/>
      <c r="RT40" s="198"/>
      <c r="RU40" s="198"/>
      <c r="RV40" s="198"/>
      <c r="RW40" s="198"/>
      <c r="RX40" s="198"/>
      <c r="RY40" s="198"/>
      <c r="RZ40" s="198"/>
      <c r="SA40" s="198"/>
      <c r="SB40" s="198"/>
      <c r="SC40" s="198"/>
      <c r="SD40" s="198"/>
      <c r="SE40" s="198"/>
      <c r="SF40" s="198"/>
      <c r="SG40" s="198"/>
    </row>
    <row r="41" spans="1:501" ht="40.049999999999997" customHeight="1" x14ac:dyDescent="0.3">
      <c r="A41" s="541" t="s">
        <v>153</v>
      </c>
      <c r="B41" s="952" t="s">
        <v>154</v>
      </c>
      <c r="C41" s="950">
        <f>'MANZ. A'!H43</f>
        <v>0</v>
      </c>
      <c r="D41" s="861"/>
      <c r="E41" s="862">
        <f>'MANZ. B'!R36</f>
        <v>5</v>
      </c>
      <c r="F41" s="861"/>
      <c r="G41" s="863">
        <f>MANZ.C!AL35</f>
        <v>17</v>
      </c>
      <c r="H41" s="861"/>
      <c r="I41" s="863">
        <f>MANZ.D!Z35</f>
        <v>10</v>
      </c>
      <c r="J41" s="861"/>
      <c r="K41" s="862">
        <f>MANZ.E!AL35</f>
        <v>0</v>
      </c>
      <c r="L41" s="861"/>
      <c r="M41" s="862">
        <f>MANZ.F!AB35</f>
        <v>10</v>
      </c>
      <c r="N41" s="861"/>
      <c r="O41" s="862">
        <f>MANZ.G!AT34</f>
        <v>0</v>
      </c>
      <c r="P41" s="861"/>
      <c r="Q41" s="862">
        <f>MANZ.H!V36</f>
        <v>9</v>
      </c>
      <c r="R41" s="861"/>
      <c r="S41" s="862">
        <f>MANZ.I!AB36</f>
        <v>10</v>
      </c>
      <c r="T41" s="861"/>
      <c r="U41" s="862">
        <f>MANZ.J!AT39</f>
        <v>19</v>
      </c>
      <c r="V41" s="861"/>
      <c r="W41" s="862">
        <f>MANZ.K!AB36</f>
        <v>10</v>
      </c>
      <c r="X41" s="861"/>
      <c r="Y41" s="862">
        <f>MANZ.L!Z36</f>
        <v>9</v>
      </c>
      <c r="Z41" s="861"/>
      <c r="AA41" s="862">
        <f>'SALA MULTIUSO'!F45</f>
        <v>0</v>
      </c>
      <c r="AB41" s="864"/>
      <c r="AC41" s="864"/>
      <c r="AD41" s="864"/>
      <c r="AE41" s="864"/>
      <c r="AF41" s="861"/>
      <c r="AG41" s="865">
        <f>SUM(C36:AA36)</f>
        <v>146</v>
      </c>
      <c r="AH41" s="866"/>
      <c r="AI41" s="198"/>
      <c r="AJ41" s="198"/>
      <c r="AK41" s="198"/>
      <c r="AL41" s="198"/>
      <c r="AM41" s="198"/>
      <c r="AN41" s="198"/>
      <c r="AO41" s="198"/>
      <c r="AP41" s="198"/>
      <c r="AQ41" s="198"/>
      <c r="AR41" s="198"/>
      <c r="AS41" s="198"/>
      <c r="AT41" s="198"/>
      <c r="AU41" s="198"/>
      <c r="AV41" s="198"/>
      <c r="AW41" s="198"/>
      <c r="AX41" s="198"/>
      <c r="AY41" s="198"/>
      <c r="AZ41" s="198"/>
      <c r="BA41" s="198"/>
      <c r="BB41" s="198"/>
      <c r="BC41" s="198"/>
      <c r="BD41" s="198"/>
      <c r="BE41" s="198"/>
      <c r="BF41" s="198"/>
      <c r="BG41" s="198"/>
      <c r="BH41" s="198"/>
      <c r="BI41" s="198"/>
      <c r="BJ41" s="198"/>
      <c r="BK41" s="198"/>
      <c r="BL41" s="198"/>
      <c r="BM41" s="198"/>
      <c r="BN41" s="198"/>
      <c r="BO41" s="198"/>
      <c r="BP41" s="198"/>
      <c r="BQ41" s="198"/>
      <c r="BR41" s="198"/>
      <c r="BS41" s="198"/>
      <c r="BT41" s="198"/>
      <c r="BU41" s="198"/>
      <c r="BV41" s="198"/>
      <c r="BW41" s="198"/>
      <c r="BX41" s="198"/>
      <c r="BY41" s="198"/>
      <c r="BZ41" s="198"/>
      <c r="CA41" s="198"/>
      <c r="CB41" s="198"/>
      <c r="CC41" s="198"/>
      <c r="CD41" s="198"/>
      <c r="CE41" s="198"/>
      <c r="CF41" s="198"/>
      <c r="CG41" s="198"/>
      <c r="CH41" s="198"/>
      <c r="CI41" s="198"/>
      <c r="CJ41" s="198"/>
      <c r="CK41" s="198"/>
      <c r="CL41" s="198"/>
      <c r="CM41" s="198"/>
      <c r="CN41" s="198"/>
      <c r="CO41" s="198"/>
      <c r="CP41" s="198"/>
      <c r="CQ41" s="198"/>
      <c r="CR41" s="198"/>
      <c r="CS41" s="198"/>
      <c r="CT41" s="198"/>
      <c r="CU41" s="198"/>
      <c r="CV41" s="198"/>
      <c r="CW41" s="198"/>
      <c r="CX41" s="198"/>
      <c r="CY41" s="198"/>
      <c r="CZ41" s="198"/>
      <c r="DA41" s="198"/>
      <c r="DB41" s="198"/>
      <c r="DC41" s="198"/>
      <c r="DD41" s="198"/>
      <c r="DE41" s="198"/>
      <c r="DF41" s="198"/>
      <c r="DG41" s="198"/>
      <c r="DH41" s="198"/>
      <c r="DI41" s="198"/>
      <c r="DJ41" s="198"/>
      <c r="DK41" s="198"/>
      <c r="DL41" s="198"/>
      <c r="DM41" s="198"/>
      <c r="DN41" s="198"/>
      <c r="DO41" s="198"/>
      <c r="DP41" s="198"/>
      <c r="DQ41" s="198"/>
      <c r="DR41" s="198"/>
      <c r="DS41" s="198"/>
      <c r="DT41" s="198"/>
      <c r="DU41" s="198"/>
      <c r="DV41" s="198"/>
      <c r="DW41" s="198"/>
      <c r="DX41" s="198"/>
      <c r="DY41" s="198"/>
      <c r="DZ41" s="198"/>
      <c r="EA41" s="198"/>
      <c r="EB41" s="198"/>
      <c r="EC41" s="198"/>
      <c r="ED41" s="198"/>
      <c r="EE41" s="198"/>
      <c r="EF41" s="198"/>
      <c r="EG41" s="198"/>
      <c r="EH41" s="198"/>
      <c r="EI41" s="198"/>
      <c r="EJ41" s="198"/>
      <c r="EK41" s="198"/>
      <c r="EL41" s="198"/>
      <c r="EM41" s="198"/>
      <c r="EN41" s="198"/>
      <c r="EO41" s="198"/>
      <c r="EP41" s="198"/>
      <c r="EQ41" s="198"/>
      <c r="ER41" s="198"/>
      <c r="ES41" s="198"/>
      <c r="ET41" s="198"/>
      <c r="EU41" s="198"/>
      <c r="EV41" s="198"/>
      <c r="EW41" s="198"/>
      <c r="EX41" s="198"/>
      <c r="EY41" s="198"/>
      <c r="EZ41" s="198"/>
      <c r="FA41" s="198"/>
      <c r="FB41" s="198"/>
      <c r="FC41" s="198"/>
      <c r="FD41" s="198"/>
      <c r="FE41" s="198"/>
      <c r="FF41" s="198"/>
      <c r="FG41" s="198"/>
      <c r="FH41" s="198"/>
      <c r="FI41" s="198"/>
      <c r="FJ41" s="198"/>
      <c r="FK41" s="198"/>
      <c r="FL41" s="198"/>
      <c r="FM41" s="198"/>
      <c r="FN41" s="198"/>
      <c r="FO41" s="198"/>
      <c r="FP41" s="198"/>
      <c r="FQ41" s="198"/>
      <c r="FR41" s="198"/>
      <c r="FS41" s="198"/>
      <c r="FT41" s="198"/>
      <c r="FU41" s="198"/>
      <c r="FV41" s="198"/>
      <c r="FW41" s="198"/>
      <c r="FX41" s="198"/>
      <c r="FY41" s="198"/>
      <c r="FZ41" s="198"/>
      <c r="GA41" s="198"/>
      <c r="GB41" s="198"/>
      <c r="GC41" s="198"/>
      <c r="GD41" s="198"/>
      <c r="GE41" s="198"/>
      <c r="GF41" s="198"/>
      <c r="GG41" s="198"/>
      <c r="GH41" s="198"/>
      <c r="GI41" s="198"/>
      <c r="GJ41" s="198"/>
      <c r="GK41" s="198"/>
      <c r="GL41" s="198"/>
      <c r="GM41" s="198"/>
      <c r="GN41" s="198"/>
      <c r="GO41" s="198"/>
      <c r="GP41" s="198"/>
      <c r="GQ41" s="198"/>
      <c r="GR41" s="198"/>
      <c r="GS41" s="198"/>
      <c r="GT41" s="198"/>
      <c r="GU41" s="198"/>
      <c r="GV41" s="198"/>
      <c r="GW41" s="198"/>
      <c r="GX41" s="198"/>
      <c r="GY41" s="198"/>
      <c r="GZ41" s="198"/>
      <c r="HA41" s="198"/>
      <c r="HB41" s="198"/>
      <c r="HC41" s="198"/>
      <c r="HD41" s="198"/>
      <c r="HE41" s="198"/>
      <c r="HF41" s="198"/>
      <c r="HG41" s="198"/>
      <c r="HH41" s="198"/>
      <c r="HI41" s="198"/>
      <c r="HJ41" s="198"/>
      <c r="HK41" s="198"/>
      <c r="HL41" s="198"/>
      <c r="HM41" s="198"/>
      <c r="HN41" s="198"/>
      <c r="HO41" s="198"/>
      <c r="HP41" s="198"/>
      <c r="HQ41" s="198"/>
      <c r="HR41" s="198"/>
      <c r="HS41" s="198"/>
      <c r="HT41" s="198"/>
      <c r="HU41" s="198"/>
      <c r="HV41" s="198"/>
      <c r="HW41" s="198"/>
      <c r="HX41" s="198"/>
      <c r="HY41" s="198"/>
      <c r="HZ41" s="198"/>
      <c r="IA41" s="198"/>
      <c r="IB41" s="198"/>
      <c r="IC41" s="198"/>
      <c r="ID41" s="198"/>
      <c r="IE41" s="198"/>
      <c r="IF41" s="198"/>
      <c r="IG41" s="198"/>
      <c r="IH41" s="198"/>
      <c r="II41" s="198"/>
      <c r="IJ41" s="198"/>
      <c r="IK41" s="198"/>
      <c r="IL41" s="198"/>
      <c r="IM41" s="198"/>
      <c r="IN41" s="198"/>
      <c r="IO41" s="198"/>
      <c r="IP41" s="198"/>
      <c r="IQ41" s="198"/>
      <c r="IR41" s="198"/>
      <c r="IS41" s="198"/>
      <c r="IT41" s="198"/>
      <c r="IU41" s="198"/>
      <c r="IV41" s="198"/>
      <c r="IW41" s="198"/>
      <c r="IX41" s="198"/>
      <c r="IY41" s="198"/>
      <c r="IZ41" s="198"/>
      <c r="JA41" s="198"/>
      <c r="JB41" s="198"/>
      <c r="JC41" s="198"/>
      <c r="JD41" s="198"/>
      <c r="JE41" s="198"/>
      <c r="JF41" s="198"/>
      <c r="JG41" s="198"/>
      <c r="JH41" s="198"/>
      <c r="JI41" s="198"/>
      <c r="JJ41" s="198"/>
      <c r="JK41" s="198"/>
      <c r="JL41" s="198"/>
      <c r="JM41" s="198"/>
      <c r="JN41" s="198"/>
      <c r="JO41" s="198"/>
      <c r="JP41" s="198"/>
      <c r="JQ41" s="198"/>
      <c r="JR41" s="198"/>
      <c r="JS41" s="198"/>
      <c r="JT41" s="198"/>
      <c r="JU41" s="198"/>
      <c r="JV41" s="198"/>
      <c r="JW41" s="198"/>
      <c r="JX41" s="198"/>
      <c r="JY41" s="198"/>
      <c r="JZ41" s="198"/>
      <c r="KA41" s="198"/>
      <c r="KB41" s="198"/>
      <c r="KC41" s="198"/>
      <c r="KD41" s="198"/>
      <c r="KE41" s="198"/>
      <c r="KF41" s="198"/>
      <c r="KG41" s="198"/>
      <c r="KH41" s="198"/>
      <c r="KI41" s="198"/>
      <c r="KJ41" s="198"/>
      <c r="KK41" s="198"/>
      <c r="KL41" s="198"/>
      <c r="KM41" s="198"/>
      <c r="KN41" s="198"/>
      <c r="KO41" s="198"/>
      <c r="KP41" s="198"/>
      <c r="KQ41" s="198"/>
      <c r="KR41" s="198"/>
      <c r="KS41" s="198"/>
      <c r="KT41" s="198"/>
      <c r="KU41" s="198"/>
      <c r="KV41" s="198"/>
      <c r="KW41" s="198"/>
      <c r="KX41" s="198"/>
      <c r="KY41" s="198"/>
      <c r="KZ41" s="198"/>
      <c r="LA41" s="198"/>
      <c r="LB41" s="198"/>
      <c r="LC41" s="198"/>
      <c r="LD41" s="198"/>
      <c r="LE41" s="198"/>
      <c r="LF41" s="198"/>
      <c r="LG41" s="198"/>
      <c r="LH41" s="198"/>
      <c r="LI41" s="198"/>
      <c r="LJ41" s="198"/>
      <c r="LK41" s="198"/>
      <c r="LL41" s="198"/>
      <c r="LM41" s="198"/>
      <c r="LN41" s="198"/>
      <c r="LO41" s="198"/>
      <c r="LP41" s="198"/>
      <c r="LQ41" s="198"/>
      <c r="LR41" s="198"/>
      <c r="LS41" s="198"/>
      <c r="LT41" s="198"/>
      <c r="LU41" s="198"/>
      <c r="LV41" s="198"/>
      <c r="LW41" s="198"/>
      <c r="LX41" s="198"/>
      <c r="LY41" s="198"/>
      <c r="LZ41" s="198"/>
      <c r="MA41" s="198"/>
      <c r="MB41" s="198"/>
      <c r="MC41" s="198"/>
      <c r="MD41" s="198"/>
      <c r="ME41" s="198"/>
      <c r="MF41" s="198"/>
      <c r="MG41" s="198"/>
      <c r="MH41" s="198"/>
      <c r="MI41" s="198"/>
      <c r="MJ41" s="198"/>
      <c r="MK41" s="198"/>
      <c r="ML41" s="198"/>
      <c r="MM41" s="198"/>
      <c r="MN41" s="198"/>
      <c r="MO41" s="198"/>
      <c r="MP41" s="198"/>
      <c r="MQ41" s="198"/>
      <c r="MR41" s="198"/>
      <c r="MS41" s="198"/>
      <c r="MT41" s="198"/>
      <c r="MU41" s="198"/>
      <c r="MV41" s="198"/>
      <c r="MW41" s="198"/>
      <c r="MX41" s="198"/>
      <c r="MY41" s="198"/>
      <c r="MZ41" s="198"/>
      <c r="NA41" s="198"/>
      <c r="NB41" s="198"/>
      <c r="NC41" s="198"/>
      <c r="ND41" s="198"/>
      <c r="NE41" s="198"/>
      <c r="NF41" s="198"/>
      <c r="NG41" s="198"/>
      <c r="NH41" s="198"/>
      <c r="NI41" s="198"/>
      <c r="NJ41" s="198"/>
      <c r="NK41" s="198"/>
      <c r="NL41" s="198"/>
      <c r="NM41" s="198"/>
      <c r="NN41" s="198"/>
      <c r="NO41" s="198"/>
      <c r="NP41" s="198"/>
      <c r="NQ41" s="198"/>
      <c r="NR41" s="198"/>
      <c r="NS41" s="198"/>
      <c r="NT41" s="198"/>
      <c r="NU41" s="198"/>
      <c r="NV41" s="198"/>
      <c r="NW41" s="198"/>
      <c r="NX41" s="198"/>
      <c r="NY41" s="198"/>
      <c r="NZ41" s="198"/>
      <c r="OA41" s="198"/>
      <c r="OB41" s="198"/>
      <c r="OC41" s="198"/>
      <c r="OD41" s="198"/>
      <c r="OE41" s="198"/>
      <c r="OF41" s="198"/>
      <c r="OG41" s="198"/>
      <c r="OH41" s="198"/>
      <c r="OI41" s="198"/>
      <c r="OJ41" s="198"/>
      <c r="OK41" s="198"/>
      <c r="OL41" s="198"/>
      <c r="OM41" s="198"/>
      <c r="ON41" s="198"/>
      <c r="OO41" s="198"/>
      <c r="OP41" s="198"/>
      <c r="OQ41" s="198"/>
      <c r="OR41" s="198"/>
      <c r="OS41" s="198"/>
      <c r="OT41" s="198"/>
      <c r="OU41" s="198"/>
      <c r="OV41" s="198"/>
      <c r="OW41" s="198"/>
      <c r="OX41" s="198"/>
      <c r="OY41" s="198"/>
      <c r="OZ41" s="198"/>
      <c r="PA41" s="198"/>
      <c r="PB41" s="198"/>
      <c r="PC41" s="198"/>
      <c r="PD41" s="198"/>
      <c r="PE41" s="198"/>
      <c r="PF41" s="198"/>
      <c r="PG41" s="198"/>
      <c r="PH41" s="198"/>
      <c r="PI41" s="198"/>
      <c r="PJ41" s="198"/>
      <c r="PK41" s="198"/>
      <c r="PL41" s="198"/>
      <c r="PM41" s="198"/>
      <c r="PN41" s="198"/>
      <c r="PO41" s="198"/>
      <c r="PP41" s="198"/>
      <c r="PQ41" s="198"/>
      <c r="PR41" s="198"/>
      <c r="PS41" s="198"/>
      <c r="PT41" s="198"/>
      <c r="PU41" s="198"/>
      <c r="PV41" s="198"/>
      <c r="PW41" s="198"/>
      <c r="PX41" s="198"/>
      <c r="PY41" s="198"/>
      <c r="PZ41" s="198"/>
      <c r="QA41" s="198"/>
      <c r="QB41" s="198"/>
      <c r="QC41" s="198"/>
      <c r="QD41" s="198"/>
      <c r="QE41" s="198"/>
      <c r="QF41" s="198"/>
      <c r="QG41" s="198"/>
      <c r="QH41" s="198"/>
      <c r="QI41" s="198"/>
      <c r="QJ41" s="198"/>
      <c r="QK41" s="198"/>
      <c r="QL41" s="198"/>
      <c r="QM41" s="198"/>
      <c r="QN41" s="198"/>
      <c r="QO41" s="198"/>
      <c r="QP41" s="198"/>
      <c r="QQ41" s="198"/>
      <c r="QR41" s="198"/>
      <c r="QS41" s="198"/>
      <c r="QT41" s="198"/>
      <c r="QU41" s="198"/>
      <c r="QV41" s="198"/>
      <c r="QW41" s="198"/>
      <c r="QX41" s="198"/>
      <c r="QY41" s="198"/>
      <c r="QZ41" s="198"/>
      <c r="RA41" s="198"/>
      <c r="RB41" s="198"/>
      <c r="RC41" s="198"/>
      <c r="RD41" s="198"/>
      <c r="RE41" s="198"/>
      <c r="RF41" s="198"/>
      <c r="RG41" s="198"/>
      <c r="RH41" s="198"/>
      <c r="RI41" s="198"/>
      <c r="RJ41" s="198"/>
      <c r="RK41" s="198"/>
      <c r="RL41" s="198"/>
      <c r="RM41" s="198"/>
      <c r="RN41" s="198"/>
      <c r="RO41" s="198"/>
      <c r="RP41" s="198"/>
      <c r="RQ41" s="198"/>
      <c r="RR41" s="198"/>
      <c r="RS41" s="198"/>
      <c r="RT41" s="198"/>
      <c r="RU41" s="198"/>
      <c r="RV41" s="198"/>
      <c r="RW41" s="198"/>
      <c r="RX41" s="198"/>
      <c r="RY41" s="198"/>
      <c r="RZ41" s="198"/>
      <c r="SA41" s="198"/>
      <c r="SB41" s="198"/>
      <c r="SC41" s="198"/>
      <c r="SD41" s="198"/>
      <c r="SE41" s="198"/>
      <c r="SF41" s="198"/>
      <c r="SG41" s="198"/>
    </row>
    <row r="42" spans="1:501" ht="40.049999999999997" customHeight="1" x14ac:dyDescent="0.3">
      <c r="A42" s="541" t="s">
        <v>155</v>
      </c>
      <c r="B42" s="952" t="s">
        <v>156</v>
      </c>
      <c r="C42" s="950">
        <f>'MANZ. A'!H44</f>
        <v>0</v>
      </c>
      <c r="D42" s="861"/>
      <c r="E42" s="862">
        <f>'MANZ. B'!R37</f>
        <v>0</v>
      </c>
      <c r="F42" s="861"/>
      <c r="G42" s="862">
        <f>MANZ.C!AL36</f>
        <v>0</v>
      </c>
      <c r="H42" s="861"/>
      <c r="I42" s="862">
        <f>MANZ.D!Z36</f>
        <v>0</v>
      </c>
      <c r="J42" s="861"/>
      <c r="K42" s="862">
        <f>MANZ.E!AL36</f>
        <v>15</v>
      </c>
      <c r="L42" s="861"/>
      <c r="M42" s="862">
        <f>MANZ.F!AB36</f>
        <v>0</v>
      </c>
      <c r="N42" s="861"/>
      <c r="O42" s="862">
        <f>MANZ.G!AT35</f>
        <v>18</v>
      </c>
      <c r="P42" s="861"/>
      <c r="Q42" s="862">
        <f>MANZ.H!V37</f>
        <v>0</v>
      </c>
      <c r="R42" s="861"/>
      <c r="S42" s="862">
        <f>MANZ.I!AB37</f>
        <v>0</v>
      </c>
      <c r="T42" s="861"/>
      <c r="U42" s="862">
        <f>MANZ.J!AT40</f>
        <v>0</v>
      </c>
      <c r="V42" s="861"/>
      <c r="W42" s="862">
        <f>MANZ.K!AB37</f>
        <v>0</v>
      </c>
      <c r="X42" s="861"/>
      <c r="Y42" s="862">
        <f>MANZ.L!Z37</f>
        <v>0</v>
      </c>
      <c r="Z42" s="861"/>
      <c r="AA42" s="862">
        <f>'SALA MULTIUSO'!F46</f>
        <v>0</v>
      </c>
      <c r="AB42" s="864"/>
      <c r="AC42" s="864"/>
      <c r="AD42" s="864"/>
      <c r="AE42" s="864"/>
      <c r="AF42" s="861"/>
      <c r="AG42" s="865"/>
      <c r="AH42" s="866"/>
      <c r="AI42" s="198"/>
      <c r="AJ42" s="198"/>
      <c r="AK42" s="198"/>
      <c r="AL42" s="198"/>
      <c r="AM42" s="198"/>
      <c r="AN42" s="198"/>
      <c r="AO42" s="198"/>
      <c r="AP42" s="198"/>
      <c r="AQ42" s="198"/>
      <c r="AR42" s="198"/>
      <c r="AS42" s="198"/>
      <c r="AT42" s="198"/>
      <c r="AU42" s="198"/>
      <c r="AV42" s="198"/>
      <c r="AW42" s="198"/>
      <c r="AX42" s="198"/>
      <c r="AY42" s="198"/>
      <c r="AZ42" s="198"/>
      <c r="BA42" s="198"/>
      <c r="BB42" s="198"/>
      <c r="BC42" s="198"/>
      <c r="BD42" s="198"/>
      <c r="BE42" s="198"/>
      <c r="BF42" s="198"/>
      <c r="BG42" s="198"/>
      <c r="BH42" s="198"/>
      <c r="BI42" s="198"/>
      <c r="BJ42" s="198"/>
      <c r="BK42" s="198"/>
      <c r="BL42" s="198"/>
      <c r="BM42" s="198"/>
      <c r="BN42" s="198"/>
      <c r="BO42" s="198"/>
      <c r="BP42" s="198"/>
      <c r="BQ42" s="198"/>
      <c r="BR42" s="198"/>
      <c r="BS42" s="198"/>
      <c r="BT42" s="198"/>
      <c r="BU42" s="198"/>
      <c r="BV42" s="198"/>
      <c r="BW42" s="198"/>
      <c r="BX42" s="198"/>
      <c r="BY42" s="198"/>
      <c r="BZ42" s="198"/>
      <c r="CA42" s="198"/>
      <c r="CB42" s="198"/>
      <c r="CC42" s="198"/>
      <c r="CD42" s="198"/>
      <c r="CE42" s="198"/>
      <c r="CF42" s="198"/>
      <c r="CG42" s="198"/>
      <c r="CH42" s="198"/>
      <c r="CI42" s="198"/>
      <c r="CJ42" s="198"/>
      <c r="CK42" s="198"/>
      <c r="CL42" s="198"/>
      <c r="CM42" s="198"/>
      <c r="CN42" s="198"/>
      <c r="CO42" s="198"/>
      <c r="CP42" s="198"/>
      <c r="CQ42" s="198"/>
      <c r="CR42" s="198"/>
      <c r="CS42" s="198"/>
      <c r="CT42" s="198"/>
      <c r="CU42" s="198"/>
      <c r="CV42" s="198"/>
      <c r="CW42" s="198"/>
      <c r="CX42" s="198"/>
      <c r="CY42" s="198"/>
      <c r="CZ42" s="198"/>
      <c r="DA42" s="198"/>
      <c r="DB42" s="198"/>
      <c r="DC42" s="198"/>
      <c r="DD42" s="198"/>
      <c r="DE42" s="198"/>
      <c r="DF42" s="198"/>
      <c r="DG42" s="198"/>
      <c r="DH42" s="198"/>
      <c r="DI42" s="198"/>
      <c r="DJ42" s="198"/>
      <c r="DK42" s="198"/>
      <c r="DL42" s="198"/>
      <c r="DM42" s="198"/>
      <c r="DN42" s="198"/>
      <c r="DO42" s="198"/>
      <c r="DP42" s="198"/>
      <c r="DQ42" s="198"/>
      <c r="DR42" s="198"/>
      <c r="DS42" s="198"/>
      <c r="DT42" s="198"/>
      <c r="DU42" s="198"/>
      <c r="DV42" s="198"/>
      <c r="DW42" s="198"/>
      <c r="DX42" s="198"/>
      <c r="DY42" s="198"/>
      <c r="DZ42" s="198"/>
      <c r="EA42" s="198"/>
      <c r="EB42" s="198"/>
      <c r="EC42" s="198"/>
      <c r="ED42" s="198"/>
      <c r="EE42" s="198"/>
      <c r="EF42" s="198"/>
      <c r="EG42" s="198"/>
      <c r="EH42" s="198"/>
      <c r="EI42" s="198"/>
      <c r="EJ42" s="198"/>
      <c r="EK42" s="198"/>
      <c r="EL42" s="198"/>
      <c r="EM42" s="198"/>
      <c r="EN42" s="198"/>
      <c r="EO42" s="198"/>
      <c r="EP42" s="198"/>
      <c r="EQ42" s="198"/>
      <c r="ER42" s="198"/>
      <c r="ES42" s="198"/>
      <c r="ET42" s="198"/>
      <c r="EU42" s="198"/>
      <c r="EV42" s="198"/>
      <c r="EW42" s="198"/>
      <c r="EX42" s="198"/>
      <c r="EY42" s="198"/>
      <c r="EZ42" s="198"/>
      <c r="FA42" s="198"/>
      <c r="FB42" s="198"/>
      <c r="FC42" s="198"/>
      <c r="FD42" s="198"/>
      <c r="FE42" s="198"/>
      <c r="FF42" s="198"/>
      <c r="FG42" s="198"/>
      <c r="FH42" s="198"/>
      <c r="FI42" s="198"/>
      <c r="FJ42" s="198"/>
      <c r="FK42" s="198"/>
      <c r="FL42" s="198"/>
      <c r="FM42" s="198"/>
      <c r="FN42" s="198"/>
      <c r="FO42" s="198"/>
      <c r="FP42" s="198"/>
      <c r="FQ42" s="198"/>
      <c r="FR42" s="198"/>
      <c r="FS42" s="198"/>
      <c r="FT42" s="198"/>
      <c r="FU42" s="198"/>
      <c r="FV42" s="198"/>
      <c r="FW42" s="198"/>
      <c r="FX42" s="198"/>
      <c r="FY42" s="198"/>
      <c r="FZ42" s="198"/>
      <c r="GA42" s="198"/>
      <c r="GB42" s="198"/>
      <c r="GC42" s="198"/>
      <c r="GD42" s="198"/>
      <c r="GE42" s="198"/>
      <c r="GF42" s="198"/>
      <c r="GG42" s="198"/>
      <c r="GH42" s="198"/>
      <c r="GI42" s="198"/>
      <c r="GJ42" s="198"/>
      <c r="GK42" s="198"/>
      <c r="GL42" s="198"/>
      <c r="GM42" s="198"/>
      <c r="GN42" s="198"/>
      <c r="GO42" s="198"/>
      <c r="GP42" s="198"/>
      <c r="GQ42" s="198"/>
      <c r="GR42" s="198"/>
      <c r="GS42" s="198"/>
      <c r="GT42" s="198"/>
      <c r="GU42" s="198"/>
      <c r="GV42" s="198"/>
      <c r="GW42" s="198"/>
      <c r="GX42" s="198"/>
      <c r="GY42" s="198"/>
      <c r="GZ42" s="198"/>
      <c r="HA42" s="198"/>
      <c r="HB42" s="198"/>
      <c r="HC42" s="198"/>
      <c r="HD42" s="198"/>
      <c r="HE42" s="198"/>
      <c r="HF42" s="198"/>
      <c r="HG42" s="198"/>
      <c r="HH42" s="198"/>
      <c r="HI42" s="198"/>
      <c r="HJ42" s="198"/>
      <c r="HK42" s="198"/>
      <c r="HL42" s="198"/>
      <c r="HM42" s="198"/>
      <c r="HN42" s="198"/>
      <c r="HO42" s="198"/>
      <c r="HP42" s="198"/>
      <c r="HQ42" s="198"/>
      <c r="HR42" s="198"/>
      <c r="HS42" s="198"/>
      <c r="HT42" s="198"/>
      <c r="HU42" s="198"/>
      <c r="HV42" s="198"/>
      <c r="HW42" s="198"/>
      <c r="HX42" s="198"/>
      <c r="HY42" s="198"/>
      <c r="HZ42" s="198"/>
      <c r="IA42" s="198"/>
      <c r="IB42" s="198"/>
      <c r="IC42" s="198"/>
      <c r="ID42" s="198"/>
      <c r="IE42" s="198"/>
      <c r="IF42" s="198"/>
      <c r="IG42" s="198"/>
      <c r="IH42" s="198"/>
      <c r="II42" s="198"/>
      <c r="IJ42" s="198"/>
      <c r="IK42" s="198"/>
      <c r="IL42" s="198"/>
      <c r="IM42" s="198"/>
      <c r="IN42" s="198"/>
      <c r="IO42" s="198"/>
      <c r="IP42" s="198"/>
      <c r="IQ42" s="198"/>
      <c r="IR42" s="198"/>
      <c r="IS42" s="198"/>
      <c r="IT42" s="198"/>
      <c r="IU42" s="198"/>
      <c r="IV42" s="198"/>
      <c r="IW42" s="198"/>
      <c r="IX42" s="198"/>
      <c r="IY42" s="198"/>
      <c r="IZ42" s="198"/>
      <c r="JA42" s="198"/>
      <c r="JB42" s="198"/>
      <c r="JC42" s="198"/>
      <c r="JD42" s="198"/>
      <c r="JE42" s="198"/>
      <c r="JF42" s="198"/>
      <c r="JG42" s="198"/>
      <c r="JH42" s="198"/>
      <c r="JI42" s="198"/>
      <c r="JJ42" s="198"/>
      <c r="JK42" s="198"/>
      <c r="JL42" s="198"/>
      <c r="JM42" s="198"/>
      <c r="JN42" s="198"/>
      <c r="JO42" s="198"/>
      <c r="JP42" s="198"/>
      <c r="JQ42" s="198"/>
      <c r="JR42" s="198"/>
      <c r="JS42" s="198"/>
      <c r="JT42" s="198"/>
      <c r="JU42" s="198"/>
      <c r="JV42" s="198"/>
      <c r="JW42" s="198"/>
      <c r="JX42" s="198"/>
      <c r="JY42" s="198"/>
      <c r="JZ42" s="198"/>
      <c r="KA42" s="198"/>
      <c r="KB42" s="198"/>
      <c r="KC42" s="198"/>
      <c r="KD42" s="198"/>
      <c r="KE42" s="198"/>
      <c r="KF42" s="198"/>
      <c r="KG42" s="198"/>
      <c r="KH42" s="198"/>
      <c r="KI42" s="198"/>
      <c r="KJ42" s="198"/>
      <c r="KK42" s="198"/>
      <c r="KL42" s="198"/>
      <c r="KM42" s="198"/>
      <c r="KN42" s="198"/>
      <c r="KO42" s="198"/>
      <c r="KP42" s="198"/>
      <c r="KQ42" s="198"/>
      <c r="KR42" s="198"/>
      <c r="KS42" s="198"/>
      <c r="KT42" s="198"/>
      <c r="KU42" s="198"/>
      <c r="KV42" s="198"/>
      <c r="KW42" s="198"/>
      <c r="KX42" s="198"/>
      <c r="KY42" s="198"/>
      <c r="KZ42" s="198"/>
      <c r="LA42" s="198"/>
      <c r="LB42" s="198"/>
      <c r="LC42" s="198"/>
      <c r="LD42" s="198"/>
      <c r="LE42" s="198"/>
      <c r="LF42" s="198"/>
      <c r="LG42" s="198"/>
      <c r="LH42" s="198"/>
      <c r="LI42" s="198"/>
      <c r="LJ42" s="198"/>
      <c r="LK42" s="198"/>
      <c r="LL42" s="198"/>
      <c r="LM42" s="198"/>
      <c r="LN42" s="198"/>
      <c r="LO42" s="198"/>
      <c r="LP42" s="198"/>
      <c r="LQ42" s="198"/>
      <c r="LR42" s="198"/>
      <c r="LS42" s="198"/>
      <c r="LT42" s="198"/>
      <c r="LU42" s="198"/>
      <c r="LV42" s="198"/>
      <c r="LW42" s="198"/>
      <c r="LX42" s="198"/>
      <c r="LY42" s="198"/>
      <c r="LZ42" s="198"/>
      <c r="MA42" s="198"/>
      <c r="MB42" s="198"/>
      <c r="MC42" s="198"/>
      <c r="MD42" s="198"/>
      <c r="ME42" s="198"/>
      <c r="MF42" s="198"/>
      <c r="MG42" s="198"/>
      <c r="MH42" s="198"/>
      <c r="MI42" s="198"/>
      <c r="MJ42" s="198"/>
      <c r="MK42" s="198"/>
      <c r="ML42" s="198"/>
      <c r="MM42" s="198"/>
      <c r="MN42" s="198"/>
      <c r="MO42" s="198"/>
      <c r="MP42" s="198"/>
      <c r="MQ42" s="198"/>
      <c r="MR42" s="198"/>
      <c r="MS42" s="198"/>
      <c r="MT42" s="198"/>
      <c r="MU42" s="198"/>
      <c r="MV42" s="198"/>
      <c r="MW42" s="198"/>
      <c r="MX42" s="198"/>
      <c r="MY42" s="198"/>
      <c r="MZ42" s="198"/>
      <c r="NA42" s="198"/>
      <c r="NB42" s="198"/>
      <c r="NC42" s="198"/>
      <c r="ND42" s="198"/>
      <c r="NE42" s="198"/>
      <c r="NF42" s="198"/>
      <c r="NG42" s="198"/>
      <c r="NH42" s="198"/>
      <c r="NI42" s="198"/>
      <c r="NJ42" s="198"/>
      <c r="NK42" s="198"/>
      <c r="NL42" s="198"/>
      <c r="NM42" s="198"/>
      <c r="NN42" s="198"/>
      <c r="NO42" s="198"/>
      <c r="NP42" s="198"/>
      <c r="NQ42" s="198"/>
      <c r="NR42" s="198"/>
      <c r="NS42" s="198"/>
      <c r="NT42" s="198"/>
      <c r="NU42" s="198"/>
      <c r="NV42" s="198"/>
      <c r="NW42" s="198"/>
      <c r="NX42" s="198"/>
      <c r="NY42" s="198"/>
      <c r="NZ42" s="198"/>
      <c r="OA42" s="198"/>
      <c r="OB42" s="198"/>
      <c r="OC42" s="198"/>
      <c r="OD42" s="198"/>
      <c r="OE42" s="198"/>
      <c r="OF42" s="198"/>
      <c r="OG42" s="198"/>
      <c r="OH42" s="198"/>
      <c r="OI42" s="198"/>
      <c r="OJ42" s="198"/>
      <c r="OK42" s="198"/>
      <c r="OL42" s="198"/>
      <c r="OM42" s="198"/>
      <c r="ON42" s="198"/>
      <c r="OO42" s="198"/>
      <c r="OP42" s="198"/>
      <c r="OQ42" s="198"/>
      <c r="OR42" s="198"/>
      <c r="OS42" s="198"/>
      <c r="OT42" s="198"/>
      <c r="OU42" s="198"/>
      <c r="OV42" s="198"/>
      <c r="OW42" s="198"/>
      <c r="OX42" s="198"/>
      <c r="OY42" s="198"/>
      <c r="OZ42" s="198"/>
      <c r="PA42" s="198"/>
      <c r="PB42" s="198"/>
      <c r="PC42" s="198"/>
      <c r="PD42" s="198"/>
      <c r="PE42" s="198"/>
      <c r="PF42" s="198"/>
      <c r="PG42" s="198"/>
      <c r="PH42" s="198"/>
      <c r="PI42" s="198"/>
      <c r="PJ42" s="198"/>
      <c r="PK42" s="198"/>
      <c r="PL42" s="198"/>
      <c r="PM42" s="198"/>
      <c r="PN42" s="198"/>
      <c r="PO42" s="198"/>
      <c r="PP42" s="198"/>
      <c r="PQ42" s="198"/>
      <c r="PR42" s="198"/>
      <c r="PS42" s="198"/>
      <c r="PT42" s="198"/>
      <c r="PU42" s="198"/>
      <c r="PV42" s="198"/>
      <c r="PW42" s="198"/>
      <c r="PX42" s="198"/>
      <c r="PY42" s="198"/>
      <c r="PZ42" s="198"/>
      <c r="QA42" s="198"/>
      <c r="QB42" s="198"/>
      <c r="QC42" s="198"/>
      <c r="QD42" s="198"/>
      <c r="QE42" s="198"/>
      <c r="QF42" s="198"/>
      <c r="QG42" s="198"/>
      <c r="QH42" s="198"/>
      <c r="QI42" s="198"/>
      <c r="QJ42" s="198"/>
      <c r="QK42" s="198"/>
      <c r="QL42" s="198"/>
      <c r="QM42" s="198"/>
      <c r="QN42" s="198"/>
      <c r="QO42" s="198"/>
      <c r="QP42" s="198"/>
      <c r="QQ42" s="198"/>
      <c r="QR42" s="198"/>
      <c r="QS42" s="198"/>
      <c r="QT42" s="198"/>
      <c r="QU42" s="198"/>
      <c r="QV42" s="198"/>
      <c r="QW42" s="198"/>
      <c r="QX42" s="198"/>
      <c r="QY42" s="198"/>
      <c r="QZ42" s="198"/>
      <c r="RA42" s="198"/>
      <c r="RB42" s="198"/>
      <c r="RC42" s="198"/>
      <c r="RD42" s="198"/>
      <c r="RE42" s="198"/>
      <c r="RF42" s="198"/>
      <c r="RG42" s="198"/>
      <c r="RH42" s="198"/>
      <c r="RI42" s="198"/>
      <c r="RJ42" s="198"/>
      <c r="RK42" s="198"/>
      <c r="RL42" s="198"/>
      <c r="RM42" s="198"/>
      <c r="RN42" s="198"/>
      <c r="RO42" s="198"/>
      <c r="RP42" s="198"/>
      <c r="RQ42" s="198"/>
      <c r="RR42" s="198"/>
      <c r="RS42" s="198"/>
      <c r="RT42" s="198"/>
      <c r="RU42" s="198"/>
      <c r="RV42" s="198"/>
      <c r="RW42" s="198"/>
      <c r="RX42" s="198"/>
      <c r="RY42" s="198"/>
      <c r="RZ42" s="198"/>
      <c r="SA42" s="198"/>
      <c r="SB42" s="198"/>
      <c r="SC42" s="198"/>
      <c r="SD42" s="198"/>
      <c r="SE42" s="198"/>
      <c r="SF42" s="198"/>
      <c r="SG42" s="198"/>
    </row>
    <row r="43" spans="1:501" ht="40.049999999999997" customHeight="1" x14ac:dyDescent="0.3">
      <c r="A43" s="541" t="s">
        <v>157</v>
      </c>
      <c r="B43" s="952" t="s">
        <v>158</v>
      </c>
      <c r="C43" s="950">
        <f>'MANZ. A'!H45</f>
        <v>0</v>
      </c>
      <c r="D43" s="861"/>
      <c r="E43" s="862">
        <f>'MANZ. B'!R38</f>
        <v>0</v>
      </c>
      <c r="F43" s="861"/>
      <c r="G43" s="863">
        <f>MANZ.C!AL37</f>
        <v>17</v>
      </c>
      <c r="H43" s="861"/>
      <c r="I43" s="863">
        <f>MANZ.D!Z37</f>
        <v>11</v>
      </c>
      <c r="J43" s="861"/>
      <c r="K43" s="862">
        <f>MANZ.E!AK38</f>
        <v>15</v>
      </c>
      <c r="L43" s="861"/>
      <c r="M43" s="862">
        <f>MANZ.F!AB37</f>
        <v>12</v>
      </c>
      <c r="N43" s="861"/>
      <c r="O43" s="862">
        <f>MANZ.G!AT36</f>
        <v>18</v>
      </c>
      <c r="P43" s="861"/>
      <c r="Q43" s="863">
        <f>MANZ.H!V38</f>
        <v>9</v>
      </c>
      <c r="R43" s="861"/>
      <c r="S43" s="862">
        <f>MANZ.I!AB38</f>
        <v>12</v>
      </c>
      <c r="T43" s="861"/>
      <c r="U43" s="862">
        <f>MANZ.J!AT41</f>
        <v>20</v>
      </c>
      <c r="V43" s="861"/>
      <c r="W43" s="862">
        <f>MANZ.K!AB38</f>
        <v>12</v>
      </c>
      <c r="X43" s="861"/>
      <c r="Y43" s="862">
        <f>MANZ.L!Z38</f>
        <v>11</v>
      </c>
      <c r="Z43" s="861"/>
      <c r="AA43" s="862">
        <f>'SALA MULTIUSO'!F47</f>
        <v>0</v>
      </c>
      <c r="AB43" s="864"/>
      <c r="AC43" s="864"/>
      <c r="AD43" s="864"/>
      <c r="AE43" s="864"/>
      <c r="AF43" s="861"/>
      <c r="AG43" s="865">
        <f>SUM(C38:AA38)-3</f>
        <v>16</v>
      </c>
      <c r="AH43" s="866"/>
      <c r="AI43" s="198"/>
      <c r="AJ43" s="198"/>
      <c r="AK43" s="198"/>
      <c r="AL43" s="198"/>
      <c r="AM43" s="198"/>
      <c r="AN43" s="198"/>
      <c r="AO43" s="198"/>
      <c r="AP43" s="198"/>
      <c r="AQ43" s="198"/>
      <c r="AR43" s="198"/>
      <c r="AS43" s="198"/>
      <c r="AT43" s="198"/>
      <c r="AU43" s="198"/>
      <c r="AV43" s="198"/>
      <c r="AW43" s="198"/>
      <c r="AX43" s="198"/>
      <c r="AY43" s="198"/>
      <c r="AZ43" s="198"/>
      <c r="BA43" s="198"/>
      <c r="BB43" s="198"/>
      <c r="BC43" s="198"/>
      <c r="BD43" s="198"/>
      <c r="BE43" s="198"/>
      <c r="BF43" s="198"/>
      <c r="BG43" s="198"/>
      <c r="BH43" s="198"/>
      <c r="BI43" s="198"/>
      <c r="BJ43" s="198"/>
      <c r="BK43" s="198"/>
      <c r="BL43" s="198"/>
      <c r="BM43" s="198"/>
      <c r="BN43" s="198"/>
      <c r="BO43" s="198"/>
      <c r="BP43" s="198"/>
      <c r="BQ43" s="198"/>
      <c r="BR43" s="198"/>
      <c r="BS43" s="198"/>
      <c r="BT43" s="198"/>
      <c r="BU43" s="198"/>
      <c r="BV43" s="198"/>
      <c r="BW43" s="198"/>
      <c r="BX43" s="198"/>
      <c r="BY43" s="198"/>
      <c r="BZ43" s="198"/>
      <c r="CA43" s="198"/>
      <c r="CB43" s="198"/>
      <c r="CC43" s="198"/>
      <c r="CD43" s="198"/>
      <c r="CE43" s="198"/>
      <c r="CF43" s="198"/>
      <c r="CG43" s="198"/>
      <c r="CH43" s="198"/>
      <c r="CI43" s="198"/>
      <c r="CJ43" s="198"/>
      <c r="CK43" s="198"/>
      <c r="CL43" s="198"/>
      <c r="CM43" s="198"/>
      <c r="CN43" s="198"/>
      <c r="CO43" s="198"/>
      <c r="CP43" s="198"/>
      <c r="CQ43" s="198"/>
      <c r="CR43" s="198"/>
      <c r="CS43" s="198"/>
      <c r="CT43" s="198"/>
      <c r="CU43" s="198"/>
      <c r="CV43" s="198"/>
      <c r="CW43" s="198"/>
      <c r="CX43" s="198"/>
      <c r="CY43" s="198"/>
      <c r="CZ43" s="198"/>
      <c r="DA43" s="198"/>
      <c r="DB43" s="198"/>
      <c r="DC43" s="198"/>
      <c r="DD43" s="198"/>
      <c r="DE43" s="198"/>
      <c r="DF43" s="198"/>
      <c r="DG43" s="198"/>
      <c r="DH43" s="198"/>
      <c r="DI43" s="198"/>
      <c r="DJ43" s="198"/>
      <c r="DK43" s="198"/>
      <c r="DL43" s="198"/>
      <c r="DM43" s="198"/>
      <c r="DN43" s="198"/>
      <c r="DO43" s="198"/>
      <c r="DP43" s="198"/>
      <c r="DQ43" s="198"/>
      <c r="DR43" s="198"/>
      <c r="DS43" s="198"/>
      <c r="DT43" s="198"/>
      <c r="DU43" s="198"/>
      <c r="DV43" s="198"/>
      <c r="DW43" s="198"/>
      <c r="DX43" s="198"/>
      <c r="DY43" s="198"/>
      <c r="DZ43" s="198"/>
      <c r="EA43" s="198"/>
      <c r="EB43" s="198"/>
      <c r="EC43" s="198"/>
      <c r="ED43" s="198"/>
      <c r="EE43" s="198"/>
      <c r="EF43" s="198"/>
      <c r="EG43" s="198"/>
      <c r="EH43" s="198"/>
      <c r="EI43" s="198"/>
      <c r="EJ43" s="198"/>
      <c r="EK43" s="198"/>
      <c r="EL43" s="198"/>
      <c r="EM43" s="198"/>
      <c r="EN43" s="198"/>
      <c r="EO43" s="198"/>
      <c r="EP43" s="198"/>
      <c r="EQ43" s="198"/>
      <c r="ER43" s="198"/>
      <c r="ES43" s="198"/>
      <c r="ET43" s="198"/>
      <c r="EU43" s="198"/>
      <c r="EV43" s="198"/>
      <c r="EW43" s="198"/>
      <c r="EX43" s="198"/>
      <c r="EY43" s="198"/>
      <c r="EZ43" s="198"/>
      <c r="FA43" s="198"/>
      <c r="FB43" s="198"/>
      <c r="FC43" s="198"/>
      <c r="FD43" s="198"/>
      <c r="FE43" s="198"/>
      <c r="FF43" s="198"/>
      <c r="FG43" s="198"/>
      <c r="FH43" s="198"/>
      <c r="FI43" s="198"/>
      <c r="FJ43" s="198"/>
      <c r="FK43" s="198"/>
      <c r="FL43" s="198"/>
      <c r="FM43" s="198"/>
      <c r="FN43" s="198"/>
      <c r="FO43" s="198"/>
      <c r="FP43" s="198"/>
      <c r="FQ43" s="198"/>
      <c r="FR43" s="198"/>
      <c r="FS43" s="198"/>
      <c r="FT43" s="198"/>
      <c r="FU43" s="198"/>
      <c r="FV43" s="198"/>
      <c r="FW43" s="198"/>
      <c r="FX43" s="198"/>
      <c r="FY43" s="198"/>
      <c r="FZ43" s="198"/>
      <c r="GA43" s="198"/>
      <c r="GB43" s="198"/>
      <c r="GC43" s="198"/>
      <c r="GD43" s="198"/>
      <c r="GE43" s="198"/>
      <c r="GF43" s="198"/>
      <c r="GG43" s="198"/>
      <c r="GH43" s="198"/>
      <c r="GI43" s="198"/>
      <c r="GJ43" s="198"/>
      <c r="GK43" s="198"/>
      <c r="GL43" s="198"/>
      <c r="GM43" s="198"/>
      <c r="GN43" s="198"/>
      <c r="GO43" s="198"/>
      <c r="GP43" s="198"/>
      <c r="GQ43" s="198"/>
      <c r="GR43" s="198"/>
      <c r="GS43" s="198"/>
      <c r="GT43" s="198"/>
      <c r="GU43" s="198"/>
      <c r="GV43" s="198"/>
      <c r="GW43" s="198"/>
      <c r="GX43" s="198"/>
      <c r="GY43" s="198"/>
      <c r="GZ43" s="198"/>
      <c r="HA43" s="198"/>
      <c r="HB43" s="198"/>
      <c r="HC43" s="198"/>
      <c r="HD43" s="198"/>
      <c r="HE43" s="198"/>
      <c r="HF43" s="198"/>
      <c r="HG43" s="198"/>
      <c r="HH43" s="198"/>
      <c r="HI43" s="198"/>
      <c r="HJ43" s="198"/>
      <c r="HK43" s="198"/>
      <c r="HL43" s="198"/>
      <c r="HM43" s="198"/>
      <c r="HN43" s="198"/>
      <c r="HO43" s="198"/>
      <c r="HP43" s="198"/>
      <c r="HQ43" s="198"/>
      <c r="HR43" s="198"/>
      <c r="HS43" s="198"/>
      <c r="HT43" s="198"/>
      <c r="HU43" s="198"/>
      <c r="HV43" s="198"/>
      <c r="HW43" s="198"/>
      <c r="HX43" s="198"/>
      <c r="HY43" s="198"/>
      <c r="HZ43" s="198"/>
      <c r="IA43" s="198"/>
      <c r="IB43" s="198"/>
      <c r="IC43" s="198"/>
      <c r="ID43" s="198"/>
      <c r="IE43" s="198"/>
      <c r="IF43" s="198"/>
      <c r="IG43" s="198"/>
      <c r="IH43" s="198"/>
      <c r="II43" s="198"/>
      <c r="IJ43" s="198"/>
      <c r="IK43" s="198"/>
      <c r="IL43" s="198"/>
      <c r="IM43" s="198"/>
      <c r="IN43" s="198"/>
      <c r="IO43" s="198"/>
      <c r="IP43" s="198"/>
      <c r="IQ43" s="198"/>
      <c r="IR43" s="198"/>
      <c r="IS43" s="198"/>
      <c r="IT43" s="198"/>
      <c r="IU43" s="198"/>
      <c r="IV43" s="198"/>
      <c r="IW43" s="198"/>
      <c r="IX43" s="198"/>
      <c r="IY43" s="198"/>
      <c r="IZ43" s="198"/>
      <c r="JA43" s="198"/>
      <c r="JB43" s="198"/>
      <c r="JC43" s="198"/>
      <c r="JD43" s="198"/>
      <c r="JE43" s="198"/>
      <c r="JF43" s="198"/>
      <c r="JG43" s="198"/>
      <c r="JH43" s="198"/>
      <c r="JI43" s="198"/>
      <c r="JJ43" s="198"/>
      <c r="JK43" s="198"/>
      <c r="JL43" s="198"/>
      <c r="JM43" s="198"/>
      <c r="JN43" s="198"/>
      <c r="JO43" s="198"/>
      <c r="JP43" s="198"/>
      <c r="JQ43" s="198"/>
      <c r="JR43" s="198"/>
      <c r="JS43" s="198"/>
      <c r="JT43" s="198"/>
      <c r="JU43" s="198"/>
      <c r="JV43" s="198"/>
      <c r="JW43" s="198"/>
      <c r="JX43" s="198"/>
      <c r="JY43" s="198"/>
      <c r="JZ43" s="198"/>
      <c r="KA43" s="198"/>
      <c r="KB43" s="198"/>
      <c r="KC43" s="198"/>
      <c r="KD43" s="198"/>
      <c r="KE43" s="198"/>
      <c r="KF43" s="198"/>
      <c r="KG43" s="198"/>
      <c r="KH43" s="198"/>
      <c r="KI43" s="198"/>
      <c r="KJ43" s="198"/>
      <c r="KK43" s="198"/>
      <c r="KL43" s="198"/>
      <c r="KM43" s="198"/>
      <c r="KN43" s="198"/>
      <c r="KO43" s="198"/>
      <c r="KP43" s="198"/>
      <c r="KQ43" s="198"/>
      <c r="KR43" s="198"/>
      <c r="KS43" s="198"/>
      <c r="KT43" s="198"/>
      <c r="KU43" s="198"/>
      <c r="KV43" s="198"/>
      <c r="KW43" s="198"/>
      <c r="KX43" s="198"/>
      <c r="KY43" s="198"/>
      <c r="KZ43" s="198"/>
      <c r="LA43" s="198"/>
      <c r="LB43" s="198"/>
      <c r="LC43" s="198"/>
      <c r="LD43" s="198"/>
      <c r="LE43" s="198"/>
      <c r="LF43" s="198"/>
      <c r="LG43" s="198"/>
      <c r="LH43" s="198"/>
      <c r="LI43" s="198"/>
      <c r="LJ43" s="198"/>
      <c r="LK43" s="198"/>
      <c r="LL43" s="198"/>
      <c r="LM43" s="198"/>
      <c r="LN43" s="198"/>
      <c r="LO43" s="198"/>
      <c r="LP43" s="198"/>
      <c r="LQ43" s="198"/>
      <c r="LR43" s="198"/>
      <c r="LS43" s="198"/>
      <c r="LT43" s="198"/>
      <c r="LU43" s="198"/>
      <c r="LV43" s="198"/>
      <c r="LW43" s="198"/>
      <c r="LX43" s="198"/>
      <c r="LY43" s="198"/>
      <c r="LZ43" s="198"/>
      <c r="MA43" s="198"/>
      <c r="MB43" s="198"/>
      <c r="MC43" s="198"/>
      <c r="MD43" s="198"/>
      <c r="ME43" s="198"/>
      <c r="MF43" s="198"/>
      <c r="MG43" s="198"/>
      <c r="MH43" s="198"/>
      <c r="MI43" s="198"/>
      <c r="MJ43" s="198"/>
      <c r="MK43" s="198"/>
      <c r="ML43" s="198"/>
      <c r="MM43" s="198"/>
      <c r="MN43" s="198"/>
      <c r="MO43" s="198"/>
      <c r="MP43" s="198"/>
      <c r="MQ43" s="198"/>
      <c r="MR43" s="198"/>
      <c r="MS43" s="198"/>
      <c r="MT43" s="198"/>
      <c r="MU43" s="198"/>
      <c r="MV43" s="198"/>
      <c r="MW43" s="198"/>
      <c r="MX43" s="198"/>
      <c r="MY43" s="198"/>
      <c r="MZ43" s="198"/>
      <c r="NA43" s="198"/>
      <c r="NB43" s="198"/>
      <c r="NC43" s="198"/>
      <c r="ND43" s="198"/>
      <c r="NE43" s="198"/>
      <c r="NF43" s="198"/>
      <c r="NG43" s="198"/>
      <c r="NH43" s="198"/>
      <c r="NI43" s="198"/>
      <c r="NJ43" s="198"/>
      <c r="NK43" s="198"/>
      <c r="NL43" s="198"/>
      <c r="NM43" s="198"/>
      <c r="NN43" s="198"/>
      <c r="NO43" s="198"/>
      <c r="NP43" s="198"/>
      <c r="NQ43" s="198"/>
      <c r="NR43" s="198"/>
      <c r="NS43" s="198"/>
      <c r="NT43" s="198"/>
      <c r="NU43" s="198"/>
      <c r="NV43" s="198"/>
      <c r="NW43" s="198"/>
      <c r="NX43" s="198"/>
      <c r="NY43" s="198"/>
      <c r="NZ43" s="198"/>
      <c r="OA43" s="198"/>
      <c r="OB43" s="198"/>
      <c r="OC43" s="198"/>
      <c r="OD43" s="198"/>
      <c r="OE43" s="198"/>
      <c r="OF43" s="198"/>
      <c r="OG43" s="198"/>
      <c r="OH43" s="198"/>
      <c r="OI43" s="198"/>
      <c r="OJ43" s="198"/>
      <c r="OK43" s="198"/>
      <c r="OL43" s="198"/>
      <c r="OM43" s="198"/>
      <c r="ON43" s="198"/>
      <c r="OO43" s="198"/>
      <c r="OP43" s="198"/>
      <c r="OQ43" s="198"/>
      <c r="OR43" s="198"/>
      <c r="OS43" s="198"/>
      <c r="OT43" s="198"/>
      <c r="OU43" s="198"/>
      <c r="OV43" s="198"/>
      <c r="OW43" s="198"/>
      <c r="OX43" s="198"/>
      <c r="OY43" s="198"/>
      <c r="OZ43" s="198"/>
      <c r="PA43" s="198"/>
      <c r="PB43" s="198"/>
      <c r="PC43" s="198"/>
      <c r="PD43" s="198"/>
      <c r="PE43" s="198"/>
      <c r="PF43" s="198"/>
      <c r="PG43" s="198"/>
      <c r="PH43" s="198"/>
      <c r="PI43" s="198"/>
      <c r="PJ43" s="198"/>
      <c r="PK43" s="198"/>
      <c r="PL43" s="198"/>
      <c r="PM43" s="198"/>
      <c r="PN43" s="198"/>
      <c r="PO43" s="198"/>
      <c r="PP43" s="198"/>
      <c r="PQ43" s="198"/>
      <c r="PR43" s="198"/>
      <c r="PS43" s="198"/>
      <c r="PT43" s="198"/>
      <c r="PU43" s="198"/>
      <c r="PV43" s="198"/>
      <c r="PW43" s="198"/>
      <c r="PX43" s="198"/>
      <c r="PY43" s="198"/>
      <c r="PZ43" s="198"/>
      <c r="QA43" s="198"/>
      <c r="QB43" s="198"/>
      <c r="QC43" s="198"/>
      <c r="QD43" s="198"/>
      <c r="QE43" s="198"/>
      <c r="QF43" s="198"/>
      <c r="QG43" s="198"/>
      <c r="QH43" s="198"/>
      <c r="QI43" s="198"/>
      <c r="QJ43" s="198"/>
      <c r="QK43" s="198"/>
      <c r="QL43" s="198"/>
      <c r="QM43" s="198"/>
      <c r="QN43" s="198"/>
      <c r="QO43" s="198"/>
      <c r="QP43" s="198"/>
      <c r="QQ43" s="198"/>
      <c r="QR43" s="198"/>
      <c r="QS43" s="198"/>
      <c r="QT43" s="198"/>
      <c r="QU43" s="198"/>
      <c r="QV43" s="198"/>
      <c r="QW43" s="198"/>
      <c r="QX43" s="198"/>
      <c r="QY43" s="198"/>
      <c r="QZ43" s="198"/>
      <c r="RA43" s="198"/>
      <c r="RB43" s="198"/>
      <c r="RC43" s="198"/>
      <c r="RD43" s="198"/>
      <c r="RE43" s="198"/>
      <c r="RF43" s="198"/>
      <c r="RG43" s="198"/>
      <c r="RH43" s="198"/>
      <c r="RI43" s="198"/>
      <c r="RJ43" s="198"/>
      <c r="RK43" s="198"/>
      <c r="RL43" s="198"/>
      <c r="RM43" s="198"/>
      <c r="RN43" s="198"/>
      <c r="RO43" s="198"/>
      <c r="RP43" s="198"/>
      <c r="RQ43" s="198"/>
      <c r="RR43" s="198"/>
      <c r="RS43" s="198"/>
      <c r="RT43" s="198"/>
      <c r="RU43" s="198"/>
      <c r="RV43" s="198"/>
      <c r="RW43" s="198"/>
      <c r="RX43" s="198"/>
      <c r="RY43" s="198"/>
      <c r="RZ43" s="198"/>
      <c r="SA43" s="198"/>
      <c r="SB43" s="198"/>
      <c r="SC43" s="198"/>
      <c r="SD43" s="198"/>
      <c r="SE43" s="198"/>
      <c r="SF43" s="198"/>
      <c r="SG43" s="198"/>
    </row>
    <row r="44" spans="1:501" ht="40.049999999999997" customHeight="1" x14ac:dyDescent="0.3">
      <c r="A44" s="541" t="s">
        <v>159</v>
      </c>
      <c r="B44" s="952" t="s">
        <v>160</v>
      </c>
      <c r="C44" s="950">
        <f>'MANZ. A'!H46</f>
        <v>0</v>
      </c>
      <c r="D44" s="861"/>
      <c r="E44" s="862">
        <f>'MANZ. B'!R39</f>
        <v>0</v>
      </c>
      <c r="F44" s="861"/>
      <c r="G44" s="863">
        <f>MANZ.C!AL38</f>
        <v>17</v>
      </c>
      <c r="H44" s="861"/>
      <c r="I44" s="862">
        <f>MANZ.D!Z38</f>
        <v>11</v>
      </c>
      <c r="J44" s="861"/>
      <c r="K44" s="862">
        <f>MANZ.E!AK39</f>
        <v>15</v>
      </c>
      <c r="L44" s="861"/>
      <c r="M44" s="862">
        <f>MANZ.F!AB38</f>
        <v>12</v>
      </c>
      <c r="N44" s="861"/>
      <c r="O44" s="862">
        <f>MANZ.G!AT37</f>
        <v>0</v>
      </c>
      <c r="P44" s="861"/>
      <c r="Q44" s="863">
        <f>MANZ.H!V39</f>
        <v>9</v>
      </c>
      <c r="R44" s="861"/>
      <c r="S44" s="862">
        <f>MANZ.I!AB39</f>
        <v>12</v>
      </c>
      <c r="T44" s="861"/>
      <c r="U44" s="862">
        <f>MANZ.J!AT42</f>
        <v>20</v>
      </c>
      <c r="V44" s="861"/>
      <c r="W44" s="862">
        <f>MANZ.K!AB39</f>
        <v>12</v>
      </c>
      <c r="X44" s="861"/>
      <c r="Y44" s="862">
        <f>MANZ.L!Z39</f>
        <v>11</v>
      </c>
      <c r="Z44" s="861"/>
      <c r="AA44" s="862">
        <f>'SALA MULTIUSO'!F48</f>
        <v>0</v>
      </c>
      <c r="AB44" s="864"/>
      <c r="AC44" s="864"/>
      <c r="AD44" s="864"/>
      <c r="AE44" s="864"/>
      <c r="AF44" s="861"/>
      <c r="AG44" s="865">
        <f>SUM(C39:AA39)</f>
        <v>109</v>
      </c>
      <c r="AH44" s="866"/>
      <c r="AI44" s="198"/>
      <c r="AJ44" s="198"/>
      <c r="AK44" s="198"/>
      <c r="AL44" s="198"/>
      <c r="AM44" s="198"/>
      <c r="AN44" s="198"/>
      <c r="AO44" s="198"/>
      <c r="AP44" s="198"/>
      <c r="AQ44" s="198"/>
      <c r="AR44" s="198"/>
      <c r="AS44" s="198"/>
      <c r="AT44" s="198"/>
      <c r="AU44" s="198"/>
      <c r="AV44" s="198"/>
      <c r="AW44" s="198"/>
      <c r="AX44" s="198"/>
      <c r="AY44" s="198"/>
      <c r="AZ44" s="198"/>
      <c r="BA44" s="198"/>
      <c r="BB44" s="198"/>
      <c r="BC44" s="198"/>
      <c r="BD44" s="198"/>
      <c r="BE44" s="198"/>
      <c r="BF44" s="198"/>
      <c r="BG44" s="198"/>
      <c r="BH44" s="198"/>
      <c r="BI44" s="198"/>
      <c r="BJ44" s="198"/>
      <c r="BK44" s="198"/>
      <c r="BL44" s="198"/>
      <c r="BM44" s="198"/>
      <c r="BN44" s="198"/>
      <c r="BO44" s="198"/>
      <c r="BP44" s="198"/>
      <c r="BQ44" s="198"/>
      <c r="BR44" s="198"/>
      <c r="BS44" s="198"/>
      <c r="BT44" s="198"/>
      <c r="BU44" s="198"/>
      <c r="BV44" s="198"/>
      <c r="BW44" s="198"/>
      <c r="BX44" s="198"/>
      <c r="BY44" s="198"/>
      <c r="BZ44" s="198"/>
      <c r="CA44" s="198"/>
      <c r="CB44" s="198"/>
      <c r="CC44" s="198"/>
      <c r="CD44" s="198"/>
      <c r="CE44" s="198"/>
      <c r="CF44" s="198"/>
      <c r="CG44" s="198"/>
      <c r="CH44" s="198"/>
      <c r="CI44" s="198"/>
      <c r="CJ44" s="198"/>
      <c r="CK44" s="198"/>
      <c r="CL44" s="198"/>
      <c r="CM44" s="198"/>
      <c r="CN44" s="198"/>
      <c r="CO44" s="198"/>
      <c r="CP44" s="198"/>
      <c r="CQ44" s="198"/>
      <c r="CR44" s="198"/>
      <c r="CS44" s="198"/>
      <c r="CT44" s="198"/>
      <c r="CU44" s="198"/>
      <c r="CV44" s="198"/>
      <c r="CW44" s="198"/>
      <c r="CX44" s="198"/>
      <c r="CY44" s="198"/>
      <c r="CZ44" s="198"/>
      <c r="DA44" s="198"/>
      <c r="DB44" s="198"/>
      <c r="DC44" s="198"/>
      <c r="DD44" s="198"/>
      <c r="DE44" s="198"/>
      <c r="DF44" s="198"/>
      <c r="DG44" s="198"/>
      <c r="DH44" s="198"/>
      <c r="DI44" s="198"/>
      <c r="DJ44" s="198"/>
      <c r="DK44" s="198"/>
      <c r="DL44" s="198"/>
      <c r="DM44" s="198"/>
      <c r="DN44" s="198"/>
      <c r="DO44" s="198"/>
      <c r="DP44" s="198"/>
      <c r="DQ44" s="198"/>
      <c r="DR44" s="198"/>
      <c r="DS44" s="198"/>
      <c r="DT44" s="198"/>
      <c r="DU44" s="198"/>
      <c r="DV44" s="198"/>
      <c r="DW44" s="198"/>
      <c r="DX44" s="198"/>
      <c r="DY44" s="198"/>
      <c r="DZ44" s="198"/>
      <c r="EA44" s="198"/>
      <c r="EB44" s="198"/>
      <c r="EC44" s="198"/>
      <c r="ED44" s="198"/>
      <c r="EE44" s="198"/>
      <c r="EF44" s="198"/>
      <c r="EG44" s="198"/>
      <c r="EH44" s="198"/>
      <c r="EI44" s="198"/>
      <c r="EJ44" s="198"/>
      <c r="EK44" s="198"/>
      <c r="EL44" s="198"/>
      <c r="EM44" s="198"/>
      <c r="EN44" s="198"/>
      <c r="EO44" s="198"/>
      <c r="EP44" s="198"/>
      <c r="EQ44" s="198"/>
      <c r="ER44" s="198"/>
      <c r="ES44" s="198"/>
      <c r="ET44" s="198"/>
      <c r="EU44" s="198"/>
      <c r="EV44" s="198"/>
      <c r="EW44" s="198"/>
      <c r="EX44" s="198"/>
      <c r="EY44" s="198"/>
      <c r="EZ44" s="198"/>
      <c r="FA44" s="198"/>
      <c r="FB44" s="198"/>
      <c r="FC44" s="198"/>
      <c r="FD44" s="198"/>
      <c r="FE44" s="198"/>
      <c r="FF44" s="198"/>
      <c r="FG44" s="198"/>
      <c r="FH44" s="198"/>
      <c r="FI44" s="198"/>
      <c r="FJ44" s="198"/>
      <c r="FK44" s="198"/>
      <c r="FL44" s="198"/>
      <c r="FM44" s="198"/>
      <c r="FN44" s="198"/>
      <c r="FO44" s="198"/>
      <c r="FP44" s="198"/>
      <c r="FQ44" s="198"/>
      <c r="FR44" s="198"/>
      <c r="FS44" s="198"/>
      <c r="FT44" s="198"/>
      <c r="FU44" s="198"/>
      <c r="FV44" s="198"/>
      <c r="FW44" s="198"/>
      <c r="FX44" s="198"/>
      <c r="FY44" s="198"/>
      <c r="FZ44" s="198"/>
      <c r="GA44" s="198"/>
      <c r="GB44" s="198"/>
      <c r="GC44" s="198"/>
      <c r="GD44" s="198"/>
      <c r="GE44" s="198"/>
      <c r="GF44" s="198"/>
      <c r="GG44" s="198"/>
      <c r="GH44" s="198"/>
      <c r="GI44" s="198"/>
      <c r="GJ44" s="198"/>
      <c r="GK44" s="198"/>
      <c r="GL44" s="198"/>
      <c r="GM44" s="198"/>
      <c r="GN44" s="198"/>
      <c r="GO44" s="198"/>
      <c r="GP44" s="198"/>
      <c r="GQ44" s="198"/>
      <c r="GR44" s="198"/>
      <c r="GS44" s="198"/>
      <c r="GT44" s="198"/>
      <c r="GU44" s="198"/>
      <c r="GV44" s="198"/>
      <c r="GW44" s="198"/>
      <c r="GX44" s="198"/>
      <c r="GY44" s="198"/>
      <c r="GZ44" s="198"/>
      <c r="HA44" s="198"/>
      <c r="HB44" s="198"/>
      <c r="HC44" s="198"/>
      <c r="HD44" s="198"/>
      <c r="HE44" s="198"/>
      <c r="HF44" s="198"/>
      <c r="HG44" s="198"/>
      <c r="HH44" s="198"/>
      <c r="HI44" s="198"/>
      <c r="HJ44" s="198"/>
      <c r="HK44" s="198"/>
      <c r="HL44" s="198"/>
      <c r="HM44" s="198"/>
      <c r="HN44" s="198"/>
      <c r="HO44" s="198"/>
      <c r="HP44" s="198"/>
      <c r="HQ44" s="198"/>
      <c r="HR44" s="198"/>
      <c r="HS44" s="198"/>
      <c r="HT44" s="198"/>
      <c r="HU44" s="198"/>
      <c r="HV44" s="198"/>
      <c r="HW44" s="198"/>
      <c r="HX44" s="198"/>
      <c r="HY44" s="198"/>
      <c r="HZ44" s="198"/>
      <c r="IA44" s="198"/>
      <c r="IB44" s="198"/>
      <c r="IC44" s="198"/>
      <c r="ID44" s="198"/>
      <c r="IE44" s="198"/>
      <c r="IF44" s="198"/>
      <c r="IG44" s="198"/>
      <c r="IH44" s="198"/>
      <c r="II44" s="198"/>
      <c r="IJ44" s="198"/>
      <c r="IK44" s="198"/>
      <c r="IL44" s="198"/>
      <c r="IM44" s="198"/>
      <c r="IN44" s="198"/>
      <c r="IO44" s="198"/>
      <c r="IP44" s="198"/>
      <c r="IQ44" s="198"/>
      <c r="IR44" s="198"/>
      <c r="IS44" s="198"/>
      <c r="IT44" s="198"/>
      <c r="IU44" s="198"/>
      <c r="IV44" s="198"/>
      <c r="IW44" s="198"/>
      <c r="IX44" s="198"/>
      <c r="IY44" s="198"/>
      <c r="IZ44" s="198"/>
      <c r="JA44" s="198"/>
      <c r="JB44" s="198"/>
      <c r="JC44" s="198"/>
      <c r="JD44" s="198"/>
      <c r="JE44" s="198"/>
      <c r="JF44" s="198"/>
      <c r="JG44" s="198"/>
      <c r="JH44" s="198"/>
      <c r="JI44" s="198"/>
      <c r="JJ44" s="198"/>
      <c r="JK44" s="198"/>
      <c r="JL44" s="198"/>
      <c r="JM44" s="198"/>
      <c r="JN44" s="198"/>
      <c r="JO44" s="198"/>
      <c r="JP44" s="198"/>
      <c r="JQ44" s="198"/>
      <c r="JR44" s="198"/>
      <c r="JS44" s="198"/>
      <c r="JT44" s="198"/>
      <c r="JU44" s="198"/>
      <c r="JV44" s="198"/>
      <c r="JW44" s="198"/>
      <c r="JX44" s="198"/>
      <c r="JY44" s="198"/>
      <c r="JZ44" s="198"/>
      <c r="KA44" s="198"/>
      <c r="KB44" s="198"/>
      <c r="KC44" s="198"/>
      <c r="KD44" s="198"/>
      <c r="KE44" s="198"/>
      <c r="KF44" s="198"/>
      <c r="KG44" s="198"/>
      <c r="KH44" s="198"/>
      <c r="KI44" s="198"/>
      <c r="KJ44" s="198"/>
      <c r="KK44" s="198"/>
      <c r="KL44" s="198"/>
      <c r="KM44" s="198"/>
      <c r="KN44" s="198"/>
      <c r="KO44" s="198"/>
      <c r="KP44" s="198"/>
      <c r="KQ44" s="198"/>
      <c r="KR44" s="198"/>
      <c r="KS44" s="198"/>
      <c r="KT44" s="198"/>
      <c r="KU44" s="198"/>
      <c r="KV44" s="198"/>
      <c r="KW44" s="198"/>
      <c r="KX44" s="198"/>
      <c r="KY44" s="198"/>
      <c r="KZ44" s="198"/>
      <c r="LA44" s="198"/>
      <c r="LB44" s="198"/>
      <c r="LC44" s="198"/>
      <c r="LD44" s="198"/>
      <c r="LE44" s="198"/>
      <c r="LF44" s="198"/>
      <c r="LG44" s="198"/>
      <c r="LH44" s="198"/>
      <c r="LI44" s="198"/>
      <c r="LJ44" s="198"/>
      <c r="LK44" s="198"/>
      <c r="LL44" s="198"/>
      <c r="LM44" s="198"/>
      <c r="LN44" s="198"/>
      <c r="LO44" s="198"/>
      <c r="LP44" s="198"/>
      <c r="LQ44" s="198"/>
      <c r="LR44" s="198"/>
      <c r="LS44" s="198"/>
      <c r="LT44" s="198"/>
      <c r="LU44" s="198"/>
      <c r="LV44" s="198"/>
      <c r="LW44" s="198"/>
      <c r="LX44" s="198"/>
      <c r="LY44" s="198"/>
      <c r="LZ44" s="198"/>
      <c r="MA44" s="198"/>
      <c r="MB44" s="198"/>
      <c r="MC44" s="198"/>
      <c r="MD44" s="198"/>
      <c r="ME44" s="198"/>
      <c r="MF44" s="198"/>
      <c r="MG44" s="198"/>
      <c r="MH44" s="198"/>
      <c r="MI44" s="198"/>
      <c r="MJ44" s="198"/>
      <c r="MK44" s="198"/>
      <c r="ML44" s="198"/>
      <c r="MM44" s="198"/>
      <c r="MN44" s="198"/>
      <c r="MO44" s="198"/>
      <c r="MP44" s="198"/>
      <c r="MQ44" s="198"/>
      <c r="MR44" s="198"/>
      <c r="MS44" s="198"/>
      <c r="MT44" s="198"/>
      <c r="MU44" s="198"/>
      <c r="MV44" s="198"/>
      <c r="MW44" s="198"/>
      <c r="MX44" s="198"/>
      <c r="MY44" s="198"/>
      <c r="MZ44" s="198"/>
      <c r="NA44" s="198"/>
      <c r="NB44" s="198"/>
      <c r="NC44" s="198"/>
      <c r="ND44" s="198"/>
      <c r="NE44" s="198"/>
      <c r="NF44" s="198"/>
      <c r="NG44" s="198"/>
      <c r="NH44" s="198"/>
      <c r="NI44" s="198"/>
      <c r="NJ44" s="198"/>
      <c r="NK44" s="198"/>
      <c r="NL44" s="198"/>
      <c r="NM44" s="198"/>
      <c r="NN44" s="198"/>
      <c r="NO44" s="198"/>
      <c r="NP44" s="198"/>
      <c r="NQ44" s="198"/>
      <c r="NR44" s="198"/>
      <c r="NS44" s="198"/>
      <c r="NT44" s="198"/>
      <c r="NU44" s="198"/>
      <c r="NV44" s="198"/>
      <c r="NW44" s="198"/>
      <c r="NX44" s="198"/>
      <c r="NY44" s="198"/>
      <c r="NZ44" s="198"/>
      <c r="OA44" s="198"/>
      <c r="OB44" s="198"/>
      <c r="OC44" s="198"/>
      <c r="OD44" s="198"/>
      <c r="OE44" s="198"/>
      <c r="OF44" s="198"/>
      <c r="OG44" s="198"/>
      <c r="OH44" s="198"/>
      <c r="OI44" s="198"/>
      <c r="OJ44" s="198"/>
      <c r="OK44" s="198"/>
      <c r="OL44" s="198"/>
      <c r="OM44" s="198"/>
      <c r="ON44" s="198"/>
      <c r="OO44" s="198"/>
      <c r="OP44" s="198"/>
      <c r="OQ44" s="198"/>
      <c r="OR44" s="198"/>
      <c r="OS44" s="198"/>
      <c r="OT44" s="198"/>
      <c r="OU44" s="198"/>
      <c r="OV44" s="198"/>
      <c r="OW44" s="198"/>
      <c r="OX44" s="198"/>
      <c r="OY44" s="198"/>
      <c r="OZ44" s="198"/>
      <c r="PA44" s="198"/>
      <c r="PB44" s="198"/>
      <c r="PC44" s="198"/>
      <c r="PD44" s="198"/>
      <c r="PE44" s="198"/>
      <c r="PF44" s="198"/>
      <c r="PG44" s="198"/>
      <c r="PH44" s="198"/>
      <c r="PI44" s="198"/>
      <c r="PJ44" s="198"/>
      <c r="PK44" s="198"/>
      <c r="PL44" s="198"/>
      <c r="PM44" s="198"/>
      <c r="PN44" s="198"/>
      <c r="PO44" s="198"/>
      <c r="PP44" s="198"/>
      <c r="PQ44" s="198"/>
      <c r="PR44" s="198"/>
      <c r="PS44" s="198"/>
      <c r="PT44" s="198"/>
      <c r="PU44" s="198"/>
      <c r="PV44" s="198"/>
      <c r="PW44" s="198"/>
      <c r="PX44" s="198"/>
      <c r="PY44" s="198"/>
      <c r="PZ44" s="198"/>
      <c r="QA44" s="198"/>
      <c r="QB44" s="198"/>
      <c r="QC44" s="198"/>
      <c r="QD44" s="198"/>
      <c r="QE44" s="198"/>
      <c r="QF44" s="198"/>
      <c r="QG44" s="198"/>
      <c r="QH44" s="198"/>
      <c r="QI44" s="198"/>
      <c r="QJ44" s="198"/>
      <c r="QK44" s="198"/>
      <c r="QL44" s="198"/>
      <c r="QM44" s="198"/>
      <c r="QN44" s="198"/>
      <c r="QO44" s="198"/>
      <c r="QP44" s="198"/>
      <c r="QQ44" s="198"/>
      <c r="QR44" s="198"/>
      <c r="QS44" s="198"/>
      <c r="QT44" s="198"/>
      <c r="QU44" s="198"/>
      <c r="QV44" s="198"/>
      <c r="QW44" s="198"/>
      <c r="QX44" s="198"/>
      <c r="QY44" s="198"/>
      <c r="QZ44" s="198"/>
      <c r="RA44" s="198"/>
      <c r="RB44" s="198"/>
      <c r="RC44" s="198"/>
      <c r="RD44" s="198"/>
      <c r="RE44" s="198"/>
      <c r="RF44" s="198"/>
      <c r="RG44" s="198"/>
      <c r="RH44" s="198"/>
      <c r="RI44" s="198"/>
      <c r="RJ44" s="198"/>
      <c r="RK44" s="198"/>
      <c r="RL44" s="198"/>
      <c r="RM44" s="198"/>
      <c r="RN44" s="198"/>
      <c r="RO44" s="198"/>
      <c r="RP44" s="198"/>
      <c r="RQ44" s="198"/>
      <c r="RR44" s="198"/>
      <c r="RS44" s="198"/>
      <c r="RT44" s="198"/>
      <c r="RU44" s="198"/>
      <c r="RV44" s="198"/>
      <c r="RW44" s="198"/>
      <c r="RX44" s="198"/>
      <c r="RY44" s="198"/>
      <c r="RZ44" s="198"/>
      <c r="SA44" s="198"/>
      <c r="SB44" s="198"/>
      <c r="SC44" s="198"/>
      <c r="SD44" s="198"/>
      <c r="SE44" s="198"/>
      <c r="SF44" s="198"/>
      <c r="SG44" s="198"/>
    </row>
    <row r="45" spans="1:501" ht="40.049999999999997" customHeight="1" x14ac:dyDescent="0.3">
      <c r="A45" s="541" t="s">
        <v>161</v>
      </c>
      <c r="B45" s="952" t="s">
        <v>162</v>
      </c>
      <c r="C45" s="950">
        <f>'MANZ. A'!H47</f>
        <v>0</v>
      </c>
      <c r="D45" s="861"/>
      <c r="E45" s="862">
        <f>'MANZ. B'!R40</f>
        <v>0</v>
      </c>
      <c r="F45" s="861"/>
      <c r="G45" s="863">
        <f>MANZ.C!AK39</f>
        <v>0</v>
      </c>
      <c r="H45" s="861"/>
      <c r="I45" s="863">
        <f>MANZ.D!Z39</f>
        <v>0</v>
      </c>
      <c r="J45" s="861"/>
      <c r="K45" s="862">
        <f>MANZ.E!AL40</f>
        <v>0</v>
      </c>
      <c r="L45" s="861"/>
      <c r="M45" s="862">
        <f>MANZ.F!AB39</f>
        <v>0</v>
      </c>
      <c r="N45" s="861"/>
      <c r="O45" s="862">
        <f>MANZ.G!AS38</f>
        <v>18</v>
      </c>
      <c r="P45" s="861"/>
      <c r="Q45" s="863">
        <f>MANZ.H!V40</f>
        <v>0</v>
      </c>
      <c r="R45" s="861"/>
      <c r="S45" s="862">
        <f>MANZ.I!AB40</f>
        <v>0</v>
      </c>
      <c r="T45" s="861"/>
      <c r="U45" s="862">
        <f>MANZ.J!AT43</f>
        <v>0</v>
      </c>
      <c r="V45" s="861"/>
      <c r="W45" s="862">
        <f>MANZ.K!AB40</f>
        <v>0</v>
      </c>
      <c r="X45" s="861"/>
      <c r="Y45" s="862">
        <f>MANZ.L!Z40</f>
        <v>0</v>
      </c>
      <c r="Z45" s="861"/>
      <c r="AA45" s="862">
        <f>'SALA MULTIUSO'!F49</f>
        <v>0</v>
      </c>
      <c r="AB45" s="864"/>
      <c r="AC45" s="864"/>
      <c r="AD45" s="864"/>
      <c r="AE45" s="864"/>
      <c r="AF45" s="861"/>
      <c r="AG45" s="865">
        <f>SUM(C40:AA40)</f>
        <v>0</v>
      </c>
      <c r="AH45" s="866"/>
      <c r="AI45" s="198"/>
      <c r="AJ45" s="198"/>
      <c r="AK45" s="198"/>
      <c r="AL45" s="198"/>
      <c r="AM45" s="198"/>
      <c r="AN45" s="198"/>
      <c r="AO45" s="198"/>
      <c r="AP45" s="198"/>
      <c r="AQ45" s="198"/>
      <c r="AR45" s="198"/>
      <c r="AS45" s="198"/>
      <c r="AT45" s="198"/>
      <c r="AU45" s="198"/>
      <c r="AV45" s="198"/>
      <c r="AW45" s="198"/>
      <c r="AX45" s="198"/>
      <c r="AY45" s="198"/>
      <c r="AZ45" s="198"/>
      <c r="BA45" s="198"/>
      <c r="BB45" s="198"/>
      <c r="BC45" s="198"/>
      <c r="BD45" s="198"/>
      <c r="BE45" s="198"/>
      <c r="BF45" s="198"/>
      <c r="BG45" s="198"/>
      <c r="BH45" s="198"/>
      <c r="BI45" s="198"/>
      <c r="BJ45" s="198"/>
      <c r="BK45" s="198"/>
      <c r="BL45" s="198"/>
      <c r="BM45" s="198"/>
      <c r="BN45" s="198"/>
      <c r="BO45" s="198"/>
      <c r="BP45" s="198"/>
      <c r="BQ45" s="198"/>
      <c r="BR45" s="198"/>
      <c r="BS45" s="198"/>
      <c r="BT45" s="198"/>
      <c r="BU45" s="198"/>
      <c r="BV45" s="198"/>
      <c r="BW45" s="198"/>
      <c r="BX45" s="198"/>
      <c r="BY45" s="198"/>
      <c r="BZ45" s="198"/>
      <c r="CA45" s="198"/>
      <c r="CB45" s="198"/>
      <c r="CC45" s="198"/>
      <c r="CD45" s="198"/>
      <c r="CE45" s="198"/>
      <c r="CF45" s="198"/>
      <c r="CG45" s="198"/>
      <c r="CH45" s="198"/>
      <c r="CI45" s="198"/>
      <c r="CJ45" s="198"/>
      <c r="CK45" s="198"/>
      <c r="CL45" s="198"/>
      <c r="CM45" s="198"/>
      <c r="CN45" s="198"/>
      <c r="CO45" s="198"/>
      <c r="CP45" s="198"/>
      <c r="CQ45" s="198"/>
      <c r="CR45" s="198"/>
      <c r="CS45" s="198"/>
      <c r="CT45" s="198"/>
      <c r="CU45" s="198"/>
      <c r="CV45" s="198"/>
      <c r="CW45" s="198"/>
      <c r="CX45" s="198"/>
      <c r="CY45" s="198"/>
      <c r="CZ45" s="198"/>
      <c r="DA45" s="198"/>
      <c r="DB45" s="198"/>
      <c r="DC45" s="198"/>
      <c r="DD45" s="198"/>
      <c r="DE45" s="198"/>
      <c r="DF45" s="198"/>
      <c r="DG45" s="198"/>
      <c r="DH45" s="198"/>
      <c r="DI45" s="198"/>
      <c r="DJ45" s="198"/>
      <c r="DK45" s="198"/>
      <c r="DL45" s="198"/>
      <c r="DM45" s="198"/>
      <c r="DN45" s="198"/>
      <c r="DO45" s="198"/>
      <c r="DP45" s="198"/>
      <c r="DQ45" s="198"/>
      <c r="DR45" s="198"/>
      <c r="DS45" s="198"/>
      <c r="DT45" s="198"/>
      <c r="DU45" s="198"/>
      <c r="DV45" s="198"/>
      <c r="DW45" s="198"/>
      <c r="DX45" s="198"/>
      <c r="DY45" s="198"/>
      <c r="DZ45" s="198"/>
      <c r="EA45" s="198"/>
      <c r="EB45" s="198"/>
      <c r="EC45" s="198"/>
      <c r="ED45" s="198"/>
      <c r="EE45" s="198"/>
      <c r="EF45" s="198"/>
      <c r="EG45" s="198"/>
      <c r="EH45" s="198"/>
      <c r="EI45" s="198"/>
      <c r="EJ45" s="198"/>
      <c r="EK45" s="198"/>
      <c r="EL45" s="198"/>
      <c r="EM45" s="198"/>
      <c r="EN45" s="198"/>
      <c r="EO45" s="198"/>
      <c r="EP45" s="198"/>
      <c r="EQ45" s="198"/>
      <c r="ER45" s="198"/>
      <c r="ES45" s="198"/>
      <c r="ET45" s="198"/>
      <c r="EU45" s="198"/>
      <c r="EV45" s="198"/>
      <c r="EW45" s="198"/>
      <c r="EX45" s="198"/>
      <c r="EY45" s="198"/>
      <c r="EZ45" s="198"/>
      <c r="FA45" s="198"/>
      <c r="FB45" s="198"/>
      <c r="FC45" s="198"/>
      <c r="FD45" s="198"/>
      <c r="FE45" s="198"/>
      <c r="FF45" s="198"/>
      <c r="FG45" s="198"/>
      <c r="FH45" s="198"/>
      <c r="FI45" s="198"/>
      <c r="FJ45" s="198"/>
      <c r="FK45" s="198"/>
      <c r="FL45" s="198"/>
      <c r="FM45" s="198"/>
      <c r="FN45" s="198"/>
      <c r="FO45" s="198"/>
      <c r="FP45" s="198"/>
      <c r="FQ45" s="198"/>
      <c r="FR45" s="198"/>
      <c r="FS45" s="198"/>
      <c r="FT45" s="198"/>
      <c r="FU45" s="198"/>
      <c r="FV45" s="198"/>
      <c r="FW45" s="198"/>
      <c r="FX45" s="198"/>
      <c r="FY45" s="198"/>
      <c r="FZ45" s="198"/>
      <c r="GA45" s="198"/>
      <c r="GB45" s="198"/>
      <c r="GC45" s="198"/>
      <c r="GD45" s="198"/>
      <c r="GE45" s="198"/>
      <c r="GF45" s="198"/>
      <c r="GG45" s="198"/>
      <c r="GH45" s="198"/>
      <c r="GI45" s="198"/>
      <c r="GJ45" s="198"/>
      <c r="GK45" s="198"/>
      <c r="GL45" s="198"/>
      <c r="GM45" s="198"/>
      <c r="GN45" s="198"/>
      <c r="GO45" s="198"/>
      <c r="GP45" s="198"/>
      <c r="GQ45" s="198"/>
      <c r="GR45" s="198"/>
      <c r="GS45" s="198"/>
      <c r="GT45" s="198"/>
      <c r="GU45" s="198"/>
      <c r="GV45" s="198"/>
      <c r="GW45" s="198"/>
      <c r="GX45" s="198"/>
      <c r="GY45" s="198"/>
      <c r="GZ45" s="198"/>
      <c r="HA45" s="198"/>
      <c r="HB45" s="198"/>
      <c r="HC45" s="198"/>
      <c r="HD45" s="198"/>
      <c r="HE45" s="198"/>
      <c r="HF45" s="198"/>
      <c r="HG45" s="198"/>
      <c r="HH45" s="198"/>
      <c r="HI45" s="198"/>
      <c r="HJ45" s="198"/>
      <c r="HK45" s="198"/>
      <c r="HL45" s="198"/>
      <c r="HM45" s="198"/>
      <c r="HN45" s="198"/>
      <c r="HO45" s="198"/>
      <c r="HP45" s="198"/>
      <c r="HQ45" s="198"/>
      <c r="HR45" s="198"/>
      <c r="HS45" s="198"/>
      <c r="HT45" s="198"/>
      <c r="HU45" s="198"/>
      <c r="HV45" s="198"/>
      <c r="HW45" s="198"/>
      <c r="HX45" s="198"/>
      <c r="HY45" s="198"/>
      <c r="HZ45" s="198"/>
      <c r="IA45" s="198"/>
      <c r="IB45" s="198"/>
      <c r="IC45" s="198"/>
      <c r="ID45" s="198"/>
      <c r="IE45" s="198"/>
      <c r="IF45" s="198"/>
      <c r="IG45" s="198"/>
      <c r="IH45" s="198"/>
      <c r="II45" s="198"/>
      <c r="IJ45" s="198"/>
      <c r="IK45" s="198"/>
      <c r="IL45" s="198"/>
      <c r="IM45" s="198"/>
      <c r="IN45" s="198"/>
      <c r="IO45" s="198"/>
      <c r="IP45" s="198"/>
      <c r="IQ45" s="198"/>
      <c r="IR45" s="198"/>
      <c r="IS45" s="198"/>
      <c r="IT45" s="198"/>
      <c r="IU45" s="198"/>
      <c r="IV45" s="198"/>
      <c r="IW45" s="198"/>
      <c r="IX45" s="198"/>
      <c r="IY45" s="198"/>
      <c r="IZ45" s="198"/>
      <c r="JA45" s="198"/>
      <c r="JB45" s="198"/>
      <c r="JC45" s="198"/>
      <c r="JD45" s="198"/>
      <c r="JE45" s="198"/>
      <c r="JF45" s="198"/>
      <c r="JG45" s="198"/>
      <c r="JH45" s="198"/>
      <c r="JI45" s="198"/>
      <c r="JJ45" s="198"/>
      <c r="JK45" s="198"/>
      <c r="JL45" s="198"/>
      <c r="JM45" s="198"/>
      <c r="JN45" s="198"/>
      <c r="JO45" s="198"/>
      <c r="JP45" s="198"/>
      <c r="JQ45" s="198"/>
      <c r="JR45" s="198"/>
      <c r="JS45" s="198"/>
      <c r="JT45" s="198"/>
      <c r="JU45" s="198"/>
      <c r="JV45" s="198"/>
      <c r="JW45" s="198"/>
      <c r="JX45" s="198"/>
      <c r="JY45" s="198"/>
      <c r="JZ45" s="198"/>
      <c r="KA45" s="198"/>
      <c r="KB45" s="198"/>
      <c r="KC45" s="198"/>
      <c r="KD45" s="198"/>
      <c r="KE45" s="198"/>
      <c r="KF45" s="198"/>
      <c r="KG45" s="198"/>
      <c r="KH45" s="198"/>
      <c r="KI45" s="198"/>
      <c r="KJ45" s="198"/>
      <c r="KK45" s="198"/>
      <c r="KL45" s="198"/>
      <c r="KM45" s="198"/>
      <c r="KN45" s="198"/>
      <c r="KO45" s="198"/>
      <c r="KP45" s="198"/>
      <c r="KQ45" s="198"/>
      <c r="KR45" s="198"/>
      <c r="KS45" s="198"/>
      <c r="KT45" s="198"/>
      <c r="KU45" s="198"/>
      <c r="KV45" s="198"/>
      <c r="KW45" s="198"/>
      <c r="KX45" s="198"/>
      <c r="KY45" s="198"/>
      <c r="KZ45" s="198"/>
      <c r="LA45" s="198"/>
      <c r="LB45" s="198"/>
      <c r="LC45" s="198"/>
      <c r="LD45" s="198"/>
      <c r="LE45" s="198"/>
      <c r="LF45" s="198"/>
      <c r="LG45" s="198"/>
      <c r="LH45" s="198"/>
      <c r="LI45" s="198"/>
      <c r="LJ45" s="198"/>
      <c r="LK45" s="198"/>
      <c r="LL45" s="198"/>
      <c r="LM45" s="198"/>
      <c r="LN45" s="198"/>
      <c r="LO45" s="198"/>
      <c r="LP45" s="198"/>
      <c r="LQ45" s="198"/>
      <c r="LR45" s="198"/>
      <c r="LS45" s="198"/>
      <c r="LT45" s="198"/>
      <c r="LU45" s="198"/>
      <c r="LV45" s="198"/>
      <c r="LW45" s="198"/>
      <c r="LX45" s="198"/>
      <c r="LY45" s="198"/>
      <c r="LZ45" s="198"/>
      <c r="MA45" s="198"/>
      <c r="MB45" s="198"/>
      <c r="MC45" s="198"/>
      <c r="MD45" s="198"/>
      <c r="ME45" s="198"/>
      <c r="MF45" s="198"/>
      <c r="MG45" s="198"/>
      <c r="MH45" s="198"/>
      <c r="MI45" s="198"/>
      <c r="MJ45" s="198"/>
      <c r="MK45" s="198"/>
      <c r="ML45" s="198"/>
      <c r="MM45" s="198"/>
      <c r="MN45" s="198"/>
      <c r="MO45" s="198"/>
      <c r="MP45" s="198"/>
      <c r="MQ45" s="198"/>
      <c r="MR45" s="198"/>
      <c r="MS45" s="198"/>
      <c r="MT45" s="198"/>
      <c r="MU45" s="198"/>
      <c r="MV45" s="198"/>
      <c r="MW45" s="198"/>
      <c r="MX45" s="198"/>
      <c r="MY45" s="198"/>
      <c r="MZ45" s="198"/>
      <c r="NA45" s="198"/>
      <c r="NB45" s="198"/>
      <c r="NC45" s="198"/>
      <c r="ND45" s="198"/>
      <c r="NE45" s="198"/>
      <c r="NF45" s="198"/>
      <c r="NG45" s="198"/>
      <c r="NH45" s="198"/>
      <c r="NI45" s="198"/>
      <c r="NJ45" s="198"/>
      <c r="NK45" s="198"/>
      <c r="NL45" s="198"/>
      <c r="NM45" s="198"/>
      <c r="NN45" s="198"/>
      <c r="NO45" s="198"/>
      <c r="NP45" s="198"/>
      <c r="NQ45" s="198"/>
      <c r="NR45" s="198"/>
      <c r="NS45" s="198"/>
      <c r="NT45" s="198"/>
      <c r="NU45" s="198"/>
      <c r="NV45" s="198"/>
      <c r="NW45" s="198"/>
      <c r="NX45" s="198"/>
      <c r="NY45" s="198"/>
      <c r="NZ45" s="198"/>
      <c r="OA45" s="198"/>
      <c r="OB45" s="198"/>
      <c r="OC45" s="198"/>
      <c r="OD45" s="198"/>
      <c r="OE45" s="198"/>
      <c r="OF45" s="198"/>
      <c r="OG45" s="198"/>
      <c r="OH45" s="198"/>
      <c r="OI45" s="198"/>
      <c r="OJ45" s="198"/>
      <c r="OK45" s="198"/>
      <c r="OL45" s="198"/>
      <c r="OM45" s="198"/>
      <c r="ON45" s="198"/>
      <c r="OO45" s="198"/>
      <c r="OP45" s="198"/>
      <c r="OQ45" s="198"/>
      <c r="OR45" s="198"/>
      <c r="OS45" s="198"/>
      <c r="OT45" s="198"/>
      <c r="OU45" s="198"/>
      <c r="OV45" s="198"/>
      <c r="OW45" s="198"/>
      <c r="OX45" s="198"/>
      <c r="OY45" s="198"/>
      <c r="OZ45" s="198"/>
      <c r="PA45" s="198"/>
      <c r="PB45" s="198"/>
      <c r="PC45" s="198"/>
      <c r="PD45" s="198"/>
      <c r="PE45" s="198"/>
      <c r="PF45" s="198"/>
      <c r="PG45" s="198"/>
      <c r="PH45" s="198"/>
      <c r="PI45" s="198"/>
      <c r="PJ45" s="198"/>
      <c r="PK45" s="198"/>
      <c r="PL45" s="198"/>
      <c r="PM45" s="198"/>
      <c r="PN45" s="198"/>
      <c r="PO45" s="198"/>
      <c r="PP45" s="198"/>
      <c r="PQ45" s="198"/>
      <c r="PR45" s="198"/>
      <c r="PS45" s="198"/>
      <c r="PT45" s="198"/>
      <c r="PU45" s="198"/>
      <c r="PV45" s="198"/>
      <c r="PW45" s="198"/>
      <c r="PX45" s="198"/>
      <c r="PY45" s="198"/>
      <c r="PZ45" s="198"/>
      <c r="QA45" s="198"/>
      <c r="QB45" s="198"/>
      <c r="QC45" s="198"/>
      <c r="QD45" s="198"/>
      <c r="QE45" s="198"/>
      <c r="QF45" s="198"/>
      <c r="QG45" s="198"/>
      <c r="QH45" s="198"/>
      <c r="QI45" s="198"/>
      <c r="QJ45" s="198"/>
      <c r="QK45" s="198"/>
      <c r="QL45" s="198"/>
      <c r="QM45" s="198"/>
      <c r="QN45" s="198"/>
      <c r="QO45" s="198"/>
      <c r="QP45" s="198"/>
      <c r="QQ45" s="198"/>
      <c r="QR45" s="198"/>
      <c r="QS45" s="198"/>
      <c r="QT45" s="198"/>
      <c r="QU45" s="198"/>
      <c r="QV45" s="198"/>
      <c r="QW45" s="198"/>
      <c r="QX45" s="198"/>
      <c r="QY45" s="198"/>
      <c r="QZ45" s="198"/>
      <c r="RA45" s="198"/>
      <c r="RB45" s="198"/>
      <c r="RC45" s="198"/>
      <c r="RD45" s="198"/>
      <c r="RE45" s="198"/>
      <c r="RF45" s="198"/>
      <c r="RG45" s="198"/>
      <c r="RH45" s="198"/>
      <c r="RI45" s="198"/>
      <c r="RJ45" s="198"/>
      <c r="RK45" s="198"/>
      <c r="RL45" s="198"/>
      <c r="RM45" s="198"/>
      <c r="RN45" s="198"/>
      <c r="RO45" s="198"/>
      <c r="RP45" s="198"/>
      <c r="RQ45" s="198"/>
      <c r="RR45" s="198"/>
      <c r="RS45" s="198"/>
      <c r="RT45" s="198"/>
      <c r="RU45" s="198"/>
      <c r="RV45" s="198"/>
      <c r="RW45" s="198"/>
      <c r="RX45" s="198"/>
      <c r="RY45" s="198"/>
      <c r="RZ45" s="198"/>
      <c r="SA45" s="198"/>
      <c r="SB45" s="198"/>
      <c r="SC45" s="198"/>
      <c r="SD45" s="198"/>
      <c r="SE45" s="198"/>
      <c r="SF45" s="198"/>
      <c r="SG45" s="198"/>
    </row>
    <row r="46" spans="1:501" ht="40.049999999999997" customHeight="1" thickBot="1" x14ac:dyDescent="0.35">
      <c r="A46" s="541" t="s">
        <v>163</v>
      </c>
      <c r="B46" s="952" t="s">
        <v>164</v>
      </c>
      <c r="C46" s="950">
        <f>'MANZ. A'!H48</f>
        <v>0</v>
      </c>
      <c r="D46" s="861"/>
      <c r="E46" s="862">
        <f>'MANZ. B'!R41</f>
        <v>0</v>
      </c>
      <c r="F46" s="861"/>
      <c r="G46" s="863">
        <f>MANZ.C!AL40</f>
        <v>17</v>
      </c>
      <c r="H46" s="861"/>
      <c r="I46" s="863">
        <f>MANZ.D!Z40</f>
        <v>11</v>
      </c>
      <c r="J46" s="861"/>
      <c r="K46" s="862">
        <f>MANZ.E!AK41</f>
        <v>15</v>
      </c>
      <c r="L46" s="861"/>
      <c r="M46" s="862">
        <f>MANZ.F!AB40</f>
        <v>10</v>
      </c>
      <c r="N46" s="861"/>
      <c r="O46" s="862">
        <f>MANZ.G!AT39</f>
        <v>0</v>
      </c>
      <c r="P46" s="861"/>
      <c r="Q46" s="863">
        <f>MANZ.H!V41</f>
        <v>0</v>
      </c>
      <c r="R46" s="861"/>
      <c r="S46" s="862">
        <f>MANZ.I!AB41</f>
        <v>0</v>
      </c>
      <c r="T46" s="861"/>
      <c r="U46" s="862">
        <f>MANZ.J!AT44</f>
        <v>0</v>
      </c>
      <c r="V46" s="861"/>
      <c r="W46" s="862">
        <f>MANZ.K!AB41</f>
        <v>0</v>
      </c>
      <c r="X46" s="861"/>
      <c r="Y46" s="862">
        <f>MANZ.L!Z41</f>
        <v>0</v>
      </c>
      <c r="Z46" s="861"/>
      <c r="AA46" s="862">
        <f>'SALA MULTIUSO'!F50</f>
        <v>0</v>
      </c>
      <c r="AB46" s="864"/>
      <c r="AC46" s="864"/>
      <c r="AD46" s="864"/>
      <c r="AE46" s="864"/>
      <c r="AF46" s="861"/>
      <c r="AG46" s="865">
        <f>SUM(C41:AA41)</f>
        <v>99</v>
      </c>
      <c r="AH46" s="866"/>
      <c r="AI46" s="198"/>
      <c r="AJ46" s="198"/>
      <c r="AK46" s="198"/>
      <c r="AL46" s="198"/>
      <c r="AM46" s="198"/>
      <c r="AN46" s="198"/>
      <c r="AO46" s="198"/>
      <c r="AP46" s="198"/>
      <c r="AQ46" s="198"/>
      <c r="AR46" s="198"/>
      <c r="AS46" s="198"/>
      <c r="AT46" s="198"/>
      <c r="AU46" s="198"/>
      <c r="AV46" s="198"/>
      <c r="AW46" s="198"/>
      <c r="AX46" s="198"/>
      <c r="AY46" s="198"/>
      <c r="AZ46" s="198"/>
      <c r="BA46" s="198"/>
      <c r="BB46" s="198"/>
      <c r="BC46" s="198"/>
      <c r="BD46" s="198"/>
      <c r="BE46" s="198"/>
      <c r="BF46" s="198"/>
      <c r="BG46" s="198"/>
      <c r="BH46" s="198"/>
      <c r="BI46" s="198"/>
      <c r="BJ46" s="198"/>
      <c r="BK46" s="198"/>
      <c r="BL46" s="198"/>
      <c r="BM46" s="198"/>
      <c r="BN46" s="198"/>
      <c r="BO46" s="198"/>
      <c r="BP46" s="198"/>
      <c r="BQ46" s="198"/>
      <c r="BR46" s="198"/>
      <c r="BS46" s="198"/>
      <c r="BT46" s="198"/>
      <c r="BU46" s="198"/>
      <c r="BV46" s="198"/>
      <c r="BW46" s="198"/>
      <c r="BX46" s="198"/>
      <c r="BY46" s="198"/>
      <c r="BZ46" s="198"/>
      <c r="CA46" s="198"/>
      <c r="CB46" s="198"/>
      <c r="CC46" s="198"/>
      <c r="CD46" s="198"/>
      <c r="CE46" s="198"/>
      <c r="CF46" s="198"/>
      <c r="CG46" s="198"/>
      <c r="CH46" s="198"/>
      <c r="CI46" s="198"/>
      <c r="CJ46" s="198"/>
      <c r="CK46" s="198"/>
      <c r="CL46" s="198"/>
      <c r="CM46" s="198"/>
      <c r="CN46" s="198"/>
      <c r="CO46" s="198"/>
      <c r="CP46" s="198"/>
      <c r="CQ46" s="198"/>
      <c r="CR46" s="198"/>
      <c r="CS46" s="198"/>
      <c r="CT46" s="198"/>
      <c r="CU46" s="198"/>
      <c r="CV46" s="198"/>
      <c r="CW46" s="198"/>
      <c r="CX46" s="198"/>
      <c r="CY46" s="198"/>
      <c r="CZ46" s="198"/>
      <c r="DA46" s="198"/>
      <c r="DB46" s="198"/>
      <c r="DC46" s="198"/>
      <c r="DD46" s="198"/>
      <c r="DE46" s="198"/>
      <c r="DF46" s="198"/>
      <c r="DG46" s="198"/>
      <c r="DH46" s="198"/>
      <c r="DI46" s="198"/>
      <c r="DJ46" s="198"/>
      <c r="DK46" s="198"/>
      <c r="DL46" s="198"/>
      <c r="DM46" s="198"/>
      <c r="DN46" s="198"/>
      <c r="DO46" s="198"/>
      <c r="DP46" s="198"/>
      <c r="DQ46" s="198"/>
      <c r="DR46" s="198"/>
      <c r="DS46" s="198"/>
      <c r="DT46" s="198"/>
      <c r="DU46" s="198"/>
      <c r="DV46" s="198"/>
      <c r="DW46" s="198"/>
      <c r="DX46" s="198"/>
      <c r="DY46" s="198"/>
      <c r="DZ46" s="198"/>
      <c r="EA46" s="198"/>
      <c r="EB46" s="198"/>
      <c r="EC46" s="198"/>
      <c r="ED46" s="198"/>
      <c r="EE46" s="198"/>
      <c r="EF46" s="198"/>
      <c r="EG46" s="198"/>
      <c r="EH46" s="198"/>
      <c r="EI46" s="198"/>
      <c r="EJ46" s="198"/>
      <c r="EK46" s="198"/>
      <c r="EL46" s="198"/>
      <c r="EM46" s="198"/>
      <c r="EN46" s="198"/>
      <c r="EO46" s="198"/>
      <c r="EP46" s="198"/>
      <c r="EQ46" s="198"/>
      <c r="ER46" s="198"/>
      <c r="ES46" s="198"/>
      <c r="ET46" s="198"/>
      <c r="EU46" s="198"/>
      <c r="EV46" s="198"/>
      <c r="EW46" s="198"/>
      <c r="EX46" s="198"/>
      <c r="EY46" s="198"/>
      <c r="EZ46" s="198"/>
      <c r="FA46" s="198"/>
      <c r="FB46" s="198"/>
      <c r="FC46" s="198"/>
      <c r="FD46" s="198"/>
      <c r="FE46" s="198"/>
      <c r="FF46" s="198"/>
      <c r="FG46" s="198"/>
      <c r="FH46" s="198"/>
      <c r="FI46" s="198"/>
      <c r="FJ46" s="198"/>
      <c r="FK46" s="198"/>
      <c r="FL46" s="198"/>
      <c r="FM46" s="198"/>
      <c r="FN46" s="198"/>
      <c r="FO46" s="198"/>
      <c r="FP46" s="198"/>
      <c r="FQ46" s="198"/>
      <c r="FR46" s="198"/>
      <c r="FS46" s="198"/>
      <c r="FT46" s="198"/>
      <c r="FU46" s="198"/>
      <c r="FV46" s="198"/>
      <c r="FW46" s="198"/>
      <c r="FX46" s="198"/>
      <c r="FY46" s="198"/>
      <c r="FZ46" s="198"/>
      <c r="GA46" s="198"/>
      <c r="GB46" s="198"/>
      <c r="GC46" s="198"/>
      <c r="GD46" s="198"/>
      <c r="GE46" s="198"/>
      <c r="GF46" s="198"/>
      <c r="GG46" s="198"/>
      <c r="GH46" s="198"/>
      <c r="GI46" s="198"/>
      <c r="GJ46" s="198"/>
      <c r="GK46" s="198"/>
      <c r="GL46" s="198"/>
      <c r="GM46" s="198"/>
      <c r="GN46" s="198"/>
      <c r="GO46" s="198"/>
      <c r="GP46" s="198"/>
      <c r="GQ46" s="198"/>
      <c r="GR46" s="198"/>
      <c r="GS46" s="198"/>
      <c r="GT46" s="198"/>
      <c r="GU46" s="198"/>
      <c r="GV46" s="198"/>
      <c r="GW46" s="198"/>
      <c r="GX46" s="198"/>
      <c r="GY46" s="198"/>
      <c r="GZ46" s="198"/>
      <c r="HA46" s="198"/>
      <c r="HB46" s="198"/>
      <c r="HC46" s="198"/>
      <c r="HD46" s="198"/>
      <c r="HE46" s="198"/>
      <c r="HF46" s="198"/>
      <c r="HG46" s="198"/>
      <c r="HH46" s="198"/>
      <c r="HI46" s="198"/>
      <c r="HJ46" s="198"/>
      <c r="HK46" s="198"/>
      <c r="HL46" s="198"/>
      <c r="HM46" s="198"/>
      <c r="HN46" s="198"/>
      <c r="HO46" s="198"/>
      <c r="HP46" s="198"/>
      <c r="HQ46" s="198"/>
      <c r="HR46" s="198"/>
      <c r="HS46" s="198"/>
      <c r="HT46" s="198"/>
      <c r="HU46" s="198"/>
      <c r="HV46" s="198"/>
      <c r="HW46" s="198"/>
      <c r="HX46" s="198"/>
      <c r="HY46" s="198"/>
      <c r="HZ46" s="198"/>
      <c r="IA46" s="198"/>
      <c r="IB46" s="198"/>
      <c r="IC46" s="198"/>
      <c r="ID46" s="198"/>
      <c r="IE46" s="198"/>
      <c r="IF46" s="198"/>
      <c r="IG46" s="198"/>
      <c r="IH46" s="198"/>
      <c r="II46" s="198"/>
      <c r="IJ46" s="198"/>
      <c r="IK46" s="198"/>
      <c r="IL46" s="198"/>
      <c r="IM46" s="198"/>
      <c r="IN46" s="198"/>
      <c r="IO46" s="198"/>
      <c r="IP46" s="198"/>
      <c r="IQ46" s="198"/>
      <c r="IR46" s="198"/>
      <c r="IS46" s="198"/>
      <c r="IT46" s="198"/>
      <c r="IU46" s="198"/>
      <c r="IV46" s="198"/>
      <c r="IW46" s="198"/>
      <c r="IX46" s="198"/>
      <c r="IY46" s="198"/>
      <c r="IZ46" s="198"/>
      <c r="JA46" s="198"/>
      <c r="JB46" s="198"/>
      <c r="JC46" s="198"/>
      <c r="JD46" s="198"/>
      <c r="JE46" s="198"/>
      <c r="JF46" s="198"/>
      <c r="JG46" s="198"/>
      <c r="JH46" s="198"/>
      <c r="JI46" s="198"/>
      <c r="JJ46" s="198"/>
      <c r="JK46" s="198"/>
      <c r="JL46" s="198"/>
      <c r="JM46" s="198"/>
      <c r="JN46" s="198"/>
      <c r="JO46" s="198"/>
      <c r="JP46" s="198"/>
      <c r="JQ46" s="198"/>
      <c r="JR46" s="198"/>
      <c r="JS46" s="198"/>
      <c r="JT46" s="198"/>
      <c r="JU46" s="198"/>
      <c r="JV46" s="198"/>
      <c r="JW46" s="198"/>
      <c r="JX46" s="198"/>
      <c r="JY46" s="198"/>
      <c r="JZ46" s="198"/>
      <c r="KA46" s="198"/>
      <c r="KB46" s="198"/>
      <c r="KC46" s="198"/>
      <c r="KD46" s="198"/>
      <c r="KE46" s="198"/>
      <c r="KF46" s="198"/>
      <c r="KG46" s="198"/>
      <c r="KH46" s="198"/>
      <c r="KI46" s="198"/>
      <c r="KJ46" s="198"/>
      <c r="KK46" s="198"/>
      <c r="KL46" s="198"/>
      <c r="KM46" s="198"/>
      <c r="KN46" s="198"/>
      <c r="KO46" s="198"/>
      <c r="KP46" s="198"/>
      <c r="KQ46" s="198"/>
      <c r="KR46" s="198"/>
      <c r="KS46" s="198"/>
      <c r="KT46" s="198"/>
      <c r="KU46" s="198"/>
      <c r="KV46" s="198"/>
      <c r="KW46" s="198"/>
      <c r="KX46" s="198"/>
      <c r="KY46" s="198"/>
      <c r="KZ46" s="198"/>
      <c r="LA46" s="198"/>
      <c r="LB46" s="198"/>
      <c r="LC46" s="198"/>
      <c r="LD46" s="198"/>
      <c r="LE46" s="198"/>
      <c r="LF46" s="198"/>
      <c r="LG46" s="198"/>
      <c r="LH46" s="198"/>
      <c r="LI46" s="198"/>
      <c r="LJ46" s="198"/>
      <c r="LK46" s="198"/>
      <c r="LL46" s="198"/>
      <c r="LM46" s="198"/>
      <c r="LN46" s="198"/>
      <c r="LO46" s="198"/>
      <c r="LP46" s="198"/>
      <c r="LQ46" s="198"/>
      <c r="LR46" s="198"/>
      <c r="LS46" s="198"/>
      <c r="LT46" s="198"/>
      <c r="LU46" s="198"/>
      <c r="LV46" s="198"/>
      <c r="LW46" s="198"/>
      <c r="LX46" s="198"/>
      <c r="LY46" s="198"/>
      <c r="LZ46" s="198"/>
      <c r="MA46" s="198"/>
      <c r="MB46" s="198"/>
      <c r="MC46" s="198"/>
      <c r="MD46" s="198"/>
      <c r="ME46" s="198"/>
      <c r="MF46" s="198"/>
      <c r="MG46" s="198"/>
      <c r="MH46" s="198"/>
      <c r="MI46" s="198"/>
      <c r="MJ46" s="198"/>
      <c r="MK46" s="198"/>
      <c r="ML46" s="198"/>
      <c r="MM46" s="198"/>
      <c r="MN46" s="198"/>
      <c r="MO46" s="198"/>
      <c r="MP46" s="198"/>
      <c r="MQ46" s="198"/>
      <c r="MR46" s="198"/>
      <c r="MS46" s="198"/>
      <c r="MT46" s="198"/>
      <c r="MU46" s="198"/>
      <c r="MV46" s="198"/>
      <c r="MW46" s="198"/>
      <c r="MX46" s="198"/>
      <c r="MY46" s="198"/>
      <c r="MZ46" s="198"/>
      <c r="NA46" s="198"/>
      <c r="NB46" s="198"/>
      <c r="NC46" s="198"/>
      <c r="ND46" s="198"/>
      <c r="NE46" s="198"/>
      <c r="NF46" s="198"/>
      <c r="NG46" s="198"/>
      <c r="NH46" s="198"/>
      <c r="NI46" s="198"/>
      <c r="NJ46" s="198"/>
      <c r="NK46" s="198"/>
      <c r="NL46" s="198"/>
      <c r="NM46" s="198"/>
      <c r="NN46" s="198"/>
      <c r="NO46" s="198"/>
      <c r="NP46" s="198"/>
      <c r="NQ46" s="198"/>
      <c r="NR46" s="198"/>
      <c r="NS46" s="198"/>
      <c r="NT46" s="198"/>
      <c r="NU46" s="198"/>
      <c r="NV46" s="198"/>
      <c r="NW46" s="198"/>
      <c r="NX46" s="198"/>
      <c r="NY46" s="198"/>
      <c r="NZ46" s="198"/>
      <c r="OA46" s="198"/>
      <c r="OB46" s="198"/>
      <c r="OC46" s="198"/>
      <c r="OD46" s="198"/>
      <c r="OE46" s="198"/>
      <c r="OF46" s="198"/>
      <c r="OG46" s="198"/>
      <c r="OH46" s="198"/>
      <c r="OI46" s="198"/>
      <c r="OJ46" s="198"/>
      <c r="OK46" s="198"/>
      <c r="OL46" s="198"/>
      <c r="OM46" s="198"/>
      <c r="ON46" s="198"/>
      <c r="OO46" s="198"/>
      <c r="OP46" s="198"/>
      <c r="OQ46" s="198"/>
      <c r="OR46" s="198"/>
      <c r="OS46" s="198"/>
      <c r="OT46" s="198"/>
      <c r="OU46" s="198"/>
      <c r="OV46" s="198"/>
      <c r="OW46" s="198"/>
      <c r="OX46" s="198"/>
      <c r="OY46" s="198"/>
      <c r="OZ46" s="198"/>
      <c r="PA46" s="198"/>
      <c r="PB46" s="198"/>
      <c r="PC46" s="198"/>
      <c r="PD46" s="198"/>
      <c r="PE46" s="198"/>
      <c r="PF46" s="198"/>
      <c r="PG46" s="198"/>
      <c r="PH46" s="198"/>
      <c r="PI46" s="198"/>
      <c r="PJ46" s="198"/>
      <c r="PK46" s="198"/>
      <c r="PL46" s="198"/>
      <c r="PM46" s="198"/>
      <c r="PN46" s="198"/>
      <c r="PO46" s="198"/>
      <c r="PP46" s="198"/>
      <c r="PQ46" s="198"/>
      <c r="PR46" s="198"/>
      <c r="PS46" s="198"/>
      <c r="PT46" s="198"/>
      <c r="PU46" s="198"/>
      <c r="PV46" s="198"/>
      <c r="PW46" s="198"/>
      <c r="PX46" s="198"/>
      <c r="PY46" s="198"/>
      <c r="PZ46" s="198"/>
      <c r="QA46" s="198"/>
      <c r="QB46" s="198"/>
      <c r="QC46" s="198"/>
      <c r="QD46" s="198"/>
      <c r="QE46" s="198"/>
      <c r="QF46" s="198"/>
      <c r="QG46" s="198"/>
      <c r="QH46" s="198"/>
      <c r="QI46" s="198"/>
      <c r="QJ46" s="198"/>
      <c r="QK46" s="198"/>
      <c r="QL46" s="198"/>
      <c r="QM46" s="198"/>
      <c r="QN46" s="198"/>
      <c r="QO46" s="198"/>
      <c r="QP46" s="198"/>
      <c r="QQ46" s="198"/>
      <c r="QR46" s="198"/>
      <c r="QS46" s="198"/>
      <c r="QT46" s="198"/>
      <c r="QU46" s="198"/>
      <c r="QV46" s="198"/>
      <c r="QW46" s="198"/>
      <c r="QX46" s="198"/>
      <c r="QY46" s="198"/>
      <c r="QZ46" s="198"/>
      <c r="RA46" s="198"/>
      <c r="RB46" s="198"/>
      <c r="RC46" s="198"/>
      <c r="RD46" s="198"/>
      <c r="RE46" s="198"/>
      <c r="RF46" s="198"/>
      <c r="RG46" s="198"/>
      <c r="RH46" s="198"/>
      <c r="RI46" s="198"/>
      <c r="RJ46" s="198"/>
      <c r="RK46" s="198"/>
      <c r="RL46" s="198"/>
      <c r="RM46" s="198"/>
      <c r="RN46" s="198"/>
      <c r="RO46" s="198"/>
      <c r="RP46" s="198"/>
      <c r="RQ46" s="198"/>
      <c r="RR46" s="198"/>
      <c r="RS46" s="198"/>
      <c r="RT46" s="198"/>
      <c r="RU46" s="198"/>
      <c r="RV46" s="198"/>
      <c r="RW46" s="198"/>
      <c r="RX46" s="198"/>
      <c r="RY46" s="198"/>
      <c r="RZ46" s="198"/>
      <c r="SA46" s="198"/>
      <c r="SB46" s="198"/>
      <c r="SC46" s="198"/>
      <c r="SD46" s="198"/>
      <c r="SE46" s="198"/>
      <c r="SF46" s="198"/>
      <c r="SG46" s="198"/>
    </row>
    <row r="47" spans="1:501" ht="40.049999999999997" customHeight="1" x14ac:dyDescent="0.3">
      <c r="A47" s="966" t="s">
        <v>165</v>
      </c>
      <c r="B47" s="967" t="s">
        <v>166</v>
      </c>
      <c r="C47" s="944"/>
      <c r="D47" s="944"/>
      <c r="E47" s="944"/>
      <c r="F47" s="944"/>
      <c r="G47" s="944"/>
      <c r="H47" s="944"/>
      <c r="I47" s="944"/>
      <c r="J47" s="944"/>
      <c r="K47" s="944"/>
      <c r="L47" s="944"/>
      <c r="M47" s="944"/>
      <c r="N47" s="944"/>
      <c r="O47" s="944"/>
      <c r="P47" s="944"/>
      <c r="Q47" s="944"/>
      <c r="R47" s="944"/>
      <c r="S47" s="944"/>
      <c r="T47" s="944"/>
      <c r="U47" s="944"/>
      <c r="V47" s="944"/>
      <c r="W47" s="944"/>
      <c r="X47" s="944"/>
      <c r="Y47" s="944"/>
      <c r="Z47" s="944"/>
      <c r="AA47" s="944"/>
      <c r="AB47" s="944"/>
      <c r="AC47" s="944"/>
      <c r="AD47" s="944"/>
      <c r="AE47" s="944"/>
      <c r="AF47" s="944"/>
      <c r="AG47" s="944"/>
      <c r="AH47" s="945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  <c r="AS47" s="198"/>
      <c r="AT47" s="198"/>
      <c r="AU47" s="198"/>
      <c r="AV47" s="198"/>
      <c r="AW47" s="198"/>
      <c r="AX47" s="198"/>
      <c r="AY47" s="198"/>
      <c r="AZ47" s="198"/>
      <c r="BA47" s="198"/>
      <c r="BB47" s="198"/>
      <c r="BC47" s="198"/>
      <c r="BD47" s="198"/>
      <c r="BE47" s="198"/>
      <c r="BF47" s="198"/>
      <c r="BG47" s="198"/>
      <c r="BH47" s="198"/>
      <c r="BI47" s="198"/>
      <c r="BJ47" s="198"/>
      <c r="BK47" s="198"/>
      <c r="BL47" s="198"/>
      <c r="BM47" s="198"/>
      <c r="BN47" s="198"/>
      <c r="BO47" s="198"/>
      <c r="BP47" s="198"/>
      <c r="BQ47" s="198"/>
      <c r="BR47" s="198"/>
      <c r="BS47" s="198"/>
      <c r="BT47" s="198"/>
      <c r="BU47" s="198"/>
      <c r="BV47" s="198"/>
      <c r="BW47" s="198"/>
      <c r="BX47" s="198"/>
      <c r="BY47" s="198"/>
      <c r="BZ47" s="198"/>
      <c r="CA47" s="198"/>
      <c r="CB47" s="198"/>
      <c r="CC47" s="198"/>
      <c r="CD47" s="198"/>
      <c r="CE47" s="198"/>
      <c r="CF47" s="198"/>
      <c r="CG47" s="198"/>
      <c r="CH47" s="198"/>
      <c r="CI47" s="198"/>
      <c r="CJ47" s="198"/>
      <c r="CK47" s="198"/>
      <c r="CL47" s="198"/>
      <c r="CM47" s="198"/>
      <c r="CN47" s="198"/>
      <c r="CO47" s="198"/>
      <c r="CP47" s="198"/>
      <c r="CQ47" s="198"/>
      <c r="CR47" s="198"/>
      <c r="CS47" s="198"/>
      <c r="CT47" s="198"/>
      <c r="CU47" s="198"/>
      <c r="CV47" s="198"/>
      <c r="CW47" s="198"/>
      <c r="CX47" s="198"/>
      <c r="CY47" s="198"/>
      <c r="CZ47" s="198"/>
      <c r="DA47" s="198"/>
      <c r="DB47" s="198"/>
      <c r="DC47" s="198"/>
      <c r="DD47" s="198"/>
      <c r="DE47" s="198"/>
      <c r="DF47" s="198"/>
      <c r="DG47" s="198"/>
      <c r="DH47" s="198"/>
      <c r="DI47" s="198"/>
      <c r="DJ47" s="198"/>
      <c r="DK47" s="198"/>
      <c r="DL47" s="198"/>
      <c r="DM47" s="198"/>
      <c r="DN47" s="198"/>
      <c r="DO47" s="198"/>
      <c r="DP47" s="198"/>
      <c r="DQ47" s="198"/>
      <c r="DR47" s="198"/>
      <c r="DS47" s="198"/>
      <c r="DT47" s="198"/>
      <c r="DU47" s="198"/>
      <c r="DV47" s="198"/>
      <c r="DW47" s="198"/>
      <c r="DX47" s="198"/>
      <c r="DY47" s="198"/>
      <c r="DZ47" s="198"/>
      <c r="EA47" s="198"/>
      <c r="EB47" s="198"/>
      <c r="EC47" s="198"/>
      <c r="ED47" s="198"/>
      <c r="EE47" s="198"/>
      <c r="EF47" s="198"/>
      <c r="EG47" s="198"/>
      <c r="EH47" s="198"/>
      <c r="EI47" s="198"/>
      <c r="EJ47" s="198"/>
      <c r="EK47" s="198"/>
      <c r="EL47" s="198"/>
      <c r="EM47" s="198"/>
      <c r="EN47" s="198"/>
      <c r="EO47" s="198"/>
      <c r="EP47" s="198"/>
      <c r="EQ47" s="198"/>
      <c r="ER47" s="198"/>
      <c r="ES47" s="198"/>
      <c r="ET47" s="198"/>
      <c r="EU47" s="198"/>
      <c r="EV47" s="198"/>
      <c r="EW47" s="198"/>
      <c r="EX47" s="198"/>
      <c r="EY47" s="198"/>
      <c r="EZ47" s="198"/>
      <c r="FA47" s="198"/>
      <c r="FB47" s="198"/>
      <c r="FC47" s="198"/>
      <c r="FD47" s="198"/>
      <c r="FE47" s="198"/>
      <c r="FF47" s="198"/>
      <c r="FG47" s="198"/>
      <c r="FH47" s="198"/>
      <c r="FI47" s="198"/>
      <c r="FJ47" s="198"/>
      <c r="FK47" s="198"/>
      <c r="FL47" s="198"/>
      <c r="FM47" s="198"/>
      <c r="FN47" s="198"/>
      <c r="FO47" s="198"/>
      <c r="FP47" s="198"/>
      <c r="FQ47" s="198"/>
      <c r="FR47" s="198"/>
      <c r="FS47" s="198"/>
      <c r="FT47" s="198"/>
      <c r="FU47" s="198"/>
      <c r="FV47" s="198"/>
      <c r="FW47" s="198"/>
      <c r="FX47" s="198"/>
      <c r="FY47" s="198"/>
      <c r="FZ47" s="198"/>
      <c r="GA47" s="198"/>
      <c r="GB47" s="198"/>
      <c r="GC47" s="198"/>
      <c r="GD47" s="198"/>
      <c r="GE47" s="198"/>
      <c r="GF47" s="198"/>
      <c r="GG47" s="198"/>
      <c r="GH47" s="198"/>
      <c r="GI47" s="198"/>
      <c r="GJ47" s="198"/>
      <c r="GK47" s="198"/>
      <c r="GL47" s="198"/>
      <c r="GM47" s="198"/>
      <c r="GN47" s="198"/>
      <c r="GO47" s="198"/>
      <c r="GP47" s="198"/>
      <c r="GQ47" s="198"/>
      <c r="GR47" s="198"/>
      <c r="GS47" s="198"/>
      <c r="GT47" s="198"/>
      <c r="GU47" s="198"/>
      <c r="GV47" s="198"/>
      <c r="GW47" s="198"/>
      <c r="GX47" s="198"/>
      <c r="GY47" s="198"/>
      <c r="GZ47" s="198"/>
      <c r="HA47" s="198"/>
      <c r="HB47" s="198"/>
      <c r="HC47" s="198"/>
      <c r="HD47" s="198"/>
      <c r="HE47" s="198"/>
      <c r="HF47" s="198"/>
      <c r="HG47" s="198"/>
      <c r="HH47" s="198"/>
      <c r="HI47" s="198"/>
      <c r="HJ47" s="198"/>
      <c r="HK47" s="198"/>
      <c r="HL47" s="198"/>
      <c r="HM47" s="198"/>
      <c r="HN47" s="198"/>
      <c r="HO47" s="198"/>
      <c r="HP47" s="198"/>
      <c r="HQ47" s="198"/>
      <c r="HR47" s="198"/>
      <c r="HS47" s="198"/>
      <c r="HT47" s="198"/>
      <c r="HU47" s="198"/>
      <c r="HV47" s="198"/>
      <c r="HW47" s="198"/>
      <c r="HX47" s="198"/>
      <c r="HY47" s="198"/>
      <c r="HZ47" s="198"/>
      <c r="IA47" s="198"/>
      <c r="IB47" s="198"/>
      <c r="IC47" s="198"/>
      <c r="ID47" s="198"/>
      <c r="IE47" s="198"/>
      <c r="IF47" s="198"/>
      <c r="IG47" s="198"/>
      <c r="IH47" s="198"/>
      <c r="II47" s="198"/>
      <c r="IJ47" s="198"/>
      <c r="IK47" s="198"/>
      <c r="IL47" s="198"/>
      <c r="IM47" s="198"/>
      <c r="IN47" s="198"/>
      <c r="IO47" s="198"/>
      <c r="IP47" s="198"/>
      <c r="IQ47" s="198"/>
      <c r="IR47" s="198"/>
      <c r="IS47" s="198"/>
      <c r="IT47" s="198"/>
      <c r="IU47" s="198"/>
      <c r="IV47" s="198"/>
      <c r="IW47" s="198"/>
      <c r="IX47" s="198"/>
      <c r="IY47" s="198"/>
      <c r="IZ47" s="198"/>
      <c r="JA47" s="198"/>
      <c r="JB47" s="198"/>
      <c r="JC47" s="198"/>
      <c r="JD47" s="198"/>
      <c r="JE47" s="198"/>
      <c r="JF47" s="198"/>
      <c r="JG47" s="198"/>
      <c r="JH47" s="198"/>
      <c r="JI47" s="198"/>
      <c r="JJ47" s="198"/>
      <c r="JK47" s="198"/>
      <c r="JL47" s="198"/>
      <c r="JM47" s="198"/>
      <c r="JN47" s="198"/>
      <c r="JO47" s="198"/>
      <c r="JP47" s="198"/>
      <c r="JQ47" s="198"/>
      <c r="JR47" s="198"/>
      <c r="JS47" s="198"/>
      <c r="JT47" s="198"/>
      <c r="JU47" s="198"/>
      <c r="JV47" s="198"/>
      <c r="JW47" s="198"/>
      <c r="JX47" s="198"/>
      <c r="JY47" s="198"/>
      <c r="JZ47" s="198"/>
      <c r="KA47" s="198"/>
      <c r="KB47" s="198"/>
      <c r="KC47" s="198"/>
      <c r="KD47" s="198"/>
      <c r="KE47" s="198"/>
      <c r="KF47" s="198"/>
      <c r="KG47" s="198"/>
      <c r="KH47" s="198"/>
      <c r="KI47" s="198"/>
      <c r="KJ47" s="198"/>
      <c r="KK47" s="198"/>
      <c r="KL47" s="198"/>
      <c r="KM47" s="198"/>
      <c r="KN47" s="198"/>
      <c r="KO47" s="198"/>
      <c r="KP47" s="198"/>
      <c r="KQ47" s="198"/>
      <c r="KR47" s="198"/>
      <c r="KS47" s="198"/>
      <c r="KT47" s="198"/>
      <c r="KU47" s="198"/>
      <c r="KV47" s="198"/>
      <c r="KW47" s="198"/>
      <c r="KX47" s="198"/>
      <c r="KY47" s="198"/>
      <c r="KZ47" s="198"/>
      <c r="LA47" s="198"/>
      <c r="LB47" s="198"/>
      <c r="LC47" s="198"/>
      <c r="LD47" s="198"/>
      <c r="LE47" s="198"/>
      <c r="LF47" s="198"/>
      <c r="LG47" s="198"/>
      <c r="LH47" s="198"/>
      <c r="LI47" s="198"/>
      <c r="LJ47" s="198"/>
      <c r="LK47" s="198"/>
      <c r="LL47" s="198"/>
      <c r="LM47" s="198"/>
      <c r="LN47" s="198"/>
      <c r="LO47" s="198"/>
      <c r="LP47" s="198"/>
      <c r="LQ47" s="198"/>
      <c r="LR47" s="198"/>
      <c r="LS47" s="198"/>
      <c r="LT47" s="198"/>
      <c r="LU47" s="198"/>
      <c r="LV47" s="198"/>
      <c r="LW47" s="198"/>
      <c r="LX47" s="198"/>
      <c r="LY47" s="198"/>
      <c r="LZ47" s="198"/>
      <c r="MA47" s="198"/>
      <c r="MB47" s="198"/>
      <c r="MC47" s="198"/>
      <c r="MD47" s="198"/>
      <c r="ME47" s="198"/>
      <c r="MF47" s="198"/>
      <c r="MG47" s="198"/>
      <c r="MH47" s="198"/>
      <c r="MI47" s="198"/>
      <c r="MJ47" s="198"/>
      <c r="MK47" s="198"/>
      <c r="ML47" s="198"/>
      <c r="MM47" s="198"/>
      <c r="MN47" s="198"/>
      <c r="MO47" s="198"/>
      <c r="MP47" s="198"/>
      <c r="MQ47" s="198"/>
      <c r="MR47" s="198"/>
      <c r="MS47" s="198"/>
      <c r="MT47" s="198"/>
      <c r="MU47" s="198"/>
      <c r="MV47" s="198"/>
      <c r="MW47" s="198"/>
      <c r="MX47" s="198"/>
      <c r="MY47" s="198"/>
      <c r="MZ47" s="198"/>
      <c r="NA47" s="198"/>
      <c r="NB47" s="198"/>
      <c r="NC47" s="198"/>
      <c r="ND47" s="198"/>
      <c r="NE47" s="198"/>
      <c r="NF47" s="198"/>
      <c r="NG47" s="198"/>
      <c r="NH47" s="198"/>
      <c r="NI47" s="198"/>
      <c r="NJ47" s="198"/>
      <c r="NK47" s="198"/>
      <c r="NL47" s="198"/>
      <c r="NM47" s="198"/>
      <c r="NN47" s="198"/>
      <c r="NO47" s="198"/>
      <c r="NP47" s="198"/>
      <c r="NQ47" s="198"/>
      <c r="NR47" s="198"/>
      <c r="NS47" s="198"/>
      <c r="NT47" s="198"/>
      <c r="NU47" s="198"/>
      <c r="NV47" s="198"/>
      <c r="NW47" s="198"/>
      <c r="NX47" s="198"/>
      <c r="NY47" s="198"/>
      <c r="NZ47" s="198"/>
      <c r="OA47" s="198"/>
      <c r="OB47" s="198"/>
      <c r="OC47" s="198"/>
      <c r="OD47" s="198"/>
      <c r="OE47" s="198"/>
      <c r="OF47" s="198"/>
      <c r="OG47" s="198"/>
      <c r="OH47" s="198"/>
      <c r="OI47" s="198"/>
      <c r="OJ47" s="198"/>
      <c r="OK47" s="198"/>
      <c r="OL47" s="198"/>
      <c r="OM47" s="198"/>
      <c r="ON47" s="198"/>
      <c r="OO47" s="198"/>
      <c r="OP47" s="198"/>
      <c r="OQ47" s="198"/>
      <c r="OR47" s="198"/>
      <c r="OS47" s="198"/>
      <c r="OT47" s="198"/>
      <c r="OU47" s="198"/>
      <c r="OV47" s="198"/>
      <c r="OW47" s="198"/>
      <c r="OX47" s="198"/>
      <c r="OY47" s="198"/>
      <c r="OZ47" s="198"/>
      <c r="PA47" s="198"/>
      <c r="PB47" s="198"/>
      <c r="PC47" s="198"/>
      <c r="PD47" s="198"/>
      <c r="PE47" s="198"/>
      <c r="PF47" s="198"/>
      <c r="PG47" s="198"/>
      <c r="PH47" s="198"/>
      <c r="PI47" s="198"/>
      <c r="PJ47" s="198"/>
      <c r="PK47" s="198"/>
      <c r="PL47" s="198"/>
      <c r="PM47" s="198"/>
      <c r="PN47" s="198"/>
      <c r="PO47" s="198"/>
      <c r="PP47" s="198"/>
      <c r="PQ47" s="198"/>
      <c r="PR47" s="198"/>
      <c r="PS47" s="198"/>
      <c r="PT47" s="198"/>
      <c r="PU47" s="198"/>
      <c r="PV47" s="198"/>
      <c r="PW47" s="198"/>
      <c r="PX47" s="198"/>
      <c r="PY47" s="198"/>
      <c r="PZ47" s="198"/>
      <c r="QA47" s="198"/>
      <c r="QB47" s="198"/>
      <c r="QC47" s="198"/>
      <c r="QD47" s="198"/>
      <c r="QE47" s="198"/>
      <c r="QF47" s="198"/>
      <c r="QG47" s="198"/>
      <c r="QH47" s="198"/>
      <c r="QI47" s="198"/>
      <c r="QJ47" s="198"/>
      <c r="QK47" s="198"/>
      <c r="QL47" s="198"/>
      <c r="QM47" s="198"/>
      <c r="QN47" s="198"/>
      <c r="QO47" s="198"/>
      <c r="QP47" s="198"/>
      <c r="QQ47" s="198"/>
      <c r="QR47" s="198"/>
      <c r="QS47" s="198"/>
      <c r="QT47" s="198"/>
      <c r="QU47" s="198"/>
      <c r="QV47" s="198"/>
      <c r="QW47" s="198"/>
      <c r="QX47" s="198"/>
      <c r="QY47" s="198"/>
      <c r="QZ47" s="198"/>
      <c r="RA47" s="198"/>
      <c r="RB47" s="198"/>
      <c r="RC47" s="198"/>
      <c r="RD47" s="198"/>
      <c r="RE47" s="198"/>
      <c r="RF47" s="198"/>
      <c r="RG47" s="198"/>
      <c r="RH47" s="198"/>
      <c r="RI47" s="198"/>
      <c r="RJ47" s="198"/>
      <c r="RK47" s="198"/>
      <c r="RL47" s="198"/>
      <c r="RM47" s="198"/>
      <c r="RN47" s="198"/>
      <c r="RO47" s="198"/>
      <c r="RP47" s="198"/>
      <c r="RQ47" s="198"/>
      <c r="RR47" s="198"/>
      <c r="RS47" s="198"/>
      <c r="RT47" s="198"/>
      <c r="RU47" s="198"/>
      <c r="RV47" s="198"/>
      <c r="RW47" s="198"/>
      <c r="RX47" s="198"/>
      <c r="RY47" s="198"/>
      <c r="RZ47" s="198"/>
      <c r="SA47" s="198"/>
      <c r="SB47" s="198"/>
      <c r="SC47" s="198"/>
      <c r="SD47" s="198"/>
      <c r="SE47" s="198"/>
      <c r="SF47" s="198"/>
      <c r="SG47" s="198"/>
    </row>
    <row r="48" spans="1:501" ht="40.049999999999997" customHeight="1" x14ac:dyDescent="0.3">
      <c r="A48" s="545" t="s">
        <v>167</v>
      </c>
      <c r="B48" s="955" t="s">
        <v>168</v>
      </c>
      <c r="C48" s="950"/>
      <c r="D48" s="861"/>
      <c r="E48" s="862"/>
      <c r="F48" s="861"/>
      <c r="G48" s="862"/>
      <c r="H48" s="861"/>
      <c r="I48" s="862"/>
      <c r="J48" s="861"/>
      <c r="K48" s="862"/>
      <c r="L48" s="861"/>
      <c r="M48" s="862"/>
      <c r="N48" s="861"/>
      <c r="O48" s="862"/>
      <c r="P48" s="861"/>
      <c r="Q48" s="862"/>
      <c r="R48" s="861"/>
      <c r="S48" s="862"/>
      <c r="T48" s="861"/>
      <c r="U48" s="862"/>
      <c r="V48" s="861"/>
      <c r="W48" s="862"/>
      <c r="X48" s="861"/>
      <c r="Y48" s="862"/>
      <c r="Z48" s="861"/>
      <c r="AA48" s="862"/>
      <c r="AB48" s="864"/>
      <c r="AC48" s="864"/>
      <c r="AD48" s="864"/>
      <c r="AE48" s="864"/>
      <c r="AF48" s="861"/>
      <c r="AG48" s="865"/>
      <c r="AH48" s="866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  <c r="AS48" s="198"/>
      <c r="AT48" s="198"/>
      <c r="AU48" s="198"/>
      <c r="AV48" s="198"/>
      <c r="AW48" s="198"/>
      <c r="AX48" s="198"/>
      <c r="AY48" s="198"/>
      <c r="AZ48" s="198"/>
      <c r="BA48" s="198"/>
      <c r="BB48" s="198"/>
      <c r="BC48" s="198"/>
      <c r="BD48" s="198"/>
      <c r="BE48" s="198"/>
      <c r="BF48" s="198"/>
      <c r="BG48" s="198"/>
      <c r="BH48" s="198"/>
      <c r="BI48" s="198"/>
      <c r="BJ48" s="198"/>
      <c r="BK48" s="198"/>
      <c r="BL48" s="198"/>
      <c r="BM48" s="198"/>
      <c r="BN48" s="198"/>
      <c r="BO48" s="198"/>
      <c r="BP48" s="198"/>
      <c r="BQ48" s="198"/>
      <c r="BR48" s="198"/>
      <c r="BS48" s="198"/>
      <c r="BT48" s="198"/>
      <c r="BU48" s="198"/>
      <c r="BV48" s="198"/>
      <c r="BW48" s="198"/>
      <c r="BX48" s="198"/>
      <c r="BY48" s="198"/>
      <c r="BZ48" s="198"/>
      <c r="CA48" s="198"/>
      <c r="CB48" s="198"/>
      <c r="CC48" s="198"/>
      <c r="CD48" s="198"/>
      <c r="CE48" s="198"/>
      <c r="CF48" s="198"/>
      <c r="CG48" s="198"/>
      <c r="CH48" s="198"/>
      <c r="CI48" s="198"/>
      <c r="CJ48" s="198"/>
      <c r="CK48" s="198"/>
      <c r="CL48" s="198"/>
      <c r="CM48" s="198"/>
      <c r="CN48" s="198"/>
      <c r="CO48" s="198"/>
      <c r="CP48" s="198"/>
      <c r="CQ48" s="198"/>
      <c r="CR48" s="198"/>
      <c r="CS48" s="198"/>
      <c r="CT48" s="198"/>
      <c r="CU48" s="198"/>
      <c r="CV48" s="198"/>
      <c r="CW48" s="198"/>
      <c r="CX48" s="198"/>
      <c r="CY48" s="198"/>
      <c r="CZ48" s="198"/>
      <c r="DA48" s="198"/>
      <c r="DB48" s="198"/>
      <c r="DC48" s="198"/>
      <c r="DD48" s="198"/>
      <c r="DE48" s="198"/>
      <c r="DF48" s="198"/>
      <c r="DG48" s="198"/>
      <c r="DH48" s="198"/>
      <c r="DI48" s="198"/>
      <c r="DJ48" s="198"/>
      <c r="DK48" s="198"/>
      <c r="DL48" s="198"/>
      <c r="DM48" s="198"/>
      <c r="DN48" s="198"/>
      <c r="DO48" s="198"/>
      <c r="DP48" s="198"/>
      <c r="DQ48" s="198"/>
      <c r="DR48" s="198"/>
      <c r="DS48" s="198"/>
      <c r="DT48" s="198"/>
      <c r="DU48" s="198"/>
      <c r="DV48" s="198"/>
      <c r="DW48" s="198"/>
      <c r="DX48" s="198"/>
      <c r="DY48" s="198"/>
      <c r="DZ48" s="198"/>
      <c r="EA48" s="198"/>
      <c r="EB48" s="198"/>
      <c r="EC48" s="198"/>
      <c r="ED48" s="198"/>
      <c r="EE48" s="198"/>
      <c r="EF48" s="198"/>
      <c r="EG48" s="198"/>
      <c r="EH48" s="198"/>
      <c r="EI48" s="198"/>
      <c r="EJ48" s="198"/>
      <c r="EK48" s="198"/>
      <c r="EL48" s="198"/>
      <c r="EM48" s="198"/>
      <c r="EN48" s="198"/>
      <c r="EO48" s="198"/>
      <c r="EP48" s="198"/>
      <c r="EQ48" s="198"/>
      <c r="ER48" s="198"/>
      <c r="ES48" s="198"/>
      <c r="ET48" s="198"/>
      <c r="EU48" s="198"/>
      <c r="EV48" s="198"/>
      <c r="EW48" s="198"/>
      <c r="EX48" s="198"/>
      <c r="EY48" s="198"/>
      <c r="EZ48" s="198"/>
      <c r="FA48" s="198"/>
      <c r="FB48" s="198"/>
      <c r="FC48" s="198"/>
      <c r="FD48" s="198"/>
      <c r="FE48" s="198"/>
      <c r="FF48" s="198"/>
      <c r="FG48" s="198"/>
      <c r="FH48" s="198"/>
      <c r="FI48" s="198"/>
      <c r="FJ48" s="198"/>
      <c r="FK48" s="198"/>
      <c r="FL48" s="198"/>
      <c r="FM48" s="198"/>
      <c r="FN48" s="198"/>
      <c r="FO48" s="198"/>
      <c r="FP48" s="198"/>
      <c r="FQ48" s="198"/>
      <c r="FR48" s="198"/>
      <c r="FS48" s="198"/>
      <c r="FT48" s="198"/>
      <c r="FU48" s="198"/>
      <c r="FV48" s="198"/>
      <c r="FW48" s="198"/>
      <c r="FX48" s="198"/>
      <c r="FY48" s="198"/>
      <c r="FZ48" s="198"/>
      <c r="GA48" s="198"/>
      <c r="GB48" s="198"/>
      <c r="GC48" s="198"/>
      <c r="GD48" s="198"/>
      <c r="GE48" s="198"/>
      <c r="GF48" s="198"/>
      <c r="GG48" s="198"/>
      <c r="GH48" s="198"/>
      <c r="GI48" s="198"/>
      <c r="GJ48" s="198"/>
      <c r="GK48" s="198"/>
      <c r="GL48" s="198"/>
      <c r="GM48" s="198"/>
      <c r="GN48" s="198"/>
      <c r="GO48" s="198"/>
      <c r="GP48" s="198"/>
      <c r="GQ48" s="198"/>
      <c r="GR48" s="198"/>
      <c r="GS48" s="198"/>
      <c r="GT48" s="198"/>
      <c r="GU48" s="198"/>
      <c r="GV48" s="198"/>
      <c r="GW48" s="198"/>
      <c r="GX48" s="198"/>
      <c r="GY48" s="198"/>
      <c r="GZ48" s="198"/>
      <c r="HA48" s="198"/>
      <c r="HB48" s="198"/>
      <c r="HC48" s="198"/>
      <c r="HD48" s="198"/>
      <c r="HE48" s="198"/>
      <c r="HF48" s="198"/>
      <c r="HG48" s="198"/>
      <c r="HH48" s="198"/>
      <c r="HI48" s="198"/>
      <c r="HJ48" s="198"/>
      <c r="HK48" s="198"/>
      <c r="HL48" s="198"/>
      <c r="HM48" s="198"/>
      <c r="HN48" s="198"/>
      <c r="HO48" s="198"/>
      <c r="HP48" s="198"/>
      <c r="HQ48" s="198"/>
      <c r="HR48" s="198"/>
      <c r="HS48" s="198"/>
      <c r="HT48" s="198"/>
      <c r="HU48" s="198"/>
      <c r="HV48" s="198"/>
      <c r="HW48" s="198"/>
      <c r="HX48" s="198"/>
      <c r="HY48" s="198"/>
      <c r="HZ48" s="198"/>
      <c r="IA48" s="198"/>
      <c r="IB48" s="198"/>
      <c r="IC48" s="198"/>
      <c r="ID48" s="198"/>
      <c r="IE48" s="198"/>
      <c r="IF48" s="198"/>
      <c r="IG48" s="198"/>
      <c r="IH48" s="198"/>
      <c r="II48" s="198"/>
      <c r="IJ48" s="198"/>
      <c r="IK48" s="198"/>
      <c r="IL48" s="198"/>
      <c r="IM48" s="198"/>
      <c r="IN48" s="198"/>
      <c r="IO48" s="198"/>
      <c r="IP48" s="198"/>
      <c r="IQ48" s="198"/>
      <c r="IR48" s="198"/>
      <c r="IS48" s="198"/>
      <c r="IT48" s="198"/>
      <c r="IU48" s="198"/>
      <c r="IV48" s="198"/>
      <c r="IW48" s="198"/>
      <c r="IX48" s="198"/>
      <c r="IY48" s="198"/>
      <c r="IZ48" s="198"/>
      <c r="JA48" s="198"/>
      <c r="JB48" s="198"/>
      <c r="JC48" s="198"/>
      <c r="JD48" s="198"/>
      <c r="JE48" s="198"/>
      <c r="JF48" s="198"/>
      <c r="JG48" s="198"/>
      <c r="JH48" s="198"/>
      <c r="JI48" s="198"/>
      <c r="JJ48" s="198"/>
      <c r="JK48" s="198"/>
      <c r="JL48" s="198"/>
      <c r="JM48" s="198"/>
      <c r="JN48" s="198"/>
      <c r="JO48" s="198"/>
      <c r="JP48" s="198"/>
      <c r="JQ48" s="198"/>
      <c r="JR48" s="198"/>
      <c r="JS48" s="198"/>
      <c r="JT48" s="198"/>
      <c r="JU48" s="198"/>
      <c r="JV48" s="198"/>
      <c r="JW48" s="198"/>
      <c r="JX48" s="198"/>
      <c r="JY48" s="198"/>
      <c r="JZ48" s="198"/>
      <c r="KA48" s="198"/>
      <c r="KB48" s="198"/>
      <c r="KC48" s="198"/>
      <c r="KD48" s="198"/>
      <c r="KE48" s="198"/>
      <c r="KF48" s="198"/>
      <c r="KG48" s="198"/>
      <c r="KH48" s="198"/>
      <c r="KI48" s="198"/>
      <c r="KJ48" s="198"/>
      <c r="KK48" s="198"/>
      <c r="KL48" s="198"/>
      <c r="KM48" s="198"/>
      <c r="KN48" s="198"/>
      <c r="KO48" s="198"/>
      <c r="KP48" s="198"/>
      <c r="KQ48" s="198"/>
      <c r="KR48" s="198"/>
      <c r="KS48" s="198"/>
      <c r="KT48" s="198"/>
      <c r="KU48" s="198"/>
      <c r="KV48" s="198"/>
      <c r="KW48" s="198"/>
      <c r="KX48" s="198"/>
      <c r="KY48" s="198"/>
      <c r="KZ48" s="198"/>
      <c r="LA48" s="198"/>
      <c r="LB48" s="198"/>
      <c r="LC48" s="198"/>
      <c r="LD48" s="198"/>
      <c r="LE48" s="198"/>
      <c r="LF48" s="198"/>
      <c r="LG48" s="198"/>
      <c r="LH48" s="198"/>
      <c r="LI48" s="198"/>
      <c r="LJ48" s="198"/>
      <c r="LK48" s="198"/>
      <c r="LL48" s="198"/>
      <c r="LM48" s="198"/>
      <c r="LN48" s="198"/>
      <c r="LO48" s="198"/>
      <c r="LP48" s="198"/>
      <c r="LQ48" s="198"/>
      <c r="LR48" s="198"/>
      <c r="LS48" s="198"/>
      <c r="LT48" s="198"/>
      <c r="LU48" s="198"/>
      <c r="LV48" s="198"/>
      <c r="LW48" s="198"/>
      <c r="LX48" s="198"/>
      <c r="LY48" s="198"/>
      <c r="LZ48" s="198"/>
      <c r="MA48" s="198"/>
      <c r="MB48" s="198"/>
      <c r="MC48" s="198"/>
      <c r="MD48" s="198"/>
      <c r="ME48" s="198"/>
      <c r="MF48" s="198"/>
      <c r="MG48" s="198"/>
      <c r="MH48" s="198"/>
      <c r="MI48" s="198"/>
      <c r="MJ48" s="198"/>
      <c r="MK48" s="198"/>
      <c r="ML48" s="198"/>
      <c r="MM48" s="198"/>
      <c r="MN48" s="198"/>
      <c r="MO48" s="198"/>
      <c r="MP48" s="198"/>
      <c r="MQ48" s="198"/>
      <c r="MR48" s="198"/>
      <c r="MS48" s="198"/>
      <c r="MT48" s="198"/>
      <c r="MU48" s="198"/>
      <c r="MV48" s="198"/>
      <c r="MW48" s="198"/>
      <c r="MX48" s="198"/>
      <c r="MY48" s="198"/>
      <c r="MZ48" s="198"/>
      <c r="NA48" s="198"/>
      <c r="NB48" s="198"/>
      <c r="NC48" s="198"/>
      <c r="ND48" s="198"/>
      <c r="NE48" s="198"/>
      <c r="NF48" s="198"/>
      <c r="NG48" s="198"/>
      <c r="NH48" s="198"/>
      <c r="NI48" s="198"/>
      <c r="NJ48" s="198"/>
      <c r="NK48" s="198"/>
      <c r="NL48" s="198"/>
      <c r="NM48" s="198"/>
      <c r="NN48" s="198"/>
      <c r="NO48" s="198"/>
      <c r="NP48" s="198"/>
      <c r="NQ48" s="198"/>
      <c r="NR48" s="198"/>
      <c r="NS48" s="198"/>
      <c r="NT48" s="198"/>
      <c r="NU48" s="198"/>
      <c r="NV48" s="198"/>
      <c r="NW48" s="198"/>
      <c r="NX48" s="198"/>
      <c r="NY48" s="198"/>
      <c r="NZ48" s="198"/>
      <c r="OA48" s="198"/>
      <c r="OB48" s="198"/>
      <c r="OC48" s="198"/>
      <c r="OD48" s="198"/>
      <c r="OE48" s="198"/>
      <c r="OF48" s="198"/>
      <c r="OG48" s="198"/>
      <c r="OH48" s="198"/>
      <c r="OI48" s="198"/>
      <c r="OJ48" s="198"/>
      <c r="OK48" s="198"/>
      <c r="OL48" s="198"/>
      <c r="OM48" s="198"/>
      <c r="ON48" s="198"/>
      <c r="OO48" s="198"/>
      <c r="OP48" s="198"/>
      <c r="OQ48" s="198"/>
      <c r="OR48" s="198"/>
      <c r="OS48" s="198"/>
      <c r="OT48" s="198"/>
      <c r="OU48" s="198"/>
      <c r="OV48" s="198"/>
      <c r="OW48" s="198"/>
      <c r="OX48" s="198"/>
      <c r="OY48" s="198"/>
      <c r="OZ48" s="198"/>
      <c r="PA48" s="198"/>
      <c r="PB48" s="198"/>
      <c r="PC48" s="198"/>
      <c r="PD48" s="198"/>
      <c r="PE48" s="198"/>
      <c r="PF48" s="198"/>
      <c r="PG48" s="198"/>
      <c r="PH48" s="198"/>
      <c r="PI48" s="198"/>
      <c r="PJ48" s="198"/>
      <c r="PK48" s="198"/>
      <c r="PL48" s="198"/>
      <c r="PM48" s="198"/>
      <c r="PN48" s="198"/>
      <c r="PO48" s="198"/>
      <c r="PP48" s="198"/>
      <c r="PQ48" s="198"/>
      <c r="PR48" s="198"/>
      <c r="PS48" s="198"/>
      <c r="PT48" s="198"/>
      <c r="PU48" s="198"/>
      <c r="PV48" s="198"/>
      <c r="PW48" s="198"/>
      <c r="PX48" s="198"/>
      <c r="PY48" s="198"/>
      <c r="PZ48" s="198"/>
      <c r="QA48" s="198"/>
      <c r="QB48" s="198"/>
      <c r="QC48" s="198"/>
      <c r="QD48" s="198"/>
      <c r="QE48" s="198"/>
      <c r="QF48" s="198"/>
      <c r="QG48" s="198"/>
      <c r="QH48" s="198"/>
      <c r="QI48" s="198"/>
      <c r="QJ48" s="198"/>
      <c r="QK48" s="198"/>
      <c r="QL48" s="198"/>
      <c r="QM48" s="198"/>
      <c r="QN48" s="198"/>
      <c r="QO48" s="198"/>
      <c r="QP48" s="198"/>
      <c r="QQ48" s="198"/>
      <c r="QR48" s="198"/>
      <c r="QS48" s="198"/>
      <c r="QT48" s="198"/>
      <c r="QU48" s="198"/>
      <c r="QV48" s="198"/>
      <c r="QW48" s="198"/>
      <c r="QX48" s="198"/>
      <c r="QY48" s="198"/>
      <c r="QZ48" s="198"/>
      <c r="RA48" s="198"/>
      <c r="RB48" s="198"/>
      <c r="RC48" s="198"/>
      <c r="RD48" s="198"/>
      <c r="RE48" s="198"/>
      <c r="RF48" s="198"/>
      <c r="RG48" s="198"/>
      <c r="RH48" s="198"/>
      <c r="RI48" s="198"/>
      <c r="RJ48" s="198"/>
      <c r="RK48" s="198"/>
      <c r="RL48" s="198"/>
      <c r="RM48" s="198"/>
      <c r="RN48" s="198"/>
      <c r="RO48" s="198"/>
      <c r="RP48" s="198"/>
      <c r="RQ48" s="198"/>
      <c r="RR48" s="198"/>
      <c r="RS48" s="198"/>
      <c r="RT48" s="198"/>
      <c r="RU48" s="198"/>
      <c r="RV48" s="198"/>
      <c r="RW48" s="198"/>
      <c r="RX48" s="198"/>
      <c r="RY48" s="198"/>
      <c r="RZ48" s="198"/>
      <c r="SA48" s="198"/>
      <c r="SB48" s="198"/>
      <c r="SC48" s="198"/>
      <c r="SD48" s="198"/>
      <c r="SE48" s="198"/>
      <c r="SF48" s="198"/>
      <c r="SG48" s="198"/>
    </row>
    <row r="49" spans="1:501" ht="40.049999999999997" customHeight="1" x14ac:dyDescent="0.3">
      <c r="A49" s="543" t="s">
        <v>169</v>
      </c>
      <c r="B49" s="956" t="s">
        <v>170</v>
      </c>
      <c r="C49" s="950">
        <f>'MANZ. A'!H51</f>
        <v>0</v>
      </c>
      <c r="D49" s="861"/>
      <c r="E49" s="862">
        <f>'MANZ. B'!R45</f>
        <v>0</v>
      </c>
      <c r="F49" s="861"/>
      <c r="G49" s="863">
        <f>MANZ.C!AL44</f>
        <v>17</v>
      </c>
      <c r="H49" s="861"/>
      <c r="I49" s="863">
        <f>MANZ.D!Z44</f>
        <v>11</v>
      </c>
      <c r="J49" s="861"/>
      <c r="K49" s="862">
        <f>MANZ.E!AK45</f>
        <v>15</v>
      </c>
      <c r="L49" s="861"/>
      <c r="M49" s="863">
        <f>MANZ.F!AA44</f>
        <v>12</v>
      </c>
      <c r="N49" s="861"/>
      <c r="O49" s="862">
        <f>MANZ.G!AT43</f>
        <v>18</v>
      </c>
      <c r="P49" s="861"/>
      <c r="Q49" s="863">
        <f>MANZ.H!V45</f>
        <v>9</v>
      </c>
      <c r="R49" s="861"/>
      <c r="S49" s="862">
        <f>MANZ.I!AB45</f>
        <v>11</v>
      </c>
      <c r="T49" s="861"/>
      <c r="U49" s="862">
        <f>MANZ.J!AS48</f>
        <v>20</v>
      </c>
      <c r="V49" s="861"/>
      <c r="W49" s="862">
        <f>MANZ.K!AB45</f>
        <v>10</v>
      </c>
      <c r="X49" s="861"/>
      <c r="Y49" s="862">
        <f>MANZ.L!Z45</f>
        <v>7</v>
      </c>
      <c r="Z49" s="861"/>
      <c r="AA49" s="862">
        <f>'SALA MULTIUSO'!F54</f>
        <v>0</v>
      </c>
      <c r="AB49" s="864"/>
      <c r="AC49" s="864"/>
      <c r="AD49" s="864"/>
      <c r="AE49" s="864"/>
      <c r="AF49" s="861"/>
      <c r="AG49" s="865">
        <f>SUM(C45:AA45)</f>
        <v>18</v>
      </c>
      <c r="AH49" s="866"/>
      <c r="AI49" s="198"/>
      <c r="AJ49" s="198"/>
      <c r="AK49" s="198"/>
      <c r="AL49" s="198"/>
      <c r="AM49" s="198"/>
      <c r="AN49" s="198"/>
      <c r="AO49" s="198"/>
      <c r="AP49" s="198"/>
      <c r="AQ49" s="198"/>
      <c r="AR49" s="198"/>
      <c r="AS49" s="198"/>
      <c r="AT49" s="198"/>
      <c r="AU49" s="198"/>
      <c r="AV49" s="198"/>
      <c r="AW49" s="198"/>
      <c r="AX49" s="198"/>
      <c r="AY49" s="198"/>
      <c r="AZ49" s="198"/>
      <c r="BA49" s="198"/>
      <c r="BB49" s="198"/>
      <c r="BC49" s="198"/>
      <c r="BD49" s="198"/>
      <c r="BE49" s="198"/>
      <c r="BF49" s="198"/>
      <c r="BG49" s="198"/>
      <c r="BH49" s="198"/>
      <c r="BI49" s="198"/>
      <c r="BJ49" s="198"/>
      <c r="BK49" s="198"/>
      <c r="BL49" s="198"/>
      <c r="BM49" s="198"/>
      <c r="BN49" s="198"/>
      <c r="BO49" s="198"/>
      <c r="BP49" s="198"/>
      <c r="BQ49" s="198"/>
      <c r="BR49" s="198"/>
      <c r="BS49" s="198"/>
      <c r="BT49" s="198"/>
      <c r="BU49" s="198"/>
      <c r="BV49" s="198"/>
      <c r="BW49" s="198"/>
      <c r="BX49" s="198"/>
      <c r="BY49" s="198"/>
      <c r="BZ49" s="198"/>
      <c r="CA49" s="198"/>
      <c r="CB49" s="198"/>
      <c r="CC49" s="198"/>
      <c r="CD49" s="198"/>
      <c r="CE49" s="198"/>
      <c r="CF49" s="198"/>
      <c r="CG49" s="198"/>
      <c r="CH49" s="198"/>
      <c r="CI49" s="198"/>
      <c r="CJ49" s="198"/>
      <c r="CK49" s="198"/>
      <c r="CL49" s="198"/>
      <c r="CM49" s="198"/>
      <c r="CN49" s="198"/>
      <c r="CO49" s="198"/>
      <c r="CP49" s="198"/>
      <c r="CQ49" s="198"/>
      <c r="CR49" s="198"/>
      <c r="CS49" s="198"/>
      <c r="CT49" s="198"/>
      <c r="CU49" s="198"/>
      <c r="CV49" s="198"/>
      <c r="CW49" s="198"/>
      <c r="CX49" s="198"/>
      <c r="CY49" s="198"/>
      <c r="CZ49" s="198"/>
      <c r="DA49" s="198"/>
      <c r="DB49" s="198"/>
      <c r="DC49" s="198"/>
      <c r="DD49" s="198"/>
      <c r="DE49" s="198"/>
      <c r="DF49" s="198"/>
      <c r="DG49" s="198"/>
      <c r="DH49" s="198"/>
      <c r="DI49" s="198"/>
      <c r="DJ49" s="198"/>
      <c r="DK49" s="198"/>
      <c r="DL49" s="198"/>
      <c r="DM49" s="198"/>
      <c r="DN49" s="198"/>
      <c r="DO49" s="198"/>
      <c r="DP49" s="198"/>
      <c r="DQ49" s="198"/>
      <c r="DR49" s="198"/>
      <c r="DS49" s="198"/>
      <c r="DT49" s="198"/>
      <c r="DU49" s="198"/>
      <c r="DV49" s="198"/>
      <c r="DW49" s="198"/>
      <c r="DX49" s="198"/>
      <c r="DY49" s="198"/>
      <c r="DZ49" s="198"/>
      <c r="EA49" s="198"/>
      <c r="EB49" s="198"/>
      <c r="EC49" s="198"/>
      <c r="ED49" s="198"/>
      <c r="EE49" s="198"/>
      <c r="EF49" s="198"/>
      <c r="EG49" s="198"/>
      <c r="EH49" s="198"/>
      <c r="EI49" s="198"/>
      <c r="EJ49" s="198"/>
      <c r="EK49" s="198"/>
      <c r="EL49" s="198"/>
      <c r="EM49" s="198"/>
      <c r="EN49" s="198"/>
      <c r="EO49" s="198"/>
      <c r="EP49" s="198"/>
      <c r="EQ49" s="198"/>
      <c r="ER49" s="198"/>
      <c r="ES49" s="198"/>
      <c r="ET49" s="198"/>
      <c r="EU49" s="198"/>
      <c r="EV49" s="198"/>
      <c r="EW49" s="198"/>
      <c r="EX49" s="198"/>
      <c r="EY49" s="198"/>
      <c r="EZ49" s="198"/>
      <c r="FA49" s="198"/>
      <c r="FB49" s="198"/>
      <c r="FC49" s="198"/>
      <c r="FD49" s="198"/>
      <c r="FE49" s="198"/>
      <c r="FF49" s="198"/>
      <c r="FG49" s="198"/>
      <c r="FH49" s="198"/>
      <c r="FI49" s="198"/>
      <c r="FJ49" s="198"/>
      <c r="FK49" s="198"/>
      <c r="FL49" s="198"/>
      <c r="FM49" s="198"/>
      <c r="FN49" s="198"/>
      <c r="FO49" s="198"/>
      <c r="FP49" s="198"/>
      <c r="FQ49" s="198"/>
      <c r="FR49" s="198"/>
      <c r="FS49" s="198"/>
      <c r="FT49" s="198"/>
      <c r="FU49" s="198"/>
      <c r="FV49" s="198"/>
      <c r="FW49" s="198"/>
      <c r="FX49" s="198"/>
      <c r="FY49" s="198"/>
      <c r="FZ49" s="198"/>
      <c r="GA49" s="198"/>
      <c r="GB49" s="198"/>
      <c r="GC49" s="198"/>
      <c r="GD49" s="198"/>
      <c r="GE49" s="198"/>
      <c r="GF49" s="198"/>
      <c r="GG49" s="198"/>
      <c r="GH49" s="198"/>
      <c r="GI49" s="198"/>
      <c r="GJ49" s="198"/>
      <c r="GK49" s="198"/>
      <c r="GL49" s="198"/>
      <c r="GM49" s="198"/>
      <c r="GN49" s="198"/>
      <c r="GO49" s="198"/>
      <c r="GP49" s="198"/>
      <c r="GQ49" s="198"/>
      <c r="GR49" s="198"/>
      <c r="GS49" s="198"/>
      <c r="GT49" s="198"/>
      <c r="GU49" s="198"/>
      <c r="GV49" s="198"/>
      <c r="GW49" s="198"/>
      <c r="GX49" s="198"/>
      <c r="GY49" s="198"/>
      <c r="GZ49" s="198"/>
      <c r="HA49" s="198"/>
      <c r="HB49" s="198"/>
      <c r="HC49" s="198"/>
      <c r="HD49" s="198"/>
      <c r="HE49" s="198"/>
      <c r="HF49" s="198"/>
      <c r="HG49" s="198"/>
      <c r="HH49" s="198"/>
      <c r="HI49" s="198"/>
      <c r="HJ49" s="198"/>
      <c r="HK49" s="198"/>
      <c r="HL49" s="198"/>
      <c r="HM49" s="198"/>
      <c r="HN49" s="198"/>
      <c r="HO49" s="198"/>
      <c r="HP49" s="198"/>
      <c r="HQ49" s="198"/>
      <c r="HR49" s="198"/>
      <c r="HS49" s="198"/>
      <c r="HT49" s="198"/>
      <c r="HU49" s="198"/>
      <c r="HV49" s="198"/>
      <c r="HW49" s="198"/>
      <c r="HX49" s="198"/>
      <c r="HY49" s="198"/>
      <c r="HZ49" s="198"/>
      <c r="IA49" s="198"/>
      <c r="IB49" s="198"/>
      <c r="IC49" s="198"/>
      <c r="ID49" s="198"/>
      <c r="IE49" s="198"/>
      <c r="IF49" s="198"/>
      <c r="IG49" s="198"/>
      <c r="IH49" s="198"/>
      <c r="II49" s="198"/>
      <c r="IJ49" s="198"/>
      <c r="IK49" s="198"/>
      <c r="IL49" s="198"/>
      <c r="IM49" s="198"/>
      <c r="IN49" s="198"/>
      <c r="IO49" s="198"/>
      <c r="IP49" s="198"/>
      <c r="IQ49" s="198"/>
      <c r="IR49" s="198"/>
      <c r="IS49" s="198"/>
      <c r="IT49" s="198"/>
      <c r="IU49" s="198"/>
      <c r="IV49" s="198"/>
      <c r="IW49" s="198"/>
      <c r="IX49" s="198"/>
      <c r="IY49" s="198"/>
      <c r="IZ49" s="198"/>
      <c r="JA49" s="198"/>
      <c r="JB49" s="198"/>
      <c r="JC49" s="198"/>
      <c r="JD49" s="198"/>
      <c r="JE49" s="198"/>
      <c r="JF49" s="198"/>
      <c r="JG49" s="198"/>
      <c r="JH49" s="198"/>
      <c r="JI49" s="198"/>
      <c r="JJ49" s="198"/>
      <c r="JK49" s="198"/>
      <c r="JL49" s="198"/>
      <c r="JM49" s="198"/>
      <c r="JN49" s="198"/>
      <c r="JO49" s="198"/>
      <c r="JP49" s="198"/>
      <c r="JQ49" s="198"/>
      <c r="JR49" s="198"/>
      <c r="JS49" s="198"/>
      <c r="JT49" s="198"/>
      <c r="JU49" s="198"/>
      <c r="JV49" s="198"/>
      <c r="JW49" s="198"/>
      <c r="JX49" s="198"/>
      <c r="JY49" s="198"/>
      <c r="JZ49" s="198"/>
      <c r="KA49" s="198"/>
      <c r="KB49" s="198"/>
      <c r="KC49" s="198"/>
      <c r="KD49" s="198"/>
      <c r="KE49" s="198"/>
      <c r="KF49" s="198"/>
      <c r="KG49" s="198"/>
      <c r="KH49" s="198"/>
      <c r="KI49" s="198"/>
      <c r="KJ49" s="198"/>
      <c r="KK49" s="198"/>
      <c r="KL49" s="198"/>
      <c r="KM49" s="198"/>
      <c r="KN49" s="198"/>
      <c r="KO49" s="198"/>
      <c r="KP49" s="198"/>
      <c r="KQ49" s="198"/>
      <c r="KR49" s="198"/>
      <c r="KS49" s="198"/>
      <c r="KT49" s="198"/>
      <c r="KU49" s="198"/>
      <c r="KV49" s="198"/>
      <c r="KW49" s="198"/>
      <c r="KX49" s="198"/>
      <c r="KY49" s="198"/>
      <c r="KZ49" s="198"/>
      <c r="LA49" s="198"/>
      <c r="LB49" s="198"/>
      <c r="LC49" s="198"/>
      <c r="LD49" s="198"/>
      <c r="LE49" s="198"/>
      <c r="LF49" s="198"/>
      <c r="LG49" s="198"/>
      <c r="LH49" s="198"/>
      <c r="LI49" s="198"/>
      <c r="LJ49" s="198"/>
      <c r="LK49" s="198"/>
      <c r="LL49" s="198"/>
      <c r="LM49" s="198"/>
      <c r="LN49" s="198"/>
      <c r="LO49" s="198"/>
      <c r="LP49" s="198"/>
      <c r="LQ49" s="198"/>
      <c r="LR49" s="198"/>
      <c r="LS49" s="198"/>
      <c r="LT49" s="198"/>
      <c r="LU49" s="198"/>
      <c r="LV49" s="198"/>
      <c r="LW49" s="198"/>
      <c r="LX49" s="198"/>
      <c r="LY49" s="198"/>
      <c r="LZ49" s="198"/>
      <c r="MA49" s="198"/>
      <c r="MB49" s="198"/>
      <c r="MC49" s="198"/>
      <c r="MD49" s="198"/>
      <c r="ME49" s="198"/>
      <c r="MF49" s="198"/>
      <c r="MG49" s="198"/>
      <c r="MH49" s="198"/>
      <c r="MI49" s="198"/>
      <c r="MJ49" s="198"/>
      <c r="MK49" s="198"/>
      <c r="ML49" s="198"/>
      <c r="MM49" s="198"/>
      <c r="MN49" s="198"/>
      <c r="MO49" s="198"/>
      <c r="MP49" s="198"/>
      <c r="MQ49" s="198"/>
      <c r="MR49" s="198"/>
      <c r="MS49" s="198"/>
      <c r="MT49" s="198"/>
      <c r="MU49" s="198"/>
      <c r="MV49" s="198"/>
      <c r="MW49" s="198"/>
      <c r="MX49" s="198"/>
      <c r="MY49" s="198"/>
      <c r="MZ49" s="198"/>
      <c r="NA49" s="198"/>
      <c r="NB49" s="198"/>
      <c r="NC49" s="198"/>
      <c r="ND49" s="198"/>
      <c r="NE49" s="198"/>
      <c r="NF49" s="198"/>
      <c r="NG49" s="198"/>
      <c r="NH49" s="198"/>
      <c r="NI49" s="198"/>
      <c r="NJ49" s="198"/>
      <c r="NK49" s="198"/>
      <c r="NL49" s="198"/>
      <c r="NM49" s="198"/>
      <c r="NN49" s="198"/>
      <c r="NO49" s="198"/>
      <c r="NP49" s="198"/>
      <c r="NQ49" s="198"/>
      <c r="NR49" s="198"/>
      <c r="NS49" s="198"/>
      <c r="NT49" s="198"/>
      <c r="NU49" s="198"/>
      <c r="NV49" s="198"/>
      <c r="NW49" s="198"/>
      <c r="NX49" s="198"/>
      <c r="NY49" s="198"/>
      <c r="NZ49" s="198"/>
      <c r="OA49" s="198"/>
      <c r="OB49" s="198"/>
      <c r="OC49" s="198"/>
      <c r="OD49" s="198"/>
      <c r="OE49" s="198"/>
      <c r="OF49" s="198"/>
      <c r="OG49" s="198"/>
      <c r="OH49" s="198"/>
      <c r="OI49" s="198"/>
      <c r="OJ49" s="198"/>
      <c r="OK49" s="198"/>
      <c r="OL49" s="198"/>
      <c r="OM49" s="198"/>
      <c r="ON49" s="198"/>
      <c r="OO49" s="198"/>
      <c r="OP49" s="198"/>
      <c r="OQ49" s="198"/>
      <c r="OR49" s="198"/>
      <c r="OS49" s="198"/>
      <c r="OT49" s="198"/>
      <c r="OU49" s="198"/>
      <c r="OV49" s="198"/>
      <c r="OW49" s="198"/>
      <c r="OX49" s="198"/>
      <c r="OY49" s="198"/>
      <c r="OZ49" s="198"/>
      <c r="PA49" s="198"/>
      <c r="PB49" s="198"/>
      <c r="PC49" s="198"/>
      <c r="PD49" s="198"/>
      <c r="PE49" s="198"/>
      <c r="PF49" s="198"/>
      <c r="PG49" s="198"/>
      <c r="PH49" s="198"/>
      <c r="PI49" s="198"/>
      <c r="PJ49" s="198"/>
      <c r="PK49" s="198"/>
      <c r="PL49" s="198"/>
      <c r="PM49" s="198"/>
      <c r="PN49" s="198"/>
      <c r="PO49" s="198"/>
      <c r="PP49" s="198"/>
      <c r="PQ49" s="198"/>
      <c r="PR49" s="198"/>
      <c r="PS49" s="198"/>
      <c r="PT49" s="198"/>
      <c r="PU49" s="198"/>
      <c r="PV49" s="198"/>
      <c r="PW49" s="198"/>
      <c r="PX49" s="198"/>
      <c r="PY49" s="198"/>
      <c r="PZ49" s="198"/>
      <c r="QA49" s="198"/>
      <c r="QB49" s="198"/>
      <c r="QC49" s="198"/>
      <c r="QD49" s="198"/>
      <c r="QE49" s="198"/>
      <c r="QF49" s="198"/>
      <c r="QG49" s="198"/>
      <c r="QH49" s="198"/>
      <c r="QI49" s="198"/>
      <c r="QJ49" s="198"/>
      <c r="QK49" s="198"/>
      <c r="QL49" s="198"/>
      <c r="QM49" s="198"/>
      <c r="QN49" s="198"/>
      <c r="QO49" s="198"/>
      <c r="QP49" s="198"/>
      <c r="QQ49" s="198"/>
      <c r="QR49" s="198"/>
      <c r="QS49" s="198"/>
      <c r="QT49" s="198"/>
      <c r="QU49" s="198"/>
      <c r="QV49" s="198"/>
      <c r="QW49" s="198"/>
      <c r="QX49" s="198"/>
      <c r="QY49" s="198"/>
      <c r="QZ49" s="198"/>
      <c r="RA49" s="198"/>
      <c r="RB49" s="198"/>
      <c r="RC49" s="198"/>
      <c r="RD49" s="198"/>
      <c r="RE49" s="198"/>
      <c r="RF49" s="198"/>
      <c r="RG49" s="198"/>
      <c r="RH49" s="198"/>
      <c r="RI49" s="198"/>
      <c r="RJ49" s="198"/>
      <c r="RK49" s="198"/>
      <c r="RL49" s="198"/>
      <c r="RM49" s="198"/>
      <c r="RN49" s="198"/>
      <c r="RO49" s="198"/>
      <c r="RP49" s="198"/>
      <c r="RQ49" s="198"/>
      <c r="RR49" s="198"/>
      <c r="RS49" s="198"/>
      <c r="RT49" s="198"/>
      <c r="RU49" s="198"/>
      <c r="RV49" s="198"/>
      <c r="RW49" s="198"/>
      <c r="RX49" s="198"/>
      <c r="RY49" s="198"/>
      <c r="RZ49" s="198"/>
      <c r="SA49" s="198"/>
      <c r="SB49" s="198"/>
      <c r="SC49" s="198"/>
      <c r="SD49" s="198"/>
      <c r="SE49" s="198"/>
      <c r="SF49" s="198"/>
      <c r="SG49" s="198"/>
    </row>
    <row r="50" spans="1:501" ht="40.049999999999997" customHeight="1" x14ac:dyDescent="0.3">
      <c r="A50" s="543" t="s">
        <v>171</v>
      </c>
      <c r="B50" s="956" t="s">
        <v>172</v>
      </c>
      <c r="C50" s="950">
        <f>'MANZ. A'!H52</f>
        <v>0</v>
      </c>
      <c r="D50" s="861"/>
      <c r="E50" s="862">
        <f>'MANZ. B'!R46</f>
        <v>0</v>
      </c>
      <c r="F50" s="861"/>
      <c r="G50" s="863">
        <f>MANZ.C!AL45</f>
        <v>17</v>
      </c>
      <c r="H50" s="861"/>
      <c r="I50" s="862">
        <f>MANZ.D!Z45</f>
        <v>11</v>
      </c>
      <c r="J50" s="861"/>
      <c r="K50" s="862">
        <f>MANZ.E!AL46</f>
        <v>15</v>
      </c>
      <c r="L50" s="861"/>
      <c r="M50" s="862">
        <f>MANZ.F!AB45</f>
        <v>12</v>
      </c>
      <c r="N50" s="861"/>
      <c r="O50" s="862">
        <f>MANZ.G!AT44</f>
        <v>0</v>
      </c>
      <c r="P50" s="861"/>
      <c r="Q50" s="863">
        <f>MANZ.H!V46</f>
        <v>9</v>
      </c>
      <c r="R50" s="861"/>
      <c r="S50" s="862">
        <f>MANZ.I!AB46</f>
        <v>11</v>
      </c>
      <c r="T50" s="861"/>
      <c r="U50" s="862">
        <f>MANZ.J!AT49</f>
        <v>20</v>
      </c>
      <c r="V50" s="861"/>
      <c r="W50" s="862">
        <f>MANZ.K!AB46</f>
        <v>10</v>
      </c>
      <c r="X50" s="861"/>
      <c r="Y50" s="862">
        <f>MANZ.L!Z46</f>
        <v>11</v>
      </c>
      <c r="Z50" s="861"/>
      <c r="AA50" s="862">
        <f>'SALA MULTIUSO'!F55</f>
        <v>0</v>
      </c>
      <c r="AB50" s="864"/>
      <c r="AC50" s="864"/>
      <c r="AD50" s="864"/>
      <c r="AE50" s="864"/>
      <c r="AF50" s="861"/>
      <c r="AG50" s="865">
        <f>C46+E46+G46+I46+K46+M46+O46+Q46+S46+U46+W46+Y46</f>
        <v>53</v>
      </c>
      <c r="AH50" s="866"/>
      <c r="AI50" s="198"/>
      <c r="AJ50" s="198"/>
      <c r="AK50" s="198"/>
      <c r="AL50" s="198"/>
      <c r="AM50" s="198"/>
      <c r="AN50" s="198"/>
      <c r="AO50" s="198"/>
      <c r="AP50" s="198"/>
      <c r="AQ50" s="198"/>
      <c r="AR50" s="198"/>
      <c r="AS50" s="198"/>
      <c r="AT50" s="198"/>
      <c r="AU50" s="198"/>
      <c r="AV50" s="198"/>
      <c r="AW50" s="198"/>
      <c r="AX50" s="198"/>
      <c r="AY50" s="198"/>
      <c r="AZ50" s="198"/>
      <c r="BA50" s="198"/>
      <c r="BB50" s="198"/>
      <c r="BC50" s="198"/>
      <c r="BD50" s="198"/>
      <c r="BE50" s="198"/>
      <c r="BF50" s="198"/>
      <c r="BG50" s="198"/>
      <c r="BH50" s="198"/>
      <c r="BI50" s="198"/>
      <c r="BJ50" s="198"/>
      <c r="BK50" s="198"/>
      <c r="BL50" s="198"/>
      <c r="BM50" s="198"/>
      <c r="BN50" s="198"/>
      <c r="BO50" s="198"/>
      <c r="BP50" s="198"/>
      <c r="BQ50" s="198"/>
      <c r="BR50" s="198"/>
      <c r="BS50" s="198"/>
      <c r="BT50" s="198"/>
      <c r="BU50" s="198"/>
      <c r="BV50" s="198"/>
      <c r="BW50" s="198"/>
      <c r="BX50" s="198"/>
      <c r="BY50" s="198"/>
      <c r="BZ50" s="198"/>
      <c r="CA50" s="198"/>
      <c r="CB50" s="198"/>
      <c r="CC50" s="198"/>
      <c r="CD50" s="198"/>
      <c r="CE50" s="198"/>
      <c r="CF50" s="198"/>
      <c r="CG50" s="198"/>
      <c r="CH50" s="198"/>
      <c r="CI50" s="198"/>
      <c r="CJ50" s="198"/>
      <c r="CK50" s="198"/>
      <c r="CL50" s="198"/>
      <c r="CM50" s="198"/>
      <c r="CN50" s="198"/>
      <c r="CO50" s="198"/>
      <c r="CP50" s="198"/>
      <c r="CQ50" s="198"/>
      <c r="CR50" s="198"/>
      <c r="CS50" s="198"/>
      <c r="CT50" s="198"/>
      <c r="CU50" s="198"/>
      <c r="CV50" s="198"/>
      <c r="CW50" s="198"/>
      <c r="CX50" s="198"/>
      <c r="CY50" s="198"/>
      <c r="CZ50" s="198"/>
      <c r="DA50" s="198"/>
      <c r="DB50" s="198"/>
      <c r="DC50" s="198"/>
      <c r="DD50" s="198"/>
      <c r="DE50" s="198"/>
      <c r="DF50" s="198"/>
      <c r="DG50" s="198"/>
      <c r="DH50" s="198"/>
      <c r="DI50" s="198"/>
      <c r="DJ50" s="198"/>
      <c r="DK50" s="198"/>
      <c r="DL50" s="198"/>
      <c r="DM50" s="198"/>
      <c r="DN50" s="198"/>
      <c r="DO50" s="198"/>
      <c r="DP50" s="198"/>
      <c r="DQ50" s="198"/>
      <c r="DR50" s="198"/>
      <c r="DS50" s="198"/>
      <c r="DT50" s="198"/>
      <c r="DU50" s="198"/>
      <c r="DV50" s="198"/>
      <c r="DW50" s="198"/>
      <c r="DX50" s="198"/>
      <c r="DY50" s="198"/>
      <c r="DZ50" s="198"/>
      <c r="EA50" s="198"/>
      <c r="EB50" s="198"/>
      <c r="EC50" s="198"/>
      <c r="ED50" s="198"/>
      <c r="EE50" s="198"/>
      <c r="EF50" s="198"/>
      <c r="EG50" s="198"/>
      <c r="EH50" s="198"/>
      <c r="EI50" s="198"/>
      <c r="EJ50" s="198"/>
      <c r="EK50" s="198"/>
      <c r="EL50" s="198"/>
      <c r="EM50" s="198"/>
      <c r="EN50" s="198"/>
      <c r="EO50" s="198"/>
      <c r="EP50" s="198"/>
      <c r="EQ50" s="198"/>
      <c r="ER50" s="198"/>
      <c r="ES50" s="198"/>
      <c r="ET50" s="198"/>
      <c r="EU50" s="198"/>
      <c r="EV50" s="198"/>
      <c r="EW50" s="198"/>
      <c r="EX50" s="198"/>
      <c r="EY50" s="198"/>
      <c r="EZ50" s="198"/>
      <c r="FA50" s="198"/>
      <c r="FB50" s="198"/>
      <c r="FC50" s="198"/>
      <c r="FD50" s="198"/>
      <c r="FE50" s="198"/>
      <c r="FF50" s="198"/>
      <c r="FG50" s="198"/>
      <c r="FH50" s="198"/>
      <c r="FI50" s="198"/>
      <c r="FJ50" s="198"/>
      <c r="FK50" s="198"/>
      <c r="FL50" s="198"/>
      <c r="FM50" s="198"/>
      <c r="FN50" s="198"/>
      <c r="FO50" s="198"/>
      <c r="FP50" s="198"/>
      <c r="FQ50" s="198"/>
      <c r="FR50" s="198"/>
      <c r="FS50" s="198"/>
      <c r="FT50" s="198"/>
      <c r="FU50" s="198"/>
      <c r="FV50" s="198"/>
      <c r="FW50" s="198"/>
      <c r="FX50" s="198"/>
      <c r="FY50" s="198"/>
      <c r="FZ50" s="198"/>
      <c r="GA50" s="198"/>
      <c r="GB50" s="198"/>
      <c r="GC50" s="198"/>
      <c r="GD50" s="198"/>
      <c r="GE50" s="198"/>
      <c r="GF50" s="198"/>
      <c r="GG50" s="198"/>
      <c r="GH50" s="198"/>
      <c r="GI50" s="198"/>
      <c r="GJ50" s="198"/>
      <c r="GK50" s="198"/>
      <c r="GL50" s="198"/>
      <c r="GM50" s="198"/>
      <c r="GN50" s="198"/>
      <c r="GO50" s="198"/>
      <c r="GP50" s="198"/>
      <c r="GQ50" s="198"/>
      <c r="GR50" s="198"/>
      <c r="GS50" s="198"/>
      <c r="GT50" s="198"/>
      <c r="GU50" s="198"/>
      <c r="GV50" s="198"/>
      <c r="GW50" s="198"/>
      <c r="GX50" s="198"/>
      <c r="GY50" s="198"/>
      <c r="GZ50" s="198"/>
      <c r="HA50" s="198"/>
      <c r="HB50" s="198"/>
      <c r="HC50" s="198"/>
      <c r="HD50" s="198"/>
      <c r="HE50" s="198"/>
      <c r="HF50" s="198"/>
      <c r="HG50" s="198"/>
      <c r="HH50" s="198"/>
      <c r="HI50" s="198"/>
      <c r="HJ50" s="198"/>
      <c r="HK50" s="198"/>
      <c r="HL50" s="198"/>
      <c r="HM50" s="198"/>
      <c r="HN50" s="198"/>
      <c r="HO50" s="198"/>
      <c r="HP50" s="198"/>
      <c r="HQ50" s="198"/>
      <c r="HR50" s="198"/>
      <c r="HS50" s="198"/>
      <c r="HT50" s="198"/>
      <c r="HU50" s="198"/>
      <c r="HV50" s="198"/>
      <c r="HW50" s="198"/>
      <c r="HX50" s="198"/>
      <c r="HY50" s="198"/>
      <c r="HZ50" s="198"/>
      <c r="IA50" s="198"/>
      <c r="IB50" s="198"/>
      <c r="IC50" s="198"/>
      <c r="ID50" s="198"/>
      <c r="IE50" s="198"/>
      <c r="IF50" s="198"/>
      <c r="IG50" s="198"/>
      <c r="IH50" s="198"/>
      <c r="II50" s="198"/>
      <c r="IJ50" s="198"/>
      <c r="IK50" s="198"/>
      <c r="IL50" s="198"/>
      <c r="IM50" s="198"/>
      <c r="IN50" s="198"/>
      <c r="IO50" s="198"/>
      <c r="IP50" s="198"/>
      <c r="IQ50" s="198"/>
      <c r="IR50" s="198"/>
      <c r="IS50" s="198"/>
      <c r="IT50" s="198"/>
      <c r="IU50" s="198"/>
      <c r="IV50" s="198"/>
      <c r="IW50" s="198"/>
      <c r="IX50" s="198"/>
      <c r="IY50" s="198"/>
      <c r="IZ50" s="198"/>
      <c r="JA50" s="198"/>
      <c r="JB50" s="198"/>
      <c r="JC50" s="198"/>
      <c r="JD50" s="198"/>
      <c r="JE50" s="198"/>
      <c r="JF50" s="198"/>
      <c r="JG50" s="198"/>
      <c r="JH50" s="198"/>
      <c r="JI50" s="198"/>
      <c r="JJ50" s="198"/>
      <c r="JK50" s="198"/>
      <c r="JL50" s="198"/>
      <c r="JM50" s="198"/>
      <c r="JN50" s="198"/>
      <c r="JO50" s="198"/>
      <c r="JP50" s="198"/>
      <c r="JQ50" s="198"/>
      <c r="JR50" s="198"/>
      <c r="JS50" s="198"/>
      <c r="JT50" s="198"/>
      <c r="JU50" s="198"/>
      <c r="JV50" s="198"/>
      <c r="JW50" s="198"/>
      <c r="JX50" s="198"/>
      <c r="JY50" s="198"/>
      <c r="JZ50" s="198"/>
      <c r="KA50" s="198"/>
      <c r="KB50" s="198"/>
      <c r="KC50" s="198"/>
      <c r="KD50" s="198"/>
      <c r="KE50" s="198"/>
      <c r="KF50" s="198"/>
      <c r="KG50" s="198"/>
      <c r="KH50" s="198"/>
      <c r="KI50" s="198"/>
      <c r="KJ50" s="198"/>
      <c r="KK50" s="198"/>
      <c r="KL50" s="198"/>
      <c r="KM50" s="198"/>
      <c r="KN50" s="198"/>
      <c r="KO50" s="198"/>
      <c r="KP50" s="198"/>
      <c r="KQ50" s="198"/>
      <c r="KR50" s="198"/>
      <c r="KS50" s="198"/>
      <c r="KT50" s="198"/>
      <c r="KU50" s="198"/>
      <c r="KV50" s="198"/>
      <c r="KW50" s="198"/>
      <c r="KX50" s="198"/>
      <c r="KY50" s="198"/>
      <c r="KZ50" s="198"/>
      <c r="LA50" s="198"/>
      <c r="LB50" s="198"/>
      <c r="LC50" s="198"/>
      <c r="LD50" s="198"/>
      <c r="LE50" s="198"/>
      <c r="LF50" s="198"/>
      <c r="LG50" s="198"/>
      <c r="LH50" s="198"/>
      <c r="LI50" s="198"/>
      <c r="LJ50" s="198"/>
      <c r="LK50" s="198"/>
      <c r="LL50" s="198"/>
      <c r="LM50" s="198"/>
      <c r="LN50" s="198"/>
      <c r="LO50" s="198"/>
      <c r="LP50" s="198"/>
      <c r="LQ50" s="198"/>
      <c r="LR50" s="198"/>
      <c r="LS50" s="198"/>
      <c r="LT50" s="198"/>
      <c r="LU50" s="198"/>
      <c r="LV50" s="198"/>
      <c r="LW50" s="198"/>
      <c r="LX50" s="198"/>
      <c r="LY50" s="198"/>
      <c r="LZ50" s="198"/>
      <c r="MA50" s="198"/>
      <c r="MB50" s="198"/>
      <c r="MC50" s="198"/>
      <c r="MD50" s="198"/>
      <c r="ME50" s="198"/>
      <c r="MF50" s="198"/>
      <c r="MG50" s="198"/>
      <c r="MH50" s="198"/>
      <c r="MI50" s="198"/>
      <c r="MJ50" s="198"/>
      <c r="MK50" s="198"/>
      <c r="ML50" s="198"/>
      <c r="MM50" s="198"/>
      <c r="MN50" s="198"/>
      <c r="MO50" s="198"/>
      <c r="MP50" s="198"/>
      <c r="MQ50" s="198"/>
      <c r="MR50" s="198"/>
      <c r="MS50" s="198"/>
      <c r="MT50" s="198"/>
      <c r="MU50" s="198"/>
      <c r="MV50" s="198"/>
      <c r="MW50" s="198"/>
      <c r="MX50" s="198"/>
      <c r="MY50" s="198"/>
      <c r="MZ50" s="198"/>
      <c r="NA50" s="198"/>
      <c r="NB50" s="198"/>
      <c r="NC50" s="198"/>
      <c r="ND50" s="198"/>
      <c r="NE50" s="198"/>
      <c r="NF50" s="198"/>
      <c r="NG50" s="198"/>
      <c r="NH50" s="198"/>
      <c r="NI50" s="198"/>
      <c r="NJ50" s="198"/>
      <c r="NK50" s="198"/>
      <c r="NL50" s="198"/>
      <c r="NM50" s="198"/>
      <c r="NN50" s="198"/>
      <c r="NO50" s="198"/>
      <c r="NP50" s="198"/>
      <c r="NQ50" s="198"/>
      <c r="NR50" s="198"/>
      <c r="NS50" s="198"/>
      <c r="NT50" s="198"/>
      <c r="NU50" s="198"/>
      <c r="NV50" s="198"/>
      <c r="NW50" s="198"/>
      <c r="NX50" s="198"/>
      <c r="NY50" s="198"/>
      <c r="NZ50" s="198"/>
      <c r="OA50" s="198"/>
      <c r="OB50" s="198"/>
      <c r="OC50" s="198"/>
      <c r="OD50" s="198"/>
      <c r="OE50" s="198"/>
      <c r="OF50" s="198"/>
      <c r="OG50" s="198"/>
      <c r="OH50" s="198"/>
      <c r="OI50" s="198"/>
      <c r="OJ50" s="198"/>
      <c r="OK50" s="198"/>
      <c r="OL50" s="198"/>
      <c r="OM50" s="198"/>
      <c r="ON50" s="198"/>
      <c r="OO50" s="198"/>
      <c r="OP50" s="198"/>
      <c r="OQ50" s="198"/>
      <c r="OR50" s="198"/>
      <c r="OS50" s="198"/>
      <c r="OT50" s="198"/>
      <c r="OU50" s="198"/>
      <c r="OV50" s="198"/>
      <c r="OW50" s="198"/>
      <c r="OX50" s="198"/>
      <c r="OY50" s="198"/>
      <c r="OZ50" s="198"/>
      <c r="PA50" s="198"/>
      <c r="PB50" s="198"/>
      <c r="PC50" s="198"/>
      <c r="PD50" s="198"/>
      <c r="PE50" s="198"/>
      <c r="PF50" s="198"/>
      <c r="PG50" s="198"/>
      <c r="PH50" s="198"/>
      <c r="PI50" s="198"/>
      <c r="PJ50" s="198"/>
      <c r="PK50" s="198"/>
      <c r="PL50" s="198"/>
      <c r="PM50" s="198"/>
      <c r="PN50" s="198"/>
      <c r="PO50" s="198"/>
      <c r="PP50" s="198"/>
      <c r="PQ50" s="198"/>
      <c r="PR50" s="198"/>
      <c r="PS50" s="198"/>
      <c r="PT50" s="198"/>
      <c r="PU50" s="198"/>
      <c r="PV50" s="198"/>
      <c r="PW50" s="198"/>
      <c r="PX50" s="198"/>
      <c r="PY50" s="198"/>
      <c r="PZ50" s="198"/>
      <c r="QA50" s="198"/>
      <c r="QB50" s="198"/>
      <c r="QC50" s="198"/>
      <c r="QD50" s="198"/>
      <c r="QE50" s="198"/>
      <c r="QF50" s="198"/>
      <c r="QG50" s="198"/>
      <c r="QH50" s="198"/>
      <c r="QI50" s="198"/>
      <c r="QJ50" s="198"/>
      <c r="QK50" s="198"/>
      <c r="QL50" s="198"/>
      <c r="QM50" s="198"/>
      <c r="QN50" s="198"/>
      <c r="QO50" s="198"/>
      <c r="QP50" s="198"/>
      <c r="QQ50" s="198"/>
      <c r="QR50" s="198"/>
      <c r="QS50" s="198"/>
      <c r="QT50" s="198"/>
      <c r="QU50" s="198"/>
      <c r="QV50" s="198"/>
      <c r="QW50" s="198"/>
      <c r="QX50" s="198"/>
      <c r="QY50" s="198"/>
      <c r="QZ50" s="198"/>
      <c r="RA50" s="198"/>
      <c r="RB50" s="198"/>
      <c r="RC50" s="198"/>
      <c r="RD50" s="198"/>
      <c r="RE50" s="198"/>
      <c r="RF50" s="198"/>
      <c r="RG50" s="198"/>
      <c r="RH50" s="198"/>
      <c r="RI50" s="198"/>
      <c r="RJ50" s="198"/>
      <c r="RK50" s="198"/>
      <c r="RL50" s="198"/>
      <c r="RM50" s="198"/>
      <c r="RN50" s="198"/>
      <c r="RO50" s="198"/>
      <c r="RP50" s="198"/>
      <c r="RQ50" s="198"/>
      <c r="RR50" s="198"/>
      <c r="RS50" s="198"/>
      <c r="RT50" s="198"/>
      <c r="RU50" s="198"/>
      <c r="RV50" s="198"/>
      <c r="RW50" s="198"/>
      <c r="RX50" s="198"/>
      <c r="RY50" s="198"/>
      <c r="RZ50" s="198"/>
      <c r="SA50" s="198"/>
      <c r="SB50" s="198"/>
      <c r="SC50" s="198"/>
      <c r="SD50" s="198"/>
      <c r="SE50" s="198"/>
      <c r="SF50" s="198"/>
      <c r="SG50" s="198"/>
    </row>
    <row r="51" spans="1:501" ht="40.049999999999997" customHeight="1" x14ac:dyDescent="0.3">
      <c r="A51" s="543" t="s">
        <v>173</v>
      </c>
      <c r="B51" s="956" t="s">
        <v>174</v>
      </c>
      <c r="C51" s="950"/>
      <c r="D51" s="861"/>
      <c r="E51" s="862"/>
      <c r="F51" s="861"/>
      <c r="G51" s="862"/>
      <c r="H51" s="861"/>
      <c r="I51" s="862"/>
      <c r="J51" s="861"/>
      <c r="K51" s="862"/>
      <c r="L51" s="861"/>
      <c r="M51" s="862"/>
      <c r="N51" s="861"/>
      <c r="O51" s="862"/>
      <c r="P51" s="861"/>
      <c r="Q51" s="862"/>
      <c r="R51" s="861"/>
      <c r="S51" s="862"/>
      <c r="T51" s="861"/>
      <c r="U51" s="862"/>
      <c r="V51" s="861"/>
      <c r="W51" s="862"/>
      <c r="X51" s="861"/>
      <c r="Y51" s="862"/>
      <c r="Z51" s="861"/>
      <c r="AA51" s="862"/>
      <c r="AB51" s="864"/>
      <c r="AC51" s="864"/>
      <c r="AD51" s="864"/>
      <c r="AE51" s="864"/>
      <c r="AF51" s="861"/>
      <c r="AG51" s="865"/>
      <c r="AH51" s="866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  <c r="AS51" s="198"/>
      <c r="AT51" s="198"/>
      <c r="AU51" s="198"/>
      <c r="AV51" s="198"/>
      <c r="AW51" s="198"/>
      <c r="AX51" s="198"/>
      <c r="AY51" s="198"/>
      <c r="AZ51" s="198"/>
      <c r="BA51" s="198"/>
      <c r="BB51" s="198"/>
      <c r="BC51" s="198"/>
      <c r="BD51" s="198"/>
      <c r="BE51" s="198"/>
      <c r="BF51" s="198"/>
      <c r="BG51" s="198"/>
      <c r="BH51" s="198"/>
      <c r="BI51" s="198"/>
      <c r="BJ51" s="198"/>
      <c r="BK51" s="198"/>
      <c r="BL51" s="198"/>
      <c r="BM51" s="198"/>
      <c r="BN51" s="198"/>
      <c r="BO51" s="198"/>
      <c r="BP51" s="198"/>
      <c r="BQ51" s="198"/>
      <c r="BR51" s="198"/>
      <c r="BS51" s="198"/>
      <c r="BT51" s="198"/>
      <c r="BU51" s="198"/>
      <c r="BV51" s="198"/>
      <c r="BW51" s="198"/>
      <c r="BX51" s="198"/>
      <c r="BY51" s="198"/>
      <c r="BZ51" s="198"/>
      <c r="CA51" s="198"/>
      <c r="CB51" s="198"/>
      <c r="CC51" s="198"/>
      <c r="CD51" s="198"/>
      <c r="CE51" s="198"/>
      <c r="CF51" s="198"/>
      <c r="CG51" s="198"/>
      <c r="CH51" s="198"/>
      <c r="CI51" s="198"/>
      <c r="CJ51" s="198"/>
      <c r="CK51" s="198"/>
      <c r="CL51" s="198"/>
      <c r="CM51" s="198"/>
      <c r="CN51" s="198"/>
      <c r="CO51" s="198"/>
      <c r="CP51" s="198"/>
      <c r="CQ51" s="198"/>
      <c r="CR51" s="198"/>
      <c r="CS51" s="198"/>
      <c r="CT51" s="198"/>
      <c r="CU51" s="198"/>
      <c r="CV51" s="198"/>
      <c r="CW51" s="198"/>
      <c r="CX51" s="198"/>
      <c r="CY51" s="198"/>
      <c r="CZ51" s="198"/>
      <c r="DA51" s="198"/>
      <c r="DB51" s="198"/>
      <c r="DC51" s="198"/>
      <c r="DD51" s="198"/>
      <c r="DE51" s="198"/>
      <c r="DF51" s="198"/>
      <c r="DG51" s="198"/>
      <c r="DH51" s="198"/>
      <c r="DI51" s="198"/>
      <c r="DJ51" s="198"/>
      <c r="DK51" s="198"/>
      <c r="DL51" s="198"/>
      <c r="DM51" s="198"/>
      <c r="DN51" s="198"/>
      <c r="DO51" s="198"/>
      <c r="DP51" s="198"/>
      <c r="DQ51" s="198"/>
      <c r="DR51" s="198"/>
      <c r="DS51" s="198"/>
      <c r="DT51" s="198"/>
      <c r="DU51" s="198"/>
      <c r="DV51" s="198"/>
      <c r="DW51" s="198"/>
      <c r="DX51" s="198"/>
      <c r="DY51" s="198"/>
      <c r="DZ51" s="198"/>
      <c r="EA51" s="198"/>
      <c r="EB51" s="198"/>
      <c r="EC51" s="198"/>
      <c r="ED51" s="198"/>
      <c r="EE51" s="198"/>
      <c r="EF51" s="198"/>
      <c r="EG51" s="198"/>
      <c r="EH51" s="198"/>
      <c r="EI51" s="198"/>
      <c r="EJ51" s="198"/>
      <c r="EK51" s="198"/>
      <c r="EL51" s="198"/>
      <c r="EM51" s="198"/>
      <c r="EN51" s="198"/>
      <c r="EO51" s="198"/>
      <c r="EP51" s="198"/>
      <c r="EQ51" s="198"/>
      <c r="ER51" s="198"/>
      <c r="ES51" s="198"/>
      <c r="ET51" s="198"/>
      <c r="EU51" s="198"/>
      <c r="EV51" s="198"/>
      <c r="EW51" s="198"/>
      <c r="EX51" s="198"/>
      <c r="EY51" s="198"/>
      <c r="EZ51" s="198"/>
      <c r="FA51" s="198"/>
      <c r="FB51" s="198"/>
      <c r="FC51" s="198"/>
      <c r="FD51" s="198"/>
      <c r="FE51" s="198"/>
      <c r="FF51" s="198"/>
      <c r="FG51" s="198"/>
      <c r="FH51" s="198"/>
      <c r="FI51" s="198"/>
      <c r="FJ51" s="198"/>
      <c r="FK51" s="198"/>
      <c r="FL51" s="198"/>
      <c r="FM51" s="198"/>
      <c r="FN51" s="198"/>
      <c r="FO51" s="198"/>
      <c r="FP51" s="198"/>
      <c r="FQ51" s="198"/>
      <c r="FR51" s="198"/>
      <c r="FS51" s="198"/>
      <c r="FT51" s="198"/>
      <c r="FU51" s="198"/>
      <c r="FV51" s="198"/>
      <c r="FW51" s="198"/>
      <c r="FX51" s="198"/>
      <c r="FY51" s="198"/>
      <c r="FZ51" s="198"/>
      <c r="GA51" s="198"/>
      <c r="GB51" s="198"/>
      <c r="GC51" s="198"/>
      <c r="GD51" s="198"/>
      <c r="GE51" s="198"/>
      <c r="GF51" s="198"/>
      <c r="GG51" s="198"/>
      <c r="GH51" s="198"/>
      <c r="GI51" s="198"/>
      <c r="GJ51" s="198"/>
      <c r="GK51" s="198"/>
      <c r="GL51" s="198"/>
      <c r="GM51" s="198"/>
      <c r="GN51" s="198"/>
      <c r="GO51" s="198"/>
      <c r="GP51" s="198"/>
      <c r="GQ51" s="198"/>
      <c r="GR51" s="198"/>
      <c r="GS51" s="198"/>
      <c r="GT51" s="198"/>
      <c r="GU51" s="198"/>
      <c r="GV51" s="198"/>
      <c r="GW51" s="198"/>
      <c r="GX51" s="198"/>
      <c r="GY51" s="198"/>
      <c r="GZ51" s="198"/>
      <c r="HA51" s="198"/>
      <c r="HB51" s="198"/>
      <c r="HC51" s="198"/>
      <c r="HD51" s="198"/>
      <c r="HE51" s="198"/>
      <c r="HF51" s="198"/>
      <c r="HG51" s="198"/>
      <c r="HH51" s="198"/>
      <c r="HI51" s="198"/>
      <c r="HJ51" s="198"/>
      <c r="HK51" s="198"/>
      <c r="HL51" s="198"/>
      <c r="HM51" s="198"/>
      <c r="HN51" s="198"/>
      <c r="HO51" s="198"/>
      <c r="HP51" s="198"/>
      <c r="HQ51" s="198"/>
      <c r="HR51" s="198"/>
      <c r="HS51" s="198"/>
      <c r="HT51" s="198"/>
      <c r="HU51" s="198"/>
      <c r="HV51" s="198"/>
      <c r="HW51" s="198"/>
      <c r="HX51" s="198"/>
      <c r="HY51" s="198"/>
      <c r="HZ51" s="198"/>
      <c r="IA51" s="198"/>
      <c r="IB51" s="198"/>
      <c r="IC51" s="198"/>
      <c r="ID51" s="198"/>
      <c r="IE51" s="198"/>
      <c r="IF51" s="198"/>
      <c r="IG51" s="198"/>
      <c r="IH51" s="198"/>
      <c r="II51" s="198"/>
      <c r="IJ51" s="198"/>
      <c r="IK51" s="198"/>
      <c r="IL51" s="198"/>
      <c r="IM51" s="198"/>
      <c r="IN51" s="198"/>
      <c r="IO51" s="198"/>
      <c r="IP51" s="198"/>
      <c r="IQ51" s="198"/>
      <c r="IR51" s="198"/>
      <c r="IS51" s="198"/>
      <c r="IT51" s="198"/>
      <c r="IU51" s="198"/>
      <c r="IV51" s="198"/>
      <c r="IW51" s="198"/>
      <c r="IX51" s="198"/>
      <c r="IY51" s="198"/>
      <c r="IZ51" s="198"/>
      <c r="JA51" s="198"/>
      <c r="JB51" s="198"/>
      <c r="JC51" s="198"/>
      <c r="JD51" s="198"/>
      <c r="JE51" s="198"/>
      <c r="JF51" s="198"/>
      <c r="JG51" s="198"/>
      <c r="JH51" s="198"/>
      <c r="JI51" s="198"/>
      <c r="JJ51" s="198"/>
      <c r="JK51" s="198"/>
      <c r="JL51" s="198"/>
      <c r="JM51" s="198"/>
      <c r="JN51" s="198"/>
      <c r="JO51" s="198"/>
      <c r="JP51" s="198"/>
      <c r="JQ51" s="198"/>
      <c r="JR51" s="198"/>
      <c r="JS51" s="198"/>
      <c r="JT51" s="198"/>
      <c r="JU51" s="198"/>
      <c r="JV51" s="198"/>
      <c r="JW51" s="198"/>
      <c r="JX51" s="198"/>
      <c r="JY51" s="198"/>
      <c r="JZ51" s="198"/>
      <c r="KA51" s="198"/>
      <c r="KB51" s="198"/>
      <c r="KC51" s="198"/>
      <c r="KD51" s="198"/>
      <c r="KE51" s="198"/>
      <c r="KF51" s="198"/>
      <c r="KG51" s="198"/>
      <c r="KH51" s="198"/>
      <c r="KI51" s="198"/>
      <c r="KJ51" s="198"/>
      <c r="KK51" s="198"/>
      <c r="KL51" s="198"/>
      <c r="KM51" s="198"/>
      <c r="KN51" s="198"/>
      <c r="KO51" s="198"/>
      <c r="KP51" s="198"/>
      <c r="KQ51" s="198"/>
      <c r="KR51" s="198"/>
      <c r="KS51" s="198"/>
      <c r="KT51" s="198"/>
      <c r="KU51" s="198"/>
      <c r="KV51" s="198"/>
      <c r="KW51" s="198"/>
      <c r="KX51" s="198"/>
      <c r="KY51" s="198"/>
      <c r="KZ51" s="198"/>
      <c r="LA51" s="198"/>
      <c r="LB51" s="198"/>
      <c r="LC51" s="198"/>
      <c r="LD51" s="198"/>
      <c r="LE51" s="198"/>
      <c r="LF51" s="198"/>
      <c r="LG51" s="198"/>
      <c r="LH51" s="198"/>
      <c r="LI51" s="198"/>
      <c r="LJ51" s="198"/>
      <c r="LK51" s="198"/>
      <c r="LL51" s="198"/>
      <c r="LM51" s="198"/>
      <c r="LN51" s="198"/>
      <c r="LO51" s="198"/>
      <c r="LP51" s="198"/>
      <c r="LQ51" s="198"/>
      <c r="LR51" s="198"/>
      <c r="LS51" s="198"/>
      <c r="LT51" s="198"/>
      <c r="LU51" s="198"/>
      <c r="LV51" s="198"/>
      <c r="LW51" s="198"/>
      <c r="LX51" s="198"/>
      <c r="LY51" s="198"/>
      <c r="LZ51" s="198"/>
      <c r="MA51" s="198"/>
      <c r="MB51" s="198"/>
      <c r="MC51" s="198"/>
      <c r="MD51" s="198"/>
      <c r="ME51" s="198"/>
      <c r="MF51" s="198"/>
      <c r="MG51" s="198"/>
      <c r="MH51" s="198"/>
      <c r="MI51" s="198"/>
      <c r="MJ51" s="198"/>
      <c r="MK51" s="198"/>
      <c r="ML51" s="198"/>
      <c r="MM51" s="198"/>
      <c r="MN51" s="198"/>
      <c r="MO51" s="198"/>
      <c r="MP51" s="198"/>
      <c r="MQ51" s="198"/>
      <c r="MR51" s="198"/>
      <c r="MS51" s="198"/>
      <c r="MT51" s="198"/>
      <c r="MU51" s="198"/>
      <c r="MV51" s="198"/>
      <c r="MW51" s="198"/>
      <c r="MX51" s="198"/>
      <c r="MY51" s="198"/>
      <c r="MZ51" s="198"/>
      <c r="NA51" s="198"/>
      <c r="NB51" s="198"/>
      <c r="NC51" s="198"/>
      <c r="ND51" s="198"/>
      <c r="NE51" s="198"/>
      <c r="NF51" s="198"/>
      <c r="NG51" s="198"/>
      <c r="NH51" s="198"/>
      <c r="NI51" s="198"/>
      <c r="NJ51" s="198"/>
      <c r="NK51" s="198"/>
      <c r="NL51" s="198"/>
      <c r="NM51" s="198"/>
      <c r="NN51" s="198"/>
      <c r="NO51" s="198"/>
      <c r="NP51" s="198"/>
      <c r="NQ51" s="198"/>
      <c r="NR51" s="198"/>
      <c r="NS51" s="198"/>
      <c r="NT51" s="198"/>
      <c r="NU51" s="198"/>
      <c r="NV51" s="198"/>
      <c r="NW51" s="198"/>
      <c r="NX51" s="198"/>
      <c r="NY51" s="198"/>
      <c r="NZ51" s="198"/>
      <c r="OA51" s="198"/>
      <c r="OB51" s="198"/>
      <c r="OC51" s="198"/>
      <c r="OD51" s="198"/>
      <c r="OE51" s="198"/>
      <c r="OF51" s="198"/>
      <c r="OG51" s="198"/>
      <c r="OH51" s="198"/>
      <c r="OI51" s="198"/>
      <c r="OJ51" s="198"/>
      <c r="OK51" s="198"/>
      <c r="OL51" s="198"/>
      <c r="OM51" s="198"/>
      <c r="ON51" s="198"/>
      <c r="OO51" s="198"/>
      <c r="OP51" s="198"/>
      <c r="OQ51" s="198"/>
      <c r="OR51" s="198"/>
      <c r="OS51" s="198"/>
      <c r="OT51" s="198"/>
      <c r="OU51" s="198"/>
      <c r="OV51" s="198"/>
      <c r="OW51" s="198"/>
      <c r="OX51" s="198"/>
      <c r="OY51" s="198"/>
      <c r="OZ51" s="198"/>
      <c r="PA51" s="198"/>
      <c r="PB51" s="198"/>
      <c r="PC51" s="198"/>
      <c r="PD51" s="198"/>
      <c r="PE51" s="198"/>
      <c r="PF51" s="198"/>
      <c r="PG51" s="198"/>
      <c r="PH51" s="198"/>
      <c r="PI51" s="198"/>
      <c r="PJ51" s="198"/>
      <c r="PK51" s="198"/>
      <c r="PL51" s="198"/>
      <c r="PM51" s="198"/>
      <c r="PN51" s="198"/>
      <c r="PO51" s="198"/>
      <c r="PP51" s="198"/>
      <c r="PQ51" s="198"/>
      <c r="PR51" s="198"/>
      <c r="PS51" s="198"/>
      <c r="PT51" s="198"/>
      <c r="PU51" s="198"/>
      <c r="PV51" s="198"/>
      <c r="PW51" s="198"/>
      <c r="PX51" s="198"/>
      <c r="PY51" s="198"/>
      <c r="PZ51" s="198"/>
      <c r="QA51" s="198"/>
      <c r="QB51" s="198"/>
      <c r="QC51" s="198"/>
      <c r="QD51" s="198"/>
      <c r="QE51" s="198"/>
      <c r="QF51" s="198"/>
      <c r="QG51" s="198"/>
      <c r="QH51" s="198"/>
      <c r="QI51" s="198"/>
      <c r="QJ51" s="198"/>
      <c r="QK51" s="198"/>
      <c r="QL51" s="198"/>
      <c r="QM51" s="198"/>
      <c r="QN51" s="198"/>
      <c r="QO51" s="198"/>
      <c r="QP51" s="198"/>
      <c r="QQ51" s="198"/>
      <c r="QR51" s="198"/>
      <c r="QS51" s="198"/>
      <c r="QT51" s="198"/>
      <c r="QU51" s="198"/>
      <c r="QV51" s="198"/>
      <c r="QW51" s="198"/>
      <c r="QX51" s="198"/>
      <c r="QY51" s="198"/>
      <c r="QZ51" s="198"/>
      <c r="RA51" s="198"/>
      <c r="RB51" s="198"/>
      <c r="RC51" s="198"/>
      <c r="RD51" s="198"/>
      <c r="RE51" s="198"/>
      <c r="RF51" s="198"/>
      <c r="RG51" s="198"/>
      <c r="RH51" s="198"/>
      <c r="RI51" s="198"/>
      <c r="RJ51" s="198"/>
      <c r="RK51" s="198"/>
      <c r="RL51" s="198"/>
      <c r="RM51" s="198"/>
      <c r="RN51" s="198"/>
      <c r="RO51" s="198"/>
      <c r="RP51" s="198"/>
      <c r="RQ51" s="198"/>
      <c r="RR51" s="198"/>
      <c r="RS51" s="198"/>
      <c r="RT51" s="198"/>
      <c r="RU51" s="198"/>
      <c r="RV51" s="198"/>
      <c r="RW51" s="198"/>
      <c r="RX51" s="198"/>
      <c r="RY51" s="198"/>
      <c r="RZ51" s="198"/>
      <c r="SA51" s="198"/>
      <c r="SB51" s="198"/>
      <c r="SC51" s="198"/>
      <c r="SD51" s="198"/>
      <c r="SE51" s="198"/>
      <c r="SF51" s="198"/>
      <c r="SG51" s="198"/>
    </row>
    <row r="52" spans="1:501" ht="40.049999999999997" customHeight="1" x14ac:dyDescent="0.3">
      <c r="A52" s="543" t="s">
        <v>175</v>
      </c>
      <c r="B52" s="956" t="s">
        <v>176</v>
      </c>
      <c r="C52" s="950">
        <f>'MANZ. A'!H54</f>
        <v>0</v>
      </c>
      <c r="D52" s="861"/>
      <c r="E52" s="862">
        <f>'MANZ. B'!R48</f>
        <v>0</v>
      </c>
      <c r="F52" s="861"/>
      <c r="G52" s="863">
        <f>MANZ.C!AL47</f>
        <v>0</v>
      </c>
      <c r="H52" s="861"/>
      <c r="I52" s="862">
        <f>MANZ.D!Z47</f>
        <v>0</v>
      </c>
      <c r="J52" s="861"/>
      <c r="K52" s="862">
        <f>MANZ.E!AL48</f>
        <v>0</v>
      </c>
      <c r="L52" s="861"/>
      <c r="M52" s="862">
        <f>MANZ.F!AB47</f>
        <v>0</v>
      </c>
      <c r="N52" s="861"/>
      <c r="O52" s="862">
        <f>MANZ.G!AT46</f>
        <v>18</v>
      </c>
      <c r="P52" s="861"/>
      <c r="Q52" s="863">
        <f>MANZ.H!V48</f>
        <v>0</v>
      </c>
      <c r="R52" s="861"/>
      <c r="S52" s="862">
        <f>MANZ.I!AB48</f>
        <v>0</v>
      </c>
      <c r="T52" s="861"/>
      <c r="U52" s="862">
        <f>MANZ.J!AT51</f>
        <v>0</v>
      </c>
      <c r="V52" s="861"/>
      <c r="W52" s="862">
        <f>MANZ.K!AB48</f>
        <v>0</v>
      </c>
      <c r="X52" s="861"/>
      <c r="Y52" s="862">
        <f>MANZ.L!Z48</f>
        <v>0</v>
      </c>
      <c r="Z52" s="861"/>
      <c r="AA52" s="862">
        <f>'SALA MULTIUSO'!F57</f>
        <v>0</v>
      </c>
      <c r="AB52" s="864"/>
      <c r="AC52" s="864"/>
      <c r="AD52" s="864"/>
      <c r="AE52" s="864"/>
      <c r="AF52" s="861"/>
      <c r="AG52" s="865">
        <f>SUM(C48:AA48)</f>
        <v>0</v>
      </c>
      <c r="AH52" s="866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  <c r="AS52" s="198"/>
      <c r="AT52" s="198"/>
      <c r="AU52" s="198"/>
      <c r="AV52" s="198"/>
      <c r="AW52" s="198"/>
      <c r="AX52" s="198"/>
      <c r="AY52" s="198"/>
      <c r="AZ52" s="198"/>
      <c r="BA52" s="198"/>
      <c r="BB52" s="198"/>
      <c r="BC52" s="198"/>
      <c r="BD52" s="198"/>
      <c r="BE52" s="198"/>
      <c r="BF52" s="198"/>
      <c r="BG52" s="198"/>
      <c r="BH52" s="198"/>
      <c r="BI52" s="198"/>
      <c r="BJ52" s="198"/>
      <c r="BK52" s="198"/>
      <c r="BL52" s="198"/>
      <c r="BM52" s="198"/>
      <c r="BN52" s="198"/>
      <c r="BO52" s="198"/>
      <c r="BP52" s="198"/>
      <c r="BQ52" s="198"/>
      <c r="BR52" s="198"/>
      <c r="BS52" s="198"/>
      <c r="BT52" s="198"/>
      <c r="BU52" s="198"/>
      <c r="BV52" s="198"/>
      <c r="BW52" s="198"/>
      <c r="BX52" s="198"/>
      <c r="BY52" s="198"/>
      <c r="BZ52" s="198"/>
      <c r="CA52" s="198"/>
      <c r="CB52" s="198"/>
      <c r="CC52" s="198"/>
      <c r="CD52" s="198"/>
      <c r="CE52" s="198"/>
      <c r="CF52" s="198"/>
      <c r="CG52" s="198"/>
      <c r="CH52" s="198"/>
      <c r="CI52" s="198"/>
      <c r="CJ52" s="198"/>
      <c r="CK52" s="198"/>
      <c r="CL52" s="198"/>
      <c r="CM52" s="198"/>
      <c r="CN52" s="198"/>
      <c r="CO52" s="198"/>
      <c r="CP52" s="198"/>
      <c r="CQ52" s="198"/>
      <c r="CR52" s="198"/>
      <c r="CS52" s="198"/>
      <c r="CT52" s="198"/>
      <c r="CU52" s="198"/>
      <c r="CV52" s="198"/>
      <c r="CW52" s="198"/>
      <c r="CX52" s="198"/>
      <c r="CY52" s="198"/>
      <c r="CZ52" s="198"/>
      <c r="DA52" s="198"/>
      <c r="DB52" s="198"/>
      <c r="DC52" s="198"/>
      <c r="DD52" s="198"/>
      <c r="DE52" s="198"/>
      <c r="DF52" s="198"/>
      <c r="DG52" s="198"/>
      <c r="DH52" s="198"/>
      <c r="DI52" s="198"/>
      <c r="DJ52" s="198"/>
      <c r="DK52" s="198"/>
      <c r="DL52" s="198"/>
      <c r="DM52" s="198"/>
      <c r="DN52" s="198"/>
      <c r="DO52" s="198"/>
      <c r="DP52" s="198"/>
      <c r="DQ52" s="198"/>
      <c r="DR52" s="198"/>
      <c r="DS52" s="198"/>
      <c r="DT52" s="198"/>
      <c r="DU52" s="198"/>
      <c r="DV52" s="198"/>
      <c r="DW52" s="198"/>
      <c r="DX52" s="198"/>
      <c r="DY52" s="198"/>
      <c r="DZ52" s="198"/>
      <c r="EA52" s="198"/>
      <c r="EB52" s="198"/>
      <c r="EC52" s="198"/>
      <c r="ED52" s="198"/>
      <c r="EE52" s="198"/>
      <c r="EF52" s="198"/>
      <c r="EG52" s="198"/>
      <c r="EH52" s="198"/>
      <c r="EI52" s="198"/>
      <c r="EJ52" s="198"/>
      <c r="EK52" s="198"/>
      <c r="EL52" s="198"/>
      <c r="EM52" s="198"/>
      <c r="EN52" s="198"/>
      <c r="EO52" s="198"/>
      <c r="EP52" s="198"/>
      <c r="EQ52" s="198"/>
      <c r="ER52" s="198"/>
      <c r="ES52" s="198"/>
      <c r="ET52" s="198"/>
      <c r="EU52" s="198"/>
      <c r="EV52" s="198"/>
      <c r="EW52" s="198"/>
      <c r="EX52" s="198"/>
      <c r="EY52" s="198"/>
      <c r="EZ52" s="198"/>
      <c r="FA52" s="198"/>
      <c r="FB52" s="198"/>
      <c r="FC52" s="198"/>
      <c r="FD52" s="198"/>
      <c r="FE52" s="198"/>
      <c r="FF52" s="198"/>
      <c r="FG52" s="198"/>
      <c r="FH52" s="198"/>
      <c r="FI52" s="198"/>
      <c r="FJ52" s="198"/>
      <c r="FK52" s="198"/>
      <c r="FL52" s="198"/>
      <c r="FM52" s="198"/>
      <c r="FN52" s="198"/>
      <c r="FO52" s="198"/>
      <c r="FP52" s="198"/>
      <c r="FQ52" s="198"/>
      <c r="FR52" s="198"/>
      <c r="FS52" s="198"/>
      <c r="FT52" s="198"/>
      <c r="FU52" s="198"/>
      <c r="FV52" s="198"/>
      <c r="FW52" s="198"/>
      <c r="FX52" s="198"/>
      <c r="FY52" s="198"/>
      <c r="FZ52" s="198"/>
      <c r="GA52" s="198"/>
      <c r="GB52" s="198"/>
      <c r="GC52" s="198"/>
      <c r="GD52" s="198"/>
      <c r="GE52" s="198"/>
      <c r="GF52" s="198"/>
      <c r="GG52" s="198"/>
      <c r="GH52" s="198"/>
      <c r="GI52" s="198"/>
      <c r="GJ52" s="198"/>
      <c r="GK52" s="198"/>
      <c r="GL52" s="198"/>
      <c r="GM52" s="198"/>
      <c r="GN52" s="198"/>
      <c r="GO52" s="198"/>
      <c r="GP52" s="198"/>
      <c r="GQ52" s="198"/>
      <c r="GR52" s="198"/>
      <c r="GS52" s="198"/>
      <c r="GT52" s="198"/>
      <c r="GU52" s="198"/>
      <c r="GV52" s="198"/>
      <c r="GW52" s="198"/>
      <c r="GX52" s="198"/>
      <c r="GY52" s="198"/>
      <c r="GZ52" s="198"/>
      <c r="HA52" s="198"/>
      <c r="HB52" s="198"/>
      <c r="HC52" s="198"/>
      <c r="HD52" s="198"/>
      <c r="HE52" s="198"/>
      <c r="HF52" s="198"/>
      <c r="HG52" s="198"/>
      <c r="HH52" s="198"/>
      <c r="HI52" s="198"/>
      <c r="HJ52" s="198"/>
      <c r="HK52" s="198"/>
      <c r="HL52" s="198"/>
      <c r="HM52" s="198"/>
      <c r="HN52" s="198"/>
      <c r="HO52" s="198"/>
      <c r="HP52" s="198"/>
      <c r="HQ52" s="198"/>
      <c r="HR52" s="198"/>
      <c r="HS52" s="198"/>
      <c r="HT52" s="198"/>
      <c r="HU52" s="198"/>
      <c r="HV52" s="198"/>
      <c r="HW52" s="198"/>
      <c r="HX52" s="198"/>
      <c r="HY52" s="198"/>
      <c r="HZ52" s="198"/>
      <c r="IA52" s="198"/>
      <c r="IB52" s="198"/>
      <c r="IC52" s="198"/>
      <c r="ID52" s="198"/>
      <c r="IE52" s="198"/>
      <c r="IF52" s="198"/>
      <c r="IG52" s="198"/>
      <c r="IH52" s="198"/>
      <c r="II52" s="198"/>
      <c r="IJ52" s="198"/>
      <c r="IK52" s="198"/>
      <c r="IL52" s="198"/>
      <c r="IM52" s="198"/>
      <c r="IN52" s="198"/>
      <c r="IO52" s="198"/>
      <c r="IP52" s="198"/>
      <c r="IQ52" s="198"/>
      <c r="IR52" s="198"/>
      <c r="IS52" s="198"/>
      <c r="IT52" s="198"/>
      <c r="IU52" s="198"/>
      <c r="IV52" s="198"/>
      <c r="IW52" s="198"/>
      <c r="IX52" s="198"/>
      <c r="IY52" s="198"/>
      <c r="IZ52" s="198"/>
      <c r="JA52" s="198"/>
      <c r="JB52" s="198"/>
      <c r="JC52" s="198"/>
      <c r="JD52" s="198"/>
      <c r="JE52" s="198"/>
      <c r="JF52" s="198"/>
      <c r="JG52" s="198"/>
      <c r="JH52" s="198"/>
      <c r="JI52" s="198"/>
      <c r="JJ52" s="198"/>
      <c r="JK52" s="198"/>
      <c r="JL52" s="198"/>
      <c r="JM52" s="198"/>
      <c r="JN52" s="198"/>
      <c r="JO52" s="198"/>
      <c r="JP52" s="198"/>
      <c r="JQ52" s="198"/>
      <c r="JR52" s="198"/>
      <c r="JS52" s="198"/>
      <c r="JT52" s="198"/>
      <c r="JU52" s="198"/>
      <c r="JV52" s="198"/>
      <c r="JW52" s="198"/>
      <c r="JX52" s="198"/>
      <c r="JY52" s="198"/>
      <c r="JZ52" s="198"/>
      <c r="KA52" s="198"/>
      <c r="KB52" s="198"/>
      <c r="KC52" s="198"/>
      <c r="KD52" s="198"/>
      <c r="KE52" s="198"/>
      <c r="KF52" s="198"/>
      <c r="KG52" s="198"/>
      <c r="KH52" s="198"/>
      <c r="KI52" s="198"/>
      <c r="KJ52" s="198"/>
      <c r="KK52" s="198"/>
      <c r="KL52" s="198"/>
      <c r="KM52" s="198"/>
      <c r="KN52" s="198"/>
      <c r="KO52" s="198"/>
      <c r="KP52" s="198"/>
      <c r="KQ52" s="198"/>
      <c r="KR52" s="198"/>
      <c r="KS52" s="198"/>
      <c r="KT52" s="198"/>
      <c r="KU52" s="198"/>
      <c r="KV52" s="198"/>
      <c r="KW52" s="198"/>
      <c r="KX52" s="198"/>
      <c r="KY52" s="198"/>
      <c r="KZ52" s="198"/>
      <c r="LA52" s="198"/>
      <c r="LB52" s="198"/>
      <c r="LC52" s="198"/>
      <c r="LD52" s="198"/>
      <c r="LE52" s="198"/>
      <c r="LF52" s="198"/>
      <c r="LG52" s="198"/>
      <c r="LH52" s="198"/>
      <c r="LI52" s="198"/>
      <c r="LJ52" s="198"/>
      <c r="LK52" s="198"/>
      <c r="LL52" s="198"/>
      <c r="LM52" s="198"/>
      <c r="LN52" s="198"/>
      <c r="LO52" s="198"/>
      <c r="LP52" s="198"/>
      <c r="LQ52" s="198"/>
      <c r="LR52" s="198"/>
      <c r="LS52" s="198"/>
      <c r="LT52" s="198"/>
      <c r="LU52" s="198"/>
      <c r="LV52" s="198"/>
      <c r="LW52" s="198"/>
      <c r="LX52" s="198"/>
      <c r="LY52" s="198"/>
      <c r="LZ52" s="198"/>
      <c r="MA52" s="198"/>
      <c r="MB52" s="198"/>
      <c r="MC52" s="198"/>
      <c r="MD52" s="198"/>
      <c r="ME52" s="198"/>
      <c r="MF52" s="198"/>
      <c r="MG52" s="198"/>
      <c r="MH52" s="198"/>
      <c r="MI52" s="198"/>
      <c r="MJ52" s="198"/>
      <c r="MK52" s="198"/>
      <c r="ML52" s="198"/>
      <c r="MM52" s="198"/>
      <c r="MN52" s="198"/>
      <c r="MO52" s="198"/>
      <c r="MP52" s="198"/>
      <c r="MQ52" s="198"/>
      <c r="MR52" s="198"/>
      <c r="MS52" s="198"/>
      <c r="MT52" s="198"/>
      <c r="MU52" s="198"/>
      <c r="MV52" s="198"/>
      <c r="MW52" s="198"/>
      <c r="MX52" s="198"/>
      <c r="MY52" s="198"/>
      <c r="MZ52" s="198"/>
      <c r="NA52" s="198"/>
      <c r="NB52" s="198"/>
      <c r="NC52" s="198"/>
      <c r="ND52" s="198"/>
      <c r="NE52" s="198"/>
      <c r="NF52" s="198"/>
      <c r="NG52" s="198"/>
      <c r="NH52" s="198"/>
      <c r="NI52" s="198"/>
      <c r="NJ52" s="198"/>
      <c r="NK52" s="198"/>
      <c r="NL52" s="198"/>
      <c r="NM52" s="198"/>
      <c r="NN52" s="198"/>
      <c r="NO52" s="198"/>
      <c r="NP52" s="198"/>
      <c r="NQ52" s="198"/>
      <c r="NR52" s="198"/>
      <c r="NS52" s="198"/>
      <c r="NT52" s="198"/>
      <c r="NU52" s="198"/>
      <c r="NV52" s="198"/>
      <c r="NW52" s="198"/>
      <c r="NX52" s="198"/>
      <c r="NY52" s="198"/>
      <c r="NZ52" s="198"/>
      <c r="OA52" s="198"/>
      <c r="OB52" s="198"/>
      <c r="OC52" s="198"/>
      <c r="OD52" s="198"/>
      <c r="OE52" s="198"/>
      <c r="OF52" s="198"/>
      <c r="OG52" s="198"/>
      <c r="OH52" s="198"/>
      <c r="OI52" s="198"/>
      <c r="OJ52" s="198"/>
      <c r="OK52" s="198"/>
      <c r="OL52" s="198"/>
      <c r="OM52" s="198"/>
      <c r="ON52" s="198"/>
      <c r="OO52" s="198"/>
      <c r="OP52" s="198"/>
      <c r="OQ52" s="198"/>
      <c r="OR52" s="198"/>
      <c r="OS52" s="198"/>
      <c r="OT52" s="198"/>
      <c r="OU52" s="198"/>
      <c r="OV52" s="198"/>
      <c r="OW52" s="198"/>
      <c r="OX52" s="198"/>
      <c r="OY52" s="198"/>
      <c r="OZ52" s="198"/>
      <c r="PA52" s="198"/>
      <c r="PB52" s="198"/>
      <c r="PC52" s="198"/>
      <c r="PD52" s="198"/>
      <c r="PE52" s="198"/>
      <c r="PF52" s="198"/>
      <c r="PG52" s="198"/>
      <c r="PH52" s="198"/>
      <c r="PI52" s="198"/>
      <c r="PJ52" s="198"/>
      <c r="PK52" s="198"/>
      <c r="PL52" s="198"/>
      <c r="PM52" s="198"/>
      <c r="PN52" s="198"/>
      <c r="PO52" s="198"/>
      <c r="PP52" s="198"/>
      <c r="PQ52" s="198"/>
      <c r="PR52" s="198"/>
      <c r="PS52" s="198"/>
      <c r="PT52" s="198"/>
      <c r="PU52" s="198"/>
      <c r="PV52" s="198"/>
      <c r="PW52" s="198"/>
      <c r="PX52" s="198"/>
      <c r="PY52" s="198"/>
      <c r="PZ52" s="198"/>
      <c r="QA52" s="198"/>
      <c r="QB52" s="198"/>
      <c r="QC52" s="198"/>
      <c r="QD52" s="198"/>
      <c r="QE52" s="198"/>
      <c r="QF52" s="198"/>
      <c r="QG52" s="198"/>
      <c r="QH52" s="198"/>
      <c r="QI52" s="198"/>
      <c r="QJ52" s="198"/>
      <c r="QK52" s="198"/>
      <c r="QL52" s="198"/>
      <c r="QM52" s="198"/>
      <c r="QN52" s="198"/>
      <c r="QO52" s="198"/>
      <c r="QP52" s="198"/>
      <c r="QQ52" s="198"/>
      <c r="QR52" s="198"/>
      <c r="QS52" s="198"/>
      <c r="QT52" s="198"/>
      <c r="QU52" s="198"/>
      <c r="QV52" s="198"/>
      <c r="QW52" s="198"/>
      <c r="QX52" s="198"/>
      <c r="QY52" s="198"/>
      <c r="QZ52" s="198"/>
      <c r="RA52" s="198"/>
      <c r="RB52" s="198"/>
      <c r="RC52" s="198"/>
      <c r="RD52" s="198"/>
      <c r="RE52" s="198"/>
      <c r="RF52" s="198"/>
      <c r="RG52" s="198"/>
      <c r="RH52" s="198"/>
      <c r="RI52" s="198"/>
      <c r="RJ52" s="198"/>
      <c r="RK52" s="198"/>
      <c r="RL52" s="198"/>
      <c r="RM52" s="198"/>
      <c r="RN52" s="198"/>
      <c r="RO52" s="198"/>
      <c r="RP52" s="198"/>
      <c r="RQ52" s="198"/>
      <c r="RR52" s="198"/>
      <c r="RS52" s="198"/>
      <c r="RT52" s="198"/>
      <c r="RU52" s="198"/>
      <c r="RV52" s="198"/>
      <c r="RW52" s="198"/>
      <c r="RX52" s="198"/>
      <c r="RY52" s="198"/>
      <c r="RZ52" s="198"/>
      <c r="SA52" s="198"/>
      <c r="SB52" s="198"/>
      <c r="SC52" s="198"/>
      <c r="SD52" s="198"/>
      <c r="SE52" s="198"/>
      <c r="SF52" s="198"/>
      <c r="SG52" s="198"/>
    </row>
    <row r="53" spans="1:501" ht="40.049999999999997" customHeight="1" x14ac:dyDescent="0.3">
      <c r="A53" s="543" t="s">
        <v>177</v>
      </c>
      <c r="B53" s="956" t="s">
        <v>178</v>
      </c>
      <c r="C53" s="950">
        <f>'MANZ. A'!H55</f>
        <v>0</v>
      </c>
      <c r="D53" s="861"/>
      <c r="E53" s="862">
        <f>'MANZ. B'!R49</f>
        <v>0</v>
      </c>
      <c r="F53" s="861"/>
      <c r="G53" s="863">
        <f>MANZ.C!AL48</f>
        <v>17</v>
      </c>
      <c r="H53" s="861"/>
      <c r="I53" s="862">
        <f>MANZ.D!Z48</f>
        <v>11</v>
      </c>
      <c r="J53" s="861"/>
      <c r="K53" s="862">
        <f>MANZ.E!AL48</f>
        <v>0</v>
      </c>
      <c r="L53" s="861"/>
      <c r="M53" s="862">
        <f>MANZ.F!AB48</f>
        <v>12</v>
      </c>
      <c r="N53" s="861"/>
      <c r="O53" s="862">
        <f>MANZ.G!AT47</f>
        <v>18</v>
      </c>
      <c r="P53" s="861"/>
      <c r="Q53" s="863">
        <f>MANZ.H!V49</f>
        <v>9</v>
      </c>
      <c r="R53" s="861"/>
      <c r="S53" s="862">
        <f>MANZ.I!AB49</f>
        <v>11</v>
      </c>
      <c r="T53" s="861"/>
      <c r="U53" s="862">
        <f>MANZ.J!AT52</f>
        <v>20</v>
      </c>
      <c r="V53" s="861"/>
      <c r="W53" s="862">
        <f>MANZ.K!AB49</f>
        <v>10</v>
      </c>
      <c r="X53" s="861"/>
      <c r="Y53" s="862">
        <f>MANZ.L!Z49</f>
        <v>11</v>
      </c>
      <c r="Z53" s="861"/>
      <c r="AA53" s="862">
        <f>'SALA MULTIUSO'!F58</f>
        <v>0</v>
      </c>
      <c r="AB53" s="864"/>
      <c r="AC53" s="864"/>
      <c r="AD53" s="864"/>
      <c r="AE53" s="864"/>
      <c r="AF53" s="861"/>
      <c r="AG53" s="865">
        <f>SUM(C49:AA49)</f>
        <v>130</v>
      </c>
      <c r="AH53" s="866"/>
      <c r="AI53" s="198"/>
      <c r="AJ53" s="198"/>
      <c r="AK53" s="198"/>
      <c r="AL53" s="198"/>
      <c r="AM53" s="198"/>
      <c r="AN53" s="198"/>
      <c r="AO53" s="198"/>
      <c r="AP53" s="198"/>
      <c r="AQ53" s="198"/>
      <c r="AR53" s="198"/>
      <c r="AS53" s="198"/>
      <c r="AT53" s="198"/>
      <c r="AU53" s="198"/>
      <c r="AV53" s="198"/>
      <c r="AW53" s="198"/>
      <c r="AX53" s="198"/>
      <c r="AY53" s="198"/>
      <c r="AZ53" s="198"/>
      <c r="BA53" s="198"/>
      <c r="BB53" s="198"/>
      <c r="BC53" s="198"/>
      <c r="BD53" s="198"/>
      <c r="BE53" s="198"/>
      <c r="BF53" s="198"/>
      <c r="BG53" s="198"/>
      <c r="BH53" s="198"/>
      <c r="BI53" s="198"/>
      <c r="BJ53" s="198"/>
      <c r="BK53" s="198"/>
      <c r="BL53" s="198"/>
      <c r="BM53" s="198"/>
      <c r="BN53" s="198"/>
      <c r="BO53" s="198"/>
      <c r="BP53" s="198"/>
      <c r="BQ53" s="198"/>
      <c r="BR53" s="198"/>
      <c r="BS53" s="198"/>
      <c r="BT53" s="198"/>
      <c r="BU53" s="198"/>
      <c r="BV53" s="198"/>
      <c r="BW53" s="198"/>
      <c r="BX53" s="198"/>
      <c r="BY53" s="198"/>
      <c r="BZ53" s="198"/>
      <c r="CA53" s="198"/>
      <c r="CB53" s="198"/>
      <c r="CC53" s="198"/>
      <c r="CD53" s="198"/>
      <c r="CE53" s="198"/>
      <c r="CF53" s="198"/>
      <c r="CG53" s="198"/>
      <c r="CH53" s="198"/>
      <c r="CI53" s="198"/>
      <c r="CJ53" s="198"/>
      <c r="CK53" s="198"/>
      <c r="CL53" s="198"/>
      <c r="CM53" s="198"/>
      <c r="CN53" s="198"/>
      <c r="CO53" s="198"/>
      <c r="CP53" s="198"/>
      <c r="CQ53" s="198"/>
      <c r="CR53" s="198"/>
      <c r="CS53" s="198"/>
      <c r="CT53" s="198"/>
      <c r="CU53" s="198"/>
      <c r="CV53" s="198"/>
      <c r="CW53" s="198"/>
      <c r="CX53" s="198"/>
      <c r="CY53" s="198"/>
      <c r="CZ53" s="198"/>
      <c r="DA53" s="198"/>
      <c r="DB53" s="198"/>
      <c r="DC53" s="198"/>
      <c r="DD53" s="198"/>
      <c r="DE53" s="198"/>
      <c r="DF53" s="198"/>
      <c r="DG53" s="198"/>
      <c r="DH53" s="198"/>
      <c r="DI53" s="198"/>
      <c r="DJ53" s="198"/>
      <c r="DK53" s="198"/>
      <c r="DL53" s="198"/>
      <c r="DM53" s="198"/>
      <c r="DN53" s="198"/>
      <c r="DO53" s="198"/>
      <c r="DP53" s="198"/>
      <c r="DQ53" s="198"/>
      <c r="DR53" s="198"/>
      <c r="DS53" s="198"/>
      <c r="DT53" s="198"/>
      <c r="DU53" s="198"/>
      <c r="DV53" s="198"/>
      <c r="DW53" s="198"/>
      <c r="DX53" s="198"/>
      <c r="DY53" s="198"/>
      <c r="DZ53" s="198"/>
      <c r="EA53" s="198"/>
      <c r="EB53" s="198"/>
      <c r="EC53" s="198"/>
      <c r="ED53" s="198"/>
      <c r="EE53" s="198"/>
      <c r="EF53" s="198"/>
      <c r="EG53" s="198"/>
      <c r="EH53" s="198"/>
      <c r="EI53" s="198"/>
      <c r="EJ53" s="198"/>
      <c r="EK53" s="198"/>
      <c r="EL53" s="198"/>
      <c r="EM53" s="198"/>
      <c r="EN53" s="198"/>
      <c r="EO53" s="198"/>
      <c r="EP53" s="198"/>
      <c r="EQ53" s="198"/>
      <c r="ER53" s="198"/>
      <c r="ES53" s="198"/>
      <c r="ET53" s="198"/>
      <c r="EU53" s="198"/>
      <c r="EV53" s="198"/>
      <c r="EW53" s="198"/>
      <c r="EX53" s="198"/>
      <c r="EY53" s="198"/>
      <c r="EZ53" s="198"/>
      <c r="FA53" s="198"/>
      <c r="FB53" s="198"/>
      <c r="FC53" s="198"/>
      <c r="FD53" s="198"/>
      <c r="FE53" s="198"/>
      <c r="FF53" s="198"/>
      <c r="FG53" s="198"/>
      <c r="FH53" s="198"/>
      <c r="FI53" s="198"/>
      <c r="FJ53" s="198"/>
      <c r="FK53" s="198"/>
      <c r="FL53" s="198"/>
      <c r="FM53" s="198"/>
      <c r="FN53" s="198"/>
      <c r="FO53" s="198"/>
      <c r="FP53" s="198"/>
      <c r="FQ53" s="198"/>
      <c r="FR53" s="198"/>
      <c r="FS53" s="198"/>
      <c r="FT53" s="198"/>
      <c r="FU53" s="198"/>
      <c r="FV53" s="198"/>
      <c r="FW53" s="198"/>
      <c r="FX53" s="198"/>
      <c r="FY53" s="198"/>
      <c r="FZ53" s="198"/>
      <c r="GA53" s="198"/>
      <c r="GB53" s="198"/>
      <c r="GC53" s="198"/>
      <c r="GD53" s="198"/>
      <c r="GE53" s="198"/>
      <c r="GF53" s="198"/>
      <c r="GG53" s="198"/>
      <c r="GH53" s="198"/>
      <c r="GI53" s="198"/>
      <c r="GJ53" s="198"/>
      <c r="GK53" s="198"/>
      <c r="GL53" s="198"/>
      <c r="GM53" s="198"/>
      <c r="GN53" s="198"/>
      <c r="GO53" s="198"/>
      <c r="GP53" s="198"/>
      <c r="GQ53" s="198"/>
      <c r="GR53" s="198"/>
      <c r="GS53" s="198"/>
      <c r="GT53" s="198"/>
      <c r="GU53" s="198"/>
      <c r="GV53" s="198"/>
      <c r="GW53" s="198"/>
      <c r="GX53" s="198"/>
      <c r="GY53" s="198"/>
      <c r="GZ53" s="198"/>
      <c r="HA53" s="198"/>
      <c r="HB53" s="198"/>
      <c r="HC53" s="198"/>
      <c r="HD53" s="198"/>
      <c r="HE53" s="198"/>
      <c r="HF53" s="198"/>
      <c r="HG53" s="198"/>
      <c r="HH53" s="198"/>
      <c r="HI53" s="198"/>
      <c r="HJ53" s="198"/>
      <c r="HK53" s="198"/>
      <c r="HL53" s="198"/>
      <c r="HM53" s="198"/>
      <c r="HN53" s="198"/>
      <c r="HO53" s="198"/>
      <c r="HP53" s="198"/>
      <c r="HQ53" s="198"/>
      <c r="HR53" s="198"/>
      <c r="HS53" s="198"/>
      <c r="HT53" s="198"/>
      <c r="HU53" s="198"/>
      <c r="HV53" s="198"/>
      <c r="HW53" s="198"/>
      <c r="HX53" s="198"/>
      <c r="HY53" s="198"/>
      <c r="HZ53" s="198"/>
      <c r="IA53" s="198"/>
      <c r="IB53" s="198"/>
      <c r="IC53" s="198"/>
      <c r="ID53" s="198"/>
      <c r="IE53" s="198"/>
      <c r="IF53" s="198"/>
      <c r="IG53" s="198"/>
      <c r="IH53" s="198"/>
      <c r="II53" s="198"/>
      <c r="IJ53" s="198"/>
      <c r="IK53" s="198"/>
      <c r="IL53" s="198"/>
      <c r="IM53" s="198"/>
      <c r="IN53" s="198"/>
      <c r="IO53" s="198"/>
      <c r="IP53" s="198"/>
      <c r="IQ53" s="198"/>
      <c r="IR53" s="198"/>
      <c r="IS53" s="198"/>
      <c r="IT53" s="198"/>
      <c r="IU53" s="198"/>
      <c r="IV53" s="198"/>
      <c r="IW53" s="198"/>
      <c r="IX53" s="198"/>
      <c r="IY53" s="198"/>
      <c r="IZ53" s="198"/>
      <c r="JA53" s="198"/>
      <c r="JB53" s="198"/>
      <c r="JC53" s="198"/>
      <c r="JD53" s="198"/>
      <c r="JE53" s="198"/>
      <c r="JF53" s="198"/>
      <c r="JG53" s="198"/>
      <c r="JH53" s="198"/>
      <c r="JI53" s="198"/>
      <c r="JJ53" s="198"/>
      <c r="JK53" s="198"/>
      <c r="JL53" s="198"/>
      <c r="JM53" s="198"/>
      <c r="JN53" s="198"/>
      <c r="JO53" s="198"/>
      <c r="JP53" s="198"/>
      <c r="JQ53" s="198"/>
      <c r="JR53" s="198"/>
      <c r="JS53" s="198"/>
      <c r="JT53" s="198"/>
      <c r="JU53" s="198"/>
      <c r="JV53" s="198"/>
      <c r="JW53" s="198"/>
      <c r="JX53" s="198"/>
      <c r="JY53" s="198"/>
      <c r="JZ53" s="198"/>
      <c r="KA53" s="198"/>
      <c r="KB53" s="198"/>
      <c r="KC53" s="198"/>
      <c r="KD53" s="198"/>
      <c r="KE53" s="198"/>
      <c r="KF53" s="198"/>
      <c r="KG53" s="198"/>
      <c r="KH53" s="198"/>
      <c r="KI53" s="198"/>
      <c r="KJ53" s="198"/>
      <c r="KK53" s="198"/>
      <c r="KL53" s="198"/>
      <c r="KM53" s="198"/>
      <c r="KN53" s="198"/>
      <c r="KO53" s="198"/>
      <c r="KP53" s="198"/>
      <c r="KQ53" s="198"/>
      <c r="KR53" s="198"/>
      <c r="KS53" s="198"/>
      <c r="KT53" s="198"/>
      <c r="KU53" s="198"/>
      <c r="KV53" s="198"/>
      <c r="KW53" s="198"/>
      <c r="KX53" s="198"/>
      <c r="KY53" s="198"/>
      <c r="KZ53" s="198"/>
      <c r="LA53" s="198"/>
      <c r="LB53" s="198"/>
      <c r="LC53" s="198"/>
      <c r="LD53" s="198"/>
      <c r="LE53" s="198"/>
      <c r="LF53" s="198"/>
      <c r="LG53" s="198"/>
      <c r="LH53" s="198"/>
      <c r="LI53" s="198"/>
      <c r="LJ53" s="198"/>
      <c r="LK53" s="198"/>
      <c r="LL53" s="198"/>
      <c r="LM53" s="198"/>
      <c r="LN53" s="198"/>
      <c r="LO53" s="198"/>
      <c r="LP53" s="198"/>
      <c r="LQ53" s="198"/>
      <c r="LR53" s="198"/>
      <c r="LS53" s="198"/>
      <c r="LT53" s="198"/>
      <c r="LU53" s="198"/>
      <c r="LV53" s="198"/>
      <c r="LW53" s="198"/>
      <c r="LX53" s="198"/>
      <c r="LY53" s="198"/>
      <c r="LZ53" s="198"/>
      <c r="MA53" s="198"/>
      <c r="MB53" s="198"/>
      <c r="MC53" s="198"/>
      <c r="MD53" s="198"/>
      <c r="ME53" s="198"/>
      <c r="MF53" s="198"/>
      <c r="MG53" s="198"/>
      <c r="MH53" s="198"/>
      <c r="MI53" s="198"/>
      <c r="MJ53" s="198"/>
      <c r="MK53" s="198"/>
      <c r="ML53" s="198"/>
      <c r="MM53" s="198"/>
      <c r="MN53" s="198"/>
      <c r="MO53" s="198"/>
      <c r="MP53" s="198"/>
      <c r="MQ53" s="198"/>
      <c r="MR53" s="198"/>
      <c r="MS53" s="198"/>
      <c r="MT53" s="198"/>
      <c r="MU53" s="198"/>
      <c r="MV53" s="198"/>
      <c r="MW53" s="198"/>
      <c r="MX53" s="198"/>
      <c r="MY53" s="198"/>
      <c r="MZ53" s="198"/>
      <c r="NA53" s="198"/>
      <c r="NB53" s="198"/>
      <c r="NC53" s="198"/>
      <c r="ND53" s="198"/>
      <c r="NE53" s="198"/>
      <c r="NF53" s="198"/>
      <c r="NG53" s="198"/>
      <c r="NH53" s="198"/>
      <c r="NI53" s="198"/>
      <c r="NJ53" s="198"/>
      <c r="NK53" s="198"/>
      <c r="NL53" s="198"/>
      <c r="NM53" s="198"/>
      <c r="NN53" s="198"/>
      <c r="NO53" s="198"/>
      <c r="NP53" s="198"/>
      <c r="NQ53" s="198"/>
      <c r="NR53" s="198"/>
      <c r="NS53" s="198"/>
      <c r="NT53" s="198"/>
      <c r="NU53" s="198"/>
      <c r="NV53" s="198"/>
      <c r="NW53" s="198"/>
      <c r="NX53" s="198"/>
      <c r="NY53" s="198"/>
      <c r="NZ53" s="198"/>
      <c r="OA53" s="198"/>
      <c r="OB53" s="198"/>
      <c r="OC53" s="198"/>
      <c r="OD53" s="198"/>
      <c r="OE53" s="198"/>
      <c r="OF53" s="198"/>
      <c r="OG53" s="198"/>
      <c r="OH53" s="198"/>
      <c r="OI53" s="198"/>
      <c r="OJ53" s="198"/>
      <c r="OK53" s="198"/>
      <c r="OL53" s="198"/>
      <c r="OM53" s="198"/>
      <c r="ON53" s="198"/>
      <c r="OO53" s="198"/>
      <c r="OP53" s="198"/>
      <c r="OQ53" s="198"/>
      <c r="OR53" s="198"/>
      <c r="OS53" s="198"/>
      <c r="OT53" s="198"/>
      <c r="OU53" s="198"/>
      <c r="OV53" s="198"/>
      <c r="OW53" s="198"/>
      <c r="OX53" s="198"/>
      <c r="OY53" s="198"/>
      <c r="OZ53" s="198"/>
      <c r="PA53" s="198"/>
      <c r="PB53" s="198"/>
      <c r="PC53" s="198"/>
      <c r="PD53" s="198"/>
      <c r="PE53" s="198"/>
      <c r="PF53" s="198"/>
      <c r="PG53" s="198"/>
      <c r="PH53" s="198"/>
      <c r="PI53" s="198"/>
      <c r="PJ53" s="198"/>
      <c r="PK53" s="198"/>
      <c r="PL53" s="198"/>
      <c r="PM53" s="198"/>
      <c r="PN53" s="198"/>
      <c r="PO53" s="198"/>
      <c r="PP53" s="198"/>
      <c r="PQ53" s="198"/>
      <c r="PR53" s="198"/>
      <c r="PS53" s="198"/>
      <c r="PT53" s="198"/>
      <c r="PU53" s="198"/>
      <c r="PV53" s="198"/>
      <c r="PW53" s="198"/>
      <c r="PX53" s="198"/>
      <c r="PY53" s="198"/>
      <c r="PZ53" s="198"/>
      <c r="QA53" s="198"/>
      <c r="QB53" s="198"/>
      <c r="QC53" s="198"/>
      <c r="QD53" s="198"/>
      <c r="QE53" s="198"/>
      <c r="QF53" s="198"/>
      <c r="QG53" s="198"/>
      <c r="QH53" s="198"/>
      <c r="QI53" s="198"/>
      <c r="QJ53" s="198"/>
      <c r="QK53" s="198"/>
      <c r="QL53" s="198"/>
      <c r="QM53" s="198"/>
      <c r="QN53" s="198"/>
      <c r="QO53" s="198"/>
      <c r="QP53" s="198"/>
      <c r="QQ53" s="198"/>
      <c r="QR53" s="198"/>
      <c r="QS53" s="198"/>
      <c r="QT53" s="198"/>
      <c r="QU53" s="198"/>
      <c r="QV53" s="198"/>
      <c r="QW53" s="198"/>
      <c r="QX53" s="198"/>
      <c r="QY53" s="198"/>
      <c r="QZ53" s="198"/>
      <c r="RA53" s="198"/>
      <c r="RB53" s="198"/>
      <c r="RC53" s="198"/>
      <c r="RD53" s="198"/>
      <c r="RE53" s="198"/>
      <c r="RF53" s="198"/>
      <c r="RG53" s="198"/>
      <c r="RH53" s="198"/>
      <c r="RI53" s="198"/>
      <c r="RJ53" s="198"/>
      <c r="RK53" s="198"/>
      <c r="RL53" s="198"/>
      <c r="RM53" s="198"/>
      <c r="RN53" s="198"/>
      <c r="RO53" s="198"/>
      <c r="RP53" s="198"/>
      <c r="RQ53" s="198"/>
      <c r="RR53" s="198"/>
      <c r="RS53" s="198"/>
      <c r="RT53" s="198"/>
      <c r="RU53" s="198"/>
      <c r="RV53" s="198"/>
      <c r="RW53" s="198"/>
      <c r="RX53" s="198"/>
      <c r="RY53" s="198"/>
      <c r="RZ53" s="198"/>
      <c r="SA53" s="198"/>
      <c r="SB53" s="198"/>
      <c r="SC53" s="198"/>
      <c r="SD53" s="198"/>
      <c r="SE53" s="198"/>
      <c r="SF53" s="198"/>
      <c r="SG53" s="198"/>
    </row>
    <row r="54" spans="1:501" ht="40.049999999999997" customHeight="1" x14ac:dyDescent="0.3">
      <c r="A54" s="543" t="s">
        <v>179</v>
      </c>
      <c r="B54" s="956" t="s">
        <v>180</v>
      </c>
      <c r="C54" s="950"/>
      <c r="D54" s="861"/>
      <c r="E54" s="862"/>
      <c r="F54" s="861"/>
      <c r="G54" s="862"/>
      <c r="H54" s="861"/>
      <c r="I54" s="862"/>
      <c r="J54" s="861"/>
      <c r="K54" s="862"/>
      <c r="L54" s="861"/>
      <c r="M54" s="862"/>
      <c r="N54" s="861"/>
      <c r="O54" s="862"/>
      <c r="P54" s="861"/>
      <c r="Q54" s="862"/>
      <c r="R54" s="861"/>
      <c r="S54" s="862"/>
      <c r="T54" s="861"/>
      <c r="U54" s="862"/>
      <c r="V54" s="861"/>
      <c r="W54" s="862"/>
      <c r="X54" s="861"/>
      <c r="Y54" s="862"/>
      <c r="Z54" s="861"/>
      <c r="AA54" s="862"/>
      <c r="AB54" s="864"/>
      <c r="AC54" s="864"/>
      <c r="AD54" s="864"/>
      <c r="AE54" s="864"/>
      <c r="AF54" s="861"/>
      <c r="AG54" s="865"/>
      <c r="AH54" s="866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  <c r="AS54" s="198"/>
      <c r="AT54" s="198"/>
      <c r="AU54" s="198"/>
      <c r="AV54" s="198"/>
      <c r="AW54" s="198"/>
      <c r="AX54" s="198"/>
      <c r="AY54" s="198"/>
      <c r="AZ54" s="198"/>
      <c r="BA54" s="198"/>
      <c r="BB54" s="198"/>
      <c r="BC54" s="198"/>
      <c r="BD54" s="198"/>
      <c r="BE54" s="198"/>
      <c r="BF54" s="198"/>
      <c r="BG54" s="198"/>
      <c r="BH54" s="198"/>
      <c r="BI54" s="198"/>
      <c r="BJ54" s="198"/>
      <c r="BK54" s="198"/>
      <c r="BL54" s="198"/>
      <c r="BM54" s="198"/>
      <c r="BN54" s="198"/>
      <c r="BO54" s="198"/>
      <c r="BP54" s="198"/>
      <c r="BQ54" s="198"/>
      <c r="BR54" s="198"/>
      <c r="BS54" s="198"/>
      <c r="BT54" s="198"/>
      <c r="BU54" s="198"/>
      <c r="BV54" s="198"/>
      <c r="BW54" s="198"/>
      <c r="BX54" s="198"/>
      <c r="BY54" s="198"/>
      <c r="BZ54" s="198"/>
      <c r="CA54" s="198"/>
      <c r="CB54" s="198"/>
      <c r="CC54" s="198"/>
      <c r="CD54" s="198"/>
      <c r="CE54" s="198"/>
      <c r="CF54" s="198"/>
      <c r="CG54" s="198"/>
      <c r="CH54" s="198"/>
      <c r="CI54" s="198"/>
      <c r="CJ54" s="198"/>
      <c r="CK54" s="198"/>
      <c r="CL54" s="198"/>
      <c r="CM54" s="198"/>
      <c r="CN54" s="198"/>
      <c r="CO54" s="198"/>
      <c r="CP54" s="198"/>
      <c r="CQ54" s="198"/>
      <c r="CR54" s="198"/>
      <c r="CS54" s="198"/>
      <c r="CT54" s="198"/>
      <c r="CU54" s="198"/>
      <c r="CV54" s="198"/>
      <c r="CW54" s="198"/>
      <c r="CX54" s="198"/>
      <c r="CY54" s="198"/>
      <c r="CZ54" s="198"/>
      <c r="DA54" s="198"/>
      <c r="DB54" s="198"/>
      <c r="DC54" s="198"/>
      <c r="DD54" s="198"/>
      <c r="DE54" s="198"/>
      <c r="DF54" s="198"/>
      <c r="DG54" s="198"/>
      <c r="DH54" s="198"/>
      <c r="DI54" s="198"/>
      <c r="DJ54" s="198"/>
      <c r="DK54" s="198"/>
      <c r="DL54" s="198"/>
      <c r="DM54" s="198"/>
      <c r="DN54" s="198"/>
      <c r="DO54" s="198"/>
      <c r="DP54" s="198"/>
      <c r="DQ54" s="198"/>
      <c r="DR54" s="198"/>
      <c r="DS54" s="198"/>
      <c r="DT54" s="198"/>
      <c r="DU54" s="198"/>
      <c r="DV54" s="198"/>
      <c r="DW54" s="198"/>
      <c r="DX54" s="198"/>
      <c r="DY54" s="198"/>
      <c r="DZ54" s="198"/>
      <c r="EA54" s="198"/>
      <c r="EB54" s="198"/>
      <c r="EC54" s="198"/>
      <c r="ED54" s="198"/>
      <c r="EE54" s="198"/>
      <c r="EF54" s="198"/>
      <c r="EG54" s="198"/>
      <c r="EH54" s="198"/>
      <c r="EI54" s="198"/>
      <c r="EJ54" s="198"/>
      <c r="EK54" s="198"/>
      <c r="EL54" s="198"/>
      <c r="EM54" s="198"/>
      <c r="EN54" s="198"/>
      <c r="EO54" s="198"/>
      <c r="EP54" s="198"/>
      <c r="EQ54" s="198"/>
      <c r="ER54" s="198"/>
      <c r="ES54" s="198"/>
      <c r="ET54" s="198"/>
      <c r="EU54" s="198"/>
      <c r="EV54" s="198"/>
      <c r="EW54" s="198"/>
      <c r="EX54" s="198"/>
      <c r="EY54" s="198"/>
      <c r="EZ54" s="198"/>
      <c r="FA54" s="198"/>
      <c r="FB54" s="198"/>
      <c r="FC54" s="198"/>
      <c r="FD54" s="198"/>
      <c r="FE54" s="198"/>
      <c r="FF54" s="198"/>
      <c r="FG54" s="198"/>
      <c r="FH54" s="198"/>
      <c r="FI54" s="198"/>
      <c r="FJ54" s="198"/>
      <c r="FK54" s="198"/>
      <c r="FL54" s="198"/>
      <c r="FM54" s="198"/>
      <c r="FN54" s="198"/>
      <c r="FO54" s="198"/>
      <c r="FP54" s="198"/>
      <c r="FQ54" s="198"/>
      <c r="FR54" s="198"/>
      <c r="FS54" s="198"/>
      <c r="FT54" s="198"/>
      <c r="FU54" s="198"/>
      <c r="FV54" s="198"/>
      <c r="FW54" s="198"/>
      <c r="FX54" s="198"/>
      <c r="FY54" s="198"/>
      <c r="FZ54" s="198"/>
      <c r="GA54" s="198"/>
      <c r="GB54" s="198"/>
      <c r="GC54" s="198"/>
      <c r="GD54" s="198"/>
      <c r="GE54" s="198"/>
      <c r="GF54" s="198"/>
      <c r="GG54" s="198"/>
      <c r="GH54" s="198"/>
      <c r="GI54" s="198"/>
      <c r="GJ54" s="198"/>
      <c r="GK54" s="198"/>
      <c r="GL54" s="198"/>
      <c r="GM54" s="198"/>
      <c r="GN54" s="198"/>
      <c r="GO54" s="198"/>
      <c r="GP54" s="198"/>
      <c r="GQ54" s="198"/>
      <c r="GR54" s="198"/>
      <c r="GS54" s="198"/>
      <c r="GT54" s="198"/>
      <c r="GU54" s="198"/>
      <c r="GV54" s="198"/>
      <c r="GW54" s="198"/>
      <c r="GX54" s="198"/>
      <c r="GY54" s="198"/>
      <c r="GZ54" s="198"/>
      <c r="HA54" s="198"/>
      <c r="HB54" s="198"/>
      <c r="HC54" s="198"/>
      <c r="HD54" s="198"/>
      <c r="HE54" s="198"/>
      <c r="HF54" s="198"/>
      <c r="HG54" s="198"/>
      <c r="HH54" s="198"/>
      <c r="HI54" s="198"/>
      <c r="HJ54" s="198"/>
      <c r="HK54" s="198"/>
      <c r="HL54" s="198"/>
      <c r="HM54" s="198"/>
      <c r="HN54" s="198"/>
      <c r="HO54" s="198"/>
      <c r="HP54" s="198"/>
      <c r="HQ54" s="198"/>
      <c r="HR54" s="198"/>
      <c r="HS54" s="198"/>
      <c r="HT54" s="198"/>
      <c r="HU54" s="198"/>
      <c r="HV54" s="198"/>
      <c r="HW54" s="198"/>
      <c r="HX54" s="198"/>
      <c r="HY54" s="198"/>
      <c r="HZ54" s="198"/>
      <c r="IA54" s="198"/>
      <c r="IB54" s="198"/>
      <c r="IC54" s="198"/>
      <c r="ID54" s="198"/>
      <c r="IE54" s="198"/>
      <c r="IF54" s="198"/>
      <c r="IG54" s="198"/>
      <c r="IH54" s="198"/>
      <c r="II54" s="198"/>
      <c r="IJ54" s="198"/>
      <c r="IK54" s="198"/>
      <c r="IL54" s="198"/>
      <c r="IM54" s="198"/>
      <c r="IN54" s="198"/>
      <c r="IO54" s="198"/>
      <c r="IP54" s="198"/>
      <c r="IQ54" s="198"/>
      <c r="IR54" s="198"/>
      <c r="IS54" s="198"/>
      <c r="IT54" s="198"/>
      <c r="IU54" s="198"/>
      <c r="IV54" s="198"/>
      <c r="IW54" s="198"/>
      <c r="IX54" s="198"/>
      <c r="IY54" s="198"/>
      <c r="IZ54" s="198"/>
      <c r="JA54" s="198"/>
      <c r="JB54" s="198"/>
      <c r="JC54" s="198"/>
      <c r="JD54" s="198"/>
      <c r="JE54" s="198"/>
      <c r="JF54" s="198"/>
      <c r="JG54" s="198"/>
      <c r="JH54" s="198"/>
      <c r="JI54" s="198"/>
      <c r="JJ54" s="198"/>
      <c r="JK54" s="198"/>
      <c r="JL54" s="198"/>
      <c r="JM54" s="198"/>
      <c r="JN54" s="198"/>
      <c r="JO54" s="198"/>
      <c r="JP54" s="198"/>
      <c r="JQ54" s="198"/>
      <c r="JR54" s="198"/>
      <c r="JS54" s="198"/>
      <c r="JT54" s="198"/>
      <c r="JU54" s="198"/>
      <c r="JV54" s="198"/>
      <c r="JW54" s="198"/>
      <c r="JX54" s="198"/>
      <c r="JY54" s="198"/>
      <c r="JZ54" s="198"/>
      <c r="KA54" s="198"/>
      <c r="KB54" s="198"/>
      <c r="KC54" s="198"/>
      <c r="KD54" s="198"/>
      <c r="KE54" s="198"/>
      <c r="KF54" s="198"/>
      <c r="KG54" s="198"/>
      <c r="KH54" s="198"/>
      <c r="KI54" s="198"/>
      <c r="KJ54" s="198"/>
      <c r="KK54" s="198"/>
      <c r="KL54" s="198"/>
      <c r="KM54" s="198"/>
      <c r="KN54" s="198"/>
      <c r="KO54" s="198"/>
      <c r="KP54" s="198"/>
      <c r="KQ54" s="198"/>
      <c r="KR54" s="198"/>
      <c r="KS54" s="198"/>
      <c r="KT54" s="198"/>
      <c r="KU54" s="198"/>
      <c r="KV54" s="198"/>
      <c r="KW54" s="198"/>
      <c r="KX54" s="198"/>
      <c r="KY54" s="198"/>
      <c r="KZ54" s="198"/>
      <c r="LA54" s="198"/>
      <c r="LB54" s="198"/>
      <c r="LC54" s="198"/>
      <c r="LD54" s="198"/>
      <c r="LE54" s="198"/>
      <c r="LF54" s="198"/>
      <c r="LG54" s="198"/>
      <c r="LH54" s="198"/>
      <c r="LI54" s="198"/>
      <c r="LJ54" s="198"/>
      <c r="LK54" s="198"/>
      <c r="LL54" s="198"/>
      <c r="LM54" s="198"/>
      <c r="LN54" s="198"/>
      <c r="LO54" s="198"/>
      <c r="LP54" s="198"/>
      <c r="LQ54" s="198"/>
      <c r="LR54" s="198"/>
      <c r="LS54" s="198"/>
      <c r="LT54" s="198"/>
      <c r="LU54" s="198"/>
      <c r="LV54" s="198"/>
      <c r="LW54" s="198"/>
      <c r="LX54" s="198"/>
      <c r="LY54" s="198"/>
      <c r="LZ54" s="198"/>
      <c r="MA54" s="198"/>
      <c r="MB54" s="198"/>
      <c r="MC54" s="198"/>
      <c r="MD54" s="198"/>
      <c r="ME54" s="198"/>
      <c r="MF54" s="198"/>
      <c r="MG54" s="198"/>
      <c r="MH54" s="198"/>
      <c r="MI54" s="198"/>
      <c r="MJ54" s="198"/>
      <c r="MK54" s="198"/>
      <c r="ML54" s="198"/>
      <c r="MM54" s="198"/>
      <c r="MN54" s="198"/>
      <c r="MO54" s="198"/>
      <c r="MP54" s="198"/>
      <c r="MQ54" s="198"/>
      <c r="MR54" s="198"/>
      <c r="MS54" s="198"/>
      <c r="MT54" s="198"/>
      <c r="MU54" s="198"/>
      <c r="MV54" s="198"/>
      <c r="MW54" s="198"/>
      <c r="MX54" s="198"/>
      <c r="MY54" s="198"/>
      <c r="MZ54" s="198"/>
      <c r="NA54" s="198"/>
      <c r="NB54" s="198"/>
      <c r="NC54" s="198"/>
      <c r="ND54" s="198"/>
      <c r="NE54" s="198"/>
      <c r="NF54" s="198"/>
      <c r="NG54" s="198"/>
      <c r="NH54" s="198"/>
      <c r="NI54" s="198"/>
      <c r="NJ54" s="198"/>
      <c r="NK54" s="198"/>
      <c r="NL54" s="198"/>
      <c r="NM54" s="198"/>
      <c r="NN54" s="198"/>
      <c r="NO54" s="198"/>
      <c r="NP54" s="198"/>
      <c r="NQ54" s="198"/>
      <c r="NR54" s="198"/>
      <c r="NS54" s="198"/>
      <c r="NT54" s="198"/>
      <c r="NU54" s="198"/>
      <c r="NV54" s="198"/>
      <c r="NW54" s="198"/>
      <c r="NX54" s="198"/>
      <c r="NY54" s="198"/>
      <c r="NZ54" s="198"/>
      <c r="OA54" s="198"/>
      <c r="OB54" s="198"/>
      <c r="OC54" s="198"/>
      <c r="OD54" s="198"/>
      <c r="OE54" s="198"/>
      <c r="OF54" s="198"/>
      <c r="OG54" s="198"/>
      <c r="OH54" s="198"/>
      <c r="OI54" s="198"/>
      <c r="OJ54" s="198"/>
      <c r="OK54" s="198"/>
      <c r="OL54" s="198"/>
      <c r="OM54" s="198"/>
      <c r="ON54" s="198"/>
      <c r="OO54" s="198"/>
      <c r="OP54" s="198"/>
      <c r="OQ54" s="198"/>
      <c r="OR54" s="198"/>
      <c r="OS54" s="198"/>
      <c r="OT54" s="198"/>
      <c r="OU54" s="198"/>
      <c r="OV54" s="198"/>
      <c r="OW54" s="198"/>
      <c r="OX54" s="198"/>
      <c r="OY54" s="198"/>
      <c r="OZ54" s="198"/>
      <c r="PA54" s="198"/>
      <c r="PB54" s="198"/>
      <c r="PC54" s="198"/>
      <c r="PD54" s="198"/>
      <c r="PE54" s="198"/>
      <c r="PF54" s="198"/>
      <c r="PG54" s="198"/>
      <c r="PH54" s="198"/>
      <c r="PI54" s="198"/>
      <c r="PJ54" s="198"/>
      <c r="PK54" s="198"/>
      <c r="PL54" s="198"/>
      <c r="PM54" s="198"/>
      <c r="PN54" s="198"/>
      <c r="PO54" s="198"/>
      <c r="PP54" s="198"/>
      <c r="PQ54" s="198"/>
      <c r="PR54" s="198"/>
      <c r="PS54" s="198"/>
      <c r="PT54" s="198"/>
      <c r="PU54" s="198"/>
      <c r="PV54" s="198"/>
      <c r="PW54" s="198"/>
      <c r="PX54" s="198"/>
      <c r="PY54" s="198"/>
      <c r="PZ54" s="198"/>
      <c r="QA54" s="198"/>
      <c r="QB54" s="198"/>
      <c r="QC54" s="198"/>
      <c r="QD54" s="198"/>
      <c r="QE54" s="198"/>
      <c r="QF54" s="198"/>
      <c r="QG54" s="198"/>
      <c r="QH54" s="198"/>
      <c r="QI54" s="198"/>
      <c r="QJ54" s="198"/>
      <c r="QK54" s="198"/>
      <c r="QL54" s="198"/>
      <c r="QM54" s="198"/>
      <c r="QN54" s="198"/>
      <c r="QO54" s="198"/>
      <c r="QP54" s="198"/>
      <c r="QQ54" s="198"/>
      <c r="QR54" s="198"/>
      <c r="QS54" s="198"/>
      <c r="QT54" s="198"/>
      <c r="QU54" s="198"/>
      <c r="QV54" s="198"/>
      <c r="QW54" s="198"/>
      <c r="QX54" s="198"/>
      <c r="QY54" s="198"/>
      <c r="QZ54" s="198"/>
      <c r="RA54" s="198"/>
      <c r="RB54" s="198"/>
      <c r="RC54" s="198"/>
      <c r="RD54" s="198"/>
      <c r="RE54" s="198"/>
      <c r="RF54" s="198"/>
      <c r="RG54" s="198"/>
      <c r="RH54" s="198"/>
      <c r="RI54" s="198"/>
      <c r="RJ54" s="198"/>
      <c r="RK54" s="198"/>
      <c r="RL54" s="198"/>
      <c r="RM54" s="198"/>
      <c r="RN54" s="198"/>
      <c r="RO54" s="198"/>
      <c r="RP54" s="198"/>
      <c r="RQ54" s="198"/>
      <c r="RR54" s="198"/>
      <c r="RS54" s="198"/>
      <c r="RT54" s="198"/>
      <c r="RU54" s="198"/>
      <c r="RV54" s="198"/>
      <c r="RW54" s="198"/>
      <c r="RX54" s="198"/>
      <c r="RY54" s="198"/>
      <c r="RZ54" s="198"/>
      <c r="SA54" s="198"/>
      <c r="SB54" s="198"/>
      <c r="SC54" s="198"/>
      <c r="SD54" s="198"/>
      <c r="SE54" s="198"/>
      <c r="SF54" s="198"/>
      <c r="SG54" s="198"/>
    </row>
    <row r="55" spans="1:501" ht="40.049999999999997" customHeight="1" thickBot="1" x14ac:dyDescent="0.55000000000000004">
      <c r="A55" s="943" t="s">
        <v>181</v>
      </c>
      <c r="B55" s="954" t="s">
        <v>182</v>
      </c>
      <c r="C55" s="950"/>
      <c r="D55" s="861"/>
      <c r="E55" s="862"/>
      <c r="F55" s="861"/>
      <c r="G55" s="862"/>
      <c r="H55" s="861"/>
      <c r="I55" s="862"/>
      <c r="J55" s="861"/>
      <c r="K55" s="862"/>
      <c r="L55" s="861"/>
      <c r="M55" s="862"/>
      <c r="N55" s="861"/>
      <c r="O55" s="862">
        <f>MANZ.G!AS51</f>
        <v>18</v>
      </c>
      <c r="P55" s="861"/>
      <c r="Q55" s="862"/>
      <c r="R55" s="861"/>
      <c r="S55" s="862"/>
      <c r="T55" s="861"/>
      <c r="U55" s="862"/>
      <c r="V55" s="861"/>
      <c r="W55" s="862"/>
      <c r="X55" s="861"/>
      <c r="Y55" s="862"/>
      <c r="Z55" s="861"/>
      <c r="AA55" s="862"/>
      <c r="AB55" s="864"/>
      <c r="AC55" s="864"/>
      <c r="AD55" s="864"/>
      <c r="AE55" s="864"/>
      <c r="AF55" s="861"/>
      <c r="AG55" s="865">
        <f>SUM(C56:AA56)</f>
        <v>0</v>
      </c>
      <c r="AH55" s="866"/>
    </row>
    <row r="56" spans="1:501" ht="40.049999999999997" customHeight="1" x14ac:dyDescent="0.3">
      <c r="A56" s="542" t="s">
        <v>183</v>
      </c>
      <c r="B56" s="953" t="s">
        <v>184</v>
      </c>
      <c r="C56" s="944"/>
      <c r="D56" s="944"/>
      <c r="E56" s="944"/>
      <c r="F56" s="944"/>
      <c r="G56" s="944"/>
      <c r="H56" s="944"/>
      <c r="I56" s="944"/>
      <c r="J56" s="944"/>
      <c r="K56" s="944"/>
      <c r="L56" s="944"/>
      <c r="M56" s="944"/>
      <c r="N56" s="944"/>
      <c r="O56" s="944"/>
      <c r="P56" s="944"/>
      <c r="Q56" s="944"/>
      <c r="R56" s="944"/>
      <c r="S56" s="944"/>
      <c r="T56" s="944"/>
      <c r="U56" s="944"/>
      <c r="V56" s="944"/>
      <c r="W56" s="944"/>
      <c r="X56" s="944"/>
      <c r="Y56" s="944"/>
      <c r="Z56" s="944"/>
      <c r="AA56" s="944"/>
      <c r="AB56" s="944"/>
      <c r="AC56" s="944"/>
      <c r="AD56" s="944"/>
      <c r="AE56" s="944"/>
      <c r="AF56" s="944"/>
      <c r="AG56" s="944"/>
      <c r="AH56" s="945"/>
      <c r="AI56" s="199"/>
      <c r="AJ56" s="198"/>
      <c r="AK56" s="198"/>
      <c r="AL56" s="198"/>
      <c r="AM56" s="198"/>
      <c r="AN56" s="198"/>
      <c r="AO56" s="198"/>
      <c r="AP56" s="198"/>
      <c r="AQ56" s="198"/>
      <c r="AR56" s="198"/>
      <c r="AS56" s="198"/>
      <c r="AT56" s="198"/>
      <c r="AU56" s="198"/>
      <c r="AV56" s="198"/>
      <c r="AW56" s="198"/>
      <c r="AX56" s="198"/>
      <c r="AY56" s="198"/>
      <c r="AZ56" s="198"/>
      <c r="BA56" s="198"/>
      <c r="BB56" s="198"/>
      <c r="BC56" s="198"/>
      <c r="BD56" s="198"/>
      <c r="BE56" s="198"/>
      <c r="BF56" s="198"/>
      <c r="BG56" s="198"/>
      <c r="BH56" s="198"/>
      <c r="BI56" s="198"/>
      <c r="BJ56" s="198"/>
      <c r="BK56" s="198"/>
      <c r="BL56" s="198"/>
      <c r="BM56" s="198"/>
      <c r="BN56" s="198"/>
      <c r="BO56" s="198"/>
      <c r="BP56" s="198"/>
      <c r="BQ56" s="198"/>
      <c r="BR56" s="198"/>
      <c r="BS56" s="198"/>
      <c r="BT56" s="198"/>
      <c r="BU56" s="198"/>
      <c r="BV56" s="198"/>
      <c r="BW56" s="198"/>
      <c r="BX56" s="198"/>
      <c r="BY56" s="198"/>
      <c r="BZ56" s="198"/>
      <c r="CA56" s="198"/>
      <c r="CB56" s="198"/>
      <c r="CC56" s="198"/>
      <c r="CD56" s="198"/>
      <c r="CE56" s="198"/>
      <c r="CF56" s="198"/>
      <c r="CG56" s="198"/>
      <c r="CH56" s="198"/>
      <c r="CI56" s="198"/>
      <c r="CJ56" s="198"/>
      <c r="CK56" s="198"/>
      <c r="CL56" s="198"/>
      <c r="CM56" s="198"/>
      <c r="CN56" s="198"/>
      <c r="CO56" s="198"/>
      <c r="CP56" s="198"/>
      <c r="CQ56" s="198"/>
      <c r="CR56" s="198"/>
      <c r="CS56" s="198"/>
      <c r="CT56" s="198"/>
      <c r="CU56" s="198"/>
      <c r="CV56" s="198"/>
      <c r="CW56" s="198"/>
      <c r="CX56" s="198"/>
      <c r="CY56" s="198"/>
      <c r="CZ56" s="198"/>
      <c r="DA56" s="198"/>
      <c r="DB56" s="198"/>
      <c r="DC56" s="198"/>
      <c r="DD56" s="198"/>
      <c r="DE56" s="198"/>
      <c r="DF56" s="198"/>
      <c r="DG56" s="198"/>
      <c r="DH56" s="198"/>
      <c r="DI56" s="198"/>
      <c r="DJ56" s="198"/>
      <c r="DK56" s="198"/>
      <c r="DL56" s="198"/>
      <c r="DM56" s="198"/>
      <c r="DN56" s="198"/>
      <c r="DO56" s="198"/>
      <c r="DP56" s="198"/>
      <c r="DQ56" s="198"/>
      <c r="DR56" s="198"/>
      <c r="DS56" s="198"/>
      <c r="DT56" s="198"/>
      <c r="DU56" s="198"/>
      <c r="DV56" s="198"/>
      <c r="DW56" s="198"/>
      <c r="DX56" s="198"/>
      <c r="DY56" s="198"/>
      <c r="DZ56" s="198"/>
      <c r="EA56" s="198"/>
      <c r="EB56" s="198"/>
      <c r="EC56" s="198"/>
      <c r="ED56" s="198"/>
      <c r="EE56" s="198"/>
      <c r="EF56" s="198"/>
      <c r="EG56" s="198"/>
      <c r="EH56" s="198"/>
      <c r="EI56" s="198"/>
      <c r="EJ56" s="198"/>
      <c r="EK56" s="198"/>
      <c r="EL56" s="198"/>
      <c r="EM56" s="198"/>
      <c r="EN56" s="198"/>
      <c r="EO56" s="198"/>
      <c r="EP56" s="198"/>
      <c r="EQ56" s="198"/>
      <c r="ER56" s="198"/>
      <c r="ES56" s="198"/>
      <c r="ET56" s="198"/>
      <c r="EU56" s="198"/>
      <c r="EV56" s="198"/>
      <c r="EW56" s="198"/>
      <c r="EX56" s="198"/>
      <c r="EY56" s="198"/>
      <c r="EZ56" s="198"/>
      <c r="FA56" s="198"/>
      <c r="FB56" s="198"/>
      <c r="FC56" s="198"/>
      <c r="FD56" s="198"/>
      <c r="FE56" s="198"/>
      <c r="FF56" s="198"/>
      <c r="FG56" s="198"/>
      <c r="FH56" s="198"/>
      <c r="FI56" s="198"/>
      <c r="FJ56" s="198"/>
      <c r="FK56" s="198"/>
      <c r="FL56" s="198"/>
      <c r="FM56" s="198"/>
      <c r="FN56" s="198"/>
      <c r="FO56" s="198"/>
      <c r="FP56" s="198"/>
      <c r="FQ56" s="198"/>
      <c r="FR56" s="198"/>
      <c r="FS56" s="198"/>
      <c r="FT56" s="198"/>
      <c r="FU56" s="198"/>
      <c r="FV56" s="198"/>
      <c r="FW56" s="198"/>
      <c r="FX56" s="198"/>
      <c r="FY56" s="198"/>
      <c r="FZ56" s="198"/>
      <c r="GA56" s="198"/>
      <c r="GB56" s="198"/>
      <c r="GC56" s="198"/>
      <c r="GD56" s="198"/>
      <c r="GE56" s="198"/>
      <c r="GF56" s="198"/>
      <c r="GG56" s="198"/>
      <c r="GH56" s="198"/>
      <c r="GI56" s="198"/>
      <c r="GJ56" s="198"/>
      <c r="GK56" s="198"/>
      <c r="GL56" s="198"/>
      <c r="GM56" s="198"/>
      <c r="GN56" s="198"/>
      <c r="GO56" s="198"/>
      <c r="GP56" s="198"/>
      <c r="GQ56" s="198"/>
      <c r="GR56" s="198"/>
      <c r="GS56" s="198"/>
      <c r="GT56" s="198"/>
      <c r="GU56" s="198"/>
      <c r="GV56" s="198"/>
      <c r="GW56" s="198"/>
      <c r="GX56" s="198"/>
      <c r="GY56" s="198"/>
      <c r="GZ56" s="198"/>
      <c r="HA56" s="198"/>
      <c r="HB56" s="198"/>
      <c r="HC56" s="198"/>
      <c r="HD56" s="198"/>
      <c r="HE56" s="198"/>
      <c r="HF56" s="198"/>
      <c r="HG56" s="198"/>
      <c r="HH56" s="198"/>
      <c r="HI56" s="198"/>
      <c r="HJ56" s="198"/>
      <c r="HK56" s="198"/>
      <c r="HL56" s="198"/>
      <c r="HM56" s="198"/>
      <c r="HN56" s="198"/>
      <c r="HO56" s="198"/>
      <c r="HP56" s="198"/>
      <c r="HQ56" s="198"/>
      <c r="HR56" s="198"/>
      <c r="HS56" s="198"/>
      <c r="HT56" s="198"/>
      <c r="HU56" s="198"/>
      <c r="HV56" s="198"/>
      <c r="HW56" s="198"/>
      <c r="HX56" s="198"/>
      <c r="HY56" s="198"/>
      <c r="HZ56" s="198"/>
      <c r="IA56" s="198"/>
      <c r="IB56" s="198"/>
      <c r="IC56" s="198"/>
      <c r="ID56" s="198"/>
      <c r="IE56" s="198"/>
      <c r="IF56" s="198"/>
      <c r="IG56" s="198"/>
      <c r="IH56" s="198"/>
      <c r="II56" s="198"/>
      <c r="IJ56" s="198"/>
      <c r="IK56" s="198"/>
      <c r="IL56" s="198"/>
      <c r="IM56" s="198"/>
      <c r="IN56" s="198"/>
      <c r="IO56" s="198"/>
      <c r="IP56" s="198"/>
      <c r="IQ56" s="198"/>
      <c r="IR56" s="198"/>
      <c r="IS56" s="198"/>
      <c r="IT56" s="198"/>
      <c r="IU56" s="198"/>
      <c r="IV56" s="198"/>
      <c r="IW56" s="198"/>
      <c r="IX56" s="198"/>
      <c r="IY56" s="198"/>
      <c r="IZ56" s="198"/>
      <c r="JA56" s="198"/>
      <c r="JB56" s="198"/>
      <c r="JC56" s="198"/>
      <c r="JD56" s="198"/>
      <c r="JE56" s="198"/>
      <c r="JF56" s="198"/>
      <c r="JG56" s="198"/>
      <c r="JH56" s="198"/>
      <c r="JI56" s="198"/>
      <c r="JJ56" s="198"/>
      <c r="JK56" s="198"/>
      <c r="JL56" s="198"/>
      <c r="JM56" s="198"/>
      <c r="JN56" s="198"/>
      <c r="JO56" s="198"/>
      <c r="JP56" s="198"/>
      <c r="JQ56" s="198"/>
      <c r="JR56" s="198"/>
      <c r="JS56" s="198"/>
      <c r="JT56" s="198"/>
      <c r="JU56" s="198"/>
      <c r="JV56" s="198"/>
      <c r="JW56" s="198"/>
      <c r="JX56" s="198"/>
      <c r="JY56" s="198"/>
      <c r="JZ56" s="198"/>
      <c r="KA56" s="198"/>
      <c r="KB56" s="198"/>
      <c r="KC56" s="198"/>
      <c r="KD56" s="198"/>
      <c r="KE56" s="198"/>
      <c r="KF56" s="198"/>
      <c r="KG56" s="198"/>
      <c r="KH56" s="198"/>
      <c r="KI56" s="198"/>
      <c r="KJ56" s="198"/>
      <c r="KK56" s="198"/>
      <c r="KL56" s="198"/>
      <c r="KM56" s="198"/>
      <c r="KN56" s="198"/>
      <c r="KO56" s="198"/>
      <c r="KP56" s="198"/>
      <c r="KQ56" s="198"/>
      <c r="KR56" s="198"/>
      <c r="KS56" s="198"/>
      <c r="KT56" s="198"/>
      <c r="KU56" s="198"/>
      <c r="KV56" s="198"/>
      <c r="KW56" s="198"/>
      <c r="KX56" s="198"/>
      <c r="KY56" s="198"/>
      <c r="KZ56" s="198"/>
      <c r="LA56" s="198"/>
      <c r="LB56" s="198"/>
      <c r="LC56" s="198"/>
      <c r="LD56" s="198"/>
      <c r="LE56" s="198"/>
      <c r="LF56" s="198"/>
      <c r="LG56" s="198"/>
      <c r="LH56" s="198"/>
      <c r="LI56" s="198"/>
      <c r="LJ56" s="198"/>
      <c r="LK56" s="198"/>
      <c r="LL56" s="198"/>
      <c r="LM56" s="198"/>
      <c r="LN56" s="198"/>
      <c r="LO56" s="198"/>
      <c r="LP56" s="198"/>
      <c r="LQ56" s="198"/>
      <c r="LR56" s="198"/>
      <c r="LS56" s="198"/>
      <c r="LT56" s="198"/>
      <c r="LU56" s="198"/>
      <c r="LV56" s="198"/>
      <c r="LW56" s="198"/>
      <c r="LX56" s="198"/>
      <c r="LY56" s="198"/>
      <c r="LZ56" s="198"/>
      <c r="MA56" s="198"/>
      <c r="MB56" s="198"/>
      <c r="MC56" s="198"/>
      <c r="MD56" s="198"/>
      <c r="ME56" s="198"/>
      <c r="MF56" s="198"/>
      <c r="MG56" s="198"/>
      <c r="MH56" s="198"/>
      <c r="MI56" s="198"/>
      <c r="MJ56" s="198"/>
      <c r="MK56" s="198"/>
      <c r="ML56" s="198"/>
      <c r="MM56" s="198"/>
      <c r="MN56" s="198"/>
      <c r="MO56" s="198"/>
      <c r="MP56" s="198"/>
      <c r="MQ56" s="198"/>
      <c r="MR56" s="198"/>
      <c r="MS56" s="198"/>
      <c r="MT56" s="198"/>
      <c r="MU56" s="198"/>
      <c r="MV56" s="198"/>
      <c r="MW56" s="198"/>
      <c r="MX56" s="198"/>
      <c r="MY56" s="198"/>
      <c r="MZ56" s="198"/>
      <c r="NA56" s="198"/>
      <c r="NB56" s="198"/>
      <c r="NC56" s="198"/>
      <c r="ND56" s="198"/>
      <c r="NE56" s="198"/>
      <c r="NF56" s="198"/>
      <c r="NG56" s="198"/>
      <c r="NH56" s="198"/>
      <c r="NI56" s="198"/>
      <c r="NJ56" s="198"/>
      <c r="NK56" s="198"/>
      <c r="NL56" s="198"/>
      <c r="NM56" s="198"/>
      <c r="NN56" s="198"/>
      <c r="NO56" s="198"/>
      <c r="NP56" s="198"/>
      <c r="NQ56" s="198"/>
      <c r="NR56" s="198"/>
      <c r="NS56" s="198"/>
      <c r="NT56" s="198"/>
      <c r="NU56" s="198"/>
      <c r="NV56" s="198"/>
      <c r="NW56" s="198"/>
      <c r="NX56" s="198"/>
      <c r="NY56" s="198"/>
      <c r="NZ56" s="198"/>
      <c r="OA56" s="198"/>
      <c r="OB56" s="198"/>
      <c r="OC56" s="198"/>
      <c r="OD56" s="198"/>
      <c r="OE56" s="198"/>
      <c r="OF56" s="198"/>
      <c r="OG56" s="198"/>
      <c r="OH56" s="198"/>
      <c r="OI56" s="198"/>
      <c r="OJ56" s="198"/>
      <c r="OK56" s="198"/>
      <c r="OL56" s="198"/>
      <c r="OM56" s="198"/>
      <c r="ON56" s="198"/>
      <c r="OO56" s="198"/>
      <c r="OP56" s="198"/>
      <c r="OQ56" s="198"/>
      <c r="OR56" s="198"/>
      <c r="OS56" s="198"/>
      <c r="OT56" s="198"/>
      <c r="OU56" s="198"/>
      <c r="OV56" s="198"/>
      <c r="OW56" s="198"/>
      <c r="OX56" s="198"/>
      <c r="OY56" s="198"/>
      <c r="OZ56" s="198"/>
      <c r="PA56" s="198"/>
      <c r="PB56" s="198"/>
      <c r="PC56" s="198"/>
      <c r="PD56" s="198"/>
      <c r="PE56" s="198"/>
      <c r="PF56" s="198"/>
      <c r="PG56" s="198"/>
      <c r="PH56" s="198"/>
      <c r="PI56" s="198"/>
      <c r="PJ56" s="198"/>
      <c r="PK56" s="198"/>
      <c r="PL56" s="198"/>
      <c r="PM56" s="198"/>
      <c r="PN56" s="198"/>
      <c r="PO56" s="198"/>
      <c r="PP56" s="198"/>
      <c r="PQ56" s="198"/>
      <c r="PR56" s="198"/>
      <c r="PS56" s="198"/>
      <c r="PT56" s="198"/>
      <c r="PU56" s="198"/>
      <c r="PV56" s="198"/>
      <c r="PW56" s="198"/>
      <c r="PX56" s="198"/>
      <c r="PY56" s="198"/>
      <c r="PZ56" s="198"/>
      <c r="QA56" s="198"/>
      <c r="QB56" s="198"/>
      <c r="QC56" s="198"/>
      <c r="QD56" s="198"/>
      <c r="QE56" s="198"/>
      <c r="QF56" s="198"/>
      <c r="QG56" s="198"/>
      <c r="QH56" s="198"/>
      <c r="QI56" s="198"/>
      <c r="QJ56" s="198"/>
      <c r="QK56" s="198"/>
      <c r="QL56" s="198"/>
      <c r="QM56" s="198"/>
      <c r="QN56" s="198"/>
      <c r="QO56" s="198"/>
      <c r="QP56" s="198"/>
      <c r="QQ56" s="198"/>
      <c r="QR56" s="198"/>
      <c r="QS56" s="198"/>
      <c r="QT56" s="198"/>
      <c r="QU56" s="198"/>
      <c r="QV56" s="198"/>
      <c r="QW56" s="198"/>
      <c r="QX56" s="198"/>
      <c r="QY56" s="198"/>
      <c r="QZ56" s="198"/>
      <c r="RA56" s="198"/>
      <c r="RB56" s="198"/>
      <c r="RC56" s="198"/>
      <c r="RD56" s="198"/>
      <c r="RE56" s="198"/>
      <c r="RF56" s="198"/>
      <c r="RG56" s="198"/>
      <c r="RH56" s="198"/>
      <c r="RI56" s="198"/>
      <c r="RJ56" s="198"/>
      <c r="RK56" s="198"/>
      <c r="RL56" s="198"/>
      <c r="RM56" s="198"/>
      <c r="RN56" s="198"/>
      <c r="RO56" s="198"/>
      <c r="RP56" s="198"/>
      <c r="RQ56" s="198"/>
      <c r="RR56" s="198"/>
      <c r="RS56" s="198"/>
      <c r="RT56" s="198"/>
      <c r="RU56" s="198"/>
      <c r="RV56" s="198"/>
      <c r="RW56" s="198"/>
      <c r="RX56" s="198"/>
      <c r="RY56" s="198"/>
      <c r="RZ56" s="198"/>
      <c r="SA56" s="198"/>
      <c r="SB56" s="198"/>
      <c r="SC56" s="198"/>
      <c r="SD56" s="198"/>
      <c r="SE56" s="198"/>
      <c r="SF56" s="198"/>
      <c r="SG56" s="198"/>
    </row>
    <row r="57" spans="1:501" ht="40.049999999999997" customHeight="1" x14ac:dyDescent="0.3">
      <c r="A57" s="541" t="s">
        <v>185</v>
      </c>
      <c r="B57" s="952" t="s">
        <v>186</v>
      </c>
      <c r="C57" s="950">
        <f>'MANZ. A'!H59</f>
        <v>0</v>
      </c>
      <c r="D57" s="861"/>
      <c r="E57" s="862">
        <f>'MANZ. B'!R53</f>
        <v>0</v>
      </c>
      <c r="F57" s="861"/>
      <c r="G57" s="863">
        <f>MANZ.C!AL52</f>
        <v>17</v>
      </c>
      <c r="H57" s="861"/>
      <c r="I57" s="862">
        <f>MANZ.D!Z52</f>
        <v>7</v>
      </c>
      <c r="J57" s="861"/>
      <c r="K57" s="862">
        <f>MANZ.E!AL53</f>
        <v>6</v>
      </c>
      <c r="L57" s="861"/>
      <c r="M57" s="862">
        <f>MANZ.F!AB52</f>
        <v>8</v>
      </c>
      <c r="N57" s="861"/>
      <c r="O57" s="862">
        <f>MANZ.G!AT51</f>
        <v>18</v>
      </c>
      <c r="P57" s="861"/>
      <c r="Q57" s="863">
        <f>MANZ.H!V53</f>
        <v>9</v>
      </c>
      <c r="R57" s="861"/>
      <c r="S57" s="862">
        <f>MANZ.I!AB53</f>
        <v>10</v>
      </c>
      <c r="T57" s="861"/>
      <c r="U57" s="862">
        <f>MANZ.J!AT56</f>
        <v>16</v>
      </c>
      <c r="V57" s="861"/>
      <c r="W57" s="862">
        <f>MANZ.K!AB53</f>
        <v>10</v>
      </c>
      <c r="X57" s="861"/>
      <c r="Y57" s="862">
        <f>MANZ.L!Z53</f>
        <v>0</v>
      </c>
      <c r="Z57" s="861"/>
      <c r="AA57" s="862">
        <f>'SALA MULTIUSO'!F62</f>
        <v>0</v>
      </c>
      <c r="AB57" s="864"/>
      <c r="AC57" s="864"/>
      <c r="AD57" s="864"/>
      <c r="AE57" s="864"/>
      <c r="AF57" s="861"/>
      <c r="AG57" s="865">
        <f>SUM(C53:AA53)</f>
        <v>119</v>
      </c>
      <c r="AH57" s="866"/>
      <c r="AJ57" s="198"/>
      <c r="AK57" s="198"/>
      <c r="AL57" s="198"/>
      <c r="AM57" s="198"/>
      <c r="AN57" s="198"/>
      <c r="AO57" s="198"/>
      <c r="AP57" s="198"/>
      <c r="AQ57" s="198"/>
      <c r="AR57" s="198"/>
      <c r="AS57" s="198"/>
      <c r="AT57" s="198"/>
      <c r="AU57" s="198"/>
      <c r="AV57" s="198"/>
      <c r="AW57" s="198"/>
      <c r="AX57" s="198"/>
      <c r="AY57" s="198"/>
      <c r="AZ57" s="198"/>
      <c r="BA57" s="198"/>
      <c r="BB57" s="198"/>
      <c r="BC57" s="198"/>
      <c r="BD57" s="198"/>
      <c r="BE57" s="198"/>
      <c r="BF57" s="198"/>
      <c r="BG57" s="198"/>
      <c r="BH57" s="198"/>
      <c r="BI57" s="198"/>
      <c r="BJ57" s="198"/>
      <c r="BK57" s="198"/>
      <c r="BL57" s="198"/>
      <c r="BM57" s="198"/>
      <c r="BN57" s="198"/>
      <c r="BO57" s="198"/>
      <c r="BP57" s="198"/>
      <c r="BQ57" s="198"/>
      <c r="BR57" s="198"/>
      <c r="BS57" s="198"/>
      <c r="BT57" s="198"/>
      <c r="BU57" s="198"/>
      <c r="BV57" s="198"/>
      <c r="BW57" s="198"/>
      <c r="BX57" s="198"/>
      <c r="BY57" s="198"/>
      <c r="BZ57" s="198"/>
      <c r="CA57" s="198"/>
      <c r="CB57" s="198"/>
      <c r="CC57" s="198"/>
      <c r="CD57" s="198"/>
      <c r="CE57" s="198"/>
      <c r="CF57" s="198"/>
      <c r="CG57" s="198"/>
      <c r="CH57" s="198"/>
      <c r="CI57" s="198"/>
      <c r="CJ57" s="198"/>
      <c r="CK57" s="198"/>
      <c r="CL57" s="198"/>
      <c r="CM57" s="198"/>
      <c r="CN57" s="198"/>
      <c r="CO57" s="198"/>
      <c r="CP57" s="198"/>
      <c r="CQ57" s="198"/>
      <c r="CR57" s="198"/>
      <c r="CS57" s="198"/>
      <c r="CT57" s="198"/>
      <c r="CU57" s="198"/>
      <c r="CV57" s="198"/>
      <c r="CW57" s="198"/>
      <c r="CX57" s="198"/>
      <c r="CY57" s="198"/>
      <c r="CZ57" s="198"/>
      <c r="DA57" s="198"/>
      <c r="DB57" s="198"/>
      <c r="DC57" s="198"/>
      <c r="DD57" s="198"/>
      <c r="DE57" s="198"/>
      <c r="DF57" s="198"/>
      <c r="DG57" s="198"/>
      <c r="DH57" s="198"/>
      <c r="DI57" s="198"/>
      <c r="DJ57" s="198"/>
      <c r="DK57" s="198"/>
      <c r="DL57" s="198"/>
      <c r="DM57" s="198"/>
      <c r="DN57" s="198"/>
      <c r="DO57" s="198"/>
      <c r="DP57" s="198"/>
      <c r="DQ57" s="198"/>
      <c r="DR57" s="198"/>
      <c r="DS57" s="198"/>
      <c r="DT57" s="198"/>
      <c r="DU57" s="198"/>
      <c r="DV57" s="198"/>
      <c r="DW57" s="198"/>
      <c r="DX57" s="198"/>
      <c r="DY57" s="198"/>
      <c r="DZ57" s="198"/>
      <c r="EA57" s="198"/>
      <c r="EB57" s="198"/>
      <c r="EC57" s="198"/>
      <c r="ED57" s="198"/>
      <c r="EE57" s="198"/>
      <c r="EF57" s="198"/>
      <c r="EG57" s="198"/>
      <c r="EH57" s="198"/>
      <c r="EI57" s="198"/>
      <c r="EJ57" s="198"/>
      <c r="EK57" s="198"/>
      <c r="EL57" s="198"/>
      <c r="EM57" s="198"/>
      <c r="EN57" s="198"/>
      <c r="EO57" s="198"/>
      <c r="EP57" s="198"/>
      <c r="EQ57" s="198"/>
      <c r="ER57" s="198"/>
      <c r="ES57" s="198"/>
      <c r="ET57" s="198"/>
      <c r="EU57" s="198"/>
      <c r="EV57" s="198"/>
      <c r="EW57" s="198"/>
      <c r="EX57" s="198"/>
      <c r="EY57" s="198"/>
      <c r="EZ57" s="198"/>
      <c r="FA57" s="198"/>
      <c r="FB57" s="198"/>
      <c r="FC57" s="198"/>
      <c r="FD57" s="198"/>
      <c r="FE57" s="198"/>
      <c r="FF57" s="198"/>
      <c r="FG57" s="198"/>
      <c r="FH57" s="198"/>
      <c r="FI57" s="198"/>
      <c r="FJ57" s="198"/>
      <c r="FK57" s="198"/>
      <c r="FL57" s="198"/>
      <c r="FM57" s="198"/>
      <c r="FN57" s="198"/>
      <c r="FO57" s="198"/>
      <c r="FP57" s="198"/>
      <c r="FQ57" s="198"/>
      <c r="FR57" s="198"/>
      <c r="FS57" s="198"/>
      <c r="FT57" s="198"/>
      <c r="FU57" s="198"/>
      <c r="FV57" s="198"/>
      <c r="FW57" s="198"/>
      <c r="FX57" s="198"/>
      <c r="FY57" s="198"/>
      <c r="FZ57" s="198"/>
      <c r="GA57" s="198"/>
      <c r="GB57" s="198"/>
      <c r="GC57" s="198"/>
      <c r="GD57" s="198"/>
      <c r="GE57" s="198"/>
      <c r="GF57" s="198"/>
      <c r="GG57" s="198"/>
      <c r="GH57" s="198"/>
      <c r="GI57" s="198"/>
      <c r="GJ57" s="198"/>
      <c r="GK57" s="198"/>
      <c r="GL57" s="198"/>
      <c r="GM57" s="198"/>
      <c r="GN57" s="198"/>
      <c r="GO57" s="198"/>
      <c r="GP57" s="198"/>
      <c r="GQ57" s="198"/>
      <c r="GR57" s="198"/>
      <c r="GS57" s="198"/>
      <c r="GT57" s="198"/>
      <c r="GU57" s="198"/>
      <c r="GV57" s="198"/>
      <c r="GW57" s="198"/>
      <c r="GX57" s="198"/>
      <c r="GY57" s="198"/>
      <c r="GZ57" s="198"/>
      <c r="HA57" s="198"/>
      <c r="HB57" s="198"/>
      <c r="HC57" s="198"/>
      <c r="HD57" s="198"/>
      <c r="HE57" s="198"/>
      <c r="HF57" s="198"/>
      <c r="HG57" s="198"/>
      <c r="HH57" s="198"/>
      <c r="HI57" s="198"/>
      <c r="HJ57" s="198"/>
      <c r="HK57" s="198"/>
      <c r="HL57" s="198"/>
      <c r="HM57" s="198"/>
      <c r="HN57" s="198"/>
      <c r="HO57" s="198"/>
      <c r="HP57" s="198"/>
      <c r="HQ57" s="198"/>
      <c r="HR57" s="198"/>
      <c r="HS57" s="198"/>
      <c r="HT57" s="198"/>
      <c r="HU57" s="198"/>
      <c r="HV57" s="198"/>
      <c r="HW57" s="198"/>
      <c r="HX57" s="198"/>
      <c r="HY57" s="198"/>
      <c r="HZ57" s="198"/>
      <c r="IA57" s="198"/>
      <c r="IB57" s="198"/>
      <c r="IC57" s="198"/>
      <c r="ID57" s="198"/>
      <c r="IE57" s="198"/>
      <c r="IF57" s="198"/>
      <c r="IG57" s="198"/>
      <c r="IH57" s="198"/>
      <c r="II57" s="198"/>
      <c r="IJ57" s="198"/>
      <c r="IK57" s="198"/>
      <c r="IL57" s="198"/>
      <c r="IM57" s="198"/>
      <c r="IN57" s="198"/>
      <c r="IO57" s="198"/>
      <c r="IP57" s="198"/>
      <c r="IQ57" s="198"/>
      <c r="IR57" s="198"/>
      <c r="IS57" s="198"/>
      <c r="IT57" s="198"/>
      <c r="IU57" s="198"/>
      <c r="IV57" s="198"/>
      <c r="IW57" s="198"/>
      <c r="IX57" s="198"/>
      <c r="IY57" s="198"/>
      <c r="IZ57" s="198"/>
      <c r="JA57" s="198"/>
      <c r="JB57" s="198"/>
      <c r="JC57" s="198"/>
      <c r="JD57" s="198"/>
      <c r="JE57" s="198"/>
      <c r="JF57" s="198"/>
      <c r="JG57" s="198"/>
      <c r="JH57" s="198"/>
      <c r="JI57" s="198"/>
      <c r="JJ57" s="198"/>
      <c r="JK57" s="198"/>
      <c r="JL57" s="198"/>
      <c r="JM57" s="198"/>
      <c r="JN57" s="198"/>
      <c r="JO57" s="198"/>
      <c r="JP57" s="198"/>
      <c r="JQ57" s="198"/>
      <c r="JR57" s="198"/>
      <c r="JS57" s="198"/>
      <c r="JT57" s="198"/>
      <c r="JU57" s="198"/>
      <c r="JV57" s="198"/>
      <c r="JW57" s="198"/>
      <c r="JX57" s="198"/>
      <c r="JY57" s="198"/>
      <c r="JZ57" s="198"/>
      <c r="KA57" s="198"/>
      <c r="KB57" s="198"/>
      <c r="KC57" s="198"/>
      <c r="KD57" s="198"/>
      <c r="KE57" s="198"/>
      <c r="KF57" s="198"/>
      <c r="KG57" s="198"/>
      <c r="KH57" s="198"/>
      <c r="KI57" s="198"/>
      <c r="KJ57" s="198"/>
      <c r="KK57" s="198"/>
      <c r="KL57" s="198"/>
      <c r="KM57" s="198"/>
      <c r="KN57" s="198"/>
      <c r="KO57" s="198"/>
      <c r="KP57" s="198"/>
      <c r="KQ57" s="198"/>
      <c r="KR57" s="198"/>
      <c r="KS57" s="198"/>
      <c r="KT57" s="198"/>
      <c r="KU57" s="198"/>
      <c r="KV57" s="198"/>
      <c r="KW57" s="198"/>
      <c r="KX57" s="198"/>
      <c r="KY57" s="198"/>
      <c r="KZ57" s="198"/>
      <c r="LA57" s="198"/>
      <c r="LB57" s="198"/>
      <c r="LC57" s="198"/>
      <c r="LD57" s="198"/>
      <c r="LE57" s="198"/>
      <c r="LF57" s="198"/>
      <c r="LG57" s="198"/>
      <c r="LH57" s="198"/>
      <c r="LI57" s="198"/>
      <c r="LJ57" s="198"/>
      <c r="LK57" s="198"/>
      <c r="LL57" s="198"/>
      <c r="LM57" s="198"/>
      <c r="LN57" s="198"/>
      <c r="LO57" s="198"/>
      <c r="LP57" s="198"/>
      <c r="LQ57" s="198"/>
      <c r="LR57" s="198"/>
      <c r="LS57" s="198"/>
      <c r="LT57" s="198"/>
      <c r="LU57" s="198"/>
      <c r="LV57" s="198"/>
      <c r="LW57" s="198"/>
      <c r="LX57" s="198"/>
      <c r="LY57" s="198"/>
      <c r="LZ57" s="198"/>
      <c r="MA57" s="198"/>
      <c r="MB57" s="198"/>
      <c r="MC57" s="198"/>
      <c r="MD57" s="198"/>
      <c r="ME57" s="198"/>
      <c r="MF57" s="198"/>
      <c r="MG57" s="198"/>
      <c r="MH57" s="198"/>
      <c r="MI57" s="198"/>
      <c r="MJ57" s="198"/>
      <c r="MK57" s="198"/>
      <c r="ML57" s="198"/>
      <c r="MM57" s="198"/>
      <c r="MN57" s="198"/>
      <c r="MO57" s="198"/>
      <c r="MP57" s="198"/>
      <c r="MQ57" s="198"/>
      <c r="MR57" s="198"/>
      <c r="MS57" s="198"/>
      <c r="MT57" s="198"/>
      <c r="MU57" s="198"/>
      <c r="MV57" s="198"/>
      <c r="MW57" s="198"/>
      <c r="MX57" s="198"/>
      <c r="MY57" s="198"/>
      <c r="MZ57" s="198"/>
      <c r="NA57" s="198"/>
      <c r="NB57" s="198"/>
      <c r="NC57" s="198"/>
      <c r="ND57" s="198"/>
      <c r="NE57" s="198"/>
      <c r="NF57" s="198"/>
      <c r="NG57" s="198"/>
      <c r="NH57" s="198"/>
      <c r="NI57" s="198"/>
      <c r="NJ57" s="198"/>
      <c r="NK57" s="198"/>
      <c r="NL57" s="198"/>
      <c r="NM57" s="198"/>
      <c r="NN57" s="198"/>
      <c r="NO57" s="198"/>
      <c r="NP57" s="198"/>
      <c r="NQ57" s="198"/>
      <c r="NR57" s="198"/>
      <c r="NS57" s="198"/>
      <c r="NT57" s="198"/>
      <c r="NU57" s="198"/>
      <c r="NV57" s="198"/>
      <c r="NW57" s="198"/>
      <c r="NX57" s="198"/>
      <c r="NY57" s="198"/>
      <c r="NZ57" s="198"/>
      <c r="OA57" s="198"/>
      <c r="OB57" s="198"/>
      <c r="OC57" s="198"/>
      <c r="OD57" s="198"/>
      <c r="OE57" s="198"/>
      <c r="OF57" s="198"/>
      <c r="OG57" s="198"/>
      <c r="OH57" s="198"/>
      <c r="OI57" s="198"/>
      <c r="OJ57" s="198"/>
      <c r="OK57" s="198"/>
      <c r="OL57" s="198"/>
      <c r="OM57" s="198"/>
      <c r="ON57" s="198"/>
      <c r="OO57" s="198"/>
      <c r="OP57" s="198"/>
      <c r="OQ57" s="198"/>
      <c r="OR57" s="198"/>
      <c r="OS57" s="198"/>
      <c r="OT57" s="198"/>
      <c r="OU57" s="198"/>
      <c r="OV57" s="198"/>
      <c r="OW57" s="198"/>
      <c r="OX57" s="198"/>
      <c r="OY57" s="198"/>
      <c r="OZ57" s="198"/>
      <c r="PA57" s="198"/>
      <c r="PB57" s="198"/>
      <c r="PC57" s="198"/>
      <c r="PD57" s="198"/>
      <c r="PE57" s="198"/>
      <c r="PF57" s="198"/>
      <c r="PG57" s="198"/>
      <c r="PH57" s="198"/>
      <c r="PI57" s="198"/>
      <c r="PJ57" s="198"/>
      <c r="PK57" s="198"/>
      <c r="PL57" s="198"/>
      <c r="PM57" s="198"/>
      <c r="PN57" s="198"/>
      <c r="PO57" s="198"/>
      <c r="PP57" s="198"/>
      <c r="PQ57" s="198"/>
      <c r="PR57" s="198"/>
      <c r="PS57" s="198"/>
      <c r="PT57" s="198"/>
      <c r="PU57" s="198"/>
      <c r="PV57" s="198"/>
      <c r="PW57" s="198"/>
      <c r="PX57" s="198"/>
      <c r="PY57" s="198"/>
      <c r="PZ57" s="198"/>
      <c r="QA57" s="198"/>
      <c r="QB57" s="198"/>
      <c r="QC57" s="198"/>
      <c r="QD57" s="198"/>
      <c r="QE57" s="198"/>
      <c r="QF57" s="198"/>
      <c r="QG57" s="198"/>
      <c r="QH57" s="198"/>
      <c r="QI57" s="198"/>
      <c r="QJ57" s="198"/>
      <c r="QK57" s="198"/>
      <c r="QL57" s="198"/>
      <c r="QM57" s="198"/>
      <c r="QN57" s="198"/>
      <c r="QO57" s="198"/>
      <c r="QP57" s="198"/>
      <c r="QQ57" s="198"/>
      <c r="QR57" s="198"/>
      <c r="QS57" s="198"/>
      <c r="QT57" s="198"/>
      <c r="QU57" s="198"/>
      <c r="QV57" s="198"/>
      <c r="QW57" s="198"/>
      <c r="QX57" s="198"/>
      <c r="QY57" s="198"/>
      <c r="QZ57" s="198"/>
      <c r="RA57" s="198"/>
      <c r="RB57" s="198"/>
      <c r="RC57" s="198"/>
      <c r="RD57" s="198"/>
      <c r="RE57" s="198"/>
      <c r="RF57" s="198"/>
      <c r="RG57" s="198"/>
      <c r="RH57" s="198"/>
      <c r="RI57" s="198"/>
      <c r="RJ57" s="198"/>
      <c r="RK57" s="198"/>
      <c r="RL57" s="198"/>
      <c r="RM57" s="198"/>
      <c r="RN57" s="198"/>
      <c r="RO57" s="198"/>
      <c r="RP57" s="198"/>
      <c r="RQ57" s="198"/>
      <c r="RR57" s="198"/>
      <c r="RS57" s="198"/>
      <c r="RT57" s="198"/>
      <c r="RU57" s="198"/>
      <c r="RV57" s="198"/>
      <c r="RW57" s="198"/>
      <c r="RX57" s="198"/>
      <c r="RY57" s="198"/>
      <c r="RZ57" s="198"/>
      <c r="SA57" s="198"/>
      <c r="SB57" s="198"/>
      <c r="SC57" s="198"/>
      <c r="SD57" s="198"/>
      <c r="SE57" s="198"/>
      <c r="SF57" s="198"/>
      <c r="SG57" s="198"/>
    </row>
    <row r="58" spans="1:501" ht="40.049999999999997" customHeight="1" x14ac:dyDescent="0.3">
      <c r="A58" s="541" t="s">
        <v>187</v>
      </c>
      <c r="B58" s="952" t="s">
        <v>188</v>
      </c>
      <c r="C58" s="950">
        <f>'MANZ. A'!H60</f>
        <v>0</v>
      </c>
      <c r="D58" s="861"/>
      <c r="E58" s="862">
        <f>'MANZ. B'!R54</f>
        <v>0</v>
      </c>
      <c r="F58" s="861"/>
      <c r="G58" s="863">
        <f>MANZ.C!AL53</f>
        <v>0</v>
      </c>
      <c r="H58" s="861"/>
      <c r="I58" s="862">
        <f>MANZ.D!Z53</f>
        <v>0</v>
      </c>
      <c r="J58" s="861"/>
      <c r="K58" s="862"/>
      <c r="L58" s="861"/>
      <c r="M58" s="862">
        <f>MANZ.F!AB53</f>
        <v>0</v>
      </c>
      <c r="N58" s="861"/>
      <c r="O58" s="862">
        <f>MANZ.G!AT52</f>
        <v>18</v>
      </c>
      <c r="P58" s="861"/>
      <c r="Q58" s="862">
        <f>MANZ.H!V54</f>
        <v>0</v>
      </c>
      <c r="R58" s="861"/>
      <c r="S58" s="862">
        <f>MANZ.I!AB54</f>
        <v>0</v>
      </c>
      <c r="T58" s="861"/>
      <c r="U58" s="862">
        <f>MANZ.J!AT57</f>
        <v>0</v>
      </c>
      <c r="V58" s="861"/>
      <c r="W58" s="862">
        <f>MANZ.K!AB54</f>
        <v>0</v>
      </c>
      <c r="X58" s="861"/>
      <c r="Y58" s="862">
        <f>MANZ.L!Z54</f>
        <v>0</v>
      </c>
      <c r="Z58" s="861"/>
      <c r="AA58" s="862">
        <f>'SALA MULTIUSO'!F63</f>
        <v>0</v>
      </c>
      <c r="AB58" s="864"/>
      <c r="AC58" s="864"/>
      <c r="AD58" s="864"/>
      <c r="AE58" s="864"/>
      <c r="AF58" s="861"/>
      <c r="AG58" s="865">
        <f>SUM(C54:AA54)</f>
        <v>0</v>
      </c>
      <c r="AH58" s="866"/>
      <c r="AJ58" s="198"/>
      <c r="AK58" s="198"/>
      <c r="AL58" s="198"/>
      <c r="AM58" s="198"/>
      <c r="AN58" s="198"/>
      <c r="AO58" s="198"/>
      <c r="AP58" s="198"/>
      <c r="AQ58" s="198"/>
      <c r="AR58" s="198"/>
      <c r="AS58" s="198"/>
      <c r="AT58" s="198"/>
      <c r="AU58" s="198"/>
      <c r="AV58" s="198"/>
      <c r="AW58" s="198"/>
      <c r="AX58" s="198"/>
      <c r="AY58" s="198"/>
      <c r="AZ58" s="198"/>
      <c r="BA58" s="198"/>
      <c r="BB58" s="198"/>
      <c r="BC58" s="198"/>
      <c r="BD58" s="198"/>
      <c r="BE58" s="198"/>
      <c r="BF58" s="198"/>
      <c r="BG58" s="198"/>
      <c r="BH58" s="198"/>
      <c r="BI58" s="198"/>
      <c r="BJ58" s="198"/>
      <c r="BK58" s="198"/>
      <c r="BL58" s="198"/>
      <c r="BM58" s="198"/>
      <c r="BN58" s="198"/>
      <c r="BO58" s="198"/>
      <c r="BP58" s="198"/>
      <c r="BQ58" s="198"/>
      <c r="BR58" s="198"/>
      <c r="BS58" s="198"/>
      <c r="BT58" s="198"/>
      <c r="BU58" s="198"/>
      <c r="BV58" s="198"/>
      <c r="BW58" s="198"/>
      <c r="BX58" s="198"/>
      <c r="BY58" s="198"/>
      <c r="BZ58" s="198"/>
      <c r="CA58" s="198"/>
      <c r="CB58" s="198"/>
      <c r="CC58" s="198"/>
      <c r="CD58" s="198"/>
      <c r="CE58" s="198"/>
      <c r="CF58" s="198"/>
      <c r="CG58" s="198"/>
      <c r="CH58" s="198"/>
      <c r="CI58" s="198"/>
      <c r="CJ58" s="198"/>
      <c r="CK58" s="198"/>
      <c r="CL58" s="198"/>
      <c r="CM58" s="198"/>
      <c r="CN58" s="198"/>
      <c r="CO58" s="198"/>
      <c r="CP58" s="198"/>
      <c r="CQ58" s="198"/>
      <c r="CR58" s="198"/>
      <c r="CS58" s="198"/>
      <c r="CT58" s="198"/>
      <c r="CU58" s="198"/>
      <c r="CV58" s="198"/>
      <c r="CW58" s="198"/>
      <c r="CX58" s="198"/>
      <c r="CY58" s="198"/>
      <c r="CZ58" s="198"/>
      <c r="DA58" s="198"/>
      <c r="DB58" s="198"/>
      <c r="DC58" s="198"/>
      <c r="DD58" s="198"/>
      <c r="DE58" s="198"/>
      <c r="DF58" s="198"/>
      <c r="DG58" s="198"/>
      <c r="DH58" s="198"/>
      <c r="DI58" s="198"/>
      <c r="DJ58" s="198"/>
      <c r="DK58" s="198"/>
      <c r="DL58" s="198"/>
      <c r="DM58" s="198"/>
      <c r="DN58" s="198"/>
      <c r="DO58" s="198"/>
      <c r="DP58" s="198"/>
      <c r="DQ58" s="198"/>
      <c r="DR58" s="198"/>
      <c r="DS58" s="198"/>
      <c r="DT58" s="198"/>
      <c r="DU58" s="198"/>
      <c r="DV58" s="198"/>
      <c r="DW58" s="198"/>
      <c r="DX58" s="198"/>
      <c r="DY58" s="198"/>
      <c r="DZ58" s="198"/>
      <c r="EA58" s="198"/>
      <c r="EB58" s="198"/>
      <c r="EC58" s="198"/>
      <c r="ED58" s="198"/>
      <c r="EE58" s="198"/>
      <c r="EF58" s="198"/>
      <c r="EG58" s="198"/>
      <c r="EH58" s="198"/>
      <c r="EI58" s="198"/>
      <c r="EJ58" s="198"/>
      <c r="EK58" s="198"/>
      <c r="EL58" s="198"/>
      <c r="EM58" s="198"/>
      <c r="EN58" s="198"/>
      <c r="EO58" s="198"/>
      <c r="EP58" s="198"/>
      <c r="EQ58" s="198"/>
      <c r="ER58" s="198"/>
      <c r="ES58" s="198"/>
      <c r="ET58" s="198"/>
      <c r="EU58" s="198"/>
      <c r="EV58" s="198"/>
      <c r="EW58" s="198"/>
      <c r="EX58" s="198"/>
      <c r="EY58" s="198"/>
      <c r="EZ58" s="198"/>
      <c r="FA58" s="198"/>
      <c r="FB58" s="198"/>
      <c r="FC58" s="198"/>
      <c r="FD58" s="198"/>
      <c r="FE58" s="198"/>
      <c r="FF58" s="198"/>
      <c r="FG58" s="198"/>
      <c r="FH58" s="198"/>
      <c r="FI58" s="198"/>
      <c r="FJ58" s="198"/>
      <c r="FK58" s="198"/>
      <c r="FL58" s="198"/>
      <c r="FM58" s="198"/>
      <c r="FN58" s="198"/>
      <c r="FO58" s="198"/>
      <c r="FP58" s="198"/>
      <c r="FQ58" s="198"/>
      <c r="FR58" s="198"/>
      <c r="FS58" s="198"/>
      <c r="FT58" s="198"/>
      <c r="FU58" s="198"/>
      <c r="FV58" s="198"/>
      <c r="FW58" s="198"/>
      <c r="FX58" s="198"/>
      <c r="FY58" s="198"/>
      <c r="FZ58" s="198"/>
      <c r="GA58" s="198"/>
      <c r="GB58" s="198"/>
      <c r="GC58" s="198"/>
      <c r="GD58" s="198"/>
      <c r="GE58" s="198"/>
      <c r="GF58" s="198"/>
      <c r="GG58" s="198"/>
      <c r="GH58" s="198"/>
      <c r="GI58" s="198"/>
      <c r="GJ58" s="198"/>
      <c r="GK58" s="198"/>
      <c r="GL58" s="198"/>
      <c r="GM58" s="198"/>
      <c r="GN58" s="198"/>
      <c r="GO58" s="198"/>
      <c r="GP58" s="198"/>
      <c r="GQ58" s="198"/>
      <c r="GR58" s="198"/>
      <c r="GS58" s="198"/>
      <c r="GT58" s="198"/>
      <c r="GU58" s="198"/>
      <c r="GV58" s="198"/>
      <c r="GW58" s="198"/>
      <c r="GX58" s="198"/>
      <c r="GY58" s="198"/>
      <c r="GZ58" s="198"/>
      <c r="HA58" s="198"/>
      <c r="HB58" s="198"/>
      <c r="HC58" s="198"/>
      <c r="HD58" s="198"/>
      <c r="HE58" s="198"/>
      <c r="HF58" s="198"/>
      <c r="HG58" s="198"/>
      <c r="HH58" s="198"/>
      <c r="HI58" s="198"/>
      <c r="HJ58" s="198"/>
      <c r="HK58" s="198"/>
      <c r="HL58" s="198"/>
      <c r="HM58" s="198"/>
      <c r="HN58" s="198"/>
      <c r="HO58" s="198"/>
      <c r="HP58" s="198"/>
      <c r="HQ58" s="198"/>
      <c r="HR58" s="198"/>
      <c r="HS58" s="198"/>
      <c r="HT58" s="198"/>
      <c r="HU58" s="198"/>
      <c r="HV58" s="198"/>
      <c r="HW58" s="198"/>
      <c r="HX58" s="198"/>
      <c r="HY58" s="198"/>
      <c r="HZ58" s="198"/>
      <c r="IA58" s="198"/>
      <c r="IB58" s="198"/>
      <c r="IC58" s="198"/>
      <c r="ID58" s="198"/>
      <c r="IE58" s="198"/>
      <c r="IF58" s="198"/>
      <c r="IG58" s="198"/>
      <c r="IH58" s="198"/>
      <c r="II58" s="198"/>
      <c r="IJ58" s="198"/>
      <c r="IK58" s="198"/>
      <c r="IL58" s="198"/>
      <c r="IM58" s="198"/>
      <c r="IN58" s="198"/>
      <c r="IO58" s="198"/>
      <c r="IP58" s="198"/>
      <c r="IQ58" s="198"/>
      <c r="IR58" s="198"/>
      <c r="IS58" s="198"/>
      <c r="IT58" s="198"/>
      <c r="IU58" s="198"/>
      <c r="IV58" s="198"/>
      <c r="IW58" s="198"/>
      <c r="IX58" s="198"/>
      <c r="IY58" s="198"/>
      <c r="IZ58" s="198"/>
      <c r="JA58" s="198"/>
      <c r="JB58" s="198"/>
      <c r="JC58" s="198"/>
      <c r="JD58" s="198"/>
      <c r="JE58" s="198"/>
      <c r="JF58" s="198"/>
      <c r="JG58" s="198"/>
      <c r="JH58" s="198"/>
      <c r="JI58" s="198"/>
      <c r="JJ58" s="198"/>
      <c r="JK58" s="198"/>
      <c r="JL58" s="198"/>
      <c r="JM58" s="198"/>
      <c r="JN58" s="198"/>
      <c r="JO58" s="198"/>
      <c r="JP58" s="198"/>
      <c r="JQ58" s="198"/>
      <c r="JR58" s="198"/>
      <c r="JS58" s="198"/>
      <c r="JT58" s="198"/>
      <c r="JU58" s="198"/>
      <c r="JV58" s="198"/>
      <c r="JW58" s="198"/>
      <c r="JX58" s="198"/>
      <c r="JY58" s="198"/>
      <c r="JZ58" s="198"/>
      <c r="KA58" s="198"/>
      <c r="KB58" s="198"/>
      <c r="KC58" s="198"/>
      <c r="KD58" s="198"/>
      <c r="KE58" s="198"/>
      <c r="KF58" s="198"/>
      <c r="KG58" s="198"/>
      <c r="KH58" s="198"/>
      <c r="KI58" s="198"/>
      <c r="KJ58" s="198"/>
      <c r="KK58" s="198"/>
      <c r="KL58" s="198"/>
      <c r="KM58" s="198"/>
      <c r="KN58" s="198"/>
      <c r="KO58" s="198"/>
      <c r="KP58" s="198"/>
      <c r="KQ58" s="198"/>
      <c r="KR58" s="198"/>
      <c r="KS58" s="198"/>
      <c r="KT58" s="198"/>
      <c r="KU58" s="198"/>
      <c r="KV58" s="198"/>
      <c r="KW58" s="198"/>
      <c r="KX58" s="198"/>
      <c r="KY58" s="198"/>
      <c r="KZ58" s="198"/>
      <c r="LA58" s="198"/>
      <c r="LB58" s="198"/>
      <c r="LC58" s="198"/>
      <c r="LD58" s="198"/>
      <c r="LE58" s="198"/>
      <c r="LF58" s="198"/>
      <c r="LG58" s="198"/>
      <c r="LH58" s="198"/>
      <c r="LI58" s="198"/>
      <c r="LJ58" s="198"/>
      <c r="LK58" s="198"/>
      <c r="LL58" s="198"/>
      <c r="LM58" s="198"/>
      <c r="LN58" s="198"/>
      <c r="LO58" s="198"/>
      <c r="LP58" s="198"/>
      <c r="LQ58" s="198"/>
      <c r="LR58" s="198"/>
      <c r="LS58" s="198"/>
      <c r="LT58" s="198"/>
      <c r="LU58" s="198"/>
      <c r="LV58" s="198"/>
      <c r="LW58" s="198"/>
      <c r="LX58" s="198"/>
      <c r="LY58" s="198"/>
      <c r="LZ58" s="198"/>
      <c r="MA58" s="198"/>
      <c r="MB58" s="198"/>
      <c r="MC58" s="198"/>
      <c r="MD58" s="198"/>
      <c r="ME58" s="198"/>
      <c r="MF58" s="198"/>
      <c r="MG58" s="198"/>
      <c r="MH58" s="198"/>
      <c r="MI58" s="198"/>
      <c r="MJ58" s="198"/>
      <c r="MK58" s="198"/>
      <c r="ML58" s="198"/>
      <c r="MM58" s="198"/>
      <c r="MN58" s="198"/>
      <c r="MO58" s="198"/>
      <c r="MP58" s="198"/>
      <c r="MQ58" s="198"/>
      <c r="MR58" s="198"/>
      <c r="MS58" s="198"/>
      <c r="MT58" s="198"/>
      <c r="MU58" s="198"/>
      <c r="MV58" s="198"/>
      <c r="MW58" s="198"/>
      <c r="MX58" s="198"/>
      <c r="MY58" s="198"/>
      <c r="MZ58" s="198"/>
      <c r="NA58" s="198"/>
      <c r="NB58" s="198"/>
      <c r="NC58" s="198"/>
      <c r="ND58" s="198"/>
      <c r="NE58" s="198"/>
      <c r="NF58" s="198"/>
      <c r="NG58" s="198"/>
      <c r="NH58" s="198"/>
      <c r="NI58" s="198"/>
      <c r="NJ58" s="198"/>
      <c r="NK58" s="198"/>
      <c r="NL58" s="198"/>
      <c r="NM58" s="198"/>
      <c r="NN58" s="198"/>
      <c r="NO58" s="198"/>
      <c r="NP58" s="198"/>
      <c r="NQ58" s="198"/>
      <c r="NR58" s="198"/>
      <c r="NS58" s="198"/>
      <c r="NT58" s="198"/>
      <c r="NU58" s="198"/>
      <c r="NV58" s="198"/>
      <c r="NW58" s="198"/>
      <c r="NX58" s="198"/>
      <c r="NY58" s="198"/>
      <c r="NZ58" s="198"/>
      <c r="OA58" s="198"/>
      <c r="OB58" s="198"/>
      <c r="OC58" s="198"/>
      <c r="OD58" s="198"/>
      <c r="OE58" s="198"/>
      <c r="OF58" s="198"/>
      <c r="OG58" s="198"/>
      <c r="OH58" s="198"/>
      <c r="OI58" s="198"/>
      <c r="OJ58" s="198"/>
      <c r="OK58" s="198"/>
      <c r="OL58" s="198"/>
      <c r="OM58" s="198"/>
      <c r="ON58" s="198"/>
      <c r="OO58" s="198"/>
      <c r="OP58" s="198"/>
      <c r="OQ58" s="198"/>
      <c r="OR58" s="198"/>
      <c r="OS58" s="198"/>
      <c r="OT58" s="198"/>
      <c r="OU58" s="198"/>
      <c r="OV58" s="198"/>
      <c r="OW58" s="198"/>
      <c r="OX58" s="198"/>
      <c r="OY58" s="198"/>
      <c r="OZ58" s="198"/>
      <c r="PA58" s="198"/>
      <c r="PB58" s="198"/>
      <c r="PC58" s="198"/>
      <c r="PD58" s="198"/>
      <c r="PE58" s="198"/>
      <c r="PF58" s="198"/>
      <c r="PG58" s="198"/>
      <c r="PH58" s="198"/>
      <c r="PI58" s="198"/>
      <c r="PJ58" s="198"/>
      <c r="PK58" s="198"/>
      <c r="PL58" s="198"/>
      <c r="PM58" s="198"/>
      <c r="PN58" s="198"/>
      <c r="PO58" s="198"/>
      <c r="PP58" s="198"/>
      <c r="PQ58" s="198"/>
      <c r="PR58" s="198"/>
      <c r="PS58" s="198"/>
      <c r="PT58" s="198"/>
      <c r="PU58" s="198"/>
      <c r="PV58" s="198"/>
      <c r="PW58" s="198"/>
      <c r="PX58" s="198"/>
      <c r="PY58" s="198"/>
      <c r="PZ58" s="198"/>
      <c r="QA58" s="198"/>
      <c r="QB58" s="198"/>
      <c r="QC58" s="198"/>
      <c r="QD58" s="198"/>
      <c r="QE58" s="198"/>
      <c r="QF58" s="198"/>
      <c r="QG58" s="198"/>
      <c r="QH58" s="198"/>
      <c r="QI58" s="198"/>
      <c r="QJ58" s="198"/>
      <c r="QK58" s="198"/>
      <c r="QL58" s="198"/>
      <c r="QM58" s="198"/>
      <c r="QN58" s="198"/>
      <c r="QO58" s="198"/>
      <c r="QP58" s="198"/>
      <c r="QQ58" s="198"/>
      <c r="QR58" s="198"/>
      <c r="QS58" s="198"/>
      <c r="QT58" s="198"/>
      <c r="QU58" s="198"/>
      <c r="QV58" s="198"/>
      <c r="QW58" s="198"/>
      <c r="QX58" s="198"/>
      <c r="QY58" s="198"/>
      <c r="QZ58" s="198"/>
      <c r="RA58" s="198"/>
      <c r="RB58" s="198"/>
      <c r="RC58" s="198"/>
      <c r="RD58" s="198"/>
      <c r="RE58" s="198"/>
      <c r="RF58" s="198"/>
      <c r="RG58" s="198"/>
      <c r="RH58" s="198"/>
      <c r="RI58" s="198"/>
      <c r="RJ58" s="198"/>
      <c r="RK58" s="198"/>
      <c r="RL58" s="198"/>
      <c r="RM58" s="198"/>
      <c r="RN58" s="198"/>
      <c r="RO58" s="198"/>
      <c r="RP58" s="198"/>
      <c r="RQ58" s="198"/>
      <c r="RR58" s="198"/>
      <c r="RS58" s="198"/>
      <c r="RT58" s="198"/>
      <c r="RU58" s="198"/>
      <c r="RV58" s="198"/>
      <c r="RW58" s="198"/>
      <c r="RX58" s="198"/>
      <c r="RY58" s="198"/>
      <c r="RZ58" s="198"/>
      <c r="SA58" s="198"/>
      <c r="SB58" s="198"/>
      <c r="SC58" s="198"/>
      <c r="SD58" s="198"/>
      <c r="SE58" s="198"/>
      <c r="SF58" s="198"/>
      <c r="SG58" s="198"/>
    </row>
    <row r="59" spans="1:501" ht="40.049999999999997" customHeight="1" x14ac:dyDescent="0.3">
      <c r="A59" s="541" t="s">
        <v>189</v>
      </c>
      <c r="B59" s="952" t="s">
        <v>190</v>
      </c>
      <c r="C59" s="950">
        <f>'MANZ. A'!H61</f>
        <v>0</v>
      </c>
      <c r="D59" s="861"/>
      <c r="E59" s="862">
        <f>'MANZ. B'!R56</f>
        <v>0</v>
      </c>
      <c r="F59" s="861"/>
      <c r="G59" s="863">
        <f>MANZ.C!AL55</f>
        <v>0</v>
      </c>
      <c r="H59" s="861"/>
      <c r="I59" s="862">
        <f>MANZ.D!Z55</f>
        <v>0</v>
      </c>
      <c r="J59" s="861"/>
      <c r="K59" s="862">
        <f>MANZ.E!AL56</f>
        <v>0</v>
      </c>
      <c r="L59" s="861"/>
      <c r="M59" s="862">
        <f>MANZ.F!AB55</f>
        <v>0</v>
      </c>
      <c r="N59" s="861"/>
      <c r="O59" s="862">
        <f>MANZ.G!AT54</f>
        <v>18</v>
      </c>
      <c r="P59" s="861"/>
      <c r="Q59" s="863">
        <f>MANZ.H!V56</f>
        <v>0</v>
      </c>
      <c r="R59" s="861"/>
      <c r="S59" s="862">
        <f>MANZ.I!AB56</f>
        <v>0</v>
      </c>
      <c r="T59" s="861"/>
      <c r="U59" s="862">
        <f>MANZ.J!AT59</f>
        <v>0</v>
      </c>
      <c r="V59" s="861"/>
      <c r="W59" s="862">
        <f>MANZ.K!AB56</f>
        <v>0</v>
      </c>
      <c r="X59" s="861"/>
      <c r="Y59" s="862">
        <f>MANZ.L!Z56</f>
        <v>0</v>
      </c>
      <c r="Z59" s="861"/>
      <c r="AA59" s="862">
        <f>'SALA MULTIUSO'!F65</f>
        <v>0</v>
      </c>
      <c r="AB59" s="864"/>
      <c r="AC59" s="864"/>
      <c r="AD59" s="864"/>
      <c r="AE59" s="864"/>
      <c r="AF59" s="861"/>
      <c r="AG59" s="865">
        <f>SUM(C56:AA56)</f>
        <v>0</v>
      </c>
      <c r="AH59" s="866"/>
      <c r="AI59" s="199"/>
    </row>
    <row r="60" spans="1:501" ht="40.049999999999997" customHeight="1" thickBot="1" x14ac:dyDescent="0.35">
      <c r="A60" s="541" t="s">
        <v>191</v>
      </c>
      <c r="B60" s="952" t="s">
        <v>192</v>
      </c>
      <c r="C60" s="950">
        <f>'MANZ. A'!H62</f>
        <v>0</v>
      </c>
      <c r="D60" s="861"/>
      <c r="E60" s="862">
        <f>'MANZ. B'!R57</f>
        <v>0</v>
      </c>
      <c r="F60" s="861"/>
      <c r="G60" s="862">
        <f>MANZ.C!AL56</f>
        <v>17</v>
      </c>
      <c r="H60" s="861"/>
      <c r="I60" s="862">
        <f>MANZ.D!Z56</f>
        <v>7</v>
      </c>
      <c r="J60" s="861"/>
      <c r="K60" s="862"/>
      <c r="L60" s="861"/>
      <c r="M60" s="862">
        <f>MANZ.F!AB56</f>
        <v>10</v>
      </c>
      <c r="N60" s="861"/>
      <c r="O60" s="862">
        <f>MANZ.G!AT55</f>
        <v>18</v>
      </c>
      <c r="P60" s="861"/>
      <c r="Q60" s="862">
        <f>MANZ.H!V57</f>
        <v>9</v>
      </c>
      <c r="R60" s="861"/>
      <c r="S60" s="862">
        <f>MANZ.I!AB57</f>
        <v>10</v>
      </c>
      <c r="T60" s="861"/>
      <c r="U60" s="862">
        <f>MANZ.J!AT60</f>
        <v>17</v>
      </c>
      <c r="V60" s="861"/>
      <c r="W60" s="862">
        <f>MANZ.K!AB57</f>
        <v>11</v>
      </c>
      <c r="X60" s="861"/>
      <c r="Y60" s="862">
        <f>MANZ.L!Z57</f>
        <v>10</v>
      </c>
      <c r="Z60" s="861"/>
      <c r="AA60" s="862">
        <f>'SALA MULTIUSO'!F66</f>
        <v>0</v>
      </c>
      <c r="AB60" s="864"/>
      <c r="AC60" s="864"/>
      <c r="AD60" s="864"/>
      <c r="AE60" s="864"/>
      <c r="AF60" s="861"/>
      <c r="AG60" s="865">
        <f>SUM(C57:AA57)</f>
        <v>101</v>
      </c>
      <c r="AH60" s="866"/>
      <c r="AI60" s="199"/>
      <c r="AJ60" s="198"/>
      <c r="AK60" s="198"/>
      <c r="AL60" s="198"/>
      <c r="AM60" s="198"/>
      <c r="AN60" s="198"/>
      <c r="AO60" s="198"/>
      <c r="AP60" s="198"/>
      <c r="AQ60" s="198"/>
      <c r="AR60" s="198"/>
      <c r="AS60" s="198"/>
      <c r="AT60" s="198"/>
      <c r="AU60" s="198"/>
      <c r="AV60" s="198"/>
      <c r="AW60" s="198"/>
      <c r="AX60" s="198"/>
      <c r="AY60" s="198"/>
      <c r="AZ60" s="198"/>
      <c r="BA60" s="198"/>
      <c r="BB60" s="198"/>
      <c r="BC60" s="198"/>
      <c r="BD60" s="198"/>
      <c r="BE60" s="198"/>
      <c r="BF60" s="198"/>
      <c r="BG60" s="198"/>
      <c r="BH60" s="198"/>
      <c r="BI60" s="198"/>
      <c r="BJ60" s="198"/>
      <c r="BK60" s="198"/>
      <c r="BL60" s="198"/>
      <c r="BM60" s="198"/>
      <c r="BN60" s="198"/>
      <c r="BO60" s="198"/>
      <c r="BP60" s="198"/>
      <c r="BQ60" s="198"/>
      <c r="BR60" s="198"/>
      <c r="BS60" s="198"/>
      <c r="BT60" s="198"/>
      <c r="BU60" s="198"/>
      <c r="BV60" s="198"/>
      <c r="BW60" s="198"/>
      <c r="BX60" s="198"/>
      <c r="BY60" s="198"/>
      <c r="BZ60" s="198"/>
      <c r="CA60" s="198"/>
      <c r="CB60" s="198"/>
      <c r="CC60" s="198"/>
      <c r="CD60" s="198"/>
      <c r="CE60" s="198"/>
      <c r="CF60" s="198"/>
      <c r="CG60" s="198"/>
      <c r="CH60" s="198"/>
      <c r="CI60" s="198"/>
      <c r="CJ60" s="198"/>
      <c r="CK60" s="198"/>
      <c r="CL60" s="198"/>
      <c r="CM60" s="198"/>
      <c r="CN60" s="198"/>
      <c r="CO60" s="198"/>
      <c r="CP60" s="198"/>
      <c r="CQ60" s="198"/>
      <c r="CR60" s="198"/>
      <c r="CS60" s="198"/>
      <c r="CT60" s="198"/>
      <c r="CU60" s="198"/>
      <c r="CV60" s="198"/>
      <c r="CW60" s="198"/>
      <c r="CX60" s="198"/>
      <c r="CY60" s="198"/>
      <c r="CZ60" s="198"/>
      <c r="DA60" s="198"/>
      <c r="DB60" s="198"/>
      <c r="DC60" s="198"/>
      <c r="DD60" s="198"/>
      <c r="DE60" s="198"/>
      <c r="DF60" s="198"/>
      <c r="DG60" s="198"/>
      <c r="DH60" s="198"/>
      <c r="DI60" s="198"/>
      <c r="DJ60" s="198"/>
      <c r="DK60" s="198"/>
      <c r="DL60" s="198"/>
      <c r="DM60" s="198"/>
      <c r="DN60" s="198"/>
      <c r="DO60" s="198"/>
      <c r="DP60" s="198"/>
      <c r="DQ60" s="198"/>
      <c r="DR60" s="198"/>
      <c r="DS60" s="198"/>
      <c r="DT60" s="198"/>
      <c r="DU60" s="198"/>
      <c r="DV60" s="198"/>
      <c r="DW60" s="198"/>
      <c r="DX60" s="198"/>
      <c r="DY60" s="198"/>
      <c r="DZ60" s="198"/>
      <c r="EA60" s="198"/>
      <c r="EB60" s="198"/>
      <c r="EC60" s="198"/>
      <c r="ED60" s="198"/>
      <c r="EE60" s="198"/>
      <c r="EF60" s="198"/>
      <c r="EG60" s="198"/>
      <c r="EH60" s="198"/>
      <c r="EI60" s="198"/>
      <c r="EJ60" s="198"/>
      <c r="EK60" s="198"/>
      <c r="EL60" s="198"/>
      <c r="EM60" s="198"/>
      <c r="EN60" s="198"/>
      <c r="EO60" s="198"/>
      <c r="EP60" s="198"/>
      <c r="EQ60" s="198"/>
      <c r="ER60" s="198"/>
      <c r="ES60" s="198"/>
      <c r="ET60" s="198"/>
      <c r="EU60" s="198"/>
      <c r="EV60" s="198"/>
      <c r="EW60" s="198"/>
      <c r="EX60" s="198"/>
      <c r="EY60" s="198"/>
      <c r="EZ60" s="198"/>
      <c r="FA60" s="198"/>
      <c r="FB60" s="198"/>
      <c r="FC60" s="198"/>
      <c r="FD60" s="198"/>
      <c r="FE60" s="198"/>
      <c r="FF60" s="198"/>
      <c r="FG60" s="198"/>
      <c r="FH60" s="198"/>
      <c r="FI60" s="198"/>
      <c r="FJ60" s="198"/>
      <c r="FK60" s="198"/>
      <c r="FL60" s="198"/>
      <c r="FM60" s="198"/>
      <c r="FN60" s="198"/>
      <c r="FO60" s="198"/>
      <c r="FP60" s="198"/>
      <c r="FQ60" s="198"/>
      <c r="FR60" s="198"/>
      <c r="FS60" s="198"/>
      <c r="FT60" s="198"/>
      <c r="FU60" s="198"/>
      <c r="FV60" s="198"/>
      <c r="FW60" s="198"/>
      <c r="FX60" s="198"/>
      <c r="FY60" s="198"/>
      <c r="FZ60" s="198"/>
      <c r="GA60" s="198"/>
      <c r="GB60" s="198"/>
      <c r="GC60" s="198"/>
      <c r="GD60" s="198"/>
      <c r="GE60" s="198"/>
      <c r="GF60" s="198"/>
      <c r="GG60" s="198"/>
      <c r="GH60" s="198"/>
      <c r="GI60" s="198"/>
      <c r="GJ60" s="198"/>
      <c r="GK60" s="198"/>
      <c r="GL60" s="198"/>
      <c r="GM60" s="198"/>
      <c r="GN60" s="198"/>
      <c r="GO60" s="198"/>
      <c r="GP60" s="198"/>
      <c r="GQ60" s="198"/>
      <c r="GR60" s="198"/>
      <c r="GS60" s="198"/>
      <c r="GT60" s="198"/>
      <c r="GU60" s="198"/>
      <c r="GV60" s="198"/>
      <c r="GW60" s="198"/>
      <c r="GX60" s="198"/>
      <c r="GY60" s="198"/>
      <c r="GZ60" s="198"/>
      <c r="HA60" s="198"/>
      <c r="HB60" s="198"/>
      <c r="HC60" s="198"/>
      <c r="HD60" s="198"/>
      <c r="HE60" s="198"/>
      <c r="HF60" s="198"/>
      <c r="HG60" s="198"/>
      <c r="HH60" s="198"/>
      <c r="HI60" s="198"/>
      <c r="HJ60" s="198"/>
      <c r="HK60" s="198"/>
      <c r="HL60" s="198"/>
      <c r="HM60" s="198"/>
      <c r="HN60" s="198"/>
      <c r="HO60" s="198"/>
      <c r="HP60" s="198"/>
      <c r="HQ60" s="198"/>
      <c r="HR60" s="198"/>
      <c r="HS60" s="198"/>
      <c r="HT60" s="198"/>
      <c r="HU60" s="198"/>
      <c r="HV60" s="198"/>
      <c r="HW60" s="198"/>
      <c r="HX60" s="198"/>
      <c r="HY60" s="198"/>
      <c r="HZ60" s="198"/>
      <c r="IA60" s="198"/>
      <c r="IB60" s="198"/>
      <c r="IC60" s="198"/>
      <c r="ID60" s="198"/>
      <c r="IE60" s="198"/>
      <c r="IF60" s="198"/>
      <c r="IG60" s="198"/>
      <c r="IH60" s="198"/>
      <c r="II60" s="198"/>
      <c r="IJ60" s="198"/>
      <c r="IK60" s="198"/>
      <c r="IL60" s="198"/>
      <c r="IM60" s="198"/>
      <c r="IN60" s="198"/>
      <c r="IO60" s="198"/>
      <c r="IP60" s="198"/>
      <c r="IQ60" s="198"/>
      <c r="IR60" s="198"/>
      <c r="IS60" s="198"/>
      <c r="IT60" s="198"/>
      <c r="IU60" s="198"/>
      <c r="IV60" s="198"/>
      <c r="IW60" s="198"/>
      <c r="IX60" s="198"/>
      <c r="IY60" s="198"/>
      <c r="IZ60" s="198"/>
      <c r="JA60" s="198"/>
      <c r="JB60" s="198"/>
      <c r="JC60" s="198"/>
      <c r="JD60" s="198"/>
      <c r="JE60" s="198"/>
      <c r="JF60" s="198"/>
      <c r="JG60" s="198"/>
      <c r="JH60" s="198"/>
      <c r="JI60" s="198"/>
      <c r="JJ60" s="198"/>
      <c r="JK60" s="198"/>
      <c r="JL60" s="198"/>
      <c r="JM60" s="198"/>
      <c r="JN60" s="198"/>
      <c r="JO60" s="198"/>
      <c r="JP60" s="198"/>
      <c r="JQ60" s="198"/>
      <c r="JR60" s="198"/>
      <c r="JS60" s="198"/>
      <c r="JT60" s="198"/>
      <c r="JU60" s="198"/>
      <c r="JV60" s="198"/>
      <c r="JW60" s="198"/>
      <c r="JX60" s="198"/>
      <c r="JY60" s="198"/>
      <c r="JZ60" s="198"/>
      <c r="KA60" s="198"/>
      <c r="KB60" s="198"/>
      <c r="KC60" s="198"/>
      <c r="KD60" s="198"/>
      <c r="KE60" s="198"/>
      <c r="KF60" s="198"/>
      <c r="KG60" s="198"/>
      <c r="KH60" s="198"/>
      <c r="KI60" s="198"/>
      <c r="KJ60" s="198"/>
      <c r="KK60" s="198"/>
      <c r="KL60" s="198"/>
      <c r="KM60" s="198"/>
      <c r="KN60" s="198"/>
      <c r="KO60" s="198"/>
      <c r="KP60" s="198"/>
      <c r="KQ60" s="198"/>
      <c r="KR60" s="198"/>
      <c r="KS60" s="198"/>
      <c r="KT60" s="198"/>
      <c r="KU60" s="198"/>
      <c r="KV60" s="198"/>
      <c r="KW60" s="198"/>
      <c r="KX60" s="198"/>
      <c r="KY60" s="198"/>
      <c r="KZ60" s="198"/>
      <c r="LA60" s="198"/>
      <c r="LB60" s="198"/>
      <c r="LC60" s="198"/>
      <c r="LD60" s="198"/>
      <c r="LE60" s="198"/>
      <c r="LF60" s="198"/>
      <c r="LG60" s="198"/>
      <c r="LH60" s="198"/>
      <c r="LI60" s="198"/>
      <c r="LJ60" s="198"/>
      <c r="LK60" s="198"/>
      <c r="LL60" s="198"/>
      <c r="LM60" s="198"/>
      <c r="LN60" s="198"/>
      <c r="LO60" s="198"/>
      <c r="LP60" s="198"/>
      <c r="LQ60" s="198"/>
      <c r="LR60" s="198"/>
      <c r="LS60" s="198"/>
      <c r="LT60" s="198"/>
      <c r="LU60" s="198"/>
      <c r="LV60" s="198"/>
      <c r="LW60" s="198"/>
      <c r="LX60" s="198"/>
      <c r="LY60" s="198"/>
      <c r="LZ60" s="198"/>
      <c r="MA60" s="198"/>
      <c r="MB60" s="198"/>
      <c r="MC60" s="198"/>
      <c r="MD60" s="198"/>
      <c r="ME60" s="198"/>
      <c r="MF60" s="198"/>
      <c r="MG60" s="198"/>
      <c r="MH60" s="198"/>
      <c r="MI60" s="198"/>
      <c r="MJ60" s="198"/>
      <c r="MK60" s="198"/>
      <c r="ML60" s="198"/>
      <c r="MM60" s="198"/>
      <c r="MN60" s="198"/>
      <c r="MO60" s="198"/>
      <c r="MP60" s="198"/>
      <c r="MQ60" s="198"/>
      <c r="MR60" s="198"/>
      <c r="MS60" s="198"/>
      <c r="MT60" s="198"/>
      <c r="MU60" s="198"/>
      <c r="MV60" s="198"/>
      <c r="MW60" s="198"/>
      <c r="MX60" s="198"/>
      <c r="MY60" s="198"/>
      <c r="MZ60" s="198"/>
      <c r="NA60" s="198"/>
      <c r="NB60" s="198"/>
      <c r="NC60" s="198"/>
      <c r="ND60" s="198"/>
      <c r="NE60" s="198"/>
      <c r="NF60" s="198"/>
      <c r="NG60" s="198"/>
      <c r="NH60" s="198"/>
      <c r="NI60" s="198"/>
      <c r="NJ60" s="198"/>
      <c r="NK60" s="198"/>
      <c r="NL60" s="198"/>
      <c r="NM60" s="198"/>
      <c r="NN60" s="198"/>
      <c r="NO60" s="198"/>
      <c r="NP60" s="198"/>
      <c r="NQ60" s="198"/>
      <c r="NR60" s="198"/>
      <c r="NS60" s="198"/>
      <c r="NT60" s="198"/>
      <c r="NU60" s="198"/>
      <c r="NV60" s="198"/>
      <c r="NW60" s="198"/>
      <c r="NX60" s="198"/>
      <c r="NY60" s="198"/>
      <c r="NZ60" s="198"/>
      <c r="OA60" s="198"/>
      <c r="OB60" s="198"/>
      <c r="OC60" s="198"/>
      <c r="OD60" s="198"/>
      <c r="OE60" s="198"/>
      <c r="OF60" s="198"/>
      <c r="OG60" s="198"/>
      <c r="OH60" s="198"/>
      <c r="OI60" s="198"/>
      <c r="OJ60" s="198"/>
      <c r="OK60" s="198"/>
      <c r="OL60" s="198"/>
      <c r="OM60" s="198"/>
      <c r="ON60" s="198"/>
      <c r="OO60" s="198"/>
      <c r="OP60" s="198"/>
      <c r="OQ60" s="198"/>
      <c r="OR60" s="198"/>
      <c r="OS60" s="198"/>
      <c r="OT60" s="198"/>
      <c r="OU60" s="198"/>
      <c r="OV60" s="198"/>
      <c r="OW60" s="198"/>
      <c r="OX60" s="198"/>
      <c r="OY60" s="198"/>
      <c r="OZ60" s="198"/>
      <c r="PA60" s="198"/>
      <c r="PB60" s="198"/>
      <c r="PC60" s="198"/>
      <c r="PD60" s="198"/>
      <c r="PE60" s="198"/>
      <c r="PF60" s="198"/>
      <c r="PG60" s="198"/>
      <c r="PH60" s="198"/>
      <c r="PI60" s="198"/>
      <c r="PJ60" s="198"/>
      <c r="PK60" s="198"/>
      <c r="PL60" s="198"/>
      <c r="PM60" s="198"/>
      <c r="PN60" s="198"/>
      <c r="PO60" s="198"/>
      <c r="PP60" s="198"/>
      <c r="PQ60" s="198"/>
      <c r="PR60" s="198"/>
      <c r="PS60" s="198"/>
      <c r="PT60" s="198"/>
      <c r="PU60" s="198"/>
      <c r="PV60" s="198"/>
      <c r="PW60" s="198"/>
      <c r="PX60" s="198"/>
      <c r="PY60" s="198"/>
      <c r="PZ60" s="198"/>
      <c r="QA60" s="198"/>
      <c r="QB60" s="198"/>
      <c r="QC60" s="198"/>
      <c r="QD60" s="198"/>
      <c r="QE60" s="198"/>
      <c r="QF60" s="198"/>
      <c r="QG60" s="198"/>
      <c r="QH60" s="198"/>
      <c r="QI60" s="198"/>
      <c r="QJ60" s="198"/>
      <c r="QK60" s="198"/>
      <c r="QL60" s="198"/>
      <c r="QM60" s="198"/>
      <c r="QN60" s="198"/>
      <c r="QO60" s="198"/>
      <c r="QP60" s="198"/>
      <c r="QQ60" s="198"/>
      <c r="QR60" s="198"/>
      <c r="QS60" s="198"/>
      <c r="QT60" s="198"/>
      <c r="QU60" s="198"/>
      <c r="QV60" s="198"/>
      <c r="QW60" s="198"/>
      <c r="QX60" s="198"/>
      <c r="QY60" s="198"/>
      <c r="QZ60" s="198"/>
      <c r="RA60" s="198"/>
      <c r="RB60" s="198"/>
      <c r="RC60" s="198"/>
      <c r="RD60" s="198"/>
      <c r="RE60" s="198"/>
      <c r="RF60" s="198"/>
      <c r="RG60" s="198"/>
      <c r="RH60" s="198"/>
      <c r="RI60" s="198"/>
      <c r="RJ60" s="198"/>
      <c r="RK60" s="198"/>
      <c r="RL60" s="198"/>
      <c r="RM60" s="198"/>
      <c r="RN60" s="198"/>
      <c r="RO60" s="198"/>
      <c r="RP60" s="198"/>
      <c r="RQ60" s="198"/>
      <c r="RR60" s="198"/>
      <c r="RS60" s="198"/>
      <c r="RT60" s="198"/>
      <c r="RU60" s="198"/>
      <c r="RV60" s="198"/>
      <c r="RW60" s="198"/>
      <c r="RX60" s="198"/>
      <c r="RY60" s="198"/>
      <c r="RZ60" s="198"/>
      <c r="SA60" s="198"/>
      <c r="SB60" s="198"/>
      <c r="SC60" s="198"/>
      <c r="SD60" s="198"/>
      <c r="SE60" s="198"/>
      <c r="SF60" s="198"/>
      <c r="SG60" s="198"/>
    </row>
    <row r="61" spans="1:501" ht="40.049999999999997" customHeight="1" x14ac:dyDescent="0.3">
      <c r="A61" s="542" t="s">
        <v>193</v>
      </c>
      <c r="B61" s="953" t="s">
        <v>194</v>
      </c>
      <c r="C61" s="944"/>
      <c r="D61" s="944"/>
      <c r="E61" s="944"/>
      <c r="F61" s="944"/>
      <c r="G61" s="944"/>
      <c r="H61" s="944"/>
      <c r="I61" s="944"/>
      <c r="J61" s="944"/>
      <c r="K61" s="944"/>
      <c r="L61" s="944"/>
      <c r="M61" s="944"/>
      <c r="N61" s="944"/>
      <c r="O61" s="944"/>
      <c r="P61" s="944"/>
      <c r="Q61" s="944"/>
      <c r="R61" s="944"/>
      <c r="S61" s="944"/>
      <c r="T61" s="944"/>
      <c r="U61" s="944"/>
      <c r="V61" s="944"/>
      <c r="W61" s="944"/>
      <c r="X61" s="944"/>
      <c r="Y61" s="944"/>
      <c r="Z61" s="944"/>
      <c r="AA61" s="944"/>
      <c r="AB61" s="944"/>
      <c r="AC61" s="944"/>
      <c r="AD61" s="944"/>
      <c r="AE61" s="944"/>
      <c r="AF61" s="944"/>
      <c r="AG61" s="944"/>
      <c r="AH61" s="945"/>
      <c r="AJ61" s="198"/>
      <c r="AK61" s="198"/>
      <c r="AL61" s="198"/>
      <c r="AM61" s="198"/>
      <c r="AN61" s="198"/>
      <c r="AO61" s="198"/>
      <c r="AP61" s="198"/>
      <c r="AQ61" s="198"/>
      <c r="AR61" s="198"/>
      <c r="AS61" s="198"/>
      <c r="AT61" s="198"/>
      <c r="AU61" s="198"/>
      <c r="AV61" s="198"/>
      <c r="AW61" s="198"/>
      <c r="AX61" s="198"/>
      <c r="AY61" s="198"/>
      <c r="AZ61" s="198"/>
      <c r="BA61" s="198"/>
      <c r="BB61" s="198"/>
      <c r="BC61" s="198"/>
      <c r="BD61" s="198"/>
      <c r="BE61" s="198"/>
      <c r="BF61" s="198"/>
      <c r="BG61" s="198"/>
      <c r="BH61" s="198"/>
      <c r="BI61" s="198"/>
      <c r="BJ61" s="198"/>
      <c r="BK61" s="198"/>
      <c r="BL61" s="198"/>
      <c r="BM61" s="198"/>
      <c r="BN61" s="198"/>
      <c r="BO61" s="198"/>
      <c r="BP61" s="198"/>
      <c r="BQ61" s="198"/>
      <c r="BR61" s="198"/>
      <c r="BS61" s="198"/>
      <c r="BT61" s="198"/>
      <c r="BU61" s="198"/>
      <c r="BV61" s="198"/>
      <c r="BW61" s="198"/>
      <c r="BX61" s="198"/>
      <c r="BY61" s="198"/>
      <c r="BZ61" s="198"/>
      <c r="CA61" s="198"/>
      <c r="CB61" s="198"/>
      <c r="CC61" s="198"/>
      <c r="CD61" s="198"/>
      <c r="CE61" s="198"/>
      <c r="CF61" s="198"/>
      <c r="CG61" s="198"/>
      <c r="CH61" s="198"/>
      <c r="CI61" s="198"/>
      <c r="CJ61" s="198"/>
      <c r="CK61" s="198"/>
      <c r="CL61" s="198"/>
      <c r="CM61" s="198"/>
      <c r="CN61" s="198"/>
      <c r="CO61" s="198"/>
      <c r="CP61" s="198"/>
      <c r="CQ61" s="198"/>
      <c r="CR61" s="198"/>
      <c r="CS61" s="198"/>
      <c r="CT61" s="198"/>
      <c r="CU61" s="198"/>
      <c r="CV61" s="198"/>
      <c r="CW61" s="198"/>
      <c r="CX61" s="198"/>
      <c r="CY61" s="198"/>
      <c r="CZ61" s="198"/>
      <c r="DA61" s="198"/>
      <c r="DB61" s="198"/>
      <c r="DC61" s="198"/>
      <c r="DD61" s="198"/>
      <c r="DE61" s="198"/>
      <c r="DF61" s="198"/>
      <c r="DG61" s="198"/>
      <c r="DH61" s="198"/>
      <c r="DI61" s="198"/>
      <c r="DJ61" s="198"/>
      <c r="DK61" s="198"/>
      <c r="DL61" s="198"/>
      <c r="DM61" s="198"/>
      <c r="DN61" s="198"/>
      <c r="DO61" s="198"/>
      <c r="DP61" s="198"/>
      <c r="DQ61" s="198"/>
      <c r="DR61" s="198"/>
      <c r="DS61" s="198"/>
      <c r="DT61" s="198"/>
      <c r="DU61" s="198"/>
      <c r="DV61" s="198"/>
      <c r="DW61" s="198"/>
      <c r="DX61" s="198"/>
      <c r="DY61" s="198"/>
      <c r="DZ61" s="198"/>
      <c r="EA61" s="198"/>
      <c r="EB61" s="198"/>
      <c r="EC61" s="198"/>
      <c r="ED61" s="198"/>
      <c r="EE61" s="198"/>
      <c r="EF61" s="198"/>
      <c r="EG61" s="198"/>
      <c r="EH61" s="198"/>
      <c r="EI61" s="198"/>
      <c r="EJ61" s="198"/>
      <c r="EK61" s="198"/>
      <c r="EL61" s="198"/>
      <c r="EM61" s="198"/>
      <c r="EN61" s="198"/>
      <c r="EO61" s="198"/>
      <c r="EP61" s="198"/>
      <c r="EQ61" s="198"/>
      <c r="ER61" s="198"/>
      <c r="ES61" s="198"/>
      <c r="ET61" s="198"/>
      <c r="EU61" s="198"/>
      <c r="EV61" s="198"/>
      <c r="EW61" s="198"/>
      <c r="EX61" s="198"/>
      <c r="EY61" s="198"/>
      <c r="EZ61" s="198"/>
      <c r="FA61" s="198"/>
      <c r="FB61" s="198"/>
      <c r="FC61" s="198"/>
      <c r="FD61" s="198"/>
      <c r="FE61" s="198"/>
      <c r="FF61" s="198"/>
      <c r="FG61" s="198"/>
      <c r="FH61" s="198"/>
      <c r="FI61" s="198"/>
      <c r="FJ61" s="198"/>
      <c r="FK61" s="198"/>
      <c r="FL61" s="198"/>
      <c r="FM61" s="198"/>
      <c r="FN61" s="198"/>
      <c r="FO61" s="198"/>
      <c r="FP61" s="198"/>
      <c r="FQ61" s="198"/>
      <c r="FR61" s="198"/>
      <c r="FS61" s="198"/>
      <c r="FT61" s="198"/>
      <c r="FU61" s="198"/>
      <c r="FV61" s="198"/>
      <c r="FW61" s="198"/>
      <c r="FX61" s="198"/>
      <c r="FY61" s="198"/>
      <c r="FZ61" s="198"/>
      <c r="GA61" s="198"/>
      <c r="GB61" s="198"/>
      <c r="GC61" s="198"/>
      <c r="GD61" s="198"/>
      <c r="GE61" s="198"/>
      <c r="GF61" s="198"/>
      <c r="GG61" s="198"/>
      <c r="GH61" s="198"/>
      <c r="GI61" s="198"/>
      <c r="GJ61" s="198"/>
      <c r="GK61" s="198"/>
      <c r="GL61" s="198"/>
      <c r="GM61" s="198"/>
      <c r="GN61" s="198"/>
      <c r="GO61" s="198"/>
      <c r="GP61" s="198"/>
      <c r="GQ61" s="198"/>
      <c r="GR61" s="198"/>
      <c r="GS61" s="198"/>
      <c r="GT61" s="198"/>
      <c r="GU61" s="198"/>
      <c r="GV61" s="198"/>
      <c r="GW61" s="198"/>
      <c r="GX61" s="198"/>
      <c r="GY61" s="198"/>
      <c r="GZ61" s="198"/>
      <c r="HA61" s="198"/>
      <c r="HB61" s="198"/>
      <c r="HC61" s="198"/>
      <c r="HD61" s="198"/>
      <c r="HE61" s="198"/>
      <c r="HF61" s="198"/>
      <c r="HG61" s="198"/>
      <c r="HH61" s="198"/>
      <c r="HI61" s="198"/>
      <c r="HJ61" s="198"/>
      <c r="HK61" s="198"/>
      <c r="HL61" s="198"/>
      <c r="HM61" s="198"/>
      <c r="HN61" s="198"/>
      <c r="HO61" s="198"/>
      <c r="HP61" s="198"/>
      <c r="HQ61" s="198"/>
      <c r="HR61" s="198"/>
      <c r="HS61" s="198"/>
      <c r="HT61" s="198"/>
      <c r="HU61" s="198"/>
      <c r="HV61" s="198"/>
      <c r="HW61" s="198"/>
      <c r="HX61" s="198"/>
      <c r="HY61" s="198"/>
      <c r="HZ61" s="198"/>
      <c r="IA61" s="198"/>
      <c r="IB61" s="198"/>
      <c r="IC61" s="198"/>
      <c r="ID61" s="198"/>
      <c r="IE61" s="198"/>
      <c r="IF61" s="198"/>
      <c r="IG61" s="198"/>
      <c r="IH61" s="198"/>
      <c r="II61" s="198"/>
      <c r="IJ61" s="198"/>
      <c r="IK61" s="198"/>
      <c r="IL61" s="198"/>
      <c r="IM61" s="198"/>
      <c r="IN61" s="198"/>
      <c r="IO61" s="198"/>
      <c r="IP61" s="198"/>
      <c r="IQ61" s="198"/>
      <c r="IR61" s="198"/>
      <c r="IS61" s="198"/>
      <c r="IT61" s="198"/>
      <c r="IU61" s="198"/>
      <c r="IV61" s="198"/>
      <c r="IW61" s="198"/>
      <c r="IX61" s="198"/>
      <c r="IY61" s="198"/>
      <c r="IZ61" s="198"/>
      <c r="JA61" s="198"/>
      <c r="JB61" s="198"/>
      <c r="JC61" s="198"/>
      <c r="JD61" s="198"/>
      <c r="JE61" s="198"/>
      <c r="JF61" s="198"/>
      <c r="JG61" s="198"/>
      <c r="JH61" s="198"/>
      <c r="JI61" s="198"/>
      <c r="JJ61" s="198"/>
      <c r="JK61" s="198"/>
      <c r="JL61" s="198"/>
      <c r="JM61" s="198"/>
      <c r="JN61" s="198"/>
      <c r="JO61" s="198"/>
      <c r="JP61" s="198"/>
      <c r="JQ61" s="198"/>
      <c r="JR61" s="198"/>
      <c r="JS61" s="198"/>
      <c r="JT61" s="198"/>
      <c r="JU61" s="198"/>
      <c r="JV61" s="198"/>
      <c r="JW61" s="198"/>
      <c r="JX61" s="198"/>
      <c r="JY61" s="198"/>
      <c r="JZ61" s="198"/>
      <c r="KA61" s="198"/>
      <c r="KB61" s="198"/>
      <c r="KC61" s="198"/>
      <c r="KD61" s="198"/>
      <c r="KE61" s="198"/>
      <c r="KF61" s="198"/>
      <c r="KG61" s="198"/>
      <c r="KH61" s="198"/>
      <c r="KI61" s="198"/>
      <c r="KJ61" s="198"/>
      <c r="KK61" s="198"/>
      <c r="KL61" s="198"/>
      <c r="KM61" s="198"/>
      <c r="KN61" s="198"/>
      <c r="KO61" s="198"/>
      <c r="KP61" s="198"/>
      <c r="KQ61" s="198"/>
      <c r="KR61" s="198"/>
      <c r="KS61" s="198"/>
      <c r="KT61" s="198"/>
      <c r="KU61" s="198"/>
      <c r="KV61" s="198"/>
      <c r="KW61" s="198"/>
      <c r="KX61" s="198"/>
      <c r="KY61" s="198"/>
      <c r="KZ61" s="198"/>
      <c r="LA61" s="198"/>
      <c r="LB61" s="198"/>
      <c r="LC61" s="198"/>
      <c r="LD61" s="198"/>
      <c r="LE61" s="198"/>
      <c r="LF61" s="198"/>
      <c r="LG61" s="198"/>
      <c r="LH61" s="198"/>
      <c r="LI61" s="198"/>
      <c r="LJ61" s="198"/>
      <c r="LK61" s="198"/>
      <c r="LL61" s="198"/>
      <c r="LM61" s="198"/>
      <c r="LN61" s="198"/>
      <c r="LO61" s="198"/>
      <c r="LP61" s="198"/>
      <c r="LQ61" s="198"/>
      <c r="LR61" s="198"/>
      <c r="LS61" s="198"/>
      <c r="LT61" s="198"/>
      <c r="LU61" s="198"/>
      <c r="LV61" s="198"/>
      <c r="LW61" s="198"/>
      <c r="LX61" s="198"/>
      <c r="LY61" s="198"/>
      <c r="LZ61" s="198"/>
      <c r="MA61" s="198"/>
      <c r="MB61" s="198"/>
      <c r="MC61" s="198"/>
      <c r="MD61" s="198"/>
      <c r="ME61" s="198"/>
      <c r="MF61" s="198"/>
      <c r="MG61" s="198"/>
      <c r="MH61" s="198"/>
      <c r="MI61" s="198"/>
      <c r="MJ61" s="198"/>
      <c r="MK61" s="198"/>
      <c r="ML61" s="198"/>
      <c r="MM61" s="198"/>
      <c r="MN61" s="198"/>
      <c r="MO61" s="198"/>
      <c r="MP61" s="198"/>
      <c r="MQ61" s="198"/>
      <c r="MR61" s="198"/>
      <c r="MS61" s="198"/>
      <c r="MT61" s="198"/>
      <c r="MU61" s="198"/>
      <c r="MV61" s="198"/>
      <c r="MW61" s="198"/>
      <c r="MX61" s="198"/>
      <c r="MY61" s="198"/>
      <c r="MZ61" s="198"/>
      <c r="NA61" s="198"/>
      <c r="NB61" s="198"/>
      <c r="NC61" s="198"/>
      <c r="ND61" s="198"/>
      <c r="NE61" s="198"/>
      <c r="NF61" s="198"/>
      <c r="NG61" s="198"/>
      <c r="NH61" s="198"/>
      <c r="NI61" s="198"/>
      <c r="NJ61" s="198"/>
      <c r="NK61" s="198"/>
      <c r="NL61" s="198"/>
      <c r="NM61" s="198"/>
      <c r="NN61" s="198"/>
      <c r="NO61" s="198"/>
      <c r="NP61" s="198"/>
      <c r="NQ61" s="198"/>
      <c r="NR61" s="198"/>
      <c r="NS61" s="198"/>
      <c r="NT61" s="198"/>
      <c r="NU61" s="198"/>
      <c r="NV61" s="198"/>
      <c r="NW61" s="198"/>
      <c r="NX61" s="198"/>
      <c r="NY61" s="198"/>
      <c r="NZ61" s="198"/>
      <c r="OA61" s="198"/>
      <c r="OB61" s="198"/>
      <c r="OC61" s="198"/>
      <c r="OD61" s="198"/>
      <c r="OE61" s="198"/>
      <c r="OF61" s="198"/>
      <c r="OG61" s="198"/>
      <c r="OH61" s="198"/>
      <c r="OI61" s="198"/>
      <c r="OJ61" s="198"/>
      <c r="OK61" s="198"/>
      <c r="OL61" s="198"/>
      <c r="OM61" s="198"/>
      <c r="ON61" s="198"/>
      <c r="OO61" s="198"/>
      <c r="OP61" s="198"/>
      <c r="OQ61" s="198"/>
      <c r="OR61" s="198"/>
      <c r="OS61" s="198"/>
      <c r="OT61" s="198"/>
      <c r="OU61" s="198"/>
      <c r="OV61" s="198"/>
      <c r="OW61" s="198"/>
      <c r="OX61" s="198"/>
      <c r="OY61" s="198"/>
      <c r="OZ61" s="198"/>
      <c r="PA61" s="198"/>
      <c r="PB61" s="198"/>
      <c r="PC61" s="198"/>
      <c r="PD61" s="198"/>
      <c r="PE61" s="198"/>
      <c r="PF61" s="198"/>
      <c r="PG61" s="198"/>
      <c r="PH61" s="198"/>
      <c r="PI61" s="198"/>
      <c r="PJ61" s="198"/>
      <c r="PK61" s="198"/>
      <c r="PL61" s="198"/>
      <c r="PM61" s="198"/>
      <c r="PN61" s="198"/>
      <c r="PO61" s="198"/>
      <c r="PP61" s="198"/>
      <c r="PQ61" s="198"/>
      <c r="PR61" s="198"/>
      <c r="PS61" s="198"/>
      <c r="PT61" s="198"/>
      <c r="PU61" s="198"/>
      <c r="PV61" s="198"/>
      <c r="PW61" s="198"/>
      <c r="PX61" s="198"/>
      <c r="PY61" s="198"/>
      <c r="PZ61" s="198"/>
      <c r="QA61" s="198"/>
      <c r="QB61" s="198"/>
      <c r="QC61" s="198"/>
      <c r="QD61" s="198"/>
      <c r="QE61" s="198"/>
      <c r="QF61" s="198"/>
      <c r="QG61" s="198"/>
      <c r="QH61" s="198"/>
      <c r="QI61" s="198"/>
      <c r="QJ61" s="198"/>
      <c r="QK61" s="198"/>
      <c r="QL61" s="198"/>
      <c r="QM61" s="198"/>
      <c r="QN61" s="198"/>
      <c r="QO61" s="198"/>
      <c r="QP61" s="198"/>
      <c r="QQ61" s="198"/>
      <c r="QR61" s="198"/>
      <c r="QS61" s="198"/>
      <c r="QT61" s="198"/>
      <c r="QU61" s="198"/>
      <c r="QV61" s="198"/>
      <c r="QW61" s="198"/>
      <c r="QX61" s="198"/>
      <c r="QY61" s="198"/>
      <c r="QZ61" s="198"/>
      <c r="RA61" s="198"/>
      <c r="RB61" s="198"/>
      <c r="RC61" s="198"/>
      <c r="RD61" s="198"/>
      <c r="RE61" s="198"/>
      <c r="RF61" s="198"/>
      <c r="RG61" s="198"/>
      <c r="RH61" s="198"/>
      <c r="RI61" s="198"/>
      <c r="RJ61" s="198"/>
      <c r="RK61" s="198"/>
      <c r="RL61" s="198"/>
      <c r="RM61" s="198"/>
      <c r="RN61" s="198"/>
      <c r="RO61" s="198"/>
      <c r="RP61" s="198"/>
      <c r="RQ61" s="198"/>
      <c r="RR61" s="198"/>
      <c r="RS61" s="198"/>
      <c r="RT61" s="198"/>
      <c r="RU61" s="198"/>
      <c r="RV61" s="198"/>
      <c r="RW61" s="198"/>
      <c r="RX61" s="198"/>
      <c r="RY61" s="198"/>
      <c r="RZ61" s="198"/>
      <c r="SA61" s="198"/>
      <c r="SB61" s="198"/>
      <c r="SC61" s="198"/>
      <c r="SD61" s="198"/>
      <c r="SE61" s="198"/>
      <c r="SF61" s="198"/>
      <c r="SG61" s="198"/>
    </row>
    <row r="62" spans="1:501" ht="40.049999999999997" customHeight="1" x14ac:dyDescent="0.3">
      <c r="A62" s="543" t="s">
        <v>195</v>
      </c>
      <c r="B62" s="956" t="s">
        <v>196</v>
      </c>
      <c r="C62" s="950"/>
      <c r="D62" s="861"/>
      <c r="E62" s="862"/>
      <c r="F62" s="861"/>
      <c r="G62" s="862"/>
      <c r="H62" s="861"/>
      <c r="I62" s="862"/>
      <c r="J62" s="861"/>
      <c r="K62" s="862"/>
      <c r="L62" s="861"/>
      <c r="M62" s="862"/>
      <c r="N62" s="861"/>
      <c r="O62" s="862"/>
      <c r="P62" s="861"/>
      <c r="Q62" s="862"/>
      <c r="R62" s="861"/>
      <c r="S62" s="862"/>
      <c r="T62" s="861"/>
      <c r="U62" s="862"/>
      <c r="V62" s="861"/>
      <c r="W62" s="862"/>
      <c r="X62" s="861"/>
      <c r="Y62" s="862"/>
      <c r="Z62" s="861"/>
      <c r="AA62" s="862"/>
      <c r="AB62" s="864"/>
      <c r="AC62" s="864"/>
      <c r="AD62" s="864"/>
      <c r="AE62" s="864"/>
      <c r="AF62" s="861"/>
      <c r="AG62" s="865"/>
      <c r="AH62" s="866"/>
      <c r="AI62" s="199"/>
      <c r="AJ62" s="198"/>
      <c r="AK62" s="198"/>
      <c r="AL62" s="198"/>
      <c r="AM62" s="198"/>
      <c r="AN62" s="198"/>
      <c r="AO62" s="198"/>
      <c r="AP62" s="198"/>
      <c r="AQ62" s="198"/>
      <c r="AR62" s="198"/>
      <c r="AS62" s="198"/>
      <c r="AT62" s="198"/>
      <c r="AU62" s="198"/>
      <c r="AV62" s="198"/>
      <c r="AW62" s="198"/>
      <c r="AX62" s="198"/>
      <c r="AY62" s="198"/>
      <c r="AZ62" s="198"/>
      <c r="BA62" s="198"/>
      <c r="BB62" s="198"/>
      <c r="BC62" s="198"/>
      <c r="BD62" s="198"/>
      <c r="BE62" s="198"/>
      <c r="BF62" s="198"/>
      <c r="BG62" s="198"/>
      <c r="BH62" s="198"/>
      <c r="BI62" s="198"/>
      <c r="BJ62" s="198"/>
      <c r="BK62" s="198"/>
      <c r="BL62" s="198"/>
      <c r="BM62" s="198"/>
      <c r="BN62" s="198"/>
      <c r="BO62" s="198"/>
      <c r="BP62" s="198"/>
      <c r="BQ62" s="198"/>
      <c r="BR62" s="198"/>
      <c r="BS62" s="198"/>
      <c r="BT62" s="198"/>
      <c r="BU62" s="198"/>
      <c r="BV62" s="198"/>
      <c r="BW62" s="198"/>
      <c r="BX62" s="198"/>
      <c r="BY62" s="198"/>
      <c r="BZ62" s="198"/>
      <c r="CA62" s="198"/>
      <c r="CB62" s="198"/>
      <c r="CC62" s="198"/>
      <c r="CD62" s="198"/>
      <c r="CE62" s="198"/>
      <c r="CF62" s="198"/>
      <c r="CG62" s="198"/>
      <c r="CH62" s="198"/>
      <c r="CI62" s="198"/>
      <c r="CJ62" s="198"/>
      <c r="CK62" s="198"/>
      <c r="CL62" s="198"/>
      <c r="CM62" s="198"/>
      <c r="CN62" s="198"/>
      <c r="CO62" s="198"/>
      <c r="CP62" s="198"/>
      <c r="CQ62" s="198"/>
      <c r="CR62" s="198"/>
      <c r="CS62" s="198"/>
      <c r="CT62" s="198"/>
      <c r="CU62" s="198"/>
      <c r="CV62" s="198"/>
      <c r="CW62" s="198"/>
      <c r="CX62" s="198"/>
      <c r="CY62" s="198"/>
      <c r="CZ62" s="198"/>
      <c r="DA62" s="198"/>
      <c r="DB62" s="198"/>
      <c r="DC62" s="198"/>
      <c r="DD62" s="198"/>
      <c r="DE62" s="198"/>
      <c r="DF62" s="198"/>
      <c r="DG62" s="198"/>
      <c r="DH62" s="198"/>
      <c r="DI62" s="198"/>
      <c r="DJ62" s="198"/>
      <c r="DK62" s="198"/>
      <c r="DL62" s="198"/>
      <c r="DM62" s="198"/>
      <c r="DN62" s="198"/>
      <c r="DO62" s="198"/>
      <c r="DP62" s="198"/>
      <c r="DQ62" s="198"/>
      <c r="DR62" s="198"/>
      <c r="DS62" s="198"/>
      <c r="DT62" s="198"/>
      <c r="DU62" s="198"/>
      <c r="DV62" s="198"/>
      <c r="DW62" s="198"/>
      <c r="DX62" s="198"/>
      <c r="DY62" s="198"/>
      <c r="DZ62" s="198"/>
      <c r="EA62" s="198"/>
      <c r="EB62" s="198"/>
      <c r="EC62" s="198"/>
      <c r="ED62" s="198"/>
      <c r="EE62" s="198"/>
      <c r="EF62" s="198"/>
      <c r="EG62" s="198"/>
      <c r="EH62" s="198"/>
      <c r="EI62" s="198"/>
      <c r="EJ62" s="198"/>
      <c r="EK62" s="198"/>
      <c r="EL62" s="198"/>
      <c r="EM62" s="198"/>
      <c r="EN62" s="198"/>
      <c r="EO62" s="198"/>
      <c r="EP62" s="198"/>
      <c r="EQ62" s="198"/>
      <c r="ER62" s="198"/>
      <c r="ES62" s="198"/>
      <c r="ET62" s="198"/>
      <c r="EU62" s="198"/>
      <c r="EV62" s="198"/>
      <c r="EW62" s="198"/>
      <c r="EX62" s="198"/>
      <c r="EY62" s="198"/>
      <c r="EZ62" s="198"/>
      <c r="FA62" s="198"/>
      <c r="FB62" s="198"/>
      <c r="FC62" s="198"/>
      <c r="FD62" s="198"/>
      <c r="FE62" s="198"/>
      <c r="FF62" s="198"/>
      <c r="FG62" s="198"/>
      <c r="FH62" s="198"/>
      <c r="FI62" s="198"/>
      <c r="FJ62" s="198"/>
      <c r="FK62" s="198"/>
      <c r="FL62" s="198"/>
      <c r="FM62" s="198"/>
      <c r="FN62" s="198"/>
      <c r="FO62" s="198"/>
      <c r="FP62" s="198"/>
      <c r="FQ62" s="198"/>
      <c r="FR62" s="198"/>
      <c r="FS62" s="198"/>
      <c r="FT62" s="198"/>
      <c r="FU62" s="198"/>
      <c r="FV62" s="198"/>
      <c r="FW62" s="198"/>
      <c r="FX62" s="198"/>
      <c r="FY62" s="198"/>
      <c r="FZ62" s="198"/>
      <c r="GA62" s="198"/>
      <c r="GB62" s="198"/>
      <c r="GC62" s="198"/>
      <c r="GD62" s="198"/>
      <c r="GE62" s="198"/>
      <c r="GF62" s="198"/>
      <c r="GG62" s="198"/>
      <c r="GH62" s="198"/>
      <c r="GI62" s="198"/>
      <c r="GJ62" s="198"/>
      <c r="GK62" s="198"/>
      <c r="GL62" s="198"/>
      <c r="GM62" s="198"/>
      <c r="GN62" s="198"/>
      <c r="GO62" s="198"/>
      <c r="GP62" s="198"/>
      <c r="GQ62" s="198"/>
      <c r="GR62" s="198"/>
      <c r="GS62" s="198"/>
      <c r="GT62" s="198"/>
      <c r="GU62" s="198"/>
      <c r="GV62" s="198"/>
      <c r="GW62" s="198"/>
      <c r="GX62" s="198"/>
      <c r="GY62" s="198"/>
      <c r="GZ62" s="198"/>
      <c r="HA62" s="198"/>
      <c r="HB62" s="198"/>
      <c r="HC62" s="198"/>
      <c r="HD62" s="198"/>
      <c r="HE62" s="198"/>
      <c r="HF62" s="198"/>
      <c r="HG62" s="198"/>
      <c r="HH62" s="198"/>
      <c r="HI62" s="198"/>
      <c r="HJ62" s="198"/>
      <c r="HK62" s="198"/>
      <c r="HL62" s="198"/>
      <c r="HM62" s="198"/>
      <c r="HN62" s="198"/>
      <c r="HO62" s="198"/>
      <c r="HP62" s="198"/>
      <c r="HQ62" s="198"/>
      <c r="HR62" s="198"/>
      <c r="HS62" s="198"/>
      <c r="HT62" s="198"/>
      <c r="HU62" s="198"/>
      <c r="HV62" s="198"/>
      <c r="HW62" s="198"/>
      <c r="HX62" s="198"/>
      <c r="HY62" s="198"/>
      <c r="HZ62" s="198"/>
      <c r="IA62" s="198"/>
      <c r="IB62" s="198"/>
      <c r="IC62" s="198"/>
      <c r="ID62" s="198"/>
      <c r="IE62" s="198"/>
      <c r="IF62" s="198"/>
      <c r="IG62" s="198"/>
      <c r="IH62" s="198"/>
      <c r="II62" s="198"/>
      <c r="IJ62" s="198"/>
      <c r="IK62" s="198"/>
      <c r="IL62" s="198"/>
      <c r="IM62" s="198"/>
      <c r="IN62" s="198"/>
      <c r="IO62" s="198"/>
      <c r="IP62" s="198"/>
      <c r="IQ62" s="198"/>
      <c r="IR62" s="198"/>
      <c r="IS62" s="198"/>
      <c r="IT62" s="198"/>
      <c r="IU62" s="198"/>
      <c r="IV62" s="198"/>
      <c r="IW62" s="198"/>
      <c r="IX62" s="198"/>
      <c r="IY62" s="198"/>
      <c r="IZ62" s="198"/>
      <c r="JA62" s="198"/>
      <c r="JB62" s="198"/>
      <c r="JC62" s="198"/>
      <c r="JD62" s="198"/>
      <c r="JE62" s="198"/>
      <c r="JF62" s="198"/>
      <c r="JG62" s="198"/>
      <c r="JH62" s="198"/>
      <c r="JI62" s="198"/>
      <c r="JJ62" s="198"/>
      <c r="JK62" s="198"/>
      <c r="JL62" s="198"/>
      <c r="JM62" s="198"/>
      <c r="JN62" s="198"/>
      <c r="JO62" s="198"/>
      <c r="JP62" s="198"/>
      <c r="JQ62" s="198"/>
      <c r="JR62" s="198"/>
      <c r="JS62" s="198"/>
      <c r="JT62" s="198"/>
      <c r="JU62" s="198"/>
      <c r="JV62" s="198"/>
      <c r="JW62" s="198"/>
      <c r="JX62" s="198"/>
      <c r="JY62" s="198"/>
      <c r="JZ62" s="198"/>
      <c r="KA62" s="198"/>
      <c r="KB62" s="198"/>
      <c r="KC62" s="198"/>
      <c r="KD62" s="198"/>
      <c r="KE62" s="198"/>
      <c r="KF62" s="198"/>
      <c r="KG62" s="198"/>
      <c r="KH62" s="198"/>
      <c r="KI62" s="198"/>
      <c r="KJ62" s="198"/>
      <c r="KK62" s="198"/>
      <c r="KL62" s="198"/>
      <c r="KM62" s="198"/>
      <c r="KN62" s="198"/>
      <c r="KO62" s="198"/>
      <c r="KP62" s="198"/>
      <c r="KQ62" s="198"/>
      <c r="KR62" s="198"/>
      <c r="KS62" s="198"/>
      <c r="KT62" s="198"/>
      <c r="KU62" s="198"/>
      <c r="KV62" s="198"/>
      <c r="KW62" s="198"/>
      <c r="KX62" s="198"/>
      <c r="KY62" s="198"/>
      <c r="KZ62" s="198"/>
      <c r="LA62" s="198"/>
      <c r="LB62" s="198"/>
      <c r="LC62" s="198"/>
      <c r="LD62" s="198"/>
      <c r="LE62" s="198"/>
      <c r="LF62" s="198"/>
      <c r="LG62" s="198"/>
      <c r="LH62" s="198"/>
      <c r="LI62" s="198"/>
      <c r="LJ62" s="198"/>
      <c r="LK62" s="198"/>
      <c r="LL62" s="198"/>
      <c r="LM62" s="198"/>
      <c r="LN62" s="198"/>
      <c r="LO62" s="198"/>
      <c r="LP62" s="198"/>
      <c r="LQ62" s="198"/>
      <c r="LR62" s="198"/>
      <c r="LS62" s="198"/>
      <c r="LT62" s="198"/>
      <c r="LU62" s="198"/>
      <c r="LV62" s="198"/>
      <c r="LW62" s="198"/>
      <c r="LX62" s="198"/>
      <c r="LY62" s="198"/>
      <c r="LZ62" s="198"/>
      <c r="MA62" s="198"/>
      <c r="MB62" s="198"/>
      <c r="MC62" s="198"/>
      <c r="MD62" s="198"/>
      <c r="ME62" s="198"/>
      <c r="MF62" s="198"/>
      <c r="MG62" s="198"/>
      <c r="MH62" s="198"/>
      <c r="MI62" s="198"/>
      <c r="MJ62" s="198"/>
      <c r="MK62" s="198"/>
      <c r="ML62" s="198"/>
      <c r="MM62" s="198"/>
      <c r="MN62" s="198"/>
      <c r="MO62" s="198"/>
      <c r="MP62" s="198"/>
      <c r="MQ62" s="198"/>
      <c r="MR62" s="198"/>
      <c r="MS62" s="198"/>
      <c r="MT62" s="198"/>
      <c r="MU62" s="198"/>
      <c r="MV62" s="198"/>
      <c r="MW62" s="198"/>
      <c r="MX62" s="198"/>
      <c r="MY62" s="198"/>
      <c r="MZ62" s="198"/>
      <c r="NA62" s="198"/>
      <c r="NB62" s="198"/>
      <c r="NC62" s="198"/>
      <c r="ND62" s="198"/>
      <c r="NE62" s="198"/>
      <c r="NF62" s="198"/>
      <c r="NG62" s="198"/>
      <c r="NH62" s="198"/>
      <c r="NI62" s="198"/>
      <c r="NJ62" s="198"/>
      <c r="NK62" s="198"/>
      <c r="NL62" s="198"/>
      <c r="NM62" s="198"/>
      <c r="NN62" s="198"/>
      <c r="NO62" s="198"/>
      <c r="NP62" s="198"/>
      <c r="NQ62" s="198"/>
      <c r="NR62" s="198"/>
      <c r="NS62" s="198"/>
      <c r="NT62" s="198"/>
      <c r="NU62" s="198"/>
      <c r="NV62" s="198"/>
      <c r="NW62" s="198"/>
      <c r="NX62" s="198"/>
      <c r="NY62" s="198"/>
      <c r="NZ62" s="198"/>
      <c r="OA62" s="198"/>
      <c r="OB62" s="198"/>
      <c r="OC62" s="198"/>
      <c r="OD62" s="198"/>
      <c r="OE62" s="198"/>
      <c r="OF62" s="198"/>
      <c r="OG62" s="198"/>
      <c r="OH62" s="198"/>
      <c r="OI62" s="198"/>
      <c r="OJ62" s="198"/>
      <c r="OK62" s="198"/>
      <c r="OL62" s="198"/>
      <c r="OM62" s="198"/>
      <c r="ON62" s="198"/>
      <c r="OO62" s="198"/>
      <c r="OP62" s="198"/>
      <c r="OQ62" s="198"/>
      <c r="OR62" s="198"/>
      <c r="OS62" s="198"/>
      <c r="OT62" s="198"/>
      <c r="OU62" s="198"/>
      <c r="OV62" s="198"/>
      <c r="OW62" s="198"/>
      <c r="OX62" s="198"/>
      <c r="OY62" s="198"/>
      <c r="OZ62" s="198"/>
      <c r="PA62" s="198"/>
      <c r="PB62" s="198"/>
      <c r="PC62" s="198"/>
      <c r="PD62" s="198"/>
      <c r="PE62" s="198"/>
      <c r="PF62" s="198"/>
      <c r="PG62" s="198"/>
      <c r="PH62" s="198"/>
      <c r="PI62" s="198"/>
      <c r="PJ62" s="198"/>
      <c r="PK62" s="198"/>
      <c r="PL62" s="198"/>
      <c r="PM62" s="198"/>
      <c r="PN62" s="198"/>
      <c r="PO62" s="198"/>
      <c r="PP62" s="198"/>
      <c r="PQ62" s="198"/>
      <c r="PR62" s="198"/>
      <c r="PS62" s="198"/>
      <c r="PT62" s="198"/>
      <c r="PU62" s="198"/>
      <c r="PV62" s="198"/>
      <c r="PW62" s="198"/>
      <c r="PX62" s="198"/>
      <c r="PY62" s="198"/>
      <c r="PZ62" s="198"/>
      <c r="QA62" s="198"/>
      <c r="QB62" s="198"/>
      <c r="QC62" s="198"/>
      <c r="QD62" s="198"/>
      <c r="QE62" s="198"/>
      <c r="QF62" s="198"/>
      <c r="QG62" s="198"/>
      <c r="QH62" s="198"/>
      <c r="QI62" s="198"/>
      <c r="QJ62" s="198"/>
      <c r="QK62" s="198"/>
      <c r="QL62" s="198"/>
      <c r="QM62" s="198"/>
      <c r="QN62" s="198"/>
      <c r="QO62" s="198"/>
      <c r="QP62" s="198"/>
      <c r="QQ62" s="198"/>
      <c r="QR62" s="198"/>
      <c r="QS62" s="198"/>
      <c r="QT62" s="198"/>
      <c r="QU62" s="198"/>
      <c r="QV62" s="198"/>
      <c r="QW62" s="198"/>
      <c r="QX62" s="198"/>
      <c r="QY62" s="198"/>
      <c r="QZ62" s="198"/>
      <c r="RA62" s="198"/>
      <c r="RB62" s="198"/>
      <c r="RC62" s="198"/>
      <c r="RD62" s="198"/>
      <c r="RE62" s="198"/>
      <c r="RF62" s="198"/>
      <c r="RG62" s="198"/>
      <c r="RH62" s="198"/>
      <c r="RI62" s="198"/>
      <c r="RJ62" s="198"/>
      <c r="RK62" s="198"/>
      <c r="RL62" s="198"/>
      <c r="RM62" s="198"/>
      <c r="RN62" s="198"/>
      <c r="RO62" s="198"/>
      <c r="RP62" s="198"/>
      <c r="RQ62" s="198"/>
      <c r="RR62" s="198"/>
      <c r="RS62" s="198"/>
      <c r="RT62" s="198"/>
      <c r="RU62" s="198"/>
      <c r="RV62" s="198"/>
      <c r="RW62" s="198"/>
      <c r="RX62" s="198"/>
      <c r="RY62" s="198"/>
      <c r="RZ62" s="198"/>
      <c r="SA62" s="198"/>
      <c r="SB62" s="198"/>
      <c r="SC62" s="198"/>
      <c r="SD62" s="198"/>
      <c r="SE62" s="198"/>
      <c r="SF62" s="198"/>
      <c r="SG62" s="198"/>
    </row>
    <row r="63" spans="1:501" ht="40.049999999999997" customHeight="1" x14ac:dyDescent="0.3">
      <c r="A63" s="543" t="s">
        <v>197</v>
      </c>
      <c r="B63" s="956" t="s">
        <v>139</v>
      </c>
      <c r="C63" s="950">
        <f>'MANZ. A'!H65</f>
        <v>0</v>
      </c>
      <c r="D63" s="861"/>
      <c r="E63" s="862" t="e">
        <f>'MANZ. B'!#REF!</f>
        <v>#REF!</v>
      </c>
      <c r="F63" s="861"/>
      <c r="G63" s="863" t="e">
        <f>MANZ.C!#REF!</f>
        <v>#REF!</v>
      </c>
      <c r="H63" s="861"/>
      <c r="I63" s="862" t="e">
        <f>MANZ.D!#REF!</f>
        <v>#REF!</v>
      </c>
      <c r="J63" s="861"/>
      <c r="K63" s="862" t="e">
        <f>MANZ.E!#REF!</f>
        <v>#REF!</v>
      </c>
      <c r="L63" s="861"/>
      <c r="M63" s="862" t="e">
        <f>MANZ.F!#REF!</f>
        <v>#REF!</v>
      </c>
      <c r="N63" s="861"/>
      <c r="O63" s="862">
        <f>MANZ.G!AT59</f>
        <v>18</v>
      </c>
      <c r="P63" s="861"/>
      <c r="Q63" s="863" t="e">
        <f>MANZ.H!#REF!</f>
        <v>#REF!</v>
      </c>
      <c r="R63" s="861"/>
      <c r="S63" s="862" t="e">
        <f>MANZ.I!#REF!</f>
        <v>#REF!</v>
      </c>
      <c r="T63" s="861"/>
      <c r="U63" s="862" t="e">
        <f>MANZ.J!#REF!</f>
        <v>#REF!</v>
      </c>
      <c r="V63" s="861"/>
      <c r="W63" s="862" t="e">
        <f>MANZ.K!#REF!</f>
        <v>#REF!</v>
      </c>
      <c r="X63" s="861"/>
      <c r="Y63" s="862" t="e">
        <f>MANZ.L!#REF!</f>
        <v>#REF!</v>
      </c>
      <c r="Z63" s="861"/>
      <c r="AA63" s="862">
        <f>'SALA MULTIUSO'!F70</f>
        <v>0</v>
      </c>
      <c r="AB63" s="864"/>
      <c r="AC63" s="864"/>
      <c r="AD63" s="864"/>
      <c r="AE63" s="864"/>
      <c r="AF63" s="861"/>
      <c r="AG63" s="865" t="e">
        <f>SUM(#REF!)</f>
        <v>#REF!</v>
      </c>
      <c r="AH63" s="866"/>
      <c r="AJ63" s="198"/>
      <c r="AK63" s="198"/>
      <c r="AL63" s="198"/>
      <c r="AM63" s="198"/>
      <c r="AN63" s="198"/>
      <c r="AO63" s="198"/>
      <c r="AP63" s="198"/>
      <c r="AQ63" s="198"/>
      <c r="AR63" s="198"/>
      <c r="AS63" s="198"/>
      <c r="AT63" s="198"/>
      <c r="AU63" s="198"/>
      <c r="AV63" s="198"/>
      <c r="AW63" s="198"/>
      <c r="AX63" s="198"/>
      <c r="AY63" s="198"/>
      <c r="AZ63" s="198"/>
      <c r="BA63" s="198"/>
      <c r="BB63" s="198"/>
      <c r="BC63" s="198"/>
      <c r="BD63" s="198"/>
      <c r="BE63" s="198"/>
      <c r="BF63" s="198"/>
      <c r="BG63" s="198"/>
      <c r="BH63" s="198"/>
      <c r="BI63" s="198"/>
      <c r="BJ63" s="198"/>
      <c r="BK63" s="198"/>
      <c r="BL63" s="198"/>
      <c r="BM63" s="198"/>
      <c r="BN63" s="198"/>
      <c r="BO63" s="198"/>
      <c r="BP63" s="198"/>
      <c r="BQ63" s="198"/>
      <c r="BR63" s="198"/>
      <c r="BS63" s="198"/>
      <c r="BT63" s="198"/>
      <c r="BU63" s="198"/>
      <c r="BV63" s="198"/>
      <c r="BW63" s="198"/>
      <c r="BX63" s="198"/>
      <c r="BY63" s="198"/>
      <c r="BZ63" s="198"/>
      <c r="CA63" s="198"/>
      <c r="CB63" s="198"/>
      <c r="CC63" s="198"/>
      <c r="CD63" s="198"/>
      <c r="CE63" s="198"/>
      <c r="CF63" s="198"/>
      <c r="CG63" s="198"/>
      <c r="CH63" s="198"/>
      <c r="CI63" s="198"/>
      <c r="CJ63" s="198"/>
      <c r="CK63" s="198"/>
      <c r="CL63" s="198"/>
      <c r="CM63" s="198"/>
      <c r="CN63" s="198"/>
      <c r="CO63" s="198"/>
      <c r="CP63" s="198"/>
      <c r="CQ63" s="198"/>
      <c r="CR63" s="198"/>
      <c r="CS63" s="198"/>
      <c r="CT63" s="198"/>
      <c r="CU63" s="198"/>
      <c r="CV63" s="198"/>
      <c r="CW63" s="198"/>
      <c r="CX63" s="198"/>
      <c r="CY63" s="198"/>
      <c r="CZ63" s="198"/>
      <c r="DA63" s="198"/>
      <c r="DB63" s="198"/>
      <c r="DC63" s="198"/>
      <c r="DD63" s="198"/>
      <c r="DE63" s="198"/>
      <c r="DF63" s="198"/>
      <c r="DG63" s="198"/>
      <c r="DH63" s="198"/>
      <c r="DI63" s="198"/>
      <c r="DJ63" s="198"/>
      <c r="DK63" s="198"/>
      <c r="DL63" s="198"/>
      <c r="DM63" s="198"/>
      <c r="DN63" s="198"/>
      <c r="DO63" s="198"/>
      <c r="DP63" s="198"/>
      <c r="DQ63" s="198"/>
      <c r="DR63" s="198"/>
      <c r="DS63" s="198"/>
      <c r="DT63" s="198"/>
      <c r="DU63" s="198"/>
      <c r="DV63" s="198"/>
      <c r="DW63" s="198"/>
      <c r="DX63" s="198"/>
      <c r="DY63" s="198"/>
      <c r="DZ63" s="198"/>
      <c r="EA63" s="198"/>
      <c r="EB63" s="198"/>
      <c r="EC63" s="198"/>
      <c r="ED63" s="198"/>
      <c r="EE63" s="198"/>
      <c r="EF63" s="198"/>
      <c r="EG63" s="198"/>
      <c r="EH63" s="198"/>
      <c r="EI63" s="198"/>
      <c r="EJ63" s="198"/>
      <c r="EK63" s="198"/>
      <c r="EL63" s="198"/>
      <c r="EM63" s="198"/>
      <c r="EN63" s="198"/>
      <c r="EO63" s="198"/>
      <c r="EP63" s="198"/>
      <c r="EQ63" s="198"/>
      <c r="ER63" s="198"/>
      <c r="ES63" s="198"/>
      <c r="ET63" s="198"/>
      <c r="EU63" s="198"/>
      <c r="EV63" s="198"/>
      <c r="EW63" s="198"/>
      <c r="EX63" s="198"/>
      <c r="EY63" s="198"/>
      <c r="EZ63" s="198"/>
      <c r="FA63" s="198"/>
      <c r="FB63" s="198"/>
      <c r="FC63" s="198"/>
      <c r="FD63" s="198"/>
      <c r="FE63" s="198"/>
      <c r="FF63" s="198"/>
      <c r="FG63" s="198"/>
      <c r="FH63" s="198"/>
      <c r="FI63" s="198"/>
      <c r="FJ63" s="198"/>
      <c r="FK63" s="198"/>
      <c r="FL63" s="198"/>
      <c r="FM63" s="198"/>
      <c r="FN63" s="198"/>
      <c r="FO63" s="198"/>
      <c r="FP63" s="198"/>
      <c r="FQ63" s="198"/>
      <c r="FR63" s="198"/>
      <c r="FS63" s="198"/>
      <c r="FT63" s="198"/>
      <c r="FU63" s="198"/>
      <c r="FV63" s="198"/>
      <c r="FW63" s="198"/>
      <c r="FX63" s="198"/>
      <c r="FY63" s="198"/>
      <c r="FZ63" s="198"/>
      <c r="GA63" s="198"/>
      <c r="GB63" s="198"/>
      <c r="GC63" s="198"/>
      <c r="GD63" s="198"/>
      <c r="GE63" s="198"/>
      <c r="GF63" s="198"/>
      <c r="GG63" s="198"/>
      <c r="GH63" s="198"/>
      <c r="GI63" s="198"/>
      <c r="GJ63" s="198"/>
      <c r="GK63" s="198"/>
      <c r="GL63" s="198"/>
      <c r="GM63" s="198"/>
      <c r="GN63" s="198"/>
      <c r="GO63" s="198"/>
      <c r="GP63" s="198"/>
      <c r="GQ63" s="198"/>
      <c r="GR63" s="198"/>
      <c r="GS63" s="198"/>
      <c r="GT63" s="198"/>
      <c r="GU63" s="198"/>
      <c r="GV63" s="198"/>
      <c r="GW63" s="198"/>
      <c r="GX63" s="198"/>
      <c r="GY63" s="198"/>
      <c r="GZ63" s="198"/>
      <c r="HA63" s="198"/>
      <c r="HB63" s="198"/>
      <c r="HC63" s="198"/>
      <c r="HD63" s="198"/>
      <c r="HE63" s="198"/>
      <c r="HF63" s="198"/>
      <c r="HG63" s="198"/>
      <c r="HH63" s="198"/>
      <c r="HI63" s="198"/>
      <c r="HJ63" s="198"/>
      <c r="HK63" s="198"/>
      <c r="HL63" s="198"/>
      <c r="HM63" s="198"/>
      <c r="HN63" s="198"/>
      <c r="HO63" s="198"/>
      <c r="HP63" s="198"/>
      <c r="HQ63" s="198"/>
      <c r="HR63" s="198"/>
      <c r="HS63" s="198"/>
      <c r="HT63" s="198"/>
      <c r="HU63" s="198"/>
      <c r="HV63" s="198"/>
      <c r="HW63" s="198"/>
      <c r="HX63" s="198"/>
      <c r="HY63" s="198"/>
      <c r="HZ63" s="198"/>
      <c r="IA63" s="198"/>
      <c r="IB63" s="198"/>
      <c r="IC63" s="198"/>
      <c r="ID63" s="198"/>
      <c r="IE63" s="198"/>
      <c r="IF63" s="198"/>
      <c r="IG63" s="198"/>
      <c r="IH63" s="198"/>
      <c r="II63" s="198"/>
      <c r="IJ63" s="198"/>
      <c r="IK63" s="198"/>
      <c r="IL63" s="198"/>
      <c r="IM63" s="198"/>
      <c r="IN63" s="198"/>
      <c r="IO63" s="198"/>
      <c r="IP63" s="198"/>
      <c r="IQ63" s="198"/>
      <c r="IR63" s="198"/>
      <c r="IS63" s="198"/>
      <c r="IT63" s="198"/>
      <c r="IU63" s="198"/>
      <c r="IV63" s="198"/>
      <c r="IW63" s="198"/>
      <c r="IX63" s="198"/>
      <c r="IY63" s="198"/>
      <c r="IZ63" s="198"/>
      <c r="JA63" s="198"/>
      <c r="JB63" s="198"/>
      <c r="JC63" s="198"/>
      <c r="JD63" s="198"/>
      <c r="JE63" s="198"/>
      <c r="JF63" s="198"/>
      <c r="JG63" s="198"/>
      <c r="JH63" s="198"/>
      <c r="JI63" s="198"/>
      <c r="JJ63" s="198"/>
      <c r="JK63" s="198"/>
      <c r="JL63" s="198"/>
      <c r="JM63" s="198"/>
      <c r="JN63" s="198"/>
      <c r="JO63" s="198"/>
      <c r="JP63" s="198"/>
      <c r="JQ63" s="198"/>
      <c r="JR63" s="198"/>
      <c r="JS63" s="198"/>
      <c r="JT63" s="198"/>
      <c r="JU63" s="198"/>
      <c r="JV63" s="198"/>
      <c r="JW63" s="198"/>
      <c r="JX63" s="198"/>
      <c r="JY63" s="198"/>
      <c r="JZ63" s="198"/>
      <c r="KA63" s="198"/>
      <c r="KB63" s="198"/>
      <c r="KC63" s="198"/>
      <c r="KD63" s="198"/>
      <c r="KE63" s="198"/>
      <c r="KF63" s="198"/>
      <c r="KG63" s="198"/>
      <c r="KH63" s="198"/>
      <c r="KI63" s="198"/>
      <c r="KJ63" s="198"/>
      <c r="KK63" s="198"/>
      <c r="KL63" s="198"/>
      <c r="KM63" s="198"/>
      <c r="KN63" s="198"/>
      <c r="KO63" s="198"/>
      <c r="KP63" s="198"/>
      <c r="KQ63" s="198"/>
      <c r="KR63" s="198"/>
      <c r="KS63" s="198"/>
      <c r="KT63" s="198"/>
      <c r="KU63" s="198"/>
      <c r="KV63" s="198"/>
      <c r="KW63" s="198"/>
      <c r="KX63" s="198"/>
      <c r="KY63" s="198"/>
      <c r="KZ63" s="198"/>
      <c r="LA63" s="198"/>
      <c r="LB63" s="198"/>
      <c r="LC63" s="198"/>
      <c r="LD63" s="198"/>
      <c r="LE63" s="198"/>
      <c r="LF63" s="198"/>
      <c r="LG63" s="198"/>
      <c r="LH63" s="198"/>
      <c r="LI63" s="198"/>
      <c r="LJ63" s="198"/>
      <c r="LK63" s="198"/>
      <c r="LL63" s="198"/>
      <c r="LM63" s="198"/>
      <c r="LN63" s="198"/>
      <c r="LO63" s="198"/>
      <c r="LP63" s="198"/>
      <c r="LQ63" s="198"/>
      <c r="LR63" s="198"/>
      <c r="LS63" s="198"/>
      <c r="LT63" s="198"/>
      <c r="LU63" s="198"/>
      <c r="LV63" s="198"/>
      <c r="LW63" s="198"/>
      <c r="LX63" s="198"/>
      <c r="LY63" s="198"/>
      <c r="LZ63" s="198"/>
      <c r="MA63" s="198"/>
      <c r="MB63" s="198"/>
      <c r="MC63" s="198"/>
      <c r="MD63" s="198"/>
      <c r="ME63" s="198"/>
      <c r="MF63" s="198"/>
      <c r="MG63" s="198"/>
      <c r="MH63" s="198"/>
      <c r="MI63" s="198"/>
      <c r="MJ63" s="198"/>
      <c r="MK63" s="198"/>
      <c r="ML63" s="198"/>
      <c r="MM63" s="198"/>
      <c r="MN63" s="198"/>
      <c r="MO63" s="198"/>
      <c r="MP63" s="198"/>
      <c r="MQ63" s="198"/>
      <c r="MR63" s="198"/>
      <c r="MS63" s="198"/>
      <c r="MT63" s="198"/>
      <c r="MU63" s="198"/>
      <c r="MV63" s="198"/>
      <c r="MW63" s="198"/>
      <c r="MX63" s="198"/>
      <c r="MY63" s="198"/>
      <c r="MZ63" s="198"/>
      <c r="NA63" s="198"/>
      <c r="NB63" s="198"/>
      <c r="NC63" s="198"/>
      <c r="ND63" s="198"/>
      <c r="NE63" s="198"/>
      <c r="NF63" s="198"/>
      <c r="NG63" s="198"/>
      <c r="NH63" s="198"/>
      <c r="NI63" s="198"/>
      <c r="NJ63" s="198"/>
      <c r="NK63" s="198"/>
      <c r="NL63" s="198"/>
      <c r="NM63" s="198"/>
      <c r="NN63" s="198"/>
      <c r="NO63" s="198"/>
      <c r="NP63" s="198"/>
      <c r="NQ63" s="198"/>
      <c r="NR63" s="198"/>
      <c r="NS63" s="198"/>
      <c r="NT63" s="198"/>
      <c r="NU63" s="198"/>
      <c r="NV63" s="198"/>
      <c r="NW63" s="198"/>
      <c r="NX63" s="198"/>
      <c r="NY63" s="198"/>
      <c r="NZ63" s="198"/>
      <c r="OA63" s="198"/>
      <c r="OB63" s="198"/>
      <c r="OC63" s="198"/>
      <c r="OD63" s="198"/>
      <c r="OE63" s="198"/>
      <c r="OF63" s="198"/>
      <c r="OG63" s="198"/>
      <c r="OH63" s="198"/>
      <c r="OI63" s="198"/>
      <c r="OJ63" s="198"/>
      <c r="OK63" s="198"/>
      <c r="OL63" s="198"/>
      <c r="OM63" s="198"/>
      <c r="ON63" s="198"/>
      <c r="OO63" s="198"/>
      <c r="OP63" s="198"/>
      <c r="OQ63" s="198"/>
      <c r="OR63" s="198"/>
      <c r="OS63" s="198"/>
      <c r="OT63" s="198"/>
      <c r="OU63" s="198"/>
      <c r="OV63" s="198"/>
      <c r="OW63" s="198"/>
      <c r="OX63" s="198"/>
      <c r="OY63" s="198"/>
      <c r="OZ63" s="198"/>
      <c r="PA63" s="198"/>
      <c r="PB63" s="198"/>
      <c r="PC63" s="198"/>
      <c r="PD63" s="198"/>
      <c r="PE63" s="198"/>
      <c r="PF63" s="198"/>
      <c r="PG63" s="198"/>
      <c r="PH63" s="198"/>
      <c r="PI63" s="198"/>
      <c r="PJ63" s="198"/>
      <c r="PK63" s="198"/>
      <c r="PL63" s="198"/>
      <c r="PM63" s="198"/>
      <c r="PN63" s="198"/>
      <c r="PO63" s="198"/>
      <c r="PP63" s="198"/>
      <c r="PQ63" s="198"/>
      <c r="PR63" s="198"/>
      <c r="PS63" s="198"/>
      <c r="PT63" s="198"/>
      <c r="PU63" s="198"/>
      <c r="PV63" s="198"/>
      <c r="PW63" s="198"/>
      <c r="PX63" s="198"/>
      <c r="PY63" s="198"/>
      <c r="PZ63" s="198"/>
      <c r="QA63" s="198"/>
      <c r="QB63" s="198"/>
      <c r="QC63" s="198"/>
      <c r="QD63" s="198"/>
      <c r="QE63" s="198"/>
      <c r="QF63" s="198"/>
      <c r="QG63" s="198"/>
      <c r="QH63" s="198"/>
      <c r="QI63" s="198"/>
      <c r="QJ63" s="198"/>
      <c r="QK63" s="198"/>
      <c r="QL63" s="198"/>
      <c r="QM63" s="198"/>
      <c r="QN63" s="198"/>
      <c r="QO63" s="198"/>
      <c r="QP63" s="198"/>
      <c r="QQ63" s="198"/>
      <c r="QR63" s="198"/>
      <c r="QS63" s="198"/>
      <c r="QT63" s="198"/>
      <c r="QU63" s="198"/>
      <c r="QV63" s="198"/>
      <c r="QW63" s="198"/>
      <c r="QX63" s="198"/>
      <c r="QY63" s="198"/>
      <c r="QZ63" s="198"/>
      <c r="RA63" s="198"/>
      <c r="RB63" s="198"/>
      <c r="RC63" s="198"/>
      <c r="RD63" s="198"/>
      <c r="RE63" s="198"/>
      <c r="RF63" s="198"/>
      <c r="RG63" s="198"/>
      <c r="RH63" s="198"/>
      <c r="RI63" s="198"/>
      <c r="RJ63" s="198"/>
      <c r="RK63" s="198"/>
      <c r="RL63" s="198"/>
      <c r="RM63" s="198"/>
      <c r="RN63" s="198"/>
      <c r="RO63" s="198"/>
      <c r="RP63" s="198"/>
      <c r="RQ63" s="198"/>
      <c r="RR63" s="198"/>
      <c r="RS63" s="198"/>
      <c r="RT63" s="198"/>
      <c r="RU63" s="198"/>
      <c r="RV63" s="198"/>
      <c r="RW63" s="198"/>
      <c r="RX63" s="198"/>
      <c r="RY63" s="198"/>
      <c r="RZ63" s="198"/>
      <c r="SA63" s="198"/>
      <c r="SB63" s="198"/>
      <c r="SC63" s="198"/>
      <c r="SD63" s="198"/>
      <c r="SE63" s="198"/>
      <c r="SF63" s="198"/>
      <c r="SG63" s="198"/>
    </row>
    <row r="64" spans="1:501" ht="40.049999999999997" customHeight="1" x14ac:dyDescent="0.3">
      <c r="A64" s="543" t="s">
        <v>198</v>
      </c>
      <c r="B64" s="956" t="s">
        <v>199</v>
      </c>
      <c r="C64" s="950"/>
      <c r="D64" s="861"/>
      <c r="E64" s="862"/>
      <c r="F64" s="861"/>
      <c r="G64" s="862"/>
      <c r="H64" s="861"/>
      <c r="I64" s="862"/>
      <c r="J64" s="861"/>
      <c r="K64" s="862"/>
      <c r="L64" s="861"/>
      <c r="M64" s="862"/>
      <c r="N64" s="861"/>
      <c r="O64" s="862"/>
      <c r="P64" s="861"/>
      <c r="Q64" s="862"/>
      <c r="R64" s="861"/>
      <c r="S64" s="862"/>
      <c r="T64" s="861"/>
      <c r="U64" s="862"/>
      <c r="V64" s="861"/>
      <c r="W64" s="862"/>
      <c r="X64" s="861"/>
      <c r="Y64" s="862"/>
      <c r="Z64" s="861"/>
      <c r="AA64" s="862"/>
      <c r="AB64" s="864"/>
      <c r="AC64" s="864"/>
      <c r="AD64" s="864"/>
      <c r="AE64" s="864"/>
      <c r="AF64" s="861"/>
      <c r="AG64" s="865"/>
      <c r="AH64" s="866"/>
      <c r="AI64" s="199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8"/>
      <c r="AX64" s="198"/>
      <c r="AY64" s="198"/>
      <c r="AZ64" s="198"/>
      <c r="BA64" s="198"/>
      <c r="BB64" s="198"/>
      <c r="BC64" s="198"/>
      <c r="BD64" s="198"/>
      <c r="BE64" s="198"/>
      <c r="BF64" s="198"/>
      <c r="BG64" s="198"/>
      <c r="BH64" s="198"/>
      <c r="BI64" s="198"/>
      <c r="BJ64" s="198"/>
      <c r="BK64" s="198"/>
      <c r="BL64" s="198"/>
      <c r="BM64" s="198"/>
      <c r="BN64" s="198"/>
      <c r="BO64" s="198"/>
      <c r="BP64" s="198"/>
      <c r="BQ64" s="198"/>
      <c r="BR64" s="198"/>
      <c r="BS64" s="198"/>
      <c r="BT64" s="198"/>
      <c r="BU64" s="198"/>
      <c r="BV64" s="198"/>
      <c r="BW64" s="198"/>
      <c r="BX64" s="198"/>
      <c r="BY64" s="198"/>
      <c r="BZ64" s="198"/>
      <c r="CA64" s="198"/>
      <c r="CB64" s="198"/>
      <c r="CC64" s="198"/>
      <c r="CD64" s="198"/>
      <c r="CE64" s="198"/>
      <c r="CF64" s="198"/>
      <c r="CG64" s="198"/>
      <c r="CH64" s="198"/>
      <c r="CI64" s="198"/>
      <c r="CJ64" s="198"/>
      <c r="CK64" s="198"/>
      <c r="CL64" s="198"/>
      <c r="CM64" s="198"/>
      <c r="CN64" s="198"/>
      <c r="CO64" s="198"/>
      <c r="CP64" s="198"/>
      <c r="CQ64" s="198"/>
      <c r="CR64" s="198"/>
      <c r="CS64" s="198"/>
      <c r="CT64" s="198"/>
      <c r="CU64" s="198"/>
      <c r="CV64" s="198"/>
      <c r="CW64" s="198"/>
      <c r="CX64" s="198"/>
      <c r="CY64" s="198"/>
      <c r="CZ64" s="198"/>
      <c r="DA64" s="198"/>
      <c r="DB64" s="198"/>
      <c r="DC64" s="198"/>
      <c r="DD64" s="198"/>
      <c r="DE64" s="198"/>
      <c r="DF64" s="198"/>
      <c r="DG64" s="198"/>
      <c r="DH64" s="198"/>
      <c r="DI64" s="198"/>
      <c r="DJ64" s="198"/>
      <c r="DK64" s="198"/>
      <c r="DL64" s="198"/>
      <c r="DM64" s="198"/>
      <c r="DN64" s="198"/>
      <c r="DO64" s="198"/>
      <c r="DP64" s="198"/>
      <c r="DQ64" s="198"/>
      <c r="DR64" s="198"/>
      <c r="DS64" s="198"/>
      <c r="DT64" s="198"/>
      <c r="DU64" s="198"/>
      <c r="DV64" s="198"/>
      <c r="DW64" s="198"/>
      <c r="DX64" s="198"/>
      <c r="DY64" s="198"/>
      <c r="DZ64" s="198"/>
      <c r="EA64" s="198"/>
      <c r="EB64" s="198"/>
      <c r="EC64" s="198"/>
      <c r="ED64" s="198"/>
      <c r="EE64" s="198"/>
      <c r="EF64" s="198"/>
      <c r="EG64" s="198"/>
      <c r="EH64" s="198"/>
      <c r="EI64" s="198"/>
      <c r="EJ64" s="198"/>
      <c r="EK64" s="198"/>
      <c r="EL64" s="198"/>
      <c r="EM64" s="198"/>
      <c r="EN64" s="198"/>
      <c r="EO64" s="198"/>
      <c r="EP64" s="198"/>
      <c r="EQ64" s="198"/>
      <c r="ER64" s="198"/>
      <c r="ES64" s="198"/>
      <c r="ET64" s="198"/>
      <c r="EU64" s="198"/>
      <c r="EV64" s="198"/>
      <c r="EW64" s="198"/>
      <c r="EX64" s="198"/>
      <c r="EY64" s="198"/>
      <c r="EZ64" s="198"/>
      <c r="FA64" s="198"/>
      <c r="FB64" s="198"/>
      <c r="FC64" s="198"/>
      <c r="FD64" s="198"/>
      <c r="FE64" s="198"/>
      <c r="FF64" s="198"/>
      <c r="FG64" s="198"/>
      <c r="FH64" s="198"/>
      <c r="FI64" s="198"/>
      <c r="FJ64" s="198"/>
      <c r="FK64" s="198"/>
      <c r="FL64" s="198"/>
      <c r="FM64" s="198"/>
      <c r="FN64" s="198"/>
      <c r="FO64" s="198"/>
      <c r="FP64" s="198"/>
      <c r="FQ64" s="198"/>
      <c r="FR64" s="198"/>
      <c r="FS64" s="198"/>
      <c r="FT64" s="198"/>
      <c r="FU64" s="198"/>
      <c r="FV64" s="198"/>
      <c r="FW64" s="198"/>
      <c r="FX64" s="198"/>
      <c r="FY64" s="198"/>
      <c r="FZ64" s="198"/>
      <c r="GA64" s="198"/>
      <c r="GB64" s="198"/>
      <c r="GC64" s="198"/>
      <c r="GD64" s="198"/>
      <c r="GE64" s="198"/>
      <c r="GF64" s="198"/>
      <c r="GG64" s="198"/>
      <c r="GH64" s="198"/>
      <c r="GI64" s="198"/>
      <c r="GJ64" s="198"/>
      <c r="GK64" s="198"/>
      <c r="GL64" s="198"/>
      <c r="GM64" s="198"/>
      <c r="GN64" s="198"/>
      <c r="GO64" s="198"/>
      <c r="GP64" s="198"/>
      <c r="GQ64" s="198"/>
      <c r="GR64" s="198"/>
      <c r="GS64" s="198"/>
      <c r="GT64" s="198"/>
      <c r="GU64" s="198"/>
      <c r="GV64" s="198"/>
      <c r="GW64" s="198"/>
      <c r="GX64" s="198"/>
      <c r="GY64" s="198"/>
      <c r="GZ64" s="198"/>
      <c r="HA64" s="198"/>
      <c r="HB64" s="198"/>
      <c r="HC64" s="198"/>
      <c r="HD64" s="198"/>
      <c r="HE64" s="198"/>
      <c r="HF64" s="198"/>
      <c r="HG64" s="198"/>
      <c r="HH64" s="198"/>
      <c r="HI64" s="198"/>
      <c r="HJ64" s="198"/>
      <c r="HK64" s="198"/>
      <c r="HL64" s="198"/>
      <c r="HM64" s="198"/>
      <c r="HN64" s="198"/>
      <c r="HO64" s="198"/>
      <c r="HP64" s="198"/>
      <c r="HQ64" s="198"/>
      <c r="HR64" s="198"/>
      <c r="HS64" s="198"/>
      <c r="HT64" s="198"/>
      <c r="HU64" s="198"/>
      <c r="HV64" s="198"/>
      <c r="HW64" s="198"/>
      <c r="HX64" s="198"/>
      <c r="HY64" s="198"/>
      <c r="HZ64" s="198"/>
      <c r="IA64" s="198"/>
      <c r="IB64" s="198"/>
      <c r="IC64" s="198"/>
      <c r="ID64" s="198"/>
      <c r="IE64" s="198"/>
      <c r="IF64" s="198"/>
      <c r="IG64" s="198"/>
      <c r="IH64" s="198"/>
      <c r="II64" s="198"/>
      <c r="IJ64" s="198"/>
      <c r="IK64" s="198"/>
      <c r="IL64" s="198"/>
      <c r="IM64" s="198"/>
      <c r="IN64" s="198"/>
      <c r="IO64" s="198"/>
      <c r="IP64" s="198"/>
      <c r="IQ64" s="198"/>
      <c r="IR64" s="198"/>
      <c r="IS64" s="198"/>
      <c r="IT64" s="198"/>
      <c r="IU64" s="198"/>
      <c r="IV64" s="198"/>
      <c r="IW64" s="198"/>
      <c r="IX64" s="198"/>
      <c r="IY64" s="198"/>
      <c r="IZ64" s="198"/>
      <c r="JA64" s="198"/>
      <c r="JB64" s="198"/>
      <c r="JC64" s="198"/>
      <c r="JD64" s="198"/>
      <c r="JE64" s="198"/>
      <c r="JF64" s="198"/>
      <c r="JG64" s="198"/>
      <c r="JH64" s="198"/>
      <c r="JI64" s="198"/>
      <c r="JJ64" s="198"/>
      <c r="JK64" s="198"/>
      <c r="JL64" s="198"/>
      <c r="JM64" s="198"/>
      <c r="JN64" s="198"/>
      <c r="JO64" s="198"/>
      <c r="JP64" s="198"/>
      <c r="JQ64" s="198"/>
      <c r="JR64" s="198"/>
      <c r="JS64" s="198"/>
      <c r="JT64" s="198"/>
      <c r="JU64" s="198"/>
      <c r="JV64" s="198"/>
      <c r="JW64" s="198"/>
      <c r="JX64" s="198"/>
      <c r="JY64" s="198"/>
      <c r="JZ64" s="198"/>
      <c r="KA64" s="198"/>
      <c r="KB64" s="198"/>
      <c r="KC64" s="198"/>
      <c r="KD64" s="198"/>
      <c r="KE64" s="198"/>
      <c r="KF64" s="198"/>
      <c r="KG64" s="198"/>
      <c r="KH64" s="198"/>
      <c r="KI64" s="198"/>
      <c r="KJ64" s="198"/>
      <c r="KK64" s="198"/>
      <c r="KL64" s="198"/>
      <c r="KM64" s="198"/>
      <c r="KN64" s="198"/>
      <c r="KO64" s="198"/>
      <c r="KP64" s="198"/>
      <c r="KQ64" s="198"/>
      <c r="KR64" s="198"/>
      <c r="KS64" s="198"/>
      <c r="KT64" s="198"/>
      <c r="KU64" s="198"/>
      <c r="KV64" s="198"/>
      <c r="KW64" s="198"/>
      <c r="KX64" s="198"/>
      <c r="KY64" s="198"/>
      <c r="KZ64" s="198"/>
      <c r="LA64" s="198"/>
      <c r="LB64" s="198"/>
      <c r="LC64" s="198"/>
      <c r="LD64" s="198"/>
      <c r="LE64" s="198"/>
      <c r="LF64" s="198"/>
      <c r="LG64" s="198"/>
      <c r="LH64" s="198"/>
      <c r="LI64" s="198"/>
      <c r="LJ64" s="198"/>
      <c r="LK64" s="198"/>
      <c r="LL64" s="198"/>
      <c r="LM64" s="198"/>
      <c r="LN64" s="198"/>
      <c r="LO64" s="198"/>
      <c r="LP64" s="198"/>
      <c r="LQ64" s="198"/>
      <c r="LR64" s="198"/>
      <c r="LS64" s="198"/>
      <c r="LT64" s="198"/>
      <c r="LU64" s="198"/>
      <c r="LV64" s="198"/>
      <c r="LW64" s="198"/>
      <c r="LX64" s="198"/>
      <c r="LY64" s="198"/>
      <c r="LZ64" s="198"/>
      <c r="MA64" s="198"/>
      <c r="MB64" s="198"/>
      <c r="MC64" s="198"/>
      <c r="MD64" s="198"/>
      <c r="ME64" s="198"/>
      <c r="MF64" s="198"/>
      <c r="MG64" s="198"/>
      <c r="MH64" s="198"/>
      <c r="MI64" s="198"/>
      <c r="MJ64" s="198"/>
      <c r="MK64" s="198"/>
      <c r="ML64" s="198"/>
      <c r="MM64" s="198"/>
      <c r="MN64" s="198"/>
      <c r="MO64" s="198"/>
      <c r="MP64" s="198"/>
      <c r="MQ64" s="198"/>
      <c r="MR64" s="198"/>
      <c r="MS64" s="198"/>
      <c r="MT64" s="198"/>
      <c r="MU64" s="198"/>
      <c r="MV64" s="198"/>
      <c r="MW64" s="198"/>
      <c r="MX64" s="198"/>
      <c r="MY64" s="198"/>
      <c r="MZ64" s="198"/>
      <c r="NA64" s="198"/>
      <c r="NB64" s="198"/>
      <c r="NC64" s="198"/>
      <c r="ND64" s="198"/>
      <c r="NE64" s="198"/>
      <c r="NF64" s="198"/>
      <c r="NG64" s="198"/>
      <c r="NH64" s="198"/>
      <c r="NI64" s="198"/>
      <c r="NJ64" s="198"/>
      <c r="NK64" s="198"/>
      <c r="NL64" s="198"/>
      <c r="NM64" s="198"/>
      <c r="NN64" s="198"/>
      <c r="NO64" s="198"/>
      <c r="NP64" s="198"/>
      <c r="NQ64" s="198"/>
      <c r="NR64" s="198"/>
      <c r="NS64" s="198"/>
      <c r="NT64" s="198"/>
      <c r="NU64" s="198"/>
      <c r="NV64" s="198"/>
      <c r="NW64" s="198"/>
      <c r="NX64" s="198"/>
      <c r="NY64" s="198"/>
      <c r="NZ64" s="198"/>
      <c r="OA64" s="198"/>
      <c r="OB64" s="198"/>
      <c r="OC64" s="198"/>
      <c r="OD64" s="198"/>
      <c r="OE64" s="198"/>
      <c r="OF64" s="198"/>
      <c r="OG64" s="198"/>
      <c r="OH64" s="198"/>
      <c r="OI64" s="198"/>
      <c r="OJ64" s="198"/>
      <c r="OK64" s="198"/>
      <c r="OL64" s="198"/>
      <c r="OM64" s="198"/>
      <c r="ON64" s="198"/>
      <c r="OO64" s="198"/>
      <c r="OP64" s="198"/>
      <c r="OQ64" s="198"/>
      <c r="OR64" s="198"/>
      <c r="OS64" s="198"/>
      <c r="OT64" s="198"/>
      <c r="OU64" s="198"/>
      <c r="OV64" s="198"/>
      <c r="OW64" s="198"/>
      <c r="OX64" s="198"/>
      <c r="OY64" s="198"/>
      <c r="OZ64" s="198"/>
      <c r="PA64" s="198"/>
      <c r="PB64" s="198"/>
      <c r="PC64" s="198"/>
      <c r="PD64" s="198"/>
      <c r="PE64" s="198"/>
      <c r="PF64" s="198"/>
      <c r="PG64" s="198"/>
      <c r="PH64" s="198"/>
      <c r="PI64" s="198"/>
      <c r="PJ64" s="198"/>
      <c r="PK64" s="198"/>
      <c r="PL64" s="198"/>
      <c r="PM64" s="198"/>
      <c r="PN64" s="198"/>
      <c r="PO64" s="198"/>
      <c r="PP64" s="198"/>
      <c r="PQ64" s="198"/>
      <c r="PR64" s="198"/>
      <c r="PS64" s="198"/>
      <c r="PT64" s="198"/>
      <c r="PU64" s="198"/>
      <c r="PV64" s="198"/>
      <c r="PW64" s="198"/>
      <c r="PX64" s="198"/>
      <c r="PY64" s="198"/>
      <c r="PZ64" s="198"/>
      <c r="QA64" s="198"/>
      <c r="QB64" s="198"/>
      <c r="QC64" s="198"/>
      <c r="QD64" s="198"/>
      <c r="QE64" s="198"/>
      <c r="QF64" s="198"/>
      <c r="QG64" s="198"/>
      <c r="QH64" s="198"/>
      <c r="QI64" s="198"/>
      <c r="QJ64" s="198"/>
      <c r="QK64" s="198"/>
      <c r="QL64" s="198"/>
      <c r="QM64" s="198"/>
      <c r="QN64" s="198"/>
      <c r="QO64" s="198"/>
      <c r="QP64" s="198"/>
      <c r="QQ64" s="198"/>
      <c r="QR64" s="198"/>
      <c r="QS64" s="198"/>
      <c r="QT64" s="198"/>
      <c r="QU64" s="198"/>
      <c r="QV64" s="198"/>
      <c r="QW64" s="198"/>
      <c r="QX64" s="198"/>
      <c r="QY64" s="198"/>
      <c r="QZ64" s="198"/>
      <c r="RA64" s="198"/>
      <c r="RB64" s="198"/>
      <c r="RC64" s="198"/>
      <c r="RD64" s="198"/>
      <c r="RE64" s="198"/>
      <c r="RF64" s="198"/>
      <c r="RG64" s="198"/>
      <c r="RH64" s="198"/>
      <c r="RI64" s="198"/>
      <c r="RJ64" s="198"/>
      <c r="RK64" s="198"/>
      <c r="RL64" s="198"/>
      <c r="RM64" s="198"/>
      <c r="RN64" s="198"/>
      <c r="RO64" s="198"/>
      <c r="RP64" s="198"/>
      <c r="RQ64" s="198"/>
      <c r="RR64" s="198"/>
      <c r="RS64" s="198"/>
      <c r="RT64" s="198"/>
      <c r="RU64" s="198"/>
      <c r="RV64" s="198"/>
      <c r="RW64" s="198"/>
      <c r="RX64" s="198"/>
      <c r="RY64" s="198"/>
      <c r="RZ64" s="198"/>
      <c r="SA64" s="198"/>
      <c r="SB64" s="198"/>
      <c r="SC64" s="198"/>
      <c r="SD64" s="198"/>
      <c r="SE64" s="198"/>
      <c r="SF64" s="198"/>
      <c r="SG64" s="198"/>
    </row>
    <row r="65" spans="1:501" ht="40.049999999999997" customHeight="1" x14ac:dyDescent="0.3">
      <c r="A65" s="543" t="s">
        <v>200</v>
      </c>
      <c r="B65" s="956" t="s">
        <v>176</v>
      </c>
      <c r="C65" s="950">
        <f>'MANZ. A'!H67</f>
        <v>0</v>
      </c>
      <c r="D65" s="861"/>
      <c r="E65" s="862">
        <f>'MANZ. B'!R62</f>
        <v>0</v>
      </c>
      <c r="F65" s="861"/>
      <c r="G65" s="862">
        <f>MANZ.C!AL61</f>
        <v>0</v>
      </c>
      <c r="H65" s="861"/>
      <c r="I65" s="862">
        <f>MANZ.D!Z61</f>
        <v>0</v>
      </c>
      <c r="J65" s="861"/>
      <c r="K65" s="862">
        <f>MANZ.E!AL62</f>
        <v>0</v>
      </c>
      <c r="L65" s="861"/>
      <c r="M65" s="862">
        <f>MANZ.F!AB61</f>
        <v>0</v>
      </c>
      <c r="N65" s="861"/>
      <c r="O65" s="862">
        <f>MANZ.G!AT61</f>
        <v>18</v>
      </c>
      <c r="P65" s="861"/>
      <c r="Q65" s="862">
        <f>MANZ.H!V62</f>
        <v>0</v>
      </c>
      <c r="R65" s="861"/>
      <c r="S65" s="862">
        <f>MANZ.I!AB62</f>
        <v>0</v>
      </c>
      <c r="T65" s="861"/>
      <c r="U65" s="862">
        <f>MANZ.J!AT65</f>
        <v>0</v>
      </c>
      <c r="V65" s="861"/>
      <c r="W65" s="862">
        <f>MANZ.K!AB62</f>
        <v>0</v>
      </c>
      <c r="X65" s="861"/>
      <c r="Y65" s="862">
        <f>MANZ.L!Z62</f>
        <v>0</v>
      </c>
      <c r="Z65" s="861"/>
      <c r="AA65" s="862">
        <f>'SALA MULTIUSO'!F72</f>
        <v>0</v>
      </c>
      <c r="AB65" s="864"/>
      <c r="AC65" s="864"/>
      <c r="AD65" s="864"/>
      <c r="AE65" s="864"/>
      <c r="AF65" s="861"/>
      <c r="AG65" s="865">
        <f>SUM(C62:AA62)</f>
        <v>0</v>
      </c>
      <c r="AH65" s="866"/>
      <c r="AJ65" s="198"/>
      <c r="AK65" s="198"/>
      <c r="AL65" s="198"/>
      <c r="AM65" s="198"/>
      <c r="AN65" s="198"/>
      <c r="AO65" s="198"/>
      <c r="AP65" s="198"/>
      <c r="AQ65" s="198"/>
      <c r="AR65" s="198"/>
      <c r="AS65" s="198"/>
      <c r="AT65" s="198"/>
      <c r="AU65" s="198"/>
      <c r="AV65" s="198"/>
      <c r="AW65" s="198"/>
      <c r="AX65" s="198"/>
      <c r="AY65" s="198"/>
      <c r="AZ65" s="198"/>
      <c r="BA65" s="198"/>
      <c r="BB65" s="198"/>
      <c r="BC65" s="198"/>
      <c r="BD65" s="198"/>
      <c r="BE65" s="198"/>
      <c r="BF65" s="198"/>
      <c r="BG65" s="198"/>
      <c r="BH65" s="198"/>
      <c r="BI65" s="198"/>
      <c r="BJ65" s="198"/>
      <c r="BK65" s="198"/>
      <c r="BL65" s="198"/>
      <c r="BM65" s="198"/>
      <c r="BN65" s="198"/>
      <c r="BO65" s="198"/>
      <c r="BP65" s="198"/>
      <c r="BQ65" s="198"/>
      <c r="BR65" s="198"/>
      <c r="BS65" s="198"/>
      <c r="BT65" s="198"/>
      <c r="BU65" s="198"/>
      <c r="BV65" s="198"/>
      <c r="BW65" s="198"/>
      <c r="BX65" s="198"/>
      <c r="BY65" s="198"/>
      <c r="BZ65" s="198"/>
      <c r="CA65" s="198"/>
      <c r="CB65" s="198"/>
      <c r="CC65" s="198"/>
      <c r="CD65" s="198"/>
      <c r="CE65" s="198"/>
      <c r="CF65" s="198"/>
      <c r="CG65" s="198"/>
      <c r="CH65" s="198"/>
      <c r="CI65" s="198"/>
      <c r="CJ65" s="198"/>
      <c r="CK65" s="198"/>
      <c r="CL65" s="198"/>
      <c r="CM65" s="198"/>
      <c r="CN65" s="198"/>
      <c r="CO65" s="198"/>
      <c r="CP65" s="198"/>
      <c r="CQ65" s="198"/>
      <c r="CR65" s="198"/>
      <c r="CS65" s="198"/>
      <c r="CT65" s="198"/>
      <c r="CU65" s="198"/>
      <c r="CV65" s="198"/>
      <c r="CW65" s="198"/>
      <c r="CX65" s="198"/>
      <c r="CY65" s="198"/>
      <c r="CZ65" s="198"/>
      <c r="DA65" s="198"/>
      <c r="DB65" s="198"/>
      <c r="DC65" s="198"/>
      <c r="DD65" s="198"/>
      <c r="DE65" s="198"/>
      <c r="DF65" s="198"/>
      <c r="DG65" s="198"/>
      <c r="DH65" s="198"/>
      <c r="DI65" s="198"/>
      <c r="DJ65" s="198"/>
      <c r="DK65" s="198"/>
      <c r="DL65" s="198"/>
      <c r="DM65" s="198"/>
      <c r="DN65" s="198"/>
      <c r="DO65" s="198"/>
      <c r="DP65" s="198"/>
      <c r="DQ65" s="198"/>
      <c r="DR65" s="198"/>
      <c r="DS65" s="198"/>
      <c r="DT65" s="198"/>
      <c r="DU65" s="198"/>
      <c r="DV65" s="198"/>
      <c r="DW65" s="198"/>
      <c r="DX65" s="198"/>
      <c r="DY65" s="198"/>
      <c r="DZ65" s="198"/>
      <c r="EA65" s="198"/>
      <c r="EB65" s="198"/>
      <c r="EC65" s="198"/>
      <c r="ED65" s="198"/>
      <c r="EE65" s="198"/>
      <c r="EF65" s="198"/>
      <c r="EG65" s="198"/>
      <c r="EH65" s="198"/>
      <c r="EI65" s="198"/>
      <c r="EJ65" s="198"/>
      <c r="EK65" s="198"/>
      <c r="EL65" s="198"/>
      <c r="EM65" s="198"/>
      <c r="EN65" s="198"/>
      <c r="EO65" s="198"/>
      <c r="EP65" s="198"/>
      <c r="EQ65" s="198"/>
      <c r="ER65" s="198"/>
      <c r="ES65" s="198"/>
      <c r="ET65" s="198"/>
      <c r="EU65" s="198"/>
      <c r="EV65" s="198"/>
      <c r="EW65" s="198"/>
      <c r="EX65" s="198"/>
      <c r="EY65" s="198"/>
      <c r="EZ65" s="198"/>
      <c r="FA65" s="198"/>
      <c r="FB65" s="198"/>
      <c r="FC65" s="198"/>
      <c r="FD65" s="198"/>
      <c r="FE65" s="198"/>
      <c r="FF65" s="198"/>
      <c r="FG65" s="198"/>
      <c r="FH65" s="198"/>
      <c r="FI65" s="198"/>
      <c r="FJ65" s="198"/>
      <c r="FK65" s="198"/>
      <c r="FL65" s="198"/>
      <c r="FM65" s="198"/>
      <c r="FN65" s="198"/>
      <c r="FO65" s="198"/>
      <c r="FP65" s="198"/>
      <c r="FQ65" s="198"/>
      <c r="FR65" s="198"/>
      <c r="FS65" s="198"/>
      <c r="FT65" s="198"/>
      <c r="FU65" s="198"/>
      <c r="FV65" s="198"/>
      <c r="FW65" s="198"/>
      <c r="FX65" s="198"/>
      <c r="FY65" s="198"/>
      <c r="FZ65" s="198"/>
      <c r="GA65" s="198"/>
      <c r="GB65" s="198"/>
      <c r="GC65" s="198"/>
      <c r="GD65" s="198"/>
      <c r="GE65" s="198"/>
      <c r="GF65" s="198"/>
      <c r="GG65" s="198"/>
      <c r="GH65" s="198"/>
      <c r="GI65" s="198"/>
      <c r="GJ65" s="198"/>
      <c r="GK65" s="198"/>
      <c r="GL65" s="198"/>
      <c r="GM65" s="198"/>
      <c r="GN65" s="198"/>
      <c r="GO65" s="198"/>
      <c r="GP65" s="198"/>
      <c r="GQ65" s="198"/>
      <c r="GR65" s="198"/>
      <c r="GS65" s="198"/>
      <c r="GT65" s="198"/>
      <c r="GU65" s="198"/>
      <c r="GV65" s="198"/>
      <c r="GW65" s="198"/>
      <c r="GX65" s="198"/>
      <c r="GY65" s="198"/>
      <c r="GZ65" s="198"/>
      <c r="HA65" s="198"/>
      <c r="HB65" s="198"/>
      <c r="HC65" s="198"/>
      <c r="HD65" s="198"/>
      <c r="HE65" s="198"/>
      <c r="HF65" s="198"/>
      <c r="HG65" s="198"/>
      <c r="HH65" s="198"/>
      <c r="HI65" s="198"/>
      <c r="HJ65" s="198"/>
      <c r="HK65" s="198"/>
      <c r="HL65" s="198"/>
      <c r="HM65" s="198"/>
      <c r="HN65" s="198"/>
      <c r="HO65" s="198"/>
      <c r="HP65" s="198"/>
      <c r="HQ65" s="198"/>
      <c r="HR65" s="198"/>
      <c r="HS65" s="198"/>
      <c r="HT65" s="198"/>
      <c r="HU65" s="198"/>
      <c r="HV65" s="198"/>
      <c r="HW65" s="198"/>
      <c r="HX65" s="198"/>
      <c r="HY65" s="198"/>
      <c r="HZ65" s="198"/>
      <c r="IA65" s="198"/>
      <c r="IB65" s="198"/>
      <c r="IC65" s="198"/>
      <c r="ID65" s="198"/>
      <c r="IE65" s="198"/>
      <c r="IF65" s="198"/>
      <c r="IG65" s="198"/>
      <c r="IH65" s="198"/>
      <c r="II65" s="198"/>
      <c r="IJ65" s="198"/>
      <c r="IK65" s="198"/>
      <c r="IL65" s="198"/>
      <c r="IM65" s="198"/>
      <c r="IN65" s="198"/>
      <c r="IO65" s="198"/>
      <c r="IP65" s="198"/>
      <c r="IQ65" s="198"/>
      <c r="IR65" s="198"/>
      <c r="IS65" s="198"/>
      <c r="IT65" s="198"/>
      <c r="IU65" s="198"/>
      <c r="IV65" s="198"/>
      <c r="IW65" s="198"/>
      <c r="IX65" s="198"/>
      <c r="IY65" s="198"/>
      <c r="IZ65" s="198"/>
      <c r="JA65" s="198"/>
      <c r="JB65" s="198"/>
      <c r="JC65" s="198"/>
      <c r="JD65" s="198"/>
      <c r="JE65" s="198"/>
      <c r="JF65" s="198"/>
      <c r="JG65" s="198"/>
      <c r="JH65" s="198"/>
      <c r="JI65" s="198"/>
      <c r="JJ65" s="198"/>
      <c r="JK65" s="198"/>
      <c r="JL65" s="198"/>
      <c r="JM65" s="198"/>
      <c r="JN65" s="198"/>
      <c r="JO65" s="198"/>
      <c r="JP65" s="198"/>
      <c r="JQ65" s="198"/>
      <c r="JR65" s="198"/>
      <c r="JS65" s="198"/>
      <c r="JT65" s="198"/>
      <c r="JU65" s="198"/>
      <c r="JV65" s="198"/>
      <c r="JW65" s="198"/>
      <c r="JX65" s="198"/>
      <c r="JY65" s="198"/>
      <c r="JZ65" s="198"/>
      <c r="KA65" s="198"/>
      <c r="KB65" s="198"/>
      <c r="KC65" s="198"/>
      <c r="KD65" s="198"/>
      <c r="KE65" s="198"/>
      <c r="KF65" s="198"/>
      <c r="KG65" s="198"/>
      <c r="KH65" s="198"/>
      <c r="KI65" s="198"/>
      <c r="KJ65" s="198"/>
      <c r="KK65" s="198"/>
      <c r="KL65" s="198"/>
      <c r="KM65" s="198"/>
      <c r="KN65" s="198"/>
      <c r="KO65" s="198"/>
      <c r="KP65" s="198"/>
      <c r="KQ65" s="198"/>
      <c r="KR65" s="198"/>
      <c r="KS65" s="198"/>
      <c r="KT65" s="198"/>
      <c r="KU65" s="198"/>
      <c r="KV65" s="198"/>
      <c r="KW65" s="198"/>
      <c r="KX65" s="198"/>
      <c r="KY65" s="198"/>
      <c r="KZ65" s="198"/>
      <c r="LA65" s="198"/>
      <c r="LB65" s="198"/>
      <c r="LC65" s="198"/>
      <c r="LD65" s="198"/>
      <c r="LE65" s="198"/>
      <c r="LF65" s="198"/>
      <c r="LG65" s="198"/>
      <c r="LH65" s="198"/>
      <c r="LI65" s="198"/>
      <c r="LJ65" s="198"/>
      <c r="LK65" s="198"/>
      <c r="LL65" s="198"/>
      <c r="LM65" s="198"/>
      <c r="LN65" s="198"/>
      <c r="LO65" s="198"/>
      <c r="LP65" s="198"/>
      <c r="LQ65" s="198"/>
      <c r="LR65" s="198"/>
      <c r="LS65" s="198"/>
      <c r="LT65" s="198"/>
      <c r="LU65" s="198"/>
      <c r="LV65" s="198"/>
      <c r="LW65" s="198"/>
      <c r="LX65" s="198"/>
      <c r="LY65" s="198"/>
      <c r="LZ65" s="198"/>
      <c r="MA65" s="198"/>
      <c r="MB65" s="198"/>
      <c r="MC65" s="198"/>
      <c r="MD65" s="198"/>
      <c r="ME65" s="198"/>
      <c r="MF65" s="198"/>
      <c r="MG65" s="198"/>
      <c r="MH65" s="198"/>
      <c r="MI65" s="198"/>
      <c r="MJ65" s="198"/>
      <c r="MK65" s="198"/>
      <c r="ML65" s="198"/>
      <c r="MM65" s="198"/>
      <c r="MN65" s="198"/>
      <c r="MO65" s="198"/>
      <c r="MP65" s="198"/>
      <c r="MQ65" s="198"/>
      <c r="MR65" s="198"/>
      <c r="MS65" s="198"/>
      <c r="MT65" s="198"/>
      <c r="MU65" s="198"/>
      <c r="MV65" s="198"/>
      <c r="MW65" s="198"/>
      <c r="MX65" s="198"/>
      <c r="MY65" s="198"/>
      <c r="MZ65" s="198"/>
      <c r="NA65" s="198"/>
      <c r="NB65" s="198"/>
      <c r="NC65" s="198"/>
      <c r="ND65" s="198"/>
      <c r="NE65" s="198"/>
      <c r="NF65" s="198"/>
      <c r="NG65" s="198"/>
      <c r="NH65" s="198"/>
      <c r="NI65" s="198"/>
      <c r="NJ65" s="198"/>
      <c r="NK65" s="198"/>
      <c r="NL65" s="198"/>
      <c r="NM65" s="198"/>
      <c r="NN65" s="198"/>
      <c r="NO65" s="198"/>
      <c r="NP65" s="198"/>
      <c r="NQ65" s="198"/>
      <c r="NR65" s="198"/>
      <c r="NS65" s="198"/>
      <c r="NT65" s="198"/>
      <c r="NU65" s="198"/>
      <c r="NV65" s="198"/>
      <c r="NW65" s="198"/>
      <c r="NX65" s="198"/>
      <c r="NY65" s="198"/>
      <c r="NZ65" s="198"/>
      <c r="OA65" s="198"/>
      <c r="OB65" s="198"/>
      <c r="OC65" s="198"/>
      <c r="OD65" s="198"/>
      <c r="OE65" s="198"/>
      <c r="OF65" s="198"/>
      <c r="OG65" s="198"/>
      <c r="OH65" s="198"/>
      <c r="OI65" s="198"/>
      <c r="OJ65" s="198"/>
      <c r="OK65" s="198"/>
      <c r="OL65" s="198"/>
      <c r="OM65" s="198"/>
      <c r="ON65" s="198"/>
      <c r="OO65" s="198"/>
      <c r="OP65" s="198"/>
      <c r="OQ65" s="198"/>
      <c r="OR65" s="198"/>
      <c r="OS65" s="198"/>
      <c r="OT65" s="198"/>
      <c r="OU65" s="198"/>
      <c r="OV65" s="198"/>
      <c r="OW65" s="198"/>
      <c r="OX65" s="198"/>
      <c r="OY65" s="198"/>
      <c r="OZ65" s="198"/>
      <c r="PA65" s="198"/>
      <c r="PB65" s="198"/>
      <c r="PC65" s="198"/>
      <c r="PD65" s="198"/>
      <c r="PE65" s="198"/>
      <c r="PF65" s="198"/>
      <c r="PG65" s="198"/>
      <c r="PH65" s="198"/>
      <c r="PI65" s="198"/>
      <c r="PJ65" s="198"/>
      <c r="PK65" s="198"/>
      <c r="PL65" s="198"/>
      <c r="PM65" s="198"/>
      <c r="PN65" s="198"/>
      <c r="PO65" s="198"/>
      <c r="PP65" s="198"/>
      <c r="PQ65" s="198"/>
      <c r="PR65" s="198"/>
      <c r="PS65" s="198"/>
      <c r="PT65" s="198"/>
      <c r="PU65" s="198"/>
      <c r="PV65" s="198"/>
      <c r="PW65" s="198"/>
      <c r="PX65" s="198"/>
      <c r="PY65" s="198"/>
      <c r="PZ65" s="198"/>
      <c r="QA65" s="198"/>
      <c r="QB65" s="198"/>
      <c r="QC65" s="198"/>
      <c r="QD65" s="198"/>
      <c r="QE65" s="198"/>
      <c r="QF65" s="198"/>
      <c r="QG65" s="198"/>
      <c r="QH65" s="198"/>
      <c r="QI65" s="198"/>
      <c r="QJ65" s="198"/>
      <c r="QK65" s="198"/>
      <c r="QL65" s="198"/>
      <c r="QM65" s="198"/>
      <c r="QN65" s="198"/>
      <c r="QO65" s="198"/>
      <c r="QP65" s="198"/>
      <c r="QQ65" s="198"/>
      <c r="QR65" s="198"/>
      <c r="QS65" s="198"/>
      <c r="QT65" s="198"/>
      <c r="QU65" s="198"/>
      <c r="QV65" s="198"/>
      <c r="QW65" s="198"/>
      <c r="QX65" s="198"/>
      <c r="QY65" s="198"/>
      <c r="QZ65" s="198"/>
      <c r="RA65" s="198"/>
      <c r="RB65" s="198"/>
      <c r="RC65" s="198"/>
      <c r="RD65" s="198"/>
      <c r="RE65" s="198"/>
      <c r="RF65" s="198"/>
      <c r="RG65" s="198"/>
      <c r="RH65" s="198"/>
      <c r="RI65" s="198"/>
      <c r="RJ65" s="198"/>
      <c r="RK65" s="198"/>
      <c r="RL65" s="198"/>
      <c r="RM65" s="198"/>
      <c r="RN65" s="198"/>
      <c r="RO65" s="198"/>
      <c r="RP65" s="198"/>
      <c r="RQ65" s="198"/>
      <c r="RR65" s="198"/>
      <c r="RS65" s="198"/>
      <c r="RT65" s="198"/>
      <c r="RU65" s="198"/>
      <c r="RV65" s="198"/>
      <c r="RW65" s="198"/>
      <c r="RX65" s="198"/>
      <c r="RY65" s="198"/>
      <c r="RZ65" s="198"/>
      <c r="SA65" s="198"/>
      <c r="SB65" s="198"/>
      <c r="SC65" s="198"/>
      <c r="SD65" s="198"/>
      <c r="SE65" s="198"/>
      <c r="SF65" s="198"/>
      <c r="SG65" s="198"/>
    </row>
    <row r="66" spans="1:501" ht="40.049999999999997" customHeight="1" x14ac:dyDescent="0.3">
      <c r="A66" s="543" t="s">
        <v>201</v>
      </c>
      <c r="B66" s="956" t="s">
        <v>202</v>
      </c>
      <c r="C66" s="950"/>
      <c r="D66" s="861"/>
      <c r="E66" s="862"/>
      <c r="F66" s="861"/>
      <c r="G66" s="862"/>
      <c r="H66" s="861"/>
      <c r="I66" s="862"/>
      <c r="J66" s="861"/>
      <c r="K66" s="862"/>
      <c r="L66" s="861"/>
      <c r="M66" s="862"/>
      <c r="N66" s="861"/>
      <c r="O66" s="862"/>
      <c r="P66" s="861"/>
      <c r="Q66" s="862"/>
      <c r="R66" s="861"/>
      <c r="S66" s="862"/>
      <c r="T66" s="861"/>
      <c r="U66" s="862"/>
      <c r="V66" s="861"/>
      <c r="W66" s="862"/>
      <c r="X66" s="861"/>
      <c r="Y66" s="862"/>
      <c r="Z66" s="861"/>
      <c r="AA66" s="862"/>
      <c r="AB66" s="864"/>
      <c r="AC66" s="864"/>
      <c r="AD66" s="864"/>
      <c r="AE66" s="864"/>
      <c r="AF66" s="861"/>
      <c r="AG66" s="865"/>
      <c r="AH66" s="866"/>
      <c r="AI66" s="199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8"/>
      <c r="BF66" s="198"/>
      <c r="BG66" s="198"/>
      <c r="BH66" s="198"/>
      <c r="BI66" s="198"/>
      <c r="BJ66" s="198"/>
      <c r="BK66" s="198"/>
      <c r="BL66" s="198"/>
      <c r="BM66" s="198"/>
      <c r="BN66" s="198"/>
      <c r="BO66" s="198"/>
      <c r="BP66" s="198"/>
      <c r="BQ66" s="198"/>
      <c r="BR66" s="198"/>
      <c r="BS66" s="198"/>
      <c r="BT66" s="198"/>
      <c r="BU66" s="198"/>
      <c r="BV66" s="198"/>
      <c r="BW66" s="198"/>
      <c r="BX66" s="198"/>
      <c r="BY66" s="198"/>
      <c r="BZ66" s="198"/>
      <c r="CA66" s="198"/>
      <c r="CB66" s="198"/>
      <c r="CC66" s="198"/>
      <c r="CD66" s="198"/>
      <c r="CE66" s="198"/>
      <c r="CF66" s="198"/>
      <c r="CG66" s="198"/>
      <c r="CH66" s="198"/>
      <c r="CI66" s="198"/>
      <c r="CJ66" s="198"/>
      <c r="CK66" s="198"/>
      <c r="CL66" s="198"/>
      <c r="CM66" s="198"/>
      <c r="CN66" s="198"/>
      <c r="CO66" s="198"/>
      <c r="CP66" s="198"/>
      <c r="CQ66" s="198"/>
      <c r="CR66" s="198"/>
      <c r="CS66" s="198"/>
      <c r="CT66" s="198"/>
      <c r="CU66" s="198"/>
      <c r="CV66" s="198"/>
      <c r="CW66" s="198"/>
      <c r="CX66" s="198"/>
      <c r="CY66" s="198"/>
      <c r="CZ66" s="198"/>
      <c r="DA66" s="198"/>
      <c r="DB66" s="198"/>
      <c r="DC66" s="198"/>
      <c r="DD66" s="198"/>
      <c r="DE66" s="198"/>
      <c r="DF66" s="198"/>
      <c r="DG66" s="198"/>
      <c r="DH66" s="198"/>
      <c r="DI66" s="198"/>
      <c r="DJ66" s="198"/>
      <c r="DK66" s="198"/>
      <c r="DL66" s="198"/>
      <c r="DM66" s="198"/>
      <c r="DN66" s="198"/>
      <c r="DO66" s="198"/>
      <c r="DP66" s="198"/>
      <c r="DQ66" s="198"/>
      <c r="DR66" s="198"/>
      <c r="DS66" s="198"/>
      <c r="DT66" s="198"/>
      <c r="DU66" s="198"/>
      <c r="DV66" s="198"/>
      <c r="DW66" s="198"/>
      <c r="DX66" s="198"/>
      <c r="DY66" s="198"/>
      <c r="DZ66" s="198"/>
      <c r="EA66" s="198"/>
      <c r="EB66" s="198"/>
      <c r="EC66" s="198"/>
      <c r="ED66" s="198"/>
      <c r="EE66" s="198"/>
      <c r="EF66" s="198"/>
      <c r="EG66" s="198"/>
      <c r="EH66" s="198"/>
      <c r="EI66" s="198"/>
      <c r="EJ66" s="198"/>
      <c r="EK66" s="198"/>
      <c r="EL66" s="198"/>
      <c r="EM66" s="198"/>
      <c r="EN66" s="198"/>
      <c r="EO66" s="198"/>
      <c r="EP66" s="198"/>
      <c r="EQ66" s="198"/>
      <c r="ER66" s="198"/>
      <c r="ES66" s="198"/>
      <c r="ET66" s="198"/>
      <c r="EU66" s="198"/>
      <c r="EV66" s="198"/>
      <c r="EW66" s="198"/>
      <c r="EX66" s="198"/>
      <c r="EY66" s="198"/>
      <c r="EZ66" s="198"/>
      <c r="FA66" s="198"/>
      <c r="FB66" s="198"/>
      <c r="FC66" s="198"/>
      <c r="FD66" s="198"/>
      <c r="FE66" s="198"/>
      <c r="FF66" s="198"/>
      <c r="FG66" s="198"/>
      <c r="FH66" s="198"/>
      <c r="FI66" s="198"/>
      <c r="FJ66" s="198"/>
      <c r="FK66" s="198"/>
      <c r="FL66" s="198"/>
      <c r="FM66" s="198"/>
      <c r="FN66" s="198"/>
      <c r="FO66" s="198"/>
      <c r="FP66" s="198"/>
      <c r="FQ66" s="198"/>
      <c r="FR66" s="198"/>
      <c r="FS66" s="198"/>
      <c r="FT66" s="198"/>
      <c r="FU66" s="198"/>
      <c r="FV66" s="198"/>
      <c r="FW66" s="198"/>
      <c r="FX66" s="198"/>
      <c r="FY66" s="198"/>
      <c r="FZ66" s="198"/>
      <c r="GA66" s="198"/>
      <c r="GB66" s="198"/>
      <c r="GC66" s="198"/>
      <c r="GD66" s="198"/>
      <c r="GE66" s="198"/>
      <c r="GF66" s="198"/>
      <c r="GG66" s="198"/>
      <c r="GH66" s="198"/>
      <c r="GI66" s="198"/>
      <c r="GJ66" s="198"/>
      <c r="GK66" s="198"/>
      <c r="GL66" s="198"/>
      <c r="GM66" s="198"/>
      <c r="GN66" s="198"/>
      <c r="GO66" s="198"/>
      <c r="GP66" s="198"/>
      <c r="GQ66" s="198"/>
      <c r="GR66" s="198"/>
      <c r="GS66" s="198"/>
      <c r="GT66" s="198"/>
      <c r="GU66" s="198"/>
      <c r="GV66" s="198"/>
      <c r="GW66" s="198"/>
      <c r="GX66" s="198"/>
      <c r="GY66" s="198"/>
      <c r="GZ66" s="198"/>
      <c r="HA66" s="198"/>
      <c r="HB66" s="198"/>
      <c r="HC66" s="198"/>
      <c r="HD66" s="198"/>
      <c r="HE66" s="198"/>
      <c r="HF66" s="198"/>
      <c r="HG66" s="198"/>
      <c r="HH66" s="198"/>
      <c r="HI66" s="198"/>
      <c r="HJ66" s="198"/>
      <c r="HK66" s="198"/>
      <c r="HL66" s="198"/>
      <c r="HM66" s="198"/>
      <c r="HN66" s="198"/>
      <c r="HO66" s="198"/>
      <c r="HP66" s="198"/>
      <c r="HQ66" s="198"/>
      <c r="HR66" s="198"/>
      <c r="HS66" s="198"/>
      <c r="HT66" s="198"/>
      <c r="HU66" s="198"/>
      <c r="HV66" s="198"/>
      <c r="HW66" s="198"/>
      <c r="HX66" s="198"/>
      <c r="HY66" s="198"/>
      <c r="HZ66" s="198"/>
      <c r="IA66" s="198"/>
      <c r="IB66" s="198"/>
      <c r="IC66" s="198"/>
      <c r="ID66" s="198"/>
      <c r="IE66" s="198"/>
      <c r="IF66" s="198"/>
      <c r="IG66" s="198"/>
      <c r="IH66" s="198"/>
      <c r="II66" s="198"/>
      <c r="IJ66" s="198"/>
      <c r="IK66" s="198"/>
      <c r="IL66" s="198"/>
      <c r="IM66" s="198"/>
      <c r="IN66" s="198"/>
      <c r="IO66" s="198"/>
      <c r="IP66" s="198"/>
      <c r="IQ66" s="198"/>
      <c r="IR66" s="198"/>
      <c r="IS66" s="198"/>
      <c r="IT66" s="198"/>
      <c r="IU66" s="198"/>
      <c r="IV66" s="198"/>
      <c r="IW66" s="198"/>
      <c r="IX66" s="198"/>
      <c r="IY66" s="198"/>
      <c r="IZ66" s="198"/>
      <c r="JA66" s="198"/>
      <c r="JB66" s="198"/>
      <c r="JC66" s="198"/>
      <c r="JD66" s="198"/>
      <c r="JE66" s="198"/>
      <c r="JF66" s="198"/>
      <c r="JG66" s="198"/>
      <c r="JH66" s="198"/>
      <c r="JI66" s="198"/>
      <c r="JJ66" s="198"/>
      <c r="JK66" s="198"/>
      <c r="JL66" s="198"/>
      <c r="JM66" s="198"/>
      <c r="JN66" s="198"/>
      <c r="JO66" s="198"/>
      <c r="JP66" s="198"/>
      <c r="JQ66" s="198"/>
      <c r="JR66" s="198"/>
      <c r="JS66" s="198"/>
      <c r="JT66" s="198"/>
      <c r="JU66" s="198"/>
      <c r="JV66" s="198"/>
      <c r="JW66" s="198"/>
      <c r="JX66" s="198"/>
      <c r="JY66" s="198"/>
      <c r="JZ66" s="198"/>
      <c r="KA66" s="198"/>
      <c r="KB66" s="198"/>
      <c r="KC66" s="198"/>
      <c r="KD66" s="198"/>
      <c r="KE66" s="198"/>
      <c r="KF66" s="198"/>
      <c r="KG66" s="198"/>
      <c r="KH66" s="198"/>
      <c r="KI66" s="198"/>
      <c r="KJ66" s="198"/>
      <c r="KK66" s="198"/>
      <c r="KL66" s="198"/>
      <c r="KM66" s="198"/>
      <c r="KN66" s="198"/>
      <c r="KO66" s="198"/>
      <c r="KP66" s="198"/>
      <c r="KQ66" s="198"/>
      <c r="KR66" s="198"/>
      <c r="KS66" s="198"/>
      <c r="KT66" s="198"/>
      <c r="KU66" s="198"/>
      <c r="KV66" s="198"/>
      <c r="KW66" s="198"/>
      <c r="KX66" s="198"/>
      <c r="KY66" s="198"/>
      <c r="KZ66" s="198"/>
      <c r="LA66" s="198"/>
      <c r="LB66" s="198"/>
      <c r="LC66" s="198"/>
      <c r="LD66" s="198"/>
      <c r="LE66" s="198"/>
      <c r="LF66" s="198"/>
      <c r="LG66" s="198"/>
      <c r="LH66" s="198"/>
      <c r="LI66" s="198"/>
      <c r="LJ66" s="198"/>
      <c r="LK66" s="198"/>
      <c r="LL66" s="198"/>
      <c r="LM66" s="198"/>
      <c r="LN66" s="198"/>
      <c r="LO66" s="198"/>
      <c r="LP66" s="198"/>
      <c r="LQ66" s="198"/>
      <c r="LR66" s="198"/>
      <c r="LS66" s="198"/>
      <c r="LT66" s="198"/>
      <c r="LU66" s="198"/>
      <c r="LV66" s="198"/>
      <c r="LW66" s="198"/>
      <c r="LX66" s="198"/>
      <c r="LY66" s="198"/>
      <c r="LZ66" s="198"/>
      <c r="MA66" s="198"/>
      <c r="MB66" s="198"/>
      <c r="MC66" s="198"/>
      <c r="MD66" s="198"/>
      <c r="ME66" s="198"/>
      <c r="MF66" s="198"/>
      <c r="MG66" s="198"/>
      <c r="MH66" s="198"/>
      <c r="MI66" s="198"/>
      <c r="MJ66" s="198"/>
      <c r="MK66" s="198"/>
      <c r="ML66" s="198"/>
      <c r="MM66" s="198"/>
      <c r="MN66" s="198"/>
      <c r="MO66" s="198"/>
      <c r="MP66" s="198"/>
      <c r="MQ66" s="198"/>
      <c r="MR66" s="198"/>
      <c r="MS66" s="198"/>
      <c r="MT66" s="198"/>
      <c r="MU66" s="198"/>
      <c r="MV66" s="198"/>
      <c r="MW66" s="198"/>
      <c r="MX66" s="198"/>
      <c r="MY66" s="198"/>
      <c r="MZ66" s="198"/>
      <c r="NA66" s="198"/>
      <c r="NB66" s="198"/>
      <c r="NC66" s="198"/>
      <c r="ND66" s="198"/>
      <c r="NE66" s="198"/>
      <c r="NF66" s="198"/>
      <c r="NG66" s="198"/>
      <c r="NH66" s="198"/>
      <c r="NI66" s="198"/>
      <c r="NJ66" s="198"/>
      <c r="NK66" s="198"/>
      <c r="NL66" s="198"/>
      <c r="NM66" s="198"/>
      <c r="NN66" s="198"/>
      <c r="NO66" s="198"/>
      <c r="NP66" s="198"/>
      <c r="NQ66" s="198"/>
      <c r="NR66" s="198"/>
      <c r="NS66" s="198"/>
      <c r="NT66" s="198"/>
      <c r="NU66" s="198"/>
      <c r="NV66" s="198"/>
      <c r="NW66" s="198"/>
      <c r="NX66" s="198"/>
      <c r="NY66" s="198"/>
      <c r="NZ66" s="198"/>
      <c r="OA66" s="198"/>
      <c r="OB66" s="198"/>
      <c r="OC66" s="198"/>
      <c r="OD66" s="198"/>
      <c r="OE66" s="198"/>
      <c r="OF66" s="198"/>
      <c r="OG66" s="198"/>
      <c r="OH66" s="198"/>
      <c r="OI66" s="198"/>
      <c r="OJ66" s="198"/>
      <c r="OK66" s="198"/>
      <c r="OL66" s="198"/>
      <c r="OM66" s="198"/>
      <c r="ON66" s="198"/>
      <c r="OO66" s="198"/>
      <c r="OP66" s="198"/>
      <c r="OQ66" s="198"/>
      <c r="OR66" s="198"/>
      <c r="OS66" s="198"/>
      <c r="OT66" s="198"/>
      <c r="OU66" s="198"/>
      <c r="OV66" s="198"/>
      <c r="OW66" s="198"/>
      <c r="OX66" s="198"/>
      <c r="OY66" s="198"/>
      <c r="OZ66" s="198"/>
      <c r="PA66" s="198"/>
      <c r="PB66" s="198"/>
      <c r="PC66" s="198"/>
      <c r="PD66" s="198"/>
      <c r="PE66" s="198"/>
      <c r="PF66" s="198"/>
      <c r="PG66" s="198"/>
      <c r="PH66" s="198"/>
      <c r="PI66" s="198"/>
      <c r="PJ66" s="198"/>
      <c r="PK66" s="198"/>
      <c r="PL66" s="198"/>
      <c r="PM66" s="198"/>
      <c r="PN66" s="198"/>
      <c r="PO66" s="198"/>
      <c r="PP66" s="198"/>
      <c r="PQ66" s="198"/>
      <c r="PR66" s="198"/>
      <c r="PS66" s="198"/>
      <c r="PT66" s="198"/>
      <c r="PU66" s="198"/>
      <c r="PV66" s="198"/>
      <c r="PW66" s="198"/>
      <c r="PX66" s="198"/>
      <c r="PY66" s="198"/>
      <c r="PZ66" s="198"/>
      <c r="QA66" s="198"/>
      <c r="QB66" s="198"/>
      <c r="QC66" s="198"/>
      <c r="QD66" s="198"/>
      <c r="QE66" s="198"/>
      <c r="QF66" s="198"/>
      <c r="QG66" s="198"/>
      <c r="QH66" s="198"/>
      <c r="QI66" s="198"/>
      <c r="QJ66" s="198"/>
      <c r="QK66" s="198"/>
      <c r="QL66" s="198"/>
      <c r="QM66" s="198"/>
      <c r="QN66" s="198"/>
      <c r="QO66" s="198"/>
      <c r="QP66" s="198"/>
      <c r="QQ66" s="198"/>
      <c r="QR66" s="198"/>
      <c r="QS66" s="198"/>
      <c r="QT66" s="198"/>
      <c r="QU66" s="198"/>
      <c r="QV66" s="198"/>
      <c r="QW66" s="198"/>
      <c r="QX66" s="198"/>
      <c r="QY66" s="198"/>
      <c r="QZ66" s="198"/>
      <c r="RA66" s="198"/>
      <c r="RB66" s="198"/>
      <c r="RC66" s="198"/>
      <c r="RD66" s="198"/>
      <c r="RE66" s="198"/>
      <c r="RF66" s="198"/>
      <c r="RG66" s="198"/>
      <c r="RH66" s="198"/>
      <c r="RI66" s="198"/>
      <c r="RJ66" s="198"/>
      <c r="RK66" s="198"/>
      <c r="RL66" s="198"/>
      <c r="RM66" s="198"/>
      <c r="RN66" s="198"/>
      <c r="RO66" s="198"/>
      <c r="RP66" s="198"/>
      <c r="RQ66" s="198"/>
      <c r="RR66" s="198"/>
      <c r="RS66" s="198"/>
      <c r="RT66" s="198"/>
      <c r="RU66" s="198"/>
      <c r="RV66" s="198"/>
      <c r="RW66" s="198"/>
      <c r="RX66" s="198"/>
      <c r="RY66" s="198"/>
      <c r="RZ66" s="198"/>
      <c r="SA66" s="198"/>
      <c r="SB66" s="198"/>
      <c r="SC66" s="198"/>
      <c r="SD66" s="198"/>
      <c r="SE66" s="198"/>
      <c r="SF66" s="198"/>
      <c r="SG66" s="198"/>
    </row>
    <row r="67" spans="1:501" ht="40.049999999999997" customHeight="1" thickBot="1" x14ac:dyDescent="0.35">
      <c r="A67" s="543" t="s">
        <v>203</v>
      </c>
      <c r="B67" s="956" t="s">
        <v>204</v>
      </c>
      <c r="C67" s="950">
        <f>'MANZ. A'!H69</f>
        <v>0</v>
      </c>
      <c r="D67" s="861"/>
      <c r="E67" s="862">
        <f>'MANZ. B'!R66</f>
        <v>0</v>
      </c>
      <c r="F67" s="861"/>
      <c r="G67" s="862">
        <f>MANZ.C!AL65</f>
        <v>0</v>
      </c>
      <c r="H67" s="861"/>
      <c r="I67" s="862">
        <f>MANZ.D!Z65</f>
        <v>0</v>
      </c>
      <c r="J67" s="861"/>
      <c r="K67" s="862">
        <f>MANZ.E!AL66</f>
        <v>0</v>
      </c>
      <c r="L67" s="861"/>
      <c r="M67" s="862">
        <f>MANZ.F!AB65</f>
        <v>0</v>
      </c>
      <c r="N67" s="861"/>
      <c r="O67" s="862" t="e">
        <f>MANZ.G!#REF!</f>
        <v>#REF!</v>
      </c>
      <c r="P67" s="861"/>
      <c r="Q67" s="862">
        <f>MANZ.H!V66</f>
        <v>0</v>
      </c>
      <c r="R67" s="861"/>
      <c r="S67" s="862">
        <f>MANZ.I!AB64</f>
        <v>0</v>
      </c>
      <c r="T67" s="861"/>
      <c r="U67" s="862">
        <f>MANZ.J!AT69</f>
        <v>0</v>
      </c>
      <c r="V67" s="861"/>
      <c r="W67" s="862">
        <f>MANZ.K!AB66</f>
        <v>0</v>
      </c>
      <c r="X67" s="861"/>
      <c r="Y67" s="862">
        <f>MANZ.L!Z66</f>
        <v>0</v>
      </c>
      <c r="Z67" s="861"/>
      <c r="AA67" s="862">
        <f>'SALA MULTIUSO'!F76</f>
        <v>0</v>
      </c>
      <c r="AB67" s="864"/>
      <c r="AC67" s="864"/>
      <c r="AD67" s="864"/>
      <c r="AE67" s="864"/>
      <c r="AF67" s="861"/>
      <c r="AG67" s="865">
        <f>SUM(C64:AA64)</f>
        <v>0</v>
      </c>
      <c r="AH67" s="866"/>
      <c r="AI67" s="199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8"/>
      <c r="AX67" s="198"/>
      <c r="AY67" s="198"/>
      <c r="AZ67" s="198"/>
      <c r="BA67" s="198"/>
      <c r="BB67" s="198"/>
      <c r="BC67" s="198"/>
      <c r="BD67" s="198"/>
      <c r="BE67" s="198"/>
      <c r="BF67" s="198"/>
      <c r="BG67" s="198"/>
      <c r="BH67" s="198"/>
      <c r="BI67" s="198"/>
      <c r="BJ67" s="198"/>
      <c r="BK67" s="198"/>
      <c r="BL67" s="198"/>
      <c r="BM67" s="198"/>
      <c r="BN67" s="198"/>
      <c r="BO67" s="198"/>
      <c r="BP67" s="198"/>
      <c r="BQ67" s="198"/>
      <c r="BR67" s="198"/>
      <c r="BS67" s="198"/>
      <c r="BT67" s="198"/>
      <c r="BU67" s="198"/>
      <c r="BV67" s="198"/>
      <c r="BW67" s="198"/>
      <c r="BX67" s="198"/>
      <c r="BY67" s="198"/>
      <c r="BZ67" s="198"/>
      <c r="CA67" s="198"/>
      <c r="CB67" s="198"/>
      <c r="CC67" s="198"/>
      <c r="CD67" s="198"/>
      <c r="CE67" s="198"/>
      <c r="CF67" s="198"/>
      <c r="CG67" s="198"/>
      <c r="CH67" s="198"/>
      <c r="CI67" s="198"/>
      <c r="CJ67" s="198"/>
      <c r="CK67" s="198"/>
      <c r="CL67" s="198"/>
      <c r="CM67" s="198"/>
      <c r="CN67" s="198"/>
      <c r="CO67" s="198"/>
      <c r="CP67" s="198"/>
      <c r="CQ67" s="198"/>
      <c r="CR67" s="198"/>
      <c r="CS67" s="198"/>
      <c r="CT67" s="198"/>
      <c r="CU67" s="198"/>
      <c r="CV67" s="198"/>
      <c r="CW67" s="198"/>
      <c r="CX67" s="198"/>
      <c r="CY67" s="198"/>
      <c r="CZ67" s="198"/>
      <c r="DA67" s="198"/>
      <c r="DB67" s="198"/>
      <c r="DC67" s="198"/>
      <c r="DD67" s="198"/>
      <c r="DE67" s="198"/>
      <c r="DF67" s="198"/>
      <c r="DG67" s="198"/>
      <c r="DH67" s="198"/>
      <c r="DI67" s="198"/>
      <c r="DJ67" s="198"/>
      <c r="DK67" s="198"/>
      <c r="DL67" s="198"/>
      <c r="DM67" s="198"/>
      <c r="DN67" s="198"/>
      <c r="DO67" s="198"/>
      <c r="DP67" s="198"/>
      <c r="DQ67" s="198"/>
      <c r="DR67" s="198"/>
      <c r="DS67" s="198"/>
      <c r="DT67" s="198"/>
      <c r="DU67" s="198"/>
      <c r="DV67" s="198"/>
      <c r="DW67" s="198"/>
      <c r="DX67" s="198"/>
      <c r="DY67" s="198"/>
      <c r="DZ67" s="198"/>
      <c r="EA67" s="198"/>
      <c r="EB67" s="198"/>
      <c r="EC67" s="198"/>
      <c r="ED67" s="198"/>
      <c r="EE67" s="198"/>
      <c r="EF67" s="198"/>
      <c r="EG67" s="198"/>
      <c r="EH67" s="198"/>
      <c r="EI67" s="198"/>
      <c r="EJ67" s="198"/>
      <c r="EK67" s="198"/>
      <c r="EL67" s="198"/>
      <c r="EM67" s="198"/>
      <c r="EN67" s="198"/>
      <c r="EO67" s="198"/>
      <c r="EP67" s="198"/>
      <c r="EQ67" s="198"/>
      <c r="ER67" s="198"/>
      <c r="ES67" s="198"/>
      <c r="ET67" s="198"/>
      <c r="EU67" s="198"/>
      <c r="EV67" s="198"/>
      <c r="EW67" s="198"/>
      <c r="EX67" s="198"/>
      <c r="EY67" s="198"/>
      <c r="EZ67" s="198"/>
      <c r="FA67" s="198"/>
      <c r="FB67" s="198"/>
      <c r="FC67" s="198"/>
      <c r="FD67" s="198"/>
      <c r="FE67" s="198"/>
      <c r="FF67" s="198"/>
      <c r="FG67" s="198"/>
      <c r="FH67" s="198"/>
      <c r="FI67" s="198"/>
      <c r="FJ67" s="198"/>
      <c r="FK67" s="198"/>
      <c r="FL67" s="198"/>
      <c r="FM67" s="198"/>
      <c r="FN67" s="198"/>
      <c r="FO67" s="198"/>
      <c r="FP67" s="198"/>
      <c r="FQ67" s="198"/>
      <c r="FR67" s="198"/>
      <c r="FS67" s="198"/>
      <c r="FT67" s="198"/>
      <c r="FU67" s="198"/>
      <c r="FV67" s="198"/>
      <c r="FW67" s="198"/>
      <c r="FX67" s="198"/>
      <c r="FY67" s="198"/>
      <c r="FZ67" s="198"/>
      <c r="GA67" s="198"/>
      <c r="GB67" s="198"/>
      <c r="GC67" s="198"/>
      <c r="GD67" s="198"/>
      <c r="GE67" s="198"/>
      <c r="GF67" s="198"/>
      <c r="GG67" s="198"/>
      <c r="GH67" s="198"/>
      <c r="GI67" s="198"/>
      <c r="GJ67" s="198"/>
      <c r="GK67" s="198"/>
      <c r="GL67" s="198"/>
      <c r="GM67" s="198"/>
      <c r="GN67" s="198"/>
      <c r="GO67" s="198"/>
      <c r="GP67" s="198"/>
      <c r="GQ67" s="198"/>
      <c r="GR67" s="198"/>
      <c r="GS67" s="198"/>
      <c r="GT67" s="198"/>
      <c r="GU67" s="198"/>
      <c r="GV67" s="198"/>
      <c r="GW67" s="198"/>
      <c r="GX67" s="198"/>
      <c r="GY67" s="198"/>
      <c r="GZ67" s="198"/>
      <c r="HA67" s="198"/>
      <c r="HB67" s="198"/>
      <c r="HC67" s="198"/>
      <c r="HD67" s="198"/>
      <c r="HE67" s="198"/>
      <c r="HF67" s="198"/>
      <c r="HG67" s="198"/>
      <c r="HH67" s="198"/>
      <c r="HI67" s="198"/>
      <c r="HJ67" s="198"/>
      <c r="HK67" s="198"/>
      <c r="HL67" s="198"/>
      <c r="HM67" s="198"/>
      <c r="HN67" s="198"/>
      <c r="HO67" s="198"/>
      <c r="HP67" s="198"/>
      <c r="HQ67" s="198"/>
      <c r="HR67" s="198"/>
      <c r="HS67" s="198"/>
      <c r="HT67" s="198"/>
      <c r="HU67" s="198"/>
      <c r="HV67" s="198"/>
      <c r="HW67" s="198"/>
      <c r="HX67" s="198"/>
      <c r="HY67" s="198"/>
      <c r="HZ67" s="198"/>
      <c r="IA67" s="198"/>
      <c r="IB67" s="198"/>
      <c r="IC67" s="198"/>
      <c r="ID67" s="198"/>
      <c r="IE67" s="198"/>
      <c r="IF67" s="198"/>
      <c r="IG67" s="198"/>
      <c r="IH67" s="198"/>
      <c r="II67" s="198"/>
      <c r="IJ67" s="198"/>
      <c r="IK67" s="198"/>
      <c r="IL67" s="198"/>
      <c r="IM67" s="198"/>
      <c r="IN67" s="198"/>
      <c r="IO67" s="198"/>
      <c r="IP67" s="198"/>
      <c r="IQ67" s="198"/>
      <c r="IR67" s="198"/>
      <c r="IS67" s="198"/>
      <c r="IT67" s="198"/>
      <c r="IU67" s="198"/>
      <c r="IV67" s="198"/>
      <c r="IW67" s="198"/>
      <c r="IX67" s="198"/>
      <c r="IY67" s="198"/>
      <c r="IZ67" s="198"/>
      <c r="JA67" s="198"/>
      <c r="JB67" s="198"/>
      <c r="JC67" s="198"/>
      <c r="JD67" s="198"/>
      <c r="JE67" s="198"/>
      <c r="JF67" s="198"/>
      <c r="JG67" s="198"/>
      <c r="JH67" s="198"/>
      <c r="JI67" s="198"/>
      <c r="JJ67" s="198"/>
      <c r="JK67" s="198"/>
      <c r="JL67" s="198"/>
      <c r="JM67" s="198"/>
      <c r="JN67" s="198"/>
      <c r="JO67" s="198"/>
      <c r="JP67" s="198"/>
      <c r="JQ67" s="198"/>
      <c r="JR67" s="198"/>
      <c r="JS67" s="198"/>
      <c r="JT67" s="198"/>
      <c r="JU67" s="198"/>
      <c r="JV67" s="198"/>
      <c r="JW67" s="198"/>
      <c r="JX67" s="198"/>
      <c r="JY67" s="198"/>
      <c r="JZ67" s="198"/>
      <c r="KA67" s="198"/>
      <c r="KB67" s="198"/>
      <c r="KC67" s="198"/>
      <c r="KD67" s="198"/>
      <c r="KE67" s="198"/>
      <c r="KF67" s="198"/>
      <c r="KG67" s="198"/>
      <c r="KH67" s="198"/>
      <c r="KI67" s="198"/>
      <c r="KJ67" s="198"/>
      <c r="KK67" s="198"/>
      <c r="KL67" s="198"/>
      <c r="KM67" s="198"/>
      <c r="KN67" s="198"/>
      <c r="KO67" s="198"/>
      <c r="KP67" s="198"/>
      <c r="KQ67" s="198"/>
      <c r="KR67" s="198"/>
      <c r="KS67" s="198"/>
      <c r="KT67" s="198"/>
      <c r="KU67" s="198"/>
      <c r="KV67" s="198"/>
      <c r="KW67" s="198"/>
      <c r="KX67" s="198"/>
      <c r="KY67" s="198"/>
      <c r="KZ67" s="198"/>
      <c r="LA67" s="198"/>
      <c r="LB67" s="198"/>
      <c r="LC67" s="198"/>
      <c r="LD67" s="198"/>
      <c r="LE67" s="198"/>
      <c r="LF67" s="198"/>
      <c r="LG67" s="198"/>
      <c r="LH67" s="198"/>
      <c r="LI67" s="198"/>
      <c r="LJ67" s="198"/>
      <c r="LK67" s="198"/>
      <c r="LL67" s="198"/>
      <c r="LM67" s="198"/>
      <c r="LN67" s="198"/>
      <c r="LO67" s="198"/>
      <c r="LP67" s="198"/>
      <c r="LQ67" s="198"/>
      <c r="LR67" s="198"/>
      <c r="LS67" s="198"/>
      <c r="LT67" s="198"/>
      <c r="LU67" s="198"/>
      <c r="LV67" s="198"/>
      <c r="LW67" s="198"/>
      <c r="LX67" s="198"/>
      <c r="LY67" s="198"/>
      <c r="LZ67" s="198"/>
      <c r="MA67" s="198"/>
      <c r="MB67" s="198"/>
      <c r="MC67" s="198"/>
      <c r="MD67" s="198"/>
      <c r="ME67" s="198"/>
      <c r="MF67" s="198"/>
      <c r="MG67" s="198"/>
      <c r="MH67" s="198"/>
      <c r="MI67" s="198"/>
      <c r="MJ67" s="198"/>
      <c r="MK67" s="198"/>
      <c r="ML67" s="198"/>
      <c r="MM67" s="198"/>
      <c r="MN67" s="198"/>
      <c r="MO67" s="198"/>
      <c r="MP67" s="198"/>
      <c r="MQ67" s="198"/>
      <c r="MR67" s="198"/>
      <c r="MS67" s="198"/>
      <c r="MT67" s="198"/>
      <c r="MU67" s="198"/>
      <c r="MV67" s="198"/>
      <c r="MW67" s="198"/>
      <c r="MX67" s="198"/>
      <c r="MY67" s="198"/>
      <c r="MZ67" s="198"/>
      <c r="NA67" s="198"/>
      <c r="NB67" s="198"/>
      <c r="NC67" s="198"/>
      <c r="ND67" s="198"/>
      <c r="NE67" s="198"/>
      <c r="NF67" s="198"/>
      <c r="NG67" s="198"/>
      <c r="NH67" s="198"/>
      <c r="NI67" s="198"/>
      <c r="NJ67" s="198"/>
      <c r="NK67" s="198"/>
      <c r="NL67" s="198"/>
      <c r="NM67" s="198"/>
      <c r="NN67" s="198"/>
      <c r="NO67" s="198"/>
      <c r="NP67" s="198"/>
      <c r="NQ67" s="198"/>
      <c r="NR67" s="198"/>
      <c r="NS67" s="198"/>
      <c r="NT67" s="198"/>
      <c r="NU67" s="198"/>
      <c r="NV67" s="198"/>
      <c r="NW67" s="198"/>
      <c r="NX67" s="198"/>
      <c r="NY67" s="198"/>
      <c r="NZ67" s="198"/>
      <c r="OA67" s="198"/>
      <c r="OB67" s="198"/>
      <c r="OC67" s="198"/>
      <c r="OD67" s="198"/>
      <c r="OE67" s="198"/>
      <c r="OF67" s="198"/>
      <c r="OG67" s="198"/>
      <c r="OH67" s="198"/>
      <c r="OI67" s="198"/>
      <c r="OJ67" s="198"/>
      <c r="OK67" s="198"/>
      <c r="OL67" s="198"/>
      <c r="OM67" s="198"/>
      <c r="ON67" s="198"/>
      <c r="OO67" s="198"/>
      <c r="OP67" s="198"/>
      <c r="OQ67" s="198"/>
      <c r="OR67" s="198"/>
      <c r="OS67" s="198"/>
      <c r="OT67" s="198"/>
      <c r="OU67" s="198"/>
      <c r="OV67" s="198"/>
      <c r="OW67" s="198"/>
      <c r="OX67" s="198"/>
      <c r="OY67" s="198"/>
      <c r="OZ67" s="198"/>
      <c r="PA67" s="198"/>
      <c r="PB67" s="198"/>
      <c r="PC67" s="198"/>
      <c r="PD67" s="198"/>
      <c r="PE67" s="198"/>
      <c r="PF67" s="198"/>
      <c r="PG67" s="198"/>
      <c r="PH67" s="198"/>
      <c r="PI67" s="198"/>
      <c r="PJ67" s="198"/>
      <c r="PK67" s="198"/>
      <c r="PL67" s="198"/>
      <c r="PM67" s="198"/>
      <c r="PN67" s="198"/>
      <c r="PO67" s="198"/>
      <c r="PP67" s="198"/>
      <c r="PQ67" s="198"/>
      <c r="PR67" s="198"/>
      <c r="PS67" s="198"/>
      <c r="PT67" s="198"/>
      <c r="PU67" s="198"/>
      <c r="PV67" s="198"/>
      <c r="PW67" s="198"/>
      <c r="PX67" s="198"/>
      <c r="PY67" s="198"/>
      <c r="PZ67" s="198"/>
      <c r="QA67" s="198"/>
      <c r="QB67" s="198"/>
      <c r="QC67" s="198"/>
      <c r="QD67" s="198"/>
      <c r="QE67" s="198"/>
      <c r="QF67" s="198"/>
      <c r="QG67" s="198"/>
      <c r="QH67" s="198"/>
      <c r="QI67" s="198"/>
      <c r="QJ67" s="198"/>
      <c r="QK67" s="198"/>
      <c r="QL67" s="198"/>
      <c r="QM67" s="198"/>
      <c r="QN67" s="198"/>
      <c r="QO67" s="198"/>
      <c r="QP67" s="198"/>
      <c r="QQ67" s="198"/>
      <c r="QR67" s="198"/>
      <c r="QS67" s="198"/>
      <c r="QT67" s="198"/>
      <c r="QU67" s="198"/>
      <c r="QV67" s="198"/>
      <c r="QW67" s="198"/>
      <c r="QX67" s="198"/>
      <c r="QY67" s="198"/>
      <c r="QZ67" s="198"/>
      <c r="RA67" s="198"/>
      <c r="RB67" s="198"/>
      <c r="RC67" s="198"/>
      <c r="RD67" s="198"/>
      <c r="RE67" s="198"/>
      <c r="RF67" s="198"/>
      <c r="RG67" s="198"/>
      <c r="RH67" s="198"/>
      <c r="RI67" s="198"/>
      <c r="RJ67" s="198"/>
      <c r="RK67" s="198"/>
      <c r="RL67" s="198"/>
      <c r="RM67" s="198"/>
      <c r="RN67" s="198"/>
      <c r="RO67" s="198"/>
      <c r="RP67" s="198"/>
      <c r="RQ67" s="198"/>
      <c r="RR67" s="198"/>
      <c r="RS67" s="198"/>
      <c r="RT67" s="198"/>
      <c r="RU67" s="198"/>
      <c r="RV67" s="198"/>
      <c r="RW67" s="198"/>
      <c r="RX67" s="198"/>
      <c r="RY67" s="198"/>
      <c r="RZ67" s="198"/>
      <c r="SA67" s="198"/>
      <c r="SB67" s="198"/>
      <c r="SC67" s="198"/>
      <c r="SD67" s="198"/>
      <c r="SE67" s="198"/>
      <c r="SF67" s="198"/>
      <c r="SG67" s="198"/>
    </row>
    <row r="68" spans="1:501" ht="40.049999999999997" customHeight="1" x14ac:dyDescent="0.3">
      <c r="A68" s="542" t="s">
        <v>205</v>
      </c>
      <c r="B68" s="953" t="s">
        <v>206</v>
      </c>
      <c r="C68" s="944"/>
      <c r="D68" s="944"/>
      <c r="E68" s="944"/>
      <c r="F68" s="944"/>
      <c r="G68" s="944"/>
      <c r="H68" s="944"/>
      <c r="I68" s="944"/>
      <c r="J68" s="944"/>
      <c r="K68" s="944"/>
      <c r="L68" s="944"/>
      <c r="M68" s="944"/>
      <c r="N68" s="944"/>
      <c r="O68" s="944"/>
      <c r="P68" s="944"/>
      <c r="Q68" s="944"/>
      <c r="R68" s="944"/>
      <c r="S68" s="944"/>
      <c r="T68" s="944"/>
      <c r="U68" s="944"/>
      <c r="V68" s="944"/>
      <c r="W68" s="944"/>
      <c r="X68" s="944"/>
      <c r="Y68" s="944"/>
      <c r="Z68" s="944"/>
      <c r="AA68" s="944"/>
      <c r="AB68" s="944"/>
      <c r="AC68" s="944"/>
      <c r="AD68" s="944"/>
      <c r="AE68" s="944"/>
      <c r="AF68" s="944"/>
      <c r="AG68" s="944"/>
      <c r="AH68" s="945"/>
      <c r="AJ68" s="198"/>
      <c r="AK68" s="198"/>
      <c r="AL68" s="198"/>
      <c r="AM68" s="198"/>
      <c r="AN68" s="198"/>
      <c r="AO68" s="198"/>
      <c r="AP68" s="198"/>
      <c r="AQ68" s="198"/>
      <c r="AR68" s="198"/>
      <c r="AS68" s="198"/>
      <c r="AT68" s="198"/>
      <c r="AU68" s="198"/>
      <c r="AV68" s="198"/>
      <c r="AW68" s="198"/>
      <c r="AX68" s="198"/>
      <c r="AY68" s="198"/>
      <c r="AZ68" s="198"/>
      <c r="BA68" s="198"/>
      <c r="BB68" s="198"/>
      <c r="BC68" s="198"/>
      <c r="BD68" s="198"/>
      <c r="BE68" s="198"/>
      <c r="BF68" s="198"/>
      <c r="BG68" s="198"/>
      <c r="BH68" s="198"/>
      <c r="BI68" s="198"/>
      <c r="BJ68" s="198"/>
      <c r="BK68" s="198"/>
      <c r="BL68" s="198"/>
      <c r="BM68" s="198"/>
      <c r="BN68" s="198"/>
      <c r="BO68" s="198"/>
      <c r="BP68" s="198"/>
      <c r="BQ68" s="198"/>
      <c r="BR68" s="198"/>
      <c r="BS68" s="198"/>
      <c r="BT68" s="198"/>
      <c r="BU68" s="198"/>
      <c r="BV68" s="198"/>
      <c r="BW68" s="198"/>
      <c r="BX68" s="198"/>
      <c r="BY68" s="198"/>
      <c r="BZ68" s="198"/>
      <c r="CA68" s="198"/>
      <c r="CB68" s="198"/>
      <c r="CC68" s="198"/>
      <c r="CD68" s="198"/>
      <c r="CE68" s="198"/>
      <c r="CF68" s="198"/>
      <c r="CG68" s="198"/>
      <c r="CH68" s="198"/>
      <c r="CI68" s="198"/>
      <c r="CJ68" s="198"/>
      <c r="CK68" s="198"/>
      <c r="CL68" s="198"/>
      <c r="CM68" s="198"/>
      <c r="CN68" s="198"/>
      <c r="CO68" s="198"/>
      <c r="CP68" s="198"/>
      <c r="CQ68" s="198"/>
      <c r="CR68" s="198"/>
      <c r="CS68" s="198"/>
      <c r="CT68" s="198"/>
      <c r="CU68" s="198"/>
      <c r="CV68" s="198"/>
      <c r="CW68" s="198"/>
      <c r="CX68" s="198"/>
      <c r="CY68" s="198"/>
      <c r="CZ68" s="198"/>
      <c r="DA68" s="198"/>
      <c r="DB68" s="198"/>
      <c r="DC68" s="198"/>
      <c r="DD68" s="198"/>
      <c r="DE68" s="198"/>
      <c r="DF68" s="198"/>
      <c r="DG68" s="198"/>
      <c r="DH68" s="198"/>
      <c r="DI68" s="198"/>
      <c r="DJ68" s="198"/>
      <c r="DK68" s="198"/>
      <c r="DL68" s="198"/>
      <c r="DM68" s="198"/>
      <c r="DN68" s="198"/>
      <c r="DO68" s="198"/>
      <c r="DP68" s="198"/>
      <c r="DQ68" s="198"/>
      <c r="DR68" s="198"/>
      <c r="DS68" s="198"/>
      <c r="DT68" s="198"/>
      <c r="DU68" s="198"/>
      <c r="DV68" s="198"/>
      <c r="DW68" s="198"/>
      <c r="DX68" s="198"/>
      <c r="DY68" s="198"/>
      <c r="DZ68" s="198"/>
      <c r="EA68" s="198"/>
      <c r="EB68" s="198"/>
      <c r="EC68" s="198"/>
      <c r="ED68" s="198"/>
      <c r="EE68" s="198"/>
      <c r="EF68" s="198"/>
      <c r="EG68" s="198"/>
      <c r="EH68" s="198"/>
      <c r="EI68" s="198"/>
      <c r="EJ68" s="198"/>
      <c r="EK68" s="198"/>
      <c r="EL68" s="198"/>
      <c r="EM68" s="198"/>
      <c r="EN68" s="198"/>
      <c r="EO68" s="198"/>
      <c r="EP68" s="198"/>
      <c r="EQ68" s="198"/>
      <c r="ER68" s="198"/>
      <c r="ES68" s="198"/>
      <c r="ET68" s="198"/>
      <c r="EU68" s="198"/>
      <c r="EV68" s="198"/>
      <c r="EW68" s="198"/>
      <c r="EX68" s="198"/>
      <c r="EY68" s="198"/>
      <c r="EZ68" s="198"/>
      <c r="FA68" s="198"/>
      <c r="FB68" s="198"/>
      <c r="FC68" s="198"/>
      <c r="FD68" s="198"/>
      <c r="FE68" s="198"/>
      <c r="FF68" s="198"/>
      <c r="FG68" s="198"/>
      <c r="FH68" s="198"/>
      <c r="FI68" s="198"/>
      <c r="FJ68" s="198"/>
      <c r="FK68" s="198"/>
      <c r="FL68" s="198"/>
      <c r="FM68" s="198"/>
      <c r="FN68" s="198"/>
      <c r="FO68" s="198"/>
      <c r="FP68" s="198"/>
      <c r="FQ68" s="198"/>
      <c r="FR68" s="198"/>
      <c r="FS68" s="198"/>
      <c r="FT68" s="198"/>
      <c r="FU68" s="198"/>
      <c r="FV68" s="198"/>
      <c r="FW68" s="198"/>
      <c r="FX68" s="198"/>
      <c r="FY68" s="198"/>
      <c r="FZ68" s="198"/>
      <c r="GA68" s="198"/>
      <c r="GB68" s="198"/>
      <c r="GC68" s="198"/>
      <c r="GD68" s="198"/>
      <c r="GE68" s="198"/>
      <c r="GF68" s="198"/>
      <c r="GG68" s="198"/>
      <c r="GH68" s="198"/>
      <c r="GI68" s="198"/>
      <c r="GJ68" s="198"/>
      <c r="GK68" s="198"/>
      <c r="GL68" s="198"/>
      <c r="GM68" s="198"/>
      <c r="GN68" s="198"/>
      <c r="GO68" s="198"/>
      <c r="GP68" s="198"/>
      <c r="GQ68" s="198"/>
      <c r="GR68" s="198"/>
      <c r="GS68" s="198"/>
      <c r="GT68" s="198"/>
      <c r="GU68" s="198"/>
      <c r="GV68" s="198"/>
      <c r="GW68" s="198"/>
      <c r="GX68" s="198"/>
      <c r="GY68" s="198"/>
      <c r="GZ68" s="198"/>
      <c r="HA68" s="198"/>
      <c r="HB68" s="198"/>
      <c r="HC68" s="198"/>
      <c r="HD68" s="198"/>
      <c r="HE68" s="198"/>
      <c r="HF68" s="198"/>
      <c r="HG68" s="198"/>
      <c r="HH68" s="198"/>
      <c r="HI68" s="198"/>
      <c r="HJ68" s="198"/>
      <c r="HK68" s="198"/>
      <c r="HL68" s="198"/>
      <c r="HM68" s="198"/>
      <c r="HN68" s="198"/>
      <c r="HO68" s="198"/>
      <c r="HP68" s="198"/>
      <c r="HQ68" s="198"/>
      <c r="HR68" s="198"/>
      <c r="HS68" s="198"/>
      <c r="HT68" s="198"/>
      <c r="HU68" s="198"/>
      <c r="HV68" s="198"/>
      <c r="HW68" s="198"/>
      <c r="HX68" s="198"/>
      <c r="HY68" s="198"/>
      <c r="HZ68" s="198"/>
      <c r="IA68" s="198"/>
      <c r="IB68" s="198"/>
      <c r="IC68" s="198"/>
      <c r="ID68" s="198"/>
      <c r="IE68" s="198"/>
      <c r="IF68" s="198"/>
      <c r="IG68" s="198"/>
      <c r="IH68" s="198"/>
      <c r="II68" s="198"/>
      <c r="IJ68" s="198"/>
      <c r="IK68" s="198"/>
      <c r="IL68" s="198"/>
      <c r="IM68" s="198"/>
      <c r="IN68" s="198"/>
      <c r="IO68" s="198"/>
      <c r="IP68" s="198"/>
      <c r="IQ68" s="198"/>
      <c r="IR68" s="198"/>
      <c r="IS68" s="198"/>
      <c r="IT68" s="198"/>
      <c r="IU68" s="198"/>
      <c r="IV68" s="198"/>
      <c r="IW68" s="198"/>
      <c r="IX68" s="198"/>
      <c r="IY68" s="198"/>
      <c r="IZ68" s="198"/>
      <c r="JA68" s="198"/>
      <c r="JB68" s="198"/>
      <c r="JC68" s="198"/>
      <c r="JD68" s="198"/>
      <c r="JE68" s="198"/>
      <c r="JF68" s="198"/>
      <c r="JG68" s="198"/>
      <c r="JH68" s="198"/>
      <c r="JI68" s="198"/>
      <c r="JJ68" s="198"/>
      <c r="JK68" s="198"/>
      <c r="JL68" s="198"/>
      <c r="JM68" s="198"/>
      <c r="JN68" s="198"/>
      <c r="JO68" s="198"/>
      <c r="JP68" s="198"/>
      <c r="JQ68" s="198"/>
      <c r="JR68" s="198"/>
      <c r="JS68" s="198"/>
      <c r="JT68" s="198"/>
      <c r="JU68" s="198"/>
      <c r="JV68" s="198"/>
      <c r="JW68" s="198"/>
      <c r="JX68" s="198"/>
      <c r="JY68" s="198"/>
      <c r="JZ68" s="198"/>
      <c r="KA68" s="198"/>
      <c r="KB68" s="198"/>
      <c r="KC68" s="198"/>
      <c r="KD68" s="198"/>
      <c r="KE68" s="198"/>
      <c r="KF68" s="198"/>
      <c r="KG68" s="198"/>
      <c r="KH68" s="198"/>
      <c r="KI68" s="198"/>
      <c r="KJ68" s="198"/>
      <c r="KK68" s="198"/>
      <c r="KL68" s="198"/>
      <c r="KM68" s="198"/>
      <c r="KN68" s="198"/>
      <c r="KO68" s="198"/>
      <c r="KP68" s="198"/>
      <c r="KQ68" s="198"/>
      <c r="KR68" s="198"/>
      <c r="KS68" s="198"/>
      <c r="KT68" s="198"/>
      <c r="KU68" s="198"/>
      <c r="KV68" s="198"/>
      <c r="KW68" s="198"/>
      <c r="KX68" s="198"/>
      <c r="KY68" s="198"/>
      <c r="KZ68" s="198"/>
      <c r="LA68" s="198"/>
      <c r="LB68" s="198"/>
      <c r="LC68" s="198"/>
      <c r="LD68" s="198"/>
      <c r="LE68" s="198"/>
      <c r="LF68" s="198"/>
      <c r="LG68" s="198"/>
      <c r="LH68" s="198"/>
      <c r="LI68" s="198"/>
      <c r="LJ68" s="198"/>
      <c r="LK68" s="198"/>
      <c r="LL68" s="198"/>
      <c r="LM68" s="198"/>
      <c r="LN68" s="198"/>
      <c r="LO68" s="198"/>
      <c r="LP68" s="198"/>
      <c r="LQ68" s="198"/>
      <c r="LR68" s="198"/>
      <c r="LS68" s="198"/>
      <c r="LT68" s="198"/>
      <c r="LU68" s="198"/>
      <c r="LV68" s="198"/>
      <c r="LW68" s="198"/>
      <c r="LX68" s="198"/>
      <c r="LY68" s="198"/>
      <c r="LZ68" s="198"/>
      <c r="MA68" s="198"/>
      <c r="MB68" s="198"/>
      <c r="MC68" s="198"/>
      <c r="MD68" s="198"/>
      <c r="ME68" s="198"/>
      <c r="MF68" s="198"/>
      <c r="MG68" s="198"/>
      <c r="MH68" s="198"/>
      <c r="MI68" s="198"/>
      <c r="MJ68" s="198"/>
      <c r="MK68" s="198"/>
      <c r="ML68" s="198"/>
      <c r="MM68" s="198"/>
      <c r="MN68" s="198"/>
      <c r="MO68" s="198"/>
      <c r="MP68" s="198"/>
      <c r="MQ68" s="198"/>
      <c r="MR68" s="198"/>
      <c r="MS68" s="198"/>
      <c r="MT68" s="198"/>
      <c r="MU68" s="198"/>
      <c r="MV68" s="198"/>
      <c r="MW68" s="198"/>
      <c r="MX68" s="198"/>
      <c r="MY68" s="198"/>
      <c r="MZ68" s="198"/>
      <c r="NA68" s="198"/>
      <c r="NB68" s="198"/>
      <c r="NC68" s="198"/>
      <c r="ND68" s="198"/>
      <c r="NE68" s="198"/>
      <c r="NF68" s="198"/>
      <c r="NG68" s="198"/>
      <c r="NH68" s="198"/>
      <c r="NI68" s="198"/>
      <c r="NJ68" s="198"/>
      <c r="NK68" s="198"/>
      <c r="NL68" s="198"/>
      <c r="NM68" s="198"/>
      <c r="NN68" s="198"/>
      <c r="NO68" s="198"/>
      <c r="NP68" s="198"/>
      <c r="NQ68" s="198"/>
      <c r="NR68" s="198"/>
      <c r="NS68" s="198"/>
      <c r="NT68" s="198"/>
      <c r="NU68" s="198"/>
      <c r="NV68" s="198"/>
      <c r="NW68" s="198"/>
      <c r="NX68" s="198"/>
      <c r="NY68" s="198"/>
      <c r="NZ68" s="198"/>
      <c r="OA68" s="198"/>
      <c r="OB68" s="198"/>
      <c r="OC68" s="198"/>
      <c r="OD68" s="198"/>
      <c r="OE68" s="198"/>
      <c r="OF68" s="198"/>
      <c r="OG68" s="198"/>
      <c r="OH68" s="198"/>
      <c r="OI68" s="198"/>
      <c r="OJ68" s="198"/>
      <c r="OK68" s="198"/>
      <c r="OL68" s="198"/>
      <c r="OM68" s="198"/>
      <c r="ON68" s="198"/>
      <c r="OO68" s="198"/>
      <c r="OP68" s="198"/>
      <c r="OQ68" s="198"/>
      <c r="OR68" s="198"/>
      <c r="OS68" s="198"/>
      <c r="OT68" s="198"/>
      <c r="OU68" s="198"/>
      <c r="OV68" s="198"/>
      <c r="OW68" s="198"/>
      <c r="OX68" s="198"/>
      <c r="OY68" s="198"/>
      <c r="OZ68" s="198"/>
      <c r="PA68" s="198"/>
      <c r="PB68" s="198"/>
      <c r="PC68" s="198"/>
      <c r="PD68" s="198"/>
      <c r="PE68" s="198"/>
      <c r="PF68" s="198"/>
      <c r="PG68" s="198"/>
      <c r="PH68" s="198"/>
      <c r="PI68" s="198"/>
      <c r="PJ68" s="198"/>
      <c r="PK68" s="198"/>
      <c r="PL68" s="198"/>
      <c r="PM68" s="198"/>
      <c r="PN68" s="198"/>
      <c r="PO68" s="198"/>
      <c r="PP68" s="198"/>
      <c r="PQ68" s="198"/>
      <c r="PR68" s="198"/>
      <c r="PS68" s="198"/>
      <c r="PT68" s="198"/>
      <c r="PU68" s="198"/>
      <c r="PV68" s="198"/>
      <c r="PW68" s="198"/>
      <c r="PX68" s="198"/>
      <c r="PY68" s="198"/>
      <c r="PZ68" s="198"/>
      <c r="QA68" s="198"/>
      <c r="QB68" s="198"/>
      <c r="QC68" s="198"/>
      <c r="QD68" s="198"/>
      <c r="QE68" s="198"/>
      <c r="QF68" s="198"/>
      <c r="QG68" s="198"/>
      <c r="QH68" s="198"/>
      <c r="QI68" s="198"/>
      <c r="QJ68" s="198"/>
      <c r="QK68" s="198"/>
      <c r="QL68" s="198"/>
      <c r="QM68" s="198"/>
      <c r="QN68" s="198"/>
      <c r="QO68" s="198"/>
      <c r="QP68" s="198"/>
      <c r="QQ68" s="198"/>
      <c r="QR68" s="198"/>
      <c r="QS68" s="198"/>
      <c r="QT68" s="198"/>
      <c r="QU68" s="198"/>
      <c r="QV68" s="198"/>
      <c r="QW68" s="198"/>
      <c r="QX68" s="198"/>
      <c r="QY68" s="198"/>
      <c r="QZ68" s="198"/>
      <c r="RA68" s="198"/>
      <c r="RB68" s="198"/>
      <c r="RC68" s="198"/>
      <c r="RD68" s="198"/>
      <c r="RE68" s="198"/>
      <c r="RF68" s="198"/>
      <c r="RG68" s="198"/>
      <c r="RH68" s="198"/>
      <c r="RI68" s="198"/>
      <c r="RJ68" s="198"/>
      <c r="RK68" s="198"/>
      <c r="RL68" s="198"/>
      <c r="RM68" s="198"/>
      <c r="RN68" s="198"/>
      <c r="RO68" s="198"/>
      <c r="RP68" s="198"/>
      <c r="RQ68" s="198"/>
      <c r="RR68" s="198"/>
      <c r="RS68" s="198"/>
      <c r="RT68" s="198"/>
      <c r="RU68" s="198"/>
      <c r="RV68" s="198"/>
      <c r="RW68" s="198"/>
      <c r="RX68" s="198"/>
      <c r="RY68" s="198"/>
      <c r="RZ68" s="198"/>
      <c r="SA68" s="198"/>
      <c r="SB68" s="198"/>
      <c r="SC68" s="198"/>
      <c r="SD68" s="198"/>
      <c r="SE68" s="198"/>
      <c r="SF68" s="198"/>
      <c r="SG68" s="198"/>
    </row>
    <row r="69" spans="1:501" ht="40.049999999999997" customHeight="1" thickBot="1" x14ac:dyDescent="0.35">
      <c r="A69" s="541" t="s">
        <v>207</v>
      </c>
      <c r="B69" s="952" t="s">
        <v>208</v>
      </c>
      <c r="C69" s="950">
        <f>'MANZ. A'!H71</f>
        <v>0</v>
      </c>
      <c r="D69" s="861"/>
      <c r="E69" s="862">
        <f>'MANZ. B'!R69</f>
        <v>0</v>
      </c>
      <c r="F69" s="861"/>
      <c r="G69" s="863">
        <f>MANZ.C!AL68</f>
        <v>17</v>
      </c>
      <c r="H69" s="861"/>
      <c r="I69" s="862">
        <f>MANZ.D!Z68</f>
        <v>7</v>
      </c>
      <c r="J69" s="861"/>
      <c r="K69" s="862">
        <f>MANZ.E!AL69</f>
        <v>10</v>
      </c>
      <c r="L69" s="861"/>
      <c r="M69" s="862">
        <f>MANZ.F!AB68</f>
        <v>8</v>
      </c>
      <c r="N69" s="861"/>
      <c r="O69" s="862">
        <f>MANZ.G!AS65</f>
        <v>18</v>
      </c>
      <c r="P69" s="861"/>
      <c r="Q69" s="863">
        <f>MANZ.H!V69</f>
        <v>9</v>
      </c>
      <c r="R69" s="861"/>
      <c r="S69" s="862">
        <f>MANZ.I!AB67</f>
        <v>10</v>
      </c>
      <c r="T69" s="861"/>
      <c r="U69" s="862">
        <f>MANZ.J!AT72</f>
        <v>20</v>
      </c>
      <c r="V69" s="861"/>
      <c r="W69" s="862">
        <f>MANZ.K!AB69</f>
        <v>10</v>
      </c>
      <c r="X69" s="861"/>
      <c r="Y69" s="862">
        <f>MANZ.L!Z69</f>
        <v>2</v>
      </c>
      <c r="Z69" s="861"/>
      <c r="AA69" s="862">
        <f>'SALA MULTIUSO'!F79</f>
        <v>0</v>
      </c>
      <c r="AB69" s="864"/>
      <c r="AC69" s="864"/>
      <c r="AD69" s="864"/>
      <c r="AE69" s="864"/>
      <c r="AF69" s="861"/>
      <c r="AG69" s="865" t="e">
        <f>SUM(C67:AA67)</f>
        <v>#REF!</v>
      </c>
      <c r="AH69" s="866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8"/>
      <c r="BF69" s="198"/>
      <c r="BG69" s="198"/>
      <c r="BH69" s="198"/>
      <c r="BI69" s="198"/>
      <c r="BJ69" s="198"/>
      <c r="BK69" s="198"/>
      <c r="BL69" s="198"/>
      <c r="BM69" s="198"/>
      <c r="BN69" s="198"/>
      <c r="BO69" s="198"/>
      <c r="BP69" s="198"/>
      <c r="BQ69" s="198"/>
      <c r="BR69" s="198"/>
      <c r="BS69" s="198"/>
      <c r="BT69" s="198"/>
      <c r="BU69" s="198"/>
      <c r="BV69" s="198"/>
      <c r="BW69" s="198"/>
      <c r="BX69" s="198"/>
      <c r="BY69" s="198"/>
      <c r="BZ69" s="198"/>
      <c r="CA69" s="198"/>
      <c r="CB69" s="198"/>
      <c r="CC69" s="198"/>
      <c r="CD69" s="198"/>
      <c r="CE69" s="198"/>
      <c r="CF69" s="198"/>
      <c r="CG69" s="198"/>
      <c r="CH69" s="198"/>
      <c r="CI69" s="198"/>
      <c r="CJ69" s="198"/>
      <c r="CK69" s="198"/>
      <c r="CL69" s="198"/>
      <c r="CM69" s="198"/>
      <c r="CN69" s="198"/>
      <c r="CO69" s="198"/>
      <c r="CP69" s="198"/>
      <c r="CQ69" s="198"/>
      <c r="CR69" s="198"/>
      <c r="CS69" s="198"/>
      <c r="CT69" s="198"/>
      <c r="CU69" s="198"/>
      <c r="CV69" s="198"/>
      <c r="CW69" s="198"/>
      <c r="CX69" s="198"/>
      <c r="CY69" s="198"/>
      <c r="CZ69" s="198"/>
      <c r="DA69" s="198"/>
      <c r="DB69" s="198"/>
      <c r="DC69" s="198"/>
      <c r="DD69" s="198"/>
      <c r="DE69" s="198"/>
      <c r="DF69" s="198"/>
      <c r="DG69" s="198"/>
      <c r="DH69" s="198"/>
      <c r="DI69" s="198"/>
      <c r="DJ69" s="198"/>
      <c r="DK69" s="198"/>
      <c r="DL69" s="198"/>
      <c r="DM69" s="198"/>
      <c r="DN69" s="198"/>
      <c r="DO69" s="198"/>
      <c r="DP69" s="198"/>
      <c r="DQ69" s="198"/>
      <c r="DR69" s="198"/>
      <c r="DS69" s="198"/>
      <c r="DT69" s="198"/>
      <c r="DU69" s="198"/>
      <c r="DV69" s="198"/>
      <c r="DW69" s="198"/>
      <c r="DX69" s="198"/>
      <c r="DY69" s="198"/>
      <c r="DZ69" s="198"/>
      <c r="EA69" s="198"/>
      <c r="EB69" s="198"/>
      <c r="EC69" s="198"/>
      <c r="ED69" s="198"/>
      <c r="EE69" s="198"/>
      <c r="EF69" s="198"/>
      <c r="EG69" s="198"/>
      <c r="EH69" s="198"/>
      <c r="EI69" s="198"/>
      <c r="EJ69" s="198"/>
      <c r="EK69" s="198"/>
      <c r="EL69" s="198"/>
      <c r="EM69" s="198"/>
      <c r="EN69" s="198"/>
      <c r="EO69" s="198"/>
      <c r="EP69" s="198"/>
      <c r="EQ69" s="198"/>
      <c r="ER69" s="198"/>
      <c r="ES69" s="198"/>
      <c r="ET69" s="198"/>
      <c r="EU69" s="198"/>
      <c r="EV69" s="198"/>
      <c r="EW69" s="198"/>
      <c r="EX69" s="198"/>
      <c r="EY69" s="198"/>
      <c r="EZ69" s="198"/>
      <c r="FA69" s="198"/>
      <c r="FB69" s="198"/>
      <c r="FC69" s="198"/>
      <c r="FD69" s="198"/>
      <c r="FE69" s="198"/>
      <c r="FF69" s="198"/>
      <c r="FG69" s="198"/>
      <c r="FH69" s="198"/>
      <c r="FI69" s="198"/>
      <c r="FJ69" s="198"/>
      <c r="FK69" s="198"/>
      <c r="FL69" s="198"/>
      <c r="FM69" s="198"/>
      <c r="FN69" s="198"/>
      <c r="FO69" s="198"/>
      <c r="FP69" s="198"/>
      <c r="FQ69" s="198"/>
      <c r="FR69" s="198"/>
      <c r="FS69" s="198"/>
      <c r="FT69" s="198"/>
      <c r="FU69" s="198"/>
      <c r="FV69" s="198"/>
      <c r="FW69" s="198"/>
      <c r="FX69" s="198"/>
      <c r="FY69" s="198"/>
      <c r="FZ69" s="198"/>
      <c r="GA69" s="198"/>
      <c r="GB69" s="198"/>
      <c r="GC69" s="198"/>
      <c r="GD69" s="198"/>
      <c r="GE69" s="198"/>
      <c r="GF69" s="198"/>
      <c r="GG69" s="198"/>
      <c r="GH69" s="198"/>
      <c r="GI69" s="198"/>
      <c r="GJ69" s="198"/>
      <c r="GK69" s="198"/>
      <c r="GL69" s="198"/>
      <c r="GM69" s="198"/>
      <c r="GN69" s="198"/>
      <c r="GO69" s="198"/>
      <c r="GP69" s="198"/>
      <c r="GQ69" s="198"/>
      <c r="GR69" s="198"/>
      <c r="GS69" s="198"/>
      <c r="GT69" s="198"/>
      <c r="GU69" s="198"/>
      <c r="GV69" s="198"/>
      <c r="GW69" s="198"/>
      <c r="GX69" s="198"/>
      <c r="GY69" s="198"/>
      <c r="GZ69" s="198"/>
      <c r="HA69" s="198"/>
      <c r="HB69" s="198"/>
      <c r="HC69" s="198"/>
      <c r="HD69" s="198"/>
      <c r="HE69" s="198"/>
      <c r="HF69" s="198"/>
      <c r="HG69" s="198"/>
      <c r="HH69" s="198"/>
      <c r="HI69" s="198"/>
      <c r="HJ69" s="198"/>
      <c r="HK69" s="198"/>
      <c r="HL69" s="198"/>
      <c r="HM69" s="198"/>
      <c r="HN69" s="198"/>
      <c r="HO69" s="198"/>
      <c r="HP69" s="198"/>
      <c r="HQ69" s="198"/>
      <c r="HR69" s="198"/>
      <c r="HS69" s="198"/>
      <c r="HT69" s="198"/>
      <c r="HU69" s="198"/>
      <c r="HV69" s="198"/>
      <c r="HW69" s="198"/>
      <c r="HX69" s="198"/>
      <c r="HY69" s="198"/>
      <c r="HZ69" s="198"/>
      <c r="IA69" s="198"/>
      <c r="IB69" s="198"/>
      <c r="IC69" s="198"/>
      <c r="ID69" s="198"/>
      <c r="IE69" s="198"/>
      <c r="IF69" s="198"/>
      <c r="IG69" s="198"/>
      <c r="IH69" s="198"/>
      <c r="II69" s="198"/>
      <c r="IJ69" s="198"/>
      <c r="IK69" s="198"/>
      <c r="IL69" s="198"/>
      <c r="IM69" s="198"/>
      <c r="IN69" s="198"/>
      <c r="IO69" s="198"/>
      <c r="IP69" s="198"/>
      <c r="IQ69" s="198"/>
      <c r="IR69" s="198"/>
      <c r="IS69" s="198"/>
      <c r="IT69" s="198"/>
      <c r="IU69" s="198"/>
      <c r="IV69" s="198"/>
      <c r="IW69" s="198"/>
      <c r="IX69" s="198"/>
      <c r="IY69" s="198"/>
      <c r="IZ69" s="198"/>
      <c r="JA69" s="198"/>
      <c r="JB69" s="198"/>
      <c r="JC69" s="198"/>
      <c r="JD69" s="198"/>
      <c r="JE69" s="198"/>
      <c r="JF69" s="198"/>
      <c r="JG69" s="198"/>
      <c r="JH69" s="198"/>
      <c r="JI69" s="198"/>
      <c r="JJ69" s="198"/>
      <c r="JK69" s="198"/>
      <c r="JL69" s="198"/>
      <c r="JM69" s="198"/>
      <c r="JN69" s="198"/>
      <c r="JO69" s="198"/>
      <c r="JP69" s="198"/>
      <c r="JQ69" s="198"/>
      <c r="JR69" s="198"/>
      <c r="JS69" s="198"/>
      <c r="JT69" s="198"/>
      <c r="JU69" s="198"/>
      <c r="JV69" s="198"/>
      <c r="JW69" s="198"/>
      <c r="JX69" s="198"/>
      <c r="JY69" s="198"/>
      <c r="JZ69" s="198"/>
      <c r="KA69" s="198"/>
      <c r="KB69" s="198"/>
      <c r="KC69" s="198"/>
      <c r="KD69" s="198"/>
      <c r="KE69" s="198"/>
      <c r="KF69" s="198"/>
      <c r="KG69" s="198"/>
      <c r="KH69" s="198"/>
      <c r="KI69" s="198"/>
      <c r="KJ69" s="198"/>
      <c r="KK69" s="198"/>
      <c r="KL69" s="198"/>
      <c r="KM69" s="198"/>
      <c r="KN69" s="198"/>
      <c r="KO69" s="198"/>
      <c r="KP69" s="198"/>
      <c r="KQ69" s="198"/>
      <c r="KR69" s="198"/>
      <c r="KS69" s="198"/>
      <c r="KT69" s="198"/>
      <c r="KU69" s="198"/>
      <c r="KV69" s="198"/>
      <c r="KW69" s="198"/>
      <c r="KX69" s="198"/>
      <c r="KY69" s="198"/>
      <c r="KZ69" s="198"/>
      <c r="LA69" s="198"/>
      <c r="LB69" s="198"/>
      <c r="LC69" s="198"/>
      <c r="LD69" s="198"/>
      <c r="LE69" s="198"/>
      <c r="LF69" s="198"/>
      <c r="LG69" s="198"/>
      <c r="LH69" s="198"/>
      <c r="LI69" s="198"/>
      <c r="LJ69" s="198"/>
      <c r="LK69" s="198"/>
      <c r="LL69" s="198"/>
      <c r="LM69" s="198"/>
      <c r="LN69" s="198"/>
      <c r="LO69" s="198"/>
      <c r="LP69" s="198"/>
      <c r="LQ69" s="198"/>
      <c r="LR69" s="198"/>
      <c r="LS69" s="198"/>
      <c r="LT69" s="198"/>
      <c r="LU69" s="198"/>
      <c r="LV69" s="198"/>
      <c r="LW69" s="198"/>
      <c r="LX69" s="198"/>
      <c r="LY69" s="198"/>
      <c r="LZ69" s="198"/>
      <c r="MA69" s="198"/>
      <c r="MB69" s="198"/>
      <c r="MC69" s="198"/>
      <c r="MD69" s="198"/>
      <c r="ME69" s="198"/>
      <c r="MF69" s="198"/>
      <c r="MG69" s="198"/>
      <c r="MH69" s="198"/>
      <c r="MI69" s="198"/>
      <c r="MJ69" s="198"/>
      <c r="MK69" s="198"/>
      <c r="ML69" s="198"/>
      <c r="MM69" s="198"/>
      <c r="MN69" s="198"/>
      <c r="MO69" s="198"/>
      <c r="MP69" s="198"/>
      <c r="MQ69" s="198"/>
      <c r="MR69" s="198"/>
      <c r="MS69" s="198"/>
      <c r="MT69" s="198"/>
      <c r="MU69" s="198"/>
      <c r="MV69" s="198"/>
      <c r="MW69" s="198"/>
      <c r="MX69" s="198"/>
      <c r="MY69" s="198"/>
      <c r="MZ69" s="198"/>
      <c r="NA69" s="198"/>
      <c r="NB69" s="198"/>
      <c r="NC69" s="198"/>
      <c r="ND69" s="198"/>
      <c r="NE69" s="198"/>
      <c r="NF69" s="198"/>
      <c r="NG69" s="198"/>
      <c r="NH69" s="198"/>
      <c r="NI69" s="198"/>
      <c r="NJ69" s="198"/>
      <c r="NK69" s="198"/>
      <c r="NL69" s="198"/>
      <c r="NM69" s="198"/>
      <c r="NN69" s="198"/>
      <c r="NO69" s="198"/>
      <c r="NP69" s="198"/>
      <c r="NQ69" s="198"/>
      <c r="NR69" s="198"/>
      <c r="NS69" s="198"/>
      <c r="NT69" s="198"/>
      <c r="NU69" s="198"/>
      <c r="NV69" s="198"/>
      <c r="NW69" s="198"/>
      <c r="NX69" s="198"/>
      <c r="NY69" s="198"/>
      <c r="NZ69" s="198"/>
      <c r="OA69" s="198"/>
      <c r="OB69" s="198"/>
      <c r="OC69" s="198"/>
      <c r="OD69" s="198"/>
      <c r="OE69" s="198"/>
      <c r="OF69" s="198"/>
      <c r="OG69" s="198"/>
      <c r="OH69" s="198"/>
      <c r="OI69" s="198"/>
      <c r="OJ69" s="198"/>
      <c r="OK69" s="198"/>
      <c r="OL69" s="198"/>
      <c r="OM69" s="198"/>
      <c r="ON69" s="198"/>
      <c r="OO69" s="198"/>
      <c r="OP69" s="198"/>
      <c r="OQ69" s="198"/>
      <c r="OR69" s="198"/>
      <c r="OS69" s="198"/>
      <c r="OT69" s="198"/>
      <c r="OU69" s="198"/>
      <c r="OV69" s="198"/>
      <c r="OW69" s="198"/>
      <c r="OX69" s="198"/>
      <c r="OY69" s="198"/>
      <c r="OZ69" s="198"/>
      <c r="PA69" s="198"/>
      <c r="PB69" s="198"/>
      <c r="PC69" s="198"/>
      <c r="PD69" s="198"/>
      <c r="PE69" s="198"/>
      <c r="PF69" s="198"/>
      <c r="PG69" s="198"/>
      <c r="PH69" s="198"/>
      <c r="PI69" s="198"/>
      <c r="PJ69" s="198"/>
      <c r="PK69" s="198"/>
      <c r="PL69" s="198"/>
      <c r="PM69" s="198"/>
      <c r="PN69" s="198"/>
      <c r="PO69" s="198"/>
      <c r="PP69" s="198"/>
      <c r="PQ69" s="198"/>
      <c r="PR69" s="198"/>
      <c r="PS69" s="198"/>
      <c r="PT69" s="198"/>
      <c r="PU69" s="198"/>
      <c r="PV69" s="198"/>
      <c r="PW69" s="198"/>
      <c r="PX69" s="198"/>
      <c r="PY69" s="198"/>
      <c r="PZ69" s="198"/>
      <c r="QA69" s="198"/>
      <c r="QB69" s="198"/>
      <c r="QC69" s="198"/>
      <c r="QD69" s="198"/>
      <c r="QE69" s="198"/>
      <c r="QF69" s="198"/>
      <c r="QG69" s="198"/>
      <c r="QH69" s="198"/>
      <c r="QI69" s="198"/>
      <c r="QJ69" s="198"/>
      <c r="QK69" s="198"/>
      <c r="QL69" s="198"/>
      <c r="QM69" s="198"/>
      <c r="QN69" s="198"/>
      <c r="QO69" s="198"/>
      <c r="QP69" s="198"/>
      <c r="QQ69" s="198"/>
      <c r="QR69" s="198"/>
      <c r="QS69" s="198"/>
      <c r="QT69" s="198"/>
      <c r="QU69" s="198"/>
      <c r="QV69" s="198"/>
      <c r="QW69" s="198"/>
      <c r="QX69" s="198"/>
      <c r="QY69" s="198"/>
      <c r="QZ69" s="198"/>
      <c r="RA69" s="198"/>
      <c r="RB69" s="198"/>
      <c r="RC69" s="198"/>
      <c r="RD69" s="198"/>
      <c r="RE69" s="198"/>
      <c r="RF69" s="198"/>
      <c r="RG69" s="198"/>
      <c r="RH69" s="198"/>
      <c r="RI69" s="198"/>
      <c r="RJ69" s="198"/>
      <c r="RK69" s="198"/>
      <c r="RL69" s="198"/>
      <c r="RM69" s="198"/>
      <c r="RN69" s="198"/>
      <c r="RO69" s="198"/>
      <c r="RP69" s="198"/>
      <c r="RQ69" s="198"/>
      <c r="RR69" s="198"/>
      <c r="RS69" s="198"/>
      <c r="RT69" s="198"/>
      <c r="RU69" s="198"/>
      <c r="RV69" s="198"/>
      <c r="RW69" s="198"/>
      <c r="RX69" s="198"/>
      <c r="RY69" s="198"/>
      <c r="RZ69" s="198"/>
      <c r="SA69" s="198"/>
      <c r="SB69" s="198"/>
      <c r="SC69" s="198"/>
      <c r="SD69" s="198"/>
      <c r="SE69" s="198"/>
      <c r="SF69" s="198"/>
      <c r="SG69" s="198"/>
    </row>
    <row r="70" spans="1:501" ht="40.049999999999997" customHeight="1" x14ac:dyDescent="0.3">
      <c r="A70" s="542" t="s">
        <v>209</v>
      </c>
      <c r="B70" s="953" t="s">
        <v>210</v>
      </c>
      <c r="C70" s="944"/>
      <c r="D70" s="944"/>
      <c r="E70" s="944"/>
      <c r="F70" s="944"/>
      <c r="G70" s="944"/>
      <c r="H70" s="944"/>
      <c r="I70" s="944"/>
      <c r="J70" s="944"/>
      <c r="K70" s="944"/>
      <c r="L70" s="944"/>
      <c r="M70" s="944"/>
      <c r="N70" s="944"/>
      <c r="O70" s="944"/>
      <c r="P70" s="944"/>
      <c r="Q70" s="944"/>
      <c r="R70" s="944"/>
      <c r="S70" s="944"/>
      <c r="T70" s="944"/>
      <c r="U70" s="944"/>
      <c r="V70" s="944"/>
      <c r="W70" s="944"/>
      <c r="X70" s="944"/>
      <c r="Y70" s="944"/>
      <c r="Z70" s="944"/>
      <c r="AA70" s="944"/>
      <c r="AB70" s="944"/>
      <c r="AC70" s="944"/>
      <c r="AD70" s="944"/>
      <c r="AE70" s="944"/>
      <c r="AF70" s="944"/>
      <c r="AG70" s="944"/>
      <c r="AH70" s="945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198"/>
      <c r="BA70" s="198"/>
      <c r="BB70" s="198"/>
      <c r="BC70" s="198"/>
      <c r="BD70" s="198"/>
      <c r="BE70" s="198"/>
      <c r="BF70" s="198"/>
      <c r="BG70" s="198"/>
      <c r="BH70" s="198"/>
      <c r="BI70" s="198"/>
      <c r="BJ70" s="198"/>
      <c r="BK70" s="198"/>
      <c r="BL70" s="198"/>
      <c r="BM70" s="198"/>
      <c r="BN70" s="198"/>
      <c r="BO70" s="198"/>
      <c r="BP70" s="198"/>
      <c r="BQ70" s="198"/>
      <c r="BR70" s="198"/>
      <c r="BS70" s="198"/>
      <c r="BT70" s="198"/>
      <c r="BU70" s="198"/>
      <c r="BV70" s="198"/>
      <c r="BW70" s="198"/>
      <c r="BX70" s="198"/>
      <c r="BY70" s="198"/>
      <c r="BZ70" s="198"/>
      <c r="CA70" s="198"/>
      <c r="CB70" s="198"/>
      <c r="CC70" s="198"/>
      <c r="CD70" s="198"/>
      <c r="CE70" s="198"/>
      <c r="CF70" s="198"/>
      <c r="CG70" s="198"/>
      <c r="CH70" s="198"/>
      <c r="CI70" s="198"/>
      <c r="CJ70" s="198"/>
      <c r="CK70" s="198"/>
      <c r="CL70" s="198"/>
      <c r="CM70" s="198"/>
      <c r="CN70" s="198"/>
      <c r="CO70" s="198"/>
      <c r="CP70" s="198"/>
      <c r="CQ70" s="198"/>
      <c r="CR70" s="198"/>
      <c r="CS70" s="198"/>
      <c r="CT70" s="198"/>
      <c r="CU70" s="198"/>
      <c r="CV70" s="198"/>
      <c r="CW70" s="198"/>
      <c r="CX70" s="198"/>
      <c r="CY70" s="198"/>
      <c r="CZ70" s="198"/>
      <c r="DA70" s="198"/>
      <c r="DB70" s="198"/>
      <c r="DC70" s="198"/>
      <c r="DD70" s="198"/>
      <c r="DE70" s="198"/>
      <c r="DF70" s="198"/>
      <c r="DG70" s="198"/>
      <c r="DH70" s="198"/>
      <c r="DI70" s="198"/>
      <c r="DJ70" s="198"/>
      <c r="DK70" s="198"/>
      <c r="DL70" s="198"/>
      <c r="DM70" s="198"/>
      <c r="DN70" s="198"/>
      <c r="DO70" s="198"/>
      <c r="DP70" s="198"/>
      <c r="DQ70" s="198"/>
      <c r="DR70" s="198"/>
      <c r="DS70" s="198"/>
      <c r="DT70" s="198"/>
      <c r="DU70" s="198"/>
      <c r="DV70" s="198"/>
      <c r="DW70" s="198"/>
      <c r="DX70" s="198"/>
      <c r="DY70" s="198"/>
      <c r="DZ70" s="198"/>
      <c r="EA70" s="198"/>
      <c r="EB70" s="198"/>
      <c r="EC70" s="198"/>
      <c r="ED70" s="198"/>
      <c r="EE70" s="198"/>
      <c r="EF70" s="198"/>
      <c r="EG70" s="198"/>
      <c r="EH70" s="198"/>
      <c r="EI70" s="198"/>
      <c r="EJ70" s="198"/>
      <c r="EK70" s="198"/>
      <c r="EL70" s="198"/>
      <c r="EM70" s="198"/>
      <c r="EN70" s="198"/>
      <c r="EO70" s="198"/>
      <c r="EP70" s="198"/>
      <c r="EQ70" s="198"/>
      <c r="ER70" s="198"/>
      <c r="ES70" s="198"/>
      <c r="ET70" s="198"/>
      <c r="EU70" s="198"/>
      <c r="EV70" s="198"/>
      <c r="EW70" s="198"/>
      <c r="EX70" s="198"/>
      <c r="EY70" s="198"/>
      <c r="EZ70" s="198"/>
      <c r="FA70" s="198"/>
      <c r="FB70" s="198"/>
      <c r="FC70" s="198"/>
      <c r="FD70" s="198"/>
      <c r="FE70" s="198"/>
      <c r="FF70" s="198"/>
      <c r="FG70" s="198"/>
      <c r="FH70" s="198"/>
      <c r="FI70" s="198"/>
      <c r="FJ70" s="198"/>
      <c r="FK70" s="198"/>
      <c r="FL70" s="198"/>
      <c r="FM70" s="198"/>
      <c r="FN70" s="198"/>
      <c r="FO70" s="198"/>
      <c r="FP70" s="198"/>
      <c r="FQ70" s="198"/>
      <c r="FR70" s="198"/>
      <c r="FS70" s="198"/>
      <c r="FT70" s="198"/>
      <c r="FU70" s="198"/>
      <c r="FV70" s="198"/>
      <c r="FW70" s="198"/>
      <c r="FX70" s="198"/>
      <c r="FY70" s="198"/>
      <c r="FZ70" s="198"/>
      <c r="GA70" s="198"/>
      <c r="GB70" s="198"/>
      <c r="GC70" s="198"/>
      <c r="GD70" s="198"/>
      <c r="GE70" s="198"/>
      <c r="GF70" s="198"/>
      <c r="GG70" s="198"/>
      <c r="GH70" s="198"/>
      <c r="GI70" s="198"/>
      <c r="GJ70" s="198"/>
      <c r="GK70" s="198"/>
      <c r="GL70" s="198"/>
      <c r="GM70" s="198"/>
      <c r="GN70" s="198"/>
      <c r="GO70" s="198"/>
      <c r="GP70" s="198"/>
      <c r="GQ70" s="198"/>
      <c r="GR70" s="198"/>
      <c r="GS70" s="198"/>
      <c r="GT70" s="198"/>
      <c r="GU70" s="198"/>
      <c r="GV70" s="198"/>
      <c r="GW70" s="198"/>
      <c r="GX70" s="198"/>
      <c r="GY70" s="198"/>
      <c r="GZ70" s="198"/>
      <c r="HA70" s="198"/>
      <c r="HB70" s="198"/>
      <c r="HC70" s="198"/>
      <c r="HD70" s="198"/>
      <c r="HE70" s="198"/>
      <c r="HF70" s="198"/>
      <c r="HG70" s="198"/>
      <c r="HH70" s="198"/>
      <c r="HI70" s="198"/>
      <c r="HJ70" s="198"/>
      <c r="HK70" s="198"/>
      <c r="HL70" s="198"/>
      <c r="HM70" s="198"/>
      <c r="HN70" s="198"/>
      <c r="HO70" s="198"/>
      <c r="HP70" s="198"/>
      <c r="HQ70" s="198"/>
      <c r="HR70" s="198"/>
      <c r="HS70" s="198"/>
      <c r="HT70" s="198"/>
      <c r="HU70" s="198"/>
      <c r="HV70" s="198"/>
      <c r="HW70" s="198"/>
      <c r="HX70" s="198"/>
      <c r="HY70" s="198"/>
      <c r="HZ70" s="198"/>
      <c r="IA70" s="198"/>
      <c r="IB70" s="198"/>
      <c r="IC70" s="198"/>
      <c r="ID70" s="198"/>
      <c r="IE70" s="198"/>
      <c r="IF70" s="198"/>
      <c r="IG70" s="198"/>
      <c r="IH70" s="198"/>
      <c r="II70" s="198"/>
      <c r="IJ70" s="198"/>
      <c r="IK70" s="198"/>
      <c r="IL70" s="198"/>
      <c r="IM70" s="198"/>
      <c r="IN70" s="198"/>
      <c r="IO70" s="198"/>
      <c r="IP70" s="198"/>
      <c r="IQ70" s="198"/>
      <c r="IR70" s="198"/>
      <c r="IS70" s="198"/>
      <c r="IT70" s="198"/>
      <c r="IU70" s="198"/>
      <c r="IV70" s="198"/>
      <c r="IW70" s="198"/>
      <c r="IX70" s="198"/>
      <c r="IY70" s="198"/>
      <c r="IZ70" s="198"/>
      <c r="JA70" s="198"/>
      <c r="JB70" s="198"/>
      <c r="JC70" s="198"/>
      <c r="JD70" s="198"/>
      <c r="JE70" s="198"/>
      <c r="JF70" s="198"/>
      <c r="JG70" s="198"/>
      <c r="JH70" s="198"/>
      <c r="JI70" s="198"/>
      <c r="JJ70" s="198"/>
      <c r="JK70" s="198"/>
      <c r="JL70" s="198"/>
      <c r="JM70" s="198"/>
      <c r="JN70" s="198"/>
      <c r="JO70" s="198"/>
      <c r="JP70" s="198"/>
      <c r="JQ70" s="198"/>
      <c r="JR70" s="198"/>
      <c r="JS70" s="198"/>
      <c r="JT70" s="198"/>
      <c r="JU70" s="198"/>
      <c r="JV70" s="198"/>
      <c r="JW70" s="198"/>
      <c r="JX70" s="198"/>
      <c r="JY70" s="198"/>
      <c r="JZ70" s="198"/>
      <c r="KA70" s="198"/>
      <c r="KB70" s="198"/>
      <c r="KC70" s="198"/>
      <c r="KD70" s="198"/>
      <c r="KE70" s="198"/>
      <c r="KF70" s="198"/>
      <c r="KG70" s="198"/>
      <c r="KH70" s="198"/>
      <c r="KI70" s="198"/>
      <c r="KJ70" s="198"/>
      <c r="KK70" s="198"/>
      <c r="KL70" s="198"/>
      <c r="KM70" s="198"/>
      <c r="KN70" s="198"/>
      <c r="KO70" s="198"/>
      <c r="KP70" s="198"/>
      <c r="KQ70" s="198"/>
      <c r="KR70" s="198"/>
      <c r="KS70" s="198"/>
      <c r="KT70" s="198"/>
      <c r="KU70" s="198"/>
      <c r="KV70" s="198"/>
      <c r="KW70" s="198"/>
      <c r="KX70" s="198"/>
      <c r="KY70" s="198"/>
      <c r="KZ70" s="198"/>
      <c r="LA70" s="198"/>
      <c r="LB70" s="198"/>
      <c r="LC70" s="198"/>
      <c r="LD70" s="198"/>
      <c r="LE70" s="198"/>
      <c r="LF70" s="198"/>
      <c r="LG70" s="198"/>
      <c r="LH70" s="198"/>
      <c r="LI70" s="198"/>
      <c r="LJ70" s="198"/>
      <c r="LK70" s="198"/>
      <c r="LL70" s="198"/>
      <c r="LM70" s="198"/>
      <c r="LN70" s="198"/>
      <c r="LO70" s="198"/>
      <c r="LP70" s="198"/>
      <c r="LQ70" s="198"/>
      <c r="LR70" s="198"/>
      <c r="LS70" s="198"/>
      <c r="LT70" s="198"/>
      <c r="LU70" s="198"/>
      <c r="LV70" s="198"/>
      <c r="LW70" s="198"/>
      <c r="LX70" s="198"/>
      <c r="LY70" s="198"/>
      <c r="LZ70" s="198"/>
      <c r="MA70" s="198"/>
      <c r="MB70" s="198"/>
      <c r="MC70" s="198"/>
      <c r="MD70" s="198"/>
      <c r="ME70" s="198"/>
      <c r="MF70" s="198"/>
      <c r="MG70" s="198"/>
      <c r="MH70" s="198"/>
      <c r="MI70" s="198"/>
      <c r="MJ70" s="198"/>
      <c r="MK70" s="198"/>
      <c r="ML70" s="198"/>
      <c r="MM70" s="198"/>
      <c r="MN70" s="198"/>
      <c r="MO70" s="198"/>
      <c r="MP70" s="198"/>
      <c r="MQ70" s="198"/>
      <c r="MR70" s="198"/>
      <c r="MS70" s="198"/>
      <c r="MT70" s="198"/>
      <c r="MU70" s="198"/>
      <c r="MV70" s="198"/>
      <c r="MW70" s="198"/>
      <c r="MX70" s="198"/>
      <c r="MY70" s="198"/>
      <c r="MZ70" s="198"/>
      <c r="NA70" s="198"/>
      <c r="NB70" s="198"/>
      <c r="NC70" s="198"/>
      <c r="ND70" s="198"/>
      <c r="NE70" s="198"/>
      <c r="NF70" s="198"/>
      <c r="NG70" s="198"/>
      <c r="NH70" s="198"/>
      <c r="NI70" s="198"/>
      <c r="NJ70" s="198"/>
      <c r="NK70" s="198"/>
      <c r="NL70" s="198"/>
      <c r="NM70" s="198"/>
      <c r="NN70" s="198"/>
      <c r="NO70" s="198"/>
      <c r="NP70" s="198"/>
      <c r="NQ70" s="198"/>
      <c r="NR70" s="198"/>
      <c r="NS70" s="198"/>
      <c r="NT70" s="198"/>
      <c r="NU70" s="198"/>
      <c r="NV70" s="198"/>
      <c r="NW70" s="198"/>
      <c r="NX70" s="198"/>
      <c r="NY70" s="198"/>
      <c r="NZ70" s="198"/>
      <c r="OA70" s="198"/>
      <c r="OB70" s="198"/>
      <c r="OC70" s="198"/>
      <c r="OD70" s="198"/>
      <c r="OE70" s="198"/>
      <c r="OF70" s="198"/>
      <c r="OG70" s="198"/>
      <c r="OH70" s="198"/>
      <c r="OI70" s="198"/>
      <c r="OJ70" s="198"/>
      <c r="OK70" s="198"/>
      <c r="OL70" s="198"/>
      <c r="OM70" s="198"/>
      <c r="ON70" s="198"/>
      <c r="OO70" s="198"/>
      <c r="OP70" s="198"/>
      <c r="OQ70" s="198"/>
      <c r="OR70" s="198"/>
      <c r="OS70" s="198"/>
      <c r="OT70" s="198"/>
      <c r="OU70" s="198"/>
      <c r="OV70" s="198"/>
      <c r="OW70" s="198"/>
      <c r="OX70" s="198"/>
      <c r="OY70" s="198"/>
      <c r="OZ70" s="198"/>
      <c r="PA70" s="198"/>
      <c r="PB70" s="198"/>
      <c r="PC70" s="198"/>
      <c r="PD70" s="198"/>
      <c r="PE70" s="198"/>
      <c r="PF70" s="198"/>
      <c r="PG70" s="198"/>
      <c r="PH70" s="198"/>
      <c r="PI70" s="198"/>
      <c r="PJ70" s="198"/>
      <c r="PK70" s="198"/>
      <c r="PL70" s="198"/>
      <c r="PM70" s="198"/>
      <c r="PN70" s="198"/>
      <c r="PO70" s="198"/>
      <c r="PP70" s="198"/>
      <c r="PQ70" s="198"/>
      <c r="PR70" s="198"/>
      <c r="PS70" s="198"/>
      <c r="PT70" s="198"/>
      <c r="PU70" s="198"/>
      <c r="PV70" s="198"/>
      <c r="PW70" s="198"/>
      <c r="PX70" s="198"/>
      <c r="PY70" s="198"/>
      <c r="PZ70" s="198"/>
      <c r="QA70" s="198"/>
      <c r="QB70" s="198"/>
      <c r="QC70" s="198"/>
      <c r="QD70" s="198"/>
      <c r="QE70" s="198"/>
      <c r="QF70" s="198"/>
      <c r="QG70" s="198"/>
      <c r="QH70" s="198"/>
      <c r="QI70" s="198"/>
      <c r="QJ70" s="198"/>
      <c r="QK70" s="198"/>
      <c r="QL70" s="198"/>
      <c r="QM70" s="198"/>
      <c r="QN70" s="198"/>
      <c r="QO70" s="198"/>
      <c r="QP70" s="198"/>
      <c r="QQ70" s="198"/>
      <c r="QR70" s="198"/>
      <c r="QS70" s="198"/>
      <c r="QT70" s="198"/>
      <c r="QU70" s="198"/>
      <c r="QV70" s="198"/>
      <c r="QW70" s="198"/>
      <c r="QX70" s="198"/>
      <c r="QY70" s="198"/>
      <c r="QZ70" s="198"/>
      <c r="RA70" s="198"/>
      <c r="RB70" s="198"/>
      <c r="RC70" s="198"/>
      <c r="RD70" s="198"/>
      <c r="RE70" s="198"/>
      <c r="RF70" s="198"/>
      <c r="RG70" s="198"/>
      <c r="RH70" s="198"/>
      <c r="RI70" s="198"/>
      <c r="RJ70" s="198"/>
      <c r="RK70" s="198"/>
      <c r="RL70" s="198"/>
      <c r="RM70" s="198"/>
      <c r="RN70" s="198"/>
      <c r="RO70" s="198"/>
      <c r="RP70" s="198"/>
      <c r="RQ70" s="198"/>
      <c r="RR70" s="198"/>
      <c r="RS70" s="198"/>
      <c r="RT70" s="198"/>
      <c r="RU70" s="198"/>
      <c r="RV70" s="198"/>
      <c r="RW70" s="198"/>
      <c r="RX70" s="198"/>
      <c r="RY70" s="198"/>
      <c r="RZ70" s="198"/>
      <c r="SA70" s="198"/>
      <c r="SB70" s="198"/>
      <c r="SC70" s="198"/>
      <c r="SD70" s="198"/>
      <c r="SE70" s="198"/>
      <c r="SF70" s="198"/>
      <c r="SG70" s="198"/>
    </row>
    <row r="71" spans="1:501" ht="40.049999999999997" customHeight="1" x14ac:dyDescent="0.3">
      <c r="A71" s="541" t="s">
        <v>211</v>
      </c>
      <c r="B71" s="952" t="s">
        <v>212</v>
      </c>
      <c r="C71" s="950"/>
      <c r="D71" s="861"/>
      <c r="E71" s="862"/>
      <c r="F71" s="861"/>
      <c r="G71" s="863">
        <f>MANZ.C!AL71</f>
        <v>17</v>
      </c>
      <c r="H71" s="861"/>
      <c r="I71" s="862">
        <f>MANZ.D!Z71</f>
        <v>3</v>
      </c>
      <c r="J71" s="861"/>
      <c r="K71" s="862">
        <f>MANZ.E!AL72</f>
        <v>8</v>
      </c>
      <c r="L71" s="861"/>
      <c r="M71" s="862">
        <f>MANZ.F!AB71</f>
        <v>8</v>
      </c>
      <c r="N71" s="861"/>
      <c r="O71" s="862">
        <f>MANZ.G!AS68</f>
        <v>0</v>
      </c>
      <c r="P71" s="861"/>
      <c r="Q71" s="862">
        <f>MANZ.H!V72</f>
        <v>9</v>
      </c>
      <c r="R71" s="861"/>
      <c r="S71" s="862">
        <f>MANZ.I!AB70</f>
        <v>0</v>
      </c>
      <c r="T71" s="861"/>
      <c r="U71" s="862">
        <f>MANZ.J!AT75</f>
        <v>17</v>
      </c>
      <c r="V71" s="861"/>
      <c r="W71" s="862">
        <f>MANZ.K!AB72</f>
        <v>10</v>
      </c>
      <c r="X71" s="861"/>
      <c r="Y71" s="862">
        <f>MANZ.L!Z72</f>
        <v>0</v>
      </c>
      <c r="Z71" s="861"/>
      <c r="AA71" s="862"/>
      <c r="AB71" s="864"/>
      <c r="AC71" s="864"/>
      <c r="AD71" s="864"/>
      <c r="AE71" s="864"/>
      <c r="AF71" s="861"/>
      <c r="AG71" s="865">
        <f>SUM(C70:AA70)</f>
        <v>0</v>
      </c>
      <c r="AH71" s="866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  <c r="AS71" s="198"/>
      <c r="AT71" s="198"/>
      <c r="AU71" s="198"/>
      <c r="AV71" s="198"/>
      <c r="AW71" s="198"/>
      <c r="AX71" s="198"/>
      <c r="AY71" s="198"/>
      <c r="AZ71" s="198"/>
      <c r="BA71" s="198"/>
      <c r="BB71" s="198"/>
      <c r="BC71" s="198"/>
      <c r="BD71" s="198"/>
      <c r="BE71" s="198"/>
      <c r="BF71" s="198"/>
      <c r="BG71" s="198"/>
      <c r="BH71" s="198"/>
      <c r="BI71" s="198"/>
      <c r="BJ71" s="198"/>
      <c r="BK71" s="198"/>
      <c r="BL71" s="198"/>
      <c r="BM71" s="198"/>
      <c r="BN71" s="198"/>
      <c r="BO71" s="198"/>
      <c r="BP71" s="198"/>
      <c r="BQ71" s="198"/>
      <c r="BR71" s="198"/>
      <c r="BS71" s="198"/>
      <c r="BT71" s="198"/>
      <c r="BU71" s="198"/>
      <c r="BV71" s="198"/>
      <c r="BW71" s="198"/>
      <c r="BX71" s="198"/>
      <c r="BY71" s="198"/>
      <c r="BZ71" s="198"/>
      <c r="CA71" s="198"/>
      <c r="CB71" s="198"/>
      <c r="CC71" s="198"/>
      <c r="CD71" s="198"/>
      <c r="CE71" s="198"/>
      <c r="CF71" s="198"/>
      <c r="CG71" s="198"/>
      <c r="CH71" s="198"/>
      <c r="CI71" s="198"/>
      <c r="CJ71" s="198"/>
      <c r="CK71" s="198"/>
      <c r="CL71" s="198"/>
      <c r="CM71" s="198"/>
      <c r="CN71" s="198"/>
      <c r="CO71" s="198"/>
      <c r="CP71" s="198"/>
      <c r="CQ71" s="198"/>
      <c r="CR71" s="198"/>
      <c r="CS71" s="198"/>
      <c r="CT71" s="198"/>
      <c r="CU71" s="198"/>
      <c r="CV71" s="198"/>
      <c r="CW71" s="198"/>
      <c r="CX71" s="198"/>
      <c r="CY71" s="198"/>
      <c r="CZ71" s="198"/>
      <c r="DA71" s="198"/>
      <c r="DB71" s="198"/>
      <c r="DC71" s="198"/>
      <c r="DD71" s="198"/>
      <c r="DE71" s="198"/>
      <c r="DF71" s="198"/>
      <c r="DG71" s="198"/>
      <c r="DH71" s="198"/>
      <c r="DI71" s="198"/>
      <c r="DJ71" s="198"/>
      <c r="DK71" s="198"/>
      <c r="DL71" s="198"/>
      <c r="DM71" s="198"/>
      <c r="DN71" s="198"/>
      <c r="DO71" s="198"/>
      <c r="DP71" s="198"/>
      <c r="DQ71" s="198"/>
      <c r="DR71" s="198"/>
      <c r="DS71" s="198"/>
      <c r="DT71" s="198"/>
      <c r="DU71" s="198"/>
      <c r="DV71" s="198"/>
      <c r="DW71" s="198"/>
      <c r="DX71" s="198"/>
      <c r="DY71" s="198"/>
      <c r="DZ71" s="198"/>
      <c r="EA71" s="198"/>
      <c r="EB71" s="198"/>
      <c r="EC71" s="198"/>
      <c r="ED71" s="198"/>
      <c r="EE71" s="198"/>
      <c r="EF71" s="198"/>
      <c r="EG71" s="198"/>
      <c r="EH71" s="198"/>
      <c r="EI71" s="198"/>
      <c r="EJ71" s="198"/>
      <c r="EK71" s="198"/>
      <c r="EL71" s="198"/>
      <c r="EM71" s="198"/>
      <c r="EN71" s="198"/>
      <c r="EO71" s="198"/>
      <c r="EP71" s="198"/>
      <c r="EQ71" s="198"/>
      <c r="ER71" s="198"/>
      <c r="ES71" s="198"/>
      <c r="ET71" s="198"/>
      <c r="EU71" s="198"/>
      <c r="EV71" s="198"/>
      <c r="EW71" s="198"/>
      <c r="EX71" s="198"/>
      <c r="EY71" s="198"/>
      <c r="EZ71" s="198"/>
      <c r="FA71" s="198"/>
      <c r="FB71" s="198"/>
      <c r="FC71" s="198"/>
      <c r="FD71" s="198"/>
      <c r="FE71" s="198"/>
      <c r="FF71" s="198"/>
      <c r="FG71" s="198"/>
      <c r="FH71" s="198"/>
      <c r="FI71" s="198"/>
      <c r="FJ71" s="198"/>
      <c r="FK71" s="198"/>
      <c r="FL71" s="198"/>
      <c r="FM71" s="198"/>
      <c r="FN71" s="198"/>
      <c r="FO71" s="198"/>
      <c r="FP71" s="198"/>
      <c r="FQ71" s="198"/>
      <c r="FR71" s="198"/>
      <c r="FS71" s="198"/>
      <c r="FT71" s="198"/>
      <c r="FU71" s="198"/>
      <c r="FV71" s="198"/>
      <c r="FW71" s="198"/>
      <c r="FX71" s="198"/>
      <c r="FY71" s="198"/>
      <c r="FZ71" s="198"/>
      <c r="GA71" s="198"/>
      <c r="GB71" s="198"/>
      <c r="GC71" s="198"/>
      <c r="GD71" s="198"/>
      <c r="GE71" s="198"/>
      <c r="GF71" s="198"/>
      <c r="GG71" s="198"/>
      <c r="GH71" s="198"/>
      <c r="GI71" s="198"/>
      <c r="GJ71" s="198"/>
      <c r="GK71" s="198"/>
      <c r="GL71" s="198"/>
      <c r="GM71" s="198"/>
      <c r="GN71" s="198"/>
      <c r="GO71" s="198"/>
      <c r="GP71" s="198"/>
      <c r="GQ71" s="198"/>
      <c r="GR71" s="198"/>
      <c r="GS71" s="198"/>
      <c r="GT71" s="198"/>
      <c r="GU71" s="198"/>
      <c r="GV71" s="198"/>
      <c r="GW71" s="198"/>
      <c r="GX71" s="198"/>
      <c r="GY71" s="198"/>
      <c r="GZ71" s="198"/>
      <c r="HA71" s="198"/>
      <c r="HB71" s="198"/>
      <c r="HC71" s="198"/>
      <c r="HD71" s="198"/>
      <c r="HE71" s="198"/>
      <c r="HF71" s="198"/>
      <c r="HG71" s="198"/>
      <c r="HH71" s="198"/>
      <c r="HI71" s="198"/>
      <c r="HJ71" s="198"/>
      <c r="HK71" s="198"/>
      <c r="HL71" s="198"/>
      <c r="HM71" s="198"/>
      <c r="HN71" s="198"/>
      <c r="HO71" s="198"/>
      <c r="HP71" s="198"/>
      <c r="HQ71" s="198"/>
      <c r="HR71" s="198"/>
      <c r="HS71" s="198"/>
      <c r="HT71" s="198"/>
      <c r="HU71" s="198"/>
      <c r="HV71" s="198"/>
      <c r="HW71" s="198"/>
      <c r="HX71" s="198"/>
      <c r="HY71" s="198"/>
      <c r="HZ71" s="198"/>
      <c r="IA71" s="198"/>
      <c r="IB71" s="198"/>
      <c r="IC71" s="198"/>
      <c r="ID71" s="198"/>
      <c r="IE71" s="198"/>
      <c r="IF71" s="198"/>
      <c r="IG71" s="198"/>
      <c r="IH71" s="198"/>
      <c r="II71" s="198"/>
      <c r="IJ71" s="198"/>
      <c r="IK71" s="198"/>
      <c r="IL71" s="198"/>
      <c r="IM71" s="198"/>
      <c r="IN71" s="198"/>
      <c r="IO71" s="198"/>
      <c r="IP71" s="198"/>
      <c r="IQ71" s="198"/>
      <c r="IR71" s="198"/>
      <c r="IS71" s="198"/>
      <c r="IT71" s="198"/>
      <c r="IU71" s="198"/>
      <c r="IV71" s="198"/>
      <c r="IW71" s="198"/>
      <c r="IX71" s="198"/>
      <c r="IY71" s="198"/>
      <c r="IZ71" s="198"/>
      <c r="JA71" s="198"/>
      <c r="JB71" s="198"/>
      <c r="JC71" s="198"/>
      <c r="JD71" s="198"/>
      <c r="JE71" s="198"/>
      <c r="JF71" s="198"/>
      <c r="JG71" s="198"/>
      <c r="JH71" s="198"/>
      <c r="JI71" s="198"/>
      <c r="JJ71" s="198"/>
      <c r="JK71" s="198"/>
      <c r="JL71" s="198"/>
      <c r="JM71" s="198"/>
      <c r="JN71" s="198"/>
      <c r="JO71" s="198"/>
      <c r="JP71" s="198"/>
      <c r="JQ71" s="198"/>
      <c r="JR71" s="198"/>
      <c r="JS71" s="198"/>
      <c r="JT71" s="198"/>
      <c r="JU71" s="198"/>
      <c r="JV71" s="198"/>
      <c r="JW71" s="198"/>
      <c r="JX71" s="198"/>
      <c r="JY71" s="198"/>
      <c r="JZ71" s="198"/>
      <c r="KA71" s="198"/>
      <c r="KB71" s="198"/>
      <c r="KC71" s="198"/>
      <c r="KD71" s="198"/>
      <c r="KE71" s="198"/>
      <c r="KF71" s="198"/>
      <c r="KG71" s="198"/>
      <c r="KH71" s="198"/>
      <c r="KI71" s="198"/>
      <c r="KJ71" s="198"/>
      <c r="KK71" s="198"/>
      <c r="KL71" s="198"/>
      <c r="KM71" s="198"/>
      <c r="KN71" s="198"/>
      <c r="KO71" s="198"/>
      <c r="KP71" s="198"/>
      <c r="KQ71" s="198"/>
      <c r="KR71" s="198"/>
      <c r="KS71" s="198"/>
      <c r="KT71" s="198"/>
      <c r="KU71" s="198"/>
      <c r="KV71" s="198"/>
      <c r="KW71" s="198"/>
      <c r="KX71" s="198"/>
      <c r="KY71" s="198"/>
      <c r="KZ71" s="198"/>
      <c r="LA71" s="198"/>
      <c r="LB71" s="198"/>
      <c r="LC71" s="198"/>
      <c r="LD71" s="198"/>
      <c r="LE71" s="198"/>
      <c r="LF71" s="198"/>
      <c r="LG71" s="198"/>
      <c r="LH71" s="198"/>
      <c r="LI71" s="198"/>
      <c r="LJ71" s="198"/>
      <c r="LK71" s="198"/>
      <c r="LL71" s="198"/>
      <c r="LM71" s="198"/>
      <c r="LN71" s="198"/>
      <c r="LO71" s="198"/>
      <c r="LP71" s="198"/>
      <c r="LQ71" s="198"/>
      <c r="LR71" s="198"/>
      <c r="LS71" s="198"/>
      <c r="LT71" s="198"/>
      <c r="LU71" s="198"/>
      <c r="LV71" s="198"/>
      <c r="LW71" s="198"/>
      <c r="LX71" s="198"/>
      <c r="LY71" s="198"/>
      <c r="LZ71" s="198"/>
      <c r="MA71" s="198"/>
      <c r="MB71" s="198"/>
      <c r="MC71" s="198"/>
      <c r="MD71" s="198"/>
      <c r="ME71" s="198"/>
      <c r="MF71" s="198"/>
      <c r="MG71" s="198"/>
      <c r="MH71" s="198"/>
      <c r="MI71" s="198"/>
      <c r="MJ71" s="198"/>
      <c r="MK71" s="198"/>
      <c r="ML71" s="198"/>
      <c r="MM71" s="198"/>
      <c r="MN71" s="198"/>
      <c r="MO71" s="198"/>
      <c r="MP71" s="198"/>
      <c r="MQ71" s="198"/>
      <c r="MR71" s="198"/>
      <c r="MS71" s="198"/>
      <c r="MT71" s="198"/>
      <c r="MU71" s="198"/>
      <c r="MV71" s="198"/>
      <c r="MW71" s="198"/>
      <c r="MX71" s="198"/>
      <c r="MY71" s="198"/>
      <c r="MZ71" s="198"/>
      <c r="NA71" s="198"/>
      <c r="NB71" s="198"/>
      <c r="NC71" s="198"/>
      <c r="ND71" s="198"/>
      <c r="NE71" s="198"/>
      <c r="NF71" s="198"/>
      <c r="NG71" s="198"/>
      <c r="NH71" s="198"/>
      <c r="NI71" s="198"/>
      <c r="NJ71" s="198"/>
      <c r="NK71" s="198"/>
      <c r="NL71" s="198"/>
      <c r="NM71" s="198"/>
      <c r="NN71" s="198"/>
      <c r="NO71" s="198"/>
      <c r="NP71" s="198"/>
      <c r="NQ71" s="198"/>
      <c r="NR71" s="198"/>
      <c r="NS71" s="198"/>
      <c r="NT71" s="198"/>
      <c r="NU71" s="198"/>
      <c r="NV71" s="198"/>
      <c r="NW71" s="198"/>
      <c r="NX71" s="198"/>
      <c r="NY71" s="198"/>
      <c r="NZ71" s="198"/>
      <c r="OA71" s="198"/>
      <c r="OB71" s="198"/>
      <c r="OC71" s="198"/>
      <c r="OD71" s="198"/>
      <c r="OE71" s="198"/>
      <c r="OF71" s="198"/>
      <c r="OG71" s="198"/>
      <c r="OH71" s="198"/>
      <c r="OI71" s="198"/>
      <c r="OJ71" s="198"/>
      <c r="OK71" s="198"/>
      <c r="OL71" s="198"/>
      <c r="OM71" s="198"/>
      <c r="ON71" s="198"/>
      <c r="OO71" s="198"/>
      <c r="OP71" s="198"/>
      <c r="OQ71" s="198"/>
      <c r="OR71" s="198"/>
      <c r="OS71" s="198"/>
      <c r="OT71" s="198"/>
      <c r="OU71" s="198"/>
      <c r="OV71" s="198"/>
      <c r="OW71" s="198"/>
      <c r="OX71" s="198"/>
      <c r="OY71" s="198"/>
      <c r="OZ71" s="198"/>
      <c r="PA71" s="198"/>
      <c r="PB71" s="198"/>
      <c r="PC71" s="198"/>
      <c r="PD71" s="198"/>
      <c r="PE71" s="198"/>
      <c r="PF71" s="198"/>
      <c r="PG71" s="198"/>
      <c r="PH71" s="198"/>
      <c r="PI71" s="198"/>
      <c r="PJ71" s="198"/>
      <c r="PK71" s="198"/>
      <c r="PL71" s="198"/>
      <c r="PM71" s="198"/>
      <c r="PN71" s="198"/>
      <c r="PO71" s="198"/>
      <c r="PP71" s="198"/>
      <c r="PQ71" s="198"/>
      <c r="PR71" s="198"/>
      <c r="PS71" s="198"/>
      <c r="PT71" s="198"/>
      <c r="PU71" s="198"/>
      <c r="PV71" s="198"/>
      <c r="PW71" s="198"/>
      <c r="PX71" s="198"/>
      <c r="PY71" s="198"/>
      <c r="PZ71" s="198"/>
      <c r="QA71" s="198"/>
      <c r="QB71" s="198"/>
      <c r="QC71" s="198"/>
      <c r="QD71" s="198"/>
      <c r="QE71" s="198"/>
      <c r="QF71" s="198"/>
      <c r="QG71" s="198"/>
      <c r="QH71" s="198"/>
      <c r="QI71" s="198"/>
      <c r="QJ71" s="198"/>
      <c r="QK71" s="198"/>
      <c r="QL71" s="198"/>
      <c r="QM71" s="198"/>
      <c r="QN71" s="198"/>
      <c r="QO71" s="198"/>
      <c r="QP71" s="198"/>
      <c r="QQ71" s="198"/>
      <c r="QR71" s="198"/>
      <c r="QS71" s="198"/>
      <c r="QT71" s="198"/>
      <c r="QU71" s="198"/>
      <c r="QV71" s="198"/>
      <c r="QW71" s="198"/>
      <c r="QX71" s="198"/>
      <c r="QY71" s="198"/>
      <c r="QZ71" s="198"/>
      <c r="RA71" s="198"/>
      <c r="RB71" s="198"/>
      <c r="RC71" s="198"/>
      <c r="RD71" s="198"/>
      <c r="RE71" s="198"/>
      <c r="RF71" s="198"/>
      <c r="RG71" s="198"/>
      <c r="RH71" s="198"/>
      <c r="RI71" s="198"/>
      <c r="RJ71" s="198"/>
      <c r="RK71" s="198"/>
      <c r="RL71" s="198"/>
      <c r="RM71" s="198"/>
      <c r="RN71" s="198"/>
      <c r="RO71" s="198"/>
      <c r="RP71" s="198"/>
      <c r="RQ71" s="198"/>
      <c r="RR71" s="198"/>
      <c r="RS71" s="198"/>
      <c r="RT71" s="198"/>
      <c r="RU71" s="198"/>
      <c r="RV71" s="198"/>
      <c r="RW71" s="198"/>
      <c r="RX71" s="198"/>
      <c r="RY71" s="198"/>
      <c r="RZ71" s="198"/>
      <c r="SA71" s="198"/>
      <c r="SB71" s="198"/>
      <c r="SC71" s="198"/>
      <c r="SD71" s="198"/>
      <c r="SE71" s="198"/>
      <c r="SF71" s="198"/>
      <c r="SG71" s="198"/>
    </row>
    <row r="72" spans="1:501" ht="40.049999999999997" customHeight="1" thickBot="1" x14ac:dyDescent="0.35">
      <c r="A72" s="541" t="s">
        <v>213</v>
      </c>
      <c r="B72" s="952" t="s">
        <v>214</v>
      </c>
      <c r="C72" s="950"/>
      <c r="D72" s="861"/>
      <c r="E72" s="862"/>
      <c r="F72" s="861"/>
      <c r="G72" s="863" t="e">
        <f>MANZ.C!#REF!</f>
        <v>#REF!</v>
      </c>
      <c r="H72" s="861"/>
      <c r="I72" s="862" t="e">
        <f>MANZ.D!#REF!</f>
        <v>#REF!</v>
      </c>
      <c r="J72" s="861"/>
      <c r="K72" s="862"/>
      <c r="L72" s="861"/>
      <c r="M72" s="862" t="e">
        <f>MANZ.F!#REF!</f>
        <v>#REF!</v>
      </c>
      <c r="N72" s="861"/>
      <c r="O72" s="862">
        <f>MANZ.G!AS69</f>
        <v>17</v>
      </c>
      <c r="P72" s="861"/>
      <c r="Q72" s="862" t="e">
        <f>MANZ.H!#REF!</f>
        <v>#REF!</v>
      </c>
      <c r="R72" s="861"/>
      <c r="S72" s="862">
        <f>MANZ.I!AB71</f>
        <v>10</v>
      </c>
      <c r="T72" s="861"/>
      <c r="U72" s="862" t="e">
        <f>MANZ.J!#REF!</f>
        <v>#REF!</v>
      </c>
      <c r="V72" s="861"/>
      <c r="W72" s="862" t="e">
        <f>MANZ.K!#REF!</f>
        <v>#REF!</v>
      </c>
      <c r="X72" s="861"/>
      <c r="Y72" s="862"/>
      <c r="Z72" s="861"/>
      <c r="AA72" s="862"/>
      <c r="AB72" s="864"/>
      <c r="AC72" s="864"/>
      <c r="AD72" s="864"/>
      <c r="AE72" s="864"/>
      <c r="AF72" s="861"/>
      <c r="AG72" s="865">
        <f>SUM(C71:AA71)</f>
        <v>72</v>
      </c>
      <c r="AH72" s="866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  <c r="AS72" s="198"/>
      <c r="AT72" s="198"/>
      <c r="AU72" s="198"/>
      <c r="AV72" s="198"/>
      <c r="AW72" s="198"/>
      <c r="AX72" s="198"/>
      <c r="AY72" s="198"/>
      <c r="AZ72" s="198"/>
      <c r="BA72" s="198"/>
      <c r="BB72" s="198"/>
      <c r="BC72" s="198"/>
      <c r="BD72" s="198"/>
      <c r="BE72" s="198"/>
      <c r="BF72" s="198"/>
      <c r="BG72" s="198"/>
      <c r="BH72" s="198"/>
      <c r="BI72" s="198"/>
      <c r="BJ72" s="198"/>
      <c r="BK72" s="198"/>
      <c r="BL72" s="198"/>
      <c r="BM72" s="198"/>
      <c r="BN72" s="198"/>
      <c r="BO72" s="198"/>
      <c r="BP72" s="198"/>
      <c r="BQ72" s="198"/>
      <c r="BR72" s="198"/>
      <c r="BS72" s="198"/>
      <c r="BT72" s="198"/>
      <c r="BU72" s="198"/>
      <c r="BV72" s="198"/>
      <c r="BW72" s="198"/>
      <c r="BX72" s="198"/>
      <c r="BY72" s="198"/>
      <c r="BZ72" s="198"/>
      <c r="CA72" s="198"/>
      <c r="CB72" s="198"/>
      <c r="CC72" s="198"/>
      <c r="CD72" s="198"/>
      <c r="CE72" s="198"/>
      <c r="CF72" s="198"/>
      <c r="CG72" s="198"/>
      <c r="CH72" s="198"/>
      <c r="CI72" s="198"/>
      <c r="CJ72" s="198"/>
      <c r="CK72" s="198"/>
      <c r="CL72" s="198"/>
      <c r="CM72" s="198"/>
      <c r="CN72" s="198"/>
      <c r="CO72" s="198"/>
      <c r="CP72" s="198"/>
      <c r="CQ72" s="198"/>
      <c r="CR72" s="198"/>
      <c r="CS72" s="198"/>
      <c r="CT72" s="198"/>
      <c r="CU72" s="198"/>
      <c r="CV72" s="198"/>
      <c r="CW72" s="198"/>
      <c r="CX72" s="198"/>
      <c r="CY72" s="198"/>
      <c r="CZ72" s="198"/>
      <c r="DA72" s="198"/>
      <c r="DB72" s="198"/>
      <c r="DC72" s="198"/>
      <c r="DD72" s="198"/>
      <c r="DE72" s="198"/>
      <c r="DF72" s="198"/>
      <c r="DG72" s="198"/>
      <c r="DH72" s="198"/>
      <c r="DI72" s="198"/>
      <c r="DJ72" s="198"/>
      <c r="DK72" s="198"/>
      <c r="DL72" s="198"/>
      <c r="DM72" s="198"/>
      <c r="DN72" s="198"/>
      <c r="DO72" s="198"/>
      <c r="DP72" s="198"/>
      <c r="DQ72" s="198"/>
      <c r="DR72" s="198"/>
      <c r="DS72" s="198"/>
      <c r="DT72" s="198"/>
      <c r="DU72" s="198"/>
      <c r="DV72" s="198"/>
      <c r="DW72" s="198"/>
      <c r="DX72" s="198"/>
      <c r="DY72" s="198"/>
      <c r="DZ72" s="198"/>
      <c r="EA72" s="198"/>
      <c r="EB72" s="198"/>
      <c r="EC72" s="198"/>
      <c r="ED72" s="198"/>
      <c r="EE72" s="198"/>
      <c r="EF72" s="198"/>
      <c r="EG72" s="198"/>
      <c r="EH72" s="198"/>
      <c r="EI72" s="198"/>
      <c r="EJ72" s="198"/>
      <c r="EK72" s="198"/>
      <c r="EL72" s="198"/>
      <c r="EM72" s="198"/>
      <c r="EN72" s="198"/>
      <c r="EO72" s="198"/>
      <c r="EP72" s="198"/>
      <c r="EQ72" s="198"/>
      <c r="ER72" s="198"/>
      <c r="ES72" s="198"/>
      <c r="ET72" s="198"/>
      <c r="EU72" s="198"/>
      <c r="EV72" s="198"/>
      <c r="EW72" s="198"/>
      <c r="EX72" s="198"/>
      <c r="EY72" s="198"/>
      <c r="EZ72" s="198"/>
      <c r="FA72" s="198"/>
      <c r="FB72" s="198"/>
      <c r="FC72" s="198"/>
      <c r="FD72" s="198"/>
      <c r="FE72" s="198"/>
      <c r="FF72" s="198"/>
      <c r="FG72" s="198"/>
      <c r="FH72" s="198"/>
      <c r="FI72" s="198"/>
      <c r="FJ72" s="198"/>
      <c r="FK72" s="198"/>
      <c r="FL72" s="198"/>
      <c r="FM72" s="198"/>
      <c r="FN72" s="198"/>
      <c r="FO72" s="198"/>
      <c r="FP72" s="198"/>
      <c r="FQ72" s="198"/>
      <c r="FR72" s="198"/>
      <c r="FS72" s="198"/>
      <c r="FT72" s="198"/>
      <c r="FU72" s="198"/>
      <c r="FV72" s="198"/>
      <c r="FW72" s="198"/>
      <c r="FX72" s="198"/>
      <c r="FY72" s="198"/>
      <c r="FZ72" s="198"/>
      <c r="GA72" s="198"/>
      <c r="GB72" s="198"/>
      <c r="GC72" s="198"/>
      <c r="GD72" s="198"/>
      <c r="GE72" s="198"/>
      <c r="GF72" s="198"/>
      <c r="GG72" s="198"/>
      <c r="GH72" s="198"/>
      <c r="GI72" s="198"/>
      <c r="GJ72" s="198"/>
      <c r="GK72" s="198"/>
      <c r="GL72" s="198"/>
      <c r="GM72" s="198"/>
      <c r="GN72" s="198"/>
      <c r="GO72" s="198"/>
      <c r="GP72" s="198"/>
      <c r="GQ72" s="198"/>
      <c r="GR72" s="198"/>
      <c r="GS72" s="198"/>
      <c r="GT72" s="198"/>
      <c r="GU72" s="198"/>
      <c r="GV72" s="198"/>
      <c r="GW72" s="198"/>
      <c r="GX72" s="198"/>
      <c r="GY72" s="198"/>
      <c r="GZ72" s="198"/>
      <c r="HA72" s="198"/>
      <c r="HB72" s="198"/>
      <c r="HC72" s="198"/>
      <c r="HD72" s="198"/>
      <c r="HE72" s="198"/>
      <c r="HF72" s="198"/>
      <c r="HG72" s="198"/>
      <c r="HH72" s="198"/>
      <c r="HI72" s="198"/>
      <c r="HJ72" s="198"/>
      <c r="HK72" s="198"/>
      <c r="HL72" s="198"/>
      <c r="HM72" s="198"/>
      <c r="HN72" s="198"/>
      <c r="HO72" s="198"/>
      <c r="HP72" s="198"/>
      <c r="HQ72" s="198"/>
      <c r="HR72" s="198"/>
      <c r="HS72" s="198"/>
      <c r="HT72" s="198"/>
      <c r="HU72" s="198"/>
      <c r="HV72" s="198"/>
      <c r="HW72" s="198"/>
      <c r="HX72" s="198"/>
      <c r="HY72" s="198"/>
      <c r="HZ72" s="198"/>
      <c r="IA72" s="198"/>
      <c r="IB72" s="198"/>
      <c r="IC72" s="198"/>
      <c r="ID72" s="198"/>
      <c r="IE72" s="198"/>
      <c r="IF72" s="198"/>
      <c r="IG72" s="198"/>
      <c r="IH72" s="198"/>
      <c r="II72" s="198"/>
      <c r="IJ72" s="198"/>
      <c r="IK72" s="198"/>
      <c r="IL72" s="198"/>
      <c r="IM72" s="198"/>
      <c r="IN72" s="198"/>
      <c r="IO72" s="198"/>
      <c r="IP72" s="198"/>
      <c r="IQ72" s="198"/>
      <c r="IR72" s="198"/>
      <c r="IS72" s="198"/>
      <c r="IT72" s="198"/>
      <c r="IU72" s="198"/>
      <c r="IV72" s="198"/>
      <c r="IW72" s="198"/>
      <c r="IX72" s="198"/>
      <c r="IY72" s="198"/>
      <c r="IZ72" s="198"/>
      <c r="JA72" s="198"/>
      <c r="JB72" s="198"/>
      <c r="JC72" s="198"/>
      <c r="JD72" s="198"/>
      <c r="JE72" s="198"/>
      <c r="JF72" s="198"/>
      <c r="JG72" s="198"/>
      <c r="JH72" s="198"/>
      <c r="JI72" s="198"/>
      <c r="JJ72" s="198"/>
      <c r="JK72" s="198"/>
      <c r="JL72" s="198"/>
      <c r="JM72" s="198"/>
      <c r="JN72" s="198"/>
      <c r="JO72" s="198"/>
      <c r="JP72" s="198"/>
      <c r="JQ72" s="198"/>
      <c r="JR72" s="198"/>
      <c r="JS72" s="198"/>
      <c r="JT72" s="198"/>
      <c r="JU72" s="198"/>
      <c r="JV72" s="198"/>
      <c r="JW72" s="198"/>
      <c r="JX72" s="198"/>
      <c r="JY72" s="198"/>
      <c r="JZ72" s="198"/>
      <c r="KA72" s="198"/>
      <c r="KB72" s="198"/>
      <c r="KC72" s="198"/>
      <c r="KD72" s="198"/>
      <c r="KE72" s="198"/>
      <c r="KF72" s="198"/>
      <c r="KG72" s="198"/>
      <c r="KH72" s="198"/>
      <c r="KI72" s="198"/>
      <c r="KJ72" s="198"/>
      <c r="KK72" s="198"/>
      <c r="KL72" s="198"/>
      <c r="KM72" s="198"/>
      <c r="KN72" s="198"/>
      <c r="KO72" s="198"/>
      <c r="KP72" s="198"/>
      <c r="KQ72" s="198"/>
      <c r="KR72" s="198"/>
      <c r="KS72" s="198"/>
      <c r="KT72" s="198"/>
      <c r="KU72" s="198"/>
      <c r="KV72" s="198"/>
      <c r="KW72" s="198"/>
      <c r="KX72" s="198"/>
      <c r="KY72" s="198"/>
      <c r="KZ72" s="198"/>
      <c r="LA72" s="198"/>
      <c r="LB72" s="198"/>
      <c r="LC72" s="198"/>
      <c r="LD72" s="198"/>
      <c r="LE72" s="198"/>
      <c r="LF72" s="198"/>
      <c r="LG72" s="198"/>
      <c r="LH72" s="198"/>
      <c r="LI72" s="198"/>
      <c r="LJ72" s="198"/>
      <c r="LK72" s="198"/>
      <c r="LL72" s="198"/>
      <c r="LM72" s="198"/>
      <c r="LN72" s="198"/>
      <c r="LO72" s="198"/>
      <c r="LP72" s="198"/>
      <c r="LQ72" s="198"/>
      <c r="LR72" s="198"/>
      <c r="LS72" s="198"/>
      <c r="LT72" s="198"/>
      <c r="LU72" s="198"/>
      <c r="LV72" s="198"/>
      <c r="LW72" s="198"/>
      <c r="LX72" s="198"/>
      <c r="LY72" s="198"/>
      <c r="LZ72" s="198"/>
      <c r="MA72" s="198"/>
      <c r="MB72" s="198"/>
      <c r="MC72" s="198"/>
      <c r="MD72" s="198"/>
      <c r="ME72" s="198"/>
      <c r="MF72" s="198"/>
      <c r="MG72" s="198"/>
      <c r="MH72" s="198"/>
      <c r="MI72" s="198"/>
      <c r="MJ72" s="198"/>
      <c r="MK72" s="198"/>
      <c r="ML72" s="198"/>
      <c r="MM72" s="198"/>
      <c r="MN72" s="198"/>
      <c r="MO72" s="198"/>
      <c r="MP72" s="198"/>
      <c r="MQ72" s="198"/>
      <c r="MR72" s="198"/>
      <c r="MS72" s="198"/>
      <c r="MT72" s="198"/>
      <c r="MU72" s="198"/>
      <c r="MV72" s="198"/>
      <c r="MW72" s="198"/>
      <c r="MX72" s="198"/>
      <c r="MY72" s="198"/>
      <c r="MZ72" s="198"/>
      <c r="NA72" s="198"/>
      <c r="NB72" s="198"/>
      <c r="NC72" s="198"/>
      <c r="ND72" s="198"/>
      <c r="NE72" s="198"/>
      <c r="NF72" s="198"/>
      <c r="NG72" s="198"/>
      <c r="NH72" s="198"/>
      <c r="NI72" s="198"/>
      <c r="NJ72" s="198"/>
      <c r="NK72" s="198"/>
      <c r="NL72" s="198"/>
      <c r="NM72" s="198"/>
      <c r="NN72" s="198"/>
      <c r="NO72" s="198"/>
      <c r="NP72" s="198"/>
      <c r="NQ72" s="198"/>
      <c r="NR72" s="198"/>
      <c r="NS72" s="198"/>
      <c r="NT72" s="198"/>
      <c r="NU72" s="198"/>
      <c r="NV72" s="198"/>
      <c r="NW72" s="198"/>
      <c r="NX72" s="198"/>
      <c r="NY72" s="198"/>
      <c r="NZ72" s="198"/>
      <c r="OA72" s="198"/>
      <c r="OB72" s="198"/>
      <c r="OC72" s="198"/>
      <c r="OD72" s="198"/>
      <c r="OE72" s="198"/>
      <c r="OF72" s="198"/>
      <c r="OG72" s="198"/>
      <c r="OH72" s="198"/>
      <c r="OI72" s="198"/>
      <c r="OJ72" s="198"/>
      <c r="OK72" s="198"/>
      <c r="OL72" s="198"/>
      <c r="OM72" s="198"/>
      <c r="ON72" s="198"/>
      <c r="OO72" s="198"/>
      <c r="OP72" s="198"/>
      <c r="OQ72" s="198"/>
      <c r="OR72" s="198"/>
      <c r="OS72" s="198"/>
      <c r="OT72" s="198"/>
      <c r="OU72" s="198"/>
      <c r="OV72" s="198"/>
      <c r="OW72" s="198"/>
      <c r="OX72" s="198"/>
      <c r="OY72" s="198"/>
      <c r="OZ72" s="198"/>
      <c r="PA72" s="198"/>
      <c r="PB72" s="198"/>
      <c r="PC72" s="198"/>
      <c r="PD72" s="198"/>
      <c r="PE72" s="198"/>
      <c r="PF72" s="198"/>
      <c r="PG72" s="198"/>
      <c r="PH72" s="198"/>
      <c r="PI72" s="198"/>
      <c r="PJ72" s="198"/>
      <c r="PK72" s="198"/>
      <c r="PL72" s="198"/>
      <c r="PM72" s="198"/>
      <c r="PN72" s="198"/>
      <c r="PO72" s="198"/>
      <c r="PP72" s="198"/>
      <c r="PQ72" s="198"/>
      <c r="PR72" s="198"/>
      <c r="PS72" s="198"/>
      <c r="PT72" s="198"/>
      <c r="PU72" s="198"/>
      <c r="PV72" s="198"/>
      <c r="PW72" s="198"/>
      <c r="PX72" s="198"/>
      <c r="PY72" s="198"/>
      <c r="PZ72" s="198"/>
      <c r="QA72" s="198"/>
      <c r="QB72" s="198"/>
      <c r="QC72" s="198"/>
      <c r="QD72" s="198"/>
      <c r="QE72" s="198"/>
      <c r="QF72" s="198"/>
      <c r="QG72" s="198"/>
      <c r="QH72" s="198"/>
      <c r="QI72" s="198"/>
      <c r="QJ72" s="198"/>
      <c r="QK72" s="198"/>
      <c r="QL72" s="198"/>
      <c r="QM72" s="198"/>
      <c r="QN72" s="198"/>
      <c r="QO72" s="198"/>
      <c r="QP72" s="198"/>
      <c r="QQ72" s="198"/>
      <c r="QR72" s="198"/>
      <c r="QS72" s="198"/>
      <c r="QT72" s="198"/>
      <c r="QU72" s="198"/>
      <c r="QV72" s="198"/>
      <c r="QW72" s="198"/>
      <c r="QX72" s="198"/>
      <c r="QY72" s="198"/>
      <c r="QZ72" s="198"/>
      <c r="RA72" s="198"/>
      <c r="RB72" s="198"/>
      <c r="RC72" s="198"/>
      <c r="RD72" s="198"/>
      <c r="RE72" s="198"/>
      <c r="RF72" s="198"/>
      <c r="RG72" s="198"/>
      <c r="RH72" s="198"/>
      <c r="RI72" s="198"/>
      <c r="RJ72" s="198"/>
      <c r="RK72" s="198"/>
      <c r="RL72" s="198"/>
      <c r="RM72" s="198"/>
      <c r="RN72" s="198"/>
      <c r="RO72" s="198"/>
      <c r="RP72" s="198"/>
      <c r="RQ72" s="198"/>
      <c r="RR72" s="198"/>
      <c r="RS72" s="198"/>
      <c r="RT72" s="198"/>
      <c r="RU72" s="198"/>
      <c r="RV72" s="198"/>
      <c r="RW72" s="198"/>
      <c r="RX72" s="198"/>
      <c r="RY72" s="198"/>
      <c r="RZ72" s="198"/>
      <c r="SA72" s="198"/>
      <c r="SB72" s="198"/>
      <c r="SC72" s="198"/>
      <c r="SD72" s="198"/>
      <c r="SE72" s="198"/>
      <c r="SF72" s="198"/>
      <c r="SG72" s="198"/>
    </row>
    <row r="73" spans="1:501" ht="40.049999999999997" customHeight="1" x14ac:dyDescent="0.3">
      <c r="A73" s="542" t="s">
        <v>215</v>
      </c>
      <c r="B73" s="953" t="s">
        <v>216</v>
      </c>
      <c r="C73" s="944"/>
      <c r="D73" s="944"/>
      <c r="E73" s="944"/>
      <c r="F73" s="944"/>
      <c r="G73" s="944"/>
      <c r="H73" s="944"/>
      <c r="I73" s="944"/>
      <c r="J73" s="944"/>
      <c r="K73" s="944"/>
      <c r="L73" s="944"/>
      <c r="M73" s="944"/>
      <c r="N73" s="944"/>
      <c r="O73" s="944"/>
      <c r="P73" s="944"/>
      <c r="Q73" s="944"/>
      <c r="R73" s="944"/>
      <c r="S73" s="944"/>
      <c r="T73" s="944"/>
      <c r="U73" s="944"/>
      <c r="V73" s="944"/>
      <c r="W73" s="944"/>
      <c r="X73" s="944"/>
      <c r="Y73" s="944"/>
      <c r="Z73" s="944"/>
      <c r="AA73" s="944"/>
      <c r="AB73" s="944"/>
      <c r="AC73" s="944"/>
      <c r="AD73" s="944"/>
      <c r="AE73" s="944"/>
      <c r="AF73" s="944"/>
      <c r="AG73" s="944"/>
      <c r="AH73" s="945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8"/>
      <c r="BC73" s="198"/>
      <c r="BD73" s="198"/>
      <c r="BE73" s="198"/>
      <c r="BF73" s="198"/>
      <c r="BG73" s="198"/>
      <c r="BH73" s="198"/>
      <c r="BI73" s="198"/>
      <c r="BJ73" s="198"/>
      <c r="BK73" s="198"/>
      <c r="BL73" s="198"/>
      <c r="BM73" s="198"/>
      <c r="BN73" s="198"/>
      <c r="BO73" s="198"/>
      <c r="BP73" s="198"/>
      <c r="BQ73" s="198"/>
      <c r="BR73" s="198"/>
      <c r="BS73" s="198"/>
      <c r="BT73" s="198"/>
      <c r="BU73" s="198"/>
      <c r="BV73" s="198"/>
      <c r="BW73" s="198"/>
      <c r="BX73" s="198"/>
      <c r="BY73" s="198"/>
      <c r="BZ73" s="198"/>
      <c r="CA73" s="198"/>
      <c r="CB73" s="198"/>
      <c r="CC73" s="198"/>
      <c r="CD73" s="198"/>
      <c r="CE73" s="198"/>
      <c r="CF73" s="198"/>
      <c r="CG73" s="198"/>
      <c r="CH73" s="198"/>
      <c r="CI73" s="198"/>
      <c r="CJ73" s="198"/>
      <c r="CK73" s="198"/>
      <c r="CL73" s="198"/>
      <c r="CM73" s="198"/>
      <c r="CN73" s="198"/>
      <c r="CO73" s="198"/>
      <c r="CP73" s="198"/>
      <c r="CQ73" s="198"/>
      <c r="CR73" s="198"/>
      <c r="CS73" s="198"/>
      <c r="CT73" s="198"/>
      <c r="CU73" s="198"/>
      <c r="CV73" s="198"/>
      <c r="CW73" s="198"/>
      <c r="CX73" s="198"/>
      <c r="CY73" s="198"/>
      <c r="CZ73" s="198"/>
      <c r="DA73" s="198"/>
      <c r="DB73" s="198"/>
      <c r="DC73" s="198"/>
      <c r="DD73" s="198"/>
      <c r="DE73" s="198"/>
      <c r="DF73" s="198"/>
      <c r="DG73" s="198"/>
      <c r="DH73" s="198"/>
      <c r="DI73" s="198"/>
      <c r="DJ73" s="198"/>
      <c r="DK73" s="198"/>
      <c r="DL73" s="198"/>
      <c r="DM73" s="198"/>
      <c r="DN73" s="198"/>
      <c r="DO73" s="198"/>
      <c r="DP73" s="198"/>
      <c r="DQ73" s="198"/>
      <c r="DR73" s="198"/>
      <c r="DS73" s="198"/>
      <c r="DT73" s="198"/>
      <c r="DU73" s="198"/>
      <c r="DV73" s="198"/>
      <c r="DW73" s="198"/>
      <c r="DX73" s="198"/>
      <c r="DY73" s="198"/>
      <c r="DZ73" s="198"/>
      <c r="EA73" s="198"/>
      <c r="EB73" s="198"/>
      <c r="EC73" s="198"/>
      <c r="ED73" s="198"/>
      <c r="EE73" s="198"/>
      <c r="EF73" s="198"/>
      <c r="EG73" s="198"/>
      <c r="EH73" s="198"/>
      <c r="EI73" s="198"/>
      <c r="EJ73" s="198"/>
      <c r="EK73" s="198"/>
      <c r="EL73" s="198"/>
      <c r="EM73" s="198"/>
      <c r="EN73" s="198"/>
      <c r="EO73" s="198"/>
      <c r="EP73" s="198"/>
      <c r="EQ73" s="198"/>
      <c r="ER73" s="198"/>
      <c r="ES73" s="198"/>
      <c r="ET73" s="198"/>
      <c r="EU73" s="198"/>
      <c r="EV73" s="198"/>
      <c r="EW73" s="198"/>
      <c r="EX73" s="198"/>
      <c r="EY73" s="198"/>
      <c r="EZ73" s="198"/>
      <c r="FA73" s="198"/>
      <c r="FB73" s="198"/>
      <c r="FC73" s="198"/>
      <c r="FD73" s="198"/>
      <c r="FE73" s="198"/>
      <c r="FF73" s="198"/>
      <c r="FG73" s="198"/>
      <c r="FH73" s="198"/>
      <c r="FI73" s="198"/>
      <c r="FJ73" s="198"/>
      <c r="FK73" s="198"/>
      <c r="FL73" s="198"/>
      <c r="FM73" s="198"/>
      <c r="FN73" s="198"/>
      <c r="FO73" s="198"/>
      <c r="FP73" s="198"/>
      <c r="FQ73" s="198"/>
      <c r="FR73" s="198"/>
      <c r="FS73" s="198"/>
      <c r="FT73" s="198"/>
      <c r="FU73" s="198"/>
      <c r="FV73" s="198"/>
      <c r="FW73" s="198"/>
      <c r="FX73" s="198"/>
      <c r="FY73" s="198"/>
      <c r="FZ73" s="198"/>
      <c r="GA73" s="198"/>
      <c r="GB73" s="198"/>
      <c r="GC73" s="198"/>
      <c r="GD73" s="198"/>
      <c r="GE73" s="198"/>
      <c r="GF73" s="198"/>
      <c r="GG73" s="198"/>
      <c r="GH73" s="198"/>
      <c r="GI73" s="198"/>
      <c r="GJ73" s="198"/>
      <c r="GK73" s="198"/>
      <c r="GL73" s="198"/>
      <c r="GM73" s="198"/>
      <c r="GN73" s="198"/>
      <c r="GO73" s="198"/>
      <c r="GP73" s="198"/>
      <c r="GQ73" s="198"/>
      <c r="GR73" s="198"/>
      <c r="GS73" s="198"/>
      <c r="GT73" s="198"/>
      <c r="GU73" s="198"/>
      <c r="GV73" s="198"/>
      <c r="GW73" s="198"/>
      <c r="GX73" s="198"/>
      <c r="GY73" s="198"/>
      <c r="GZ73" s="198"/>
      <c r="HA73" s="198"/>
      <c r="HB73" s="198"/>
      <c r="HC73" s="198"/>
      <c r="HD73" s="198"/>
      <c r="HE73" s="198"/>
      <c r="HF73" s="198"/>
      <c r="HG73" s="198"/>
      <c r="HH73" s="198"/>
      <c r="HI73" s="198"/>
      <c r="HJ73" s="198"/>
      <c r="HK73" s="198"/>
      <c r="HL73" s="198"/>
      <c r="HM73" s="198"/>
      <c r="HN73" s="198"/>
      <c r="HO73" s="198"/>
      <c r="HP73" s="198"/>
      <c r="HQ73" s="198"/>
      <c r="HR73" s="198"/>
      <c r="HS73" s="198"/>
      <c r="HT73" s="198"/>
      <c r="HU73" s="198"/>
      <c r="HV73" s="198"/>
      <c r="HW73" s="198"/>
      <c r="HX73" s="198"/>
      <c r="HY73" s="198"/>
      <c r="HZ73" s="198"/>
      <c r="IA73" s="198"/>
      <c r="IB73" s="198"/>
      <c r="IC73" s="198"/>
      <c r="ID73" s="198"/>
      <c r="IE73" s="198"/>
      <c r="IF73" s="198"/>
      <c r="IG73" s="198"/>
      <c r="IH73" s="198"/>
      <c r="II73" s="198"/>
      <c r="IJ73" s="198"/>
      <c r="IK73" s="198"/>
      <c r="IL73" s="198"/>
      <c r="IM73" s="198"/>
      <c r="IN73" s="198"/>
      <c r="IO73" s="198"/>
      <c r="IP73" s="198"/>
      <c r="IQ73" s="198"/>
      <c r="IR73" s="198"/>
      <c r="IS73" s="198"/>
      <c r="IT73" s="198"/>
      <c r="IU73" s="198"/>
      <c r="IV73" s="198"/>
      <c r="IW73" s="198"/>
      <c r="IX73" s="198"/>
      <c r="IY73" s="198"/>
      <c r="IZ73" s="198"/>
      <c r="JA73" s="198"/>
      <c r="JB73" s="198"/>
      <c r="JC73" s="198"/>
      <c r="JD73" s="198"/>
      <c r="JE73" s="198"/>
      <c r="JF73" s="198"/>
      <c r="JG73" s="198"/>
      <c r="JH73" s="198"/>
      <c r="JI73" s="198"/>
      <c r="JJ73" s="198"/>
      <c r="JK73" s="198"/>
      <c r="JL73" s="198"/>
      <c r="JM73" s="198"/>
      <c r="JN73" s="198"/>
      <c r="JO73" s="198"/>
      <c r="JP73" s="198"/>
      <c r="JQ73" s="198"/>
      <c r="JR73" s="198"/>
      <c r="JS73" s="198"/>
      <c r="JT73" s="198"/>
      <c r="JU73" s="198"/>
      <c r="JV73" s="198"/>
      <c r="JW73" s="198"/>
      <c r="JX73" s="198"/>
      <c r="JY73" s="198"/>
      <c r="JZ73" s="198"/>
      <c r="KA73" s="198"/>
      <c r="KB73" s="198"/>
      <c r="KC73" s="198"/>
      <c r="KD73" s="198"/>
      <c r="KE73" s="198"/>
      <c r="KF73" s="198"/>
      <c r="KG73" s="198"/>
      <c r="KH73" s="198"/>
      <c r="KI73" s="198"/>
      <c r="KJ73" s="198"/>
      <c r="KK73" s="198"/>
      <c r="KL73" s="198"/>
      <c r="KM73" s="198"/>
      <c r="KN73" s="198"/>
      <c r="KO73" s="198"/>
      <c r="KP73" s="198"/>
      <c r="KQ73" s="198"/>
      <c r="KR73" s="198"/>
      <c r="KS73" s="198"/>
      <c r="KT73" s="198"/>
      <c r="KU73" s="198"/>
      <c r="KV73" s="198"/>
      <c r="KW73" s="198"/>
      <c r="KX73" s="198"/>
      <c r="KY73" s="198"/>
      <c r="KZ73" s="198"/>
      <c r="LA73" s="198"/>
      <c r="LB73" s="198"/>
      <c r="LC73" s="198"/>
      <c r="LD73" s="198"/>
      <c r="LE73" s="198"/>
      <c r="LF73" s="198"/>
      <c r="LG73" s="198"/>
      <c r="LH73" s="198"/>
      <c r="LI73" s="198"/>
      <c r="LJ73" s="198"/>
      <c r="LK73" s="198"/>
      <c r="LL73" s="198"/>
      <c r="LM73" s="198"/>
      <c r="LN73" s="198"/>
      <c r="LO73" s="198"/>
      <c r="LP73" s="198"/>
      <c r="LQ73" s="198"/>
      <c r="LR73" s="198"/>
      <c r="LS73" s="198"/>
      <c r="LT73" s="198"/>
      <c r="LU73" s="198"/>
      <c r="LV73" s="198"/>
      <c r="LW73" s="198"/>
      <c r="LX73" s="198"/>
      <c r="LY73" s="198"/>
      <c r="LZ73" s="198"/>
      <c r="MA73" s="198"/>
      <c r="MB73" s="198"/>
      <c r="MC73" s="198"/>
      <c r="MD73" s="198"/>
      <c r="ME73" s="198"/>
      <c r="MF73" s="198"/>
      <c r="MG73" s="198"/>
      <c r="MH73" s="198"/>
      <c r="MI73" s="198"/>
      <c r="MJ73" s="198"/>
      <c r="MK73" s="198"/>
      <c r="ML73" s="198"/>
      <c r="MM73" s="198"/>
      <c r="MN73" s="198"/>
      <c r="MO73" s="198"/>
      <c r="MP73" s="198"/>
      <c r="MQ73" s="198"/>
      <c r="MR73" s="198"/>
      <c r="MS73" s="198"/>
      <c r="MT73" s="198"/>
      <c r="MU73" s="198"/>
      <c r="MV73" s="198"/>
      <c r="MW73" s="198"/>
      <c r="MX73" s="198"/>
      <c r="MY73" s="198"/>
      <c r="MZ73" s="198"/>
      <c r="NA73" s="198"/>
      <c r="NB73" s="198"/>
      <c r="NC73" s="198"/>
      <c r="ND73" s="198"/>
      <c r="NE73" s="198"/>
      <c r="NF73" s="198"/>
      <c r="NG73" s="198"/>
      <c r="NH73" s="198"/>
      <c r="NI73" s="198"/>
      <c r="NJ73" s="198"/>
      <c r="NK73" s="198"/>
      <c r="NL73" s="198"/>
      <c r="NM73" s="198"/>
      <c r="NN73" s="198"/>
      <c r="NO73" s="198"/>
      <c r="NP73" s="198"/>
      <c r="NQ73" s="198"/>
      <c r="NR73" s="198"/>
      <c r="NS73" s="198"/>
      <c r="NT73" s="198"/>
      <c r="NU73" s="198"/>
      <c r="NV73" s="198"/>
      <c r="NW73" s="198"/>
      <c r="NX73" s="198"/>
      <c r="NY73" s="198"/>
      <c r="NZ73" s="198"/>
      <c r="OA73" s="198"/>
      <c r="OB73" s="198"/>
      <c r="OC73" s="198"/>
      <c r="OD73" s="198"/>
      <c r="OE73" s="198"/>
      <c r="OF73" s="198"/>
      <c r="OG73" s="198"/>
      <c r="OH73" s="198"/>
      <c r="OI73" s="198"/>
      <c r="OJ73" s="198"/>
      <c r="OK73" s="198"/>
      <c r="OL73" s="198"/>
      <c r="OM73" s="198"/>
      <c r="ON73" s="198"/>
      <c r="OO73" s="198"/>
      <c r="OP73" s="198"/>
      <c r="OQ73" s="198"/>
      <c r="OR73" s="198"/>
      <c r="OS73" s="198"/>
      <c r="OT73" s="198"/>
      <c r="OU73" s="198"/>
      <c r="OV73" s="198"/>
      <c r="OW73" s="198"/>
      <c r="OX73" s="198"/>
      <c r="OY73" s="198"/>
      <c r="OZ73" s="198"/>
      <c r="PA73" s="198"/>
      <c r="PB73" s="198"/>
      <c r="PC73" s="198"/>
      <c r="PD73" s="198"/>
      <c r="PE73" s="198"/>
      <c r="PF73" s="198"/>
      <c r="PG73" s="198"/>
      <c r="PH73" s="198"/>
      <c r="PI73" s="198"/>
      <c r="PJ73" s="198"/>
      <c r="PK73" s="198"/>
      <c r="PL73" s="198"/>
      <c r="PM73" s="198"/>
      <c r="PN73" s="198"/>
      <c r="PO73" s="198"/>
      <c r="PP73" s="198"/>
      <c r="PQ73" s="198"/>
      <c r="PR73" s="198"/>
      <c r="PS73" s="198"/>
      <c r="PT73" s="198"/>
      <c r="PU73" s="198"/>
      <c r="PV73" s="198"/>
      <c r="PW73" s="198"/>
      <c r="PX73" s="198"/>
      <c r="PY73" s="198"/>
      <c r="PZ73" s="198"/>
      <c r="QA73" s="198"/>
      <c r="QB73" s="198"/>
      <c r="QC73" s="198"/>
      <c r="QD73" s="198"/>
      <c r="QE73" s="198"/>
      <c r="QF73" s="198"/>
      <c r="QG73" s="198"/>
      <c r="QH73" s="198"/>
      <c r="QI73" s="198"/>
      <c r="QJ73" s="198"/>
      <c r="QK73" s="198"/>
      <c r="QL73" s="198"/>
      <c r="QM73" s="198"/>
      <c r="QN73" s="198"/>
      <c r="QO73" s="198"/>
      <c r="QP73" s="198"/>
      <c r="QQ73" s="198"/>
      <c r="QR73" s="198"/>
      <c r="QS73" s="198"/>
      <c r="QT73" s="198"/>
      <c r="QU73" s="198"/>
      <c r="QV73" s="198"/>
      <c r="QW73" s="198"/>
      <c r="QX73" s="198"/>
      <c r="QY73" s="198"/>
      <c r="QZ73" s="198"/>
      <c r="RA73" s="198"/>
      <c r="RB73" s="198"/>
      <c r="RC73" s="198"/>
      <c r="RD73" s="198"/>
      <c r="RE73" s="198"/>
      <c r="RF73" s="198"/>
      <c r="RG73" s="198"/>
      <c r="RH73" s="198"/>
      <c r="RI73" s="198"/>
      <c r="RJ73" s="198"/>
      <c r="RK73" s="198"/>
      <c r="RL73" s="198"/>
      <c r="RM73" s="198"/>
      <c r="RN73" s="198"/>
      <c r="RO73" s="198"/>
      <c r="RP73" s="198"/>
      <c r="RQ73" s="198"/>
      <c r="RR73" s="198"/>
      <c r="RS73" s="198"/>
      <c r="RT73" s="198"/>
      <c r="RU73" s="198"/>
      <c r="RV73" s="198"/>
      <c r="RW73" s="198"/>
      <c r="RX73" s="198"/>
      <c r="RY73" s="198"/>
      <c r="RZ73" s="198"/>
      <c r="SA73" s="198"/>
      <c r="SB73" s="198"/>
      <c r="SC73" s="198"/>
      <c r="SD73" s="198"/>
      <c r="SE73" s="198"/>
      <c r="SF73" s="198"/>
      <c r="SG73" s="198"/>
    </row>
    <row r="74" spans="1:501" ht="40.049999999999997" customHeight="1" thickBot="1" x14ac:dyDescent="0.35">
      <c r="A74" s="541" t="s">
        <v>217</v>
      </c>
      <c r="B74" s="952" t="s">
        <v>218</v>
      </c>
      <c r="C74" s="950"/>
      <c r="D74" s="861"/>
      <c r="E74" s="862"/>
      <c r="F74" s="861"/>
      <c r="G74" s="863">
        <f>MANZ.C!AL74</f>
        <v>0</v>
      </c>
      <c r="H74" s="861"/>
      <c r="I74" s="862"/>
      <c r="J74" s="861"/>
      <c r="K74" s="862">
        <f>MANZ.E!AL75</f>
        <v>0</v>
      </c>
      <c r="L74" s="861"/>
      <c r="M74" s="862">
        <f>MANZ.F!AB74</f>
        <v>0</v>
      </c>
      <c r="N74" s="861"/>
      <c r="O74" s="862">
        <f>MANZ.G!AS73</f>
        <v>17</v>
      </c>
      <c r="P74" s="861"/>
      <c r="Q74" s="862">
        <f>MANZ.H!V75</f>
        <v>0</v>
      </c>
      <c r="R74" s="861"/>
      <c r="S74" s="862">
        <f>MANZ.I!AB73</f>
        <v>0</v>
      </c>
      <c r="T74" s="861"/>
      <c r="U74" s="862">
        <f>MANZ.J!AT78</f>
        <v>0</v>
      </c>
      <c r="V74" s="861"/>
      <c r="W74" s="862">
        <f>MANZ.K!AB75</f>
        <v>0</v>
      </c>
      <c r="X74" s="861"/>
      <c r="Y74" s="862"/>
      <c r="Z74" s="861"/>
      <c r="AA74" s="862"/>
      <c r="AB74" s="864"/>
      <c r="AC74" s="864"/>
      <c r="AD74" s="864"/>
      <c r="AE74" s="864"/>
      <c r="AF74" s="861"/>
      <c r="AG74" s="865">
        <f>SUM(C73:AA73)</f>
        <v>0</v>
      </c>
      <c r="AH74" s="866"/>
      <c r="AI74" s="198"/>
      <c r="AJ74" s="198"/>
      <c r="AK74" s="198"/>
      <c r="AL74" s="198"/>
      <c r="AM74" s="198"/>
      <c r="AN74" s="198"/>
      <c r="AO74" s="198"/>
      <c r="AP74" s="198"/>
      <c r="AQ74" s="198"/>
      <c r="AR74" s="198"/>
      <c r="AS74" s="198"/>
      <c r="AT74" s="198"/>
      <c r="AU74" s="198"/>
      <c r="AV74" s="198"/>
      <c r="AW74" s="198"/>
      <c r="AX74" s="198"/>
      <c r="AY74" s="198"/>
      <c r="AZ74" s="198"/>
      <c r="BA74" s="198"/>
      <c r="BB74" s="198"/>
      <c r="BC74" s="198"/>
      <c r="BD74" s="198"/>
      <c r="BE74" s="198"/>
      <c r="BF74" s="198"/>
      <c r="BG74" s="198"/>
      <c r="BH74" s="198"/>
      <c r="BI74" s="198"/>
      <c r="BJ74" s="198"/>
      <c r="BK74" s="198"/>
      <c r="BL74" s="198"/>
      <c r="BM74" s="198"/>
      <c r="BN74" s="198"/>
      <c r="BO74" s="198"/>
      <c r="BP74" s="198"/>
      <c r="BQ74" s="198"/>
      <c r="BR74" s="198"/>
      <c r="BS74" s="198"/>
      <c r="BT74" s="198"/>
      <c r="BU74" s="198"/>
      <c r="BV74" s="198"/>
      <c r="BW74" s="198"/>
      <c r="BX74" s="198"/>
      <c r="BY74" s="198"/>
      <c r="BZ74" s="198"/>
      <c r="CA74" s="198"/>
      <c r="CB74" s="198"/>
      <c r="CC74" s="198"/>
      <c r="CD74" s="198"/>
      <c r="CE74" s="198"/>
      <c r="CF74" s="198"/>
      <c r="CG74" s="198"/>
      <c r="CH74" s="198"/>
      <c r="CI74" s="198"/>
      <c r="CJ74" s="198"/>
      <c r="CK74" s="198"/>
      <c r="CL74" s="198"/>
      <c r="CM74" s="198"/>
      <c r="CN74" s="198"/>
      <c r="CO74" s="198"/>
      <c r="CP74" s="198"/>
      <c r="CQ74" s="198"/>
      <c r="CR74" s="198"/>
      <c r="CS74" s="198"/>
      <c r="CT74" s="198"/>
      <c r="CU74" s="198"/>
      <c r="CV74" s="198"/>
      <c r="CW74" s="198"/>
      <c r="CX74" s="198"/>
      <c r="CY74" s="198"/>
      <c r="CZ74" s="198"/>
      <c r="DA74" s="198"/>
      <c r="DB74" s="198"/>
      <c r="DC74" s="198"/>
      <c r="DD74" s="198"/>
      <c r="DE74" s="198"/>
      <c r="DF74" s="198"/>
      <c r="DG74" s="198"/>
      <c r="DH74" s="198"/>
      <c r="DI74" s="198"/>
      <c r="DJ74" s="198"/>
      <c r="DK74" s="198"/>
      <c r="DL74" s="198"/>
      <c r="DM74" s="198"/>
      <c r="DN74" s="198"/>
      <c r="DO74" s="198"/>
      <c r="DP74" s="198"/>
      <c r="DQ74" s="198"/>
      <c r="DR74" s="198"/>
      <c r="DS74" s="198"/>
      <c r="DT74" s="198"/>
      <c r="DU74" s="198"/>
      <c r="DV74" s="198"/>
      <c r="DW74" s="198"/>
      <c r="DX74" s="198"/>
      <c r="DY74" s="198"/>
      <c r="DZ74" s="198"/>
      <c r="EA74" s="198"/>
      <c r="EB74" s="198"/>
      <c r="EC74" s="198"/>
      <c r="ED74" s="198"/>
      <c r="EE74" s="198"/>
      <c r="EF74" s="198"/>
      <c r="EG74" s="198"/>
      <c r="EH74" s="198"/>
      <c r="EI74" s="198"/>
      <c r="EJ74" s="198"/>
      <c r="EK74" s="198"/>
      <c r="EL74" s="198"/>
      <c r="EM74" s="198"/>
      <c r="EN74" s="198"/>
      <c r="EO74" s="198"/>
      <c r="EP74" s="198"/>
      <c r="EQ74" s="198"/>
      <c r="ER74" s="198"/>
      <c r="ES74" s="198"/>
      <c r="ET74" s="198"/>
      <c r="EU74" s="198"/>
      <c r="EV74" s="198"/>
      <c r="EW74" s="198"/>
      <c r="EX74" s="198"/>
      <c r="EY74" s="198"/>
      <c r="EZ74" s="198"/>
      <c r="FA74" s="198"/>
      <c r="FB74" s="198"/>
      <c r="FC74" s="198"/>
      <c r="FD74" s="198"/>
      <c r="FE74" s="198"/>
      <c r="FF74" s="198"/>
      <c r="FG74" s="198"/>
      <c r="FH74" s="198"/>
      <c r="FI74" s="198"/>
      <c r="FJ74" s="198"/>
      <c r="FK74" s="198"/>
      <c r="FL74" s="198"/>
      <c r="FM74" s="198"/>
      <c r="FN74" s="198"/>
      <c r="FO74" s="198"/>
      <c r="FP74" s="198"/>
      <c r="FQ74" s="198"/>
      <c r="FR74" s="198"/>
      <c r="FS74" s="198"/>
      <c r="FT74" s="198"/>
      <c r="FU74" s="198"/>
      <c r="FV74" s="198"/>
      <c r="FW74" s="198"/>
      <c r="FX74" s="198"/>
      <c r="FY74" s="198"/>
      <c r="FZ74" s="198"/>
      <c r="GA74" s="198"/>
      <c r="GB74" s="198"/>
      <c r="GC74" s="198"/>
      <c r="GD74" s="198"/>
      <c r="GE74" s="198"/>
      <c r="GF74" s="198"/>
      <c r="GG74" s="198"/>
      <c r="GH74" s="198"/>
      <c r="GI74" s="198"/>
      <c r="GJ74" s="198"/>
      <c r="GK74" s="198"/>
      <c r="GL74" s="198"/>
      <c r="GM74" s="198"/>
      <c r="GN74" s="198"/>
      <c r="GO74" s="198"/>
      <c r="GP74" s="198"/>
      <c r="GQ74" s="198"/>
      <c r="GR74" s="198"/>
      <c r="GS74" s="198"/>
      <c r="GT74" s="198"/>
      <c r="GU74" s="198"/>
      <c r="GV74" s="198"/>
      <c r="GW74" s="198"/>
      <c r="GX74" s="198"/>
      <c r="GY74" s="198"/>
      <c r="GZ74" s="198"/>
      <c r="HA74" s="198"/>
      <c r="HB74" s="198"/>
      <c r="HC74" s="198"/>
      <c r="HD74" s="198"/>
      <c r="HE74" s="198"/>
      <c r="HF74" s="198"/>
      <c r="HG74" s="198"/>
      <c r="HH74" s="198"/>
      <c r="HI74" s="198"/>
      <c r="HJ74" s="198"/>
      <c r="HK74" s="198"/>
      <c r="HL74" s="198"/>
      <c r="HM74" s="198"/>
      <c r="HN74" s="198"/>
      <c r="HO74" s="198"/>
      <c r="HP74" s="198"/>
      <c r="HQ74" s="198"/>
      <c r="HR74" s="198"/>
      <c r="HS74" s="198"/>
      <c r="HT74" s="198"/>
      <c r="HU74" s="198"/>
      <c r="HV74" s="198"/>
      <c r="HW74" s="198"/>
      <c r="HX74" s="198"/>
      <c r="HY74" s="198"/>
      <c r="HZ74" s="198"/>
      <c r="IA74" s="198"/>
      <c r="IB74" s="198"/>
      <c r="IC74" s="198"/>
      <c r="ID74" s="198"/>
      <c r="IE74" s="198"/>
      <c r="IF74" s="198"/>
      <c r="IG74" s="198"/>
      <c r="IH74" s="198"/>
      <c r="II74" s="198"/>
      <c r="IJ74" s="198"/>
      <c r="IK74" s="198"/>
      <c r="IL74" s="198"/>
      <c r="IM74" s="198"/>
      <c r="IN74" s="198"/>
      <c r="IO74" s="198"/>
      <c r="IP74" s="198"/>
      <c r="IQ74" s="198"/>
      <c r="IR74" s="198"/>
      <c r="IS74" s="198"/>
      <c r="IT74" s="198"/>
      <c r="IU74" s="198"/>
      <c r="IV74" s="198"/>
      <c r="IW74" s="198"/>
      <c r="IX74" s="198"/>
      <c r="IY74" s="198"/>
      <c r="IZ74" s="198"/>
      <c r="JA74" s="198"/>
      <c r="JB74" s="198"/>
      <c r="JC74" s="198"/>
      <c r="JD74" s="198"/>
      <c r="JE74" s="198"/>
      <c r="JF74" s="198"/>
      <c r="JG74" s="198"/>
      <c r="JH74" s="198"/>
      <c r="JI74" s="198"/>
      <c r="JJ74" s="198"/>
      <c r="JK74" s="198"/>
      <c r="JL74" s="198"/>
      <c r="JM74" s="198"/>
      <c r="JN74" s="198"/>
      <c r="JO74" s="198"/>
      <c r="JP74" s="198"/>
      <c r="JQ74" s="198"/>
      <c r="JR74" s="198"/>
      <c r="JS74" s="198"/>
      <c r="JT74" s="198"/>
      <c r="JU74" s="198"/>
      <c r="JV74" s="198"/>
      <c r="JW74" s="198"/>
      <c r="JX74" s="198"/>
      <c r="JY74" s="198"/>
      <c r="JZ74" s="198"/>
      <c r="KA74" s="198"/>
      <c r="KB74" s="198"/>
      <c r="KC74" s="198"/>
      <c r="KD74" s="198"/>
      <c r="KE74" s="198"/>
      <c r="KF74" s="198"/>
      <c r="KG74" s="198"/>
      <c r="KH74" s="198"/>
      <c r="KI74" s="198"/>
      <c r="KJ74" s="198"/>
      <c r="KK74" s="198"/>
      <c r="KL74" s="198"/>
      <c r="KM74" s="198"/>
      <c r="KN74" s="198"/>
      <c r="KO74" s="198"/>
      <c r="KP74" s="198"/>
      <c r="KQ74" s="198"/>
      <c r="KR74" s="198"/>
      <c r="KS74" s="198"/>
      <c r="KT74" s="198"/>
      <c r="KU74" s="198"/>
      <c r="KV74" s="198"/>
      <c r="KW74" s="198"/>
      <c r="KX74" s="198"/>
      <c r="KY74" s="198"/>
      <c r="KZ74" s="198"/>
      <c r="LA74" s="198"/>
      <c r="LB74" s="198"/>
      <c r="LC74" s="198"/>
      <c r="LD74" s="198"/>
      <c r="LE74" s="198"/>
      <c r="LF74" s="198"/>
      <c r="LG74" s="198"/>
      <c r="LH74" s="198"/>
      <c r="LI74" s="198"/>
      <c r="LJ74" s="198"/>
      <c r="LK74" s="198"/>
      <c r="LL74" s="198"/>
      <c r="LM74" s="198"/>
      <c r="LN74" s="198"/>
      <c r="LO74" s="198"/>
      <c r="LP74" s="198"/>
      <c r="LQ74" s="198"/>
      <c r="LR74" s="198"/>
      <c r="LS74" s="198"/>
      <c r="LT74" s="198"/>
      <c r="LU74" s="198"/>
      <c r="LV74" s="198"/>
      <c r="LW74" s="198"/>
      <c r="LX74" s="198"/>
      <c r="LY74" s="198"/>
      <c r="LZ74" s="198"/>
      <c r="MA74" s="198"/>
      <c r="MB74" s="198"/>
      <c r="MC74" s="198"/>
      <c r="MD74" s="198"/>
      <c r="ME74" s="198"/>
      <c r="MF74" s="198"/>
      <c r="MG74" s="198"/>
      <c r="MH74" s="198"/>
      <c r="MI74" s="198"/>
      <c r="MJ74" s="198"/>
      <c r="MK74" s="198"/>
      <c r="ML74" s="198"/>
      <c r="MM74" s="198"/>
      <c r="MN74" s="198"/>
      <c r="MO74" s="198"/>
      <c r="MP74" s="198"/>
      <c r="MQ74" s="198"/>
      <c r="MR74" s="198"/>
      <c r="MS74" s="198"/>
      <c r="MT74" s="198"/>
      <c r="MU74" s="198"/>
      <c r="MV74" s="198"/>
      <c r="MW74" s="198"/>
      <c r="MX74" s="198"/>
      <c r="MY74" s="198"/>
      <c r="MZ74" s="198"/>
      <c r="NA74" s="198"/>
      <c r="NB74" s="198"/>
      <c r="NC74" s="198"/>
      <c r="ND74" s="198"/>
      <c r="NE74" s="198"/>
      <c r="NF74" s="198"/>
      <c r="NG74" s="198"/>
      <c r="NH74" s="198"/>
      <c r="NI74" s="198"/>
      <c r="NJ74" s="198"/>
      <c r="NK74" s="198"/>
      <c r="NL74" s="198"/>
      <c r="NM74" s="198"/>
      <c r="NN74" s="198"/>
      <c r="NO74" s="198"/>
      <c r="NP74" s="198"/>
      <c r="NQ74" s="198"/>
      <c r="NR74" s="198"/>
      <c r="NS74" s="198"/>
      <c r="NT74" s="198"/>
      <c r="NU74" s="198"/>
      <c r="NV74" s="198"/>
      <c r="NW74" s="198"/>
      <c r="NX74" s="198"/>
      <c r="NY74" s="198"/>
      <c r="NZ74" s="198"/>
      <c r="OA74" s="198"/>
      <c r="OB74" s="198"/>
      <c r="OC74" s="198"/>
      <c r="OD74" s="198"/>
      <c r="OE74" s="198"/>
      <c r="OF74" s="198"/>
      <c r="OG74" s="198"/>
      <c r="OH74" s="198"/>
      <c r="OI74" s="198"/>
      <c r="OJ74" s="198"/>
      <c r="OK74" s="198"/>
      <c r="OL74" s="198"/>
      <c r="OM74" s="198"/>
      <c r="ON74" s="198"/>
      <c r="OO74" s="198"/>
      <c r="OP74" s="198"/>
      <c r="OQ74" s="198"/>
      <c r="OR74" s="198"/>
      <c r="OS74" s="198"/>
      <c r="OT74" s="198"/>
      <c r="OU74" s="198"/>
      <c r="OV74" s="198"/>
      <c r="OW74" s="198"/>
      <c r="OX74" s="198"/>
      <c r="OY74" s="198"/>
      <c r="OZ74" s="198"/>
      <c r="PA74" s="198"/>
      <c r="PB74" s="198"/>
      <c r="PC74" s="198"/>
      <c r="PD74" s="198"/>
      <c r="PE74" s="198"/>
      <c r="PF74" s="198"/>
      <c r="PG74" s="198"/>
      <c r="PH74" s="198"/>
      <c r="PI74" s="198"/>
      <c r="PJ74" s="198"/>
      <c r="PK74" s="198"/>
      <c r="PL74" s="198"/>
      <c r="PM74" s="198"/>
      <c r="PN74" s="198"/>
      <c r="PO74" s="198"/>
      <c r="PP74" s="198"/>
      <c r="PQ74" s="198"/>
      <c r="PR74" s="198"/>
      <c r="PS74" s="198"/>
      <c r="PT74" s="198"/>
      <c r="PU74" s="198"/>
      <c r="PV74" s="198"/>
      <c r="PW74" s="198"/>
      <c r="PX74" s="198"/>
      <c r="PY74" s="198"/>
      <c r="PZ74" s="198"/>
      <c r="QA74" s="198"/>
      <c r="QB74" s="198"/>
      <c r="QC74" s="198"/>
      <c r="QD74" s="198"/>
      <c r="QE74" s="198"/>
      <c r="QF74" s="198"/>
      <c r="QG74" s="198"/>
      <c r="QH74" s="198"/>
      <c r="QI74" s="198"/>
      <c r="QJ74" s="198"/>
      <c r="QK74" s="198"/>
      <c r="QL74" s="198"/>
      <c r="QM74" s="198"/>
      <c r="QN74" s="198"/>
      <c r="QO74" s="198"/>
      <c r="QP74" s="198"/>
      <c r="QQ74" s="198"/>
      <c r="QR74" s="198"/>
      <c r="QS74" s="198"/>
      <c r="QT74" s="198"/>
      <c r="QU74" s="198"/>
      <c r="QV74" s="198"/>
      <c r="QW74" s="198"/>
      <c r="QX74" s="198"/>
      <c r="QY74" s="198"/>
      <c r="QZ74" s="198"/>
      <c r="RA74" s="198"/>
      <c r="RB74" s="198"/>
      <c r="RC74" s="198"/>
      <c r="RD74" s="198"/>
      <c r="RE74" s="198"/>
      <c r="RF74" s="198"/>
      <c r="RG74" s="198"/>
      <c r="RH74" s="198"/>
      <c r="RI74" s="198"/>
      <c r="RJ74" s="198"/>
      <c r="RK74" s="198"/>
      <c r="RL74" s="198"/>
      <c r="RM74" s="198"/>
      <c r="RN74" s="198"/>
      <c r="RO74" s="198"/>
      <c r="RP74" s="198"/>
      <c r="RQ74" s="198"/>
      <c r="RR74" s="198"/>
      <c r="RS74" s="198"/>
      <c r="RT74" s="198"/>
      <c r="RU74" s="198"/>
      <c r="RV74" s="198"/>
      <c r="RW74" s="198"/>
      <c r="RX74" s="198"/>
      <c r="RY74" s="198"/>
      <c r="RZ74" s="198"/>
      <c r="SA74" s="198"/>
      <c r="SB74" s="198"/>
      <c r="SC74" s="198"/>
      <c r="SD74" s="198"/>
      <c r="SE74" s="198"/>
      <c r="SF74" s="198"/>
      <c r="SG74" s="198"/>
    </row>
    <row r="75" spans="1:501" ht="40.049999999999997" customHeight="1" x14ac:dyDescent="0.3">
      <c r="A75" s="542" t="s">
        <v>219</v>
      </c>
      <c r="B75" s="953" t="s">
        <v>220</v>
      </c>
      <c r="C75" s="944"/>
      <c r="D75" s="944"/>
      <c r="E75" s="944"/>
      <c r="F75" s="944"/>
      <c r="G75" s="944"/>
      <c r="H75" s="944"/>
      <c r="I75" s="944"/>
      <c r="J75" s="944"/>
      <c r="K75" s="944"/>
      <c r="L75" s="944"/>
      <c r="M75" s="944"/>
      <c r="N75" s="944"/>
      <c r="O75" s="944"/>
      <c r="P75" s="944"/>
      <c r="Q75" s="944"/>
      <c r="R75" s="944"/>
      <c r="S75" s="944"/>
      <c r="T75" s="944"/>
      <c r="U75" s="944"/>
      <c r="V75" s="944"/>
      <c r="W75" s="944"/>
      <c r="X75" s="944"/>
      <c r="Y75" s="944"/>
      <c r="Z75" s="944"/>
      <c r="AA75" s="944"/>
      <c r="AB75" s="944"/>
      <c r="AC75" s="944"/>
      <c r="AD75" s="944"/>
      <c r="AE75" s="944"/>
      <c r="AF75" s="944"/>
      <c r="AG75" s="944"/>
      <c r="AH75" s="945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8"/>
      <c r="AX75" s="198"/>
      <c r="AY75" s="198"/>
      <c r="AZ75" s="198"/>
      <c r="BA75" s="198"/>
      <c r="BB75" s="198"/>
      <c r="BC75" s="198"/>
      <c r="BD75" s="198"/>
      <c r="BE75" s="198"/>
      <c r="BF75" s="198"/>
      <c r="BG75" s="198"/>
      <c r="BH75" s="198"/>
      <c r="BI75" s="198"/>
      <c r="BJ75" s="198"/>
      <c r="BK75" s="198"/>
      <c r="BL75" s="198"/>
      <c r="BM75" s="198"/>
      <c r="BN75" s="198"/>
      <c r="BO75" s="198"/>
      <c r="BP75" s="198"/>
      <c r="BQ75" s="198"/>
      <c r="BR75" s="198"/>
      <c r="BS75" s="198"/>
      <c r="BT75" s="198"/>
      <c r="BU75" s="198"/>
      <c r="BV75" s="198"/>
      <c r="BW75" s="198"/>
      <c r="BX75" s="198"/>
      <c r="BY75" s="198"/>
      <c r="BZ75" s="198"/>
      <c r="CA75" s="198"/>
      <c r="CB75" s="198"/>
      <c r="CC75" s="198"/>
      <c r="CD75" s="198"/>
      <c r="CE75" s="198"/>
      <c r="CF75" s="198"/>
      <c r="CG75" s="198"/>
      <c r="CH75" s="198"/>
      <c r="CI75" s="198"/>
      <c r="CJ75" s="198"/>
      <c r="CK75" s="198"/>
      <c r="CL75" s="198"/>
      <c r="CM75" s="198"/>
      <c r="CN75" s="198"/>
      <c r="CO75" s="198"/>
      <c r="CP75" s="198"/>
      <c r="CQ75" s="198"/>
      <c r="CR75" s="198"/>
      <c r="CS75" s="198"/>
      <c r="CT75" s="198"/>
      <c r="CU75" s="198"/>
      <c r="CV75" s="198"/>
      <c r="CW75" s="198"/>
      <c r="CX75" s="198"/>
      <c r="CY75" s="198"/>
      <c r="CZ75" s="198"/>
      <c r="DA75" s="198"/>
      <c r="DB75" s="198"/>
      <c r="DC75" s="198"/>
      <c r="DD75" s="198"/>
      <c r="DE75" s="198"/>
      <c r="DF75" s="198"/>
      <c r="DG75" s="198"/>
      <c r="DH75" s="198"/>
      <c r="DI75" s="198"/>
      <c r="DJ75" s="198"/>
      <c r="DK75" s="198"/>
      <c r="DL75" s="198"/>
      <c r="DM75" s="198"/>
      <c r="DN75" s="198"/>
      <c r="DO75" s="198"/>
      <c r="DP75" s="198"/>
      <c r="DQ75" s="198"/>
      <c r="DR75" s="198"/>
      <c r="DS75" s="198"/>
      <c r="DT75" s="198"/>
      <c r="DU75" s="198"/>
      <c r="DV75" s="198"/>
      <c r="DW75" s="198"/>
      <c r="DX75" s="198"/>
      <c r="DY75" s="198"/>
      <c r="DZ75" s="198"/>
      <c r="EA75" s="198"/>
      <c r="EB75" s="198"/>
      <c r="EC75" s="198"/>
      <c r="ED75" s="198"/>
      <c r="EE75" s="198"/>
      <c r="EF75" s="198"/>
      <c r="EG75" s="198"/>
      <c r="EH75" s="198"/>
      <c r="EI75" s="198"/>
      <c r="EJ75" s="198"/>
      <c r="EK75" s="198"/>
      <c r="EL75" s="198"/>
      <c r="EM75" s="198"/>
      <c r="EN75" s="198"/>
      <c r="EO75" s="198"/>
      <c r="EP75" s="198"/>
      <c r="EQ75" s="198"/>
      <c r="ER75" s="198"/>
      <c r="ES75" s="198"/>
      <c r="ET75" s="198"/>
      <c r="EU75" s="198"/>
      <c r="EV75" s="198"/>
      <c r="EW75" s="198"/>
      <c r="EX75" s="198"/>
      <c r="EY75" s="198"/>
      <c r="EZ75" s="198"/>
      <c r="FA75" s="198"/>
      <c r="FB75" s="198"/>
      <c r="FC75" s="198"/>
      <c r="FD75" s="198"/>
      <c r="FE75" s="198"/>
      <c r="FF75" s="198"/>
      <c r="FG75" s="198"/>
      <c r="FH75" s="198"/>
      <c r="FI75" s="198"/>
      <c r="FJ75" s="198"/>
      <c r="FK75" s="198"/>
      <c r="FL75" s="198"/>
      <c r="FM75" s="198"/>
      <c r="FN75" s="198"/>
      <c r="FO75" s="198"/>
      <c r="FP75" s="198"/>
      <c r="FQ75" s="198"/>
      <c r="FR75" s="198"/>
      <c r="FS75" s="198"/>
      <c r="FT75" s="198"/>
      <c r="FU75" s="198"/>
      <c r="FV75" s="198"/>
      <c r="FW75" s="198"/>
      <c r="FX75" s="198"/>
      <c r="FY75" s="198"/>
      <c r="FZ75" s="198"/>
      <c r="GA75" s="198"/>
      <c r="GB75" s="198"/>
      <c r="GC75" s="198"/>
      <c r="GD75" s="198"/>
      <c r="GE75" s="198"/>
      <c r="GF75" s="198"/>
      <c r="GG75" s="198"/>
      <c r="GH75" s="198"/>
      <c r="GI75" s="198"/>
      <c r="GJ75" s="198"/>
      <c r="GK75" s="198"/>
      <c r="GL75" s="198"/>
      <c r="GM75" s="198"/>
      <c r="GN75" s="198"/>
      <c r="GO75" s="198"/>
      <c r="GP75" s="198"/>
      <c r="GQ75" s="198"/>
      <c r="GR75" s="198"/>
      <c r="GS75" s="198"/>
      <c r="GT75" s="198"/>
      <c r="GU75" s="198"/>
      <c r="GV75" s="198"/>
      <c r="GW75" s="198"/>
      <c r="GX75" s="198"/>
      <c r="GY75" s="198"/>
      <c r="GZ75" s="198"/>
      <c r="HA75" s="198"/>
      <c r="HB75" s="198"/>
      <c r="HC75" s="198"/>
      <c r="HD75" s="198"/>
      <c r="HE75" s="198"/>
      <c r="HF75" s="198"/>
      <c r="HG75" s="198"/>
      <c r="HH75" s="198"/>
      <c r="HI75" s="198"/>
      <c r="HJ75" s="198"/>
      <c r="HK75" s="198"/>
      <c r="HL75" s="198"/>
      <c r="HM75" s="198"/>
      <c r="HN75" s="198"/>
      <c r="HO75" s="198"/>
      <c r="HP75" s="198"/>
      <c r="HQ75" s="198"/>
      <c r="HR75" s="198"/>
      <c r="HS75" s="198"/>
      <c r="HT75" s="198"/>
      <c r="HU75" s="198"/>
      <c r="HV75" s="198"/>
      <c r="HW75" s="198"/>
      <c r="HX75" s="198"/>
      <c r="HY75" s="198"/>
      <c r="HZ75" s="198"/>
      <c r="IA75" s="198"/>
      <c r="IB75" s="198"/>
      <c r="IC75" s="198"/>
      <c r="ID75" s="198"/>
      <c r="IE75" s="198"/>
      <c r="IF75" s="198"/>
      <c r="IG75" s="198"/>
      <c r="IH75" s="198"/>
      <c r="II75" s="198"/>
      <c r="IJ75" s="198"/>
      <c r="IK75" s="198"/>
      <c r="IL75" s="198"/>
      <c r="IM75" s="198"/>
      <c r="IN75" s="198"/>
      <c r="IO75" s="198"/>
      <c r="IP75" s="198"/>
      <c r="IQ75" s="198"/>
      <c r="IR75" s="198"/>
      <c r="IS75" s="198"/>
      <c r="IT75" s="198"/>
      <c r="IU75" s="198"/>
      <c r="IV75" s="198"/>
      <c r="IW75" s="198"/>
      <c r="IX75" s="198"/>
      <c r="IY75" s="198"/>
      <c r="IZ75" s="198"/>
      <c r="JA75" s="198"/>
      <c r="JB75" s="198"/>
      <c r="JC75" s="198"/>
      <c r="JD75" s="198"/>
      <c r="JE75" s="198"/>
      <c r="JF75" s="198"/>
      <c r="JG75" s="198"/>
      <c r="JH75" s="198"/>
      <c r="JI75" s="198"/>
      <c r="JJ75" s="198"/>
      <c r="JK75" s="198"/>
      <c r="JL75" s="198"/>
      <c r="JM75" s="198"/>
      <c r="JN75" s="198"/>
      <c r="JO75" s="198"/>
      <c r="JP75" s="198"/>
      <c r="JQ75" s="198"/>
      <c r="JR75" s="198"/>
      <c r="JS75" s="198"/>
      <c r="JT75" s="198"/>
      <c r="JU75" s="198"/>
      <c r="JV75" s="198"/>
      <c r="JW75" s="198"/>
      <c r="JX75" s="198"/>
      <c r="JY75" s="198"/>
      <c r="JZ75" s="198"/>
      <c r="KA75" s="198"/>
      <c r="KB75" s="198"/>
      <c r="KC75" s="198"/>
      <c r="KD75" s="198"/>
      <c r="KE75" s="198"/>
      <c r="KF75" s="198"/>
      <c r="KG75" s="198"/>
      <c r="KH75" s="198"/>
      <c r="KI75" s="198"/>
      <c r="KJ75" s="198"/>
      <c r="KK75" s="198"/>
      <c r="KL75" s="198"/>
      <c r="KM75" s="198"/>
      <c r="KN75" s="198"/>
      <c r="KO75" s="198"/>
      <c r="KP75" s="198"/>
      <c r="KQ75" s="198"/>
      <c r="KR75" s="198"/>
      <c r="KS75" s="198"/>
      <c r="KT75" s="198"/>
      <c r="KU75" s="198"/>
      <c r="KV75" s="198"/>
      <c r="KW75" s="198"/>
      <c r="KX75" s="198"/>
      <c r="KY75" s="198"/>
      <c r="KZ75" s="198"/>
      <c r="LA75" s="198"/>
      <c r="LB75" s="198"/>
      <c r="LC75" s="198"/>
      <c r="LD75" s="198"/>
      <c r="LE75" s="198"/>
      <c r="LF75" s="198"/>
      <c r="LG75" s="198"/>
      <c r="LH75" s="198"/>
      <c r="LI75" s="198"/>
      <c r="LJ75" s="198"/>
      <c r="LK75" s="198"/>
      <c r="LL75" s="198"/>
      <c r="LM75" s="198"/>
      <c r="LN75" s="198"/>
      <c r="LO75" s="198"/>
      <c r="LP75" s="198"/>
      <c r="LQ75" s="198"/>
      <c r="LR75" s="198"/>
      <c r="LS75" s="198"/>
      <c r="LT75" s="198"/>
      <c r="LU75" s="198"/>
      <c r="LV75" s="198"/>
      <c r="LW75" s="198"/>
      <c r="LX75" s="198"/>
      <c r="LY75" s="198"/>
      <c r="LZ75" s="198"/>
      <c r="MA75" s="198"/>
      <c r="MB75" s="198"/>
      <c r="MC75" s="198"/>
      <c r="MD75" s="198"/>
      <c r="ME75" s="198"/>
      <c r="MF75" s="198"/>
      <c r="MG75" s="198"/>
      <c r="MH75" s="198"/>
      <c r="MI75" s="198"/>
      <c r="MJ75" s="198"/>
      <c r="MK75" s="198"/>
      <c r="ML75" s="198"/>
      <c r="MM75" s="198"/>
      <c r="MN75" s="198"/>
      <c r="MO75" s="198"/>
      <c r="MP75" s="198"/>
      <c r="MQ75" s="198"/>
      <c r="MR75" s="198"/>
      <c r="MS75" s="198"/>
      <c r="MT75" s="198"/>
      <c r="MU75" s="198"/>
      <c r="MV75" s="198"/>
      <c r="MW75" s="198"/>
      <c r="MX75" s="198"/>
      <c r="MY75" s="198"/>
      <c r="MZ75" s="198"/>
      <c r="NA75" s="198"/>
      <c r="NB75" s="198"/>
      <c r="NC75" s="198"/>
      <c r="ND75" s="198"/>
      <c r="NE75" s="198"/>
      <c r="NF75" s="198"/>
      <c r="NG75" s="198"/>
      <c r="NH75" s="198"/>
      <c r="NI75" s="198"/>
      <c r="NJ75" s="198"/>
      <c r="NK75" s="198"/>
      <c r="NL75" s="198"/>
      <c r="NM75" s="198"/>
      <c r="NN75" s="198"/>
      <c r="NO75" s="198"/>
      <c r="NP75" s="198"/>
      <c r="NQ75" s="198"/>
      <c r="NR75" s="198"/>
      <c r="NS75" s="198"/>
      <c r="NT75" s="198"/>
      <c r="NU75" s="198"/>
      <c r="NV75" s="198"/>
      <c r="NW75" s="198"/>
      <c r="NX75" s="198"/>
      <c r="NY75" s="198"/>
      <c r="NZ75" s="198"/>
      <c r="OA75" s="198"/>
      <c r="OB75" s="198"/>
      <c r="OC75" s="198"/>
      <c r="OD75" s="198"/>
      <c r="OE75" s="198"/>
      <c r="OF75" s="198"/>
      <c r="OG75" s="198"/>
      <c r="OH75" s="198"/>
      <c r="OI75" s="198"/>
      <c r="OJ75" s="198"/>
      <c r="OK75" s="198"/>
      <c r="OL75" s="198"/>
      <c r="OM75" s="198"/>
      <c r="ON75" s="198"/>
      <c r="OO75" s="198"/>
      <c r="OP75" s="198"/>
      <c r="OQ75" s="198"/>
      <c r="OR75" s="198"/>
      <c r="OS75" s="198"/>
      <c r="OT75" s="198"/>
      <c r="OU75" s="198"/>
      <c r="OV75" s="198"/>
      <c r="OW75" s="198"/>
      <c r="OX75" s="198"/>
      <c r="OY75" s="198"/>
      <c r="OZ75" s="198"/>
      <c r="PA75" s="198"/>
      <c r="PB75" s="198"/>
      <c r="PC75" s="198"/>
      <c r="PD75" s="198"/>
      <c r="PE75" s="198"/>
      <c r="PF75" s="198"/>
      <c r="PG75" s="198"/>
      <c r="PH75" s="198"/>
      <c r="PI75" s="198"/>
      <c r="PJ75" s="198"/>
      <c r="PK75" s="198"/>
      <c r="PL75" s="198"/>
      <c r="PM75" s="198"/>
      <c r="PN75" s="198"/>
      <c r="PO75" s="198"/>
      <c r="PP75" s="198"/>
      <c r="PQ75" s="198"/>
      <c r="PR75" s="198"/>
      <c r="PS75" s="198"/>
      <c r="PT75" s="198"/>
      <c r="PU75" s="198"/>
      <c r="PV75" s="198"/>
      <c r="PW75" s="198"/>
      <c r="PX75" s="198"/>
      <c r="PY75" s="198"/>
      <c r="PZ75" s="198"/>
      <c r="QA75" s="198"/>
      <c r="QB75" s="198"/>
      <c r="QC75" s="198"/>
      <c r="QD75" s="198"/>
      <c r="QE75" s="198"/>
      <c r="QF75" s="198"/>
      <c r="QG75" s="198"/>
      <c r="QH75" s="198"/>
      <c r="QI75" s="198"/>
      <c r="QJ75" s="198"/>
      <c r="QK75" s="198"/>
      <c r="QL75" s="198"/>
      <c r="QM75" s="198"/>
      <c r="QN75" s="198"/>
      <c r="QO75" s="198"/>
      <c r="QP75" s="198"/>
      <c r="QQ75" s="198"/>
      <c r="QR75" s="198"/>
      <c r="QS75" s="198"/>
      <c r="QT75" s="198"/>
      <c r="QU75" s="198"/>
      <c r="QV75" s="198"/>
      <c r="QW75" s="198"/>
      <c r="QX75" s="198"/>
      <c r="QY75" s="198"/>
      <c r="QZ75" s="198"/>
      <c r="RA75" s="198"/>
      <c r="RB75" s="198"/>
      <c r="RC75" s="198"/>
      <c r="RD75" s="198"/>
      <c r="RE75" s="198"/>
      <c r="RF75" s="198"/>
      <c r="RG75" s="198"/>
      <c r="RH75" s="198"/>
      <c r="RI75" s="198"/>
      <c r="RJ75" s="198"/>
      <c r="RK75" s="198"/>
      <c r="RL75" s="198"/>
      <c r="RM75" s="198"/>
      <c r="RN75" s="198"/>
      <c r="RO75" s="198"/>
      <c r="RP75" s="198"/>
      <c r="RQ75" s="198"/>
      <c r="RR75" s="198"/>
      <c r="RS75" s="198"/>
      <c r="RT75" s="198"/>
      <c r="RU75" s="198"/>
      <c r="RV75" s="198"/>
      <c r="RW75" s="198"/>
      <c r="RX75" s="198"/>
      <c r="RY75" s="198"/>
      <c r="RZ75" s="198"/>
      <c r="SA75" s="198"/>
      <c r="SB75" s="198"/>
      <c r="SC75" s="198"/>
      <c r="SD75" s="198"/>
      <c r="SE75" s="198"/>
      <c r="SF75" s="198"/>
      <c r="SG75" s="198"/>
    </row>
    <row r="76" spans="1:501" ht="40.049999999999997" customHeight="1" x14ac:dyDescent="0.3">
      <c r="A76" s="541" t="s">
        <v>221</v>
      </c>
      <c r="B76" s="952" t="s">
        <v>222</v>
      </c>
      <c r="C76" s="950"/>
      <c r="D76" s="861"/>
      <c r="E76" s="862"/>
      <c r="F76" s="861"/>
      <c r="G76" s="863">
        <f>MANZ.C!AL77</f>
        <v>17</v>
      </c>
      <c r="H76" s="861"/>
      <c r="I76" s="863">
        <f>MANZ.D!Y77</f>
        <v>11</v>
      </c>
      <c r="J76" s="861"/>
      <c r="K76" s="862">
        <f>MANZ.E!AK78</f>
        <v>12</v>
      </c>
      <c r="L76" s="861"/>
      <c r="M76" s="863">
        <f>MANZ.F!AA77</f>
        <v>12</v>
      </c>
      <c r="N76" s="861"/>
      <c r="O76" s="862" t="e">
        <f>MANZ.G!#REF!</f>
        <v>#REF!</v>
      </c>
      <c r="P76" s="861"/>
      <c r="Q76" s="863">
        <f>MANZ.H!V78</f>
        <v>9</v>
      </c>
      <c r="R76" s="861"/>
      <c r="S76" s="862">
        <f>MANZ.I!AB76</f>
        <v>11</v>
      </c>
      <c r="T76" s="861"/>
      <c r="U76" s="862">
        <f>MANZ.J!AS81</f>
        <v>20</v>
      </c>
      <c r="V76" s="861"/>
      <c r="W76" s="862">
        <f>MANZ.K!AB78</f>
        <v>10</v>
      </c>
      <c r="X76" s="861"/>
      <c r="Y76" s="862">
        <f>MANZ.L!Z78</f>
        <v>11</v>
      </c>
      <c r="Z76" s="861"/>
      <c r="AA76" s="862"/>
      <c r="AB76" s="864"/>
      <c r="AC76" s="864"/>
      <c r="AD76" s="864"/>
      <c r="AE76" s="864"/>
      <c r="AF76" s="861"/>
      <c r="AG76" s="865" t="e">
        <f>SUM(C76:AA76)</f>
        <v>#REF!</v>
      </c>
      <c r="AH76" s="866"/>
      <c r="AI76" s="198"/>
      <c r="AJ76" s="198"/>
      <c r="AK76" s="198"/>
      <c r="AL76" s="198"/>
      <c r="AM76" s="198"/>
      <c r="AN76" s="198"/>
      <c r="AO76" s="198"/>
      <c r="AP76" s="198"/>
      <c r="AQ76" s="198"/>
      <c r="AR76" s="198"/>
      <c r="AS76" s="198"/>
      <c r="AT76" s="198"/>
      <c r="AU76" s="198"/>
      <c r="AV76" s="198"/>
      <c r="AW76" s="198"/>
      <c r="AX76" s="198"/>
      <c r="AY76" s="198"/>
      <c r="AZ76" s="198"/>
      <c r="BA76" s="198"/>
      <c r="BB76" s="198"/>
      <c r="BC76" s="198"/>
      <c r="BD76" s="198"/>
      <c r="BE76" s="198"/>
      <c r="BF76" s="198"/>
      <c r="BG76" s="198"/>
      <c r="BH76" s="198"/>
      <c r="BI76" s="198"/>
      <c r="BJ76" s="198"/>
      <c r="BK76" s="198"/>
      <c r="BL76" s="198"/>
      <c r="BM76" s="198"/>
      <c r="BN76" s="198"/>
      <c r="BO76" s="198"/>
      <c r="BP76" s="198"/>
      <c r="BQ76" s="198"/>
      <c r="BR76" s="198"/>
      <c r="BS76" s="198"/>
      <c r="BT76" s="198"/>
      <c r="BU76" s="198"/>
      <c r="BV76" s="198"/>
      <c r="BW76" s="198"/>
      <c r="BX76" s="198"/>
      <c r="BY76" s="198"/>
      <c r="BZ76" s="198"/>
      <c r="CA76" s="198"/>
      <c r="CB76" s="198"/>
      <c r="CC76" s="198"/>
      <c r="CD76" s="198"/>
      <c r="CE76" s="198"/>
      <c r="CF76" s="198"/>
      <c r="CG76" s="198"/>
      <c r="CH76" s="198"/>
      <c r="CI76" s="198"/>
      <c r="CJ76" s="198"/>
      <c r="CK76" s="198"/>
      <c r="CL76" s="198"/>
      <c r="CM76" s="198"/>
      <c r="CN76" s="198"/>
      <c r="CO76" s="198"/>
      <c r="CP76" s="198"/>
      <c r="CQ76" s="198"/>
      <c r="CR76" s="198"/>
      <c r="CS76" s="198"/>
      <c r="CT76" s="198"/>
      <c r="CU76" s="198"/>
      <c r="CV76" s="198"/>
      <c r="CW76" s="198"/>
      <c r="CX76" s="198"/>
      <c r="CY76" s="198"/>
      <c r="CZ76" s="198"/>
      <c r="DA76" s="198"/>
      <c r="DB76" s="198"/>
      <c r="DC76" s="198"/>
      <c r="DD76" s="198"/>
      <c r="DE76" s="198"/>
      <c r="DF76" s="198"/>
      <c r="DG76" s="198"/>
      <c r="DH76" s="198"/>
      <c r="DI76" s="198"/>
      <c r="DJ76" s="198"/>
      <c r="DK76" s="198"/>
      <c r="DL76" s="198"/>
      <c r="DM76" s="198"/>
      <c r="DN76" s="198"/>
      <c r="DO76" s="198"/>
      <c r="DP76" s="198"/>
      <c r="DQ76" s="198"/>
      <c r="DR76" s="198"/>
      <c r="DS76" s="198"/>
      <c r="DT76" s="198"/>
      <c r="DU76" s="198"/>
      <c r="DV76" s="198"/>
      <c r="DW76" s="198"/>
      <c r="DX76" s="198"/>
      <c r="DY76" s="198"/>
      <c r="DZ76" s="198"/>
      <c r="EA76" s="198"/>
      <c r="EB76" s="198"/>
      <c r="EC76" s="198"/>
      <c r="ED76" s="198"/>
      <c r="EE76" s="198"/>
      <c r="EF76" s="198"/>
      <c r="EG76" s="198"/>
      <c r="EH76" s="198"/>
      <c r="EI76" s="198"/>
      <c r="EJ76" s="198"/>
      <c r="EK76" s="198"/>
      <c r="EL76" s="198"/>
      <c r="EM76" s="198"/>
      <c r="EN76" s="198"/>
      <c r="EO76" s="198"/>
      <c r="EP76" s="198"/>
      <c r="EQ76" s="198"/>
      <c r="ER76" s="198"/>
      <c r="ES76" s="198"/>
      <c r="ET76" s="198"/>
      <c r="EU76" s="198"/>
      <c r="EV76" s="198"/>
      <c r="EW76" s="198"/>
      <c r="EX76" s="198"/>
      <c r="EY76" s="198"/>
      <c r="EZ76" s="198"/>
      <c r="FA76" s="198"/>
      <c r="FB76" s="198"/>
      <c r="FC76" s="198"/>
      <c r="FD76" s="198"/>
      <c r="FE76" s="198"/>
      <c r="FF76" s="198"/>
      <c r="FG76" s="198"/>
      <c r="FH76" s="198"/>
      <c r="FI76" s="198"/>
      <c r="FJ76" s="198"/>
      <c r="FK76" s="198"/>
      <c r="FL76" s="198"/>
      <c r="FM76" s="198"/>
      <c r="FN76" s="198"/>
      <c r="FO76" s="198"/>
      <c r="FP76" s="198"/>
      <c r="FQ76" s="198"/>
      <c r="FR76" s="198"/>
      <c r="FS76" s="198"/>
      <c r="FT76" s="198"/>
      <c r="FU76" s="198"/>
      <c r="FV76" s="198"/>
      <c r="FW76" s="198"/>
      <c r="FX76" s="198"/>
      <c r="FY76" s="198"/>
      <c r="FZ76" s="198"/>
      <c r="GA76" s="198"/>
      <c r="GB76" s="198"/>
      <c r="GC76" s="198"/>
      <c r="GD76" s="198"/>
      <c r="GE76" s="198"/>
      <c r="GF76" s="198"/>
      <c r="GG76" s="198"/>
      <c r="GH76" s="198"/>
      <c r="GI76" s="198"/>
      <c r="GJ76" s="198"/>
      <c r="GK76" s="198"/>
      <c r="GL76" s="198"/>
      <c r="GM76" s="198"/>
      <c r="GN76" s="198"/>
      <c r="GO76" s="198"/>
      <c r="GP76" s="198"/>
      <c r="GQ76" s="198"/>
      <c r="GR76" s="198"/>
      <c r="GS76" s="198"/>
      <c r="GT76" s="198"/>
      <c r="GU76" s="198"/>
      <c r="GV76" s="198"/>
      <c r="GW76" s="198"/>
      <c r="GX76" s="198"/>
      <c r="GY76" s="198"/>
      <c r="GZ76" s="198"/>
      <c r="HA76" s="198"/>
      <c r="HB76" s="198"/>
      <c r="HC76" s="198"/>
      <c r="HD76" s="198"/>
      <c r="HE76" s="198"/>
      <c r="HF76" s="198"/>
      <c r="HG76" s="198"/>
      <c r="HH76" s="198"/>
      <c r="HI76" s="198"/>
      <c r="HJ76" s="198"/>
      <c r="HK76" s="198"/>
      <c r="HL76" s="198"/>
      <c r="HM76" s="198"/>
      <c r="HN76" s="198"/>
      <c r="HO76" s="198"/>
      <c r="HP76" s="198"/>
      <c r="HQ76" s="198"/>
      <c r="HR76" s="198"/>
      <c r="HS76" s="198"/>
      <c r="HT76" s="198"/>
      <c r="HU76" s="198"/>
      <c r="HV76" s="198"/>
      <c r="HW76" s="198"/>
      <c r="HX76" s="198"/>
      <c r="HY76" s="198"/>
      <c r="HZ76" s="198"/>
      <c r="IA76" s="198"/>
      <c r="IB76" s="198"/>
      <c r="IC76" s="198"/>
      <c r="ID76" s="198"/>
      <c r="IE76" s="198"/>
      <c r="IF76" s="198"/>
      <c r="IG76" s="198"/>
      <c r="IH76" s="198"/>
      <c r="II76" s="198"/>
      <c r="IJ76" s="198"/>
      <c r="IK76" s="198"/>
      <c r="IL76" s="198"/>
      <c r="IM76" s="198"/>
      <c r="IN76" s="198"/>
      <c r="IO76" s="198"/>
      <c r="IP76" s="198"/>
      <c r="IQ76" s="198"/>
      <c r="IR76" s="198"/>
      <c r="IS76" s="198"/>
      <c r="IT76" s="198"/>
      <c r="IU76" s="198"/>
      <c r="IV76" s="198"/>
      <c r="IW76" s="198"/>
      <c r="IX76" s="198"/>
      <c r="IY76" s="198"/>
      <c r="IZ76" s="198"/>
      <c r="JA76" s="198"/>
      <c r="JB76" s="198"/>
      <c r="JC76" s="198"/>
      <c r="JD76" s="198"/>
      <c r="JE76" s="198"/>
      <c r="JF76" s="198"/>
      <c r="JG76" s="198"/>
      <c r="JH76" s="198"/>
      <c r="JI76" s="198"/>
      <c r="JJ76" s="198"/>
      <c r="JK76" s="198"/>
      <c r="JL76" s="198"/>
      <c r="JM76" s="198"/>
      <c r="JN76" s="198"/>
      <c r="JO76" s="198"/>
      <c r="JP76" s="198"/>
      <c r="JQ76" s="198"/>
      <c r="JR76" s="198"/>
      <c r="JS76" s="198"/>
      <c r="JT76" s="198"/>
      <c r="JU76" s="198"/>
      <c r="JV76" s="198"/>
      <c r="JW76" s="198"/>
      <c r="JX76" s="198"/>
      <c r="JY76" s="198"/>
      <c r="JZ76" s="198"/>
      <c r="KA76" s="198"/>
      <c r="KB76" s="198"/>
      <c r="KC76" s="198"/>
      <c r="KD76" s="198"/>
      <c r="KE76" s="198"/>
      <c r="KF76" s="198"/>
      <c r="KG76" s="198"/>
      <c r="KH76" s="198"/>
      <c r="KI76" s="198"/>
      <c r="KJ76" s="198"/>
      <c r="KK76" s="198"/>
      <c r="KL76" s="198"/>
      <c r="KM76" s="198"/>
      <c r="KN76" s="198"/>
      <c r="KO76" s="198"/>
      <c r="KP76" s="198"/>
      <c r="KQ76" s="198"/>
      <c r="KR76" s="198"/>
      <c r="KS76" s="198"/>
      <c r="KT76" s="198"/>
      <c r="KU76" s="198"/>
      <c r="KV76" s="198"/>
      <c r="KW76" s="198"/>
      <c r="KX76" s="198"/>
      <c r="KY76" s="198"/>
      <c r="KZ76" s="198"/>
      <c r="LA76" s="198"/>
      <c r="LB76" s="198"/>
      <c r="LC76" s="198"/>
      <c r="LD76" s="198"/>
      <c r="LE76" s="198"/>
      <c r="LF76" s="198"/>
      <c r="LG76" s="198"/>
      <c r="LH76" s="198"/>
      <c r="LI76" s="198"/>
      <c r="LJ76" s="198"/>
      <c r="LK76" s="198"/>
      <c r="LL76" s="198"/>
      <c r="LM76" s="198"/>
      <c r="LN76" s="198"/>
      <c r="LO76" s="198"/>
      <c r="LP76" s="198"/>
      <c r="LQ76" s="198"/>
      <c r="LR76" s="198"/>
      <c r="LS76" s="198"/>
      <c r="LT76" s="198"/>
      <c r="LU76" s="198"/>
      <c r="LV76" s="198"/>
      <c r="LW76" s="198"/>
      <c r="LX76" s="198"/>
      <c r="LY76" s="198"/>
      <c r="LZ76" s="198"/>
      <c r="MA76" s="198"/>
      <c r="MB76" s="198"/>
      <c r="MC76" s="198"/>
      <c r="MD76" s="198"/>
      <c r="ME76" s="198"/>
      <c r="MF76" s="198"/>
      <c r="MG76" s="198"/>
      <c r="MH76" s="198"/>
      <c r="MI76" s="198"/>
      <c r="MJ76" s="198"/>
      <c r="MK76" s="198"/>
      <c r="ML76" s="198"/>
      <c r="MM76" s="198"/>
      <c r="MN76" s="198"/>
      <c r="MO76" s="198"/>
      <c r="MP76" s="198"/>
      <c r="MQ76" s="198"/>
      <c r="MR76" s="198"/>
      <c r="MS76" s="198"/>
      <c r="MT76" s="198"/>
      <c r="MU76" s="198"/>
      <c r="MV76" s="198"/>
      <c r="MW76" s="198"/>
      <c r="MX76" s="198"/>
      <c r="MY76" s="198"/>
      <c r="MZ76" s="198"/>
      <c r="NA76" s="198"/>
      <c r="NB76" s="198"/>
      <c r="NC76" s="198"/>
      <c r="ND76" s="198"/>
      <c r="NE76" s="198"/>
      <c r="NF76" s="198"/>
      <c r="NG76" s="198"/>
      <c r="NH76" s="198"/>
      <c r="NI76" s="198"/>
      <c r="NJ76" s="198"/>
      <c r="NK76" s="198"/>
      <c r="NL76" s="198"/>
      <c r="NM76" s="198"/>
      <c r="NN76" s="198"/>
      <c r="NO76" s="198"/>
      <c r="NP76" s="198"/>
      <c r="NQ76" s="198"/>
      <c r="NR76" s="198"/>
      <c r="NS76" s="198"/>
      <c r="NT76" s="198"/>
      <c r="NU76" s="198"/>
      <c r="NV76" s="198"/>
      <c r="NW76" s="198"/>
      <c r="NX76" s="198"/>
      <c r="NY76" s="198"/>
      <c r="NZ76" s="198"/>
      <c r="OA76" s="198"/>
      <c r="OB76" s="198"/>
      <c r="OC76" s="198"/>
      <c r="OD76" s="198"/>
      <c r="OE76" s="198"/>
      <c r="OF76" s="198"/>
      <c r="OG76" s="198"/>
      <c r="OH76" s="198"/>
      <c r="OI76" s="198"/>
      <c r="OJ76" s="198"/>
      <c r="OK76" s="198"/>
      <c r="OL76" s="198"/>
      <c r="OM76" s="198"/>
      <c r="ON76" s="198"/>
      <c r="OO76" s="198"/>
      <c r="OP76" s="198"/>
      <c r="OQ76" s="198"/>
      <c r="OR76" s="198"/>
      <c r="OS76" s="198"/>
      <c r="OT76" s="198"/>
      <c r="OU76" s="198"/>
      <c r="OV76" s="198"/>
      <c r="OW76" s="198"/>
      <c r="OX76" s="198"/>
      <c r="OY76" s="198"/>
      <c r="OZ76" s="198"/>
      <c r="PA76" s="198"/>
      <c r="PB76" s="198"/>
      <c r="PC76" s="198"/>
      <c r="PD76" s="198"/>
      <c r="PE76" s="198"/>
      <c r="PF76" s="198"/>
      <c r="PG76" s="198"/>
      <c r="PH76" s="198"/>
      <c r="PI76" s="198"/>
      <c r="PJ76" s="198"/>
      <c r="PK76" s="198"/>
      <c r="PL76" s="198"/>
      <c r="PM76" s="198"/>
      <c r="PN76" s="198"/>
      <c r="PO76" s="198"/>
      <c r="PP76" s="198"/>
      <c r="PQ76" s="198"/>
      <c r="PR76" s="198"/>
      <c r="PS76" s="198"/>
      <c r="PT76" s="198"/>
      <c r="PU76" s="198"/>
      <c r="PV76" s="198"/>
      <c r="PW76" s="198"/>
      <c r="PX76" s="198"/>
      <c r="PY76" s="198"/>
      <c r="PZ76" s="198"/>
      <c r="QA76" s="198"/>
      <c r="QB76" s="198"/>
      <c r="QC76" s="198"/>
      <c r="QD76" s="198"/>
      <c r="QE76" s="198"/>
      <c r="QF76" s="198"/>
      <c r="QG76" s="198"/>
      <c r="QH76" s="198"/>
      <c r="QI76" s="198"/>
      <c r="QJ76" s="198"/>
      <c r="QK76" s="198"/>
      <c r="QL76" s="198"/>
      <c r="QM76" s="198"/>
      <c r="QN76" s="198"/>
      <c r="QO76" s="198"/>
      <c r="QP76" s="198"/>
      <c r="QQ76" s="198"/>
      <c r="QR76" s="198"/>
      <c r="QS76" s="198"/>
      <c r="QT76" s="198"/>
      <c r="QU76" s="198"/>
      <c r="QV76" s="198"/>
      <c r="QW76" s="198"/>
      <c r="QX76" s="198"/>
      <c r="QY76" s="198"/>
      <c r="QZ76" s="198"/>
      <c r="RA76" s="198"/>
      <c r="RB76" s="198"/>
      <c r="RC76" s="198"/>
      <c r="RD76" s="198"/>
      <c r="RE76" s="198"/>
      <c r="RF76" s="198"/>
      <c r="RG76" s="198"/>
      <c r="RH76" s="198"/>
      <c r="RI76" s="198"/>
      <c r="RJ76" s="198"/>
      <c r="RK76" s="198"/>
      <c r="RL76" s="198"/>
      <c r="RM76" s="198"/>
      <c r="RN76" s="198"/>
      <c r="RO76" s="198"/>
      <c r="RP76" s="198"/>
      <c r="RQ76" s="198"/>
      <c r="RR76" s="198"/>
      <c r="RS76" s="198"/>
      <c r="RT76" s="198"/>
      <c r="RU76" s="198"/>
      <c r="RV76" s="198"/>
      <c r="RW76" s="198"/>
      <c r="RX76" s="198"/>
      <c r="RY76" s="198"/>
      <c r="RZ76" s="198"/>
      <c r="SA76" s="198"/>
      <c r="SB76" s="198"/>
      <c r="SC76" s="198"/>
      <c r="SD76" s="198"/>
      <c r="SE76" s="198"/>
      <c r="SF76" s="198"/>
      <c r="SG76" s="198"/>
    </row>
    <row r="77" spans="1:501" ht="40.049999999999997" customHeight="1" x14ac:dyDescent="0.3">
      <c r="A77" s="541" t="s">
        <v>223</v>
      </c>
      <c r="B77" s="952" t="s">
        <v>224</v>
      </c>
      <c r="C77" s="950"/>
      <c r="D77" s="861"/>
      <c r="E77" s="862"/>
      <c r="F77" s="861"/>
      <c r="G77" s="862"/>
      <c r="H77" s="861"/>
      <c r="I77" s="862"/>
      <c r="J77" s="861"/>
      <c r="K77" s="862"/>
      <c r="L77" s="861"/>
      <c r="M77" s="862"/>
      <c r="N77" s="861"/>
      <c r="O77" s="862"/>
      <c r="P77" s="861"/>
      <c r="Q77" s="862"/>
      <c r="R77" s="861"/>
      <c r="S77" s="862"/>
      <c r="T77" s="861"/>
      <c r="U77" s="862"/>
      <c r="V77" s="861"/>
      <c r="W77" s="862"/>
      <c r="X77" s="861"/>
      <c r="Y77" s="862"/>
      <c r="Z77" s="861"/>
      <c r="AA77" s="862"/>
      <c r="AB77" s="864"/>
      <c r="AC77" s="864"/>
      <c r="AD77" s="864"/>
      <c r="AE77" s="864"/>
      <c r="AF77" s="861"/>
      <c r="AG77" s="865"/>
      <c r="AH77" s="866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8"/>
      <c r="BF77" s="198"/>
      <c r="BG77" s="198"/>
      <c r="BH77" s="198"/>
      <c r="BI77" s="198"/>
      <c r="BJ77" s="198"/>
      <c r="BK77" s="198"/>
      <c r="BL77" s="198"/>
      <c r="BM77" s="198"/>
      <c r="BN77" s="198"/>
      <c r="BO77" s="198"/>
      <c r="BP77" s="198"/>
      <c r="BQ77" s="198"/>
      <c r="BR77" s="198"/>
      <c r="BS77" s="198"/>
      <c r="BT77" s="198"/>
      <c r="BU77" s="198"/>
      <c r="BV77" s="198"/>
      <c r="BW77" s="198"/>
      <c r="BX77" s="198"/>
      <c r="BY77" s="198"/>
      <c r="BZ77" s="198"/>
      <c r="CA77" s="198"/>
      <c r="CB77" s="198"/>
      <c r="CC77" s="198"/>
      <c r="CD77" s="198"/>
      <c r="CE77" s="198"/>
      <c r="CF77" s="198"/>
      <c r="CG77" s="198"/>
      <c r="CH77" s="198"/>
      <c r="CI77" s="198"/>
      <c r="CJ77" s="198"/>
      <c r="CK77" s="198"/>
      <c r="CL77" s="198"/>
      <c r="CM77" s="198"/>
      <c r="CN77" s="198"/>
      <c r="CO77" s="198"/>
      <c r="CP77" s="198"/>
      <c r="CQ77" s="198"/>
      <c r="CR77" s="198"/>
      <c r="CS77" s="198"/>
      <c r="CT77" s="198"/>
      <c r="CU77" s="198"/>
      <c r="CV77" s="198"/>
      <c r="CW77" s="198"/>
      <c r="CX77" s="198"/>
      <c r="CY77" s="198"/>
      <c r="CZ77" s="198"/>
      <c r="DA77" s="198"/>
      <c r="DB77" s="198"/>
      <c r="DC77" s="198"/>
      <c r="DD77" s="198"/>
      <c r="DE77" s="198"/>
      <c r="DF77" s="198"/>
      <c r="DG77" s="198"/>
      <c r="DH77" s="198"/>
      <c r="DI77" s="198"/>
      <c r="DJ77" s="198"/>
      <c r="DK77" s="198"/>
      <c r="DL77" s="198"/>
      <c r="DM77" s="198"/>
      <c r="DN77" s="198"/>
      <c r="DO77" s="198"/>
      <c r="DP77" s="198"/>
      <c r="DQ77" s="198"/>
      <c r="DR77" s="198"/>
      <c r="DS77" s="198"/>
      <c r="DT77" s="198"/>
      <c r="DU77" s="198"/>
      <c r="DV77" s="198"/>
      <c r="DW77" s="198"/>
      <c r="DX77" s="198"/>
      <c r="DY77" s="198"/>
      <c r="DZ77" s="198"/>
      <c r="EA77" s="198"/>
      <c r="EB77" s="198"/>
      <c r="EC77" s="198"/>
      <c r="ED77" s="198"/>
      <c r="EE77" s="198"/>
      <c r="EF77" s="198"/>
      <c r="EG77" s="198"/>
      <c r="EH77" s="198"/>
      <c r="EI77" s="198"/>
      <c r="EJ77" s="198"/>
      <c r="EK77" s="198"/>
      <c r="EL77" s="198"/>
      <c r="EM77" s="198"/>
      <c r="EN77" s="198"/>
      <c r="EO77" s="198"/>
      <c r="EP77" s="198"/>
      <c r="EQ77" s="198"/>
      <c r="ER77" s="198"/>
      <c r="ES77" s="198"/>
      <c r="ET77" s="198"/>
      <c r="EU77" s="198"/>
      <c r="EV77" s="198"/>
      <c r="EW77" s="198"/>
      <c r="EX77" s="198"/>
      <c r="EY77" s="198"/>
      <c r="EZ77" s="198"/>
      <c r="FA77" s="198"/>
      <c r="FB77" s="198"/>
      <c r="FC77" s="198"/>
      <c r="FD77" s="198"/>
      <c r="FE77" s="198"/>
      <c r="FF77" s="198"/>
      <c r="FG77" s="198"/>
      <c r="FH77" s="198"/>
      <c r="FI77" s="198"/>
      <c r="FJ77" s="198"/>
      <c r="FK77" s="198"/>
      <c r="FL77" s="198"/>
      <c r="FM77" s="198"/>
      <c r="FN77" s="198"/>
      <c r="FO77" s="198"/>
      <c r="FP77" s="198"/>
      <c r="FQ77" s="198"/>
      <c r="FR77" s="198"/>
      <c r="FS77" s="198"/>
      <c r="FT77" s="198"/>
      <c r="FU77" s="198"/>
      <c r="FV77" s="198"/>
      <c r="FW77" s="198"/>
      <c r="FX77" s="198"/>
      <c r="FY77" s="198"/>
      <c r="FZ77" s="198"/>
      <c r="GA77" s="198"/>
      <c r="GB77" s="198"/>
      <c r="GC77" s="198"/>
      <c r="GD77" s="198"/>
      <c r="GE77" s="198"/>
      <c r="GF77" s="198"/>
      <c r="GG77" s="198"/>
      <c r="GH77" s="198"/>
      <c r="GI77" s="198"/>
      <c r="GJ77" s="198"/>
      <c r="GK77" s="198"/>
      <c r="GL77" s="198"/>
      <c r="GM77" s="198"/>
      <c r="GN77" s="198"/>
      <c r="GO77" s="198"/>
      <c r="GP77" s="198"/>
      <c r="GQ77" s="198"/>
      <c r="GR77" s="198"/>
      <c r="GS77" s="198"/>
      <c r="GT77" s="198"/>
      <c r="GU77" s="198"/>
      <c r="GV77" s="198"/>
      <c r="GW77" s="198"/>
      <c r="GX77" s="198"/>
      <c r="GY77" s="198"/>
      <c r="GZ77" s="198"/>
      <c r="HA77" s="198"/>
      <c r="HB77" s="198"/>
      <c r="HC77" s="198"/>
      <c r="HD77" s="198"/>
      <c r="HE77" s="198"/>
      <c r="HF77" s="198"/>
      <c r="HG77" s="198"/>
      <c r="HH77" s="198"/>
      <c r="HI77" s="198"/>
      <c r="HJ77" s="198"/>
      <c r="HK77" s="198"/>
      <c r="HL77" s="198"/>
      <c r="HM77" s="198"/>
      <c r="HN77" s="198"/>
      <c r="HO77" s="198"/>
      <c r="HP77" s="198"/>
      <c r="HQ77" s="198"/>
      <c r="HR77" s="198"/>
      <c r="HS77" s="198"/>
      <c r="HT77" s="198"/>
      <c r="HU77" s="198"/>
      <c r="HV77" s="198"/>
      <c r="HW77" s="198"/>
      <c r="HX77" s="198"/>
      <c r="HY77" s="198"/>
      <c r="HZ77" s="198"/>
      <c r="IA77" s="198"/>
      <c r="IB77" s="198"/>
      <c r="IC77" s="198"/>
      <c r="ID77" s="198"/>
      <c r="IE77" s="198"/>
      <c r="IF77" s="198"/>
      <c r="IG77" s="198"/>
      <c r="IH77" s="198"/>
      <c r="II77" s="198"/>
      <c r="IJ77" s="198"/>
      <c r="IK77" s="198"/>
      <c r="IL77" s="198"/>
      <c r="IM77" s="198"/>
      <c r="IN77" s="198"/>
      <c r="IO77" s="198"/>
      <c r="IP77" s="198"/>
      <c r="IQ77" s="198"/>
      <c r="IR77" s="198"/>
      <c r="IS77" s="198"/>
      <c r="IT77" s="198"/>
      <c r="IU77" s="198"/>
      <c r="IV77" s="198"/>
      <c r="IW77" s="198"/>
      <c r="IX77" s="198"/>
      <c r="IY77" s="198"/>
      <c r="IZ77" s="198"/>
      <c r="JA77" s="198"/>
      <c r="JB77" s="198"/>
      <c r="JC77" s="198"/>
      <c r="JD77" s="198"/>
      <c r="JE77" s="198"/>
      <c r="JF77" s="198"/>
      <c r="JG77" s="198"/>
      <c r="JH77" s="198"/>
      <c r="JI77" s="198"/>
      <c r="JJ77" s="198"/>
      <c r="JK77" s="198"/>
      <c r="JL77" s="198"/>
      <c r="JM77" s="198"/>
      <c r="JN77" s="198"/>
      <c r="JO77" s="198"/>
      <c r="JP77" s="198"/>
      <c r="JQ77" s="198"/>
      <c r="JR77" s="198"/>
      <c r="JS77" s="198"/>
      <c r="JT77" s="198"/>
      <c r="JU77" s="198"/>
      <c r="JV77" s="198"/>
      <c r="JW77" s="198"/>
      <c r="JX77" s="198"/>
      <c r="JY77" s="198"/>
      <c r="JZ77" s="198"/>
      <c r="KA77" s="198"/>
      <c r="KB77" s="198"/>
      <c r="KC77" s="198"/>
      <c r="KD77" s="198"/>
      <c r="KE77" s="198"/>
      <c r="KF77" s="198"/>
      <c r="KG77" s="198"/>
      <c r="KH77" s="198"/>
      <c r="KI77" s="198"/>
      <c r="KJ77" s="198"/>
      <c r="KK77" s="198"/>
      <c r="KL77" s="198"/>
      <c r="KM77" s="198"/>
      <c r="KN77" s="198"/>
      <c r="KO77" s="198"/>
      <c r="KP77" s="198"/>
      <c r="KQ77" s="198"/>
      <c r="KR77" s="198"/>
      <c r="KS77" s="198"/>
      <c r="KT77" s="198"/>
      <c r="KU77" s="198"/>
      <c r="KV77" s="198"/>
      <c r="KW77" s="198"/>
      <c r="KX77" s="198"/>
      <c r="KY77" s="198"/>
      <c r="KZ77" s="198"/>
      <c r="LA77" s="198"/>
      <c r="LB77" s="198"/>
      <c r="LC77" s="198"/>
      <c r="LD77" s="198"/>
      <c r="LE77" s="198"/>
      <c r="LF77" s="198"/>
      <c r="LG77" s="198"/>
      <c r="LH77" s="198"/>
      <c r="LI77" s="198"/>
      <c r="LJ77" s="198"/>
      <c r="LK77" s="198"/>
      <c r="LL77" s="198"/>
      <c r="LM77" s="198"/>
      <c r="LN77" s="198"/>
      <c r="LO77" s="198"/>
      <c r="LP77" s="198"/>
      <c r="LQ77" s="198"/>
      <c r="LR77" s="198"/>
      <c r="LS77" s="198"/>
      <c r="LT77" s="198"/>
      <c r="LU77" s="198"/>
      <c r="LV77" s="198"/>
      <c r="LW77" s="198"/>
      <c r="LX77" s="198"/>
      <c r="LY77" s="198"/>
      <c r="LZ77" s="198"/>
      <c r="MA77" s="198"/>
      <c r="MB77" s="198"/>
      <c r="MC77" s="198"/>
      <c r="MD77" s="198"/>
      <c r="ME77" s="198"/>
      <c r="MF77" s="198"/>
      <c r="MG77" s="198"/>
      <c r="MH77" s="198"/>
      <c r="MI77" s="198"/>
      <c r="MJ77" s="198"/>
      <c r="MK77" s="198"/>
      <c r="ML77" s="198"/>
      <c r="MM77" s="198"/>
      <c r="MN77" s="198"/>
      <c r="MO77" s="198"/>
      <c r="MP77" s="198"/>
      <c r="MQ77" s="198"/>
      <c r="MR77" s="198"/>
      <c r="MS77" s="198"/>
      <c r="MT77" s="198"/>
      <c r="MU77" s="198"/>
      <c r="MV77" s="198"/>
      <c r="MW77" s="198"/>
      <c r="MX77" s="198"/>
      <c r="MY77" s="198"/>
      <c r="MZ77" s="198"/>
      <c r="NA77" s="198"/>
      <c r="NB77" s="198"/>
      <c r="NC77" s="198"/>
      <c r="ND77" s="198"/>
      <c r="NE77" s="198"/>
      <c r="NF77" s="198"/>
      <c r="NG77" s="198"/>
      <c r="NH77" s="198"/>
      <c r="NI77" s="198"/>
      <c r="NJ77" s="198"/>
      <c r="NK77" s="198"/>
      <c r="NL77" s="198"/>
      <c r="NM77" s="198"/>
      <c r="NN77" s="198"/>
      <c r="NO77" s="198"/>
      <c r="NP77" s="198"/>
      <c r="NQ77" s="198"/>
      <c r="NR77" s="198"/>
      <c r="NS77" s="198"/>
      <c r="NT77" s="198"/>
      <c r="NU77" s="198"/>
      <c r="NV77" s="198"/>
      <c r="NW77" s="198"/>
      <c r="NX77" s="198"/>
      <c r="NY77" s="198"/>
      <c r="NZ77" s="198"/>
      <c r="OA77" s="198"/>
      <c r="OB77" s="198"/>
      <c r="OC77" s="198"/>
      <c r="OD77" s="198"/>
      <c r="OE77" s="198"/>
      <c r="OF77" s="198"/>
      <c r="OG77" s="198"/>
      <c r="OH77" s="198"/>
      <c r="OI77" s="198"/>
      <c r="OJ77" s="198"/>
      <c r="OK77" s="198"/>
      <c r="OL77" s="198"/>
      <c r="OM77" s="198"/>
      <c r="ON77" s="198"/>
      <c r="OO77" s="198"/>
      <c r="OP77" s="198"/>
      <c r="OQ77" s="198"/>
      <c r="OR77" s="198"/>
      <c r="OS77" s="198"/>
      <c r="OT77" s="198"/>
      <c r="OU77" s="198"/>
      <c r="OV77" s="198"/>
      <c r="OW77" s="198"/>
      <c r="OX77" s="198"/>
      <c r="OY77" s="198"/>
      <c r="OZ77" s="198"/>
      <c r="PA77" s="198"/>
      <c r="PB77" s="198"/>
      <c r="PC77" s="198"/>
      <c r="PD77" s="198"/>
      <c r="PE77" s="198"/>
      <c r="PF77" s="198"/>
      <c r="PG77" s="198"/>
      <c r="PH77" s="198"/>
      <c r="PI77" s="198"/>
      <c r="PJ77" s="198"/>
      <c r="PK77" s="198"/>
      <c r="PL77" s="198"/>
      <c r="PM77" s="198"/>
      <c r="PN77" s="198"/>
      <c r="PO77" s="198"/>
      <c r="PP77" s="198"/>
      <c r="PQ77" s="198"/>
      <c r="PR77" s="198"/>
      <c r="PS77" s="198"/>
      <c r="PT77" s="198"/>
      <c r="PU77" s="198"/>
      <c r="PV77" s="198"/>
      <c r="PW77" s="198"/>
      <c r="PX77" s="198"/>
      <c r="PY77" s="198"/>
      <c r="PZ77" s="198"/>
      <c r="QA77" s="198"/>
      <c r="QB77" s="198"/>
      <c r="QC77" s="198"/>
      <c r="QD77" s="198"/>
      <c r="QE77" s="198"/>
      <c r="QF77" s="198"/>
      <c r="QG77" s="198"/>
      <c r="QH77" s="198"/>
      <c r="QI77" s="198"/>
      <c r="QJ77" s="198"/>
      <c r="QK77" s="198"/>
      <c r="QL77" s="198"/>
      <c r="QM77" s="198"/>
      <c r="QN77" s="198"/>
      <c r="QO77" s="198"/>
      <c r="QP77" s="198"/>
      <c r="QQ77" s="198"/>
      <c r="QR77" s="198"/>
      <c r="QS77" s="198"/>
      <c r="QT77" s="198"/>
      <c r="QU77" s="198"/>
      <c r="QV77" s="198"/>
      <c r="QW77" s="198"/>
      <c r="QX77" s="198"/>
      <c r="QY77" s="198"/>
      <c r="QZ77" s="198"/>
      <c r="RA77" s="198"/>
      <c r="RB77" s="198"/>
      <c r="RC77" s="198"/>
      <c r="RD77" s="198"/>
      <c r="RE77" s="198"/>
      <c r="RF77" s="198"/>
      <c r="RG77" s="198"/>
      <c r="RH77" s="198"/>
      <c r="RI77" s="198"/>
      <c r="RJ77" s="198"/>
      <c r="RK77" s="198"/>
      <c r="RL77" s="198"/>
      <c r="RM77" s="198"/>
      <c r="RN77" s="198"/>
      <c r="RO77" s="198"/>
      <c r="RP77" s="198"/>
      <c r="RQ77" s="198"/>
      <c r="RR77" s="198"/>
      <c r="RS77" s="198"/>
      <c r="RT77" s="198"/>
      <c r="RU77" s="198"/>
      <c r="RV77" s="198"/>
      <c r="RW77" s="198"/>
      <c r="RX77" s="198"/>
      <c r="RY77" s="198"/>
      <c r="RZ77" s="198"/>
      <c r="SA77" s="198"/>
      <c r="SB77" s="198"/>
      <c r="SC77" s="198"/>
      <c r="SD77" s="198"/>
      <c r="SE77" s="198"/>
      <c r="SF77" s="198"/>
      <c r="SG77" s="198"/>
    </row>
    <row r="78" spans="1:501" ht="40.049999999999997" customHeight="1" x14ac:dyDescent="0.3">
      <c r="A78" s="946" t="s">
        <v>225</v>
      </c>
      <c r="B78" s="957" t="s">
        <v>226</v>
      </c>
      <c r="C78" s="950"/>
      <c r="D78" s="861"/>
      <c r="E78" s="862"/>
      <c r="F78" s="861"/>
      <c r="G78" s="863">
        <f>MANZ.C!AL79</f>
        <v>0</v>
      </c>
      <c r="H78" s="861"/>
      <c r="I78" s="863">
        <f>MANZ.D!Z44</f>
        <v>11</v>
      </c>
      <c r="J78" s="861"/>
      <c r="K78" s="862">
        <f>MANZ.E!AL45</f>
        <v>15</v>
      </c>
      <c r="L78" s="861"/>
      <c r="M78" s="863">
        <f>MANZ.F!AA79</f>
        <v>0</v>
      </c>
      <c r="N78" s="861"/>
      <c r="O78" s="862">
        <f>MANZ.G!AT76</f>
        <v>17</v>
      </c>
      <c r="P78" s="861"/>
      <c r="Q78" s="863">
        <f>MANZ.H!V80</f>
        <v>0</v>
      </c>
      <c r="R78" s="861"/>
      <c r="S78" s="862">
        <f>MANZ.I!AB45</f>
        <v>11</v>
      </c>
      <c r="T78" s="861"/>
      <c r="U78" s="862">
        <f>MANZ.J!AT48</f>
        <v>20</v>
      </c>
      <c r="V78" s="861"/>
      <c r="W78" s="862">
        <f>MANZ.K!AB45</f>
        <v>10</v>
      </c>
      <c r="X78" s="861"/>
      <c r="Y78" s="862">
        <f>MANZ.L!Z45</f>
        <v>7</v>
      </c>
      <c r="Z78" s="861"/>
      <c r="AA78" s="862"/>
      <c r="AB78" s="864"/>
      <c r="AC78" s="864"/>
      <c r="AD78" s="864"/>
      <c r="AE78" s="864"/>
      <c r="AF78" s="861"/>
      <c r="AG78" s="865">
        <f>SUM(C78:AA78)</f>
        <v>91</v>
      </c>
      <c r="AH78" s="866"/>
      <c r="AI78" s="198"/>
      <c r="AJ78" s="198"/>
      <c r="AK78" s="198"/>
      <c r="AL78" s="198"/>
      <c r="AM78" s="198"/>
      <c r="AN78" s="198"/>
      <c r="AO78" s="198"/>
      <c r="AP78" s="198"/>
      <c r="AQ78" s="198"/>
      <c r="AR78" s="198"/>
      <c r="AS78" s="198"/>
      <c r="AT78" s="198"/>
      <c r="AU78" s="198"/>
      <c r="AV78" s="198"/>
      <c r="AW78" s="198"/>
      <c r="AX78" s="198"/>
      <c r="AY78" s="198"/>
      <c r="AZ78" s="198"/>
      <c r="BA78" s="198"/>
      <c r="BB78" s="198"/>
      <c r="BC78" s="198"/>
      <c r="BD78" s="198"/>
      <c r="BE78" s="198"/>
      <c r="BF78" s="198"/>
      <c r="BG78" s="198"/>
      <c r="BH78" s="198"/>
      <c r="BI78" s="198"/>
      <c r="BJ78" s="198"/>
      <c r="BK78" s="198"/>
      <c r="BL78" s="198"/>
      <c r="BM78" s="198"/>
      <c r="BN78" s="198"/>
      <c r="BO78" s="198"/>
      <c r="BP78" s="198"/>
      <c r="BQ78" s="198"/>
      <c r="BR78" s="198"/>
      <c r="BS78" s="198"/>
      <c r="BT78" s="198"/>
      <c r="BU78" s="198"/>
      <c r="BV78" s="198"/>
      <c r="BW78" s="198"/>
      <c r="BX78" s="198"/>
      <c r="BY78" s="198"/>
      <c r="BZ78" s="198"/>
      <c r="CA78" s="198"/>
      <c r="CB78" s="198"/>
      <c r="CC78" s="198"/>
      <c r="CD78" s="198"/>
      <c r="CE78" s="198"/>
      <c r="CF78" s="198"/>
      <c r="CG78" s="198"/>
      <c r="CH78" s="198"/>
      <c r="CI78" s="198"/>
      <c r="CJ78" s="198"/>
      <c r="CK78" s="198"/>
      <c r="CL78" s="198"/>
      <c r="CM78" s="198"/>
      <c r="CN78" s="198"/>
      <c r="CO78" s="198"/>
      <c r="CP78" s="198"/>
      <c r="CQ78" s="198"/>
      <c r="CR78" s="198"/>
      <c r="CS78" s="198"/>
      <c r="CT78" s="198"/>
      <c r="CU78" s="198"/>
      <c r="CV78" s="198"/>
      <c r="CW78" s="198"/>
      <c r="CX78" s="198"/>
      <c r="CY78" s="198"/>
      <c r="CZ78" s="198"/>
      <c r="DA78" s="198"/>
      <c r="DB78" s="198"/>
      <c r="DC78" s="198"/>
      <c r="DD78" s="198"/>
      <c r="DE78" s="198"/>
      <c r="DF78" s="198"/>
      <c r="DG78" s="198"/>
      <c r="DH78" s="198"/>
      <c r="DI78" s="198"/>
      <c r="DJ78" s="198"/>
      <c r="DK78" s="198"/>
      <c r="DL78" s="198"/>
      <c r="DM78" s="198"/>
      <c r="DN78" s="198"/>
      <c r="DO78" s="198"/>
      <c r="DP78" s="198"/>
      <c r="DQ78" s="198"/>
      <c r="DR78" s="198"/>
      <c r="DS78" s="198"/>
      <c r="DT78" s="198"/>
      <c r="DU78" s="198"/>
      <c r="DV78" s="198"/>
      <c r="DW78" s="198"/>
      <c r="DX78" s="198"/>
      <c r="DY78" s="198"/>
      <c r="DZ78" s="198"/>
      <c r="EA78" s="198"/>
      <c r="EB78" s="198"/>
      <c r="EC78" s="198"/>
      <c r="ED78" s="198"/>
      <c r="EE78" s="198"/>
      <c r="EF78" s="198"/>
      <c r="EG78" s="198"/>
      <c r="EH78" s="198"/>
      <c r="EI78" s="198"/>
      <c r="EJ78" s="198"/>
      <c r="EK78" s="198"/>
      <c r="EL78" s="198"/>
      <c r="EM78" s="198"/>
      <c r="EN78" s="198"/>
      <c r="EO78" s="198"/>
      <c r="EP78" s="198"/>
      <c r="EQ78" s="198"/>
      <c r="ER78" s="198"/>
      <c r="ES78" s="198"/>
      <c r="ET78" s="198"/>
      <c r="EU78" s="198"/>
      <c r="EV78" s="198"/>
      <c r="EW78" s="198"/>
      <c r="EX78" s="198"/>
      <c r="EY78" s="198"/>
      <c r="EZ78" s="198"/>
      <c r="FA78" s="198"/>
      <c r="FB78" s="198"/>
      <c r="FC78" s="198"/>
      <c r="FD78" s="198"/>
      <c r="FE78" s="198"/>
      <c r="FF78" s="198"/>
      <c r="FG78" s="198"/>
      <c r="FH78" s="198"/>
      <c r="FI78" s="198"/>
      <c r="FJ78" s="198"/>
      <c r="FK78" s="198"/>
      <c r="FL78" s="198"/>
      <c r="FM78" s="198"/>
      <c r="FN78" s="198"/>
      <c r="FO78" s="198"/>
      <c r="FP78" s="198"/>
      <c r="FQ78" s="198"/>
      <c r="FR78" s="198"/>
      <c r="FS78" s="198"/>
      <c r="FT78" s="198"/>
      <c r="FU78" s="198"/>
      <c r="FV78" s="198"/>
      <c r="FW78" s="198"/>
      <c r="FX78" s="198"/>
      <c r="FY78" s="198"/>
      <c r="FZ78" s="198"/>
      <c r="GA78" s="198"/>
      <c r="GB78" s="198"/>
      <c r="GC78" s="198"/>
      <c r="GD78" s="198"/>
      <c r="GE78" s="198"/>
      <c r="GF78" s="198"/>
      <c r="GG78" s="198"/>
      <c r="GH78" s="198"/>
      <c r="GI78" s="198"/>
      <c r="GJ78" s="198"/>
      <c r="GK78" s="198"/>
      <c r="GL78" s="198"/>
      <c r="GM78" s="198"/>
      <c r="GN78" s="198"/>
      <c r="GO78" s="198"/>
      <c r="GP78" s="198"/>
      <c r="GQ78" s="198"/>
      <c r="GR78" s="198"/>
      <c r="GS78" s="198"/>
      <c r="GT78" s="198"/>
      <c r="GU78" s="198"/>
      <c r="GV78" s="198"/>
      <c r="GW78" s="198"/>
      <c r="GX78" s="198"/>
      <c r="GY78" s="198"/>
      <c r="GZ78" s="198"/>
      <c r="HA78" s="198"/>
      <c r="HB78" s="198"/>
      <c r="HC78" s="198"/>
      <c r="HD78" s="198"/>
      <c r="HE78" s="198"/>
      <c r="HF78" s="198"/>
      <c r="HG78" s="198"/>
      <c r="HH78" s="198"/>
      <c r="HI78" s="198"/>
      <c r="HJ78" s="198"/>
      <c r="HK78" s="198"/>
      <c r="HL78" s="198"/>
      <c r="HM78" s="198"/>
      <c r="HN78" s="198"/>
      <c r="HO78" s="198"/>
      <c r="HP78" s="198"/>
      <c r="HQ78" s="198"/>
      <c r="HR78" s="198"/>
      <c r="HS78" s="198"/>
      <c r="HT78" s="198"/>
      <c r="HU78" s="198"/>
      <c r="HV78" s="198"/>
      <c r="HW78" s="198"/>
      <c r="HX78" s="198"/>
      <c r="HY78" s="198"/>
      <c r="HZ78" s="198"/>
      <c r="IA78" s="198"/>
      <c r="IB78" s="198"/>
      <c r="IC78" s="198"/>
      <c r="ID78" s="198"/>
      <c r="IE78" s="198"/>
      <c r="IF78" s="198"/>
      <c r="IG78" s="198"/>
      <c r="IH78" s="198"/>
      <c r="II78" s="198"/>
      <c r="IJ78" s="198"/>
      <c r="IK78" s="198"/>
      <c r="IL78" s="198"/>
      <c r="IM78" s="198"/>
      <c r="IN78" s="198"/>
      <c r="IO78" s="198"/>
      <c r="IP78" s="198"/>
      <c r="IQ78" s="198"/>
      <c r="IR78" s="198"/>
      <c r="IS78" s="198"/>
      <c r="IT78" s="198"/>
      <c r="IU78" s="198"/>
      <c r="IV78" s="198"/>
      <c r="IW78" s="198"/>
      <c r="IX78" s="198"/>
      <c r="IY78" s="198"/>
      <c r="IZ78" s="198"/>
      <c r="JA78" s="198"/>
      <c r="JB78" s="198"/>
      <c r="JC78" s="198"/>
      <c r="JD78" s="198"/>
      <c r="JE78" s="198"/>
      <c r="JF78" s="198"/>
      <c r="JG78" s="198"/>
      <c r="JH78" s="198"/>
      <c r="JI78" s="198"/>
      <c r="JJ78" s="198"/>
      <c r="JK78" s="198"/>
      <c r="JL78" s="198"/>
      <c r="JM78" s="198"/>
      <c r="JN78" s="198"/>
      <c r="JO78" s="198"/>
      <c r="JP78" s="198"/>
      <c r="JQ78" s="198"/>
      <c r="JR78" s="198"/>
      <c r="JS78" s="198"/>
      <c r="JT78" s="198"/>
      <c r="JU78" s="198"/>
      <c r="JV78" s="198"/>
      <c r="JW78" s="198"/>
      <c r="JX78" s="198"/>
      <c r="JY78" s="198"/>
      <c r="JZ78" s="198"/>
      <c r="KA78" s="198"/>
      <c r="KB78" s="198"/>
      <c r="KC78" s="198"/>
      <c r="KD78" s="198"/>
      <c r="KE78" s="198"/>
      <c r="KF78" s="198"/>
      <c r="KG78" s="198"/>
      <c r="KH78" s="198"/>
      <c r="KI78" s="198"/>
      <c r="KJ78" s="198"/>
      <c r="KK78" s="198"/>
      <c r="KL78" s="198"/>
      <c r="KM78" s="198"/>
      <c r="KN78" s="198"/>
      <c r="KO78" s="198"/>
      <c r="KP78" s="198"/>
      <c r="KQ78" s="198"/>
      <c r="KR78" s="198"/>
      <c r="KS78" s="198"/>
      <c r="KT78" s="198"/>
      <c r="KU78" s="198"/>
      <c r="KV78" s="198"/>
      <c r="KW78" s="198"/>
      <c r="KX78" s="198"/>
      <c r="KY78" s="198"/>
      <c r="KZ78" s="198"/>
      <c r="LA78" s="198"/>
      <c r="LB78" s="198"/>
      <c r="LC78" s="198"/>
      <c r="LD78" s="198"/>
      <c r="LE78" s="198"/>
      <c r="LF78" s="198"/>
      <c r="LG78" s="198"/>
      <c r="LH78" s="198"/>
      <c r="LI78" s="198"/>
      <c r="LJ78" s="198"/>
      <c r="LK78" s="198"/>
      <c r="LL78" s="198"/>
      <c r="LM78" s="198"/>
      <c r="LN78" s="198"/>
      <c r="LO78" s="198"/>
      <c r="LP78" s="198"/>
      <c r="LQ78" s="198"/>
      <c r="LR78" s="198"/>
      <c r="LS78" s="198"/>
      <c r="LT78" s="198"/>
      <c r="LU78" s="198"/>
      <c r="LV78" s="198"/>
      <c r="LW78" s="198"/>
      <c r="LX78" s="198"/>
      <c r="LY78" s="198"/>
      <c r="LZ78" s="198"/>
      <c r="MA78" s="198"/>
      <c r="MB78" s="198"/>
      <c r="MC78" s="198"/>
      <c r="MD78" s="198"/>
      <c r="ME78" s="198"/>
      <c r="MF78" s="198"/>
      <c r="MG78" s="198"/>
      <c r="MH78" s="198"/>
      <c r="MI78" s="198"/>
      <c r="MJ78" s="198"/>
      <c r="MK78" s="198"/>
      <c r="ML78" s="198"/>
      <c r="MM78" s="198"/>
      <c r="MN78" s="198"/>
      <c r="MO78" s="198"/>
      <c r="MP78" s="198"/>
      <c r="MQ78" s="198"/>
      <c r="MR78" s="198"/>
      <c r="MS78" s="198"/>
      <c r="MT78" s="198"/>
      <c r="MU78" s="198"/>
      <c r="MV78" s="198"/>
      <c r="MW78" s="198"/>
      <c r="MX78" s="198"/>
      <c r="MY78" s="198"/>
      <c r="MZ78" s="198"/>
      <c r="NA78" s="198"/>
      <c r="NB78" s="198"/>
      <c r="NC78" s="198"/>
      <c r="ND78" s="198"/>
      <c r="NE78" s="198"/>
      <c r="NF78" s="198"/>
      <c r="NG78" s="198"/>
      <c r="NH78" s="198"/>
      <c r="NI78" s="198"/>
      <c r="NJ78" s="198"/>
      <c r="NK78" s="198"/>
      <c r="NL78" s="198"/>
      <c r="NM78" s="198"/>
      <c r="NN78" s="198"/>
      <c r="NO78" s="198"/>
      <c r="NP78" s="198"/>
      <c r="NQ78" s="198"/>
      <c r="NR78" s="198"/>
      <c r="NS78" s="198"/>
      <c r="NT78" s="198"/>
      <c r="NU78" s="198"/>
      <c r="NV78" s="198"/>
      <c r="NW78" s="198"/>
      <c r="NX78" s="198"/>
      <c r="NY78" s="198"/>
      <c r="NZ78" s="198"/>
      <c r="OA78" s="198"/>
      <c r="OB78" s="198"/>
      <c r="OC78" s="198"/>
      <c r="OD78" s="198"/>
      <c r="OE78" s="198"/>
      <c r="OF78" s="198"/>
      <c r="OG78" s="198"/>
      <c r="OH78" s="198"/>
      <c r="OI78" s="198"/>
      <c r="OJ78" s="198"/>
      <c r="OK78" s="198"/>
      <c r="OL78" s="198"/>
      <c r="OM78" s="198"/>
      <c r="ON78" s="198"/>
      <c r="OO78" s="198"/>
      <c r="OP78" s="198"/>
      <c r="OQ78" s="198"/>
      <c r="OR78" s="198"/>
      <c r="OS78" s="198"/>
      <c r="OT78" s="198"/>
      <c r="OU78" s="198"/>
      <c r="OV78" s="198"/>
      <c r="OW78" s="198"/>
      <c r="OX78" s="198"/>
      <c r="OY78" s="198"/>
      <c r="OZ78" s="198"/>
      <c r="PA78" s="198"/>
      <c r="PB78" s="198"/>
      <c r="PC78" s="198"/>
      <c r="PD78" s="198"/>
      <c r="PE78" s="198"/>
      <c r="PF78" s="198"/>
      <c r="PG78" s="198"/>
      <c r="PH78" s="198"/>
      <c r="PI78" s="198"/>
      <c r="PJ78" s="198"/>
      <c r="PK78" s="198"/>
      <c r="PL78" s="198"/>
      <c r="PM78" s="198"/>
      <c r="PN78" s="198"/>
      <c r="PO78" s="198"/>
      <c r="PP78" s="198"/>
      <c r="PQ78" s="198"/>
      <c r="PR78" s="198"/>
      <c r="PS78" s="198"/>
      <c r="PT78" s="198"/>
      <c r="PU78" s="198"/>
      <c r="PV78" s="198"/>
      <c r="PW78" s="198"/>
      <c r="PX78" s="198"/>
      <c r="PY78" s="198"/>
      <c r="PZ78" s="198"/>
      <c r="QA78" s="198"/>
      <c r="QB78" s="198"/>
      <c r="QC78" s="198"/>
      <c r="QD78" s="198"/>
      <c r="QE78" s="198"/>
      <c r="QF78" s="198"/>
      <c r="QG78" s="198"/>
      <c r="QH78" s="198"/>
      <c r="QI78" s="198"/>
      <c r="QJ78" s="198"/>
      <c r="QK78" s="198"/>
      <c r="QL78" s="198"/>
      <c r="QM78" s="198"/>
      <c r="QN78" s="198"/>
      <c r="QO78" s="198"/>
      <c r="QP78" s="198"/>
      <c r="QQ78" s="198"/>
      <c r="QR78" s="198"/>
      <c r="QS78" s="198"/>
      <c r="QT78" s="198"/>
      <c r="QU78" s="198"/>
      <c r="QV78" s="198"/>
      <c r="QW78" s="198"/>
      <c r="QX78" s="198"/>
      <c r="QY78" s="198"/>
      <c r="QZ78" s="198"/>
      <c r="RA78" s="198"/>
      <c r="RB78" s="198"/>
      <c r="RC78" s="198"/>
      <c r="RD78" s="198"/>
      <c r="RE78" s="198"/>
      <c r="RF78" s="198"/>
      <c r="RG78" s="198"/>
      <c r="RH78" s="198"/>
      <c r="RI78" s="198"/>
      <c r="RJ78" s="198"/>
      <c r="RK78" s="198"/>
      <c r="RL78" s="198"/>
      <c r="RM78" s="198"/>
      <c r="RN78" s="198"/>
      <c r="RO78" s="198"/>
      <c r="RP78" s="198"/>
      <c r="RQ78" s="198"/>
      <c r="RR78" s="198"/>
      <c r="RS78" s="198"/>
      <c r="RT78" s="198"/>
      <c r="RU78" s="198"/>
      <c r="RV78" s="198"/>
      <c r="RW78" s="198"/>
      <c r="RX78" s="198"/>
      <c r="RY78" s="198"/>
      <c r="RZ78" s="198"/>
      <c r="SA78" s="198"/>
      <c r="SB78" s="198"/>
      <c r="SC78" s="198"/>
      <c r="SD78" s="198"/>
      <c r="SE78" s="198"/>
      <c r="SF78" s="198"/>
      <c r="SG78" s="198"/>
    </row>
    <row r="79" spans="1:501" ht="40.049999999999997" customHeight="1" x14ac:dyDescent="0.3">
      <c r="A79" s="946" t="s">
        <v>227</v>
      </c>
      <c r="B79" s="957" t="s">
        <v>228</v>
      </c>
      <c r="C79" s="950"/>
      <c r="D79" s="861"/>
      <c r="E79" s="862"/>
      <c r="F79" s="861"/>
      <c r="G79" s="862"/>
      <c r="H79" s="861"/>
      <c r="I79" s="862"/>
      <c r="J79" s="861"/>
      <c r="K79" s="862"/>
      <c r="L79" s="861"/>
      <c r="M79" s="862"/>
      <c r="N79" s="861"/>
      <c r="O79" s="862">
        <f>MANZ.G!AS77</f>
        <v>0</v>
      </c>
      <c r="P79" s="861"/>
      <c r="Q79" s="862"/>
      <c r="R79" s="861"/>
      <c r="S79" s="862"/>
      <c r="T79" s="861"/>
      <c r="U79" s="862"/>
      <c r="V79" s="861"/>
      <c r="W79" s="862"/>
      <c r="X79" s="861"/>
      <c r="Y79" s="862"/>
      <c r="Z79" s="861"/>
      <c r="AA79" s="862"/>
      <c r="AB79" s="864"/>
      <c r="AC79" s="864"/>
      <c r="AD79" s="864"/>
      <c r="AE79" s="864"/>
      <c r="AF79" s="861"/>
      <c r="AG79" s="865">
        <f>SUM(C79:AA79)</f>
        <v>0</v>
      </c>
      <c r="AH79" s="866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  <c r="AS79" s="198"/>
      <c r="AT79" s="198"/>
      <c r="AU79" s="198"/>
      <c r="AV79" s="198"/>
      <c r="AW79" s="198"/>
      <c r="AX79" s="198"/>
      <c r="AY79" s="198"/>
      <c r="AZ79" s="198"/>
      <c r="BA79" s="198"/>
      <c r="BB79" s="198"/>
      <c r="BC79" s="198"/>
      <c r="BD79" s="198"/>
      <c r="BE79" s="198"/>
      <c r="BF79" s="198"/>
      <c r="BG79" s="198"/>
      <c r="BH79" s="198"/>
      <c r="BI79" s="198"/>
      <c r="BJ79" s="198"/>
      <c r="BK79" s="198"/>
      <c r="BL79" s="198"/>
      <c r="BM79" s="198"/>
      <c r="BN79" s="198"/>
      <c r="BO79" s="198"/>
      <c r="BP79" s="198"/>
      <c r="BQ79" s="198"/>
      <c r="BR79" s="198"/>
      <c r="BS79" s="198"/>
      <c r="BT79" s="198"/>
      <c r="BU79" s="198"/>
      <c r="BV79" s="198"/>
      <c r="BW79" s="198"/>
      <c r="BX79" s="198"/>
      <c r="BY79" s="198"/>
      <c r="BZ79" s="198"/>
      <c r="CA79" s="198"/>
      <c r="CB79" s="198"/>
      <c r="CC79" s="198"/>
      <c r="CD79" s="198"/>
      <c r="CE79" s="198"/>
      <c r="CF79" s="198"/>
      <c r="CG79" s="198"/>
      <c r="CH79" s="198"/>
      <c r="CI79" s="198"/>
      <c r="CJ79" s="198"/>
      <c r="CK79" s="198"/>
      <c r="CL79" s="198"/>
      <c r="CM79" s="198"/>
      <c r="CN79" s="198"/>
      <c r="CO79" s="198"/>
      <c r="CP79" s="198"/>
      <c r="CQ79" s="198"/>
      <c r="CR79" s="198"/>
      <c r="CS79" s="198"/>
      <c r="CT79" s="198"/>
      <c r="CU79" s="198"/>
      <c r="CV79" s="198"/>
      <c r="CW79" s="198"/>
      <c r="CX79" s="198"/>
      <c r="CY79" s="198"/>
      <c r="CZ79" s="198"/>
      <c r="DA79" s="198"/>
      <c r="DB79" s="198"/>
      <c r="DC79" s="198"/>
      <c r="DD79" s="198"/>
      <c r="DE79" s="198"/>
      <c r="DF79" s="198"/>
      <c r="DG79" s="198"/>
      <c r="DH79" s="198"/>
      <c r="DI79" s="198"/>
      <c r="DJ79" s="198"/>
      <c r="DK79" s="198"/>
      <c r="DL79" s="198"/>
      <c r="DM79" s="198"/>
      <c r="DN79" s="198"/>
      <c r="DO79" s="198"/>
      <c r="DP79" s="198"/>
      <c r="DQ79" s="198"/>
      <c r="DR79" s="198"/>
      <c r="DS79" s="198"/>
      <c r="DT79" s="198"/>
      <c r="DU79" s="198"/>
      <c r="DV79" s="198"/>
      <c r="DW79" s="198"/>
      <c r="DX79" s="198"/>
      <c r="DY79" s="198"/>
      <c r="DZ79" s="198"/>
      <c r="EA79" s="198"/>
      <c r="EB79" s="198"/>
      <c r="EC79" s="198"/>
      <c r="ED79" s="198"/>
      <c r="EE79" s="198"/>
      <c r="EF79" s="198"/>
      <c r="EG79" s="198"/>
      <c r="EH79" s="198"/>
      <c r="EI79" s="198"/>
      <c r="EJ79" s="198"/>
      <c r="EK79" s="198"/>
      <c r="EL79" s="198"/>
      <c r="EM79" s="198"/>
      <c r="EN79" s="198"/>
      <c r="EO79" s="198"/>
      <c r="EP79" s="198"/>
      <c r="EQ79" s="198"/>
      <c r="ER79" s="198"/>
      <c r="ES79" s="198"/>
      <c r="ET79" s="198"/>
      <c r="EU79" s="198"/>
      <c r="EV79" s="198"/>
      <c r="EW79" s="198"/>
      <c r="EX79" s="198"/>
      <c r="EY79" s="198"/>
      <c r="EZ79" s="198"/>
      <c r="FA79" s="198"/>
      <c r="FB79" s="198"/>
      <c r="FC79" s="198"/>
      <c r="FD79" s="198"/>
      <c r="FE79" s="198"/>
      <c r="FF79" s="198"/>
      <c r="FG79" s="198"/>
      <c r="FH79" s="198"/>
      <c r="FI79" s="198"/>
      <c r="FJ79" s="198"/>
      <c r="FK79" s="198"/>
      <c r="FL79" s="198"/>
      <c r="FM79" s="198"/>
      <c r="FN79" s="198"/>
      <c r="FO79" s="198"/>
      <c r="FP79" s="198"/>
      <c r="FQ79" s="198"/>
      <c r="FR79" s="198"/>
      <c r="FS79" s="198"/>
      <c r="FT79" s="198"/>
      <c r="FU79" s="198"/>
      <c r="FV79" s="198"/>
      <c r="FW79" s="198"/>
      <c r="FX79" s="198"/>
      <c r="FY79" s="198"/>
      <c r="FZ79" s="198"/>
      <c r="GA79" s="198"/>
      <c r="GB79" s="198"/>
      <c r="GC79" s="198"/>
      <c r="GD79" s="198"/>
      <c r="GE79" s="198"/>
      <c r="GF79" s="198"/>
      <c r="GG79" s="198"/>
      <c r="GH79" s="198"/>
      <c r="GI79" s="198"/>
      <c r="GJ79" s="198"/>
      <c r="GK79" s="198"/>
      <c r="GL79" s="198"/>
      <c r="GM79" s="198"/>
      <c r="GN79" s="198"/>
      <c r="GO79" s="198"/>
      <c r="GP79" s="198"/>
      <c r="GQ79" s="198"/>
      <c r="GR79" s="198"/>
      <c r="GS79" s="198"/>
      <c r="GT79" s="198"/>
      <c r="GU79" s="198"/>
      <c r="GV79" s="198"/>
      <c r="GW79" s="198"/>
      <c r="GX79" s="198"/>
      <c r="GY79" s="198"/>
      <c r="GZ79" s="198"/>
      <c r="HA79" s="198"/>
      <c r="HB79" s="198"/>
      <c r="HC79" s="198"/>
      <c r="HD79" s="198"/>
      <c r="HE79" s="198"/>
      <c r="HF79" s="198"/>
      <c r="HG79" s="198"/>
      <c r="HH79" s="198"/>
      <c r="HI79" s="198"/>
      <c r="HJ79" s="198"/>
      <c r="HK79" s="198"/>
      <c r="HL79" s="198"/>
      <c r="HM79" s="198"/>
      <c r="HN79" s="198"/>
      <c r="HO79" s="198"/>
      <c r="HP79" s="198"/>
      <c r="HQ79" s="198"/>
      <c r="HR79" s="198"/>
      <c r="HS79" s="198"/>
      <c r="HT79" s="198"/>
      <c r="HU79" s="198"/>
      <c r="HV79" s="198"/>
      <c r="HW79" s="198"/>
      <c r="HX79" s="198"/>
      <c r="HY79" s="198"/>
      <c r="HZ79" s="198"/>
      <c r="IA79" s="198"/>
      <c r="IB79" s="198"/>
      <c r="IC79" s="198"/>
      <c r="ID79" s="198"/>
      <c r="IE79" s="198"/>
      <c r="IF79" s="198"/>
      <c r="IG79" s="198"/>
      <c r="IH79" s="198"/>
      <c r="II79" s="198"/>
      <c r="IJ79" s="198"/>
      <c r="IK79" s="198"/>
      <c r="IL79" s="198"/>
      <c r="IM79" s="198"/>
      <c r="IN79" s="198"/>
      <c r="IO79" s="198"/>
      <c r="IP79" s="198"/>
      <c r="IQ79" s="198"/>
      <c r="IR79" s="198"/>
      <c r="IS79" s="198"/>
      <c r="IT79" s="198"/>
      <c r="IU79" s="198"/>
      <c r="IV79" s="198"/>
      <c r="IW79" s="198"/>
      <c r="IX79" s="198"/>
      <c r="IY79" s="198"/>
      <c r="IZ79" s="198"/>
      <c r="JA79" s="198"/>
      <c r="JB79" s="198"/>
      <c r="JC79" s="198"/>
      <c r="JD79" s="198"/>
      <c r="JE79" s="198"/>
      <c r="JF79" s="198"/>
      <c r="JG79" s="198"/>
      <c r="JH79" s="198"/>
      <c r="JI79" s="198"/>
      <c r="JJ79" s="198"/>
      <c r="JK79" s="198"/>
      <c r="JL79" s="198"/>
      <c r="JM79" s="198"/>
      <c r="JN79" s="198"/>
      <c r="JO79" s="198"/>
      <c r="JP79" s="198"/>
      <c r="JQ79" s="198"/>
      <c r="JR79" s="198"/>
      <c r="JS79" s="198"/>
      <c r="JT79" s="198"/>
      <c r="JU79" s="198"/>
      <c r="JV79" s="198"/>
      <c r="JW79" s="198"/>
      <c r="JX79" s="198"/>
      <c r="JY79" s="198"/>
      <c r="JZ79" s="198"/>
      <c r="KA79" s="198"/>
      <c r="KB79" s="198"/>
      <c r="KC79" s="198"/>
      <c r="KD79" s="198"/>
      <c r="KE79" s="198"/>
      <c r="KF79" s="198"/>
      <c r="KG79" s="198"/>
      <c r="KH79" s="198"/>
      <c r="KI79" s="198"/>
      <c r="KJ79" s="198"/>
      <c r="KK79" s="198"/>
      <c r="KL79" s="198"/>
      <c r="KM79" s="198"/>
      <c r="KN79" s="198"/>
      <c r="KO79" s="198"/>
      <c r="KP79" s="198"/>
      <c r="KQ79" s="198"/>
      <c r="KR79" s="198"/>
      <c r="KS79" s="198"/>
      <c r="KT79" s="198"/>
      <c r="KU79" s="198"/>
      <c r="KV79" s="198"/>
      <c r="KW79" s="198"/>
      <c r="KX79" s="198"/>
      <c r="KY79" s="198"/>
      <c r="KZ79" s="198"/>
      <c r="LA79" s="198"/>
      <c r="LB79" s="198"/>
      <c r="LC79" s="198"/>
      <c r="LD79" s="198"/>
      <c r="LE79" s="198"/>
      <c r="LF79" s="198"/>
      <c r="LG79" s="198"/>
      <c r="LH79" s="198"/>
      <c r="LI79" s="198"/>
      <c r="LJ79" s="198"/>
      <c r="LK79" s="198"/>
      <c r="LL79" s="198"/>
      <c r="LM79" s="198"/>
      <c r="LN79" s="198"/>
      <c r="LO79" s="198"/>
      <c r="LP79" s="198"/>
      <c r="LQ79" s="198"/>
      <c r="LR79" s="198"/>
      <c r="LS79" s="198"/>
      <c r="LT79" s="198"/>
      <c r="LU79" s="198"/>
      <c r="LV79" s="198"/>
      <c r="LW79" s="198"/>
      <c r="LX79" s="198"/>
      <c r="LY79" s="198"/>
      <c r="LZ79" s="198"/>
      <c r="MA79" s="198"/>
      <c r="MB79" s="198"/>
      <c r="MC79" s="198"/>
      <c r="MD79" s="198"/>
      <c r="ME79" s="198"/>
      <c r="MF79" s="198"/>
      <c r="MG79" s="198"/>
      <c r="MH79" s="198"/>
      <c r="MI79" s="198"/>
      <c r="MJ79" s="198"/>
      <c r="MK79" s="198"/>
      <c r="ML79" s="198"/>
      <c r="MM79" s="198"/>
      <c r="MN79" s="198"/>
      <c r="MO79" s="198"/>
      <c r="MP79" s="198"/>
      <c r="MQ79" s="198"/>
      <c r="MR79" s="198"/>
      <c r="MS79" s="198"/>
      <c r="MT79" s="198"/>
      <c r="MU79" s="198"/>
      <c r="MV79" s="198"/>
      <c r="MW79" s="198"/>
      <c r="MX79" s="198"/>
      <c r="MY79" s="198"/>
      <c r="MZ79" s="198"/>
      <c r="NA79" s="198"/>
      <c r="NB79" s="198"/>
      <c r="NC79" s="198"/>
      <c r="ND79" s="198"/>
      <c r="NE79" s="198"/>
      <c r="NF79" s="198"/>
      <c r="NG79" s="198"/>
      <c r="NH79" s="198"/>
      <c r="NI79" s="198"/>
      <c r="NJ79" s="198"/>
      <c r="NK79" s="198"/>
      <c r="NL79" s="198"/>
      <c r="NM79" s="198"/>
      <c r="NN79" s="198"/>
      <c r="NO79" s="198"/>
      <c r="NP79" s="198"/>
      <c r="NQ79" s="198"/>
      <c r="NR79" s="198"/>
      <c r="NS79" s="198"/>
      <c r="NT79" s="198"/>
      <c r="NU79" s="198"/>
      <c r="NV79" s="198"/>
      <c r="NW79" s="198"/>
      <c r="NX79" s="198"/>
      <c r="NY79" s="198"/>
      <c r="NZ79" s="198"/>
      <c r="OA79" s="198"/>
      <c r="OB79" s="198"/>
      <c r="OC79" s="198"/>
      <c r="OD79" s="198"/>
      <c r="OE79" s="198"/>
      <c r="OF79" s="198"/>
      <c r="OG79" s="198"/>
      <c r="OH79" s="198"/>
      <c r="OI79" s="198"/>
      <c r="OJ79" s="198"/>
      <c r="OK79" s="198"/>
      <c r="OL79" s="198"/>
      <c r="OM79" s="198"/>
      <c r="ON79" s="198"/>
      <c r="OO79" s="198"/>
      <c r="OP79" s="198"/>
      <c r="OQ79" s="198"/>
      <c r="OR79" s="198"/>
      <c r="OS79" s="198"/>
      <c r="OT79" s="198"/>
      <c r="OU79" s="198"/>
      <c r="OV79" s="198"/>
      <c r="OW79" s="198"/>
      <c r="OX79" s="198"/>
      <c r="OY79" s="198"/>
      <c r="OZ79" s="198"/>
      <c r="PA79" s="198"/>
      <c r="PB79" s="198"/>
      <c r="PC79" s="198"/>
      <c r="PD79" s="198"/>
      <c r="PE79" s="198"/>
      <c r="PF79" s="198"/>
      <c r="PG79" s="198"/>
      <c r="PH79" s="198"/>
      <c r="PI79" s="198"/>
      <c r="PJ79" s="198"/>
      <c r="PK79" s="198"/>
      <c r="PL79" s="198"/>
      <c r="PM79" s="198"/>
      <c r="PN79" s="198"/>
      <c r="PO79" s="198"/>
      <c r="PP79" s="198"/>
      <c r="PQ79" s="198"/>
      <c r="PR79" s="198"/>
      <c r="PS79" s="198"/>
      <c r="PT79" s="198"/>
      <c r="PU79" s="198"/>
      <c r="PV79" s="198"/>
      <c r="PW79" s="198"/>
      <c r="PX79" s="198"/>
      <c r="PY79" s="198"/>
      <c r="PZ79" s="198"/>
      <c r="QA79" s="198"/>
      <c r="QB79" s="198"/>
      <c r="QC79" s="198"/>
      <c r="QD79" s="198"/>
      <c r="QE79" s="198"/>
      <c r="QF79" s="198"/>
      <c r="QG79" s="198"/>
      <c r="QH79" s="198"/>
      <c r="QI79" s="198"/>
      <c r="QJ79" s="198"/>
      <c r="QK79" s="198"/>
      <c r="QL79" s="198"/>
      <c r="QM79" s="198"/>
      <c r="QN79" s="198"/>
      <c r="QO79" s="198"/>
      <c r="QP79" s="198"/>
      <c r="QQ79" s="198"/>
      <c r="QR79" s="198"/>
      <c r="QS79" s="198"/>
      <c r="QT79" s="198"/>
      <c r="QU79" s="198"/>
      <c r="QV79" s="198"/>
      <c r="QW79" s="198"/>
      <c r="QX79" s="198"/>
      <c r="QY79" s="198"/>
      <c r="QZ79" s="198"/>
      <c r="RA79" s="198"/>
      <c r="RB79" s="198"/>
      <c r="RC79" s="198"/>
      <c r="RD79" s="198"/>
      <c r="RE79" s="198"/>
      <c r="RF79" s="198"/>
      <c r="RG79" s="198"/>
      <c r="RH79" s="198"/>
      <c r="RI79" s="198"/>
      <c r="RJ79" s="198"/>
      <c r="RK79" s="198"/>
      <c r="RL79" s="198"/>
      <c r="RM79" s="198"/>
      <c r="RN79" s="198"/>
      <c r="RO79" s="198"/>
      <c r="RP79" s="198"/>
      <c r="RQ79" s="198"/>
      <c r="RR79" s="198"/>
      <c r="RS79" s="198"/>
      <c r="RT79" s="198"/>
      <c r="RU79" s="198"/>
      <c r="RV79" s="198"/>
      <c r="RW79" s="198"/>
      <c r="RX79" s="198"/>
      <c r="RY79" s="198"/>
      <c r="RZ79" s="198"/>
      <c r="SA79" s="198"/>
      <c r="SB79" s="198"/>
      <c r="SC79" s="198"/>
      <c r="SD79" s="198"/>
      <c r="SE79" s="198"/>
      <c r="SF79" s="198"/>
      <c r="SG79" s="198"/>
    </row>
    <row r="80" spans="1:501" ht="40.049999999999997" customHeight="1" x14ac:dyDescent="0.3">
      <c r="A80" s="946" t="s">
        <v>229</v>
      </c>
      <c r="B80" s="957" t="s">
        <v>230</v>
      </c>
      <c r="C80" s="950"/>
      <c r="D80" s="861"/>
      <c r="E80" s="862">
        <f>'MANZ. B'!R86</f>
        <v>0</v>
      </c>
      <c r="F80" s="861"/>
      <c r="G80" s="862"/>
      <c r="H80" s="861"/>
      <c r="I80" s="862"/>
      <c r="J80" s="861"/>
      <c r="K80" s="862"/>
      <c r="L80" s="861"/>
      <c r="M80" s="862"/>
      <c r="N80" s="861"/>
      <c r="O80" s="862">
        <f>MANZ.G!AS78</f>
        <v>18</v>
      </c>
      <c r="P80" s="861"/>
      <c r="Q80" s="862"/>
      <c r="R80" s="861"/>
      <c r="S80" s="862"/>
      <c r="T80" s="861"/>
      <c r="U80" s="862"/>
      <c r="V80" s="861"/>
      <c r="W80" s="862"/>
      <c r="X80" s="861"/>
      <c r="Y80" s="862"/>
      <c r="Z80" s="861"/>
      <c r="AA80" s="862"/>
      <c r="AB80" s="864"/>
      <c r="AC80" s="864"/>
      <c r="AD80" s="864"/>
      <c r="AE80" s="864"/>
      <c r="AF80" s="861"/>
      <c r="AG80" s="865">
        <f>SUM(C80:AA80)</f>
        <v>18</v>
      </c>
      <c r="AH80" s="866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198"/>
      <c r="BA80" s="198"/>
      <c r="BB80" s="198"/>
      <c r="BC80" s="198"/>
      <c r="BD80" s="198"/>
      <c r="BE80" s="198"/>
      <c r="BF80" s="198"/>
      <c r="BG80" s="198"/>
      <c r="BH80" s="198"/>
      <c r="BI80" s="198"/>
      <c r="BJ80" s="198"/>
      <c r="BK80" s="198"/>
      <c r="BL80" s="198"/>
      <c r="BM80" s="198"/>
      <c r="BN80" s="198"/>
      <c r="BO80" s="198"/>
      <c r="BP80" s="198"/>
      <c r="BQ80" s="198"/>
      <c r="BR80" s="198"/>
      <c r="BS80" s="198"/>
      <c r="BT80" s="198"/>
      <c r="BU80" s="198"/>
      <c r="BV80" s="198"/>
      <c r="BW80" s="198"/>
      <c r="BX80" s="198"/>
      <c r="BY80" s="198"/>
      <c r="BZ80" s="198"/>
      <c r="CA80" s="198"/>
      <c r="CB80" s="198"/>
      <c r="CC80" s="198"/>
      <c r="CD80" s="198"/>
      <c r="CE80" s="198"/>
      <c r="CF80" s="198"/>
      <c r="CG80" s="198"/>
      <c r="CH80" s="198"/>
      <c r="CI80" s="198"/>
      <c r="CJ80" s="198"/>
      <c r="CK80" s="198"/>
      <c r="CL80" s="198"/>
      <c r="CM80" s="198"/>
      <c r="CN80" s="198"/>
      <c r="CO80" s="198"/>
      <c r="CP80" s="198"/>
      <c r="CQ80" s="198"/>
      <c r="CR80" s="198"/>
      <c r="CS80" s="198"/>
      <c r="CT80" s="198"/>
      <c r="CU80" s="198"/>
      <c r="CV80" s="198"/>
      <c r="CW80" s="198"/>
      <c r="CX80" s="198"/>
      <c r="CY80" s="198"/>
      <c r="CZ80" s="198"/>
      <c r="DA80" s="198"/>
      <c r="DB80" s="198"/>
      <c r="DC80" s="198"/>
      <c r="DD80" s="198"/>
      <c r="DE80" s="198"/>
      <c r="DF80" s="198"/>
      <c r="DG80" s="198"/>
      <c r="DH80" s="198"/>
      <c r="DI80" s="198"/>
      <c r="DJ80" s="198"/>
      <c r="DK80" s="198"/>
      <c r="DL80" s="198"/>
      <c r="DM80" s="198"/>
      <c r="DN80" s="198"/>
      <c r="DO80" s="198"/>
      <c r="DP80" s="198"/>
      <c r="DQ80" s="198"/>
      <c r="DR80" s="198"/>
      <c r="DS80" s="198"/>
      <c r="DT80" s="198"/>
      <c r="DU80" s="198"/>
      <c r="DV80" s="198"/>
      <c r="DW80" s="198"/>
      <c r="DX80" s="198"/>
      <c r="DY80" s="198"/>
      <c r="DZ80" s="198"/>
      <c r="EA80" s="198"/>
      <c r="EB80" s="198"/>
      <c r="EC80" s="198"/>
      <c r="ED80" s="198"/>
      <c r="EE80" s="198"/>
      <c r="EF80" s="198"/>
      <c r="EG80" s="198"/>
      <c r="EH80" s="198"/>
      <c r="EI80" s="198"/>
      <c r="EJ80" s="198"/>
      <c r="EK80" s="198"/>
      <c r="EL80" s="198"/>
      <c r="EM80" s="198"/>
      <c r="EN80" s="198"/>
      <c r="EO80" s="198"/>
      <c r="EP80" s="198"/>
      <c r="EQ80" s="198"/>
      <c r="ER80" s="198"/>
      <c r="ES80" s="198"/>
      <c r="ET80" s="198"/>
      <c r="EU80" s="198"/>
      <c r="EV80" s="198"/>
      <c r="EW80" s="198"/>
      <c r="EX80" s="198"/>
      <c r="EY80" s="198"/>
      <c r="EZ80" s="198"/>
      <c r="FA80" s="198"/>
      <c r="FB80" s="198"/>
      <c r="FC80" s="198"/>
      <c r="FD80" s="198"/>
      <c r="FE80" s="198"/>
      <c r="FF80" s="198"/>
      <c r="FG80" s="198"/>
      <c r="FH80" s="198"/>
      <c r="FI80" s="198"/>
      <c r="FJ80" s="198"/>
      <c r="FK80" s="198"/>
      <c r="FL80" s="198"/>
      <c r="FM80" s="198"/>
      <c r="FN80" s="198"/>
      <c r="FO80" s="198"/>
      <c r="FP80" s="198"/>
      <c r="FQ80" s="198"/>
      <c r="FR80" s="198"/>
      <c r="FS80" s="198"/>
      <c r="FT80" s="198"/>
      <c r="FU80" s="198"/>
      <c r="FV80" s="198"/>
      <c r="FW80" s="198"/>
      <c r="FX80" s="198"/>
      <c r="FY80" s="198"/>
      <c r="FZ80" s="198"/>
      <c r="GA80" s="198"/>
      <c r="GB80" s="198"/>
      <c r="GC80" s="198"/>
      <c r="GD80" s="198"/>
      <c r="GE80" s="198"/>
      <c r="GF80" s="198"/>
      <c r="GG80" s="198"/>
      <c r="GH80" s="198"/>
      <c r="GI80" s="198"/>
      <c r="GJ80" s="198"/>
      <c r="GK80" s="198"/>
      <c r="GL80" s="198"/>
      <c r="GM80" s="198"/>
      <c r="GN80" s="198"/>
      <c r="GO80" s="198"/>
      <c r="GP80" s="198"/>
      <c r="GQ80" s="198"/>
      <c r="GR80" s="198"/>
      <c r="GS80" s="198"/>
      <c r="GT80" s="198"/>
      <c r="GU80" s="198"/>
      <c r="GV80" s="198"/>
      <c r="GW80" s="198"/>
      <c r="GX80" s="198"/>
      <c r="GY80" s="198"/>
      <c r="GZ80" s="198"/>
      <c r="HA80" s="198"/>
      <c r="HB80" s="198"/>
      <c r="HC80" s="198"/>
      <c r="HD80" s="198"/>
      <c r="HE80" s="198"/>
      <c r="HF80" s="198"/>
      <c r="HG80" s="198"/>
      <c r="HH80" s="198"/>
      <c r="HI80" s="198"/>
      <c r="HJ80" s="198"/>
      <c r="HK80" s="198"/>
      <c r="HL80" s="198"/>
      <c r="HM80" s="198"/>
      <c r="HN80" s="198"/>
      <c r="HO80" s="198"/>
      <c r="HP80" s="198"/>
      <c r="HQ80" s="198"/>
      <c r="HR80" s="198"/>
      <c r="HS80" s="198"/>
      <c r="HT80" s="198"/>
      <c r="HU80" s="198"/>
      <c r="HV80" s="198"/>
      <c r="HW80" s="198"/>
      <c r="HX80" s="198"/>
      <c r="HY80" s="198"/>
      <c r="HZ80" s="198"/>
      <c r="IA80" s="198"/>
      <c r="IB80" s="198"/>
      <c r="IC80" s="198"/>
      <c r="ID80" s="198"/>
      <c r="IE80" s="198"/>
      <c r="IF80" s="198"/>
      <c r="IG80" s="198"/>
      <c r="IH80" s="198"/>
      <c r="II80" s="198"/>
      <c r="IJ80" s="198"/>
      <c r="IK80" s="198"/>
      <c r="IL80" s="198"/>
      <c r="IM80" s="198"/>
      <c r="IN80" s="198"/>
      <c r="IO80" s="198"/>
      <c r="IP80" s="198"/>
      <c r="IQ80" s="198"/>
      <c r="IR80" s="198"/>
      <c r="IS80" s="198"/>
      <c r="IT80" s="198"/>
      <c r="IU80" s="198"/>
      <c r="IV80" s="198"/>
      <c r="IW80" s="198"/>
      <c r="IX80" s="198"/>
      <c r="IY80" s="198"/>
      <c r="IZ80" s="198"/>
      <c r="JA80" s="198"/>
      <c r="JB80" s="198"/>
      <c r="JC80" s="198"/>
      <c r="JD80" s="198"/>
      <c r="JE80" s="198"/>
      <c r="JF80" s="198"/>
      <c r="JG80" s="198"/>
      <c r="JH80" s="198"/>
      <c r="JI80" s="198"/>
      <c r="JJ80" s="198"/>
      <c r="JK80" s="198"/>
      <c r="JL80" s="198"/>
      <c r="JM80" s="198"/>
      <c r="JN80" s="198"/>
      <c r="JO80" s="198"/>
      <c r="JP80" s="198"/>
      <c r="JQ80" s="198"/>
      <c r="JR80" s="198"/>
      <c r="JS80" s="198"/>
      <c r="JT80" s="198"/>
      <c r="JU80" s="198"/>
      <c r="JV80" s="198"/>
      <c r="JW80" s="198"/>
      <c r="JX80" s="198"/>
      <c r="JY80" s="198"/>
      <c r="JZ80" s="198"/>
      <c r="KA80" s="198"/>
      <c r="KB80" s="198"/>
      <c r="KC80" s="198"/>
      <c r="KD80" s="198"/>
      <c r="KE80" s="198"/>
      <c r="KF80" s="198"/>
      <c r="KG80" s="198"/>
      <c r="KH80" s="198"/>
      <c r="KI80" s="198"/>
      <c r="KJ80" s="198"/>
      <c r="KK80" s="198"/>
      <c r="KL80" s="198"/>
      <c r="KM80" s="198"/>
      <c r="KN80" s="198"/>
      <c r="KO80" s="198"/>
      <c r="KP80" s="198"/>
      <c r="KQ80" s="198"/>
      <c r="KR80" s="198"/>
      <c r="KS80" s="198"/>
      <c r="KT80" s="198"/>
      <c r="KU80" s="198"/>
      <c r="KV80" s="198"/>
      <c r="KW80" s="198"/>
      <c r="KX80" s="198"/>
      <c r="KY80" s="198"/>
      <c r="KZ80" s="198"/>
      <c r="LA80" s="198"/>
      <c r="LB80" s="198"/>
      <c r="LC80" s="198"/>
      <c r="LD80" s="198"/>
      <c r="LE80" s="198"/>
      <c r="LF80" s="198"/>
      <c r="LG80" s="198"/>
      <c r="LH80" s="198"/>
      <c r="LI80" s="198"/>
      <c r="LJ80" s="198"/>
      <c r="LK80" s="198"/>
      <c r="LL80" s="198"/>
      <c r="LM80" s="198"/>
      <c r="LN80" s="198"/>
      <c r="LO80" s="198"/>
      <c r="LP80" s="198"/>
      <c r="LQ80" s="198"/>
      <c r="LR80" s="198"/>
      <c r="LS80" s="198"/>
      <c r="LT80" s="198"/>
      <c r="LU80" s="198"/>
      <c r="LV80" s="198"/>
      <c r="LW80" s="198"/>
      <c r="LX80" s="198"/>
      <c r="LY80" s="198"/>
      <c r="LZ80" s="198"/>
      <c r="MA80" s="198"/>
      <c r="MB80" s="198"/>
      <c r="MC80" s="198"/>
      <c r="MD80" s="198"/>
      <c r="ME80" s="198"/>
      <c r="MF80" s="198"/>
      <c r="MG80" s="198"/>
      <c r="MH80" s="198"/>
      <c r="MI80" s="198"/>
      <c r="MJ80" s="198"/>
      <c r="MK80" s="198"/>
      <c r="ML80" s="198"/>
      <c r="MM80" s="198"/>
      <c r="MN80" s="198"/>
      <c r="MO80" s="198"/>
      <c r="MP80" s="198"/>
      <c r="MQ80" s="198"/>
      <c r="MR80" s="198"/>
      <c r="MS80" s="198"/>
      <c r="MT80" s="198"/>
      <c r="MU80" s="198"/>
      <c r="MV80" s="198"/>
      <c r="MW80" s="198"/>
      <c r="MX80" s="198"/>
      <c r="MY80" s="198"/>
      <c r="MZ80" s="198"/>
      <c r="NA80" s="198"/>
      <c r="NB80" s="198"/>
      <c r="NC80" s="198"/>
      <c r="ND80" s="198"/>
      <c r="NE80" s="198"/>
      <c r="NF80" s="198"/>
      <c r="NG80" s="198"/>
      <c r="NH80" s="198"/>
      <c r="NI80" s="198"/>
      <c r="NJ80" s="198"/>
      <c r="NK80" s="198"/>
      <c r="NL80" s="198"/>
      <c r="NM80" s="198"/>
      <c r="NN80" s="198"/>
      <c r="NO80" s="198"/>
      <c r="NP80" s="198"/>
      <c r="NQ80" s="198"/>
      <c r="NR80" s="198"/>
      <c r="NS80" s="198"/>
      <c r="NT80" s="198"/>
      <c r="NU80" s="198"/>
      <c r="NV80" s="198"/>
      <c r="NW80" s="198"/>
      <c r="NX80" s="198"/>
      <c r="NY80" s="198"/>
      <c r="NZ80" s="198"/>
      <c r="OA80" s="198"/>
      <c r="OB80" s="198"/>
      <c r="OC80" s="198"/>
      <c r="OD80" s="198"/>
      <c r="OE80" s="198"/>
      <c r="OF80" s="198"/>
      <c r="OG80" s="198"/>
      <c r="OH80" s="198"/>
      <c r="OI80" s="198"/>
      <c r="OJ80" s="198"/>
      <c r="OK80" s="198"/>
      <c r="OL80" s="198"/>
      <c r="OM80" s="198"/>
      <c r="ON80" s="198"/>
      <c r="OO80" s="198"/>
      <c r="OP80" s="198"/>
      <c r="OQ80" s="198"/>
      <c r="OR80" s="198"/>
      <c r="OS80" s="198"/>
      <c r="OT80" s="198"/>
      <c r="OU80" s="198"/>
      <c r="OV80" s="198"/>
      <c r="OW80" s="198"/>
      <c r="OX80" s="198"/>
      <c r="OY80" s="198"/>
      <c r="OZ80" s="198"/>
      <c r="PA80" s="198"/>
      <c r="PB80" s="198"/>
      <c r="PC80" s="198"/>
      <c r="PD80" s="198"/>
      <c r="PE80" s="198"/>
      <c r="PF80" s="198"/>
      <c r="PG80" s="198"/>
      <c r="PH80" s="198"/>
      <c r="PI80" s="198"/>
      <c r="PJ80" s="198"/>
      <c r="PK80" s="198"/>
      <c r="PL80" s="198"/>
      <c r="PM80" s="198"/>
      <c r="PN80" s="198"/>
      <c r="PO80" s="198"/>
      <c r="PP80" s="198"/>
      <c r="PQ80" s="198"/>
      <c r="PR80" s="198"/>
      <c r="PS80" s="198"/>
      <c r="PT80" s="198"/>
      <c r="PU80" s="198"/>
      <c r="PV80" s="198"/>
      <c r="PW80" s="198"/>
      <c r="PX80" s="198"/>
      <c r="PY80" s="198"/>
      <c r="PZ80" s="198"/>
      <c r="QA80" s="198"/>
      <c r="QB80" s="198"/>
      <c r="QC80" s="198"/>
      <c r="QD80" s="198"/>
      <c r="QE80" s="198"/>
      <c r="QF80" s="198"/>
      <c r="QG80" s="198"/>
      <c r="QH80" s="198"/>
      <c r="QI80" s="198"/>
      <c r="QJ80" s="198"/>
      <c r="QK80" s="198"/>
      <c r="QL80" s="198"/>
      <c r="QM80" s="198"/>
      <c r="QN80" s="198"/>
      <c r="QO80" s="198"/>
      <c r="QP80" s="198"/>
      <c r="QQ80" s="198"/>
      <c r="QR80" s="198"/>
      <c r="QS80" s="198"/>
      <c r="QT80" s="198"/>
      <c r="QU80" s="198"/>
      <c r="QV80" s="198"/>
      <c r="QW80" s="198"/>
      <c r="QX80" s="198"/>
      <c r="QY80" s="198"/>
      <c r="QZ80" s="198"/>
      <c r="RA80" s="198"/>
      <c r="RB80" s="198"/>
      <c r="RC80" s="198"/>
      <c r="RD80" s="198"/>
      <c r="RE80" s="198"/>
      <c r="RF80" s="198"/>
      <c r="RG80" s="198"/>
      <c r="RH80" s="198"/>
      <c r="RI80" s="198"/>
      <c r="RJ80" s="198"/>
      <c r="RK80" s="198"/>
      <c r="RL80" s="198"/>
      <c r="RM80" s="198"/>
      <c r="RN80" s="198"/>
      <c r="RO80" s="198"/>
      <c r="RP80" s="198"/>
      <c r="RQ80" s="198"/>
      <c r="RR80" s="198"/>
      <c r="RS80" s="198"/>
      <c r="RT80" s="198"/>
      <c r="RU80" s="198"/>
      <c r="RV80" s="198"/>
      <c r="RW80" s="198"/>
      <c r="RX80" s="198"/>
      <c r="RY80" s="198"/>
      <c r="RZ80" s="198"/>
      <c r="SA80" s="198"/>
      <c r="SB80" s="198"/>
      <c r="SC80" s="198"/>
      <c r="SD80" s="198"/>
      <c r="SE80" s="198"/>
      <c r="SF80" s="198"/>
      <c r="SG80" s="198"/>
    </row>
    <row r="81" spans="1:501" ht="40.049999999999997" customHeight="1" x14ac:dyDescent="0.3">
      <c r="A81" s="946" t="s">
        <v>231</v>
      </c>
      <c r="B81" s="957" t="s">
        <v>232</v>
      </c>
      <c r="C81" s="950">
        <f>'MANZ. A'!H83</f>
        <v>0</v>
      </c>
      <c r="D81" s="861"/>
      <c r="E81" s="862"/>
      <c r="F81" s="861"/>
      <c r="G81" s="863">
        <f>MANZ.C!AL83</f>
        <v>0</v>
      </c>
      <c r="H81" s="861"/>
      <c r="I81" s="863">
        <f>MANZ.D!Z83</f>
        <v>0</v>
      </c>
      <c r="J81" s="861"/>
      <c r="K81" s="862">
        <f>MANZ.E!AL84</f>
        <v>0</v>
      </c>
      <c r="L81" s="861"/>
      <c r="M81" s="863">
        <f>MANZ.F!AA83</f>
        <v>0</v>
      </c>
      <c r="N81" s="861"/>
      <c r="O81" s="862">
        <f>MANZ.G!AS79</f>
        <v>0</v>
      </c>
      <c r="P81" s="861"/>
      <c r="Q81" s="863">
        <f>MANZ.H!V84</f>
        <v>0</v>
      </c>
      <c r="R81" s="861"/>
      <c r="S81" s="862">
        <f>MANZ.I!AB82</f>
        <v>11</v>
      </c>
      <c r="T81" s="861"/>
      <c r="U81" s="862">
        <f>MANZ.J!AT87</f>
        <v>0</v>
      </c>
      <c r="V81" s="861"/>
      <c r="W81" s="862">
        <f>MANZ.K!AB84</f>
        <v>0</v>
      </c>
      <c r="X81" s="861"/>
      <c r="Y81" s="862">
        <f>MANZ.L!Y84</f>
        <v>0</v>
      </c>
      <c r="Z81" s="861"/>
      <c r="AA81" s="862"/>
      <c r="AB81" s="864"/>
      <c r="AC81" s="864"/>
      <c r="AD81" s="864"/>
      <c r="AE81" s="864"/>
      <c r="AF81" s="861"/>
      <c r="AG81" s="865">
        <f>SUM(C81:AA81)</f>
        <v>11</v>
      </c>
      <c r="AH81" s="866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198"/>
      <c r="BA81" s="198"/>
      <c r="BB81" s="198"/>
      <c r="BC81" s="198"/>
      <c r="BD81" s="198"/>
      <c r="BE81" s="198"/>
      <c r="BF81" s="198"/>
      <c r="BG81" s="198"/>
      <c r="BH81" s="198"/>
      <c r="BI81" s="198"/>
      <c r="BJ81" s="198"/>
      <c r="BK81" s="198"/>
      <c r="BL81" s="198"/>
      <c r="BM81" s="198"/>
      <c r="BN81" s="198"/>
      <c r="BO81" s="198"/>
      <c r="BP81" s="198"/>
      <c r="BQ81" s="198"/>
      <c r="BR81" s="198"/>
      <c r="BS81" s="198"/>
      <c r="BT81" s="198"/>
      <c r="BU81" s="198"/>
      <c r="BV81" s="198"/>
      <c r="BW81" s="198"/>
      <c r="BX81" s="198"/>
      <c r="BY81" s="198"/>
      <c r="BZ81" s="198"/>
      <c r="CA81" s="198"/>
      <c r="CB81" s="198"/>
      <c r="CC81" s="198"/>
      <c r="CD81" s="198"/>
      <c r="CE81" s="198"/>
      <c r="CF81" s="198"/>
      <c r="CG81" s="198"/>
      <c r="CH81" s="198"/>
      <c r="CI81" s="198"/>
      <c r="CJ81" s="198"/>
      <c r="CK81" s="198"/>
      <c r="CL81" s="198"/>
      <c r="CM81" s="198"/>
      <c r="CN81" s="198"/>
      <c r="CO81" s="198"/>
      <c r="CP81" s="198"/>
      <c r="CQ81" s="198"/>
      <c r="CR81" s="198"/>
      <c r="CS81" s="198"/>
      <c r="CT81" s="198"/>
      <c r="CU81" s="198"/>
      <c r="CV81" s="198"/>
      <c r="CW81" s="198"/>
      <c r="CX81" s="198"/>
      <c r="CY81" s="198"/>
      <c r="CZ81" s="198"/>
      <c r="DA81" s="198"/>
      <c r="DB81" s="198"/>
      <c r="DC81" s="198"/>
      <c r="DD81" s="198"/>
      <c r="DE81" s="198"/>
      <c r="DF81" s="198"/>
      <c r="DG81" s="198"/>
      <c r="DH81" s="198"/>
      <c r="DI81" s="198"/>
      <c r="DJ81" s="198"/>
      <c r="DK81" s="198"/>
      <c r="DL81" s="198"/>
      <c r="DM81" s="198"/>
      <c r="DN81" s="198"/>
      <c r="DO81" s="198"/>
      <c r="DP81" s="198"/>
      <c r="DQ81" s="198"/>
      <c r="DR81" s="198"/>
      <c r="DS81" s="198"/>
      <c r="DT81" s="198"/>
      <c r="DU81" s="198"/>
      <c r="DV81" s="198"/>
      <c r="DW81" s="198"/>
      <c r="DX81" s="198"/>
      <c r="DY81" s="198"/>
      <c r="DZ81" s="198"/>
      <c r="EA81" s="198"/>
      <c r="EB81" s="198"/>
      <c r="EC81" s="198"/>
      <c r="ED81" s="198"/>
      <c r="EE81" s="198"/>
      <c r="EF81" s="198"/>
      <c r="EG81" s="198"/>
      <c r="EH81" s="198"/>
      <c r="EI81" s="198"/>
      <c r="EJ81" s="198"/>
      <c r="EK81" s="198"/>
      <c r="EL81" s="198"/>
      <c r="EM81" s="198"/>
      <c r="EN81" s="198"/>
      <c r="EO81" s="198"/>
      <c r="EP81" s="198"/>
      <c r="EQ81" s="198"/>
      <c r="ER81" s="198"/>
      <c r="ES81" s="198"/>
      <c r="ET81" s="198"/>
      <c r="EU81" s="198"/>
      <c r="EV81" s="198"/>
      <c r="EW81" s="198"/>
      <c r="EX81" s="198"/>
      <c r="EY81" s="198"/>
      <c r="EZ81" s="198"/>
      <c r="FA81" s="198"/>
      <c r="FB81" s="198"/>
      <c r="FC81" s="198"/>
      <c r="FD81" s="198"/>
      <c r="FE81" s="198"/>
      <c r="FF81" s="198"/>
      <c r="FG81" s="198"/>
      <c r="FH81" s="198"/>
      <c r="FI81" s="198"/>
      <c r="FJ81" s="198"/>
      <c r="FK81" s="198"/>
      <c r="FL81" s="198"/>
      <c r="FM81" s="198"/>
      <c r="FN81" s="198"/>
      <c r="FO81" s="198"/>
      <c r="FP81" s="198"/>
      <c r="FQ81" s="198"/>
      <c r="FR81" s="198"/>
      <c r="FS81" s="198"/>
      <c r="FT81" s="198"/>
      <c r="FU81" s="198"/>
      <c r="FV81" s="198"/>
      <c r="FW81" s="198"/>
      <c r="FX81" s="198"/>
      <c r="FY81" s="198"/>
      <c r="FZ81" s="198"/>
      <c r="GA81" s="198"/>
      <c r="GB81" s="198"/>
      <c r="GC81" s="198"/>
      <c r="GD81" s="198"/>
      <c r="GE81" s="198"/>
      <c r="GF81" s="198"/>
      <c r="GG81" s="198"/>
      <c r="GH81" s="198"/>
      <c r="GI81" s="198"/>
      <c r="GJ81" s="198"/>
      <c r="GK81" s="198"/>
      <c r="GL81" s="198"/>
      <c r="GM81" s="198"/>
      <c r="GN81" s="198"/>
      <c r="GO81" s="198"/>
      <c r="GP81" s="198"/>
      <c r="GQ81" s="198"/>
      <c r="GR81" s="198"/>
      <c r="GS81" s="198"/>
      <c r="GT81" s="198"/>
      <c r="GU81" s="198"/>
      <c r="GV81" s="198"/>
      <c r="GW81" s="198"/>
      <c r="GX81" s="198"/>
      <c r="GY81" s="198"/>
      <c r="GZ81" s="198"/>
      <c r="HA81" s="198"/>
      <c r="HB81" s="198"/>
      <c r="HC81" s="198"/>
      <c r="HD81" s="198"/>
      <c r="HE81" s="198"/>
      <c r="HF81" s="198"/>
      <c r="HG81" s="198"/>
      <c r="HH81" s="198"/>
      <c r="HI81" s="198"/>
      <c r="HJ81" s="198"/>
      <c r="HK81" s="198"/>
      <c r="HL81" s="198"/>
      <c r="HM81" s="198"/>
      <c r="HN81" s="198"/>
      <c r="HO81" s="198"/>
      <c r="HP81" s="198"/>
      <c r="HQ81" s="198"/>
      <c r="HR81" s="198"/>
      <c r="HS81" s="198"/>
      <c r="HT81" s="198"/>
      <c r="HU81" s="198"/>
      <c r="HV81" s="198"/>
      <c r="HW81" s="198"/>
      <c r="HX81" s="198"/>
      <c r="HY81" s="198"/>
      <c r="HZ81" s="198"/>
      <c r="IA81" s="198"/>
      <c r="IB81" s="198"/>
      <c r="IC81" s="198"/>
      <c r="ID81" s="198"/>
      <c r="IE81" s="198"/>
      <c r="IF81" s="198"/>
      <c r="IG81" s="198"/>
      <c r="IH81" s="198"/>
      <c r="II81" s="198"/>
      <c r="IJ81" s="198"/>
      <c r="IK81" s="198"/>
      <c r="IL81" s="198"/>
      <c r="IM81" s="198"/>
      <c r="IN81" s="198"/>
      <c r="IO81" s="198"/>
      <c r="IP81" s="198"/>
      <c r="IQ81" s="198"/>
      <c r="IR81" s="198"/>
      <c r="IS81" s="198"/>
      <c r="IT81" s="198"/>
      <c r="IU81" s="198"/>
      <c r="IV81" s="198"/>
      <c r="IW81" s="198"/>
      <c r="IX81" s="198"/>
      <c r="IY81" s="198"/>
      <c r="IZ81" s="198"/>
      <c r="JA81" s="198"/>
      <c r="JB81" s="198"/>
      <c r="JC81" s="198"/>
      <c r="JD81" s="198"/>
      <c r="JE81" s="198"/>
      <c r="JF81" s="198"/>
      <c r="JG81" s="198"/>
      <c r="JH81" s="198"/>
      <c r="JI81" s="198"/>
      <c r="JJ81" s="198"/>
      <c r="JK81" s="198"/>
      <c r="JL81" s="198"/>
      <c r="JM81" s="198"/>
      <c r="JN81" s="198"/>
      <c r="JO81" s="198"/>
      <c r="JP81" s="198"/>
      <c r="JQ81" s="198"/>
      <c r="JR81" s="198"/>
      <c r="JS81" s="198"/>
      <c r="JT81" s="198"/>
      <c r="JU81" s="198"/>
      <c r="JV81" s="198"/>
      <c r="JW81" s="198"/>
      <c r="JX81" s="198"/>
      <c r="JY81" s="198"/>
      <c r="JZ81" s="198"/>
      <c r="KA81" s="198"/>
      <c r="KB81" s="198"/>
      <c r="KC81" s="198"/>
      <c r="KD81" s="198"/>
      <c r="KE81" s="198"/>
      <c r="KF81" s="198"/>
      <c r="KG81" s="198"/>
      <c r="KH81" s="198"/>
      <c r="KI81" s="198"/>
      <c r="KJ81" s="198"/>
      <c r="KK81" s="198"/>
      <c r="KL81" s="198"/>
      <c r="KM81" s="198"/>
      <c r="KN81" s="198"/>
      <c r="KO81" s="198"/>
      <c r="KP81" s="198"/>
      <c r="KQ81" s="198"/>
      <c r="KR81" s="198"/>
      <c r="KS81" s="198"/>
      <c r="KT81" s="198"/>
      <c r="KU81" s="198"/>
      <c r="KV81" s="198"/>
      <c r="KW81" s="198"/>
      <c r="KX81" s="198"/>
      <c r="KY81" s="198"/>
      <c r="KZ81" s="198"/>
      <c r="LA81" s="198"/>
      <c r="LB81" s="198"/>
      <c r="LC81" s="198"/>
      <c r="LD81" s="198"/>
      <c r="LE81" s="198"/>
      <c r="LF81" s="198"/>
      <c r="LG81" s="198"/>
      <c r="LH81" s="198"/>
      <c r="LI81" s="198"/>
      <c r="LJ81" s="198"/>
      <c r="LK81" s="198"/>
      <c r="LL81" s="198"/>
      <c r="LM81" s="198"/>
      <c r="LN81" s="198"/>
      <c r="LO81" s="198"/>
      <c r="LP81" s="198"/>
      <c r="LQ81" s="198"/>
      <c r="LR81" s="198"/>
      <c r="LS81" s="198"/>
      <c r="LT81" s="198"/>
      <c r="LU81" s="198"/>
      <c r="LV81" s="198"/>
      <c r="LW81" s="198"/>
      <c r="LX81" s="198"/>
      <c r="LY81" s="198"/>
      <c r="LZ81" s="198"/>
      <c r="MA81" s="198"/>
      <c r="MB81" s="198"/>
      <c r="MC81" s="198"/>
      <c r="MD81" s="198"/>
      <c r="ME81" s="198"/>
      <c r="MF81" s="198"/>
      <c r="MG81" s="198"/>
      <c r="MH81" s="198"/>
      <c r="MI81" s="198"/>
      <c r="MJ81" s="198"/>
      <c r="MK81" s="198"/>
      <c r="ML81" s="198"/>
      <c r="MM81" s="198"/>
      <c r="MN81" s="198"/>
      <c r="MO81" s="198"/>
      <c r="MP81" s="198"/>
      <c r="MQ81" s="198"/>
      <c r="MR81" s="198"/>
      <c r="MS81" s="198"/>
      <c r="MT81" s="198"/>
      <c r="MU81" s="198"/>
      <c r="MV81" s="198"/>
      <c r="MW81" s="198"/>
      <c r="MX81" s="198"/>
      <c r="MY81" s="198"/>
      <c r="MZ81" s="198"/>
      <c r="NA81" s="198"/>
      <c r="NB81" s="198"/>
      <c r="NC81" s="198"/>
      <c r="ND81" s="198"/>
      <c r="NE81" s="198"/>
      <c r="NF81" s="198"/>
      <c r="NG81" s="198"/>
      <c r="NH81" s="198"/>
      <c r="NI81" s="198"/>
      <c r="NJ81" s="198"/>
      <c r="NK81" s="198"/>
      <c r="NL81" s="198"/>
      <c r="NM81" s="198"/>
      <c r="NN81" s="198"/>
      <c r="NO81" s="198"/>
      <c r="NP81" s="198"/>
      <c r="NQ81" s="198"/>
      <c r="NR81" s="198"/>
      <c r="NS81" s="198"/>
      <c r="NT81" s="198"/>
      <c r="NU81" s="198"/>
      <c r="NV81" s="198"/>
      <c r="NW81" s="198"/>
      <c r="NX81" s="198"/>
      <c r="NY81" s="198"/>
      <c r="NZ81" s="198"/>
      <c r="OA81" s="198"/>
      <c r="OB81" s="198"/>
      <c r="OC81" s="198"/>
      <c r="OD81" s="198"/>
      <c r="OE81" s="198"/>
      <c r="OF81" s="198"/>
      <c r="OG81" s="198"/>
      <c r="OH81" s="198"/>
      <c r="OI81" s="198"/>
      <c r="OJ81" s="198"/>
      <c r="OK81" s="198"/>
      <c r="OL81" s="198"/>
      <c r="OM81" s="198"/>
      <c r="ON81" s="198"/>
      <c r="OO81" s="198"/>
      <c r="OP81" s="198"/>
      <c r="OQ81" s="198"/>
      <c r="OR81" s="198"/>
      <c r="OS81" s="198"/>
      <c r="OT81" s="198"/>
      <c r="OU81" s="198"/>
      <c r="OV81" s="198"/>
      <c r="OW81" s="198"/>
      <c r="OX81" s="198"/>
      <c r="OY81" s="198"/>
      <c r="OZ81" s="198"/>
      <c r="PA81" s="198"/>
      <c r="PB81" s="198"/>
      <c r="PC81" s="198"/>
      <c r="PD81" s="198"/>
      <c r="PE81" s="198"/>
      <c r="PF81" s="198"/>
      <c r="PG81" s="198"/>
      <c r="PH81" s="198"/>
      <c r="PI81" s="198"/>
      <c r="PJ81" s="198"/>
      <c r="PK81" s="198"/>
      <c r="PL81" s="198"/>
      <c r="PM81" s="198"/>
      <c r="PN81" s="198"/>
      <c r="PO81" s="198"/>
      <c r="PP81" s="198"/>
      <c r="PQ81" s="198"/>
      <c r="PR81" s="198"/>
      <c r="PS81" s="198"/>
      <c r="PT81" s="198"/>
      <c r="PU81" s="198"/>
      <c r="PV81" s="198"/>
      <c r="PW81" s="198"/>
      <c r="PX81" s="198"/>
      <c r="PY81" s="198"/>
      <c r="PZ81" s="198"/>
      <c r="QA81" s="198"/>
      <c r="QB81" s="198"/>
      <c r="QC81" s="198"/>
      <c r="QD81" s="198"/>
      <c r="QE81" s="198"/>
      <c r="QF81" s="198"/>
      <c r="QG81" s="198"/>
      <c r="QH81" s="198"/>
      <c r="QI81" s="198"/>
      <c r="QJ81" s="198"/>
      <c r="QK81" s="198"/>
      <c r="QL81" s="198"/>
      <c r="QM81" s="198"/>
      <c r="QN81" s="198"/>
      <c r="QO81" s="198"/>
      <c r="QP81" s="198"/>
      <c r="QQ81" s="198"/>
      <c r="QR81" s="198"/>
      <c r="QS81" s="198"/>
      <c r="QT81" s="198"/>
      <c r="QU81" s="198"/>
      <c r="QV81" s="198"/>
      <c r="QW81" s="198"/>
      <c r="QX81" s="198"/>
      <c r="QY81" s="198"/>
      <c r="QZ81" s="198"/>
      <c r="RA81" s="198"/>
      <c r="RB81" s="198"/>
      <c r="RC81" s="198"/>
      <c r="RD81" s="198"/>
      <c r="RE81" s="198"/>
      <c r="RF81" s="198"/>
      <c r="RG81" s="198"/>
      <c r="RH81" s="198"/>
      <c r="RI81" s="198"/>
      <c r="RJ81" s="198"/>
      <c r="RK81" s="198"/>
      <c r="RL81" s="198"/>
      <c r="RM81" s="198"/>
      <c r="RN81" s="198"/>
      <c r="RO81" s="198"/>
      <c r="RP81" s="198"/>
      <c r="RQ81" s="198"/>
      <c r="RR81" s="198"/>
      <c r="RS81" s="198"/>
      <c r="RT81" s="198"/>
      <c r="RU81" s="198"/>
      <c r="RV81" s="198"/>
      <c r="RW81" s="198"/>
      <c r="RX81" s="198"/>
      <c r="RY81" s="198"/>
      <c r="RZ81" s="198"/>
      <c r="SA81" s="198"/>
      <c r="SB81" s="198"/>
      <c r="SC81" s="198"/>
      <c r="SD81" s="198"/>
      <c r="SE81" s="198"/>
      <c r="SF81" s="198"/>
      <c r="SG81" s="198"/>
    </row>
    <row r="82" spans="1:501" ht="40.049999999999997" customHeight="1" thickBot="1" x14ac:dyDescent="0.35">
      <c r="A82" s="947" t="s">
        <v>233</v>
      </c>
      <c r="B82" s="958" t="s">
        <v>234</v>
      </c>
      <c r="C82" s="950" t="e">
        <f>'MANZ. A'!#REF!</f>
        <v>#REF!</v>
      </c>
      <c r="D82" s="861"/>
      <c r="E82" s="862">
        <f>'MANZ. B'!R83</f>
        <v>0</v>
      </c>
      <c r="F82" s="861"/>
      <c r="G82" s="863">
        <f>MANZ.C!AL80</f>
        <v>17</v>
      </c>
      <c r="H82" s="861"/>
      <c r="I82" s="863">
        <f>MANZ.D!Z80</f>
        <v>11</v>
      </c>
      <c r="J82" s="861"/>
      <c r="K82" s="862">
        <f>MANZ.E!AL81</f>
        <v>12</v>
      </c>
      <c r="L82" s="861"/>
      <c r="M82" s="863">
        <f>MANZ.F!AA80</f>
        <v>12</v>
      </c>
      <c r="N82" s="861"/>
      <c r="O82" s="862">
        <f>MANZ.G!AS81</f>
        <v>1</v>
      </c>
      <c r="P82" s="861"/>
      <c r="Q82" s="863">
        <f>MANZ.H!V81</f>
        <v>9</v>
      </c>
      <c r="R82" s="861"/>
      <c r="S82" s="862">
        <f>MANZ.I!AB79</f>
        <v>0</v>
      </c>
      <c r="T82" s="861"/>
      <c r="U82" s="862">
        <f>MANZ.J!AT84</f>
        <v>20</v>
      </c>
      <c r="V82" s="861"/>
      <c r="W82" s="862">
        <f>MANZ.K!AB81</f>
        <v>10</v>
      </c>
      <c r="X82" s="861"/>
      <c r="Y82" s="862">
        <f>MANZ.L!Z81</f>
        <v>7</v>
      </c>
      <c r="Z82" s="861"/>
      <c r="AA82" s="862"/>
      <c r="AB82" s="864"/>
      <c r="AC82" s="864"/>
      <c r="AD82" s="864"/>
      <c r="AE82" s="864"/>
      <c r="AF82" s="861"/>
      <c r="AG82" s="865" t="e">
        <f>SUM(C82:AA82)</f>
        <v>#REF!</v>
      </c>
      <c r="AH82" s="866"/>
      <c r="AI82" s="198"/>
      <c r="AJ82" s="198"/>
      <c r="AK82" s="198"/>
      <c r="AL82" s="198"/>
      <c r="AM82" s="198"/>
      <c r="AN82" s="198"/>
      <c r="AO82" s="198"/>
      <c r="AP82" s="198"/>
      <c r="AQ82" s="198"/>
      <c r="AR82" s="198"/>
      <c r="AS82" s="198"/>
      <c r="AT82" s="198"/>
      <c r="AU82" s="198"/>
      <c r="AV82" s="198"/>
      <c r="AW82" s="198"/>
      <c r="AX82" s="198"/>
      <c r="AY82" s="198"/>
      <c r="AZ82" s="198"/>
      <c r="BA82" s="198"/>
      <c r="BB82" s="198"/>
      <c r="BC82" s="198"/>
      <c r="BD82" s="198"/>
      <c r="BE82" s="198"/>
      <c r="BF82" s="198"/>
      <c r="BG82" s="198"/>
      <c r="BH82" s="198"/>
      <c r="BI82" s="198"/>
      <c r="BJ82" s="198"/>
      <c r="BK82" s="198"/>
      <c r="BL82" s="198"/>
      <c r="BM82" s="198"/>
      <c r="BN82" s="198"/>
      <c r="BO82" s="198"/>
      <c r="BP82" s="198"/>
      <c r="BQ82" s="198"/>
      <c r="BR82" s="198"/>
      <c r="BS82" s="198"/>
      <c r="BT82" s="198"/>
      <c r="BU82" s="198"/>
      <c r="BV82" s="198"/>
      <c r="BW82" s="198"/>
      <c r="BX82" s="198"/>
      <c r="BY82" s="198"/>
      <c r="BZ82" s="198"/>
      <c r="CA82" s="198"/>
      <c r="CB82" s="198"/>
      <c r="CC82" s="198"/>
      <c r="CD82" s="198"/>
      <c r="CE82" s="198"/>
      <c r="CF82" s="198"/>
      <c r="CG82" s="198"/>
      <c r="CH82" s="198"/>
      <c r="CI82" s="198"/>
      <c r="CJ82" s="198"/>
      <c r="CK82" s="198"/>
      <c r="CL82" s="198"/>
      <c r="CM82" s="198"/>
      <c r="CN82" s="198"/>
      <c r="CO82" s="198"/>
      <c r="CP82" s="198"/>
      <c r="CQ82" s="198"/>
      <c r="CR82" s="198"/>
      <c r="CS82" s="198"/>
      <c r="CT82" s="198"/>
      <c r="CU82" s="198"/>
      <c r="CV82" s="198"/>
      <c r="CW82" s="198"/>
      <c r="CX82" s="198"/>
      <c r="CY82" s="198"/>
      <c r="CZ82" s="198"/>
      <c r="DA82" s="198"/>
      <c r="DB82" s="198"/>
      <c r="DC82" s="198"/>
      <c r="DD82" s="198"/>
      <c r="DE82" s="198"/>
      <c r="DF82" s="198"/>
      <c r="DG82" s="198"/>
      <c r="DH82" s="198"/>
      <c r="DI82" s="198"/>
      <c r="DJ82" s="198"/>
      <c r="DK82" s="198"/>
      <c r="DL82" s="198"/>
      <c r="DM82" s="198"/>
      <c r="DN82" s="198"/>
      <c r="DO82" s="198"/>
      <c r="DP82" s="198"/>
      <c r="DQ82" s="198"/>
      <c r="DR82" s="198"/>
      <c r="DS82" s="198"/>
      <c r="DT82" s="198"/>
      <c r="DU82" s="198"/>
      <c r="DV82" s="198"/>
      <c r="DW82" s="198"/>
      <c r="DX82" s="198"/>
      <c r="DY82" s="198"/>
      <c r="DZ82" s="198"/>
      <c r="EA82" s="198"/>
      <c r="EB82" s="198"/>
      <c r="EC82" s="198"/>
      <c r="ED82" s="198"/>
      <c r="EE82" s="198"/>
      <c r="EF82" s="198"/>
      <c r="EG82" s="198"/>
      <c r="EH82" s="198"/>
      <c r="EI82" s="198"/>
      <c r="EJ82" s="198"/>
      <c r="EK82" s="198"/>
      <c r="EL82" s="198"/>
      <c r="EM82" s="198"/>
      <c r="EN82" s="198"/>
      <c r="EO82" s="198"/>
      <c r="EP82" s="198"/>
      <c r="EQ82" s="198"/>
      <c r="ER82" s="198"/>
      <c r="ES82" s="198"/>
      <c r="ET82" s="198"/>
      <c r="EU82" s="198"/>
      <c r="EV82" s="198"/>
      <c r="EW82" s="198"/>
      <c r="EX82" s="198"/>
      <c r="EY82" s="198"/>
      <c r="EZ82" s="198"/>
      <c r="FA82" s="198"/>
      <c r="FB82" s="198"/>
      <c r="FC82" s="198"/>
      <c r="FD82" s="198"/>
      <c r="FE82" s="198"/>
      <c r="FF82" s="198"/>
      <c r="FG82" s="198"/>
      <c r="FH82" s="198"/>
      <c r="FI82" s="198"/>
      <c r="FJ82" s="198"/>
      <c r="FK82" s="198"/>
      <c r="FL82" s="198"/>
      <c r="FM82" s="198"/>
      <c r="FN82" s="198"/>
      <c r="FO82" s="198"/>
      <c r="FP82" s="198"/>
      <c r="FQ82" s="198"/>
      <c r="FR82" s="198"/>
      <c r="FS82" s="198"/>
      <c r="FT82" s="198"/>
      <c r="FU82" s="198"/>
      <c r="FV82" s="198"/>
      <c r="FW82" s="198"/>
      <c r="FX82" s="198"/>
      <c r="FY82" s="198"/>
      <c r="FZ82" s="198"/>
      <c r="GA82" s="198"/>
      <c r="GB82" s="198"/>
      <c r="GC82" s="198"/>
      <c r="GD82" s="198"/>
      <c r="GE82" s="198"/>
      <c r="GF82" s="198"/>
      <c r="GG82" s="198"/>
      <c r="GH82" s="198"/>
      <c r="GI82" s="198"/>
      <c r="GJ82" s="198"/>
      <c r="GK82" s="198"/>
      <c r="GL82" s="198"/>
      <c r="GM82" s="198"/>
      <c r="GN82" s="198"/>
      <c r="GO82" s="198"/>
      <c r="GP82" s="198"/>
      <c r="GQ82" s="198"/>
      <c r="GR82" s="198"/>
      <c r="GS82" s="198"/>
      <c r="GT82" s="198"/>
      <c r="GU82" s="198"/>
      <c r="GV82" s="198"/>
      <c r="GW82" s="198"/>
      <c r="GX82" s="198"/>
      <c r="GY82" s="198"/>
      <c r="GZ82" s="198"/>
      <c r="HA82" s="198"/>
      <c r="HB82" s="198"/>
      <c r="HC82" s="198"/>
      <c r="HD82" s="198"/>
      <c r="HE82" s="198"/>
      <c r="HF82" s="198"/>
      <c r="HG82" s="198"/>
      <c r="HH82" s="198"/>
      <c r="HI82" s="198"/>
      <c r="HJ82" s="198"/>
      <c r="HK82" s="198"/>
      <c r="HL82" s="198"/>
      <c r="HM82" s="198"/>
      <c r="HN82" s="198"/>
      <c r="HO82" s="198"/>
      <c r="HP82" s="198"/>
      <c r="HQ82" s="198"/>
      <c r="HR82" s="198"/>
      <c r="HS82" s="198"/>
      <c r="HT82" s="198"/>
      <c r="HU82" s="198"/>
      <c r="HV82" s="198"/>
      <c r="HW82" s="198"/>
      <c r="HX82" s="198"/>
      <c r="HY82" s="198"/>
      <c r="HZ82" s="198"/>
      <c r="IA82" s="198"/>
      <c r="IB82" s="198"/>
      <c r="IC82" s="198"/>
      <c r="ID82" s="198"/>
      <c r="IE82" s="198"/>
      <c r="IF82" s="198"/>
      <c r="IG82" s="198"/>
      <c r="IH82" s="198"/>
      <c r="II82" s="198"/>
      <c r="IJ82" s="198"/>
      <c r="IK82" s="198"/>
      <c r="IL82" s="198"/>
      <c r="IM82" s="198"/>
      <c r="IN82" s="198"/>
      <c r="IO82" s="198"/>
      <c r="IP82" s="198"/>
      <c r="IQ82" s="198"/>
      <c r="IR82" s="198"/>
      <c r="IS82" s="198"/>
      <c r="IT82" s="198"/>
      <c r="IU82" s="198"/>
      <c r="IV82" s="198"/>
      <c r="IW82" s="198"/>
      <c r="IX82" s="198"/>
      <c r="IY82" s="198"/>
      <c r="IZ82" s="198"/>
      <c r="JA82" s="198"/>
      <c r="JB82" s="198"/>
      <c r="JC82" s="198"/>
      <c r="JD82" s="198"/>
      <c r="JE82" s="198"/>
      <c r="JF82" s="198"/>
      <c r="JG82" s="198"/>
      <c r="JH82" s="198"/>
      <c r="JI82" s="198"/>
      <c r="JJ82" s="198"/>
      <c r="JK82" s="198"/>
      <c r="JL82" s="198"/>
      <c r="JM82" s="198"/>
      <c r="JN82" s="198"/>
      <c r="JO82" s="198"/>
      <c r="JP82" s="198"/>
      <c r="JQ82" s="198"/>
      <c r="JR82" s="198"/>
      <c r="JS82" s="198"/>
      <c r="JT82" s="198"/>
      <c r="JU82" s="198"/>
      <c r="JV82" s="198"/>
      <c r="JW82" s="198"/>
      <c r="JX82" s="198"/>
      <c r="JY82" s="198"/>
      <c r="JZ82" s="198"/>
      <c r="KA82" s="198"/>
      <c r="KB82" s="198"/>
      <c r="KC82" s="198"/>
      <c r="KD82" s="198"/>
      <c r="KE82" s="198"/>
      <c r="KF82" s="198"/>
      <c r="KG82" s="198"/>
      <c r="KH82" s="198"/>
      <c r="KI82" s="198"/>
      <c r="KJ82" s="198"/>
      <c r="KK82" s="198"/>
      <c r="KL82" s="198"/>
      <c r="KM82" s="198"/>
      <c r="KN82" s="198"/>
      <c r="KO82" s="198"/>
      <c r="KP82" s="198"/>
      <c r="KQ82" s="198"/>
      <c r="KR82" s="198"/>
      <c r="KS82" s="198"/>
      <c r="KT82" s="198"/>
      <c r="KU82" s="198"/>
      <c r="KV82" s="198"/>
      <c r="KW82" s="198"/>
      <c r="KX82" s="198"/>
      <c r="KY82" s="198"/>
      <c r="KZ82" s="198"/>
      <c r="LA82" s="198"/>
      <c r="LB82" s="198"/>
      <c r="LC82" s="198"/>
      <c r="LD82" s="198"/>
      <c r="LE82" s="198"/>
      <c r="LF82" s="198"/>
      <c r="LG82" s="198"/>
      <c r="LH82" s="198"/>
      <c r="LI82" s="198"/>
      <c r="LJ82" s="198"/>
      <c r="LK82" s="198"/>
      <c r="LL82" s="198"/>
      <c r="LM82" s="198"/>
      <c r="LN82" s="198"/>
      <c r="LO82" s="198"/>
      <c r="LP82" s="198"/>
      <c r="LQ82" s="198"/>
      <c r="LR82" s="198"/>
      <c r="LS82" s="198"/>
      <c r="LT82" s="198"/>
      <c r="LU82" s="198"/>
      <c r="LV82" s="198"/>
      <c r="LW82" s="198"/>
      <c r="LX82" s="198"/>
      <c r="LY82" s="198"/>
      <c r="LZ82" s="198"/>
      <c r="MA82" s="198"/>
      <c r="MB82" s="198"/>
      <c r="MC82" s="198"/>
      <c r="MD82" s="198"/>
      <c r="ME82" s="198"/>
      <c r="MF82" s="198"/>
      <c r="MG82" s="198"/>
      <c r="MH82" s="198"/>
      <c r="MI82" s="198"/>
      <c r="MJ82" s="198"/>
      <c r="MK82" s="198"/>
      <c r="ML82" s="198"/>
      <c r="MM82" s="198"/>
      <c r="MN82" s="198"/>
      <c r="MO82" s="198"/>
      <c r="MP82" s="198"/>
      <c r="MQ82" s="198"/>
      <c r="MR82" s="198"/>
      <c r="MS82" s="198"/>
      <c r="MT82" s="198"/>
      <c r="MU82" s="198"/>
      <c r="MV82" s="198"/>
      <c r="MW82" s="198"/>
      <c r="MX82" s="198"/>
      <c r="MY82" s="198"/>
      <c r="MZ82" s="198"/>
      <c r="NA82" s="198"/>
      <c r="NB82" s="198"/>
      <c r="NC82" s="198"/>
      <c r="ND82" s="198"/>
      <c r="NE82" s="198"/>
      <c r="NF82" s="198"/>
      <c r="NG82" s="198"/>
      <c r="NH82" s="198"/>
      <c r="NI82" s="198"/>
      <c r="NJ82" s="198"/>
      <c r="NK82" s="198"/>
      <c r="NL82" s="198"/>
      <c r="NM82" s="198"/>
      <c r="NN82" s="198"/>
      <c r="NO82" s="198"/>
      <c r="NP82" s="198"/>
      <c r="NQ82" s="198"/>
      <c r="NR82" s="198"/>
      <c r="NS82" s="198"/>
      <c r="NT82" s="198"/>
      <c r="NU82" s="198"/>
      <c r="NV82" s="198"/>
      <c r="NW82" s="198"/>
      <c r="NX82" s="198"/>
      <c r="NY82" s="198"/>
      <c r="NZ82" s="198"/>
      <c r="OA82" s="198"/>
      <c r="OB82" s="198"/>
      <c r="OC82" s="198"/>
      <c r="OD82" s="198"/>
      <c r="OE82" s="198"/>
      <c r="OF82" s="198"/>
      <c r="OG82" s="198"/>
      <c r="OH82" s="198"/>
      <c r="OI82" s="198"/>
      <c r="OJ82" s="198"/>
      <c r="OK82" s="198"/>
      <c r="OL82" s="198"/>
      <c r="OM82" s="198"/>
      <c r="ON82" s="198"/>
      <c r="OO82" s="198"/>
      <c r="OP82" s="198"/>
      <c r="OQ82" s="198"/>
      <c r="OR82" s="198"/>
      <c r="OS82" s="198"/>
      <c r="OT82" s="198"/>
      <c r="OU82" s="198"/>
      <c r="OV82" s="198"/>
      <c r="OW82" s="198"/>
      <c r="OX82" s="198"/>
      <c r="OY82" s="198"/>
      <c r="OZ82" s="198"/>
      <c r="PA82" s="198"/>
      <c r="PB82" s="198"/>
      <c r="PC82" s="198"/>
      <c r="PD82" s="198"/>
      <c r="PE82" s="198"/>
      <c r="PF82" s="198"/>
      <c r="PG82" s="198"/>
      <c r="PH82" s="198"/>
      <c r="PI82" s="198"/>
      <c r="PJ82" s="198"/>
      <c r="PK82" s="198"/>
      <c r="PL82" s="198"/>
      <c r="PM82" s="198"/>
      <c r="PN82" s="198"/>
      <c r="PO82" s="198"/>
      <c r="PP82" s="198"/>
      <c r="PQ82" s="198"/>
      <c r="PR82" s="198"/>
      <c r="PS82" s="198"/>
      <c r="PT82" s="198"/>
      <c r="PU82" s="198"/>
      <c r="PV82" s="198"/>
      <c r="PW82" s="198"/>
      <c r="PX82" s="198"/>
      <c r="PY82" s="198"/>
      <c r="PZ82" s="198"/>
      <c r="QA82" s="198"/>
      <c r="QB82" s="198"/>
      <c r="QC82" s="198"/>
      <c r="QD82" s="198"/>
      <c r="QE82" s="198"/>
      <c r="QF82" s="198"/>
      <c r="QG82" s="198"/>
      <c r="QH82" s="198"/>
      <c r="QI82" s="198"/>
      <c r="QJ82" s="198"/>
      <c r="QK82" s="198"/>
      <c r="QL82" s="198"/>
      <c r="QM82" s="198"/>
      <c r="QN82" s="198"/>
      <c r="QO82" s="198"/>
      <c r="QP82" s="198"/>
      <c r="QQ82" s="198"/>
      <c r="QR82" s="198"/>
      <c r="QS82" s="198"/>
      <c r="QT82" s="198"/>
      <c r="QU82" s="198"/>
      <c r="QV82" s="198"/>
      <c r="QW82" s="198"/>
      <c r="QX82" s="198"/>
      <c r="QY82" s="198"/>
      <c r="QZ82" s="198"/>
      <c r="RA82" s="198"/>
      <c r="RB82" s="198"/>
      <c r="RC82" s="198"/>
      <c r="RD82" s="198"/>
      <c r="RE82" s="198"/>
      <c r="RF82" s="198"/>
      <c r="RG82" s="198"/>
      <c r="RH82" s="198"/>
      <c r="RI82" s="198"/>
      <c r="RJ82" s="198"/>
      <c r="RK82" s="198"/>
      <c r="RL82" s="198"/>
      <c r="RM82" s="198"/>
      <c r="RN82" s="198"/>
      <c r="RO82" s="198"/>
      <c r="RP82" s="198"/>
      <c r="RQ82" s="198"/>
      <c r="RR82" s="198"/>
      <c r="RS82" s="198"/>
      <c r="RT82" s="198"/>
      <c r="RU82" s="198"/>
      <c r="RV82" s="198"/>
      <c r="RW82" s="198"/>
      <c r="RX82" s="198"/>
      <c r="RY82" s="198"/>
      <c r="RZ82" s="198"/>
      <c r="SA82" s="198"/>
      <c r="SB82" s="198"/>
      <c r="SC82" s="198"/>
      <c r="SD82" s="198"/>
      <c r="SE82" s="198"/>
      <c r="SF82" s="198"/>
      <c r="SG82" s="198"/>
    </row>
    <row r="83" spans="1:501" ht="40.049999999999997" customHeight="1" x14ac:dyDescent="0.5">
      <c r="A83" s="964" t="s">
        <v>235</v>
      </c>
      <c r="B83" s="965" t="s">
        <v>236</v>
      </c>
      <c r="C83" s="944"/>
      <c r="D83" s="944"/>
      <c r="E83" s="944"/>
      <c r="F83" s="944"/>
      <c r="G83" s="944"/>
      <c r="H83" s="944"/>
      <c r="I83" s="944"/>
      <c r="J83" s="944"/>
      <c r="K83" s="944"/>
      <c r="L83" s="944"/>
      <c r="M83" s="944"/>
      <c r="N83" s="944"/>
      <c r="O83" s="944"/>
      <c r="P83" s="944"/>
      <c r="Q83" s="944"/>
      <c r="R83" s="944"/>
      <c r="S83" s="944"/>
      <c r="T83" s="944"/>
      <c r="U83" s="944"/>
      <c r="V83" s="944"/>
      <c r="W83" s="944"/>
      <c r="X83" s="944"/>
      <c r="Y83" s="944"/>
      <c r="Z83" s="944"/>
      <c r="AA83" s="944"/>
      <c r="AB83" s="944"/>
      <c r="AC83" s="944"/>
      <c r="AD83" s="944"/>
      <c r="AE83" s="944"/>
      <c r="AF83" s="944"/>
      <c r="AG83" s="944"/>
      <c r="AH83" s="945"/>
    </row>
    <row r="84" spans="1:501" ht="40.049999999999997" customHeight="1" x14ac:dyDescent="0.3">
      <c r="A84" s="543" t="s">
        <v>237</v>
      </c>
      <c r="B84" s="956" t="s">
        <v>238</v>
      </c>
      <c r="C84" s="950"/>
      <c r="D84" s="861"/>
      <c r="E84" s="862"/>
      <c r="F84" s="861"/>
      <c r="G84" s="862"/>
      <c r="H84" s="861"/>
      <c r="I84" s="862"/>
      <c r="J84" s="861"/>
      <c r="K84" s="862"/>
      <c r="L84" s="861"/>
      <c r="M84" s="862"/>
      <c r="N84" s="861"/>
      <c r="O84" s="862"/>
      <c r="P84" s="861"/>
      <c r="Q84" s="862"/>
      <c r="R84" s="861"/>
      <c r="S84" s="862"/>
      <c r="T84" s="861"/>
      <c r="U84" s="862"/>
      <c r="V84" s="861"/>
      <c r="W84" s="862"/>
      <c r="X84" s="861"/>
      <c r="Y84" s="862"/>
      <c r="Z84" s="861"/>
      <c r="AA84" s="862"/>
      <c r="AB84" s="864"/>
      <c r="AC84" s="864"/>
      <c r="AD84" s="864"/>
      <c r="AE84" s="864"/>
      <c r="AF84" s="861"/>
      <c r="AG84" s="865"/>
      <c r="AH84" s="866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  <c r="AS84" s="198"/>
      <c r="AT84" s="198"/>
      <c r="AU84" s="198"/>
      <c r="AV84" s="198"/>
      <c r="AW84" s="198"/>
      <c r="AX84" s="198"/>
      <c r="AY84" s="198"/>
      <c r="AZ84" s="198"/>
      <c r="BA84" s="198"/>
      <c r="BB84" s="198"/>
      <c r="BC84" s="198"/>
      <c r="BD84" s="198"/>
      <c r="BE84" s="198"/>
      <c r="BF84" s="198"/>
      <c r="BG84" s="198"/>
      <c r="BH84" s="198"/>
      <c r="BI84" s="198"/>
      <c r="BJ84" s="198"/>
      <c r="BK84" s="198"/>
      <c r="BL84" s="198"/>
      <c r="BM84" s="198"/>
      <c r="BN84" s="198"/>
      <c r="BO84" s="198"/>
      <c r="BP84" s="198"/>
      <c r="BQ84" s="198"/>
      <c r="BR84" s="198"/>
      <c r="BS84" s="198"/>
      <c r="BT84" s="198"/>
      <c r="BU84" s="198"/>
      <c r="BV84" s="198"/>
      <c r="BW84" s="198"/>
      <c r="BX84" s="198"/>
      <c r="BY84" s="198"/>
      <c r="BZ84" s="198"/>
      <c r="CA84" s="198"/>
      <c r="CB84" s="198"/>
      <c r="CC84" s="198"/>
      <c r="CD84" s="198"/>
      <c r="CE84" s="198"/>
      <c r="CF84" s="198"/>
      <c r="CG84" s="198"/>
      <c r="CH84" s="198"/>
      <c r="CI84" s="198"/>
      <c r="CJ84" s="198"/>
      <c r="CK84" s="198"/>
      <c r="CL84" s="198"/>
      <c r="CM84" s="198"/>
      <c r="CN84" s="198"/>
      <c r="CO84" s="198"/>
      <c r="CP84" s="198"/>
      <c r="CQ84" s="198"/>
      <c r="CR84" s="198"/>
      <c r="CS84" s="198"/>
      <c r="CT84" s="198"/>
      <c r="CU84" s="198"/>
      <c r="CV84" s="198"/>
      <c r="CW84" s="198"/>
      <c r="CX84" s="198"/>
      <c r="CY84" s="198"/>
      <c r="CZ84" s="198"/>
      <c r="DA84" s="198"/>
      <c r="DB84" s="198"/>
      <c r="DC84" s="198"/>
      <c r="DD84" s="198"/>
      <c r="DE84" s="198"/>
      <c r="DF84" s="198"/>
      <c r="DG84" s="198"/>
      <c r="DH84" s="198"/>
      <c r="DI84" s="198"/>
      <c r="DJ84" s="198"/>
      <c r="DK84" s="198"/>
      <c r="DL84" s="198"/>
      <c r="DM84" s="198"/>
      <c r="DN84" s="198"/>
      <c r="DO84" s="198"/>
      <c r="DP84" s="198"/>
      <c r="DQ84" s="198"/>
      <c r="DR84" s="198"/>
      <c r="DS84" s="198"/>
      <c r="DT84" s="198"/>
      <c r="DU84" s="198"/>
      <c r="DV84" s="198"/>
      <c r="DW84" s="198"/>
      <c r="DX84" s="198"/>
      <c r="DY84" s="198"/>
      <c r="DZ84" s="198"/>
      <c r="EA84" s="198"/>
      <c r="EB84" s="198"/>
      <c r="EC84" s="198"/>
      <c r="ED84" s="198"/>
      <c r="EE84" s="198"/>
      <c r="EF84" s="198"/>
      <c r="EG84" s="198"/>
      <c r="EH84" s="198"/>
      <c r="EI84" s="198"/>
      <c r="EJ84" s="198"/>
      <c r="EK84" s="198"/>
      <c r="EL84" s="198"/>
      <c r="EM84" s="198"/>
      <c r="EN84" s="198"/>
      <c r="EO84" s="198"/>
      <c r="EP84" s="198"/>
      <c r="EQ84" s="198"/>
      <c r="ER84" s="198"/>
      <c r="ES84" s="198"/>
      <c r="ET84" s="198"/>
      <c r="EU84" s="198"/>
      <c r="EV84" s="198"/>
      <c r="EW84" s="198"/>
      <c r="EX84" s="198"/>
      <c r="EY84" s="198"/>
      <c r="EZ84" s="198"/>
      <c r="FA84" s="198"/>
      <c r="FB84" s="198"/>
      <c r="FC84" s="198"/>
      <c r="FD84" s="198"/>
      <c r="FE84" s="198"/>
      <c r="FF84" s="198"/>
      <c r="FG84" s="198"/>
      <c r="FH84" s="198"/>
      <c r="FI84" s="198"/>
      <c r="FJ84" s="198"/>
      <c r="FK84" s="198"/>
      <c r="FL84" s="198"/>
      <c r="FM84" s="198"/>
      <c r="FN84" s="198"/>
      <c r="FO84" s="198"/>
      <c r="FP84" s="198"/>
      <c r="FQ84" s="198"/>
      <c r="FR84" s="198"/>
      <c r="FS84" s="198"/>
      <c r="FT84" s="198"/>
      <c r="FU84" s="198"/>
      <c r="FV84" s="198"/>
      <c r="FW84" s="198"/>
      <c r="FX84" s="198"/>
      <c r="FY84" s="198"/>
      <c r="FZ84" s="198"/>
      <c r="GA84" s="198"/>
      <c r="GB84" s="198"/>
      <c r="GC84" s="198"/>
      <c r="GD84" s="198"/>
      <c r="GE84" s="198"/>
      <c r="GF84" s="198"/>
      <c r="GG84" s="198"/>
      <c r="GH84" s="198"/>
      <c r="GI84" s="198"/>
      <c r="GJ84" s="198"/>
      <c r="GK84" s="198"/>
      <c r="GL84" s="198"/>
      <c r="GM84" s="198"/>
      <c r="GN84" s="198"/>
      <c r="GO84" s="198"/>
      <c r="GP84" s="198"/>
      <c r="GQ84" s="198"/>
      <c r="GR84" s="198"/>
      <c r="GS84" s="198"/>
      <c r="GT84" s="198"/>
      <c r="GU84" s="198"/>
      <c r="GV84" s="198"/>
      <c r="GW84" s="198"/>
      <c r="GX84" s="198"/>
      <c r="GY84" s="198"/>
      <c r="GZ84" s="198"/>
      <c r="HA84" s="198"/>
      <c r="HB84" s="198"/>
      <c r="HC84" s="198"/>
      <c r="HD84" s="198"/>
      <c r="HE84" s="198"/>
      <c r="HF84" s="198"/>
      <c r="HG84" s="198"/>
      <c r="HH84" s="198"/>
      <c r="HI84" s="198"/>
      <c r="HJ84" s="198"/>
      <c r="HK84" s="198"/>
      <c r="HL84" s="198"/>
      <c r="HM84" s="198"/>
      <c r="HN84" s="198"/>
      <c r="HO84" s="198"/>
      <c r="HP84" s="198"/>
      <c r="HQ84" s="198"/>
      <c r="HR84" s="198"/>
      <c r="HS84" s="198"/>
      <c r="HT84" s="198"/>
      <c r="HU84" s="198"/>
      <c r="HV84" s="198"/>
      <c r="HW84" s="198"/>
      <c r="HX84" s="198"/>
      <c r="HY84" s="198"/>
      <c r="HZ84" s="198"/>
      <c r="IA84" s="198"/>
      <c r="IB84" s="198"/>
      <c r="IC84" s="198"/>
      <c r="ID84" s="198"/>
      <c r="IE84" s="198"/>
      <c r="IF84" s="198"/>
      <c r="IG84" s="198"/>
      <c r="IH84" s="198"/>
      <c r="II84" s="198"/>
      <c r="IJ84" s="198"/>
      <c r="IK84" s="198"/>
      <c r="IL84" s="198"/>
      <c r="IM84" s="198"/>
      <c r="IN84" s="198"/>
      <c r="IO84" s="198"/>
      <c r="IP84" s="198"/>
      <c r="IQ84" s="198"/>
      <c r="IR84" s="198"/>
      <c r="IS84" s="198"/>
      <c r="IT84" s="198"/>
      <c r="IU84" s="198"/>
      <c r="IV84" s="198"/>
      <c r="IW84" s="198"/>
      <c r="IX84" s="198"/>
      <c r="IY84" s="198"/>
      <c r="IZ84" s="198"/>
      <c r="JA84" s="198"/>
      <c r="JB84" s="198"/>
      <c r="JC84" s="198"/>
      <c r="JD84" s="198"/>
      <c r="JE84" s="198"/>
      <c r="JF84" s="198"/>
      <c r="JG84" s="198"/>
      <c r="JH84" s="198"/>
      <c r="JI84" s="198"/>
      <c r="JJ84" s="198"/>
      <c r="JK84" s="198"/>
      <c r="JL84" s="198"/>
      <c r="JM84" s="198"/>
      <c r="JN84" s="198"/>
      <c r="JO84" s="198"/>
      <c r="JP84" s="198"/>
      <c r="JQ84" s="198"/>
      <c r="JR84" s="198"/>
      <c r="JS84" s="198"/>
      <c r="JT84" s="198"/>
      <c r="JU84" s="198"/>
      <c r="JV84" s="198"/>
      <c r="JW84" s="198"/>
      <c r="JX84" s="198"/>
      <c r="JY84" s="198"/>
      <c r="JZ84" s="198"/>
      <c r="KA84" s="198"/>
      <c r="KB84" s="198"/>
      <c r="KC84" s="198"/>
      <c r="KD84" s="198"/>
      <c r="KE84" s="198"/>
      <c r="KF84" s="198"/>
      <c r="KG84" s="198"/>
      <c r="KH84" s="198"/>
      <c r="KI84" s="198"/>
      <c r="KJ84" s="198"/>
      <c r="KK84" s="198"/>
      <c r="KL84" s="198"/>
      <c r="KM84" s="198"/>
      <c r="KN84" s="198"/>
      <c r="KO84" s="198"/>
      <c r="KP84" s="198"/>
      <c r="KQ84" s="198"/>
      <c r="KR84" s="198"/>
      <c r="KS84" s="198"/>
      <c r="KT84" s="198"/>
      <c r="KU84" s="198"/>
      <c r="KV84" s="198"/>
      <c r="KW84" s="198"/>
      <c r="KX84" s="198"/>
      <c r="KY84" s="198"/>
      <c r="KZ84" s="198"/>
      <c r="LA84" s="198"/>
      <c r="LB84" s="198"/>
      <c r="LC84" s="198"/>
      <c r="LD84" s="198"/>
      <c r="LE84" s="198"/>
      <c r="LF84" s="198"/>
      <c r="LG84" s="198"/>
      <c r="LH84" s="198"/>
      <c r="LI84" s="198"/>
      <c r="LJ84" s="198"/>
      <c r="LK84" s="198"/>
      <c r="LL84" s="198"/>
      <c r="LM84" s="198"/>
      <c r="LN84" s="198"/>
      <c r="LO84" s="198"/>
      <c r="LP84" s="198"/>
      <c r="LQ84" s="198"/>
      <c r="LR84" s="198"/>
      <c r="LS84" s="198"/>
      <c r="LT84" s="198"/>
      <c r="LU84" s="198"/>
      <c r="LV84" s="198"/>
      <c r="LW84" s="198"/>
      <c r="LX84" s="198"/>
      <c r="LY84" s="198"/>
      <c r="LZ84" s="198"/>
      <c r="MA84" s="198"/>
      <c r="MB84" s="198"/>
      <c r="MC84" s="198"/>
      <c r="MD84" s="198"/>
      <c r="ME84" s="198"/>
      <c r="MF84" s="198"/>
      <c r="MG84" s="198"/>
      <c r="MH84" s="198"/>
      <c r="MI84" s="198"/>
      <c r="MJ84" s="198"/>
      <c r="MK84" s="198"/>
      <c r="ML84" s="198"/>
      <c r="MM84" s="198"/>
      <c r="MN84" s="198"/>
      <c r="MO84" s="198"/>
      <c r="MP84" s="198"/>
      <c r="MQ84" s="198"/>
      <c r="MR84" s="198"/>
      <c r="MS84" s="198"/>
      <c r="MT84" s="198"/>
      <c r="MU84" s="198"/>
      <c r="MV84" s="198"/>
      <c r="MW84" s="198"/>
      <c r="MX84" s="198"/>
      <c r="MY84" s="198"/>
      <c r="MZ84" s="198"/>
      <c r="NA84" s="198"/>
      <c r="NB84" s="198"/>
      <c r="NC84" s="198"/>
      <c r="ND84" s="198"/>
      <c r="NE84" s="198"/>
      <c r="NF84" s="198"/>
      <c r="NG84" s="198"/>
      <c r="NH84" s="198"/>
      <c r="NI84" s="198"/>
      <c r="NJ84" s="198"/>
      <c r="NK84" s="198"/>
      <c r="NL84" s="198"/>
      <c r="NM84" s="198"/>
      <c r="NN84" s="198"/>
      <c r="NO84" s="198"/>
      <c r="NP84" s="198"/>
      <c r="NQ84" s="198"/>
      <c r="NR84" s="198"/>
      <c r="NS84" s="198"/>
      <c r="NT84" s="198"/>
      <c r="NU84" s="198"/>
      <c r="NV84" s="198"/>
      <c r="NW84" s="198"/>
      <c r="NX84" s="198"/>
      <c r="NY84" s="198"/>
      <c r="NZ84" s="198"/>
      <c r="OA84" s="198"/>
      <c r="OB84" s="198"/>
      <c r="OC84" s="198"/>
      <c r="OD84" s="198"/>
      <c r="OE84" s="198"/>
      <c r="OF84" s="198"/>
      <c r="OG84" s="198"/>
      <c r="OH84" s="198"/>
      <c r="OI84" s="198"/>
      <c r="OJ84" s="198"/>
      <c r="OK84" s="198"/>
      <c r="OL84" s="198"/>
      <c r="OM84" s="198"/>
      <c r="ON84" s="198"/>
      <c r="OO84" s="198"/>
      <c r="OP84" s="198"/>
      <c r="OQ84" s="198"/>
      <c r="OR84" s="198"/>
      <c r="OS84" s="198"/>
      <c r="OT84" s="198"/>
      <c r="OU84" s="198"/>
      <c r="OV84" s="198"/>
      <c r="OW84" s="198"/>
      <c r="OX84" s="198"/>
      <c r="OY84" s="198"/>
      <c r="OZ84" s="198"/>
      <c r="PA84" s="198"/>
      <c r="PB84" s="198"/>
      <c r="PC84" s="198"/>
      <c r="PD84" s="198"/>
      <c r="PE84" s="198"/>
      <c r="PF84" s="198"/>
      <c r="PG84" s="198"/>
      <c r="PH84" s="198"/>
      <c r="PI84" s="198"/>
      <c r="PJ84" s="198"/>
      <c r="PK84" s="198"/>
      <c r="PL84" s="198"/>
      <c r="PM84" s="198"/>
      <c r="PN84" s="198"/>
      <c r="PO84" s="198"/>
      <c r="PP84" s="198"/>
      <c r="PQ84" s="198"/>
      <c r="PR84" s="198"/>
      <c r="PS84" s="198"/>
      <c r="PT84" s="198"/>
      <c r="PU84" s="198"/>
      <c r="PV84" s="198"/>
      <c r="PW84" s="198"/>
      <c r="PX84" s="198"/>
      <c r="PY84" s="198"/>
      <c r="PZ84" s="198"/>
      <c r="QA84" s="198"/>
      <c r="QB84" s="198"/>
      <c r="QC84" s="198"/>
      <c r="QD84" s="198"/>
      <c r="QE84" s="198"/>
      <c r="QF84" s="198"/>
      <c r="QG84" s="198"/>
      <c r="QH84" s="198"/>
      <c r="QI84" s="198"/>
      <c r="QJ84" s="198"/>
      <c r="QK84" s="198"/>
      <c r="QL84" s="198"/>
      <c r="QM84" s="198"/>
      <c r="QN84" s="198"/>
      <c r="QO84" s="198"/>
      <c r="QP84" s="198"/>
      <c r="QQ84" s="198"/>
      <c r="QR84" s="198"/>
      <c r="QS84" s="198"/>
      <c r="QT84" s="198"/>
      <c r="QU84" s="198"/>
      <c r="QV84" s="198"/>
      <c r="QW84" s="198"/>
      <c r="QX84" s="198"/>
      <c r="QY84" s="198"/>
      <c r="QZ84" s="198"/>
      <c r="RA84" s="198"/>
      <c r="RB84" s="198"/>
      <c r="RC84" s="198"/>
      <c r="RD84" s="198"/>
      <c r="RE84" s="198"/>
      <c r="RF84" s="198"/>
      <c r="RG84" s="198"/>
      <c r="RH84" s="198"/>
      <c r="RI84" s="198"/>
      <c r="RJ84" s="198"/>
      <c r="RK84" s="198"/>
      <c r="RL84" s="198"/>
      <c r="RM84" s="198"/>
      <c r="RN84" s="198"/>
      <c r="RO84" s="198"/>
      <c r="RP84" s="198"/>
      <c r="RQ84" s="198"/>
      <c r="RR84" s="198"/>
      <c r="RS84" s="198"/>
      <c r="RT84" s="198"/>
      <c r="RU84" s="198"/>
      <c r="RV84" s="198"/>
      <c r="RW84" s="198"/>
      <c r="RX84" s="198"/>
      <c r="RY84" s="198"/>
      <c r="RZ84" s="198"/>
      <c r="SA84" s="198"/>
      <c r="SB84" s="198"/>
      <c r="SC84" s="198"/>
      <c r="SD84" s="198"/>
      <c r="SE84" s="198"/>
      <c r="SF84" s="198"/>
      <c r="SG84" s="198"/>
    </row>
    <row r="85" spans="1:501" ht="40.049999999999997" customHeight="1" x14ac:dyDescent="0.3">
      <c r="A85" s="541" t="s">
        <v>239</v>
      </c>
      <c r="B85" s="952" t="s">
        <v>139</v>
      </c>
      <c r="C85" s="950"/>
      <c r="D85" s="861"/>
      <c r="E85" s="862"/>
      <c r="F85" s="861"/>
      <c r="G85" s="863">
        <f>MANZ.C!AL86</f>
        <v>17</v>
      </c>
      <c r="H85" s="861"/>
      <c r="I85" s="862"/>
      <c r="J85" s="861"/>
      <c r="K85" s="862"/>
      <c r="L85" s="861"/>
      <c r="M85" s="862">
        <f>MANZ.F!AB86</f>
        <v>3</v>
      </c>
      <c r="N85" s="861"/>
      <c r="O85" s="862">
        <f>MANZ.G!AS84</f>
        <v>18</v>
      </c>
      <c r="P85" s="861"/>
      <c r="Q85" s="862">
        <f>MANZ.H!V87</f>
        <v>9</v>
      </c>
      <c r="R85" s="861"/>
      <c r="S85" s="862">
        <f>MANZ.I!AB85</f>
        <v>3</v>
      </c>
      <c r="T85" s="861"/>
      <c r="U85" s="862">
        <f>MANZ.J!AT90</f>
        <v>1</v>
      </c>
      <c r="V85" s="861"/>
      <c r="W85" s="862">
        <f>MANZ.K!AB87</f>
        <v>8</v>
      </c>
      <c r="X85" s="861"/>
      <c r="Y85" s="862"/>
      <c r="Z85" s="861"/>
      <c r="AA85" s="862"/>
      <c r="AB85" s="864"/>
      <c r="AC85" s="864"/>
      <c r="AD85" s="864"/>
      <c r="AE85" s="864"/>
      <c r="AF85" s="861"/>
      <c r="AG85" s="865">
        <f t="shared" ref="AG85:AG99" si="0">SUM(C84:AA84)</f>
        <v>0</v>
      </c>
      <c r="AH85" s="866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  <c r="AS85" s="198"/>
      <c r="AT85" s="198"/>
      <c r="AU85" s="198"/>
      <c r="AV85" s="198"/>
      <c r="AW85" s="198"/>
      <c r="AX85" s="198"/>
      <c r="AY85" s="198"/>
      <c r="AZ85" s="198"/>
      <c r="BA85" s="198"/>
      <c r="BB85" s="198"/>
      <c r="BC85" s="198"/>
      <c r="BD85" s="198"/>
      <c r="BE85" s="198"/>
      <c r="BF85" s="198"/>
      <c r="BG85" s="198"/>
      <c r="BH85" s="198"/>
      <c r="BI85" s="198"/>
      <c r="BJ85" s="198"/>
      <c r="BK85" s="198"/>
      <c r="BL85" s="198"/>
      <c r="BM85" s="198"/>
      <c r="BN85" s="198"/>
      <c r="BO85" s="198"/>
      <c r="BP85" s="198"/>
      <c r="BQ85" s="198"/>
      <c r="BR85" s="198"/>
      <c r="BS85" s="198"/>
      <c r="BT85" s="198"/>
      <c r="BU85" s="198"/>
      <c r="BV85" s="198"/>
      <c r="BW85" s="198"/>
      <c r="BX85" s="198"/>
      <c r="BY85" s="198"/>
      <c r="BZ85" s="198"/>
      <c r="CA85" s="198"/>
      <c r="CB85" s="198"/>
      <c r="CC85" s="198"/>
      <c r="CD85" s="198"/>
      <c r="CE85" s="198"/>
      <c r="CF85" s="198"/>
      <c r="CG85" s="198"/>
      <c r="CH85" s="198"/>
      <c r="CI85" s="198"/>
      <c r="CJ85" s="198"/>
      <c r="CK85" s="198"/>
      <c r="CL85" s="198"/>
      <c r="CM85" s="198"/>
      <c r="CN85" s="198"/>
      <c r="CO85" s="198"/>
      <c r="CP85" s="198"/>
      <c r="CQ85" s="198"/>
      <c r="CR85" s="198"/>
      <c r="CS85" s="198"/>
      <c r="CT85" s="198"/>
      <c r="CU85" s="198"/>
      <c r="CV85" s="198"/>
      <c r="CW85" s="198"/>
      <c r="CX85" s="198"/>
      <c r="CY85" s="198"/>
      <c r="CZ85" s="198"/>
      <c r="DA85" s="198"/>
      <c r="DB85" s="198"/>
      <c r="DC85" s="198"/>
      <c r="DD85" s="198"/>
      <c r="DE85" s="198"/>
      <c r="DF85" s="198"/>
      <c r="DG85" s="198"/>
      <c r="DH85" s="198"/>
      <c r="DI85" s="198"/>
      <c r="DJ85" s="198"/>
      <c r="DK85" s="198"/>
      <c r="DL85" s="198"/>
      <c r="DM85" s="198"/>
      <c r="DN85" s="198"/>
      <c r="DO85" s="198"/>
      <c r="DP85" s="198"/>
      <c r="DQ85" s="198"/>
      <c r="DR85" s="198"/>
      <c r="DS85" s="198"/>
      <c r="DT85" s="198"/>
      <c r="DU85" s="198"/>
      <c r="DV85" s="198"/>
      <c r="DW85" s="198"/>
      <c r="DX85" s="198"/>
      <c r="DY85" s="198"/>
      <c r="DZ85" s="198"/>
      <c r="EA85" s="198"/>
      <c r="EB85" s="198"/>
      <c r="EC85" s="198"/>
      <c r="ED85" s="198"/>
      <c r="EE85" s="198"/>
      <c r="EF85" s="198"/>
      <c r="EG85" s="198"/>
      <c r="EH85" s="198"/>
      <c r="EI85" s="198"/>
      <c r="EJ85" s="198"/>
      <c r="EK85" s="198"/>
      <c r="EL85" s="198"/>
      <c r="EM85" s="198"/>
      <c r="EN85" s="198"/>
      <c r="EO85" s="198"/>
      <c r="EP85" s="198"/>
      <c r="EQ85" s="198"/>
      <c r="ER85" s="198"/>
      <c r="ES85" s="198"/>
      <c r="ET85" s="198"/>
      <c r="EU85" s="198"/>
      <c r="EV85" s="198"/>
      <c r="EW85" s="198"/>
      <c r="EX85" s="198"/>
      <c r="EY85" s="198"/>
      <c r="EZ85" s="198"/>
      <c r="FA85" s="198"/>
      <c r="FB85" s="198"/>
      <c r="FC85" s="198"/>
      <c r="FD85" s="198"/>
      <c r="FE85" s="198"/>
      <c r="FF85" s="198"/>
      <c r="FG85" s="198"/>
      <c r="FH85" s="198"/>
      <c r="FI85" s="198"/>
      <c r="FJ85" s="198"/>
      <c r="FK85" s="198"/>
      <c r="FL85" s="198"/>
      <c r="FM85" s="198"/>
      <c r="FN85" s="198"/>
      <c r="FO85" s="198"/>
      <c r="FP85" s="198"/>
      <c r="FQ85" s="198"/>
      <c r="FR85" s="198"/>
      <c r="FS85" s="198"/>
      <c r="FT85" s="198"/>
      <c r="FU85" s="198"/>
      <c r="FV85" s="198"/>
      <c r="FW85" s="198"/>
      <c r="FX85" s="198"/>
      <c r="FY85" s="198"/>
      <c r="FZ85" s="198"/>
      <c r="GA85" s="198"/>
      <c r="GB85" s="198"/>
      <c r="GC85" s="198"/>
      <c r="GD85" s="198"/>
      <c r="GE85" s="198"/>
      <c r="GF85" s="198"/>
      <c r="GG85" s="198"/>
      <c r="GH85" s="198"/>
      <c r="GI85" s="198"/>
      <c r="GJ85" s="198"/>
      <c r="GK85" s="198"/>
      <c r="GL85" s="198"/>
      <c r="GM85" s="198"/>
      <c r="GN85" s="198"/>
      <c r="GO85" s="198"/>
      <c r="GP85" s="198"/>
      <c r="GQ85" s="198"/>
      <c r="GR85" s="198"/>
      <c r="GS85" s="198"/>
      <c r="GT85" s="198"/>
      <c r="GU85" s="198"/>
      <c r="GV85" s="198"/>
      <c r="GW85" s="198"/>
      <c r="GX85" s="198"/>
      <c r="GY85" s="198"/>
      <c r="GZ85" s="198"/>
      <c r="HA85" s="198"/>
      <c r="HB85" s="198"/>
      <c r="HC85" s="198"/>
      <c r="HD85" s="198"/>
      <c r="HE85" s="198"/>
      <c r="HF85" s="198"/>
      <c r="HG85" s="198"/>
      <c r="HH85" s="198"/>
      <c r="HI85" s="198"/>
      <c r="HJ85" s="198"/>
      <c r="HK85" s="198"/>
      <c r="HL85" s="198"/>
      <c r="HM85" s="198"/>
      <c r="HN85" s="198"/>
      <c r="HO85" s="198"/>
      <c r="HP85" s="198"/>
      <c r="HQ85" s="198"/>
      <c r="HR85" s="198"/>
      <c r="HS85" s="198"/>
      <c r="HT85" s="198"/>
      <c r="HU85" s="198"/>
      <c r="HV85" s="198"/>
      <c r="HW85" s="198"/>
      <c r="HX85" s="198"/>
      <c r="HY85" s="198"/>
      <c r="HZ85" s="198"/>
      <c r="IA85" s="198"/>
      <c r="IB85" s="198"/>
      <c r="IC85" s="198"/>
      <c r="ID85" s="198"/>
      <c r="IE85" s="198"/>
      <c r="IF85" s="198"/>
      <c r="IG85" s="198"/>
      <c r="IH85" s="198"/>
      <c r="II85" s="198"/>
      <c r="IJ85" s="198"/>
      <c r="IK85" s="198"/>
      <c r="IL85" s="198"/>
      <c r="IM85" s="198"/>
      <c r="IN85" s="198"/>
      <c r="IO85" s="198"/>
      <c r="IP85" s="198"/>
      <c r="IQ85" s="198"/>
      <c r="IR85" s="198"/>
      <c r="IS85" s="198"/>
      <c r="IT85" s="198"/>
      <c r="IU85" s="198"/>
      <c r="IV85" s="198"/>
      <c r="IW85" s="198"/>
      <c r="IX85" s="198"/>
      <c r="IY85" s="198"/>
      <c r="IZ85" s="198"/>
      <c r="JA85" s="198"/>
      <c r="JB85" s="198"/>
      <c r="JC85" s="198"/>
      <c r="JD85" s="198"/>
      <c r="JE85" s="198"/>
      <c r="JF85" s="198"/>
      <c r="JG85" s="198"/>
      <c r="JH85" s="198"/>
      <c r="JI85" s="198"/>
      <c r="JJ85" s="198"/>
      <c r="JK85" s="198"/>
      <c r="JL85" s="198"/>
      <c r="JM85" s="198"/>
      <c r="JN85" s="198"/>
      <c r="JO85" s="198"/>
      <c r="JP85" s="198"/>
      <c r="JQ85" s="198"/>
      <c r="JR85" s="198"/>
      <c r="JS85" s="198"/>
      <c r="JT85" s="198"/>
      <c r="JU85" s="198"/>
      <c r="JV85" s="198"/>
      <c r="JW85" s="198"/>
      <c r="JX85" s="198"/>
      <c r="JY85" s="198"/>
      <c r="JZ85" s="198"/>
      <c r="KA85" s="198"/>
      <c r="KB85" s="198"/>
      <c r="KC85" s="198"/>
      <c r="KD85" s="198"/>
      <c r="KE85" s="198"/>
      <c r="KF85" s="198"/>
      <c r="KG85" s="198"/>
      <c r="KH85" s="198"/>
      <c r="KI85" s="198"/>
      <c r="KJ85" s="198"/>
      <c r="KK85" s="198"/>
      <c r="KL85" s="198"/>
      <c r="KM85" s="198"/>
      <c r="KN85" s="198"/>
      <c r="KO85" s="198"/>
      <c r="KP85" s="198"/>
      <c r="KQ85" s="198"/>
      <c r="KR85" s="198"/>
      <c r="KS85" s="198"/>
      <c r="KT85" s="198"/>
      <c r="KU85" s="198"/>
      <c r="KV85" s="198"/>
      <c r="KW85" s="198"/>
      <c r="KX85" s="198"/>
      <c r="KY85" s="198"/>
      <c r="KZ85" s="198"/>
      <c r="LA85" s="198"/>
      <c r="LB85" s="198"/>
      <c r="LC85" s="198"/>
      <c r="LD85" s="198"/>
      <c r="LE85" s="198"/>
      <c r="LF85" s="198"/>
      <c r="LG85" s="198"/>
      <c r="LH85" s="198"/>
      <c r="LI85" s="198"/>
      <c r="LJ85" s="198"/>
      <c r="LK85" s="198"/>
      <c r="LL85" s="198"/>
      <c r="LM85" s="198"/>
      <c r="LN85" s="198"/>
      <c r="LO85" s="198"/>
      <c r="LP85" s="198"/>
      <c r="LQ85" s="198"/>
      <c r="LR85" s="198"/>
      <c r="LS85" s="198"/>
      <c r="LT85" s="198"/>
      <c r="LU85" s="198"/>
      <c r="LV85" s="198"/>
      <c r="LW85" s="198"/>
      <c r="LX85" s="198"/>
      <c r="LY85" s="198"/>
      <c r="LZ85" s="198"/>
      <c r="MA85" s="198"/>
      <c r="MB85" s="198"/>
      <c r="MC85" s="198"/>
      <c r="MD85" s="198"/>
      <c r="ME85" s="198"/>
      <c r="MF85" s="198"/>
      <c r="MG85" s="198"/>
      <c r="MH85" s="198"/>
      <c r="MI85" s="198"/>
      <c r="MJ85" s="198"/>
      <c r="MK85" s="198"/>
      <c r="ML85" s="198"/>
      <c r="MM85" s="198"/>
      <c r="MN85" s="198"/>
      <c r="MO85" s="198"/>
      <c r="MP85" s="198"/>
      <c r="MQ85" s="198"/>
      <c r="MR85" s="198"/>
      <c r="MS85" s="198"/>
      <c r="MT85" s="198"/>
      <c r="MU85" s="198"/>
      <c r="MV85" s="198"/>
      <c r="MW85" s="198"/>
      <c r="MX85" s="198"/>
      <c r="MY85" s="198"/>
      <c r="MZ85" s="198"/>
      <c r="NA85" s="198"/>
      <c r="NB85" s="198"/>
      <c r="NC85" s="198"/>
      <c r="ND85" s="198"/>
      <c r="NE85" s="198"/>
      <c r="NF85" s="198"/>
      <c r="NG85" s="198"/>
      <c r="NH85" s="198"/>
      <c r="NI85" s="198"/>
      <c r="NJ85" s="198"/>
      <c r="NK85" s="198"/>
      <c r="NL85" s="198"/>
      <c r="NM85" s="198"/>
      <c r="NN85" s="198"/>
      <c r="NO85" s="198"/>
      <c r="NP85" s="198"/>
      <c r="NQ85" s="198"/>
      <c r="NR85" s="198"/>
      <c r="NS85" s="198"/>
      <c r="NT85" s="198"/>
      <c r="NU85" s="198"/>
      <c r="NV85" s="198"/>
      <c r="NW85" s="198"/>
      <c r="NX85" s="198"/>
      <c r="NY85" s="198"/>
      <c r="NZ85" s="198"/>
      <c r="OA85" s="198"/>
      <c r="OB85" s="198"/>
      <c r="OC85" s="198"/>
      <c r="OD85" s="198"/>
      <c r="OE85" s="198"/>
      <c r="OF85" s="198"/>
      <c r="OG85" s="198"/>
      <c r="OH85" s="198"/>
      <c r="OI85" s="198"/>
      <c r="OJ85" s="198"/>
      <c r="OK85" s="198"/>
      <c r="OL85" s="198"/>
      <c r="OM85" s="198"/>
      <c r="ON85" s="198"/>
      <c r="OO85" s="198"/>
      <c r="OP85" s="198"/>
      <c r="OQ85" s="198"/>
      <c r="OR85" s="198"/>
      <c r="OS85" s="198"/>
      <c r="OT85" s="198"/>
      <c r="OU85" s="198"/>
      <c r="OV85" s="198"/>
      <c r="OW85" s="198"/>
      <c r="OX85" s="198"/>
      <c r="OY85" s="198"/>
      <c r="OZ85" s="198"/>
      <c r="PA85" s="198"/>
      <c r="PB85" s="198"/>
      <c r="PC85" s="198"/>
      <c r="PD85" s="198"/>
      <c r="PE85" s="198"/>
      <c r="PF85" s="198"/>
      <c r="PG85" s="198"/>
      <c r="PH85" s="198"/>
      <c r="PI85" s="198"/>
      <c r="PJ85" s="198"/>
      <c r="PK85" s="198"/>
      <c r="PL85" s="198"/>
      <c r="PM85" s="198"/>
      <c r="PN85" s="198"/>
      <c r="PO85" s="198"/>
      <c r="PP85" s="198"/>
      <c r="PQ85" s="198"/>
      <c r="PR85" s="198"/>
      <c r="PS85" s="198"/>
      <c r="PT85" s="198"/>
      <c r="PU85" s="198"/>
      <c r="PV85" s="198"/>
      <c r="PW85" s="198"/>
      <c r="PX85" s="198"/>
      <c r="PY85" s="198"/>
      <c r="PZ85" s="198"/>
      <c r="QA85" s="198"/>
      <c r="QB85" s="198"/>
      <c r="QC85" s="198"/>
      <c r="QD85" s="198"/>
      <c r="QE85" s="198"/>
      <c r="QF85" s="198"/>
      <c r="QG85" s="198"/>
      <c r="QH85" s="198"/>
      <c r="QI85" s="198"/>
      <c r="QJ85" s="198"/>
      <c r="QK85" s="198"/>
      <c r="QL85" s="198"/>
      <c r="QM85" s="198"/>
      <c r="QN85" s="198"/>
      <c r="QO85" s="198"/>
      <c r="QP85" s="198"/>
      <c r="QQ85" s="198"/>
      <c r="QR85" s="198"/>
      <c r="QS85" s="198"/>
      <c r="QT85" s="198"/>
      <c r="QU85" s="198"/>
      <c r="QV85" s="198"/>
      <c r="QW85" s="198"/>
      <c r="QX85" s="198"/>
      <c r="QY85" s="198"/>
      <c r="QZ85" s="198"/>
      <c r="RA85" s="198"/>
      <c r="RB85" s="198"/>
      <c r="RC85" s="198"/>
      <c r="RD85" s="198"/>
      <c r="RE85" s="198"/>
      <c r="RF85" s="198"/>
      <c r="RG85" s="198"/>
      <c r="RH85" s="198"/>
      <c r="RI85" s="198"/>
      <c r="RJ85" s="198"/>
      <c r="RK85" s="198"/>
      <c r="RL85" s="198"/>
      <c r="RM85" s="198"/>
      <c r="RN85" s="198"/>
      <c r="RO85" s="198"/>
      <c r="RP85" s="198"/>
      <c r="RQ85" s="198"/>
      <c r="RR85" s="198"/>
      <c r="RS85" s="198"/>
      <c r="RT85" s="198"/>
      <c r="RU85" s="198"/>
      <c r="RV85" s="198"/>
      <c r="RW85" s="198"/>
      <c r="RX85" s="198"/>
      <c r="RY85" s="198"/>
      <c r="RZ85" s="198"/>
      <c r="SA85" s="198"/>
      <c r="SB85" s="198"/>
      <c r="SC85" s="198"/>
      <c r="SD85" s="198"/>
      <c r="SE85" s="198"/>
      <c r="SF85" s="198"/>
      <c r="SG85" s="198"/>
    </row>
    <row r="86" spans="1:501" ht="40.049999999999997" customHeight="1" x14ac:dyDescent="0.3">
      <c r="A86" s="543" t="s">
        <v>240</v>
      </c>
      <c r="B86" s="956" t="s">
        <v>241</v>
      </c>
      <c r="C86" s="950"/>
      <c r="D86" s="861"/>
      <c r="E86" s="862"/>
      <c r="F86" s="861"/>
      <c r="G86" s="862"/>
      <c r="H86" s="861"/>
      <c r="I86" s="862"/>
      <c r="J86" s="861"/>
      <c r="K86" s="862"/>
      <c r="L86" s="861"/>
      <c r="M86" s="862"/>
      <c r="N86" s="861"/>
      <c r="O86" s="862">
        <f>MANZ.G!AS85</f>
        <v>0</v>
      </c>
      <c r="P86" s="861"/>
      <c r="Q86" s="862"/>
      <c r="R86" s="861"/>
      <c r="S86" s="862"/>
      <c r="T86" s="861"/>
      <c r="U86" s="862"/>
      <c r="V86" s="861"/>
      <c r="W86" s="862"/>
      <c r="X86" s="861"/>
      <c r="Y86" s="862"/>
      <c r="Z86" s="861"/>
      <c r="AA86" s="862"/>
      <c r="AB86" s="864"/>
      <c r="AC86" s="864"/>
      <c r="AD86" s="864"/>
      <c r="AE86" s="864"/>
      <c r="AF86" s="861"/>
      <c r="AG86" s="865">
        <f t="shared" si="0"/>
        <v>59</v>
      </c>
      <c r="AH86" s="866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  <c r="AS86" s="198"/>
      <c r="AT86" s="198"/>
      <c r="AU86" s="198"/>
      <c r="AV86" s="198"/>
      <c r="AW86" s="198"/>
      <c r="AX86" s="198"/>
      <c r="AY86" s="198"/>
      <c r="AZ86" s="198"/>
      <c r="BA86" s="198"/>
      <c r="BB86" s="198"/>
      <c r="BC86" s="198"/>
      <c r="BD86" s="198"/>
      <c r="BE86" s="198"/>
      <c r="BF86" s="198"/>
      <c r="BG86" s="198"/>
      <c r="BH86" s="198"/>
      <c r="BI86" s="198"/>
      <c r="BJ86" s="198"/>
      <c r="BK86" s="198"/>
      <c r="BL86" s="198"/>
      <c r="BM86" s="198"/>
      <c r="BN86" s="198"/>
      <c r="BO86" s="198"/>
      <c r="BP86" s="198"/>
      <c r="BQ86" s="198"/>
      <c r="BR86" s="198"/>
      <c r="BS86" s="198"/>
      <c r="BT86" s="198"/>
      <c r="BU86" s="198"/>
      <c r="BV86" s="198"/>
      <c r="BW86" s="198"/>
      <c r="BX86" s="198"/>
      <c r="BY86" s="198"/>
      <c r="BZ86" s="198"/>
      <c r="CA86" s="198"/>
      <c r="CB86" s="198"/>
      <c r="CC86" s="198"/>
      <c r="CD86" s="198"/>
      <c r="CE86" s="198"/>
      <c r="CF86" s="198"/>
      <c r="CG86" s="198"/>
      <c r="CH86" s="198"/>
      <c r="CI86" s="198"/>
      <c r="CJ86" s="198"/>
      <c r="CK86" s="198"/>
      <c r="CL86" s="198"/>
      <c r="CM86" s="198"/>
      <c r="CN86" s="198"/>
      <c r="CO86" s="198"/>
      <c r="CP86" s="198"/>
      <c r="CQ86" s="198"/>
      <c r="CR86" s="198"/>
      <c r="CS86" s="198"/>
      <c r="CT86" s="198"/>
      <c r="CU86" s="198"/>
      <c r="CV86" s="198"/>
      <c r="CW86" s="198"/>
      <c r="CX86" s="198"/>
      <c r="CY86" s="198"/>
      <c r="CZ86" s="198"/>
      <c r="DA86" s="198"/>
      <c r="DB86" s="198"/>
      <c r="DC86" s="198"/>
      <c r="DD86" s="198"/>
      <c r="DE86" s="198"/>
      <c r="DF86" s="198"/>
      <c r="DG86" s="198"/>
      <c r="DH86" s="198"/>
      <c r="DI86" s="198"/>
      <c r="DJ86" s="198"/>
      <c r="DK86" s="198"/>
      <c r="DL86" s="198"/>
      <c r="DM86" s="198"/>
      <c r="DN86" s="198"/>
      <c r="DO86" s="198"/>
      <c r="DP86" s="198"/>
      <c r="DQ86" s="198"/>
      <c r="DR86" s="198"/>
      <c r="DS86" s="198"/>
      <c r="DT86" s="198"/>
      <c r="DU86" s="198"/>
      <c r="DV86" s="198"/>
      <c r="DW86" s="198"/>
      <c r="DX86" s="198"/>
      <c r="DY86" s="198"/>
      <c r="DZ86" s="198"/>
      <c r="EA86" s="198"/>
      <c r="EB86" s="198"/>
      <c r="EC86" s="198"/>
      <c r="ED86" s="198"/>
      <c r="EE86" s="198"/>
      <c r="EF86" s="198"/>
      <c r="EG86" s="198"/>
      <c r="EH86" s="198"/>
      <c r="EI86" s="198"/>
      <c r="EJ86" s="198"/>
      <c r="EK86" s="198"/>
      <c r="EL86" s="198"/>
      <c r="EM86" s="198"/>
      <c r="EN86" s="198"/>
      <c r="EO86" s="198"/>
      <c r="EP86" s="198"/>
      <c r="EQ86" s="198"/>
      <c r="ER86" s="198"/>
      <c r="ES86" s="198"/>
      <c r="ET86" s="198"/>
      <c r="EU86" s="198"/>
      <c r="EV86" s="198"/>
      <c r="EW86" s="198"/>
      <c r="EX86" s="198"/>
      <c r="EY86" s="198"/>
      <c r="EZ86" s="198"/>
      <c r="FA86" s="198"/>
      <c r="FB86" s="198"/>
      <c r="FC86" s="198"/>
      <c r="FD86" s="198"/>
      <c r="FE86" s="198"/>
      <c r="FF86" s="198"/>
      <c r="FG86" s="198"/>
      <c r="FH86" s="198"/>
      <c r="FI86" s="198"/>
      <c r="FJ86" s="198"/>
      <c r="FK86" s="198"/>
      <c r="FL86" s="198"/>
      <c r="FM86" s="198"/>
      <c r="FN86" s="198"/>
      <c r="FO86" s="198"/>
      <c r="FP86" s="198"/>
      <c r="FQ86" s="198"/>
      <c r="FR86" s="198"/>
      <c r="FS86" s="198"/>
      <c r="FT86" s="198"/>
      <c r="FU86" s="198"/>
      <c r="FV86" s="198"/>
      <c r="FW86" s="198"/>
      <c r="FX86" s="198"/>
      <c r="FY86" s="198"/>
      <c r="FZ86" s="198"/>
      <c r="GA86" s="198"/>
      <c r="GB86" s="198"/>
      <c r="GC86" s="198"/>
      <c r="GD86" s="198"/>
      <c r="GE86" s="198"/>
      <c r="GF86" s="198"/>
      <c r="GG86" s="198"/>
      <c r="GH86" s="198"/>
      <c r="GI86" s="198"/>
      <c r="GJ86" s="198"/>
      <c r="GK86" s="198"/>
      <c r="GL86" s="198"/>
      <c r="GM86" s="198"/>
      <c r="GN86" s="198"/>
      <c r="GO86" s="198"/>
      <c r="GP86" s="198"/>
      <c r="GQ86" s="198"/>
      <c r="GR86" s="198"/>
      <c r="GS86" s="198"/>
      <c r="GT86" s="198"/>
      <c r="GU86" s="198"/>
      <c r="GV86" s="198"/>
      <c r="GW86" s="198"/>
      <c r="GX86" s="198"/>
      <c r="GY86" s="198"/>
      <c r="GZ86" s="198"/>
      <c r="HA86" s="198"/>
      <c r="HB86" s="198"/>
      <c r="HC86" s="198"/>
      <c r="HD86" s="198"/>
      <c r="HE86" s="198"/>
      <c r="HF86" s="198"/>
      <c r="HG86" s="198"/>
      <c r="HH86" s="198"/>
      <c r="HI86" s="198"/>
      <c r="HJ86" s="198"/>
      <c r="HK86" s="198"/>
      <c r="HL86" s="198"/>
      <c r="HM86" s="198"/>
      <c r="HN86" s="198"/>
      <c r="HO86" s="198"/>
      <c r="HP86" s="198"/>
      <c r="HQ86" s="198"/>
      <c r="HR86" s="198"/>
      <c r="HS86" s="198"/>
      <c r="HT86" s="198"/>
      <c r="HU86" s="198"/>
      <c r="HV86" s="198"/>
      <c r="HW86" s="198"/>
      <c r="HX86" s="198"/>
      <c r="HY86" s="198"/>
      <c r="HZ86" s="198"/>
      <c r="IA86" s="198"/>
      <c r="IB86" s="198"/>
      <c r="IC86" s="198"/>
      <c r="ID86" s="198"/>
      <c r="IE86" s="198"/>
      <c r="IF86" s="198"/>
      <c r="IG86" s="198"/>
      <c r="IH86" s="198"/>
      <c r="II86" s="198"/>
      <c r="IJ86" s="198"/>
      <c r="IK86" s="198"/>
      <c r="IL86" s="198"/>
      <c r="IM86" s="198"/>
      <c r="IN86" s="198"/>
      <c r="IO86" s="198"/>
      <c r="IP86" s="198"/>
      <c r="IQ86" s="198"/>
      <c r="IR86" s="198"/>
      <c r="IS86" s="198"/>
      <c r="IT86" s="198"/>
      <c r="IU86" s="198"/>
      <c r="IV86" s="198"/>
      <c r="IW86" s="198"/>
      <c r="IX86" s="198"/>
      <c r="IY86" s="198"/>
      <c r="IZ86" s="198"/>
      <c r="JA86" s="198"/>
      <c r="JB86" s="198"/>
      <c r="JC86" s="198"/>
      <c r="JD86" s="198"/>
      <c r="JE86" s="198"/>
      <c r="JF86" s="198"/>
      <c r="JG86" s="198"/>
      <c r="JH86" s="198"/>
      <c r="JI86" s="198"/>
      <c r="JJ86" s="198"/>
      <c r="JK86" s="198"/>
      <c r="JL86" s="198"/>
      <c r="JM86" s="198"/>
      <c r="JN86" s="198"/>
      <c r="JO86" s="198"/>
      <c r="JP86" s="198"/>
      <c r="JQ86" s="198"/>
      <c r="JR86" s="198"/>
      <c r="JS86" s="198"/>
      <c r="JT86" s="198"/>
      <c r="JU86" s="198"/>
      <c r="JV86" s="198"/>
      <c r="JW86" s="198"/>
      <c r="JX86" s="198"/>
      <c r="JY86" s="198"/>
      <c r="JZ86" s="198"/>
      <c r="KA86" s="198"/>
      <c r="KB86" s="198"/>
      <c r="KC86" s="198"/>
      <c r="KD86" s="198"/>
      <c r="KE86" s="198"/>
      <c r="KF86" s="198"/>
      <c r="KG86" s="198"/>
      <c r="KH86" s="198"/>
      <c r="KI86" s="198"/>
      <c r="KJ86" s="198"/>
      <c r="KK86" s="198"/>
      <c r="KL86" s="198"/>
      <c r="KM86" s="198"/>
      <c r="KN86" s="198"/>
      <c r="KO86" s="198"/>
      <c r="KP86" s="198"/>
      <c r="KQ86" s="198"/>
      <c r="KR86" s="198"/>
      <c r="KS86" s="198"/>
      <c r="KT86" s="198"/>
      <c r="KU86" s="198"/>
      <c r="KV86" s="198"/>
      <c r="KW86" s="198"/>
      <c r="KX86" s="198"/>
      <c r="KY86" s="198"/>
      <c r="KZ86" s="198"/>
      <c r="LA86" s="198"/>
      <c r="LB86" s="198"/>
      <c r="LC86" s="198"/>
      <c r="LD86" s="198"/>
      <c r="LE86" s="198"/>
      <c r="LF86" s="198"/>
      <c r="LG86" s="198"/>
      <c r="LH86" s="198"/>
      <c r="LI86" s="198"/>
      <c r="LJ86" s="198"/>
      <c r="LK86" s="198"/>
      <c r="LL86" s="198"/>
      <c r="LM86" s="198"/>
      <c r="LN86" s="198"/>
      <c r="LO86" s="198"/>
      <c r="LP86" s="198"/>
      <c r="LQ86" s="198"/>
      <c r="LR86" s="198"/>
      <c r="LS86" s="198"/>
      <c r="LT86" s="198"/>
      <c r="LU86" s="198"/>
      <c r="LV86" s="198"/>
      <c r="LW86" s="198"/>
      <c r="LX86" s="198"/>
      <c r="LY86" s="198"/>
      <c r="LZ86" s="198"/>
      <c r="MA86" s="198"/>
      <c r="MB86" s="198"/>
      <c r="MC86" s="198"/>
      <c r="MD86" s="198"/>
      <c r="ME86" s="198"/>
      <c r="MF86" s="198"/>
      <c r="MG86" s="198"/>
      <c r="MH86" s="198"/>
      <c r="MI86" s="198"/>
      <c r="MJ86" s="198"/>
      <c r="MK86" s="198"/>
      <c r="ML86" s="198"/>
      <c r="MM86" s="198"/>
      <c r="MN86" s="198"/>
      <c r="MO86" s="198"/>
      <c r="MP86" s="198"/>
      <c r="MQ86" s="198"/>
      <c r="MR86" s="198"/>
      <c r="MS86" s="198"/>
      <c r="MT86" s="198"/>
      <c r="MU86" s="198"/>
      <c r="MV86" s="198"/>
      <c r="MW86" s="198"/>
      <c r="MX86" s="198"/>
      <c r="MY86" s="198"/>
      <c r="MZ86" s="198"/>
      <c r="NA86" s="198"/>
      <c r="NB86" s="198"/>
      <c r="NC86" s="198"/>
      <c r="ND86" s="198"/>
      <c r="NE86" s="198"/>
      <c r="NF86" s="198"/>
      <c r="NG86" s="198"/>
      <c r="NH86" s="198"/>
      <c r="NI86" s="198"/>
      <c r="NJ86" s="198"/>
      <c r="NK86" s="198"/>
      <c r="NL86" s="198"/>
      <c r="NM86" s="198"/>
      <c r="NN86" s="198"/>
      <c r="NO86" s="198"/>
      <c r="NP86" s="198"/>
      <c r="NQ86" s="198"/>
      <c r="NR86" s="198"/>
      <c r="NS86" s="198"/>
      <c r="NT86" s="198"/>
      <c r="NU86" s="198"/>
      <c r="NV86" s="198"/>
      <c r="NW86" s="198"/>
      <c r="NX86" s="198"/>
      <c r="NY86" s="198"/>
      <c r="NZ86" s="198"/>
      <c r="OA86" s="198"/>
      <c r="OB86" s="198"/>
      <c r="OC86" s="198"/>
      <c r="OD86" s="198"/>
      <c r="OE86" s="198"/>
      <c r="OF86" s="198"/>
      <c r="OG86" s="198"/>
      <c r="OH86" s="198"/>
      <c r="OI86" s="198"/>
      <c r="OJ86" s="198"/>
      <c r="OK86" s="198"/>
      <c r="OL86" s="198"/>
      <c r="OM86" s="198"/>
      <c r="ON86" s="198"/>
      <c r="OO86" s="198"/>
      <c r="OP86" s="198"/>
      <c r="OQ86" s="198"/>
      <c r="OR86" s="198"/>
      <c r="OS86" s="198"/>
      <c r="OT86" s="198"/>
      <c r="OU86" s="198"/>
      <c r="OV86" s="198"/>
      <c r="OW86" s="198"/>
      <c r="OX86" s="198"/>
      <c r="OY86" s="198"/>
      <c r="OZ86" s="198"/>
      <c r="PA86" s="198"/>
      <c r="PB86" s="198"/>
      <c r="PC86" s="198"/>
      <c r="PD86" s="198"/>
      <c r="PE86" s="198"/>
      <c r="PF86" s="198"/>
      <c r="PG86" s="198"/>
      <c r="PH86" s="198"/>
      <c r="PI86" s="198"/>
      <c r="PJ86" s="198"/>
      <c r="PK86" s="198"/>
      <c r="PL86" s="198"/>
      <c r="PM86" s="198"/>
      <c r="PN86" s="198"/>
      <c r="PO86" s="198"/>
      <c r="PP86" s="198"/>
      <c r="PQ86" s="198"/>
      <c r="PR86" s="198"/>
      <c r="PS86" s="198"/>
      <c r="PT86" s="198"/>
      <c r="PU86" s="198"/>
      <c r="PV86" s="198"/>
      <c r="PW86" s="198"/>
      <c r="PX86" s="198"/>
      <c r="PY86" s="198"/>
      <c r="PZ86" s="198"/>
      <c r="QA86" s="198"/>
      <c r="QB86" s="198"/>
      <c r="QC86" s="198"/>
      <c r="QD86" s="198"/>
      <c r="QE86" s="198"/>
      <c r="QF86" s="198"/>
      <c r="QG86" s="198"/>
      <c r="QH86" s="198"/>
      <c r="QI86" s="198"/>
      <c r="QJ86" s="198"/>
      <c r="QK86" s="198"/>
      <c r="QL86" s="198"/>
      <c r="QM86" s="198"/>
      <c r="QN86" s="198"/>
      <c r="QO86" s="198"/>
      <c r="QP86" s="198"/>
      <c r="QQ86" s="198"/>
      <c r="QR86" s="198"/>
      <c r="QS86" s="198"/>
      <c r="QT86" s="198"/>
      <c r="QU86" s="198"/>
      <c r="QV86" s="198"/>
      <c r="QW86" s="198"/>
      <c r="QX86" s="198"/>
      <c r="QY86" s="198"/>
      <c r="QZ86" s="198"/>
      <c r="RA86" s="198"/>
      <c r="RB86" s="198"/>
      <c r="RC86" s="198"/>
      <c r="RD86" s="198"/>
      <c r="RE86" s="198"/>
      <c r="RF86" s="198"/>
      <c r="RG86" s="198"/>
      <c r="RH86" s="198"/>
      <c r="RI86" s="198"/>
      <c r="RJ86" s="198"/>
      <c r="RK86" s="198"/>
      <c r="RL86" s="198"/>
      <c r="RM86" s="198"/>
      <c r="RN86" s="198"/>
      <c r="RO86" s="198"/>
      <c r="RP86" s="198"/>
      <c r="RQ86" s="198"/>
      <c r="RR86" s="198"/>
      <c r="RS86" s="198"/>
      <c r="RT86" s="198"/>
      <c r="RU86" s="198"/>
      <c r="RV86" s="198"/>
      <c r="RW86" s="198"/>
      <c r="RX86" s="198"/>
      <c r="RY86" s="198"/>
      <c r="RZ86" s="198"/>
      <c r="SA86" s="198"/>
      <c r="SB86" s="198"/>
      <c r="SC86" s="198"/>
      <c r="SD86" s="198"/>
      <c r="SE86" s="198"/>
      <c r="SF86" s="198"/>
      <c r="SG86" s="198"/>
    </row>
    <row r="87" spans="1:501" ht="40.049999999999997" customHeight="1" x14ac:dyDescent="0.3">
      <c r="A87" s="543" t="s">
        <v>242</v>
      </c>
      <c r="B87" s="956" t="s">
        <v>243</v>
      </c>
      <c r="C87" s="950"/>
      <c r="D87" s="861"/>
      <c r="E87" s="862"/>
      <c r="F87" s="861"/>
      <c r="G87" s="863">
        <f>MANZ.C!AL87</f>
        <v>0</v>
      </c>
      <c r="H87" s="861"/>
      <c r="I87" s="862"/>
      <c r="J87" s="861"/>
      <c r="K87" s="862"/>
      <c r="L87" s="861"/>
      <c r="M87" s="862">
        <f>MANZ.F!AB87</f>
        <v>0</v>
      </c>
      <c r="N87" s="861"/>
      <c r="O87" s="862">
        <f>MANZ.G!AS86</f>
        <v>0</v>
      </c>
      <c r="P87" s="861"/>
      <c r="Q87" s="862">
        <f>MANZ.H!V88</f>
        <v>0</v>
      </c>
      <c r="R87" s="861"/>
      <c r="S87" s="862">
        <f>MANZ.I!AB87</f>
        <v>3</v>
      </c>
      <c r="T87" s="861"/>
      <c r="U87" s="862">
        <f>MANZ.J!AT91</f>
        <v>0</v>
      </c>
      <c r="V87" s="861"/>
      <c r="W87" s="862">
        <f>MANZ.K!AB88</f>
        <v>0</v>
      </c>
      <c r="X87" s="861"/>
      <c r="Y87" s="862"/>
      <c r="Z87" s="861"/>
      <c r="AA87" s="862"/>
      <c r="AB87" s="864"/>
      <c r="AC87" s="864"/>
      <c r="AD87" s="864"/>
      <c r="AE87" s="864"/>
      <c r="AF87" s="861"/>
      <c r="AG87" s="865">
        <f t="shared" si="0"/>
        <v>0</v>
      </c>
      <c r="AH87" s="866"/>
      <c r="AI87" s="198"/>
      <c r="AJ87" s="198"/>
      <c r="AK87" s="198"/>
      <c r="AL87" s="198"/>
      <c r="AM87" s="198"/>
      <c r="AN87" s="198"/>
      <c r="AO87" s="198"/>
      <c r="AP87" s="198"/>
      <c r="AQ87" s="198"/>
      <c r="AR87" s="198"/>
      <c r="AS87" s="198"/>
      <c r="AT87" s="198"/>
      <c r="AU87" s="198"/>
      <c r="AV87" s="198"/>
      <c r="AW87" s="198"/>
      <c r="AX87" s="198"/>
      <c r="AY87" s="198"/>
      <c r="AZ87" s="198"/>
      <c r="BA87" s="198"/>
      <c r="BB87" s="198"/>
      <c r="BC87" s="198"/>
      <c r="BD87" s="198"/>
      <c r="BE87" s="198"/>
      <c r="BF87" s="198"/>
      <c r="BG87" s="198"/>
      <c r="BH87" s="198"/>
      <c r="BI87" s="198"/>
      <c r="BJ87" s="198"/>
      <c r="BK87" s="198"/>
      <c r="BL87" s="198"/>
      <c r="BM87" s="198"/>
      <c r="BN87" s="198"/>
      <c r="BO87" s="198"/>
      <c r="BP87" s="198"/>
      <c r="BQ87" s="198"/>
      <c r="BR87" s="198"/>
      <c r="BS87" s="198"/>
      <c r="BT87" s="198"/>
      <c r="BU87" s="198"/>
      <c r="BV87" s="198"/>
      <c r="BW87" s="198"/>
      <c r="BX87" s="198"/>
      <c r="BY87" s="198"/>
      <c r="BZ87" s="198"/>
      <c r="CA87" s="198"/>
      <c r="CB87" s="198"/>
      <c r="CC87" s="198"/>
      <c r="CD87" s="198"/>
      <c r="CE87" s="198"/>
      <c r="CF87" s="198"/>
      <c r="CG87" s="198"/>
      <c r="CH87" s="198"/>
      <c r="CI87" s="198"/>
      <c r="CJ87" s="198"/>
      <c r="CK87" s="198"/>
      <c r="CL87" s="198"/>
      <c r="CM87" s="198"/>
      <c r="CN87" s="198"/>
      <c r="CO87" s="198"/>
      <c r="CP87" s="198"/>
      <c r="CQ87" s="198"/>
      <c r="CR87" s="198"/>
      <c r="CS87" s="198"/>
      <c r="CT87" s="198"/>
      <c r="CU87" s="198"/>
      <c r="CV87" s="198"/>
      <c r="CW87" s="198"/>
      <c r="CX87" s="198"/>
      <c r="CY87" s="198"/>
      <c r="CZ87" s="198"/>
      <c r="DA87" s="198"/>
      <c r="DB87" s="198"/>
      <c r="DC87" s="198"/>
      <c r="DD87" s="198"/>
      <c r="DE87" s="198"/>
      <c r="DF87" s="198"/>
      <c r="DG87" s="198"/>
      <c r="DH87" s="198"/>
      <c r="DI87" s="198"/>
      <c r="DJ87" s="198"/>
      <c r="DK87" s="198"/>
      <c r="DL87" s="198"/>
      <c r="DM87" s="198"/>
      <c r="DN87" s="198"/>
      <c r="DO87" s="198"/>
      <c r="DP87" s="198"/>
      <c r="DQ87" s="198"/>
      <c r="DR87" s="198"/>
      <c r="DS87" s="198"/>
      <c r="DT87" s="198"/>
      <c r="DU87" s="198"/>
      <c r="DV87" s="198"/>
      <c r="DW87" s="198"/>
      <c r="DX87" s="198"/>
      <c r="DY87" s="198"/>
      <c r="DZ87" s="198"/>
      <c r="EA87" s="198"/>
      <c r="EB87" s="198"/>
      <c r="EC87" s="198"/>
      <c r="ED87" s="198"/>
      <c r="EE87" s="198"/>
      <c r="EF87" s="198"/>
      <c r="EG87" s="198"/>
      <c r="EH87" s="198"/>
      <c r="EI87" s="198"/>
      <c r="EJ87" s="198"/>
      <c r="EK87" s="198"/>
      <c r="EL87" s="198"/>
      <c r="EM87" s="198"/>
      <c r="EN87" s="198"/>
      <c r="EO87" s="198"/>
      <c r="EP87" s="198"/>
      <c r="EQ87" s="198"/>
      <c r="ER87" s="198"/>
      <c r="ES87" s="198"/>
      <c r="ET87" s="198"/>
      <c r="EU87" s="198"/>
      <c r="EV87" s="198"/>
      <c r="EW87" s="198"/>
      <c r="EX87" s="198"/>
      <c r="EY87" s="198"/>
      <c r="EZ87" s="198"/>
      <c r="FA87" s="198"/>
      <c r="FB87" s="198"/>
      <c r="FC87" s="198"/>
      <c r="FD87" s="198"/>
      <c r="FE87" s="198"/>
      <c r="FF87" s="198"/>
      <c r="FG87" s="198"/>
      <c r="FH87" s="198"/>
      <c r="FI87" s="198"/>
      <c r="FJ87" s="198"/>
      <c r="FK87" s="198"/>
      <c r="FL87" s="198"/>
      <c r="FM87" s="198"/>
      <c r="FN87" s="198"/>
      <c r="FO87" s="198"/>
      <c r="FP87" s="198"/>
      <c r="FQ87" s="198"/>
      <c r="FR87" s="198"/>
      <c r="FS87" s="198"/>
      <c r="FT87" s="198"/>
      <c r="FU87" s="198"/>
      <c r="FV87" s="198"/>
      <c r="FW87" s="198"/>
      <c r="FX87" s="198"/>
      <c r="FY87" s="198"/>
      <c r="FZ87" s="198"/>
      <c r="GA87" s="198"/>
      <c r="GB87" s="198"/>
      <c r="GC87" s="198"/>
      <c r="GD87" s="198"/>
      <c r="GE87" s="198"/>
      <c r="GF87" s="198"/>
      <c r="GG87" s="198"/>
      <c r="GH87" s="198"/>
      <c r="GI87" s="198"/>
      <c r="GJ87" s="198"/>
      <c r="GK87" s="198"/>
      <c r="GL87" s="198"/>
      <c r="GM87" s="198"/>
      <c r="GN87" s="198"/>
      <c r="GO87" s="198"/>
      <c r="GP87" s="198"/>
      <c r="GQ87" s="198"/>
      <c r="GR87" s="198"/>
      <c r="GS87" s="198"/>
      <c r="GT87" s="198"/>
      <c r="GU87" s="198"/>
      <c r="GV87" s="198"/>
      <c r="GW87" s="198"/>
      <c r="GX87" s="198"/>
      <c r="GY87" s="198"/>
      <c r="GZ87" s="198"/>
      <c r="HA87" s="198"/>
      <c r="HB87" s="198"/>
      <c r="HC87" s="198"/>
      <c r="HD87" s="198"/>
      <c r="HE87" s="198"/>
      <c r="HF87" s="198"/>
      <c r="HG87" s="198"/>
      <c r="HH87" s="198"/>
      <c r="HI87" s="198"/>
      <c r="HJ87" s="198"/>
      <c r="HK87" s="198"/>
      <c r="HL87" s="198"/>
      <c r="HM87" s="198"/>
      <c r="HN87" s="198"/>
      <c r="HO87" s="198"/>
      <c r="HP87" s="198"/>
      <c r="HQ87" s="198"/>
      <c r="HR87" s="198"/>
      <c r="HS87" s="198"/>
      <c r="HT87" s="198"/>
      <c r="HU87" s="198"/>
      <c r="HV87" s="198"/>
      <c r="HW87" s="198"/>
      <c r="HX87" s="198"/>
      <c r="HY87" s="198"/>
      <c r="HZ87" s="198"/>
      <c r="IA87" s="198"/>
      <c r="IB87" s="198"/>
      <c r="IC87" s="198"/>
      <c r="ID87" s="198"/>
      <c r="IE87" s="198"/>
      <c r="IF87" s="198"/>
      <c r="IG87" s="198"/>
      <c r="IH87" s="198"/>
      <c r="II87" s="198"/>
      <c r="IJ87" s="198"/>
      <c r="IK87" s="198"/>
      <c r="IL87" s="198"/>
      <c r="IM87" s="198"/>
      <c r="IN87" s="198"/>
      <c r="IO87" s="198"/>
      <c r="IP87" s="198"/>
      <c r="IQ87" s="198"/>
      <c r="IR87" s="198"/>
      <c r="IS87" s="198"/>
      <c r="IT87" s="198"/>
      <c r="IU87" s="198"/>
      <c r="IV87" s="198"/>
      <c r="IW87" s="198"/>
      <c r="IX87" s="198"/>
      <c r="IY87" s="198"/>
      <c r="IZ87" s="198"/>
      <c r="JA87" s="198"/>
      <c r="JB87" s="198"/>
      <c r="JC87" s="198"/>
      <c r="JD87" s="198"/>
      <c r="JE87" s="198"/>
      <c r="JF87" s="198"/>
      <c r="JG87" s="198"/>
      <c r="JH87" s="198"/>
      <c r="JI87" s="198"/>
      <c r="JJ87" s="198"/>
      <c r="JK87" s="198"/>
      <c r="JL87" s="198"/>
      <c r="JM87" s="198"/>
      <c r="JN87" s="198"/>
      <c r="JO87" s="198"/>
      <c r="JP87" s="198"/>
      <c r="JQ87" s="198"/>
      <c r="JR87" s="198"/>
      <c r="JS87" s="198"/>
      <c r="JT87" s="198"/>
      <c r="JU87" s="198"/>
      <c r="JV87" s="198"/>
      <c r="JW87" s="198"/>
      <c r="JX87" s="198"/>
      <c r="JY87" s="198"/>
      <c r="JZ87" s="198"/>
      <c r="KA87" s="198"/>
      <c r="KB87" s="198"/>
      <c r="KC87" s="198"/>
      <c r="KD87" s="198"/>
      <c r="KE87" s="198"/>
      <c r="KF87" s="198"/>
      <c r="KG87" s="198"/>
      <c r="KH87" s="198"/>
      <c r="KI87" s="198"/>
      <c r="KJ87" s="198"/>
      <c r="KK87" s="198"/>
      <c r="KL87" s="198"/>
      <c r="KM87" s="198"/>
      <c r="KN87" s="198"/>
      <c r="KO87" s="198"/>
      <c r="KP87" s="198"/>
      <c r="KQ87" s="198"/>
      <c r="KR87" s="198"/>
      <c r="KS87" s="198"/>
      <c r="KT87" s="198"/>
      <c r="KU87" s="198"/>
      <c r="KV87" s="198"/>
      <c r="KW87" s="198"/>
      <c r="KX87" s="198"/>
      <c r="KY87" s="198"/>
      <c r="KZ87" s="198"/>
      <c r="LA87" s="198"/>
      <c r="LB87" s="198"/>
      <c r="LC87" s="198"/>
      <c r="LD87" s="198"/>
      <c r="LE87" s="198"/>
      <c r="LF87" s="198"/>
      <c r="LG87" s="198"/>
      <c r="LH87" s="198"/>
      <c r="LI87" s="198"/>
      <c r="LJ87" s="198"/>
      <c r="LK87" s="198"/>
      <c r="LL87" s="198"/>
      <c r="LM87" s="198"/>
      <c r="LN87" s="198"/>
      <c r="LO87" s="198"/>
      <c r="LP87" s="198"/>
      <c r="LQ87" s="198"/>
      <c r="LR87" s="198"/>
      <c r="LS87" s="198"/>
      <c r="LT87" s="198"/>
      <c r="LU87" s="198"/>
      <c r="LV87" s="198"/>
      <c r="LW87" s="198"/>
      <c r="LX87" s="198"/>
      <c r="LY87" s="198"/>
      <c r="LZ87" s="198"/>
      <c r="MA87" s="198"/>
      <c r="MB87" s="198"/>
      <c r="MC87" s="198"/>
      <c r="MD87" s="198"/>
      <c r="ME87" s="198"/>
      <c r="MF87" s="198"/>
      <c r="MG87" s="198"/>
      <c r="MH87" s="198"/>
      <c r="MI87" s="198"/>
      <c r="MJ87" s="198"/>
      <c r="MK87" s="198"/>
      <c r="ML87" s="198"/>
      <c r="MM87" s="198"/>
      <c r="MN87" s="198"/>
      <c r="MO87" s="198"/>
      <c r="MP87" s="198"/>
      <c r="MQ87" s="198"/>
      <c r="MR87" s="198"/>
      <c r="MS87" s="198"/>
      <c r="MT87" s="198"/>
      <c r="MU87" s="198"/>
      <c r="MV87" s="198"/>
      <c r="MW87" s="198"/>
      <c r="MX87" s="198"/>
      <c r="MY87" s="198"/>
      <c r="MZ87" s="198"/>
      <c r="NA87" s="198"/>
      <c r="NB87" s="198"/>
      <c r="NC87" s="198"/>
      <c r="ND87" s="198"/>
      <c r="NE87" s="198"/>
      <c r="NF87" s="198"/>
      <c r="NG87" s="198"/>
      <c r="NH87" s="198"/>
      <c r="NI87" s="198"/>
      <c r="NJ87" s="198"/>
      <c r="NK87" s="198"/>
      <c r="NL87" s="198"/>
      <c r="NM87" s="198"/>
      <c r="NN87" s="198"/>
      <c r="NO87" s="198"/>
      <c r="NP87" s="198"/>
      <c r="NQ87" s="198"/>
      <c r="NR87" s="198"/>
      <c r="NS87" s="198"/>
      <c r="NT87" s="198"/>
      <c r="NU87" s="198"/>
      <c r="NV87" s="198"/>
      <c r="NW87" s="198"/>
      <c r="NX87" s="198"/>
      <c r="NY87" s="198"/>
      <c r="NZ87" s="198"/>
      <c r="OA87" s="198"/>
      <c r="OB87" s="198"/>
      <c r="OC87" s="198"/>
      <c r="OD87" s="198"/>
      <c r="OE87" s="198"/>
      <c r="OF87" s="198"/>
      <c r="OG87" s="198"/>
      <c r="OH87" s="198"/>
      <c r="OI87" s="198"/>
      <c r="OJ87" s="198"/>
      <c r="OK87" s="198"/>
      <c r="OL87" s="198"/>
      <c r="OM87" s="198"/>
      <c r="ON87" s="198"/>
      <c r="OO87" s="198"/>
      <c r="OP87" s="198"/>
      <c r="OQ87" s="198"/>
      <c r="OR87" s="198"/>
      <c r="OS87" s="198"/>
      <c r="OT87" s="198"/>
      <c r="OU87" s="198"/>
      <c r="OV87" s="198"/>
      <c r="OW87" s="198"/>
      <c r="OX87" s="198"/>
      <c r="OY87" s="198"/>
      <c r="OZ87" s="198"/>
      <c r="PA87" s="198"/>
      <c r="PB87" s="198"/>
      <c r="PC87" s="198"/>
      <c r="PD87" s="198"/>
      <c r="PE87" s="198"/>
      <c r="PF87" s="198"/>
      <c r="PG87" s="198"/>
      <c r="PH87" s="198"/>
      <c r="PI87" s="198"/>
      <c r="PJ87" s="198"/>
      <c r="PK87" s="198"/>
      <c r="PL87" s="198"/>
      <c r="PM87" s="198"/>
      <c r="PN87" s="198"/>
      <c r="PO87" s="198"/>
      <c r="PP87" s="198"/>
      <c r="PQ87" s="198"/>
      <c r="PR87" s="198"/>
      <c r="PS87" s="198"/>
      <c r="PT87" s="198"/>
      <c r="PU87" s="198"/>
      <c r="PV87" s="198"/>
      <c r="PW87" s="198"/>
      <c r="PX87" s="198"/>
      <c r="PY87" s="198"/>
      <c r="PZ87" s="198"/>
      <c r="QA87" s="198"/>
      <c r="QB87" s="198"/>
      <c r="QC87" s="198"/>
      <c r="QD87" s="198"/>
      <c r="QE87" s="198"/>
      <c r="QF87" s="198"/>
      <c r="QG87" s="198"/>
      <c r="QH87" s="198"/>
      <c r="QI87" s="198"/>
      <c r="QJ87" s="198"/>
      <c r="QK87" s="198"/>
      <c r="QL87" s="198"/>
      <c r="QM87" s="198"/>
      <c r="QN87" s="198"/>
      <c r="QO87" s="198"/>
      <c r="QP87" s="198"/>
      <c r="QQ87" s="198"/>
      <c r="QR87" s="198"/>
      <c r="QS87" s="198"/>
      <c r="QT87" s="198"/>
      <c r="QU87" s="198"/>
      <c r="QV87" s="198"/>
      <c r="QW87" s="198"/>
      <c r="QX87" s="198"/>
      <c r="QY87" s="198"/>
      <c r="QZ87" s="198"/>
      <c r="RA87" s="198"/>
      <c r="RB87" s="198"/>
      <c r="RC87" s="198"/>
      <c r="RD87" s="198"/>
      <c r="RE87" s="198"/>
      <c r="RF87" s="198"/>
      <c r="RG87" s="198"/>
      <c r="RH87" s="198"/>
      <c r="RI87" s="198"/>
      <c r="RJ87" s="198"/>
      <c r="RK87" s="198"/>
      <c r="RL87" s="198"/>
      <c r="RM87" s="198"/>
      <c r="RN87" s="198"/>
      <c r="RO87" s="198"/>
      <c r="RP87" s="198"/>
      <c r="RQ87" s="198"/>
      <c r="RR87" s="198"/>
      <c r="RS87" s="198"/>
      <c r="RT87" s="198"/>
      <c r="RU87" s="198"/>
      <c r="RV87" s="198"/>
      <c r="RW87" s="198"/>
      <c r="RX87" s="198"/>
      <c r="RY87" s="198"/>
      <c r="RZ87" s="198"/>
      <c r="SA87" s="198"/>
      <c r="SB87" s="198"/>
      <c r="SC87" s="198"/>
      <c r="SD87" s="198"/>
      <c r="SE87" s="198"/>
      <c r="SF87" s="198"/>
      <c r="SG87" s="198"/>
    </row>
    <row r="88" spans="1:501" ht="40.049999999999997" customHeight="1" x14ac:dyDescent="0.3">
      <c r="A88" s="543" t="s">
        <v>459</v>
      </c>
      <c r="B88" s="956" t="s">
        <v>460</v>
      </c>
      <c r="C88" s="950"/>
      <c r="D88" s="861"/>
      <c r="E88" s="862"/>
      <c r="F88" s="861"/>
      <c r="G88" s="862"/>
      <c r="H88" s="861"/>
      <c r="I88" s="862"/>
      <c r="J88" s="861"/>
      <c r="K88" s="862"/>
      <c r="L88" s="861"/>
      <c r="M88" s="862"/>
      <c r="N88" s="861"/>
      <c r="O88" s="862">
        <f>MANZ.G!AS87</f>
        <v>17</v>
      </c>
      <c r="P88" s="861"/>
      <c r="Q88" s="862"/>
      <c r="R88" s="861"/>
      <c r="S88" s="862"/>
      <c r="T88" s="861"/>
      <c r="U88" s="862"/>
      <c r="V88" s="861"/>
      <c r="W88" s="862"/>
      <c r="X88" s="861"/>
      <c r="Y88" s="862"/>
      <c r="Z88" s="861"/>
      <c r="AA88" s="862"/>
      <c r="AB88" s="864"/>
      <c r="AC88" s="864"/>
      <c r="AD88" s="864"/>
      <c r="AE88" s="864"/>
      <c r="AF88" s="861"/>
      <c r="AG88" s="865">
        <f t="shared" si="0"/>
        <v>3</v>
      </c>
      <c r="AH88" s="866"/>
      <c r="AI88" s="198"/>
      <c r="AJ88" s="198"/>
      <c r="AK88" s="198"/>
      <c r="AL88" s="198"/>
      <c r="AM88" s="198"/>
      <c r="AN88" s="198"/>
      <c r="AO88" s="198"/>
      <c r="AP88" s="198"/>
      <c r="AQ88" s="198"/>
      <c r="AR88" s="198"/>
      <c r="AS88" s="198"/>
      <c r="AT88" s="198"/>
      <c r="AU88" s="198"/>
      <c r="AV88" s="198"/>
      <c r="AW88" s="198"/>
      <c r="AX88" s="198"/>
      <c r="AY88" s="198"/>
      <c r="AZ88" s="198"/>
      <c r="BA88" s="198"/>
      <c r="BB88" s="198"/>
      <c r="BC88" s="198"/>
      <c r="BD88" s="198"/>
      <c r="BE88" s="198"/>
      <c r="BF88" s="198"/>
      <c r="BG88" s="198"/>
      <c r="BH88" s="198"/>
      <c r="BI88" s="198"/>
      <c r="BJ88" s="198"/>
      <c r="BK88" s="198"/>
      <c r="BL88" s="198"/>
      <c r="BM88" s="198"/>
      <c r="BN88" s="198"/>
      <c r="BO88" s="198"/>
      <c r="BP88" s="198"/>
      <c r="BQ88" s="198"/>
      <c r="BR88" s="198"/>
      <c r="BS88" s="198"/>
      <c r="BT88" s="198"/>
      <c r="BU88" s="198"/>
      <c r="BV88" s="198"/>
      <c r="BW88" s="198"/>
      <c r="BX88" s="198"/>
      <c r="BY88" s="198"/>
      <c r="BZ88" s="198"/>
      <c r="CA88" s="198"/>
      <c r="CB88" s="198"/>
      <c r="CC88" s="198"/>
      <c r="CD88" s="198"/>
      <c r="CE88" s="198"/>
      <c r="CF88" s="198"/>
      <c r="CG88" s="198"/>
      <c r="CH88" s="198"/>
      <c r="CI88" s="198"/>
      <c r="CJ88" s="198"/>
      <c r="CK88" s="198"/>
      <c r="CL88" s="198"/>
      <c r="CM88" s="198"/>
      <c r="CN88" s="198"/>
      <c r="CO88" s="198"/>
      <c r="CP88" s="198"/>
      <c r="CQ88" s="198"/>
      <c r="CR88" s="198"/>
      <c r="CS88" s="198"/>
      <c r="CT88" s="198"/>
      <c r="CU88" s="198"/>
      <c r="CV88" s="198"/>
      <c r="CW88" s="198"/>
      <c r="CX88" s="198"/>
      <c r="CY88" s="198"/>
      <c r="CZ88" s="198"/>
      <c r="DA88" s="198"/>
      <c r="DB88" s="198"/>
      <c r="DC88" s="198"/>
      <c r="DD88" s="198"/>
      <c r="DE88" s="198"/>
      <c r="DF88" s="198"/>
      <c r="DG88" s="198"/>
      <c r="DH88" s="198"/>
      <c r="DI88" s="198"/>
      <c r="DJ88" s="198"/>
      <c r="DK88" s="198"/>
      <c r="DL88" s="198"/>
      <c r="DM88" s="198"/>
      <c r="DN88" s="198"/>
      <c r="DO88" s="198"/>
      <c r="DP88" s="198"/>
      <c r="DQ88" s="198"/>
      <c r="DR88" s="198"/>
      <c r="DS88" s="198"/>
      <c r="DT88" s="198"/>
      <c r="DU88" s="198"/>
      <c r="DV88" s="198"/>
      <c r="DW88" s="198"/>
      <c r="DX88" s="198"/>
      <c r="DY88" s="198"/>
      <c r="DZ88" s="198"/>
      <c r="EA88" s="198"/>
      <c r="EB88" s="198"/>
      <c r="EC88" s="198"/>
      <c r="ED88" s="198"/>
      <c r="EE88" s="198"/>
      <c r="EF88" s="198"/>
      <c r="EG88" s="198"/>
      <c r="EH88" s="198"/>
      <c r="EI88" s="198"/>
      <c r="EJ88" s="198"/>
      <c r="EK88" s="198"/>
      <c r="EL88" s="198"/>
      <c r="EM88" s="198"/>
      <c r="EN88" s="198"/>
      <c r="EO88" s="198"/>
      <c r="EP88" s="198"/>
      <c r="EQ88" s="198"/>
      <c r="ER88" s="198"/>
      <c r="ES88" s="198"/>
      <c r="ET88" s="198"/>
      <c r="EU88" s="198"/>
      <c r="EV88" s="198"/>
      <c r="EW88" s="198"/>
      <c r="EX88" s="198"/>
      <c r="EY88" s="198"/>
      <c r="EZ88" s="198"/>
      <c r="FA88" s="198"/>
      <c r="FB88" s="198"/>
      <c r="FC88" s="198"/>
      <c r="FD88" s="198"/>
      <c r="FE88" s="198"/>
      <c r="FF88" s="198"/>
      <c r="FG88" s="198"/>
      <c r="FH88" s="198"/>
      <c r="FI88" s="198"/>
      <c r="FJ88" s="198"/>
      <c r="FK88" s="198"/>
      <c r="FL88" s="198"/>
      <c r="FM88" s="198"/>
      <c r="FN88" s="198"/>
      <c r="FO88" s="198"/>
      <c r="FP88" s="198"/>
      <c r="FQ88" s="198"/>
      <c r="FR88" s="198"/>
      <c r="FS88" s="198"/>
      <c r="FT88" s="198"/>
      <c r="FU88" s="198"/>
      <c r="FV88" s="198"/>
      <c r="FW88" s="198"/>
      <c r="FX88" s="198"/>
      <c r="FY88" s="198"/>
      <c r="FZ88" s="198"/>
      <c r="GA88" s="198"/>
      <c r="GB88" s="198"/>
      <c r="GC88" s="198"/>
      <c r="GD88" s="198"/>
      <c r="GE88" s="198"/>
      <c r="GF88" s="198"/>
      <c r="GG88" s="198"/>
      <c r="GH88" s="198"/>
      <c r="GI88" s="198"/>
      <c r="GJ88" s="198"/>
      <c r="GK88" s="198"/>
      <c r="GL88" s="198"/>
      <c r="GM88" s="198"/>
      <c r="GN88" s="198"/>
      <c r="GO88" s="198"/>
      <c r="GP88" s="198"/>
      <c r="GQ88" s="198"/>
      <c r="GR88" s="198"/>
      <c r="GS88" s="198"/>
      <c r="GT88" s="198"/>
      <c r="GU88" s="198"/>
      <c r="GV88" s="198"/>
      <c r="GW88" s="198"/>
      <c r="GX88" s="198"/>
      <c r="GY88" s="198"/>
      <c r="GZ88" s="198"/>
      <c r="HA88" s="198"/>
      <c r="HB88" s="198"/>
      <c r="HC88" s="198"/>
      <c r="HD88" s="198"/>
      <c r="HE88" s="198"/>
      <c r="HF88" s="198"/>
      <c r="HG88" s="198"/>
      <c r="HH88" s="198"/>
      <c r="HI88" s="198"/>
      <c r="HJ88" s="198"/>
      <c r="HK88" s="198"/>
      <c r="HL88" s="198"/>
      <c r="HM88" s="198"/>
      <c r="HN88" s="198"/>
      <c r="HO88" s="198"/>
      <c r="HP88" s="198"/>
      <c r="HQ88" s="198"/>
      <c r="HR88" s="198"/>
      <c r="HS88" s="198"/>
      <c r="HT88" s="198"/>
      <c r="HU88" s="198"/>
      <c r="HV88" s="198"/>
      <c r="HW88" s="198"/>
      <c r="HX88" s="198"/>
      <c r="HY88" s="198"/>
      <c r="HZ88" s="198"/>
      <c r="IA88" s="198"/>
      <c r="IB88" s="198"/>
      <c r="IC88" s="198"/>
      <c r="ID88" s="198"/>
      <c r="IE88" s="198"/>
      <c r="IF88" s="198"/>
      <c r="IG88" s="198"/>
      <c r="IH88" s="198"/>
      <c r="II88" s="198"/>
      <c r="IJ88" s="198"/>
      <c r="IK88" s="198"/>
      <c r="IL88" s="198"/>
      <c r="IM88" s="198"/>
      <c r="IN88" s="198"/>
      <c r="IO88" s="198"/>
      <c r="IP88" s="198"/>
      <c r="IQ88" s="198"/>
      <c r="IR88" s="198"/>
      <c r="IS88" s="198"/>
      <c r="IT88" s="198"/>
      <c r="IU88" s="198"/>
      <c r="IV88" s="198"/>
      <c r="IW88" s="198"/>
      <c r="IX88" s="198"/>
      <c r="IY88" s="198"/>
      <c r="IZ88" s="198"/>
      <c r="JA88" s="198"/>
      <c r="JB88" s="198"/>
      <c r="JC88" s="198"/>
      <c r="JD88" s="198"/>
      <c r="JE88" s="198"/>
      <c r="JF88" s="198"/>
      <c r="JG88" s="198"/>
      <c r="JH88" s="198"/>
      <c r="JI88" s="198"/>
      <c r="JJ88" s="198"/>
      <c r="JK88" s="198"/>
      <c r="JL88" s="198"/>
      <c r="JM88" s="198"/>
      <c r="JN88" s="198"/>
      <c r="JO88" s="198"/>
      <c r="JP88" s="198"/>
      <c r="JQ88" s="198"/>
      <c r="JR88" s="198"/>
      <c r="JS88" s="198"/>
      <c r="JT88" s="198"/>
      <c r="JU88" s="198"/>
      <c r="JV88" s="198"/>
      <c r="JW88" s="198"/>
      <c r="JX88" s="198"/>
      <c r="JY88" s="198"/>
      <c r="JZ88" s="198"/>
      <c r="KA88" s="198"/>
      <c r="KB88" s="198"/>
      <c r="KC88" s="198"/>
      <c r="KD88" s="198"/>
      <c r="KE88" s="198"/>
      <c r="KF88" s="198"/>
      <c r="KG88" s="198"/>
      <c r="KH88" s="198"/>
      <c r="KI88" s="198"/>
      <c r="KJ88" s="198"/>
      <c r="KK88" s="198"/>
      <c r="KL88" s="198"/>
      <c r="KM88" s="198"/>
      <c r="KN88" s="198"/>
      <c r="KO88" s="198"/>
      <c r="KP88" s="198"/>
      <c r="KQ88" s="198"/>
      <c r="KR88" s="198"/>
      <c r="KS88" s="198"/>
      <c r="KT88" s="198"/>
      <c r="KU88" s="198"/>
      <c r="KV88" s="198"/>
      <c r="KW88" s="198"/>
      <c r="KX88" s="198"/>
      <c r="KY88" s="198"/>
      <c r="KZ88" s="198"/>
      <c r="LA88" s="198"/>
      <c r="LB88" s="198"/>
      <c r="LC88" s="198"/>
      <c r="LD88" s="198"/>
      <c r="LE88" s="198"/>
      <c r="LF88" s="198"/>
      <c r="LG88" s="198"/>
      <c r="LH88" s="198"/>
      <c r="LI88" s="198"/>
      <c r="LJ88" s="198"/>
      <c r="LK88" s="198"/>
      <c r="LL88" s="198"/>
      <c r="LM88" s="198"/>
      <c r="LN88" s="198"/>
      <c r="LO88" s="198"/>
      <c r="LP88" s="198"/>
      <c r="LQ88" s="198"/>
      <c r="LR88" s="198"/>
      <c r="LS88" s="198"/>
      <c r="LT88" s="198"/>
      <c r="LU88" s="198"/>
      <c r="LV88" s="198"/>
      <c r="LW88" s="198"/>
      <c r="LX88" s="198"/>
      <c r="LY88" s="198"/>
      <c r="LZ88" s="198"/>
      <c r="MA88" s="198"/>
      <c r="MB88" s="198"/>
      <c r="MC88" s="198"/>
      <c r="MD88" s="198"/>
      <c r="ME88" s="198"/>
      <c r="MF88" s="198"/>
      <c r="MG88" s="198"/>
      <c r="MH88" s="198"/>
      <c r="MI88" s="198"/>
      <c r="MJ88" s="198"/>
      <c r="MK88" s="198"/>
      <c r="ML88" s="198"/>
      <c r="MM88" s="198"/>
      <c r="MN88" s="198"/>
      <c r="MO88" s="198"/>
      <c r="MP88" s="198"/>
      <c r="MQ88" s="198"/>
      <c r="MR88" s="198"/>
      <c r="MS88" s="198"/>
      <c r="MT88" s="198"/>
      <c r="MU88" s="198"/>
      <c r="MV88" s="198"/>
      <c r="MW88" s="198"/>
      <c r="MX88" s="198"/>
      <c r="MY88" s="198"/>
      <c r="MZ88" s="198"/>
      <c r="NA88" s="198"/>
      <c r="NB88" s="198"/>
      <c r="NC88" s="198"/>
      <c r="ND88" s="198"/>
      <c r="NE88" s="198"/>
      <c r="NF88" s="198"/>
      <c r="NG88" s="198"/>
      <c r="NH88" s="198"/>
      <c r="NI88" s="198"/>
      <c r="NJ88" s="198"/>
      <c r="NK88" s="198"/>
      <c r="NL88" s="198"/>
      <c r="NM88" s="198"/>
      <c r="NN88" s="198"/>
      <c r="NO88" s="198"/>
      <c r="NP88" s="198"/>
      <c r="NQ88" s="198"/>
      <c r="NR88" s="198"/>
      <c r="NS88" s="198"/>
      <c r="NT88" s="198"/>
      <c r="NU88" s="198"/>
      <c r="NV88" s="198"/>
      <c r="NW88" s="198"/>
      <c r="NX88" s="198"/>
      <c r="NY88" s="198"/>
      <c r="NZ88" s="198"/>
      <c r="OA88" s="198"/>
      <c r="OB88" s="198"/>
      <c r="OC88" s="198"/>
      <c r="OD88" s="198"/>
      <c r="OE88" s="198"/>
      <c r="OF88" s="198"/>
      <c r="OG88" s="198"/>
      <c r="OH88" s="198"/>
      <c r="OI88" s="198"/>
      <c r="OJ88" s="198"/>
      <c r="OK88" s="198"/>
      <c r="OL88" s="198"/>
      <c r="OM88" s="198"/>
      <c r="ON88" s="198"/>
      <c r="OO88" s="198"/>
      <c r="OP88" s="198"/>
      <c r="OQ88" s="198"/>
      <c r="OR88" s="198"/>
      <c r="OS88" s="198"/>
      <c r="OT88" s="198"/>
      <c r="OU88" s="198"/>
      <c r="OV88" s="198"/>
      <c r="OW88" s="198"/>
      <c r="OX88" s="198"/>
      <c r="OY88" s="198"/>
      <c r="OZ88" s="198"/>
      <c r="PA88" s="198"/>
      <c r="PB88" s="198"/>
      <c r="PC88" s="198"/>
      <c r="PD88" s="198"/>
      <c r="PE88" s="198"/>
      <c r="PF88" s="198"/>
      <c r="PG88" s="198"/>
      <c r="PH88" s="198"/>
      <c r="PI88" s="198"/>
      <c r="PJ88" s="198"/>
      <c r="PK88" s="198"/>
      <c r="PL88" s="198"/>
      <c r="PM88" s="198"/>
      <c r="PN88" s="198"/>
      <c r="PO88" s="198"/>
      <c r="PP88" s="198"/>
      <c r="PQ88" s="198"/>
      <c r="PR88" s="198"/>
      <c r="PS88" s="198"/>
      <c r="PT88" s="198"/>
      <c r="PU88" s="198"/>
      <c r="PV88" s="198"/>
      <c r="PW88" s="198"/>
      <c r="PX88" s="198"/>
      <c r="PY88" s="198"/>
      <c r="PZ88" s="198"/>
      <c r="QA88" s="198"/>
      <c r="QB88" s="198"/>
      <c r="QC88" s="198"/>
      <c r="QD88" s="198"/>
      <c r="QE88" s="198"/>
      <c r="QF88" s="198"/>
      <c r="QG88" s="198"/>
      <c r="QH88" s="198"/>
      <c r="QI88" s="198"/>
      <c r="QJ88" s="198"/>
      <c r="QK88" s="198"/>
      <c r="QL88" s="198"/>
      <c r="QM88" s="198"/>
      <c r="QN88" s="198"/>
      <c r="QO88" s="198"/>
      <c r="QP88" s="198"/>
      <c r="QQ88" s="198"/>
      <c r="QR88" s="198"/>
      <c r="QS88" s="198"/>
      <c r="QT88" s="198"/>
      <c r="QU88" s="198"/>
      <c r="QV88" s="198"/>
      <c r="QW88" s="198"/>
      <c r="QX88" s="198"/>
      <c r="QY88" s="198"/>
      <c r="QZ88" s="198"/>
      <c r="RA88" s="198"/>
      <c r="RB88" s="198"/>
      <c r="RC88" s="198"/>
      <c r="RD88" s="198"/>
      <c r="RE88" s="198"/>
      <c r="RF88" s="198"/>
      <c r="RG88" s="198"/>
      <c r="RH88" s="198"/>
      <c r="RI88" s="198"/>
      <c r="RJ88" s="198"/>
      <c r="RK88" s="198"/>
      <c r="RL88" s="198"/>
      <c r="RM88" s="198"/>
      <c r="RN88" s="198"/>
      <c r="RO88" s="198"/>
      <c r="RP88" s="198"/>
      <c r="RQ88" s="198"/>
      <c r="RR88" s="198"/>
      <c r="RS88" s="198"/>
      <c r="RT88" s="198"/>
      <c r="RU88" s="198"/>
      <c r="RV88" s="198"/>
      <c r="RW88" s="198"/>
      <c r="RX88" s="198"/>
      <c r="RY88" s="198"/>
      <c r="RZ88" s="198"/>
      <c r="SA88" s="198"/>
      <c r="SB88" s="198"/>
      <c r="SC88" s="198"/>
      <c r="SD88" s="198"/>
      <c r="SE88" s="198"/>
      <c r="SF88" s="198"/>
      <c r="SG88" s="198"/>
    </row>
    <row r="89" spans="1:501" ht="40.049999999999997" customHeight="1" x14ac:dyDescent="0.3">
      <c r="A89" s="543" t="s">
        <v>244</v>
      </c>
      <c r="B89" s="956" t="s">
        <v>245</v>
      </c>
      <c r="C89" s="950"/>
      <c r="D89" s="861"/>
      <c r="E89" s="862"/>
      <c r="F89" s="861"/>
      <c r="G89" s="862"/>
      <c r="H89" s="861"/>
      <c r="I89" s="862"/>
      <c r="J89" s="861"/>
      <c r="K89" s="862"/>
      <c r="L89" s="861"/>
      <c r="M89" s="862"/>
      <c r="N89" s="861"/>
      <c r="O89" s="862">
        <f>MANZ.G!AS88</f>
        <v>0</v>
      </c>
      <c r="P89" s="861"/>
      <c r="Q89" s="862"/>
      <c r="R89" s="861"/>
      <c r="S89" s="862"/>
      <c r="T89" s="861"/>
      <c r="U89" s="862"/>
      <c r="V89" s="861"/>
      <c r="W89" s="862"/>
      <c r="X89" s="861"/>
      <c r="Y89" s="862"/>
      <c r="Z89" s="861"/>
      <c r="AA89" s="862"/>
      <c r="AB89" s="864"/>
      <c r="AC89" s="864"/>
      <c r="AD89" s="864"/>
      <c r="AE89" s="864"/>
      <c r="AF89" s="861"/>
      <c r="AG89" s="865">
        <f t="shared" si="0"/>
        <v>17</v>
      </c>
      <c r="AH89" s="866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  <c r="AS89" s="198"/>
      <c r="AT89" s="198"/>
      <c r="AU89" s="198"/>
      <c r="AV89" s="198"/>
      <c r="AW89" s="198"/>
      <c r="AX89" s="198"/>
      <c r="AY89" s="198"/>
      <c r="AZ89" s="198"/>
      <c r="BA89" s="198"/>
      <c r="BB89" s="198"/>
      <c r="BC89" s="198"/>
      <c r="BD89" s="198"/>
      <c r="BE89" s="198"/>
      <c r="BF89" s="198"/>
      <c r="BG89" s="198"/>
      <c r="BH89" s="198"/>
      <c r="BI89" s="198"/>
      <c r="BJ89" s="198"/>
      <c r="BK89" s="198"/>
      <c r="BL89" s="198"/>
      <c r="BM89" s="198"/>
      <c r="BN89" s="198"/>
      <c r="BO89" s="198"/>
      <c r="BP89" s="198"/>
      <c r="BQ89" s="198"/>
      <c r="BR89" s="198"/>
      <c r="BS89" s="198"/>
      <c r="BT89" s="198"/>
      <c r="BU89" s="198"/>
      <c r="BV89" s="198"/>
      <c r="BW89" s="198"/>
      <c r="BX89" s="198"/>
      <c r="BY89" s="198"/>
      <c r="BZ89" s="198"/>
      <c r="CA89" s="198"/>
      <c r="CB89" s="198"/>
      <c r="CC89" s="198"/>
      <c r="CD89" s="198"/>
      <c r="CE89" s="198"/>
      <c r="CF89" s="198"/>
      <c r="CG89" s="198"/>
      <c r="CH89" s="198"/>
      <c r="CI89" s="198"/>
      <c r="CJ89" s="198"/>
      <c r="CK89" s="198"/>
      <c r="CL89" s="198"/>
      <c r="CM89" s="198"/>
      <c r="CN89" s="198"/>
      <c r="CO89" s="198"/>
      <c r="CP89" s="198"/>
      <c r="CQ89" s="198"/>
      <c r="CR89" s="198"/>
      <c r="CS89" s="198"/>
      <c r="CT89" s="198"/>
      <c r="CU89" s="198"/>
      <c r="CV89" s="198"/>
      <c r="CW89" s="198"/>
      <c r="CX89" s="198"/>
      <c r="CY89" s="198"/>
      <c r="CZ89" s="198"/>
      <c r="DA89" s="198"/>
      <c r="DB89" s="198"/>
      <c r="DC89" s="198"/>
      <c r="DD89" s="198"/>
      <c r="DE89" s="198"/>
      <c r="DF89" s="198"/>
      <c r="DG89" s="198"/>
      <c r="DH89" s="198"/>
      <c r="DI89" s="198"/>
      <c r="DJ89" s="198"/>
      <c r="DK89" s="198"/>
      <c r="DL89" s="198"/>
      <c r="DM89" s="198"/>
      <c r="DN89" s="198"/>
      <c r="DO89" s="198"/>
      <c r="DP89" s="198"/>
      <c r="DQ89" s="198"/>
      <c r="DR89" s="198"/>
      <c r="DS89" s="198"/>
      <c r="DT89" s="198"/>
      <c r="DU89" s="198"/>
      <c r="DV89" s="198"/>
      <c r="DW89" s="198"/>
      <c r="DX89" s="198"/>
      <c r="DY89" s="198"/>
      <c r="DZ89" s="198"/>
      <c r="EA89" s="198"/>
      <c r="EB89" s="198"/>
      <c r="EC89" s="198"/>
      <c r="ED89" s="198"/>
      <c r="EE89" s="198"/>
      <c r="EF89" s="198"/>
      <c r="EG89" s="198"/>
      <c r="EH89" s="198"/>
      <c r="EI89" s="198"/>
      <c r="EJ89" s="198"/>
      <c r="EK89" s="198"/>
      <c r="EL89" s="198"/>
      <c r="EM89" s="198"/>
      <c r="EN89" s="198"/>
      <c r="EO89" s="198"/>
      <c r="EP89" s="198"/>
      <c r="EQ89" s="198"/>
      <c r="ER89" s="198"/>
      <c r="ES89" s="198"/>
      <c r="ET89" s="198"/>
      <c r="EU89" s="198"/>
      <c r="EV89" s="198"/>
      <c r="EW89" s="198"/>
      <c r="EX89" s="198"/>
      <c r="EY89" s="198"/>
      <c r="EZ89" s="198"/>
      <c r="FA89" s="198"/>
      <c r="FB89" s="198"/>
      <c r="FC89" s="198"/>
      <c r="FD89" s="198"/>
      <c r="FE89" s="198"/>
      <c r="FF89" s="198"/>
      <c r="FG89" s="198"/>
      <c r="FH89" s="198"/>
      <c r="FI89" s="198"/>
      <c r="FJ89" s="198"/>
      <c r="FK89" s="198"/>
      <c r="FL89" s="198"/>
      <c r="FM89" s="198"/>
      <c r="FN89" s="198"/>
      <c r="FO89" s="198"/>
      <c r="FP89" s="198"/>
      <c r="FQ89" s="198"/>
      <c r="FR89" s="198"/>
      <c r="FS89" s="198"/>
      <c r="FT89" s="198"/>
      <c r="FU89" s="198"/>
      <c r="FV89" s="198"/>
      <c r="FW89" s="198"/>
      <c r="FX89" s="198"/>
      <c r="FY89" s="198"/>
      <c r="FZ89" s="198"/>
      <c r="GA89" s="198"/>
      <c r="GB89" s="198"/>
      <c r="GC89" s="198"/>
      <c r="GD89" s="198"/>
      <c r="GE89" s="198"/>
      <c r="GF89" s="198"/>
      <c r="GG89" s="198"/>
      <c r="GH89" s="198"/>
      <c r="GI89" s="198"/>
      <c r="GJ89" s="198"/>
      <c r="GK89" s="198"/>
      <c r="GL89" s="198"/>
      <c r="GM89" s="198"/>
      <c r="GN89" s="198"/>
      <c r="GO89" s="198"/>
      <c r="GP89" s="198"/>
      <c r="GQ89" s="198"/>
      <c r="GR89" s="198"/>
      <c r="GS89" s="198"/>
      <c r="GT89" s="198"/>
      <c r="GU89" s="198"/>
      <c r="GV89" s="198"/>
      <c r="GW89" s="198"/>
      <c r="GX89" s="198"/>
      <c r="GY89" s="198"/>
      <c r="GZ89" s="198"/>
      <c r="HA89" s="198"/>
      <c r="HB89" s="198"/>
      <c r="HC89" s="198"/>
      <c r="HD89" s="198"/>
      <c r="HE89" s="198"/>
      <c r="HF89" s="198"/>
      <c r="HG89" s="198"/>
      <c r="HH89" s="198"/>
      <c r="HI89" s="198"/>
      <c r="HJ89" s="198"/>
      <c r="HK89" s="198"/>
      <c r="HL89" s="198"/>
      <c r="HM89" s="198"/>
      <c r="HN89" s="198"/>
      <c r="HO89" s="198"/>
      <c r="HP89" s="198"/>
      <c r="HQ89" s="198"/>
      <c r="HR89" s="198"/>
      <c r="HS89" s="198"/>
      <c r="HT89" s="198"/>
      <c r="HU89" s="198"/>
      <c r="HV89" s="198"/>
      <c r="HW89" s="198"/>
      <c r="HX89" s="198"/>
      <c r="HY89" s="198"/>
      <c r="HZ89" s="198"/>
      <c r="IA89" s="198"/>
      <c r="IB89" s="198"/>
      <c r="IC89" s="198"/>
      <c r="ID89" s="198"/>
      <c r="IE89" s="198"/>
      <c r="IF89" s="198"/>
      <c r="IG89" s="198"/>
      <c r="IH89" s="198"/>
      <c r="II89" s="198"/>
      <c r="IJ89" s="198"/>
      <c r="IK89" s="198"/>
      <c r="IL89" s="198"/>
      <c r="IM89" s="198"/>
      <c r="IN89" s="198"/>
      <c r="IO89" s="198"/>
      <c r="IP89" s="198"/>
      <c r="IQ89" s="198"/>
      <c r="IR89" s="198"/>
      <c r="IS89" s="198"/>
      <c r="IT89" s="198"/>
      <c r="IU89" s="198"/>
      <c r="IV89" s="198"/>
      <c r="IW89" s="198"/>
      <c r="IX89" s="198"/>
      <c r="IY89" s="198"/>
      <c r="IZ89" s="198"/>
      <c r="JA89" s="198"/>
      <c r="JB89" s="198"/>
      <c r="JC89" s="198"/>
      <c r="JD89" s="198"/>
      <c r="JE89" s="198"/>
      <c r="JF89" s="198"/>
      <c r="JG89" s="198"/>
      <c r="JH89" s="198"/>
      <c r="JI89" s="198"/>
      <c r="JJ89" s="198"/>
      <c r="JK89" s="198"/>
      <c r="JL89" s="198"/>
      <c r="JM89" s="198"/>
      <c r="JN89" s="198"/>
      <c r="JO89" s="198"/>
      <c r="JP89" s="198"/>
      <c r="JQ89" s="198"/>
      <c r="JR89" s="198"/>
      <c r="JS89" s="198"/>
      <c r="JT89" s="198"/>
      <c r="JU89" s="198"/>
      <c r="JV89" s="198"/>
      <c r="JW89" s="198"/>
      <c r="JX89" s="198"/>
      <c r="JY89" s="198"/>
      <c r="JZ89" s="198"/>
      <c r="KA89" s="198"/>
      <c r="KB89" s="198"/>
      <c r="KC89" s="198"/>
      <c r="KD89" s="198"/>
      <c r="KE89" s="198"/>
      <c r="KF89" s="198"/>
      <c r="KG89" s="198"/>
      <c r="KH89" s="198"/>
      <c r="KI89" s="198"/>
      <c r="KJ89" s="198"/>
      <c r="KK89" s="198"/>
      <c r="KL89" s="198"/>
      <c r="KM89" s="198"/>
      <c r="KN89" s="198"/>
      <c r="KO89" s="198"/>
      <c r="KP89" s="198"/>
      <c r="KQ89" s="198"/>
      <c r="KR89" s="198"/>
      <c r="KS89" s="198"/>
      <c r="KT89" s="198"/>
      <c r="KU89" s="198"/>
      <c r="KV89" s="198"/>
      <c r="KW89" s="198"/>
      <c r="KX89" s="198"/>
      <c r="KY89" s="198"/>
      <c r="KZ89" s="198"/>
      <c r="LA89" s="198"/>
      <c r="LB89" s="198"/>
      <c r="LC89" s="198"/>
      <c r="LD89" s="198"/>
      <c r="LE89" s="198"/>
      <c r="LF89" s="198"/>
      <c r="LG89" s="198"/>
      <c r="LH89" s="198"/>
      <c r="LI89" s="198"/>
      <c r="LJ89" s="198"/>
      <c r="LK89" s="198"/>
      <c r="LL89" s="198"/>
      <c r="LM89" s="198"/>
      <c r="LN89" s="198"/>
      <c r="LO89" s="198"/>
      <c r="LP89" s="198"/>
      <c r="LQ89" s="198"/>
      <c r="LR89" s="198"/>
      <c r="LS89" s="198"/>
      <c r="LT89" s="198"/>
      <c r="LU89" s="198"/>
      <c r="LV89" s="198"/>
      <c r="LW89" s="198"/>
      <c r="LX89" s="198"/>
      <c r="LY89" s="198"/>
      <c r="LZ89" s="198"/>
      <c r="MA89" s="198"/>
      <c r="MB89" s="198"/>
      <c r="MC89" s="198"/>
      <c r="MD89" s="198"/>
      <c r="ME89" s="198"/>
      <c r="MF89" s="198"/>
      <c r="MG89" s="198"/>
      <c r="MH89" s="198"/>
      <c r="MI89" s="198"/>
      <c r="MJ89" s="198"/>
      <c r="MK89" s="198"/>
      <c r="ML89" s="198"/>
      <c r="MM89" s="198"/>
      <c r="MN89" s="198"/>
      <c r="MO89" s="198"/>
      <c r="MP89" s="198"/>
      <c r="MQ89" s="198"/>
      <c r="MR89" s="198"/>
      <c r="MS89" s="198"/>
      <c r="MT89" s="198"/>
      <c r="MU89" s="198"/>
      <c r="MV89" s="198"/>
      <c r="MW89" s="198"/>
      <c r="MX89" s="198"/>
      <c r="MY89" s="198"/>
      <c r="MZ89" s="198"/>
      <c r="NA89" s="198"/>
      <c r="NB89" s="198"/>
      <c r="NC89" s="198"/>
      <c r="ND89" s="198"/>
      <c r="NE89" s="198"/>
      <c r="NF89" s="198"/>
      <c r="NG89" s="198"/>
      <c r="NH89" s="198"/>
      <c r="NI89" s="198"/>
      <c r="NJ89" s="198"/>
      <c r="NK89" s="198"/>
      <c r="NL89" s="198"/>
      <c r="NM89" s="198"/>
      <c r="NN89" s="198"/>
      <c r="NO89" s="198"/>
      <c r="NP89" s="198"/>
      <c r="NQ89" s="198"/>
      <c r="NR89" s="198"/>
      <c r="NS89" s="198"/>
      <c r="NT89" s="198"/>
      <c r="NU89" s="198"/>
      <c r="NV89" s="198"/>
      <c r="NW89" s="198"/>
      <c r="NX89" s="198"/>
      <c r="NY89" s="198"/>
      <c r="NZ89" s="198"/>
      <c r="OA89" s="198"/>
      <c r="OB89" s="198"/>
      <c r="OC89" s="198"/>
      <c r="OD89" s="198"/>
      <c r="OE89" s="198"/>
      <c r="OF89" s="198"/>
      <c r="OG89" s="198"/>
      <c r="OH89" s="198"/>
      <c r="OI89" s="198"/>
      <c r="OJ89" s="198"/>
      <c r="OK89" s="198"/>
      <c r="OL89" s="198"/>
      <c r="OM89" s="198"/>
      <c r="ON89" s="198"/>
      <c r="OO89" s="198"/>
      <c r="OP89" s="198"/>
      <c r="OQ89" s="198"/>
      <c r="OR89" s="198"/>
      <c r="OS89" s="198"/>
      <c r="OT89" s="198"/>
      <c r="OU89" s="198"/>
      <c r="OV89" s="198"/>
      <c r="OW89" s="198"/>
      <c r="OX89" s="198"/>
      <c r="OY89" s="198"/>
      <c r="OZ89" s="198"/>
      <c r="PA89" s="198"/>
      <c r="PB89" s="198"/>
      <c r="PC89" s="198"/>
      <c r="PD89" s="198"/>
      <c r="PE89" s="198"/>
      <c r="PF89" s="198"/>
      <c r="PG89" s="198"/>
      <c r="PH89" s="198"/>
      <c r="PI89" s="198"/>
      <c r="PJ89" s="198"/>
      <c r="PK89" s="198"/>
      <c r="PL89" s="198"/>
      <c r="PM89" s="198"/>
      <c r="PN89" s="198"/>
      <c r="PO89" s="198"/>
      <c r="PP89" s="198"/>
      <c r="PQ89" s="198"/>
      <c r="PR89" s="198"/>
      <c r="PS89" s="198"/>
      <c r="PT89" s="198"/>
      <c r="PU89" s="198"/>
      <c r="PV89" s="198"/>
      <c r="PW89" s="198"/>
      <c r="PX89" s="198"/>
      <c r="PY89" s="198"/>
      <c r="PZ89" s="198"/>
      <c r="QA89" s="198"/>
      <c r="QB89" s="198"/>
      <c r="QC89" s="198"/>
      <c r="QD89" s="198"/>
      <c r="QE89" s="198"/>
      <c r="QF89" s="198"/>
      <c r="QG89" s="198"/>
      <c r="QH89" s="198"/>
      <c r="QI89" s="198"/>
      <c r="QJ89" s="198"/>
      <c r="QK89" s="198"/>
      <c r="QL89" s="198"/>
      <c r="QM89" s="198"/>
      <c r="QN89" s="198"/>
      <c r="QO89" s="198"/>
      <c r="QP89" s="198"/>
      <c r="QQ89" s="198"/>
      <c r="QR89" s="198"/>
      <c r="QS89" s="198"/>
      <c r="QT89" s="198"/>
      <c r="QU89" s="198"/>
      <c r="QV89" s="198"/>
      <c r="QW89" s="198"/>
      <c r="QX89" s="198"/>
      <c r="QY89" s="198"/>
      <c r="QZ89" s="198"/>
      <c r="RA89" s="198"/>
      <c r="RB89" s="198"/>
      <c r="RC89" s="198"/>
      <c r="RD89" s="198"/>
      <c r="RE89" s="198"/>
      <c r="RF89" s="198"/>
      <c r="RG89" s="198"/>
      <c r="RH89" s="198"/>
      <c r="RI89" s="198"/>
      <c r="RJ89" s="198"/>
      <c r="RK89" s="198"/>
      <c r="RL89" s="198"/>
      <c r="RM89" s="198"/>
      <c r="RN89" s="198"/>
      <c r="RO89" s="198"/>
      <c r="RP89" s="198"/>
      <c r="RQ89" s="198"/>
      <c r="RR89" s="198"/>
      <c r="RS89" s="198"/>
      <c r="RT89" s="198"/>
      <c r="RU89" s="198"/>
      <c r="RV89" s="198"/>
      <c r="RW89" s="198"/>
      <c r="RX89" s="198"/>
      <c r="RY89" s="198"/>
      <c r="RZ89" s="198"/>
      <c r="SA89" s="198"/>
      <c r="SB89" s="198"/>
      <c r="SC89" s="198"/>
      <c r="SD89" s="198"/>
      <c r="SE89" s="198"/>
      <c r="SF89" s="198"/>
      <c r="SG89" s="198"/>
    </row>
    <row r="90" spans="1:501" ht="40.049999999999997" customHeight="1" x14ac:dyDescent="0.3">
      <c r="A90" s="543" t="s">
        <v>246</v>
      </c>
      <c r="B90" s="956" t="s">
        <v>247</v>
      </c>
      <c r="C90" s="950"/>
      <c r="D90" s="861"/>
      <c r="E90" s="862"/>
      <c r="F90" s="861"/>
      <c r="G90" s="862"/>
      <c r="H90" s="861"/>
      <c r="I90" s="862"/>
      <c r="J90" s="861"/>
      <c r="K90" s="862"/>
      <c r="L90" s="861"/>
      <c r="M90" s="862"/>
      <c r="N90" s="861"/>
      <c r="O90" s="862">
        <f>MANZ.G!AS89</f>
        <v>17</v>
      </c>
      <c r="P90" s="861"/>
      <c r="Q90" s="862"/>
      <c r="R90" s="861"/>
      <c r="S90" s="862"/>
      <c r="T90" s="861"/>
      <c r="U90" s="862"/>
      <c r="V90" s="861"/>
      <c r="W90" s="862"/>
      <c r="X90" s="861"/>
      <c r="Y90" s="862"/>
      <c r="Z90" s="861"/>
      <c r="AA90" s="862"/>
      <c r="AB90" s="864"/>
      <c r="AC90" s="864"/>
      <c r="AD90" s="864"/>
      <c r="AE90" s="864"/>
      <c r="AF90" s="861"/>
      <c r="AG90" s="865">
        <f t="shared" si="0"/>
        <v>0</v>
      </c>
      <c r="AH90" s="866"/>
      <c r="AI90" s="198"/>
      <c r="AJ90" s="198"/>
      <c r="AK90" s="198"/>
      <c r="AL90" s="198"/>
      <c r="AM90" s="198"/>
      <c r="AN90" s="198"/>
      <c r="AO90" s="198"/>
      <c r="AP90" s="198"/>
      <c r="AQ90" s="198"/>
      <c r="AR90" s="198"/>
      <c r="AS90" s="198"/>
      <c r="AT90" s="198"/>
      <c r="AU90" s="198"/>
      <c r="AV90" s="198"/>
      <c r="AW90" s="198"/>
      <c r="AX90" s="198"/>
      <c r="AY90" s="198"/>
      <c r="AZ90" s="198"/>
      <c r="BA90" s="198"/>
      <c r="BB90" s="198"/>
      <c r="BC90" s="198"/>
      <c r="BD90" s="198"/>
      <c r="BE90" s="198"/>
      <c r="BF90" s="198"/>
      <c r="BG90" s="198"/>
      <c r="BH90" s="198"/>
      <c r="BI90" s="198"/>
      <c r="BJ90" s="198"/>
      <c r="BK90" s="198"/>
      <c r="BL90" s="198"/>
      <c r="BM90" s="198"/>
      <c r="BN90" s="198"/>
      <c r="BO90" s="198"/>
      <c r="BP90" s="198"/>
      <c r="BQ90" s="198"/>
      <c r="BR90" s="198"/>
      <c r="BS90" s="198"/>
      <c r="BT90" s="198"/>
      <c r="BU90" s="198"/>
      <c r="BV90" s="198"/>
      <c r="BW90" s="198"/>
      <c r="BX90" s="198"/>
      <c r="BY90" s="198"/>
      <c r="BZ90" s="198"/>
      <c r="CA90" s="198"/>
      <c r="CB90" s="198"/>
      <c r="CC90" s="198"/>
      <c r="CD90" s="198"/>
      <c r="CE90" s="198"/>
      <c r="CF90" s="198"/>
      <c r="CG90" s="198"/>
      <c r="CH90" s="198"/>
      <c r="CI90" s="198"/>
      <c r="CJ90" s="198"/>
      <c r="CK90" s="198"/>
      <c r="CL90" s="198"/>
      <c r="CM90" s="198"/>
      <c r="CN90" s="198"/>
      <c r="CO90" s="198"/>
      <c r="CP90" s="198"/>
      <c r="CQ90" s="198"/>
      <c r="CR90" s="198"/>
      <c r="CS90" s="198"/>
      <c r="CT90" s="198"/>
      <c r="CU90" s="198"/>
      <c r="CV90" s="198"/>
      <c r="CW90" s="198"/>
      <c r="CX90" s="198"/>
      <c r="CY90" s="198"/>
      <c r="CZ90" s="198"/>
      <c r="DA90" s="198"/>
      <c r="DB90" s="198"/>
      <c r="DC90" s="198"/>
      <c r="DD90" s="198"/>
      <c r="DE90" s="198"/>
      <c r="DF90" s="198"/>
      <c r="DG90" s="198"/>
      <c r="DH90" s="198"/>
      <c r="DI90" s="198"/>
      <c r="DJ90" s="198"/>
      <c r="DK90" s="198"/>
      <c r="DL90" s="198"/>
      <c r="DM90" s="198"/>
      <c r="DN90" s="198"/>
      <c r="DO90" s="198"/>
      <c r="DP90" s="198"/>
      <c r="DQ90" s="198"/>
      <c r="DR90" s="198"/>
      <c r="DS90" s="198"/>
      <c r="DT90" s="198"/>
      <c r="DU90" s="198"/>
      <c r="DV90" s="198"/>
      <c r="DW90" s="198"/>
      <c r="DX90" s="198"/>
      <c r="DY90" s="198"/>
      <c r="DZ90" s="198"/>
      <c r="EA90" s="198"/>
      <c r="EB90" s="198"/>
      <c r="EC90" s="198"/>
      <c r="ED90" s="198"/>
      <c r="EE90" s="198"/>
      <c r="EF90" s="198"/>
      <c r="EG90" s="198"/>
      <c r="EH90" s="198"/>
      <c r="EI90" s="198"/>
      <c r="EJ90" s="198"/>
      <c r="EK90" s="198"/>
      <c r="EL90" s="198"/>
      <c r="EM90" s="198"/>
      <c r="EN90" s="198"/>
      <c r="EO90" s="198"/>
      <c r="EP90" s="198"/>
      <c r="EQ90" s="198"/>
      <c r="ER90" s="198"/>
      <c r="ES90" s="198"/>
      <c r="ET90" s="198"/>
      <c r="EU90" s="198"/>
      <c r="EV90" s="198"/>
      <c r="EW90" s="198"/>
      <c r="EX90" s="198"/>
      <c r="EY90" s="198"/>
      <c r="EZ90" s="198"/>
      <c r="FA90" s="198"/>
      <c r="FB90" s="198"/>
      <c r="FC90" s="198"/>
      <c r="FD90" s="198"/>
      <c r="FE90" s="198"/>
      <c r="FF90" s="198"/>
      <c r="FG90" s="198"/>
      <c r="FH90" s="198"/>
      <c r="FI90" s="198"/>
      <c r="FJ90" s="198"/>
      <c r="FK90" s="198"/>
      <c r="FL90" s="198"/>
      <c r="FM90" s="198"/>
      <c r="FN90" s="198"/>
      <c r="FO90" s="198"/>
      <c r="FP90" s="198"/>
      <c r="FQ90" s="198"/>
      <c r="FR90" s="198"/>
      <c r="FS90" s="198"/>
      <c r="FT90" s="198"/>
      <c r="FU90" s="198"/>
      <c r="FV90" s="198"/>
      <c r="FW90" s="198"/>
      <c r="FX90" s="198"/>
      <c r="FY90" s="198"/>
      <c r="FZ90" s="198"/>
      <c r="GA90" s="198"/>
      <c r="GB90" s="198"/>
      <c r="GC90" s="198"/>
      <c r="GD90" s="198"/>
      <c r="GE90" s="198"/>
      <c r="GF90" s="198"/>
      <c r="GG90" s="198"/>
      <c r="GH90" s="198"/>
      <c r="GI90" s="198"/>
      <c r="GJ90" s="198"/>
      <c r="GK90" s="198"/>
      <c r="GL90" s="198"/>
      <c r="GM90" s="198"/>
      <c r="GN90" s="198"/>
      <c r="GO90" s="198"/>
      <c r="GP90" s="198"/>
      <c r="GQ90" s="198"/>
      <c r="GR90" s="198"/>
      <c r="GS90" s="198"/>
      <c r="GT90" s="198"/>
      <c r="GU90" s="198"/>
      <c r="GV90" s="198"/>
      <c r="GW90" s="198"/>
      <c r="GX90" s="198"/>
      <c r="GY90" s="198"/>
      <c r="GZ90" s="198"/>
      <c r="HA90" s="198"/>
      <c r="HB90" s="198"/>
      <c r="HC90" s="198"/>
      <c r="HD90" s="198"/>
      <c r="HE90" s="198"/>
      <c r="HF90" s="198"/>
      <c r="HG90" s="198"/>
      <c r="HH90" s="198"/>
      <c r="HI90" s="198"/>
      <c r="HJ90" s="198"/>
      <c r="HK90" s="198"/>
      <c r="HL90" s="198"/>
      <c r="HM90" s="198"/>
      <c r="HN90" s="198"/>
      <c r="HO90" s="198"/>
      <c r="HP90" s="198"/>
      <c r="HQ90" s="198"/>
      <c r="HR90" s="198"/>
      <c r="HS90" s="198"/>
      <c r="HT90" s="198"/>
      <c r="HU90" s="198"/>
      <c r="HV90" s="198"/>
      <c r="HW90" s="198"/>
      <c r="HX90" s="198"/>
      <c r="HY90" s="198"/>
      <c r="HZ90" s="198"/>
      <c r="IA90" s="198"/>
      <c r="IB90" s="198"/>
      <c r="IC90" s="198"/>
      <c r="ID90" s="198"/>
      <c r="IE90" s="198"/>
      <c r="IF90" s="198"/>
      <c r="IG90" s="198"/>
      <c r="IH90" s="198"/>
      <c r="II90" s="198"/>
      <c r="IJ90" s="198"/>
      <c r="IK90" s="198"/>
      <c r="IL90" s="198"/>
      <c r="IM90" s="198"/>
      <c r="IN90" s="198"/>
      <c r="IO90" s="198"/>
      <c r="IP90" s="198"/>
      <c r="IQ90" s="198"/>
      <c r="IR90" s="198"/>
      <c r="IS90" s="198"/>
      <c r="IT90" s="198"/>
      <c r="IU90" s="198"/>
      <c r="IV90" s="198"/>
      <c r="IW90" s="198"/>
      <c r="IX90" s="198"/>
      <c r="IY90" s="198"/>
      <c r="IZ90" s="198"/>
      <c r="JA90" s="198"/>
      <c r="JB90" s="198"/>
      <c r="JC90" s="198"/>
      <c r="JD90" s="198"/>
      <c r="JE90" s="198"/>
      <c r="JF90" s="198"/>
      <c r="JG90" s="198"/>
      <c r="JH90" s="198"/>
      <c r="JI90" s="198"/>
      <c r="JJ90" s="198"/>
      <c r="JK90" s="198"/>
      <c r="JL90" s="198"/>
      <c r="JM90" s="198"/>
      <c r="JN90" s="198"/>
      <c r="JO90" s="198"/>
      <c r="JP90" s="198"/>
      <c r="JQ90" s="198"/>
      <c r="JR90" s="198"/>
      <c r="JS90" s="198"/>
      <c r="JT90" s="198"/>
      <c r="JU90" s="198"/>
      <c r="JV90" s="198"/>
      <c r="JW90" s="198"/>
      <c r="JX90" s="198"/>
      <c r="JY90" s="198"/>
      <c r="JZ90" s="198"/>
      <c r="KA90" s="198"/>
      <c r="KB90" s="198"/>
      <c r="KC90" s="198"/>
      <c r="KD90" s="198"/>
      <c r="KE90" s="198"/>
      <c r="KF90" s="198"/>
      <c r="KG90" s="198"/>
      <c r="KH90" s="198"/>
      <c r="KI90" s="198"/>
      <c r="KJ90" s="198"/>
      <c r="KK90" s="198"/>
      <c r="KL90" s="198"/>
      <c r="KM90" s="198"/>
      <c r="KN90" s="198"/>
      <c r="KO90" s="198"/>
      <c r="KP90" s="198"/>
      <c r="KQ90" s="198"/>
      <c r="KR90" s="198"/>
      <c r="KS90" s="198"/>
      <c r="KT90" s="198"/>
      <c r="KU90" s="198"/>
      <c r="KV90" s="198"/>
      <c r="KW90" s="198"/>
      <c r="KX90" s="198"/>
      <c r="KY90" s="198"/>
      <c r="KZ90" s="198"/>
      <c r="LA90" s="198"/>
      <c r="LB90" s="198"/>
      <c r="LC90" s="198"/>
      <c r="LD90" s="198"/>
      <c r="LE90" s="198"/>
      <c r="LF90" s="198"/>
      <c r="LG90" s="198"/>
      <c r="LH90" s="198"/>
      <c r="LI90" s="198"/>
      <c r="LJ90" s="198"/>
      <c r="LK90" s="198"/>
      <c r="LL90" s="198"/>
      <c r="LM90" s="198"/>
      <c r="LN90" s="198"/>
      <c r="LO90" s="198"/>
      <c r="LP90" s="198"/>
      <c r="LQ90" s="198"/>
      <c r="LR90" s="198"/>
      <c r="LS90" s="198"/>
      <c r="LT90" s="198"/>
      <c r="LU90" s="198"/>
      <c r="LV90" s="198"/>
      <c r="LW90" s="198"/>
      <c r="LX90" s="198"/>
      <c r="LY90" s="198"/>
      <c r="LZ90" s="198"/>
      <c r="MA90" s="198"/>
      <c r="MB90" s="198"/>
      <c r="MC90" s="198"/>
      <c r="MD90" s="198"/>
      <c r="ME90" s="198"/>
      <c r="MF90" s="198"/>
      <c r="MG90" s="198"/>
      <c r="MH90" s="198"/>
      <c r="MI90" s="198"/>
      <c r="MJ90" s="198"/>
      <c r="MK90" s="198"/>
      <c r="ML90" s="198"/>
      <c r="MM90" s="198"/>
      <c r="MN90" s="198"/>
      <c r="MO90" s="198"/>
      <c r="MP90" s="198"/>
      <c r="MQ90" s="198"/>
      <c r="MR90" s="198"/>
      <c r="MS90" s="198"/>
      <c r="MT90" s="198"/>
      <c r="MU90" s="198"/>
      <c r="MV90" s="198"/>
      <c r="MW90" s="198"/>
      <c r="MX90" s="198"/>
      <c r="MY90" s="198"/>
      <c r="MZ90" s="198"/>
      <c r="NA90" s="198"/>
      <c r="NB90" s="198"/>
      <c r="NC90" s="198"/>
      <c r="ND90" s="198"/>
      <c r="NE90" s="198"/>
      <c r="NF90" s="198"/>
      <c r="NG90" s="198"/>
      <c r="NH90" s="198"/>
      <c r="NI90" s="198"/>
      <c r="NJ90" s="198"/>
      <c r="NK90" s="198"/>
      <c r="NL90" s="198"/>
      <c r="NM90" s="198"/>
      <c r="NN90" s="198"/>
      <c r="NO90" s="198"/>
      <c r="NP90" s="198"/>
      <c r="NQ90" s="198"/>
      <c r="NR90" s="198"/>
      <c r="NS90" s="198"/>
      <c r="NT90" s="198"/>
      <c r="NU90" s="198"/>
      <c r="NV90" s="198"/>
      <c r="NW90" s="198"/>
      <c r="NX90" s="198"/>
      <c r="NY90" s="198"/>
      <c r="NZ90" s="198"/>
      <c r="OA90" s="198"/>
      <c r="OB90" s="198"/>
      <c r="OC90" s="198"/>
      <c r="OD90" s="198"/>
      <c r="OE90" s="198"/>
      <c r="OF90" s="198"/>
      <c r="OG90" s="198"/>
      <c r="OH90" s="198"/>
      <c r="OI90" s="198"/>
      <c r="OJ90" s="198"/>
      <c r="OK90" s="198"/>
      <c r="OL90" s="198"/>
      <c r="OM90" s="198"/>
      <c r="ON90" s="198"/>
      <c r="OO90" s="198"/>
      <c r="OP90" s="198"/>
      <c r="OQ90" s="198"/>
      <c r="OR90" s="198"/>
      <c r="OS90" s="198"/>
      <c r="OT90" s="198"/>
      <c r="OU90" s="198"/>
      <c r="OV90" s="198"/>
      <c r="OW90" s="198"/>
      <c r="OX90" s="198"/>
      <c r="OY90" s="198"/>
      <c r="OZ90" s="198"/>
      <c r="PA90" s="198"/>
      <c r="PB90" s="198"/>
      <c r="PC90" s="198"/>
      <c r="PD90" s="198"/>
      <c r="PE90" s="198"/>
      <c r="PF90" s="198"/>
      <c r="PG90" s="198"/>
      <c r="PH90" s="198"/>
      <c r="PI90" s="198"/>
      <c r="PJ90" s="198"/>
      <c r="PK90" s="198"/>
      <c r="PL90" s="198"/>
      <c r="PM90" s="198"/>
      <c r="PN90" s="198"/>
      <c r="PO90" s="198"/>
      <c r="PP90" s="198"/>
      <c r="PQ90" s="198"/>
      <c r="PR90" s="198"/>
      <c r="PS90" s="198"/>
      <c r="PT90" s="198"/>
      <c r="PU90" s="198"/>
      <c r="PV90" s="198"/>
      <c r="PW90" s="198"/>
      <c r="PX90" s="198"/>
      <c r="PY90" s="198"/>
      <c r="PZ90" s="198"/>
      <c r="QA90" s="198"/>
      <c r="QB90" s="198"/>
      <c r="QC90" s="198"/>
      <c r="QD90" s="198"/>
      <c r="QE90" s="198"/>
      <c r="QF90" s="198"/>
      <c r="QG90" s="198"/>
      <c r="QH90" s="198"/>
      <c r="QI90" s="198"/>
      <c r="QJ90" s="198"/>
      <c r="QK90" s="198"/>
      <c r="QL90" s="198"/>
      <c r="QM90" s="198"/>
      <c r="QN90" s="198"/>
      <c r="QO90" s="198"/>
      <c r="QP90" s="198"/>
      <c r="QQ90" s="198"/>
      <c r="QR90" s="198"/>
      <c r="QS90" s="198"/>
      <c r="QT90" s="198"/>
      <c r="QU90" s="198"/>
      <c r="QV90" s="198"/>
      <c r="QW90" s="198"/>
      <c r="QX90" s="198"/>
      <c r="QY90" s="198"/>
      <c r="QZ90" s="198"/>
      <c r="RA90" s="198"/>
      <c r="RB90" s="198"/>
      <c r="RC90" s="198"/>
      <c r="RD90" s="198"/>
      <c r="RE90" s="198"/>
      <c r="RF90" s="198"/>
      <c r="RG90" s="198"/>
      <c r="RH90" s="198"/>
      <c r="RI90" s="198"/>
      <c r="RJ90" s="198"/>
      <c r="RK90" s="198"/>
      <c r="RL90" s="198"/>
      <c r="RM90" s="198"/>
      <c r="RN90" s="198"/>
      <c r="RO90" s="198"/>
      <c r="RP90" s="198"/>
      <c r="RQ90" s="198"/>
      <c r="RR90" s="198"/>
      <c r="RS90" s="198"/>
      <c r="RT90" s="198"/>
      <c r="RU90" s="198"/>
      <c r="RV90" s="198"/>
      <c r="RW90" s="198"/>
      <c r="RX90" s="198"/>
      <c r="RY90" s="198"/>
      <c r="RZ90" s="198"/>
      <c r="SA90" s="198"/>
      <c r="SB90" s="198"/>
      <c r="SC90" s="198"/>
      <c r="SD90" s="198"/>
      <c r="SE90" s="198"/>
      <c r="SF90" s="198"/>
      <c r="SG90" s="198"/>
    </row>
    <row r="91" spans="1:501" ht="40.049999999999997" customHeight="1" x14ac:dyDescent="0.3">
      <c r="A91" s="543" t="s">
        <v>248</v>
      </c>
      <c r="B91" s="956" t="s">
        <v>249</v>
      </c>
      <c r="C91" s="950"/>
      <c r="D91" s="861"/>
      <c r="E91" s="862"/>
      <c r="F91" s="861"/>
      <c r="G91" s="863">
        <f>MANZ.C!AL91</f>
        <v>0</v>
      </c>
      <c r="H91" s="861"/>
      <c r="I91" s="862">
        <f>MANZ.D!Z91</f>
        <v>0</v>
      </c>
      <c r="J91" s="861"/>
      <c r="K91" s="862">
        <f>MANZ.E!AL92</f>
        <v>0</v>
      </c>
      <c r="L91" s="861"/>
      <c r="M91" s="862">
        <f>MANZ.F!AB91</f>
        <v>0</v>
      </c>
      <c r="N91" s="861"/>
      <c r="O91" s="862" t="e">
        <f>MANZ.G!#REF!</f>
        <v>#REF!</v>
      </c>
      <c r="P91" s="861"/>
      <c r="Q91" s="862">
        <f>MANZ.H!V92</f>
        <v>0</v>
      </c>
      <c r="R91" s="861"/>
      <c r="S91" s="862">
        <f>MANZ.I!AB90</f>
        <v>10</v>
      </c>
      <c r="T91" s="861"/>
      <c r="U91" s="862">
        <f>MANZ.J!AT95</f>
        <v>0</v>
      </c>
      <c r="V91" s="861"/>
      <c r="W91" s="862">
        <f>MANZ.K!AB92</f>
        <v>0</v>
      </c>
      <c r="X91" s="861"/>
      <c r="Y91" s="862"/>
      <c r="Z91" s="861"/>
      <c r="AA91" s="862"/>
      <c r="AB91" s="864"/>
      <c r="AC91" s="864"/>
      <c r="AD91" s="864"/>
      <c r="AE91" s="864"/>
      <c r="AF91" s="861"/>
      <c r="AG91" s="865">
        <f t="shared" si="0"/>
        <v>17</v>
      </c>
      <c r="AH91" s="866"/>
      <c r="AI91" s="198"/>
      <c r="AJ91" s="198"/>
      <c r="AK91" s="198"/>
      <c r="AL91" s="198"/>
      <c r="AM91" s="198"/>
      <c r="AN91" s="198"/>
      <c r="AO91" s="198"/>
      <c r="AP91" s="198"/>
      <c r="AQ91" s="198"/>
      <c r="AR91" s="198"/>
      <c r="AS91" s="198"/>
      <c r="AT91" s="198"/>
      <c r="AU91" s="198"/>
      <c r="AV91" s="198"/>
      <c r="AW91" s="198"/>
      <c r="AX91" s="198"/>
      <c r="AY91" s="198"/>
      <c r="AZ91" s="198"/>
      <c r="BA91" s="198"/>
      <c r="BB91" s="198"/>
      <c r="BC91" s="198"/>
      <c r="BD91" s="198"/>
      <c r="BE91" s="198"/>
      <c r="BF91" s="198"/>
      <c r="BG91" s="198"/>
      <c r="BH91" s="198"/>
      <c r="BI91" s="198"/>
      <c r="BJ91" s="198"/>
      <c r="BK91" s="198"/>
      <c r="BL91" s="198"/>
      <c r="BM91" s="198"/>
      <c r="BN91" s="198"/>
      <c r="BO91" s="198"/>
      <c r="BP91" s="198"/>
      <c r="BQ91" s="198"/>
      <c r="BR91" s="198"/>
      <c r="BS91" s="198"/>
      <c r="BT91" s="198"/>
      <c r="BU91" s="198"/>
      <c r="BV91" s="198"/>
      <c r="BW91" s="198"/>
      <c r="BX91" s="198"/>
      <c r="BY91" s="198"/>
      <c r="BZ91" s="198"/>
      <c r="CA91" s="198"/>
      <c r="CB91" s="198"/>
      <c r="CC91" s="198"/>
      <c r="CD91" s="198"/>
      <c r="CE91" s="198"/>
      <c r="CF91" s="198"/>
      <c r="CG91" s="198"/>
      <c r="CH91" s="198"/>
      <c r="CI91" s="198"/>
      <c r="CJ91" s="198"/>
      <c r="CK91" s="198"/>
      <c r="CL91" s="198"/>
      <c r="CM91" s="198"/>
      <c r="CN91" s="198"/>
      <c r="CO91" s="198"/>
      <c r="CP91" s="198"/>
      <c r="CQ91" s="198"/>
      <c r="CR91" s="198"/>
      <c r="CS91" s="198"/>
      <c r="CT91" s="198"/>
      <c r="CU91" s="198"/>
      <c r="CV91" s="198"/>
      <c r="CW91" s="198"/>
      <c r="CX91" s="198"/>
      <c r="CY91" s="198"/>
      <c r="CZ91" s="198"/>
      <c r="DA91" s="198"/>
      <c r="DB91" s="198"/>
      <c r="DC91" s="198"/>
      <c r="DD91" s="198"/>
      <c r="DE91" s="198"/>
      <c r="DF91" s="198"/>
      <c r="DG91" s="198"/>
      <c r="DH91" s="198"/>
      <c r="DI91" s="198"/>
      <c r="DJ91" s="198"/>
      <c r="DK91" s="198"/>
      <c r="DL91" s="198"/>
      <c r="DM91" s="198"/>
      <c r="DN91" s="198"/>
      <c r="DO91" s="198"/>
      <c r="DP91" s="198"/>
      <c r="DQ91" s="198"/>
      <c r="DR91" s="198"/>
      <c r="DS91" s="198"/>
      <c r="DT91" s="198"/>
      <c r="DU91" s="198"/>
      <c r="DV91" s="198"/>
      <c r="DW91" s="198"/>
      <c r="DX91" s="198"/>
      <c r="DY91" s="198"/>
      <c r="DZ91" s="198"/>
      <c r="EA91" s="198"/>
      <c r="EB91" s="198"/>
      <c r="EC91" s="198"/>
      <c r="ED91" s="198"/>
      <c r="EE91" s="198"/>
      <c r="EF91" s="198"/>
      <c r="EG91" s="198"/>
      <c r="EH91" s="198"/>
      <c r="EI91" s="198"/>
      <c r="EJ91" s="198"/>
      <c r="EK91" s="198"/>
      <c r="EL91" s="198"/>
      <c r="EM91" s="198"/>
      <c r="EN91" s="198"/>
      <c r="EO91" s="198"/>
      <c r="EP91" s="198"/>
      <c r="EQ91" s="198"/>
      <c r="ER91" s="198"/>
      <c r="ES91" s="198"/>
      <c r="ET91" s="198"/>
      <c r="EU91" s="198"/>
      <c r="EV91" s="198"/>
      <c r="EW91" s="198"/>
      <c r="EX91" s="198"/>
      <c r="EY91" s="198"/>
      <c r="EZ91" s="198"/>
      <c r="FA91" s="198"/>
      <c r="FB91" s="198"/>
      <c r="FC91" s="198"/>
      <c r="FD91" s="198"/>
      <c r="FE91" s="198"/>
      <c r="FF91" s="198"/>
      <c r="FG91" s="198"/>
      <c r="FH91" s="198"/>
      <c r="FI91" s="198"/>
      <c r="FJ91" s="198"/>
      <c r="FK91" s="198"/>
      <c r="FL91" s="198"/>
      <c r="FM91" s="198"/>
      <c r="FN91" s="198"/>
      <c r="FO91" s="198"/>
      <c r="FP91" s="198"/>
      <c r="FQ91" s="198"/>
      <c r="FR91" s="198"/>
      <c r="FS91" s="198"/>
      <c r="FT91" s="198"/>
      <c r="FU91" s="198"/>
      <c r="FV91" s="198"/>
      <c r="FW91" s="198"/>
      <c r="FX91" s="198"/>
      <c r="FY91" s="198"/>
      <c r="FZ91" s="198"/>
      <c r="GA91" s="198"/>
      <c r="GB91" s="198"/>
      <c r="GC91" s="198"/>
      <c r="GD91" s="198"/>
      <c r="GE91" s="198"/>
      <c r="GF91" s="198"/>
      <c r="GG91" s="198"/>
      <c r="GH91" s="198"/>
      <c r="GI91" s="198"/>
      <c r="GJ91" s="198"/>
      <c r="GK91" s="198"/>
      <c r="GL91" s="198"/>
      <c r="GM91" s="198"/>
      <c r="GN91" s="198"/>
      <c r="GO91" s="198"/>
      <c r="GP91" s="198"/>
      <c r="GQ91" s="198"/>
      <c r="GR91" s="198"/>
      <c r="GS91" s="198"/>
      <c r="GT91" s="198"/>
      <c r="GU91" s="198"/>
      <c r="GV91" s="198"/>
      <c r="GW91" s="198"/>
      <c r="GX91" s="198"/>
      <c r="GY91" s="198"/>
      <c r="GZ91" s="198"/>
      <c r="HA91" s="198"/>
      <c r="HB91" s="198"/>
      <c r="HC91" s="198"/>
      <c r="HD91" s="198"/>
      <c r="HE91" s="198"/>
      <c r="HF91" s="198"/>
      <c r="HG91" s="198"/>
      <c r="HH91" s="198"/>
      <c r="HI91" s="198"/>
      <c r="HJ91" s="198"/>
      <c r="HK91" s="198"/>
      <c r="HL91" s="198"/>
      <c r="HM91" s="198"/>
      <c r="HN91" s="198"/>
      <c r="HO91" s="198"/>
      <c r="HP91" s="198"/>
      <c r="HQ91" s="198"/>
      <c r="HR91" s="198"/>
      <c r="HS91" s="198"/>
      <c r="HT91" s="198"/>
      <c r="HU91" s="198"/>
      <c r="HV91" s="198"/>
      <c r="HW91" s="198"/>
      <c r="HX91" s="198"/>
      <c r="HY91" s="198"/>
      <c r="HZ91" s="198"/>
      <c r="IA91" s="198"/>
      <c r="IB91" s="198"/>
      <c r="IC91" s="198"/>
      <c r="ID91" s="198"/>
      <c r="IE91" s="198"/>
      <c r="IF91" s="198"/>
      <c r="IG91" s="198"/>
      <c r="IH91" s="198"/>
      <c r="II91" s="198"/>
      <c r="IJ91" s="198"/>
      <c r="IK91" s="198"/>
      <c r="IL91" s="198"/>
      <c r="IM91" s="198"/>
      <c r="IN91" s="198"/>
      <c r="IO91" s="198"/>
      <c r="IP91" s="198"/>
      <c r="IQ91" s="198"/>
      <c r="IR91" s="198"/>
      <c r="IS91" s="198"/>
      <c r="IT91" s="198"/>
      <c r="IU91" s="198"/>
      <c r="IV91" s="198"/>
      <c r="IW91" s="198"/>
      <c r="IX91" s="198"/>
      <c r="IY91" s="198"/>
      <c r="IZ91" s="198"/>
      <c r="JA91" s="198"/>
      <c r="JB91" s="198"/>
      <c r="JC91" s="198"/>
      <c r="JD91" s="198"/>
      <c r="JE91" s="198"/>
      <c r="JF91" s="198"/>
      <c r="JG91" s="198"/>
      <c r="JH91" s="198"/>
      <c r="JI91" s="198"/>
      <c r="JJ91" s="198"/>
      <c r="JK91" s="198"/>
      <c r="JL91" s="198"/>
      <c r="JM91" s="198"/>
      <c r="JN91" s="198"/>
      <c r="JO91" s="198"/>
      <c r="JP91" s="198"/>
      <c r="JQ91" s="198"/>
      <c r="JR91" s="198"/>
      <c r="JS91" s="198"/>
      <c r="JT91" s="198"/>
      <c r="JU91" s="198"/>
      <c r="JV91" s="198"/>
      <c r="JW91" s="198"/>
      <c r="JX91" s="198"/>
      <c r="JY91" s="198"/>
      <c r="JZ91" s="198"/>
      <c r="KA91" s="198"/>
      <c r="KB91" s="198"/>
      <c r="KC91" s="198"/>
      <c r="KD91" s="198"/>
      <c r="KE91" s="198"/>
      <c r="KF91" s="198"/>
      <c r="KG91" s="198"/>
      <c r="KH91" s="198"/>
      <c r="KI91" s="198"/>
      <c r="KJ91" s="198"/>
      <c r="KK91" s="198"/>
      <c r="KL91" s="198"/>
      <c r="KM91" s="198"/>
      <c r="KN91" s="198"/>
      <c r="KO91" s="198"/>
      <c r="KP91" s="198"/>
      <c r="KQ91" s="198"/>
      <c r="KR91" s="198"/>
      <c r="KS91" s="198"/>
      <c r="KT91" s="198"/>
      <c r="KU91" s="198"/>
      <c r="KV91" s="198"/>
      <c r="KW91" s="198"/>
      <c r="KX91" s="198"/>
      <c r="KY91" s="198"/>
      <c r="KZ91" s="198"/>
      <c r="LA91" s="198"/>
      <c r="LB91" s="198"/>
      <c r="LC91" s="198"/>
      <c r="LD91" s="198"/>
      <c r="LE91" s="198"/>
      <c r="LF91" s="198"/>
      <c r="LG91" s="198"/>
      <c r="LH91" s="198"/>
      <c r="LI91" s="198"/>
      <c r="LJ91" s="198"/>
      <c r="LK91" s="198"/>
      <c r="LL91" s="198"/>
      <c r="LM91" s="198"/>
      <c r="LN91" s="198"/>
      <c r="LO91" s="198"/>
      <c r="LP91" s="198"/>
      <c r="LQ91" s="198"/>
      <c r="LR91" s="198"/>
      <c r="LS91" s="198"/>
      <c r="LT91" s="198"/>
      <c r="LU91" s="198"/>
      <c r="LV91" s="198"/>
      <c r="LW91" s="198"/>
      <c r="LX91" s="198"/>
      <c r="LY91" s="198"/>
      <c r="LZ91" s="198"/>
      <c r="MA91" s="198"/>
      <c r="MB91" s="198"/>
      <c r="MC91" s="198"/>
      <c r="MD91" s="198"/>
      <c r="ME91" s="198"/>
      <c r="MF91" s="198"/>
      <c r="MG91" s="198"/>
      <c r="MH91" s="198"/>
      <c r="MI91" s="198"/>
      <c r="MJ91" s="198"/>
      <c r="MK91" s="198"/>
      <c r="ML91" s="198"/>
      <c r="MM91" s="198"/>
      <c r="MN91" s="198"/>
      <c r="MO91" s="198"/>
      <c r="MP91" s="198"/>
      <c r="MQ91" s="198"/>
      <c r="MR91" s="198"/>
      <c r="MS91" s="198"/>
      <c r="MT91" s="198"/>
      <c r="MU91" s="198"/>
      <c r="MV91" s="198"/>
      <c r="MW91" s="198"/>
      <c r="MX91" s="198"/>
      <c r="MY91" s="198"/>
      <c r="MZ91" s="198"/>
      <c r="NA91" s="198"/>
      <c r="NB91" s="198"/>
      <c r="NC91" s="198"/>
      <c r="ND91" s="198"/>
      <c r="NE91" s="198"/>
      <c r="NF91" s="198"/>
      <c r="NG91" s="198"/>
      <c r="NH91" s="198"/>
      <c r="NI91" s="198"/>
      <c r="NJ91" s="198"/>
      <c r="NK91" s="198"/>
      <c r="NL91" s="198"/>
      <c r="NM91" s="198"/>
      <c r="NN91" s="198"/>
      <c r="NO91" s="198"/>
      <c r="NP91" s="198"/>
      <c r="NQ91" s="198"/>
      <c r="NR91" s="198"/>
      <c r="NS91" s="198"/>
      <c r="NT91" s="198"/>
      <c r="NU91" s="198"/>
      <c r="NV91" s="198"/>
      <c r="NW91" s="198"/>
      <c r="NX91" s="198"/>
      <c r="NY91" s="198"/>
      <c r="NZ91" s="198"/>
      <c r="OA91" s="198"/>
      <c r="OB91" s="198"/>
      <c r="OC91" s="198"/>
      <c r="OD91" s="198"/>
      <c r="OE91" s="198"/>
      <c r="OF91" s="198"/>
      <c r="OG91" s="198"/>
      <c r="OH91" s="198"/>
      <c r="OI91" s="198"/>
      <c r="OJ91" s="198"/>
      <c r="OK91" s="198"/>
      <c r="OL91" s="198"/>
      <c r="OM91" s="198"/>
      <c r="ON91" s="198"/>
      <c r="OO91" s="198"/>
      <c r="OP91" s="198"/>
      <c r="OQ91" s="198"/>
      <c r="OR91" s="198"/>
      <c r="OS91" s="198"/>
      <c r="OT91" s="198"/>
      <c r="OU91" s="198"/>
      <c r="OV91" s="198"/>
      <c r="OW91" s="198"/>
      <c r="OX91" s="198"/>
      <c r="OY91" s="198"/>
      <c r="OZ91" s="198"/>
      <c r="PA91" s="198"/>
      <c r="PB91" s="198"/>
      <c r="PC91" s="198"/>
      <c r="PD91" s="198"/>
      <c r="PE91" s="198"/>
      <c r="PF91" s="198"/>
      <c r="PG91" s="198"/>
      <c r="PH91" s="198"/>
      <c r="PI91" s="198"/>
      <c r="PJ91" s="198"/>
      <c r="PK91" s="198"/>
      <c r="PL91" s="198"/>
      <c r="PM91" s="198"/>
      <c r="PN91" s="198"/>
      <c r="PO91" s="198"/>
      <c r="PP91" s="198"/>
      <c r="PQ91" s="198"/>
      <c r="PR91" s="198"/>
      <c r="PS91" s="198"/>
      <c r="PT91" s="198"/>
      <c r="PU91" s="198"/>
      <c r="PV91" s="198"/>
      <c r="PW91" s="198"/>
      <c r="PX91" s="198"/>
      <c r="PY91" s="198"/>
      <c r="PZ91" s="198"/>
      <c r="QA91" s="198"/>
      <c r="QB91" s="198"/>
      <c r="QC91" s="198"/>
      <c r="QD91" s="198"/>
      <c r="QE91" s="198"/>
      <c r="QF91" s="198"/>
      <c r="QG91" s="198"/>
      <c r="QH91" s="198"/>
      <c r="QI91" s="198"/>
      <c r="QJ91" s="198"/>
      <c r="QK91" s="198"/>
      <c r="QL91" s="198"/>
      <c r="QM91" s="198"/>
      <c r="QN91" s="198"/>
      <c r="QO91" s="198"/>
      <c r="QP91" s="198"/>
      <c r="QQ91" s="198"/>
      <c r="QR91" s="198"/>
      <c r="QS91" s="198"/>
      <c r="QT91" s="198"/>
      <c r="QU91" s="198"/>
      <c r="QV91" s="198"/>
      <c r="QW91" s="198"/>
      <c r="QX91" s="198"/>
      <c r="QY91" s="198"/>
      <c r="QZ91" s="198"/>
      <c r="RA91" s="198"/>
      <c r="RB91" s="198"/>
      <c r="RC91" s="198"/>
      <c r="RD91" s="198"/>
      <c r="RE91" s="198"/>
      <c r="RF91" s="198"/>
      <c r="RG91" s="198"/>
      <c r="RH91" s="198"/>
      <c r="RI91" s="198"/>
      <c r="RJ91" s="198"/>
      <c r="RK91" s="198"/>
      <c r="RL91" s="198"/>
      <c r="RM91" s="198"/>
      <c r="RN91" s="198"/>
      <c r="RO91" s="198"/>
      <c r="RP91" s="198"/>
      <c r="RQ91" s="198"/>
      <c r="RR91" s="198"/>
      <c r="RS91" s="198"/>
      <c r="RT91" s="198"/>
      <c r="RU91" s="198"/>
      <c r="RV91" s="198"/>
      <c r="RW91" s="198"/>
      <c r="RX91" s="198"/>
      <c r="RY91" s="198"/>
      <c r="RZ91" s="198"/>
      <c r="SA91" s="198"/>
      <c r="SB91" s="198"/>
      <c r="SC91" s="198"/>
      <c r="SD91" s="198"/>
      <c r="SE91" s="198"/>
      <c r="SF91" s="198"/>
      <c r="SG91" s="198"/>
    </row>
    <row r="92" spans="1:501" ht="40.049999999999997" customHeight="1" x14ac:dyDescent="0.3">
      <c r="A92" s="543" t="s">
        <v>250</v>
      </c>
      <c r="B92" s="956" t="s">
        <v>251</v>
      </c>
      <c r="C92" s="950"/>
      <c r="D92" s="861"/>
      <c r="E92" s="862"/>
      <c r="F92" s="861"/>
      <c r="G92" s="863">
        <f>MANZ.C!AL92</f>
        <v>17</v>
      </c>
      <c r="H92" s="861"/>
      <c r="I92" s="862">
        <f>MANZ.D!Z92</f>
        <v>7</v>
      </c>
      <c r="J92" s="861"/>
      <c r="K92" s="862">
        <f>MANZ.E!AL93</f>
        <v>0</v>
      </c>
      <c r="L92" s="861"/>
      <c r="M92" s="862">
        <f>MANZ.F!AB92</f>
        <v>8</v>
      </c>
      <c r="N92" s="861"/>
      <c r="O92" s="862" t="e">
        <f>MANZ.G!#REF!</f>
        <v>#REF!</v>
      </c>
      <c r="P92" s="861"/>
      <c r="Q92" s="862">
        <f>MANZ.H!V93</f>
        <v>9</v>
      </c>
      <c r="R92" s="861"/>
      <c r="S92" s="862">
        <f>MANZ.I!AB91</f>
        <v>10</v>
      </c>
      <c r="T92" s="861"/>
      <c r="U92" s="862">
        <f>MANZ.J!AT96</f>
        <v>12</v>
      </c>
      <c r="V92" s="861"/>
      <c r="W92" s="862">
        <f>MANZ.K!AB93</f>
        <v>10</v>
      </c>
      <c r="X92" s="861"/>
      <c r="Y92" s="862"/>
      <c r="Z92" s="861"/>
      <c r="AA92" s="862"/>
      <c r="AB92" s="864"/>
      <c r="AC92" s="864"/>
      <c r="AD92" s="864"/>
      <c r="AE92" s="864"/>
      <c r="AF92" s="861"/>
      <c r="AG92" s="865" t="e">
        <f t="shared" si="0"/>
        <v>#REF!</v>
      </c>
      <c r="AH92" s="866"/>
      <c r="AI92" s="198"/>
      <c r="AJ92" s="198"/>
      <c r="AK92" s="198"/>
      <c r="AL92" s="198"/>
      <c r="AM92" s="198"/>
      <c r="AN92" s="198"/>
      <c r="AO92" s="198"/>
      <c r="AP92" s="198"/>
      <c r="AQ92" s="198"/>
      <c r="AR92" s="198"/>
      <c r="AS92" s="198"/>
      <c r="AT92" s="198"/>
      <c r="AU92" s="198"/>
      <c r="AV92" s="198"/>
      <c r="AW92" s="198"/>
      <c r="AX92" s="198"/>
      <c r="AY92" s="198"/>
      <c r="AZ92" s="198"/>
      <c r="BA92" s="198"/>
      <c r="BB92" s="198"/>
      <c r="BC92" s="198"/>
      <c r="BD92" s="198"/>
      <c r="BE92" s="198"/>
      <c r="BF92" s="198"/>
      <c r="BG92" s="198"/>
      <c r="BH92" s="198"/>
      <c r="BI92" s="198"/>
      <c r="BJ92" s="198"/>
      <c r="BK92" s="198"/>
      <c r="BL92" s="198"/>
      <c r="BM92" s="198"/>
      <c r="BN92" s="198"/>
      <c r="BO92" s="198"/>
      <c r="BP92" s="198"/>
      <c r="BQ92" s="198"/>
      <c r="BR92" s="198"/>
      <c r="BS92" s="198"/>
      <c r="BT92" s="198"/>
      <c r="BU92" s="198"/>
      <c r="BV92" s="198"/>
      <c r="BW92" s="198"/>
      <c r="BX92" s="198"/>
      <c r="BY92" s="198"/>
      <c r="BZ92" s="198"/>
      <c r="CA92" s="198"/>
      <c r="CB92" s="198"/>
      <c r="CC92" s="198"/>
      <c r="CD92" s="198"/>
      <c r="CE92" s="198"/>
      <c r="CF92" s="198"/>
      <c r="CG92" s="198"/>
      <c r="CH92" s="198"/>
      <c r="CI92" s="198"/>
      <c r="CJ92" s="198"/>
      <c r="CK92" s="198"/>
      <c r="CL92" s="198"/>
      <c r="CM92" s="198"/>
      <c r="CN92" s="198"/>
      <c r="CO92" s="198"/>
      <c r="CP92" s="198"/>
      <c r="CQ92" s="198"/>
      <c r="CR92" s="198"/>
      <c r="CS92" s="198"/>
      <c r="CT92" s="198"/>
      <c r="CU92" s="198"/>
      <c r="CV92" s="198"/>
      <c r="CW92" s="198"/>
      <c r="CX92" s="198"/>
      <c r="CY92" s="198"/>
      <c r="CZ92" s="198"/>
      <c r="DA92" s="198"/>
      <c r="DB92" s="198"/>
      <c r="DC92" s="198"/>
      <c r="DD92" s="198"/>
      <c r="DE92" s="198"/>
      <c r="DF92" s="198"/>
      <c r="DG92" s="198"/>
      <c r="DH92" s="198"/>
      <c r="DI92" s="198"/>
      <c r="DJ92" s="198"/>
      <c r="DK92" s="198"/>
      <c r="DL92" s="198"/>
      <c r="DM92" s="198"/>
      <c r="DN92" s="198"/>
      <c r="DO92" s="198"/>
      <c r="DP92" s="198"/>
      <c r="DQ92" s="198"/>
      <c r="DR92" s="198"/>
      <c r="DS92" s="198"/>
      <c r="DT92" s="198"/>
      <c r="DU92" s="198"/>
      <c r="DV92" s="198"/>
      <c r="DW92" s="198"/>
      <c r="DX92" s="198"/>
      <c r="DY92" s="198"/>
      <c r="DZ92" s="198"/>
      <c r="EA92" s="198"/>
      <c r="EB92" s="198"/>
      <c r="EC92" s="198"/>
      <c r="ED92" s="198"/>
      <c r="EE92" s="198"/>
      <c r="EF92" s="198"/>
      <c r="EG92" s="198"/>
      <c r="EH92" s="198"/>
      <c r="EI92" s="198"/>
      <c r="EJ92" s="198"/>
      <c r="EK92" s="198"/>
      <c r="EL92" s="198"/>
      <c r="EM92" s="198"/>
      <c r="EN92" s="198"/>
      <c r="EO92" s="198"/>
      <c r="EP92" s="198"/>
      <c r="EQ92" s="198"/>
      <c r="ER92" s="198"/>
      <c r="ES92" s="198"/>
      <c r="ET92" s="198"/>
      <c r="EU92" s="198"/>
      <c r="EV92" s="198"/>
      <c r="EW92" s="198"/>
      <c r="EX92" s="198"/>
      <c r="EY92" s="198"/>
      <c r="EZ92" s="198"/>
      <c r="FA92" s="198"/>
      <c r="FB92" s="198"/>
      <c r="FC92" s="198"/>
      <c r="FD92" s="198"/>
      <c r="FE92" s="198"/>
      <c r="FF92" s="198"/>
      <c r="FG92" s="198"/>
      <c r="FH92" s="198"/>
      <c r="FI92" s="198"/>
      <c r="FJ92" s="198"/>
      <c r="FK92" s="198"/>
      <c r="FL92" s="198"/>
      <c r="FM92" s="198"/>
      <c r="FN92" s="198"/>
      <c r="FO92" s="198"/>
      <c r="FP92" s="198"/>
      <c r="FQ92" s="198"/>
      <c r="FR92" s="198"/>
      <c r="FS92" s="198"/>
      <c r="FT92" s="198"/>
      <c r="FU92" s="198"/>
      <c r="FV92" s="198"/>
      <c r="FW92" s="198"/>
      <c r="FX92" s="198"/>
      <c r="FY92" s="198"/>
      <c r="FZ92" s="198"/>
      <c r="GA92" s="198"/>
      <c r="GB92" s="198"/>
      <c r="GC92" s="198"/>
      <c r="GD92" s="198"/>
      <c r="GE92" s="198"/>
      <c r="GF92" s="198"/>
      <c r="GG92" s="198"/>
      <c r="GH92" s="198"/>
      <c r="GI92" s="198"/>
      <c r="GJ92" s="198"/>
      <c r="GK92" s="198"/>
      <c r="GL92" s="198"/>
      <c r="GM92" s="198"/>
      <c r="GN92" s="198"/>
      <c r="GO92" s="198"/>
      <c r="GP92" s="198"/>
      <c r="GQ92" s="198"/>
      <c r="GR92" s="198"/>
      <c r="GS92" s="198"/>
      <c r="GT92" s="198"/>
      <c r="GU92" s="198"/>
      <c r="GV92" s="198"/>
      <c r="GW92" s="198"/>
      <c r="GX92" s="198"/>
      <c r="GY92" s="198"/>
      <c r="GZ92" s="198"/>
      <c r="HA92" s="198"/>
      <c r="HB92" s="198"/>
      <c r="HC92" s="198"/>
      <c r="HD92" s="198"/>
      <c r="HE92" s="198"/>
      <c r="HF92" s="198"/>
      <c r="HG92" s="198"/>
      <c r="HH92" s="198"/>
      <c r="HI92" s="198"/>
      <c r="HJ92" s="198"/>
      <c r="HK92" s="198"/>
      <c r="HL92" s="198"/>
      <c r="HM92" s="198"/>
      <c r="HN92" s="198"/>
      <c r="HO92" s="198"/>
      <c r="HP92" s="198"/>
      <c r="HQ92" s="198"/>
      <c r="HR92" s="198"/>
      <c r="HS92" s="198"/>
      <c r="HT92" s="198"/>
      <c r="HU92" s="198"/>
      <c r="HV92" s="198"/>
      <c r="HW92" s="198"/>
      <c r="HX92" s="198"/>
      <c r="HY92" s="198"/>
      <c r="HZ92" s="198"/>
      <c r="IA92" s="198"/>
      <c r="IB92" s="198"/>
      <c r="IC92" s="198"/>
      <c r="ID92" s="198"/>
      <c r="IE92" s="198"/>
      <c r="IF92" s="198"/>
      <c r="IG92" s="198"/>
      <c r="IH92" s="198"/>
      <c r="II92" s="198"/>
      <c r="IJ92" s="198"/>
      <c r="IK92" s="198"/>
      <c r="IL92" s="198"/>
      <c r="IM92" s="198"/>
      <c r="IN92" s="198"/>
      <c r="IO92" s="198"/>
      <c r="IP92" s="198"/>
      <c r="IQ92" s="198"/>
      <c r="IR92" s="198"/>
      <c r="IS92" s="198"/>
      <c r="IT92" s="198"/>
      <c r="IU92" s="198"/>
      <c r="IV92" s="198"/>
      <c r="IW92" s="198"/>
      <c r="IX92" s="198"/>
      <c r="IY92" s="198"/>
      <c r="IZ92" s="198"/>
      <c r="JA92" s="198"/>
      <c r="JB92" s="198"/>
      <c r="JC92" s="198"/>
      <c r="JD92" s="198"/>
      <c r="JE92" s="198"/>
      <c r="JF92" s="198"/>
      <c r="JG92" s="198"/>
      <c r="JH92" s="198"/>
      <c r="JI92" s="198"/>
      <c r="JJ92" s="198"/>
      <c r="JK92" s="198"/>
      <c r="JL92" s="198"/>
      <c r="JM92" s="198"/>
      <c r="JN92" s="198"/>
      <c r="JO92" s="198"/>
      <c r="JP92" s="198"/>
      <c r="JQ92" s="198"/>
      <c r="JR92" s="198"/>
      <c r="JS92" s="198"/>
      <c r="JT92" s="198"/>
      <c r="JU92" s="198"/>
      <c r="JV92" s="198"/>
      <c r="JW92" s="198"/>
      <c r="JX92" s="198"/>
      <c r="JY92" s="198"/>
      <c r="JZ92" s="198"/>
      <c r="KA92" s="198"/>
      <c r="KB92" s="198"/>
      <c r="KC92" s="198"/>
      <c r="KD92" s="198"/>
      <c r="KE92" s="198"/>
      <c r="KF92" s="198"/>
      <c r="KG92" s="198"/>
      <c r="KH92" s="198"/>
      <c r="KI92" s="198"/>
      <c r="KJ92" s="198"/>
      <c r="KK92" s="198"/>
      <c r="KL92" s="198"/>
      <c r="KM92" s="198"/>
      <c r="KN92" s="198"/>
      <c r="KO92" s="198"/>
      <c r="KP92" s="198"/>
      <c r="KQ92" s="198"/>
      <c r="KR92" s="198"/>
      <c r="KS92" s="198"/>
      <c r="KT92" s="198"/>
      <c r="KU92" s="198"/>
      <c r="KV92" s="198"/>
      <c r="KW92" s="198"/>
      <c r="KX92" s="198"/>
      <c r="KY92" s="198"/>
      <c r="KZ92" s="198"/>
      <c r="LA92" s="198"/>
      <c r="LB92" s="198"/>
      <c r="LC92" s="198"/>
      <c r="LD92" s="198"/>
      <c r="LE92" s="198"/>
      <c r="LF92" s="198"/>
      <c r="LG92" s="198"/>
      <c r="LH92" s="198"/>
      <c r="LI92" s="198"/>
      <c r="LJ92" s="198"/>
      <c r="LK92" s="198"/>
      <c r="LL92" s="198"/>
      <c r="LM92" s="198"/>
      <c r="LN92" s="198"/>
      <c r="LO92" s="198"/>
      <c r="LP92" s="198"/>
      <c r="LQ92" s="198"/>
      <c r="LR92" s="198"/>
      <c r="LS92" s="198"/>
      <c r="LT92" s="198"/>
      <c r="LU92" s="198"/>
      <c r="LV92" s="198"/>
      <c r="LW92" s="198"/>
      <c r="LX92" s="198"/>
      <c r="LY92" s="198"/>
      <c r="LZ92" s="198"/>
      <c r="MA92" s="198"/>
      <c r="MB92" s="198"/>
      <c r="MC92" s="198"/>
      <c r="MD92" s="198"/>
      <c r="ME92" s="198"/>
      <c r="MF92" s="198"/>
      <c r="MG92" s="198"/>
      <c r="MH92" s="198"/>
      <c r="MI92" s="198"/>
      <c r="MJ92" s="198"/>
      <c r="MK92" s="198"/>
      <c r="ML92" s="198"/>
      <c r="MM92" s="198"/>
      <c r="MN92" s="198"/>
      <c r="MO92" s="198"/>
      <c r="MP92" s="198"/>
      <c r="MQ92" s="198"/>
      <c r="MR92" s="198"/>
      <c r="MS92" s="198"/>
      <c r="MT92" s="198"/>
      <c r="MU92" s="198"/>
      <c r="MV92" s="198"/>
      <c r="MW92" s="198"/>
      <c r="MX92" s="198"/>
      <c r="MY92" s="198"/>
      <c r="MZ92" s="198"/>
      <c r="NA92" s="198"/>
      <c r="NB92" s="198"/>
      <c r="NC92" s="198"/>
      <c r="ND92" s="198"/>
      <c r="NE92" s="198"/>
      <c r="NF92" s="198"/>
      <c r="NG92" s="198"/>
      <c r="NH92" s="198"/>
      <c r="NI92" s="198"/>
      <c r="NJ92" s="198"/>
      <c r="NK92" s="198"/>
      <c r="NL92" s="198"/>
      <c r="NM92" s="198"/>
      <c r="NN92" s="198"/>
      <c r="NO92" s="198"/>
      <c r="NP92" s="198"/>
      <c r="NQ92" s="198"/>
      <c r="NR92" s="198"/>
      <c r="NS92" s="198"/>
      <c r="NT92" s="198"/>
      <c r="NU92" s="198"/>
      <c r="NV92" s="198"/>
      <c r="NW92" s="198"/>
      <c r="NX92" s="198"/>
      <c r="NY92" s="198"/>
      <c r="NZ92" s="198"/>
      <c r="OA92" s="198"/>
      <c r="OB92" s="198"/>
      <c r="OC92" s="198"/>
      <c r="OD92" s="198"/>
      <c r="OE92" s="198"/>
      <c r="OF92" s="198"/>
      <c r="OG92" s="198"/>
      <c r="OH92" s="198"/>
      <c r="OI92" s="198"/>
      <c r="OJ92" s="198"/>
      <c r="OK92" s="198"/>
      <c r="OL92" s="198"/>
      <c r="OM92" s="198"/>
      <c r="ON92" s="198"/>
      <c r="OO92" s="198"/>
      <c r="OP92" s="198"/>
      <c r="OQ92" s="198"/>
      <c r="OR92" s="198"/>
      <c r="OS92" s="198"/>
      <c r="OT92" s="198"/>
      <c r="OU92" s="198"/>
      <c r="OV92" s="198"/>
      <c r="OW92" s="198"/>
      <c r="OX92" s="198"/>
      <c r="OY92" s="198"/>
      <c r="OZ92" s="198"/>
      <c r="PA92" s="198"/>
      <c r="PB92" s="198"/>
      <c r="PC92" s="198"/>
      <c r="PD92" s="198"/>
      <c r="PE92" s="198"/>
      <c r="PF92" s="198"/>
      <c r="PG92" s="198"/>
      <c r="PH92" s="198"/>
      <c r="PI92" s="198"/>
      <c r="PJ92" s="198"/>
      <c r="PK92" s="198"/>
      <c r="PL92" s="198"/>
      <c r="PM92" s="198"/>
      <c r="PN92" s="198"/>
      <c r="PO92" s="198"/>
      <c r="PP92" s="198"/>
      <c r="PQ92" s="198"/>
      <c r="PR92" s="198"/>
      <c r="PS92" s="198"/>
      <c r="PT92" s="198"/>
      <c r="PU92" s="198"/>
      <c r="PV92" s="198"/>
      <c r="PW92" s="198"/>
      <c r="PX92" s="198"/>
      <c r="PY92" s="198"/>
      <c r="PZ92" s="198"/>
      <c r="QA92" s="198"/>
      <c r="QB92" s="198"/>
      <c r="QC92" s="198"/>
      <c r="QD92" s="198"/>
      <c r="QE92" s="198"/>
      <c r="QF92" s="198"/>
      <c r="QG92" s="198"/>
      <c r="QH92" s="198"/>
      <c r="QI92" s="198"/>
      <c r="QJ92" s="198"/>
      <c r="QK92" s="198"/>
      <c r="QL92" s="198"/>
      <c r="QM92" s="198"/>
      <c r="QN92" s="198"/>
      <c r="QO92" s="198"/>
      <c r="QP92" s="198"/>
      <c r="QQ92" s="198"/>
      <c r="QR92" s="198"/>
      <c r="QS92" s="198"/>
      <c r="QT92" s="198"/>
      <c r="QU92" s="198"/>
      <c r="QV92" s="198"/>
      <c r="QW92" s="198"/>
      <c r="QX92" s="198"/>
      <c r="QY92" s="198"/>
      <c r="QZ92" s="198"/>
      <c r="RA92" s="198"/>
      <c r="RB92" s="198"/>
      <c r="RC92" s="198"/>
      <c r="RD92" s="198"/>
      <c r="RE92" s="198"/>
      <c r="RF92" s="198"/>
      <c r="RG92" s="198"/>
      <c r="RH92" s="198"/>
      <c r="RI92" s="198"/>
      <c r="RJ92" s="198"/>
      <c r="RK92" s="198"/>
      <c r="RL92" s="198"/>
      <c r="RM92" s="198"/>
      <c r="RN92" s="198"/>
      <c r="RO92" s="198"/>
      <c r="RP92" s="198"/>
      <c r="RQ92" s="198"/>
      <c r="RR92" s="198"/>
      <c r="RS92" s="198"/>
      <c r="RT92" s="198"/>
      <c r="RU92" s="198"/>
      <c r="RV92" s="198"/>
      <c r="RW92" s="198"/>
      <c r="RX92" s="198"/>
      <c r="RY92" s="198"/>
      <c r="RZ92" s="198"/>
      <c r="SA92" s="198"/>
      <c r="SB92" s="198"/>
      <c r="SC92" s="198"/>
      <c r="SD92" s="198"/>
      <c r="SE92" s="198"/>
      <c r="SF92" s="198"/>
      <c r="SG92" s="198"/>
    </row>
    <row r="93" spans="1:501" ht="40.049999999999997" customHeight="1" x14ac:dyDescent="0.3">
      <c r="A93" s="543" t="s">
        <v>252</v>
      </c>
      <c r="B93" s="956" t="s">
        <v>253</v>
      </c>
      <c r="C93" s="950"/>
      <c r="D93" s="861"/>
      <c r="E93" s="862"/>
      <c r="F93" s="861"/>
      <c r="G93" s="862"/>
      <c r="H93" s="861"/>
      <c r="I93" s="862"/>
      <c r="J93" s="861"/>
      <c r="K93" s="862"/>
      <c r="L93" s="861"/>
      <c r="M93" s="862"/>
      <c r="N93" s="861"/>
      <c r="O93" s="862">
        <f>MANZ.G!AS90</f>
        <v>1</v>
      </c>
      <c r="P93" s="861"/>
      <c r="Q93" s="862"/>
      <c r="R93" s="861"/>
      <c r="S93" s="862"/>
      <c r="T93" s="861"/>
      <c r="U93" s="862"/>
      <c r="V93" s="861"/>
      <c r="W93" s="862"/>
      <c r="X93" s="861"/>
      <c r="Y93" s="862"/>
      <c r="Z93" s="861"/>
      <c r="AA93" s="862"/>
      <c r="AB93" s="864"/>
      <c r="AC93" s="864"/>
      <c r="AD93" s="864"/>
      <c r="AE93" s="864"/>
      <c r="AF93" s="861"/>
      <c r="AG93" s="865" t="e">
        <f t="shared" si="0"/>
        <v>#REF!</v>
      </c>
      <c r="AH93" s="866"/>
      <c r="AI93" s="198"/>
      <c r="AJ93" s="198"/>
      <c r="AK93" s="198"/>
      <c r="AL93" s="198"/>
      <c r="AM93" s="198"/>
      <c r="AN93" s="198"/>
      <c r="AO93" s="198"/>
      <c r="AP93" s="198"/>
      <c r="AQ93" s="198"/>
      <c r="AR93" s="198"/>
      <c r="AS93" s="198"/>
      <c r="AT93" s="198"/>
      <c r="AU93" s="198"/>
      <c r="AV93" s="198"/>
      <c r="AW93" s="198"/>
      <c r="AX93" s="198"/>
      <c r="AY93" s="198"/>
      <c r="AZ93" s="198"/>
      <c r="BA93" s="198"/>
      <c r="BB93" s="198"/>
      <c r="BC93" s="198"/>
      <c r="BD93" s="198"/>
      <c r="BE93" s="198"/>
      <c r="BF93" s="198"/>
      <c r="BG93" s="198"/>
      <c r="BH93" s="198"/>
      <c r="BI93" s="198"/>
      <c r="BJ93" s="198"/>
      <c r="BK93" s="198"/>
      <c r="BL93" s="198"/>
      <c r="BM93" s="198"/>
      <c r="BN93" s="198"/>
      <c r="BO93" s="198"/>
      <c r="BP93" s="198"/>
      <c r="BQ93" s="198"/>
      <c r="BR93" s="198"/>
      <c r="BS93" s="198"/>
      <c r="BT93" s="198"/>
      <c r="BU93" s="198"/>
      <c r="BV93" s="198"/>
      <c r="BW93" s="198"/>
      <c r="BX93" s="198"/>
      <c r="BY93" s="198"/>
      <c r="BZ93" s="198"/>
      <c r="CA93" s="198"/>
      <c r="CB93" s="198"/>
      <c r="CC93" s="198"/>
      <c r="CD93" s="198"/>
      <c r="CE93" s="198"/>
      <c r="CF93" s="198"/>
      <c r="CG93" s="198"/>
      <c r="CH93" s="198"/>
      <c r="CI93" s="198"/>
      <c r="CJ93" s="198"/>
      <c r="CK93" s="198"/>
      <c r="CL93" s="198"/>
      <c r="CM93" s="198"/>
      <c r="CN93" s="198"/>
      <c r="CO93" s="198"/>
      <c r="CP93" s="198"/>
      <c r="CQ93" s="198"/>
      <c r="CR93" s="198"/>
      <c r="CS93" s="198"/>
      <c r="CT93" s="198"/>
      <c r="CU93" s="198"/>
      <c r="CV93" s="198"/>
      <c r="CW93" s="198"/>
      <c r="CX93" s="198"/>
      <c r="CY93" s="198"/>
      <c r="CZ93" s="198"/>
      <c r="DA93" s="198"/>
      <c r="DB93" s="198"/>
      <c r="DC93" s="198"/>
      <c r="DD93" s="198"/>
      <c r="DE93" s="198"/>
      <c r="DF93" s="198"/>
      <c r="DG93" s="198"/>
      <c r="DH93" s="198"/>
      <c r="DI93" s="198"/>
      <c r="DJ93" s="198"/>
      <c r="DK93" s="198"/>
      <c r="DL93" s="198"/>
      <c r="DM93" s="198"/>
      <c r="DN93" s="198"/>
      <c r="DO93" s="198"/>
      <c r="DP93" s="198"/>
      <c r="DQ93" s="198"/>
      <c r="DR93" s="198"/>
      <c r="DS93" s="198"/>
      <c r="DT93" s="198"/>
      <c r="DU93" s="198"/>
      <c r="DV93" s="198"/>
      <c r="DW93" s="198"/>
      <c r="DX93" s="198"/>
      <c r="DY93" s="198"/>
      <c r="DZ93" s="198"/>
      <c r="EA93" s="198"/>
      <c r="EB93" s="198"/>
      <c r="EC93" s="198"/>
      <c r="ED93" s="198"/>
      <c r="EE93" s="198"/>
      <c r="EF93" s="198"/>
      <c r="EG93" s="198"/>
      <c r="EH93" s="198"/>
      <c r="EI93" s="198"/>
      <c r="EJ93" s="198"/>
      <c r="EK93" s="198"/>
      <c r="EL93" s="198"/>
      <c r="EM93" s="198"/>
      <c r="EN93" s="198"/>
      <c r="EO93" s="198"/>
      <c r="EP93" s="198"/>
      <c r="EQ93" s="198"/>
      <c r="ER93" s="198"/>
      <c r="ES93" s="198"/>
      <c r="ET93" s="198"/>
      <c r="EU93" s="198"/>
      <c r="EV93" s="198"/>
      <c r="EW93" s="198"/>
      <c r="EX93" s="198"/>
      <c r="EY93" s="198"/>
      <c r="EZ93" s="198"/>
      <c r="FA93" s="198"/>
      <c r="FB93" s="198"/>
      <c r="FC93" s="198"/>
      <c r="FD93" s="198"/>
      <c r="FE93" s="198"/>
      <c r="FF93" s="198"/>
      <c r="FG93" s="198"/>
      <c r="FH93" s="198"/>
      <c r="FI93" s="198"/>
      <c r="FJ93" s="198"/>
      <c r="FK93" s="198"/>
      <c r="FL93" s="198"/>
      <c r="FM93" s="198"/>
      <c r="FN93" s="198"/>
      <c r="FO93" s="198"/>
      <c r="FP93" s="198"/>
      <c r="FQ93" s="198"/>
      <c r="FR93" s="198"/>
      <c r="FS93" s="198"/>
      <c r="FT93" s="198"/>
      <c r="FU93" s="198"/>
      <c r="FV93" s="198"/>
      <c r="FW93" s="198"/>
      <c r="FX93" s="198"/>
      <c r="FY93" s="198"/>
      <c r="FZ93" s="198"/>
      <c r="GA93" s="198"/>
      <c r="GB93" s="198"/>
      <c r="GC93" s="198"/>
      <c r="GD93" s="198"/>
      <c r="GE93" s="198"/>
      <c r="GF93" s="198"/>
      <c r="GG93" s="198"/>
      <c r="GH93" s="198"/>
      <c r="GI93" s="198"/>
      <c r="GJ93" s="198"/>
      <c r="GK93" s="198"/>
      <c r="GL93" s="198"/>
      <c r="GM93" s="198"/>
      <c r="GN93" s="198"/>
      <c r="GO93" s="198"/>
      <c r="GP93" s="198"/>
      <c r="GQ93" s="198"/>
      <c r="GR93" s="198"/>
      <c r="GS93" s="198"/>
      <c r="GT93" s="198"/>
      <c r="GU93" s="198"/>
      <c r="GV93" s="198"/>
      <c r="GW93" s="198"/>
      <c r="GX93" s="198"/>
      <c r="GY93" s="198"/>
      <c r="GZ93" s="198"/>
      <c r="HA93" s="198"/>
      <c r="HB93" s="198"/>
      <c r="HC93" s="198"/>
      <c r="HD93" s="198"/>
      <c r="HE93" s="198"/>
      <c r="HF93" s="198"/>
      <c r="HG93" s="198"/>
      <c r="HH93" s="198"/>
      <c r="HI93" s="198"/>
      <c r="HJ93" s="198"/>
      <c r="HK93" s="198"/>
      <c r="HL93" s="198"/>
      <c r="HM93" s="198"/>
      <c r="HN93" s="198"/>
      <c r="HO93" s="198"/>
      <c r="HP93" s="198"/>
      <c r="HQ93" s="198"/>
      <c r="HR93" s="198"/>
      <c r="HS93" s="198"/>
      <c r="HT93" s="198"/>
      <c r="HU93" s="198"/>
      <c r="HV93" s="198"/>
      <c r="HW93" s="198"/>
      <c r="HX93" s="198"/>
      <c r="HY93" s="198"/>
      <c r="HZ93" s="198"/>
      <c r="IA93" s="198"/>
      <c r="IB93" s="198"/>
      <c r="IC93" s="198"/>
      <c r="ID93" s="198"/>
      <c r="IE93" s="198"/>
      <c r="IF93" s="198"/>
      <c r="IG93" s="198"/>
      <c r="IH93" s="198"/>
      <c r="II93" s="198"/>
      <c r="IJ93" s="198"/>
      <c r="IK93" s="198"/>
      <c r="IL93" s="198"/>
      <c r="IM93" s="198"/>
      <c r="IN93" s="198"/>
      <c r="IO93" s="198"/>
      <c r="IP93" s="198"/>
      <c r="IQ93" s="198"/>
      <c r="IR93" s="198"/>
      <c r="IS93" s="198"/>
      <c r="IT93" s="198"/>
      <c r="IU93" s="198"/>
      <c r="IV93" s="198"/>
      <c r="IW93" s="198"/>
      <c r="IX93" s="198"/>
      <c r="IY93" s="198"/>
      <c r="IZ93" s="198"/>
      <c r="JA93" s="198"/>
      <c r="JB93" s="198"/>
      <c r="JC93" s="198"/>
      <c r="JD93" s="198"/>
      <c r="JE93" s="198"/>
      <c r="JF93" s="198"/>
      <c r="JG93" s="198"/>
      <c r="JH93" s="198"/>
      <c r="JI93" s="198"/>
      <c r="JJ93" s="198"/>
      <c r="JK93" s="198"/>
      <c r="JL93" s="198"/>
      <c r="JM93" s="198"/>
      <c r="JN93" s="198"/>
      <c r="JO93" s="198"/>
      <c r="JP93" s="198"/>
      <c r="JQ93" s="198"/>
      <c r="JR93" s="198"/>
      <c r="JS93" s="198"/>
      <c r="JT93" s="198"/>
      <c r="JU93" s="198"/>
      <c r="JV93" s="198"/>
      <c r="JW93" s="198"/>
      <c r="JX93" s="198"/>
      <c r="JY93" s="198"/>
      <c r="JZ93" s="198"/>
      <c r="KA93" s="198"/>
      <c r="KB93" s="198"/>
      <c r="KC93" s="198"/>
      <c r="KD93" s="198"/>
      <c r="KE93" s="198"/>
      <c r="KF93" s="198"/>
      <c r="KG93" s="198"/>
      <c r="KH93" s="198"/>
      <c r="KI93" s="198"/>
      <c r="KJ93" s="198"/>
      <c r="KK93" s="198"/>
      <c r="KL93" s="198"/>
      <c r="KM93" s="198"/>
      <c r="KN93" s="198"/>
      <c r="KO93" s="198"/>
      <c r="KP93" s="198"/>
      <c r="KQ93" s="198"/>
      <c r="KR93" s="198"/>
      <c r="KS93" s="198"/>
      <c r="KT93" s="198"/>
      <c r="KU93" s="198"/>
      <c r="KV93" s="198"/>
      <c r="KW93" s="198"/>
      <c r="KX93" s="198"/>
      <c r="KY93" s="198"/>
      <c r="KZ93" s="198"/>
      <c r="LA93" s="198"/>
      <c r="LB93" s="198"/>
      <c r="LC93" s="198"/>
      <c r="LD93" s="198"/>
      <c r="LE93" s="198"/>
      <c r="LF93" s="198"/>
      <c r="LG93" s="198"/>
      <c r="LH93" s="198"/>
      <c r="LI93" s="198"/>
      <c r="LJ93" s="198"/>
      <c r="LK93" s="198"/>
      <c r="LL93" s="198"/>
      <c r="LM93" s="198"/>
      <c r="LN93" s="198"/>
      <c r="LO93" s="198"/>
      <c r="LP93" s="198"/>
      <c r="LQ93" s="198"/>
      <c r="LR93" s="198"/>
      <c r="LS93" s="198"/>
      <c r="LT93" s="198"/>
      <c r="LU93" s="198"/>
      <c r="LV93" s="198"/>
      <c r="LW93" s="198"/>
      <c r="LX93" s="198"/>
      <c r="LY93" s="198"/>
      <c r="LZ93" s="198"/>
      <c r="MA93" s="198"/>
      <c r="MB93" s="198"/>
      <c r="MC93" s="198"/>
      <c r="MD93" s="198"/>
      <c r="ME93" s="198"/>
      <c r="MF93" s="198"/>
      <c r="MG93" s="198"/>
      <c r="MH93" s="198"/>
      <c r="MI93" s="198"/>
      <c r="MJ93" s="198"/>
      <c r="MK93" s="198"/>
      <c r="ML93" s="198"/>
      <c r="MM93" s="198"/>
      <c r="MN93" s="198"/>
      <c r="MO93" s="198"/>
      <c r="MP93" s="198"/>
      <c r="MQ93" s="198"/>
      <c r="MR93" s="198"/>
      <c r="MS93" s="198"/>
      <c r="MT93" s="198"/>
      <c r="MU93" s="198"/>
      <c r="MV93" s="198"/>
      <c r="MW93" s="198"/>
      <c r="MX93" s="198"/>
      <c r="MY93" s="198"/>
      <c r="MZ93" s="198"/>
      <c r="NA93" s="198"/>
      <c r="NB93" s="198"/>
      <c r="NC93" s="198"/>
      <c r="ND93" s="198"/>
      <c r="NE93" s="198"/>
      <c r="NF93" s="198"/>
      <c r="NG93" s="198"/>
      <c r="NH93" s="198"/>
      <c r="NI93" s="198"/>
      <c r="NJ93" s="198"/>
      <c r="NK93" s="198"/>
      <c r="NL93" s="198"/>
      <c r="NM93" s="198"/>
      <c r="NN93" s="198"/>
      <c r="NO93" s="198"/>
      <c r="NP93" s="198"/>
      <c r="NQ93" s="198"/>
      <c r="NR93" s="198"/>
      <c r="NS93" s="198"/>
      <c r="NT93" s="198"/>
      <c r="NU93" s="198"/>
      <c r="NV93" s="198"/>
      <c r="NW93" s="198"/>
      <c r="NX93" s="198"/>
      <c r="NY93" s="198"/>
      <c r="NZ93" s="198"/>
      <c r="OA93" s="198"/>
      <c r="OB93" s="198"/>
      <c r="OC93" s="198"/>
      <c r="OD93" s="198"/>
      <c r="OE93" s="198"/>
      <c r="OF93" s="198"/>
      <c r="OG93" s="198"/>
      <c r="OH93" s="198"/>
      <c r="OI93" s="198"/>
      <c r="OJ93" s="198"/>
      <c r="OK93" s="198"/>
      <c r="OL93" s="198"/>
      <c r="OM93" s="198"/>
      <c r="ON93" s="198"/>
      <c r="OO93" s="198"/>
      <c r="OP93" s="198"/>
      <c r="OQ93" s="198"/>
      <c r="OR93" s="198"/>
      <c r="OS93" s="198"/>
      <c r="OT93" s="198"/>
      <c r="OU93" s="198"/>
      <c r="OV93" s="198"/>
      <c r="OW93" s="198"/>
      <c r="OX93" s="198"/>
      <c r="OY93" s="198"/>
      <c r="OZ93" s="198"/>
      <c r="PA93" s="198"/>
      <c r="PB93" s="198"/>
      <c r="PC93" s="198"/>
      <c r="PD93" s="198"/>
      <c r="PE93" s="198"/>
      <c r="PF93" s="198"/>
      <c r="PG93" s="198"/>
      <c r="PH93" s="198"/>
      <c r="PI93" s="198"/>
      <c r="PJ93" s="198"/>
      <c r="PK93" s="198"/>
      <c r="PL93" s="198"/>
      <c r="PM93" s="198"/>
      <c r="PN93" s="198"/>
      <c r="PO93" s="198"/>
      <c r="PP93" s="198"/>
      <c r="PQ93" s="198"/>
      <c r="PR93" s="198"/>
      <c r="PS93" s="198"/>
      <c r="PT93" s="198"/>
      <c r="PU93" s="198"/>
      <c r="PV93" s="198"/>
      <c r="PW93" s="198"/>
      <c r="PX93" s="198"/>
      <c r="PY93" s="198"/>
      <c r="PZ93" s="198"/>
      <c r="QA93" s="198"/>
      <c r="QB93" s="198"/>
      <c r="QC93" s="198"/>
      <c r="QD93" s="198"/>
      <c r="QE93" s="198"/>
      <c r="QF93" s="198"/>
      <c r="QG93" s="198"/>
      <c r="QH93" s="198"/>
      <c r="QI93" s="198"/>
      <c r="QJ93" s="198"/>
      <c r="QK93" s="198"/>
      <c r="QL93" s="198"/>
      <c r="QM93" s="198"/>
      <c r="QN93" s="198"/>
      <c r="QO93" s="198"/>
      <c r="QP93" s="198"/>
      <c r="QQ93" s="198"/>
      <c r="QR93" s="198"/>
      <c r="QS93" s="198"/>
      <c r="QT93" s="198"/>
      <c r="QU93" s="198"/>
      <c r="QV93" s="198"/>
      <c r="QW93" s="198"/>
      <c r="QX93" s="198"/>
      <c r="QY93" s="198"/>
      <c r="QZ93" s="198"/>
      <c r="RA93" s="198"/>
      <c r="RB93" s="198"/>
      <c r="RC93" s="198"/>
      <c r="RD93" s="198"/>
      <c r="RE93" s="198"/>
      <c r="RF93" s="198"/>
      <c r="RG93" s="198"/>
      <c r="RH93" s="198"/>
      <c r="RI93" s="198"/>
      <c r="RJ93" s="198"/>
      <c r="RK93" s="198"/>
      <c r="RL93" s="198"/>
      <c r="RM93" s="198"/>
      <c r="RN93" s="198"/>
      <c r="RO93" s="198"/>
      <c r="RP93" s="198"/>
      <c r="RQ93" s="198"/>
      <c r="RR93" s="198"/>
      <c r="RS93" s="198"/>
      <c r="RT93" s="198"/>
      <c r="RU93" s="198"/>
      <c r="RV93" s="198"/>
      <c r="RW93" s="198"/>
      <c r="RX93" s="198"/>
      <c r="RY93" s="198"/>
      <c r="RZ93" s="198"/>
      <c r="SA93" s="198"/>
      <c r="SB93" s="198"/>
      <c r="SC93" s="198"/>
      <c r="SD93" s="198"/>
      <c r="SE93" s="198"/>
      <c r="SF93" s="198"/>
      <c r="SG93" s="198"/>
    </row>
    <row r="94" spans="1:501" ht="40.049999999999997" customHeight="1" x14ac:dyDescent="0.3">
      <c r="A94" s="541" t="s">
        <v>254</v>
      </c>
      <c r="B94" s="952" t="s">
        <v>255</v>
      </c>
      <c r="C94" s="950"/>
      <c r="D94" s="861"/>
      <c r="E94" s="862"/>
      <c r="F94" s="861"/>
      <c r="G94" s="863">
        <f>MANZ.C!AL94</f>
        <v>17</v>
      </c>
      <c r="H94" s="861"/>
      <c r="I94" s="862">
        <f>MANZ.D!Z94</f>
        <v>0</v>
      </c>
      <c r="J94" s="861"/>
      <c r="K94" s="862">
        <f>MANZ.I!AB93</f>
        <v>5</v>
      </c>
      <c r="L94" s="861"/>
      <c r="M94" s="862">
        <f>MANZ.F!AB94</f>
        <v>3</v>
      </c>
      <c r="N94" s="861"/>
      <c r="O94" s="862">
        <f>MANZ.G!AS91</f>
        <v>0</v>
      </c>
      <c r="P94" s="861"/>
      <c r="Q94" s="862">
        <f>MANZ.H!V95</f>
        <v>9</v>
      </c>
      <c r="R94" s="861"/>
      <c r="S94" s="862">
        <f>MANZ.I!AB93</f>
        <v>5</v>
      </c>
      <c r="T94" s="861"/>
      <c r="U94" s="862">
        <f>MANZ.J!AT98</f>
        <v>1</v>
      </c>
      <c r="V94" s="861"/>
      <c r="W94" s="862">
        <f>MANZ.K!AB95</f>
        <v>10</v>
      </c>
      <c r="X94" s="861"/>
      <c r="Y94" s="862"/>
      <c r="Z94" s="861"/>
      <c r="AA94" s="862"/>
      <c r="AB94" s="864"/>
      <c r="AC94" s="864"/>
      <c r="AD94" s="864"/>
      <c r="AE94" s="864"/>
      <c r="AF94" s="861"/>
      <c r="AG94" s="865">
        <f t="shared" si="0"/>
        <v>1</v>
      </c>
      <c r="AH94" s="866"/>
      <c r="AI94" s="198"/>
      <c r="AJ94" s="198"/>
      <c r="AK94" s="198"/>
      <c r="AL94" s="198"/>
      <c r="AM94" s="198"/>
      <c r="AN94" s="198"/>
      <c r="AO94" s="198"/>
      <c r="AP94" s="198"/>
      <c r="AQ94" s="198"/>
      <c r="AR94" s="198"/>
      <c r="AS94" s="198"/>
      <c r="AT94" s="198"/>
      <c r="AU94" s="198"/>
      <c r="AV94" s="198"/>
      <c r="AW94" s="198"/>
      <c r="AX94" s="198"/>
      <c r="AY94" s="198"/>
      <c r="AZ94" s="198"/>
      <c r="BA94" s="198"/>
      <c r="BB94" s="198"/>
      <c r="BC94" s="198"/>
      <c r="BD94" s="198"/>
      <c r="BE94" s="198"/>
      <c r="BF94" s="198"/>
      <c r="BG94" s="198"/>
      <c r="BH94" s="198"/>
      <c r="BI94" s="198"/>
      <c r="BJ94" s="198"/>
      <c r="BK94" s="198"/>
      <c r="BL94" s="198"/>
      <c r="BM94" s="198"/>
      <c r="BN94" s="198"/>
      <c r="BO94" s="198"/>
      <c r="BP94" s="198"/>
      <c r="BQ94" s="198"/>
      <c r="BR94" s="198"/>
      <c r="BS94" s="198"/>
      <c r="BT94" s="198"/>
      <c r="BU94" s="198"/>
      <c r="BV94" s="198"/>
      <c r="BW94" s="198"/>
      <c r="BX94" s="198"/>
      <c r="BY94" s="198"/>
      <c r="BZ94" s="198"/>
      <c r="CA94" s="198"/>
      <c r="CB94" s="198"/>
      <c r="CC94" s="198"/>
      <c r="CD94" s="198"/>
      <c r="CE94" s="198"/>
      <c r="CF94" s="198"/>
      <c r="CG94" s="198"/>
      <c r="CH94" s="198"/>
      <c r="CI94" s="198"/>
      <c r="CJ94" s="198"/>
      <c r="CK94" s="198"/>
      <c r="CL94" s="198"/>
      <c r="CM94" s="198"/>
      <c r="CN94" s="198"/>
      <c r="CO94" s="198"/>
      <c r="CP94" s="198"/>
      <c r="CQ94" s="198"/>
      <c r="CR94" s="198"/>
      <c r="CS94" s="198"/>
      <c r="CT94" s="198"/>
      <c r="CU94" s="198"/>
      <c r="CV94" s="198"/>
      <c r="CW94" s="198"/>
      <c r="CX94" s="198"/>
      <c r="CY94" s="198"/>
      <c r="CZ94" s="198"/>
      <c r="DA94" s="198"/>
      <c r="DB94" s="198"/>
      <c r="DC94" s="198"/>
      <c r="DD94" s="198"/>
      <c r="DE94" s="198"/>
      <c r="DF94" s="198"/>
      <c r="DG94" s="198"/>
      <c r="DH94" s="198"/>
      <c r="DI94" s="198"/>
      <c r="DJ94" s="198"/>
      <c r="DK94" s="198"/>
      <c r="DL94" s="198"/>
      <c r="DM94" s="198"/>
      <c r="DN94" s="198"/>
      <c r="DO94" s="198"/>
      <c r="DP94" s="198"/>
      <c r="DQ94" s="198"/>
      <c r="DR94" s="198"/>
      <c r="DS94" s="198"/>
      <c r="DT94" s="198"/>
      <c r="DU94" s="198"/>
      <c r="DV94" s="198"/>
      <c r="DW94" s="198"/>
      <c r="DX94" s="198"/>
      <c r="DY94" s="198"/>
      <c r="DZ94" s="198"/>
      <c r="EA94" s="198"/>
      <c r="EB94" s="198"/>
      <c r="EC94" s="198"/>
      <c r="ED94" s="198"/>
      <c r="EE94" s="198"/>
      <c r="EF94" s="198"/>
      <c r="EG94" s="198"/>
      <c r="EH94" s="198"/>
      <c r="EI94" s="198"/>
      <c r="EJ94" s="198"/>
      <c r="EK94" s="198"/>
      <c r="EL94" s="198"/>
      <c r="EM94" s="198"/>
      <c r="EN94" s="198"/>
      <c r="EO94" s="198"/>
      <c r="EP94" s="198"/>
      <c r="EQ94" s="198"/>
      <c r="ER94" s="198"/>
      <c r="ES94" s="198"/>
      <c r="ET94" s="198"/>
      <c r="EU94" s="198"/>
      <c r="EV94" s="198"/>
      <c r="EW94" s="198"/>
      <c r="EX94" s="198"/>
      <c r="EY94" s="198"/>
      <c r="EZ94" s="198"/>
      <c r="FA94" s="198"/>
      <c r="FB94" s="198"/>
      <c r="FC94" s="198"/>
      <c r="FD94" s="198"/>
      <c r="FE94" s="198"/>
      <c r="FF94" s="198"/>
      <c r="FG94" s="198"/>
      <c r="FH94" s="198"/>
      <c r="FI94" s="198"/>
      <c r="FJ94" s="198"/>
      <c r="FK94" s="198"/>
      <c r="FL94" s="198"/>
      <c r="FM94" s="198"/>
      <c r="FN94" s="198"/>
      <c r="FO94" s="198"/>
      <c r="FP94" s="198"/>
      <c r="FQ94" s="198"/>
      <c r="FR94" s="198"/>
      <c r="FS94" s="198"/>
      <c r="FT94" s="198"/>
      <c r="FU94" s="198"/>
      <c r="FV94" s="198"/>
      <c r="FW94" s="198"/>
      <c r="FX94" s="198"/>
      <c r="FY94" s="198"/>
      <c r="FZ94" s="198"/>
      <c r="GA94" s="198"/>
      <c r="GB94" s="198"/>
      <c r="GC94" s="198"/>
      <c r="GD94" s="198"/>
      <c r="GE94" s="198"/>
      <c r="GF94" s="198"/>
      <c r="GG94" s="198"/>
      <c r="GH94" s="198"/>
      <c r="GI94" s="198"/>
      <c r="GJ94" s="198"/>
      <c r="GK94" s="198"/>
      <c r="GL94" s="198"/>
      <c r="GM94" s="198"/>
      <c r="GN94" s="198"/>
      <c r="GO94" s="198"/>
      <c r="GP94" s="198"/>
      <c r="GQ94" s="198"/>
      <c r="GR94" s="198"/>
      <c r="GS94" s="198"/>
      <c r="GT94" s="198"/>
      <c r="GU94" s="198"/>
      <c r="GV94" s="198"/>
      <c r="GW94" s="198"/>
      <c r="GX94" s="198"/>
      <c r="GY94" s="198"/>
      <c r="GZ94" s="198"/>
      <c r="HA94" s="198"/>
      <c r="HB94" s="198"/>
      <c r="HC94" s="198"/>
      <c r="HD94" s="198"/>
      <c r="HE94" s="198"/>
      <c r="HF94" s="198"/>
      <c r="HG94" s="198"/>
      <c r="HH94" s="198"/>
      <c r="HI94" s="198"/>
      <c r="HJ94" s="198"/>
      <c r="HK94" s="198"/>
      <c r="HL94" s="198"/>
      <c r="HM94" s="198"/>
      <c r="HN94" s="198"/>
      <c r="HO94" s="198"/>
      <c r="HP94" s="198"/>
      <c r="HQ94" s="198"/>
      <c r="HR94" s="198"/>
      <c r="HS94" s="198"/>
      <c r="HT94" s="198"/>
      <c r="HU94" s="198"/>
      <c r="HV94" s="198"/>
      <c r="HW94" s="198"/>
      <c r="HX94" s="198"/>
      <c r="HY94" s="198"/>
      <c r="HZ94" s="198"/>
      <c r="IA94" s="198"/>
      <c r="IB94" s="198"/>
      <c r="IC94" s="198"/>
      <c r="ID94" s="198"/>
      <c r="IE94" s="198"/>
      <c r="IF94" s="198"/>
      <c r="IG94" s="198"/>
      <c r="IH94" s="198"/>
      <c r="II94" s="198"/>
      <c r="IJ94" s="198"/>
      <c r="IK94" s="198"/>
      <c r="IL94" s="198"/>
      <c r="IM94" s="198"/>
      <c r="IN94" s="198"/>
      <c r="IO94" s="198"/>
      <c r="IP94" s="198"/>
      <c r="IQ94" s="198"/>
      <c r="IR94" s="198"/>
      <c r="IS94" s="198"/>
      <c r="IT94" s="198"/>
      <c r="IU94" s="198"/>
      <c r="IV94" s="198"/>
      <c r="IW94" s="198"/>
      <c r="IX94" s="198"/>
      <c r="IY94" s="198"/>
      <c r="IZ94" s="198"/>
      <c r="JA94" s="198"/>
      <c r="JB94" s="198"/>
      <c r="JC94" s="198"/>
      <c r="JD94" s="198"/>
      <c r="JE94" s="198"/>
      <c r="JF94" s="198"/>
      <c r="JG94" s="198"/>
      <c r="JH94" s="198"/>
      <c r="JI94" s="198"/>
      <c r="JJ94" s="198"/>
      <c r="JK94" s="198"/>
      <c r="JL94" s="198"/>
      <c r="JM94" s="198"/>
      <c r="JN94" s="198"/>
      <c r="JO94" s="198"/>
      <c r="JP94" s="198"/>
      <c r="JQ94" s="198"/>
      <c r="JR94" s="198"/>
      <c r="JS94" s="198"/>
      <c r="JT94" s="198"/>
      <c r="JU94" s="198"/>
      <c r="JV94" s="198"/>
      <c r="JW94" s="198"/>
      <c r="JX94" s="198"/>
      <c r="JY94" s="198"/>
      <c r="JZ94" s="198"/>
      <c r="KA94" s="198"/>
      <c r="KB94" s="198"/>
      <c r="KC94" s="198"/>
      <c r="KD94" s="198"/>
      <c r="KE94" s="198"/>
      <c r="KF94" s="198"/>
      <c r="KG94" s="198"/>
      <c r="KH94" s="198"/>
      <c r="KI94" s="198"/>
      <c r="KJ94" s="198"/>
      <c r="KK94" s="198"/>
      <c r="KL94" s="198"/>
      <c r="KM94" s="198"/>
      <c r="KN94" s="198"/>
      <c r="KO94" s="198"/>
      <c r="KP94" s="198"/>
      <c r="KQ94" s="198"/>
      <c r="KR94" s="198"/>
      <c r="KS94" s="198"/>
      <c r="KT94" s="198"/>
      <c r="KU94" s="198"/>
      <c r="KV94" s="198"/>
      <c r="KW94" s="198"/>
      <c r="KX94" s="198"/>
      <c r="KY94" s="198"/>
      <c r="KZ94" s="198"/>
      <c r="LA94" s="198"/>
      <c r="LB94" s="198"/>
      <c r="LC94" s="198"/>
      <c r="LD94" s="198"/>
      <c r="LE94" s="198"/>
      <c r="LF94" s="198"/>
      <c r="LG94" s="198"/>
      <c r="LH94" s="198"/>
      <c r="LI94" s="198"/>
      <c r="LJ94" s="198"/>
      <c r="LK94" s="198"/>
      <c r="LL94" s="198"/>
      <c r="LM94" s="198"/>
      <c r="LN94" s="198"/>
      <c r="LO94" s="198"/>
      <c r="LP94" s="198"/>
      <c r="LQ94" s="198"/>
      <c r="LR94" s="198"/>
      <c r="LS94" s="198"/>
      <c r="LT94" s="198"/>
      <c r="LU94" s="198"/>
      <c r="LV94" s="198"/>
      <c r="LW94" s="198"/>
      <c r="LX94" s="198"/>
      <c r="LY94" s="198"/>
      <c r="LZ94" s="198"/>
      <c r="MA94" s="198"/>
      <c r="MB94" s="198"/>
      <c r="MC94" s="198"/>
      <c r="MD94" s="198"/>
      <c r="ME94" s="198"/>
      <c r="MF94" s="198"/>
      <c r="MG94" s="198"/>
      <c r="MH94" s="198"/>
      <c r="MI94" s="198"/>
      <c r="MJ94" s="198"/>
      <c r="MK94" s="198"/>
      <c r="ML94" s="198"/>
      <c r="MM94" s="198"/>
      <c r="MN94" s="198"/>
      <c r="MO94" s="198"/>
      <c r="MP94" s="198"/>
      <c r="MQ94" s="198"/>
      <c r="MR94" s="198"/>
      <c r="MS94" s="198"/>
      <c r="MT94" s="198"/>
      <c r="MU94" s="198"/>
      <c r="MV94" s="198"/>
      <c r="MW94" s="198"/>
      <c r="MX94" s="198"/>
      <c r="MY94" s="198"/>
      <c r="MZ94" s="198"/>
      <c r="NA94" s="198"/>
      <c r="NB94" s="198"/>
      <c r="NC94" s="198"/>
      <c r="ND94" s="198"/>
      <c r="NE94" s="198"/>
      <c r="NF94" s="198"/>
      <c r="NG94" s="198"/>
      <c r="NH94" s="198"/>
      <c r="NI94" s="198"/>
      <c r="NJ94" s="198"/>
      <c r="NK94" s="198"/>
      <c r="NL94" s="198"/>
      <c r="NM94" s="198"/>
      <c r="NN94" s="198"/>
      <c r="NO94" s="198"/>
      <c r="NP94" s="198"/>
      <c r="NQ94" s="198"/>
      <c r="NR94" s="198"/>
      <c r="NS94" s="198"/>
      <c r="NT94" s="198"/>
      <c r="NU94" s="198"/>
      <c r="NV94" s="198"/>
      <c r="NW94" s="198"/>
      <c r="NX94" s="198"/>
      <c r="NY94" s="198"/>
      <c r="NZ94" s="198"/>
      <c r="OA94" s="198"/>
      <c r="OB94" s="198"/>
      <c r="OC94" s="198"/>
      <c r="OD94" s="198"/>
      <c r="OE94" s="198"/>
      <c r="OF94" s="198"/>
      <c r="OG94" s="198"/>
      <c r="OH94" s="198"/>
      <c r="OI94" s="198"/>
      <c r="OJ94" s="198"/>
      <c r="OK94" s="198"/>
      <c r="OL94" s="198"/>
      <c r="OM94" s="198"/>
      <c r="ON94" s="198"/>
      <c r="OO94" s="198"/>
      <c r="OP94" s="198"/>
      <c r="OQ94" s="198"/>
      <c r="OR94" s="198"/>
      <c r="OS94" s="198"/>
      <c r="OT94" s="198"/>
      <c r="OU94" s="198"/>
      <c r="OV94" s="198"/>
      <c r="OW94" s="198"/>
      <c r="OX94" s="198"/>
      <c r="OY94" s="198"/>
      <c r="OZ94" s="198"/>
      <c r="PA94" s="198"/>
      <c r="PB94" s="198"/>
      <c r="PC94" s="198"/>
      <c r="PD94" s="198"/>
      <c r="PE94" s="198"/>
      <c r="PF94" s="198"/>
      <c r="PG94" s="198"/>
      <c r="PH94" s="198"/>
      <c r="PI94" s="198"/>
      <c r="PJ94" s="198"/>
      <c r="PK94" s="198"/>
      <c r="PL94" s="198"/>
      <c r="PM94" s="198"/>
      <c r="PN94" s="198"/>
      <c r="PO94" s="198"/>
      <c r="PP94" s="198"/>
      <c r="PQ94" s="198"/>
      <c r="PR94" s="198"/>
      <c r="PS94" s="198"/>
      <c r="PT94" s="198"/>
      <c r="PU94" s="198"/>
      <c r="PV94" s="198"/>
      <c r="PW94" s="198"/>
      <c r="PX94" s="198"/>
      <c r="PY94" s="198"/>
      <c r="PZ94" s="198"/>
      <c r="QA94" s="198"/>
      <c r="QB94" s="198"/>
      <c r="QC94" s="198"/>
      <c r="QD94" s="198"/>
      <c r="QE94" s="198"/>
      <c r="QF94" s="198"/>
      <c r="QG94" s="198"/>
      <c r="QH94" s="198"/>
      <c r="QI94" s="198"/>
      <c r="QJ94" s="198"/>
      <c r="QK94" s="198"/>
      <c r="QL94" s="198"/>
      <c r="QM94" s="198"/>
      <c r="QN94" s="198"/>
      <c r="QO94" s="198"/>
      <c r="QP94" s="198"/>
      <c r="QQ94" s="198"/>
      <c r="QR94" s="198"/>
      <c r="QS94" s="198"/>
      <c r="QT94" s="198"/>
      <c r="QU94" s="198"/>
      <c r="QV94" s="198"/>
      <c r="QW94" s="198"/>
      <c r="QX94" s="198"/>
      <c r="QY94" s="198"/>
      <c r="QZ94" s="198"/>
      <c r="RA94" s="198"/>
      <c r="RB94" s="198"/>
      <c r="RC94" s="198"/>
      <c r="RD94" s="198"/>
      <c r="RE94" s="198"/>
      <c r="RF94" s="198"/>
      <c r="RG94" s="198"/>
      <c r="RH94" s="198"/>
      <c r="RI94" s="198"/>
      <c r="RJ94" s="198"/>
      <c r="RK94" s="198"/>
      <c r="RL94" s="198"/>
      <c r="RM94" s="198"/>
      <c r="RN94" s="198"/>
      <c r="RO94" s="198"/>
      <c r="RP94" s="198"/>
      <c r="RQ94" s="198"/>
      <c r="RR94" s="198"/>
      <c r="RS94" s="198"/>
      <c r="RT94" s="198"/>
      <c r="RU94" s="198"/>
      <c r="RV94" s="198"/>
      <c r="RW94" s="198"/>
      <c r="RX94" s="198"/>
      <c r="RY94" s="198"/>
      <c r="RZ94" s="198"/>
      <c r="SA94" s="198"/>
      <c r="SB94" s="198"/>
      <c r="SC94" s="198"/>
      <c r="SD94" s="198"/>
      <c r="SE94" s="198"/>
      <c r="SF94" s="198"/>
      <c r="SG94" s="198"/>
    </row>
    <row r="95" spans="1:501" ht="40.049999999999997" customHeight="1" x14ac:dyDescent="0.3">
      <c r="A95" s="541" t="s">
        <v>256</v>
      </c>
      <c r="B95" s="952" t="s">
        <v>257</v>
      </c>
      <c r="C95" s="950"/>
      <c r="D95" s="861"/>
      <c r="E95" s="862"/>
      <c r="F95" s="861"/>
      <c r="G95" s="863">
        <f>MANZ.C!AL95</f>
        <v>17</v>
      </c>
      <c r="H95" s="861"/>
      <c r="I95" s="862">
        <f>MANZ.D!Z95</f>
        <v>7</v>
      </c>
      <c r="J95" s="861"/>
      <c r="K95" s="862">
        <f>MANZ.I!AB94</f>
        <v>3</v>
      </c>
      <c r="L95" s="861"/>
      <c r="M95" s="862">
        <f>MANZ.F!AB95</f>
        <v>7</v>
      </c>
      <c r="N95" s="861"/>
      <c r="O95" s="862">
        <f>MANZ.G!AS92</f>
        <v>18</v>
      </c>
      <c r="P95" s="861"/>
      <c r="Q95" s="862">
        <f>MANZ.H!V96</f>
        <v>9</v>
      </c>
      <c r="R95" s="861"/>
      <c r="S95" s="862">
        <f>MANZ.I!AB94</f>
        <v>3</v>
      </c>
      <c r="T95" s="861"/>
      <c r="U95" s="862">
        <f>MANZ.J!AT99</f>
        <v>12</v>
      </c>
      <c r="V95" s="861"/>
      <c r="W95" s="862">
        <f>MANZ.K!AB96</f>
        <v>10</v>
      </c>
      <c r="X95" s="861"/>
      <c r="Y95" s="862"/>
      <c r="Z95" s="861"/>
      <c r="AA95" s="862"/>
      <c r="AB95" s="864"/>
      <c r="AC95" s="864"/>
      <c r="AD95" s="864"/>
      <c r="AE95" s="864"/>
      <c r="AF95" s="861"/>
      <c r="AG95" s="865">
        <f t="shared" si="0"/>
        <v>50</v>
      </c>
      <c r="AH95" s="866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  <c r="AS95" s="198"/>
      <c r="AT95" s="198"/>
      <c r="AU95" s="198"/>
      <c r="AV95" s="198"/>
      <c r="AW95" s="198"/>
      <c r="AX95" s="198"/>
      <c r="AY95" s="198"/>
      <c r="AZ95" s="198"/>
      <c r="BA95" s="198"/>
      <c r="BB95" s="198"/>
      <c r="BC95" s="198"/>
      <c r="BD95" s="198"/>
      <c r="BE95" s="198"/>
      <c r="BF95" s="198"/>
      <c r="BG95" s="198"/>
      <c r="BH95" s="198"/>
      <c r="BI95" s="198"/>
      <c r="BJ95" s="198"/>
      <c r="BK95" s="198"/>
      <c r="BL95" s="198"/>
      <c r="BM95" s="198"/>
      <c r="BN95" s="198"/>
      <c r="BO95" s="198"/>
      <c r="BP95" s="198"/>
      <c r="BQ95" s="198"/>
      <c r="BR95" s="198"/>
      <c r="BS95" s="198"/>
      <c r="BT95" s="198"/>
      <c r="BU95" s="198"/>
      <c r="BV95" s="198"/>
      <c r="BW95" s="198"/>
      <c r="BX95" s="198"/>
      <c r="BY95" s="198"/>
      <c r="BZ95" s="198"/>
      <c r="CA95" s="198"/>
      <c r="CB95" s="198"/>
      <c r="CC95" s="198"/>
      <c r="CD95" s="198"/>
      <c r="CE95" s="198"/>
      <c r="CF95" s="198"/>
      <c r="CG95" s="198"/>
      <c r="CH95" s="198"/>
      <c r="CI95" s="198"/>
      <c r="CJ95" s="198"/>
      <c r="CK95" s="198"/>
      <c r="CL95" s="198"/>
      <c r="CM95" s="198"/>
      <c r="CN95" s="198"/>
      <c r="CO95" s="198"/>
      <c r="CP95" s="198"/>
      <c r="CQ95" s="198"/>
      <c r="CR95" s="198"/>
      <c r="CS95" s="198"/>
      <c r="CT95" s="198"/>
      <c r="CU95" s="198"/>
      <c r="CV95" s="198"/>
      <c r="CW95" s="198"/>
      <c r="CX95" s="198"/>
      <c r="CY95" s="198"/>
      <c r="CZ95" s="198"/>
      <c r="DA95" s="198"/>
      <c r="DB95" s="198"/>
      <c r="DC95" s="198"/>
      <c r="DD95" s="198"/>
      <c r="DE95" s="198"/>
      <c r="DF95" s="198"/>
      <c r="DG95" s="198"/>
      <c r="DH95" s="198"/>
      <c r="DI95" s="198"/>
      <c r="DJ95" s="198"/>
      <c r="DK95" s="198"/>
      <c r="DL95" s="198"/>
      <c r="DM95" s="198"/>
      <c r="DN95" s="198"/>
      <c r="DO95" s="198"/>
      <c r="DP95" s="198"/>
      <c r="DQ95" s="198"/>
      <c r="DR95" s="198"/>
      <c r="DS95" s="198"/>
      <c r="DT95" s="198"/>
      <c r="DU95" s="198"/>
      <c r="DV95" s="198"/>
      <c r="DW95" s="198"/>
      <c r="DX95" s="198"/>
      <c r="DY95" s="198"/>
      <c r="DZ95" s="198"/>
      <c r="EA95" s="198"/>
      <c r="EB95" s="198"/>
      <c r="EC95" s="198"/>
      <c r="ED95" s="198"/>
      <c r="EE95" s="198"/>
      <c r="EF95" s="198"/>
      <c r="EG95" s="198"/>
      <c r="EH95" s="198"/>
      <c r="EI95" s="198"/>
      <c r="EJ95" s="198"/>
      <c r="EK95" s="198"/>
      <c r="EL95" s="198"/>
      <c r="EM95" s="198"/>
      <c r="EN95" s="198"/>
      <c r="EO95" s="198"/>
      <c r="EP95" s="198"/>
      <c r="EQ95" s="198"/>
      <c r="ER95" s="198"/>
      <c r="ES95" s="198"/>
      <c r="ET95" s="198"/>
      <c r="EU95" s="198"/>
      <c r="EV95" s="198"/>
      <c r="EW95" s="198"/>
      <c r="EX95" s="198"/>
      <c r="EY95" s="198"/>
      <c r="EZ95" s="198"/>
      <c r="FA95" s="198"/>
      <c r="FB95" s="198"/>
      <c r="FC95" s="198"/>
      <c r="FD95" s="198"/>
      <c r="FE95" s="198"/>
      <c r="FF95" s="198"/>
      <c r="FG95" s="198"/>
      <c r="FH95" s="198"/>
      <c r="FI95" s="198"/>
      <c r="FJ95" s="198"/>
      <c r="FK95" s="198"/>
      <c r="FL95" s="198"/>
      <c r="FM95" s="198"/>
      <c r="FN95" s="198"/>
      <c r="FO95" s="198"/>
      <c r="FP95" s="198"/>
      <c r="FQ95" s="198"/>
      <c r="FR95" s="198"/>
      <c r="FS95" s="198"/>
      <c r="FT95" s="198"/>
      <c r="FU95" s="198"/>
      <c r="FV95" s="198"/>
      <c r="FW95" s="198"/>
      <c r="FX95" s="198"/>
      <c r="FY95" s="198"/>
      <c r="FZ95" s="198"/>
      <c r="GA95" s="198"/>
      <c r="GB95" s="198"/>
      <c r="GC95" s="198"/>
      <c r="GD95" s="198"/>
      <c r="GE95" s="198"/>
      <c r="GF95" s="198"/>
      <c r="GG95" s="198"/>
      <c r="GH95" s="198"/>
      <c r="GI95" s="198"/>
      <c r="GJ95" s="198"/>
      <c r="GK95" s="198"/>
      <c r="GL95" s="198"/>
      <c r="GM95" s="198"/>
      <c r="GN95" s="198"/>
      <c r="GO95" s="198"/>
      <c r="GP95" s="198"/>
      <c r="GQ95" s="198"/>
      <c r="GR95" s="198"/>
      <c r="GS95" s="198"/>
      <c r="GT95" s="198"/>
      <c r="GU95" s="198"/>
      <c r="GV95" s="198"/>
      <c r="GW95" s="198"/>
      <c r="GX95" s="198"/>
      <c r="GY95" s="198"/>
      <c r="GZ95" s="198"/>
      <c r="HA95" s="198"/>
      <c r="HB95" s="198"/>
      <c r="HC95" s="198"/>
      <c r="HD95" s="198"/>
      <c r="HE95" s="198"/>
      <c r="HF95" s="198"/>
      <c r="HG95" s="198"/>
      <c r="HH95" s="198"/>
      <c r="HI95" s="198"/>
      <c r="HJ95" s="198"/>
      <c r="HK95" s="198"/>
      <c r="HL95" s="198"/>
      <c r="HM95" s="198"/>
      <c r="HN95" s="198"/>
      <c r="HO95" s="198"/>
      <c r="HP95" s="198"/>
      <c r="HQ95" s="198"/>
      <c r="HR95" s="198"/>
      <c r="HS95" s="198"/>
      <c r="HT95" s="198"/>
      <c r="HU95" s="198"/>
      <c r="HV95" s="198"/>
      <c r="HW95" s="198"/>
      <c r="HX95" s="198"/>
      <c r="HY95" s="198"/>
      <c r="HZ95" s="198"/>
      <c r="IA95" s="198"/>
      <c r="IB95" s="198"/>
      <c r="IC95" s="198"/>
      <c r="ID95" s="198"/>
      <c r="IE95" s="198"/>
      <c r="IF95" s="198"/>
      <c r="IG95" s="198"/>
      <c r="IH95" s="198"/>
      <c r="II95" s="198"/>
      <c r="IJ95" s="198"/>
      <c r="IK95" s="198"/>
      <c r="IL95" s="198"/>
      <c r="IM95" s="198"/>
      <c r="IN95" s="198"/>
      <c r="IO95" s="198"/>
      <c r="IP95" s="198"/>
      <c r="IQ95" s="198"/>
      <c r="IR95" s="198"/>
      <c r="IS95" s="198"/>
      <c r="IT95" s="198"/>
      <c r="IU95" s="198"/>
      <c r="IV95" s="198"/>
      <c r="IW95" s="198"/>
      <c r="IX95" s="198"/>
      <c r="IY95" s="198"/>
      <c r="IZ95" s="198"/>
      <c r="JA95" s="198"/>
      <c r="JB95" s="198"/>
      <c r="JC95" s="198"/>
      <c r="JD95" s="198"/>
      <c r="JE95" s="198"/>
      <c r="JF95" s="198"/>
      <c r="JG95" s="198"/>
      <c r="JH95" s="198"/>
      <c r="JI95" s="198"/>
      <c r="JJ95" s="198"/>
      <c r="JK95" s="198"/>
      <c r="JL95" s="198"/>
      <c r="JM95" s="198"/>
      <c r="JN95" s="198"/>
      <c r="JO95" s="198"/>
      <c r="JP95" s="198"/>
      <c r="JQ95" s="198"/>
      <c r="JR95" s="198"/>
      <c r="JS95" s="198"/>
      <c r="JT95" s="198"/>
      <c r="JU95" s="198"/>
      <c r="JV95" s="198"/>
      <c r="JW95" s="198"/>
      <c r="JX95" s="198"/>
      <c r="JY95" s="198"/>
      <c r="JZ95" s="198"/>
      <c r="KA95" s="198"/>
      <c r="KB95" s="198"/>
      <c r="KC95" s="198"/>
      <c r="KD95" s="198"/>
      <c r="KE95" s="198"/>
      <c r="KF95" s="198"/>
      <c r="KG95" s="198"/>
      <c r="KH95" s="198"/>
      <c r="KI95" s="198"/>
      <c r="KJ95" s="198"/>
      <c r="KK95" s="198"/>
      <c r="KL95" s="198"/>
      <c r="KM95" s="198"/>
      <c r="KN95" s="198"/>
      <c r="KO95" s="198"/>
      <c r="KP95" s="198"/>
      <c r="KQ95" s="198"/>
      <c r="KR95" s="198"/>
      <c r="KS95" s="198"/>
      <c r="KT95" s="198"/>
      <c r="KU95" s="198"/>
      <c r="KV95" s="198"/>
      <c r="KW95" s="198"/>
      <c r="KX95" s="198"/>
      <c r="KY95" s="198"/>
      <c r="KZ95" s="198"/>
      <c r="LA95" s="198"/>
      <c r="LB95" s="198"/>
      <c r="LC95" s="198"/>
      <c r="LD95" s="198"/>
      <c r="LE95" s="198"/>
      <c r="LF95" s="198"/>
      <c r="LG95" s="198"/>
      <c r="LH95" s="198"/>
      <c r="LI95" s="198"/>
      <c r="LJ95" s="198"/>
      <c r="LK95" s="198"/>
      <c r="LL95" s="198"/>
      <c r="LM95" s="198"/>
      <c r="LN95" s="198"/>
      <c r="LO95" s="198"/>
      <c r="LP95" s="198"/>
      <c r="LQ95" s="198"/>
      <c r="LR95" s="198"/>
      <c r="LS95" s="198"/>
      <c r="LT95" s="198"/>
      <c r="LU95" s="198"/>
      <c r="LV95" s="198"/>
      <c r="LW95" s="198"/>
      <c r="LX95" s="198"/>
      <c r="LY95" s="198"/>
      <c r="LZ95" s="198"/>
      <c r="MA95" s="198"/>
      <c r="MB95" s="198"/>
      <c r="MC95" s="198"/>
      <c r="MD95" s="198"/>
      <c r="ME95" s="198"/>
      <c r="MF95" s="198"/>
      <c r="MG95" s="198"/>
      <c r="MH95" s="198"/>
      <c r="MI95" s="198"/>
      <c r="MJ95" s="198"/>
      <c r="MK95" s="198"/>
      <c r="ML95" s="198"/>
      <c r="MM95" s="198"/>
      <c r="MN95" s="198"/>
      <c r="MO95" s="198"/>
      <c r="MP95" s="198"/>
      <c r="MQ95" s="198"/>
      <c r="MR95" s="198"/>
      <c r="MS95" s="198"/>
      <c r="MT95" s="198"/>
      <c r="MU95" s="198"/>
      <c r="MV95" s="198"/>
      <c r="MW95" s="198"/>
      <c r="MX95" s="198"/>
      <c r="MY95" s="198"/>
      <c r="MZ95" s="198"/>
      <c r="NA95" s="198"/>
      <c r="NB95" s="198"/>
      <c r="NC95" s="198"/>
      <c r="ND95" s="198"/>
      <c r="NE95" s="198"/>
      <c r="NF95" s="198"/>
      <c r="NG95" s="198"/>
      <c r="NH95" s="198"/>
      <c r="NI95" s="198"/>
      <c r="NJ95" s="198"/>
      <c r="NK95" s="198"/>
      <c r="NL95" s="198"/>
      <c r="NM95" s="198"/>
      <c r="NN95" s="198"/>
      <c r="NO95" s="198"/>
      <c r="NP95" s="198"/>
      <c r="NQ95" s="198"/>
      <c r="NR95" s="198"/>
      <c r="NS95" s="198"/>
      <c r="NT95" s="198"/>
      <c r="NU95" s="198"/>
      <c r="NV95" s="198"/>
      <c r="NW95" s="198"/>
      <c r="NX95" s="198"/>
      <c r="NY95" s="198"/>
      <c r="NZ95" s="198"/>
      <c r="OA95" s="198"/>
      <c r="OB95" s="198"/>
      <c r="OC95" s="198"/>
      <c r="OD95" s="198"/>
      <c r="OE95" s="198"/>
      <c r="OF95" s="198"/>
      <c r="OG95" s="198"/>
      <c r="OH95" s="198"/>
      <c r="OI95" s="198"/>
      <c r="OJ95" s="198"/>
      <c r="OK95" s="198"/>
      <c r="OL95" s="198"/>
      <c r="OM95" s="198"/>
      <c r="ON95" s="198"/>
      <c r="OO95" s="198"/>
      <c r="OP95" s="198"/>
      <c r="OQ95" s="198"/>
      <c r="OR95" s="198"/>
      <c r="OS95" s="198"/>
      <c r="OT95" s="198"/>
      <c r="OU95" s="198"/>
      <c r="OV95" s="198"/>
      <c r="OW95" s="198"/>
      <c r="OX95" s="198"/>
      <c r="OY95" s="198"/>
      <c r="OZ95" s="198"/>
      <c r="PA95" s="198"/>
      <c r="PB95" s="198"/>
      <c r="PC95" s="198"/>
      <c r="PD95" s="198"/>
      <c r="PE95" s="198"/>
      <c r="PF95" s="198"/>
      <c r="PG95" s="198"/>
      <c r="PH95" s="198"/>
      <c r="PI95" s="198"/>
      <c r="PJ95" s="198"/>
      <c r="PK95" s="198"/>
      <c r="PL95" s="198"/>
      <c r="PM95" s="198"/>
      <c r="PN95" s="198"/>
      <c r="PO95" s="198"/>
      <c r="PP95" s="198"/>
      <c r="PQ95" s="198"/>
      <c r="PR95" s="198"/>
      <c r="PS95" s="198"/>
      <c r="PT95" s="198"/>
      <c r="PU95" s="198"/>
      <c r="PV95" s="198"/>
      <c r="PW95" s="198"/>
      <c r="PX95" s="198"/>
      <c r="PY95" s="198"/>
      <c r="PZ95" s="198"/>
      <c r="QA95" s="198"/>
      <c r="QB95" s="198"/>
      <c r="QC95" s="198"/>
      <c r="QD95" s="198"/>
      <c r="QE95" s="198"/>
      <c r="QF95" s="198"/>
      <c r="QG95" s="198"/>
      <c r="QH95" s="198"/>
      <c r="QI95" s="198"/>
      <c r="QJ95" s="198"/>
      <c r="QK95" s="198"/>
      <c r="QL95" s="198"/>
      <c r="QM95" s="198"/>
      <c r="QN95" s="198"/>
      <c r="QO95" s="198"/>
      <c r="QP95" s="198"/>
      <c r="QQ95" s="198"/>
      <c r="QR95" s="198"/>
      <c r="QS95" s="198"/>
      <c r="QT95" s="198"/>
      <c r="QU95" s="198"/>
      <c r="QV95" s="198"/>
      <c r="QW95" s="198"/>
      <c r="QX95" s="198"/>
      <c r="QY95" s="198"/>
      <c r="QZ95" s="198"/>
      <c r="RA95" s="198"/>
      <c r="RB95" s="198"/>
      <c r="RC95" s="198"/>
      <c r="RD95" s="198"/>
      <c r="RE95" s="198"/>
      <c r="RF95" s="198"/>
      <c r="RG95" s="198"/>
      <c r="RH95" s="198"/>
      <c r="RI95" s="198"/>
      <c r="RJ95" s="198"/>
      <c r="RK95" s="198"/>
      <c r="RL95" s="198"/>
      <c r="RM95" s="198"/>
      <c r="RN95" s="198"/>
      <c r="RO95" s="198"/>
      <c r="RP95" s="198"/>
      <c r="RQ95" s="198"/>
      <c r="RR95" s="198"/>
      <c r="RS95" s="198"/>
      <c r="RT95" s="198"/>
      <c r="RU95" s="198"/>
      <c r="RV95" s="198"/>
      <c r="RW95" s="198"/>
      <c r="RX95" s="198"/>
      <c r="RY95" s="198"/>
      <c r="RZ95" s="198"/>
      <c r="SA95" s="198"/>
      <c r="SB95" s="198"/>
      <c r="SC95" s="198"/>
      <c r="SD95" s="198"/>
      <c r="SE95" s="198"/>
      <c r="SF95" s="198"/>
      <c r="SG95" s="198"/>
    </row>
    <row r="96" spans="1:501" ht="40.049999999999997" customHeight="1" x14ac:dyDescent="0.3">
      <c r="A96" s="541" t="s">
        <v>258</v>
      </c>
      <c r="B96" s="952" t="s">
        <v>259</v>
      </c>
      <c r="C96" s="950"/>
      <c r="D96" s="861"/>
      <c r="E96" s="862"/>
      <c r="F96" s="861"/>
      <c r="G96" s="863">
        <f>MANZ.C!AL96</f>
        <v>0</v>
      </c>
      <c r="H96" s="861"/>
      <c r="I96" s="862">
        <f>MANZ.D!Z96</f>
        <v>0</v>
      </c>
      <c r="J96" s="861"/>
      <c r="K96" s="862">
        <f>MANZ.I!AB95</f>
        <v>3</v>
      </c>
      <c r="L96" s="861"/>
      <c r="M96" s="862">
        <f>MANZ.F!AB96</f>
        <v>0</v>
      </c>
      <c r="N96" s="861"/>
      <c r="O96" s="862">
        <f>MANZ.G!AS93</f>
        <v>18</v>
      </c>
      <c r="P96" s="861"/>
      <c r="Q96" s="862">
        <f>MANZ.H!V97</f>
        <v>0</v>
      </c>
      <c r="R96" s="861"/>
      <c r="S96" s="862">
        <f>MANZ.I!AB95</f>
        <v>3</v>
      </c>
      <c r="T96" s="861"/>
      <c r="U96" s="862">
        <f>MANZ.J!AT100</f>
        <v>0</v>
      </c>
      <c r="V96" s="861"/>
      <c r="W96" s="862">
        <f>MANZ.K!AB97</f>
        <v>0</v>
      </c>
      <c r="X96" s="861"/>
      <c r="Y96" s="862"/>
      <c r="Z96" s="861"/>
      <c r="AA96" s="862"/>
      <c r="AB96" s="864"/>
      <c r="AC96" s="864"/>
      <c r="AD96" s="864"/>
      <c r="AE96" s="864"/>
      <c r="AF96" s="861"/>
      <c r="AG96" s="865">
        <f t="shared" si="0"/>
        <v>86</v>
      </c>
      <c r="AH96" s="866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  <c r="AS96" s="198"/>
      <c r="AT96" s="198"/>
      <c r="AU96" s="198"/>
      <c r="AV96" s="198"/>
      <c r="AW96" s="198"/>
      <c r="AX96" s="198"/>
      <c r="AY96" s="198"/>
      <c r="AZ96" s="198"/>
      <c r="BA96" s="198"/>
      <c r="BB96" s="198"/>
      <c r="BC96" s="198"/>
      <c r="BD96" s="198"/>
      <c r="BE96" s="198"/>
      <c r="BF96" s="198"/>
      <c r="BG96" s="198"/>
      <c r="BH96" s="198"/>
      <c r="BI96" s="198"/>
      <c r="BJ96" s="198"/>
      <c r="BK96" s="198"/>
      <c r="BL96" s="198"/>
      <c r="BM96" s="198"/>
      <c r="BN96" s="198"/>
      <c r="BO96" s="198"/>
      <c r="BP96" s="198"/>
      <c r="BQ96" s="198"/>
      <c r="BR96" s="198"/>
      <c r="BS96" s="198"/>
      <c r="BT96" s="198"/>
      <c r="BU96" s="198"/>
      <c r="BV96" s="198"/>
      <c r="BW96" s="198"/>
      <c r="BX96" s="198"/>
      <c r="BY96" s="198"/>
      <c r="BZ96" s="198"/>
      <c r="CA96" s="198"/>
      <c r="CB96" s="198"/>
      <c r="CC96" s="198"/>
      <c r="CD96" s="198"/>
      <c r="CE96" s="198"/>
      <c r="CF96" s="198"/>
      <c r="CG96" s="198"/>
      <c r="CH96" s="198"/>
      <c r="CI96" s="198"/>
      <c r="CJ96" s="198"/>
      <c r="CK96" s="198"/>
      <c r="CL96" s="198"/>
      <c r="CM96" s="198"/>
      <c r="CN96" s="198"/>
      <c r="CO96" s="198"/>
      <c r="CP96" s="198"/>
      <c r="CQ96" s="198"/>
      <c r="CR96" s="198"/>
      <c r="CS96" s="198"/>
      <c r="CT96" s="198"/>
      <c r="CU96" s="198"/>
      <c r="CV96" s="198"/>
      <c r="CW96" s="198"/>
      <c r="CX96" s="198"/>
      <c r="CY96" s="198"/>
      <c r="CZ96" s="198"/>
      <c r="DA96" s="198"/>
      <c r="DB96" s="198"/>
      <c r="DC96" s="198"/>
      <c r="DD96" s="198"/>
      <c r="DE96" s="198"/>
      <c r="DF96" s="198"/>
      <c r="DG96" s="198"/>
      <c r="DH96" s="198"/>
      <c r="DI96" s="198"/>
      <c r="DJ96" s="198"/>
      <c r="DK96" s="198"/>
      <c r="DL96" s="198"/>
      <c r="DM96" s="198"/>
      <c r="DN96" s="198"/>
      <c r="DO96" s="198"/>
      <c r="DP96" s="198"/>
      <c r="DQ96" s="198"/>
      <c r="DR96" s="198"/>
      <c r="DS96" s="198"/>
      <c r="DT96" s="198"/>
      <c r="DU96" s="198"/>
      <c r="DV96" s="198"/>
      <c r="DW96" s="198"/>
      <c r="DX96" s="198"/>
      <c r="DY96" s="198"/>
      <c r="DZ96" s="198"/>
      <c r="EA96" s="198"/>
      <c r="EB96" s="198"/>
      <c r="EC96" s="198"/>
      <c r="ED96" s="198"/>
      <c r="EE96" s="198"/>
      <c r="EF96" s="198"/>
      <c r="EG96" s="198"/>
      <c r="EH96" s="198"/>
      <c r="EI96" s="198"/>
      <c r="EJ96" s="198"/>
      <c r="EK96" s="198"/>
      <c r="EL96" s="198"/>
      <c r="EM96" s="198"/>
      <c r="EN96" s="198"/>
      <c r="EO96" s="198"/>
      <c r="EP96" s="198"/>
      <c r="EQ96" s="198"/>
      <c r="ER96" s="198"/>
      <c r="ES96" s="198"/>
      <c r="ET96" s="198"/>
      <c r="EU96" s="198"/>
      <c r="EV96" s="198"/>
      <c r="EW96" s="198"/>
      <c r="EX96" s="198"/>
      <c r="EY96" s="198"/>
      <c r="EZ96" s="198"/>
      <c r="FA96" s="198"/>
      <c r="FB96" s="198"/>
      <c r="FC96" s="198"/>
      <c r="FD96" s="198"/>
      <c r="FE96" s="198"/>
      <c r="FF96" s="198"/>
      <c r="FG96" s="198"/>
      <c r="FH96" s="198"/>
      <c r="FI96" s="198"/>
      <c r="FJ96" s="198"/>
      <c r="FK96" s="198"/>
      <c r="FL96" s="198"/>
      <c r="FM96" s="198"/>
      <c r="FN96" s="198"/>
      <c r="FO96" s="198"/>
      <c r="FP96" s="198"/>
      <c r="FQ96" s="198"/>
      <c r="FR96" s="198"/>
      <c r="FS96" s="198"/>
      <c r="FT96" s="198"/>
      <c r="FU96" s="198"/>
      <c r="FV96" s="198"/>
      <c r="FW96" s="198"/>
      <c r="FX96" s="198"/>
      <c r="FY96" s="198"/>
      <c r="FZ96" s="198"/>
      <c r="GA96" s="198"/>
      <c r="GB96" s="198"/>
      <c r="GC96" s="198"/>
      <c r="GD96" s="198"/>
      <c r="GE96" s="198"/>
      <c r="GF96" s="198"/>
      <c r="GG96" s="198"/>
      <c r="GH96" s="198"/>
      <c r="GI96" s="198"/>
      <c r="GJ96" s="198"/>
      <c r="GK96" s="198"/>
      <c r="GL96" s="198"/>
      <c r="GM96" s="198"/>
      <c r="GN96" s="198"/>
      <c r="GO96" s="198"/>
      <c r="GP96" s="198"/>
      <c r="GQ96" s="198"/>
      <c r="GR96" s="198"/>
      <c r="GS96" s="198"/>
      <c r="GT96" s="198"/>
      <c r="GU96" s="198"/>
      <c r="GV96" s="198"/>
      <c r="GW96" s="198"/>
      <c r="GX96" s="198"/>
      <c r="GY96" s="198"/>
      <c r="GZ96" s="198"/>
      <c r="HA96" s="198"/>
      <c r="HB96" s="198"/>
      <c r="HC96" s="198"/>
      <c r="HD96" s="198"/>
      <c r="HE96" s="198"/>
      <c r="HF96" s="198"/>
      <c r="HG96" s="198"/>
      <c r="HH96" s="198"/>
      <c r="HI96" s="198"/>
      <c r="HJ96" s="198"/>
      <c r="HK96" s="198"/>
      <c r="HL96" s="198"/>
      <c r="HM96" s="198"/>
      <c r="HN96" s="198"/>
      <c r="HO96" s="198"/>
      <c r="HP96" s="198"/>
      <c r="HQ96" s="198"/>
      <c r="HR96" s="198"/>
      <c r="HS96" s="198"/>
      <c r="HT96" s="198"/>
      <c r="HU96" s="198"/>
      <c r="HV96" s="198"/>
      <c r="HW96" s="198"/>
      <c r="HX96" s="198"/>
      <c r="HY96" s="198"/>
      <c r="HZ96" s="198"/>
      <c r="IA96" s="198"/>
      <c r="IB96" s="198"/>
      <c r="IC96" s="198"/>
      <c r="ID96" s="198"/>
      <c r="IE96" s="198"/>
      <c r="IF96" s="198"/>
      <c r="IG96" s="198"/>
      <c r="IH96" s="198"/>
      <c r="II96" s="198"/>
      <c r="IJ96" s="198"/>
      <c r="IK96" s="198"/>
      <c r="IL96" s="198"/>
      <c r="IM96" s="198"/>
      <c r="IN96" s="198"/>
      <c r="IO96" s="198"/>
      <c r="IP96" s="198"/>
      <c r="IQ96" s="198"/>
      <c r="IR96" s="198"/>
      <c r="IS96" s="198"/>
      <c r="IT96" s="198"/>
      <c r="IU96" s="198"/>
      <c r="IV96" s="198"/>
      <c r="IW96" s="198"/>
      <c r="IX96" s="198"/>
      <c r="IY96" s="198"/>
      <c r="IZ96" s="198"/>
      <c r="JA96" s="198"/>
      <c r="JB96" s="198"/>
      <c r="JC96" s="198"/>
      <c r="JD96" s="198"/>
      <c r="JE96" s="198"/>
      <c r="JF96" s="198"/>
      <c r="JG96" s="198"/>
      <c r="JH96" s="198"/>
      <c r="JI96" s="198"/>
      <c r="JJ96" s="198"/>
      <c r="JK96" s="198"/>
      <c r="JL96" s="198"/>
      <c r="JM96" s="198"/>
      <c r="JN96" s="198"/>
      <c r="JO96" s="198"/>
      <c r="JP96" s="198"/>
      <c r="JQ96" s="198"/>
      <c r="JR96" s="198"/>
      <c r="JS96" s="198"/>
      <c r="JT96" s="198"/>
      <c r="JU96" s="198"/>
      <c r="JV96" s="198"/>
      <c r="JW96" s="198"/>
      <c r="JX96" s="198"/>
      <c r="JY96" s="198"/>
      <c r="JZ96" s="198"/>
      <c r="KA96" s="198"/>
      <c r="KB96" s="198"/>
      <c r="KC96" s="198"/>
      <c r="KD96" s="198"/>
      <c r="KE96" s="198"/>
      <c r="KF96" s="198"/>
      <c r="KG96" s="198"/>
      <c r="KH96" s="198"/>
      <c r="KI96" s="198"/>
      <c r="KJ96" s="198"/>
      <c r="KK96" s="198"/>
      <c r="KL96" s="198"/>
      <c r="KM96" s="198"/>
      <c r="KN96" s="198"/>
      <c r="KO96" s="198"/>
      <c r="KP96" s="198"/>
      <c r="KQ96" s="198"/>
      <c r="KR96" s="198"/>
      <c r="KS96" s="198"/>
      <c r="KT96" s="198"/>
      <c r="KU96" s="198"/>
      <c r="KV96" s="198"/>
      <c r="KW96" s="198"/>
      <c r="KX96" s="198"/>
      <c r="KY96" s="198"/>
      <c r="KZ96" s="198"/>
      <c r="LA96" s="198"/>
      <c r="LB96" s="198"/>
      <c r="LC96" s="198"/>
      <c r="LD96" s="198"/>
      <c r="LE96" s="198"/>
      <c r="LF96" s="198"/>
      <c r="LG96" s="198"/>
      <c r="LH96" s="198"/>
      <c r="LI96" s="198"/>
      <c r="LJ96" s="198"/>
      <c r="LK96" s="198"/>
      <c r="LL96" s="198"/>
      <c r="LM96" s="198"/>
      <c r="LN96" s="198"/>
      <c r="LO96" s="198"/>
      <c r="LP96" s="198"/>
      <c r="LQ96" s="198"/>
      <c r="LR96" s="198"/>
      <c r="LS96" s="198"/>
      <c r="LT96" s="198"/>
      <c r="LU96" s="198"/>
      <c r="LV96" s="198"/>
      <c r="LW96" s="198"/>
      <c r="LX96" s="198"/>
      <c r="LY96" s="198"/>
      <c r="LZ96" s="198"/>
      <c r="MA96" s="198"/>
      <c r="MB96" s="198"/>
      <c r="MC96" s="198"/>
      <c r="MD96" s="198"/>
      <c r="ME96" s="198"/>
      <c r="MF96" s="198"/>
      <c r="MG96" s="198"/>
      <c r="MH96" s="198"/>
      <c r="MI96" s="198"/>
      <c r="MJ96" s="198"/>
      <c r="MK96" s="198"/>
      <c r="ML96" s="198"/>
      <c r="MM96" s="198"/>
      <c r="MN96" s="198"/>
      <c r="MO96" s="198"/>
      <c r="MP96" s="198"/>
      <c r="MQ96" s="198"/>
      <c r="MR96" s="198"/>
      <c r="MS96" s="198"/>
      <c r="MT96" s="198"/>
      <c r="MU96" s="198"/>
      <c r="MV96" s="198"/>
      <c r="MW96" s="198"/>
      <c r="MX96" s="198"/>
      <c r="MY96" s="198"/>
      <c r="MZ96" s="198"/>
      <c r="NA96" s="198"/>
      <c r="NB96" s="198"/>
      <c r="NC96" s="198"/>
      <c r="ND96" s="198"/>
      <c r="NE96" s="198"/>
      <c r="NF96" s="198"/>
      <c r="NG96" s="198"/>
      <c r="NH96" s="198"/>
      <c r="NI96" s="198"/>
      <c r="NJ96" s="198"/>
      <c r="NK96" s="198"/>
      <c r="NL96" s="198"/>
      <c r="NM96" s="198"/>
      <c r="NN96" s="198"/>
      <c r="NO96" s="198"/>
      <c r="NP96" s="198"/>
      <c r="NQ96" s="198"/>
      <c r="NR96" s="198"/>
      <c r="NS96" s="198"/>
      <c r="NT96" s="198"/>
      <c r="NU96" s="198"/>
      <c r="NV96" s="198"/>
      <c r="NW96" s="198"/>
      <c r="NX96" s="198"/>
      <c r="NY96" s="198"/>
      <c r="NZ96" s="198"/>
      <c r="OA96" s="198"/>
      <c r="OB96" s="198"/>
      <c r="OC96" s="198"/>
      <c r="OD96" s="198"/>
      <c r="OE96" s="198"/>
      <c r="OF96" s="198"/>
      <c r="OG96" s="198"/>
      <c r="OH96" s="198"/>
      <c r="OI96" s="198"/>
      <c r="OJ96" s="198"/>
      <c r="OK96" s="198"/>
      <c r="OL96" s="198"/>
      <c r="OM96" s="198"/>
      <c r="ON96" s="198"/>
      <c r="OO96" s="198"/>
      <c r="OP96" s="198"/>
      <c r="OQ96" s="198"/>
      <c r="OR96" s="198"/>
      <c r="OS96" s="198"/>
      <c r="OT96" s="198"/>
      <c r="OU96" s="198"/>
      <c r="OV96" s="198"/>
      <c r="OW96" s="198"/>
      <c r="OX96" s="198"/>
      <c r="OY96" s="198"/>
      <c r="OZ96" s="198"/>
      <c r="PA96" s="198"/>
      <c r="PB96" s="198"/>
      <c r="PC96" s="198"/>
      <c r="PD96" s="198"/>
      <c r="PE96" s="198"/>
      <c r="PF96" s="198"/>
      <c r="PG96" s="198"/>
      <c r="PH96" s="198"/>
      <c r="PI96" s="198"/>
      <c r="PJ96" s="198"/>
      <c r="PK96" s="198"/>
      <c r="PL96" s="198"/>
      <c r="PM96" s="198"/>
      <c r="PN96" s="198"/>
      <c r="PO96" s="198"/>
      <c r="PP96" s="198"/>
      <c r="PQ96" s="198"/>
      <c r="PR96" s="198"/>
      <c r="PS96" s="198"/>
      <c r="PT96" s="198"/>
      <c r="PU96" s="198"/>
      <c r="PV96" s="198"/>
      <c r="PW96" s="198"/>
      <c r="PX96" s="198"/>
      <c r="PY96" s="198"/>
      <c r="PZ96" s="198"/>
      <c r="QA96" s="198"/>
      <c r="QB96" s="198"/>
      <c r="QC96" s="198"/>
      <c r="QD96" s="198"/>
      <c r="QE96" s="198"/>
      <c r="QF96" s="198"/>
      <c r="QG96" s="198"/>
      <c r="QH96" s="198"/>
      <c r="QI96" s="198"/>
      <c r="QJ96" s="198"/>
      <c r="QK96" s="198"/>
      <c r="QL96" s="198"/>
      <c r="QM96" s="198"/>
      <c r="QN96" s="198"/>
      <c r="QO96" s="198"/>
      <c r="QP96" s="198"/>
      <c r="QQ96" s="198"/>
      <c r="QR96" s="198"/>
      <c r="QS96" s="198"/>
      <c r="QT96" s="198"/>
      <c r="QU96" s="198"/>
      <c r="QV96" s="198"/>
      <c r="QW96" s="198"/>
      <c r="QX96" s="198"/>
      <c r="QY96" s="198"/>
      <c r="QZ96" s="198"/>
      <c r="RA96" s="198"/>
      <c r="RB96" s="198"/>
      <c r="RC96" s="198"/>
      <c r="RD96" s="198"/>
      <c r="RE96" s="198"/>
      <c r="RF96" s="198"/>
      <c r="RG96" s="198"/>
      <c r="RH96" s="198"/>
      <c r="RI96" s="198"/>
      <c r="RJ96" s="198"/>
      <c r="RK96" s="198"/>
      <c r="RL96" s="198"/>
      <c r="RM96" s="198"/>
      <c r="RN96" s="198"/>
      <c r="RO96" s="198"/>
      <c r="RP96" s="198"/>
      <c r="RQ96" s="198"/>
      <c r="RR96" s="198"/>
      <c r="RS96" s="198"/>
      <c r="RT96" s="198"/>
      <c r="RU96" s="198"/>
      <c r="RV96" s="198"/>
      <c r="RW96" s="198"/>
      <c r="RX96" s="198"/>
      <c r="RY96" s="198"/>
      <c r="RZ96" s="198"/>
      <c r="SA96" s="198"/>
      <c r="SB96" s="198"/>
      <c r="SC96" s="198"/>
      <c r="SD96" s="198"/>
      <c r="SE96" s="198"/>
      <c r="SF96" s="198"/>
      <c r="SG96" s="198"/>
    </row>
    <row r="97" spans="1:501" ht="40.049999999999997" customHeight="1" x14ac:dyDescent="0.3">
      <c r="A97" s="541" t="s">
        <v>260</v>
      </c>
      <c r="B97" s="952" t="s">
        <v>261</v>
      </c>
      <c r="C97" s="950"/>
      <c r="D97" s="861"/>
      <c r="E97" s="862"/>
      <c r="F97" s="861"/>
      <c r="G97" s="863">
        <f>MANZ.C!AL97</f>
        <v>17</v>
      </c>
      <c r="H97" s="861"/>
      <c r="I97" s="862">
        <f>MANZ.D!Z97</f>
        <v>10</v>
      </c>
      <c r="J97" s="861"/>
      <c r="K97" s="862">
        <f>MANZ.I!AB96</f>
        <v>5</v>
      </c>
      <c r="L97" s="861"/>
      <c r="M97" s="862">
        <f>MANZ.F!AB97</f>
        <v>12</v>
      </c>
      <c r="N97" s="861"/>
      <c r="O97" s="862">
        <f>MANZ.G!AS94</f>
        <v>0</v>
      </c>
      <c r="P97" s="861"/>
      <c r="Q97" s="862">
        <f>MANZ.H!V98</f>
        <v>9</v>
      </c>
      <c r="R97" s="861"/>
      <c r="S97" s="862">
        <f>MANZ.I!AB96</f>
        <v>5</v>
      </c>
      <c r="T97" s="861"/>
      <c r="U97" s="862">
        <f>MANZ.J!AT101</f>
        <v>20</v>
      </c>
      <c r="V97" s="861"/>
      <c r="W97" s="862">
        <f>MANZ.K!AB98</f>
        <v>10</v>
      </c>
      <c r="X97" s="861"/>
      <c r="Y97" s="862"/>
      <c r="Z97" s="861"/>
      <c r="AA97" s="862"/>
      <c r="AB97" s="864"/>
      <c r="AC97" s="864"/>
      <c r="AD97" s="864"/>
      <c r="AE97" s="864"/>
      <c r="AF97" s="861"/>
      <c r="AG97" s="865">
        <f t="shared" si="0"/>
        <v>24</v>
      </c>
      <c r="AH97" s="866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  <c r="AS97" s="198"/>
      <c r="AT97" s="198"/>
      <c r="AU97" s="198"/>
      <c r="AV97" s="198"/>
      <c r="AW97" s="198"/>
      <c r="AX97" s="198"/>
      <c r="AY97" s="198"/>
      <c r="AZ97" s="198"/>
      <c r="BA97" s="198"/>
      <c r="BB97" s="198"/>
      <c r="BC97" s="198"/>
      <c r="BD97" s="198"/>
      <c r="BE97" s="198"/>
      <c r="BF97" s="198"/>
      <c r="BG97" s="198"/>
      <c r="BH97" s="198"/>
      <c r="BI97" s="198"/>
      <c r="BJ97" s="198"/>
      <c r="BK97" s="198"/>
      <c r="BL97" s="198"/>
      <c r="BM97" s="198"/>
      <c r="BN97" s="198"/>
      <c r="BO97" s="198"/>
      <c r="BP97" s="198"/>
      <c r="BQ97" s="198"/>
      <c r="BR97" s="198"/>
      <c r="BS97" s="198"/>
      <c r="BT97" s="198"/>
      <c r="BU97" s="198"/>
      <c r="BV97" s="198"/>
      <c r="BW97" s="198"/>
      <c r="BX97" s="198"/>
      <c r="BY97" s="198"/>
      <c r="BZ97" s="198"/>
      <c r="CA97" s="198"/>
      <c r="CB97" s="198"/>
      <c r="CC97" s="198"/>
      <c r="CD97" s="198"/>
      <c r="CE97" s="198"/>
      <c r="CF97" s="198"/>
      <c r="CG97" s="198"/>
      <c r="CH97" s="198"/>
      <c r="CI97" s="198"/>
      <c r="CJ97" s="198"/>
      <c r="CK97" s="198"/>
      <c r="CL97" s="198"/>
      <c r="CM97" s="198"/>
      <c r="CN97" s="198"/>
      <c r="CO97" s="198"/>
      <c r="CP97" s="198"/>
      <c r="CQ97" s="198"/>
      <c r="CR97" s="198"/>
      <c r="CS97" s="198"/>
      <c r="CT97" s="198"/>
      <c r="CU97" s="198"/>
      <c r="CV97" s="198"/>
      <c r="CW97" s="198"/>
      <c r="CX97" s="198"/>
      <c r="CY97" s="198"/>
      <c r="CZ97" s="198"/>
      <c r="DA97" s="198"/>
      <c r="DB97" s="198"/>
      <c r="DC97" s="198"/>
      <c r="DD97" s="198"/>
      <c r="DE97" s="198"/>
      <c r="DF97" s="198"/>
      <c r="DG97" s="198"/>
      <c r="DH97" s="198"/>
      <c r="DI97" s="198"/>
      <c r="DJ97" s="198"/>
      <c r="DK97" s="198"/>
      <c r="DL97" s="198"/>
      <c r="DM97" s="198"/>
      <c r="DN97" s="198"/>
      <c r="DO97" s="198"/>
      <c r="DP97" s="198"/>
      <c r="DQ97" s="198"/>
      <c r="DR97" s="198"/>
      <c r="DS97" s="198"/>
      <c r="DT97" s="198"/>
      <c r="DU97" s="198"/>
      <c r="DV97" s="198"/>
      <c r="DW97" s="198"/>
      <c r="DX97" s="198"/>
      <c r="DY97" s="198"/>
      <c r="DZ97" s="198"/>
      <c r="EA97" s="198"/>
      <c r="EB97" s="198"/>
      <c r="EC97" s="198"/>
      <c r="ED97" s="198"/>
      <c r="EE97" s="198"/>
      <c r="EF97" s="198"/>
      <c r="EG97" s="198"/>
      <c r="EH97" s="198"/>
      <c r="EI97" s="198"/>
      <c r="EJ97" s="198"/>
      <c r="EK97" s="198"/>
      <c r="EL97" s="198"/>
      <c r="EM97" s="198"/>
      <c r="EN97" s="198"/>
      <c r="EO97" s="198"/>
      <c r="EP97" s="198"/>
      <c r="EQ97" s="198"/>
      <c r="ER97" s="198"/>
      <c r="ES97" s="198"/>
      <c r="ET97" s="198"/>
      <c r="EU97" s="198"/>
      <c r="EV97" s="198"/>
      <c r="EW97" s="198"/>
      <c r="EX97" s="198"/>
      <c r="EY97" s="198"/>
      <c r="EZ97" s="198"/>
      <c r="FA97" s="198"/>
      <c r="FB97" s="198"/>
      <c r="FC97" s="198"/>
      <c r="FD97" s="198"/>
      <c r="FE97" s="198"/>
      <c r="FF97" s="198"/>
      <c r="FG97" s="198"/>
      <c r="FH97" s="198"/>
      <c r="FI97" s="198"/>
      <c r="FJ97" s="198"/>
      <c r="FK97" s="198"/>
      <c r="FL97" s="198"/>
      <c r="FM97" s="198"/>
      <c r="FN97" s="198"/>
      <c r="FO97" s="198"/>
      <c r="FP97" s="198"/>
      <c r="FQ97" s="198"/>
      <c r="FR97" s="198"/>
      <c r="FS97" s="198"/>
      <c r="FT97" s="198"/>
      <c r="FU97" s="198"/>
      <c r="FV97" s="198"/>
      <c r="FW97" s="198"/>
      <c r="FX97" s="198"/>
      <c r="FY97" s="198"/>
      <c r="FZ97" s="198"/>
      <c r="GA97" s="198"/>
      <c r="GB97" s="198"/>
      <c r="GC97" s="198"/>
      <c r="GD97" s="198"/>
      <c r="GE97" s="198"/>
      <c r="GF97" s="198"/>
      <c r="GG97" s="198"/>
      <c r="GH97" s="198"/>
      <c r="GI97" s="198"/>
      <c r="GJ97" s="198"/>
      <c r="GK97" s="198"/>
      <c r="GL97" s="198"/>
      <c r="GM97" s="198"/>
      <c r="GN97" s="198"/>
      <c r="GO97" s="198"/>
      <c r="GP97" s="198"/>
      <c r="GQ97" s="198"/>
      <c r="GR97" s="198"/>
      <c r="GS97" s="198"/>
      <c r="GT97" s="198"/>
      <c r="GU97" s="198"/>
      <c r="GV97" s="198"/>
      <c r="GW97" s="198"/>
      <c r="GX97" s="198"/>
      <c r="GY97" s="198"/>
      <c r="GZ97" s="198"/>
      <c r="HA97" s="198"/>
      <c r="HB97" s="198"/>
      <c r="HC97" s="198"/>
      <c r="HD97" s="198"/>
      <c r="HE97" s="198"/>
      <c r="HF97" s="198"/>
      <c r="HG97" s="198"/>
      <c r="HH97" s="198"/>
      <c r="HI97" s="198"/>
      <c r="HJ97" s="198"/>
      <c r="HK97" s="198"/>
      <c r="HL97" s="198"/>
      <c r="HM97" s="198"/>
      <c r="HN97" s="198"/>
      <c r="HO97" s="198"/>
      <c r="HP97" s="198"/>
      <c r="HQ97" s="198"/>
      <c r="HR97" s="198"/>
      <c r="HS97" s="198"/>
      <c r="HT97" s="198"/>
      <c r="HU97" s="198"/>
      <c r="HV97" s="198"/>
      <c r="HW97" s="198"/>
      <c r="HX97" s="198"/>
      <c r="HY97" s="198"/>
      <c r="HZ97" s="198"/>
      <c r="IA97" s="198"/>
      <c r="IB97" s="198"/>
      <c r="IC97" s="198"/>
      <c r="ID97" s="198"/>
      <c r="IE97" s="198"/>
      <c r="IF97" s="198"/>
      <c r="IG97" s="198"/>
      <c r="IH97" s="198"/>
      <c r="II97" s="198"/>
      <c r="IJ97" s="198"/>
      <c r="IK97" s="198"/>
      <c r="IL97" s="198"/>
      <c r="IM97" s="198"/>
      <c r="IN97" s="198"/>
      <c r="IO97" s="198"/>
      <c r="IP97" s="198"/>
      <c r="IQ97" s="198"/>
      <c r="IR97" s="198"/>
      <c r="IS97" s="198"/>
      <c r="IT97" s="198"/>
      <c r="IU97" s="198"/>
      <c r="IV97" s="198"/>
      <c r="IW97" s="198"/>
      <c r="IX97" s="198"/>
      <c r="IY97" s="198"/>
      <c r="IZ97" s="198"/>
      <c r="JA97" s="198"/>
      <c r="JB97" s="198"/>
      <c r="JC97" s="198"/>
      <c r="JD97" s="198"/>
      <c r="JE97" s="198"/>
      <c r="JF97" s="198"/>
      <c r="JG97" s="198"/>
      <c r="JH97" s="198"/>
      <c r="JI97" s="198"/>
      <c r="JJ97" s="198"/>
      <c r="JK97" s="198"/>
      <c r="JL97" s="198"/>
      <c r="JM97" s="198"/>
      <c r="JN97" s="198"/>
      <c r="JO97" s="198"/>
      <c r="JP97" s="198"/>
      <c r="JQ97" s="198"/>
      <c r="JR97" s="198"/>
      <c r="JS97" s="198"/>
      <c r="JT97" s="198"/>
      <c r="JU97" s="198"/>
      <c r="JV97" s="198"/>
      <c r="JW97" s="198"/>
      <c r="JX97" s="198"/>
      <c r="JY97" s="198"/>
      <c r="JZ97" s="198"/>
      <c r="KA97" s="198"/>
      <c r="KB97" s="198"/>
      <c r="KC97" s="198"/>
      <c r="KD97" s="198"/>
      <c r="KE97" s="198"/>
      <c r="KF97" s="198"/>
      <c r="KG97" s="198"/>
      <c r="KH97" s="198"/>
      <c r="KI97" s="198"/>
      <c r="KJ97" s="198"/>
      <c r="KK97" s="198"/>
      <c r="KL97" s="198"/>
      <c r="KM97" s="198"/>
      <c r="KN97" s="198"/>
      <c r="KO97" s="198"/>
      <c r="KP97" s="198"/>
      <c r="KQ97" s="198"/>
      <c r="KR97" s="198"/>
      <c r="KS97" s="198"/>
      <c r="KT97" s="198"/>
      <c r="KU97" s="198"/>
      <c r="KV97" s="198"/>
      <c r="KW97" s="198"/>
      <c r="KX97" s="198"/>
      <c r="KY97" s="198"/>
      <c r="KZ97" s="198"/>
      <c r="LA97" s="198"/>
      <c r="LB97" s="198"/>
      <c r="LC97" s="198"/>
      <c r="LD97" s="198"/>
      <c r="LE97" s="198"/>
      <c r="LF97" s="198"/>
      <c r="LG97" s="198"/>
      <c r="LH97" s="198"/>
      <c r="LI97" s="198"/>
      <c r="LJ97" s="198"/>
      <c r="LK97" s="198"/>
      <c r="LL97" s="198"/>
      <c r="LM97" s="198"/>
      <c r="LN97" s="198"/>
      <c r="LO97" s="198"/>
      <c r="LP97" s="198"/>
      <c r="LQ97" s="198"/>
      <c r="LR97" s="198"/>
      <c r="LS97" s="198"/>
      <c r="LT97" s="198"/>
      <c r="LU97" s="198"/>
      <c r="LV97" s="198"/>
      <c r="LW97" s="198"/>
      <c r="LX97" s="198"/>
      <c r="LY97" s="198"/>
      <c r="LZ97" s="198"/>
      <c r="MA97" s="198"/>
      <c r="MB97" s="198"/>
      <c r="MC97" s="198"/>
      <c r="MD97" s="198"/>
      <c r="ME97" s="198"/>
      <c r="MF97" s="198"/>
      <c r="MG97" s="198"/>
      <c r="MH97" s="198"/>
      <c r="MI97" s="198"/>
      <c r="MJ97" s="198"/>
      <c r="MK97" s="198"/>
      <c r="ML97" s="198"/>
      <c r="MM97" s="198"/>
      <c r="MN97" s="198"/>
      <c r="MO97" s="198"/>
      <c r="MP97" s="198"/>
      <c r="MQ97" s="198"/>
      <c r="MR97" s="198"/>
      <c r="MS97" s="198"/>
      <c r="MT97" s="198"/>
      <c r="MU97" s="198"/>
      <c r="MV97" s="198"/>
      <c r="MW97" s="198"/>
      <c r="MX97" s="198"/>
      <c r="MY97" s="198"/>
      <c r="MZ97" s="198"/>
      <c r="NA97" s="198"/>
      <c r="NB97" s="198"/>
      <c r="NC97" s="198"/>
      <c r="ND97" s="198"/>
      <c r="NE97" s="198"/>
      <c r="NF97" s="198"/>
      <c r="NG97" s="198"/>
      <c r="NH97" s="198"/>
      <c r="NI97" s="198"/>
      <c r="NJ97" s="198"/>
      <c r="NK97" s="198"/>
      <c r="NL97" s="198"/>
      <c r="NM97" s="198"/>
      <c r="NN97" s="198"/>
      <c r="NO97" s="198"/>
      <c r="NP97" s="198"/>
      <c r="NQ97" s="198"/>
      <c r="NR97" s="198"/>
      <c r="NS97" s="198"/>
      <c r="NT97" s="198"/>
      <c r="NU97" s="198"/>
      <c r="NV97" s="198"/>
      <c r="NW97" s="198"/>
      <c r="NX97" s="198"/>
      <c r="NY97" s="198"/>
      <c r="NZ97" s="198"/>
      <c r="OA97" s="198"/>
      <c r="OB97" s="198"/>
      <c r="OC97" s="198"/>
      <c r="OD97" s="198"/>
      <c r="OE97" s="198"/>
      <c r="OF97" s="198"/>
      <c r="OG97" s="198"/>
      <c r="OH97" s="198"/>
      <c r="OI97" s="198"/>
      <c r="OJ97" s="198"/>
      <c r="OK97" s="198"/>
      <c r="OL97" s="198"/>
      <c r="OM97" s="198"/>
      <c r="ON97" s="198"/>
      <c r="OO97" s="198"/>
      <c r="OP97" s="198"/>
      <c r="OQ97" s="198"/>
      <c r="OR97" s="198"/>
      <c r="OS97" s="198"/>
      <c r="OT97" s="198"/>
      <c r="OU97" s="198"/>
      <c r="OV97" s="198"/>
      <c r="OW97" s="198"/>
      <c r="OX97" s="198"/>
      <c r="OY97" s="198"/>
      <c r="OZ97" s="198"/>
      <c r="PA97" s="198"/>
      <c r="PB97" s="198"/>
      <c r="PC97" s="198"/>
      <c r="PD97" s="198"/>
      <c r="PE97" s="198"/>
      <c r="PF97" s="198"/>
      <c r="PG97" s="198"/>
      <c r="PH97" s="198"/>
      <c r="PI97" s="198"/>
      <c r="PJ97" s="198"/>
      <c r="PK97" s="198"/>
      <c r="PL97" s="198"/>
      <c r="PM97" s="198"/>
      <c r="PN97" s="198"/>
      <c r="PO97" s="198"/>
      <c r="PP97" s="198"/>
      <c r="PQ97" s="198"/>
      <c r="PR97" s="198"/>
      <c r="PS97" s="198"/>
      <c r="PT97" s="198"/>
      <c r="PU97" s="198"/>
      <c r="PV97" s="198"/>
      <c r="PW97" s="198"/>
      <c r="PX97" s="198"/>
      <c r="PY97" s="198"/>
      <c r="PZ97" s="198"/>
      <c r="QA97" s="198"/>
      <c r="QB97" s="198"/>
      <c r="QC97" s="198"/>
      <c r="QD97" s="198"/>
      <c r="QE97" s="198"/>
      <c r="QF97" s="198"/>
      <c r="QG97" s="198"/>
      <c r="QH97" s="198"/>
      <c r="QI97" s="198"/>
      <c r="QJ97" s="198"/>
      <c r="QK97" s="198"/>
      <c r="QL97" s="198"/>
      <c r="QM97" s="198"/>
      <c r="QN97" s="198"/>
      <c r="QO97" s="198"/>
      <c r="QP97" s="198"/>
      <c r="QQ97" s="198"/>
      <c r="QR97" s="198"/>
      <c r="QS97" s="198"/>
      <c r="QT97" s="198"/>
      <c r="QU97" s="198"/>
      <c r="QV97" s="198"/>
      <c r="QW97" s="198"/>
      <c r="QX97" s="198"/>
      <c r="QY97" s="198"/>
      <c r="QZ97" s="198"/>
      <c r="RA97" s="198"/>
      <c r="RB97" s="198"/>
      <c r="RC97" s="198"/>
      <c r="RD97" s="198"/>
      <c r="RE97" s="198"/>
      <c r="RF97" s="198"/>
      <c r="RG97" s="198"/>
      <c r="RH97" s="198"/>
      <c r="RI97" s="198"/>
      <c r="RJ97" s="198"/>
      <c r="RK97" s="198"/>
      <c r="RL97" s="198"/>
      <c r="RM97" s="198"/>
      <c r="RN97" s="198"/>
      <c r="RO97" s="198"/>
      <c r="RP97" s="198"/>
      <c r="RQ97" s="198"/>
      <c r="RR97" s="198"/>
      <c r="RS97" s="198"/>
      <c r="RT97" s="198"/>
      <c r="RU97" s="198"/>
      <c r="RV97" s="198"/>
      <c r="RW97" s="198"/>
      <c r="RX97" s="198"/>
      <c r="RY97" s="198"/>
      <c r="RZ97" s="198"/>
      <c r="SA97" s="198"/>
      <c r="SB97" s="198"/>
      <c r="SC97" s="198"/>
      <c r="SD97" s="198"/>
      <c r="SE97" s="198"/>
      <c r="SF97" s="198"/>
      <c r="SG97" s="198"/>
    </row>
    <row r="98" spans="1:501" ht="40.049999999999997" customHeight="1" x14ac:dyDescent="0.3">
      <c r="A98" s="543" t="s">
        <v>262</v>
      </c>
      <c r="B98" s="956" t="s">
        <v>263</v>
      </c>
      <c r="C98" s="950"/>
      <c r="D98" s="861"/>
      <c r="E98" s="862"/>
      <c r="F98" s="861"/>
      <c r="G98" s="862"/>
      <c r="H98" s="861"/>
      <c r="I98" s="862"/>
      <c r="J98" s="861"/>
      <c r="K98" s="862"/>
      <c r="L98" s="861"/>
      <c r="M98" s="862"/>
      <c r="N98" s="861"/>
      <c r="O98" s="862">
        <f>MANZ.G!AS95</f>
        <v>18</v>
      </c>
      <c r="P98" s="861"/>
      <c r="Q98" s="862"/>
      <c r="R98" s="861"/>
      <c r="S98" s="862"/>
      <c r="T98" s="861"/>
      <c r="U98" s="862"/>
      <c r="V98" s="861"/>
      <c r="W98" s="862"/>
      <c r="X98" s="861"/>
      <c r="Y98" s="862"/>
      <c r="Z98" s="861"/>
      <c r="AA98" s="862"/>
      <c r="AB98" s="864"/>
      <c r="AC98" s="864"/>
      <c r="AD98" s="864"/>
      <c r="AE98" s="864"/>
      <c r="AF98" s="861"/>
      <c r="AG98" s="865">
        <f t="shared" si="0"/>
        <v>88</v>
      </c>
      <c r="AH98" s="866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  <c r="AS98" s="198"/>
      <c r="AT98" s="198"/>
      <c r="AU98" s="198"/>
      <c r="AV98" s="198"/>
      <c r="AW98" s="198"/>
      <c r="AX98" s="198"/>
      <c r="AY98" s="198"/>
      <c r="AZ98" s="198"/>
      <c r="BA98" s="198"/>
      <c r="BB98" s="198"/>
      <c r="BC98" s="198"/>
      <c r="BD98" s="198"/>
      <c r="BE98" s="198"/>
      <c r="BF98" s="198"/>
      <c r="BG98" s="198"/>
      <c r="BH98" s="198"/>
      <c r="BI98" s="198"/>
      <c r="BJ98" s="198"/>
      <c r="BK98" s="198"/>
      <c r="BL98" s="198"/>
      <c r="BM98" s="198"/>
      <c r="BN98" s="198"/>
      <c r="BO98" s="198"/>
      <c r="BP98" s="198"/>
      <c r="BQ98" s="198"/>
      <c r="BR98" s="198"/>
      <c r="BS98" s="198"/>
      <c r="BT98" s="198"/>
      <c r="BU98" s="198"/>
      <c r="BV98" s="198"/>
      <c r="BW98" s="198"/>
      <c r="BX98" s="198"/>
      <c r="BY98" s="198"/>
      <c r="BZ98" s="198"/>
      <c r="CA98" s="198"/>
      <c r="CB98" s="198"/>
      <c r="CC98" s="198"/>
      <c r="CD98" s="198"/>
      <c r="CE98" s="198"/>
      <c r="CF98" s="198"/>
      <c r="CG98" s="198"/>
      <c r="CH98" s="198"/>
      <c r="CI98" s="198"/>
      <c r="CJ98" s="198"/>
      <c r="CK98" s="198"/>
      <c r="CL98" s="198"/>
      <c r="CM98" s="198"/>
      <c r="CN98" s="198"/>
      <c r="CO98" s="198"/>
      <c r="CP98" s="198"/>
      <c r="CQ98" s="198"/>
      <c r="CR98" s="198"/>
      <c r="CS98" s="198"/>
      <c r="CT98" s="198"/>
      <c r="CU98" s="198"/>
      <c r="CV98" s="198"/>
      <c r="CW98" s="198"/>
      <c r="CX98" s="198"/>
      <c r="CY98" s="198"/>
      <c r="CZ98" s="198"/>
      <c r="DA98" s="198"/>
      <c r="DB98" s="198"/>
      <c r="DC98" s="198"/>
      <c r="DD98" s="198"/>
      <c r="DE98" s="198"/>
      <c r="DF98" s="198"/>
      <c r="DG98" s="198"/>
      <c r="DH98" s="198"/>
      <c r="DI98" s="198"/>
      <c r="DJ98" s="198"/>
      <c r="DK98" s="198"/>
      <c r="DL98" s="198"/>
      <c r="DM98" s="198"/>
      <c r="DN98" s="198"/>
      <c r="DO98" s="198"/>
      <c r="DP98" s="198"/>
      <c r="DQ98" s="198"/>
      <c r="DR98" s="198"/>
      <c r="DS98" s="198"/>
      <c r="DT98" s="198"/>
      <c r="DU98" s="198"/>
      <c r="DV98" s="198"/>
      <c r="DW98" s="198"/>
      <c r="DX98" s="198"/>
      <c r="DY98" s="198"/>
      <c r="DZ98" s="198"/>
      <c r="EA98" s="198"/>
      <c r="EB98" s="198"/>
      <c r="EC98" s="198"/>
      <c r="ED98" s="198"/>
      <c r="EE98" s="198"/>
      <c r="EF98" s="198"/>
      <c r="EG98" s="198"/>
      <c r="EH98" s="198"/>
      <c r="EI98" s="198"/>
      <c r="EJ98" s="198"/>
      <c r="EK98" s="198"/>
      <c r="EL98" s="198"/>
      <c r="EM98" s="198"/>
      <c r="EN98" s="198"/>
      <c r="EO98" s="198"/>
      <c r="EP98" s="198"/>
      <c r="EQ98" s="198"/>
      <c r="ER98" s="198"/>
      <c r="ES98" s="198"/>
      <c r="ET98" s="198"/>
      <c r="EU98" s="198"/>
      <c r="EV98" s="198"/>
      <c r="EW98" s="198"/>
      <c r="EX98" s="198"/>
      <c r="EY98" s="198"/>
      <c r="EZ98" s="198"/>
      <c r="FA98" s="198"/>
      <c r="FB98" s="198"/>
      <c r="FC98" s="198"/>
      <c r="FD98" s="198"/>
      <c r="FE98" s="198"/>
      <c r="FF98" s="198"/>
      <c r="FG98" s="198"/>
      <c r="FH98" s="198"/>
      <c r="FI98" s="198"/>
      <c r="FJ98" s="198"/>
      <c r="FK98" s="198"/>
      <c r="FL98" s="198"/>
      <c r="FM98" s="198"/>
      <c r="FN98" s="198"/>
      <c r="FO98" s="198"/>
      <c r="FP98" s="198"/>
      <c r="FQ98" s="198"/>
      <c r="FR98" s="198"/>
      <c r="FS98" s="198"/>
      <c r="FT98" s="198"/>
      <c r="FU98" s="198"/>
      <c r="FV98" s="198"/>
      <c r="FW98" s="198"/>
      <c r="FX98" s="198"/>
      <c r="FY98" s="198"/>
      <c r="FZ98" s="198"/>
      <c r="GA98" s="198"/>
      <c r="GB98" s="198"/>
      <c r="GC98" s="198"/>
      <c r="GD98" s="198"/>
      <c r="GE98" s="198"/>
      <c r="GF98" s="198"/>
      <c r="GG98" s="198"/>
      <c r="GH98" s="198"/>
      <c r="GI98" s="198"/>
      <c r="GJ98" s="198"/>
      <c r="GK98" s="198"/>
      <c r="GL98" s="198"/>
      <c r="GM98" s="198"/>
      <c r="GN98" s="198"/>
      <c r="GO98" s="198"/>
      <c r="GP98" s="198"/>
      <c r="GQ98" s="198"/>
      <c r="GR98" s="198"/>
      <c r="GS98" s="198"/>
      <c r="GT98" s="198"/>
      <c r="GU98" s="198"/>
      <c r="GV98" s="198"/>
      <c r="GW98" s="198"/>
      <c r="GX98" s="198"/>
      <c r="GY98" s="198"/>
      <c r="GZ98" s="198"/>
      <c r="HA98" s="198"/>
      <c r="HB98" s="198"/>
      <c r="HC98" s="198"/>
      <c r="HD98" s="198"/>
      <c r="HE98" s="198"/>
      <c r="HF98" s="198"/>
      <c r="HG98" s="198"/>
      <c r="HH98" s="198"/>
      <c r="HI98" s="198"/>
      <c r="HJ98" s="198"/>
      <c r="HK98" s="198"/>
      <c r="HL98" s="198"/>
      <c r="HM98" s="198"/>
      <c r="HN98" s="198"/>
      <c r="HO98" s="198"/>
      <c r="HP98" s="198"/>
      <c r="HQ98" s="198"/>
      <c r="HR98" s="198"/>
      <c r="HS98" s="198"/>
      <c r="HT98" s="198"/>
      <c r="HU98" s="198"/>
      <c r="HV98" s="198"/>
      <c r="HW98" s="198"/>
      <c r="HX98" s="198"/>
      <c r="HY98" s="198"/>
      <c r="HZ98" s="198"/>
      <c r="IA98" s="198"/>
      <c r="IB98" s="198"/>
      <c r="IC98" s="198"/>
      <c r="ID98" s="198"/>
      <c r="IE98" s="198"/>
      <c r="IF98" s="198"/>
      <c r="IG98" s="198"/>
      <c r="IH98" s="198"/>
      <c r="II98" s="198"/>
      <c r="IJ98" s="198"/>
      <c r="IK98" s="198"/>
      <c r="IL98" s="198"/>
      <c r="IM98" s="198"/>
      <c r="IN98" s="198"/>
      <c r="IO98" s="198"/>
      <c r="IP98" s="198"/>
      <c r="IQ98" s="198"/>
      <c r="IR98" s="198"/>
      <c r="IS98" s="198"/>
      <c r="IT98" s="198"/>
      <c r="IU98" s="198"/>
      <c r="IV98" s="198"/>
      <c r="IW98" s="198"/>
      <c r="IX98" s="198"/>
      <c r="IY98" s="198"/>
      <c r="IZ98" s="198"/>
      <c r="JA98" s="198"/>
      <c r="JB98" s="198"/>
      <c r="JC98" s="198"/>
      <c r="JD98" s="198"/>
      <c r="JE98" s="198"/>
      <c r="JF98" s="198"/>
      <c r="JG98" s="198"/>
      <c r="JH98" s="198"/>
      <c r="JI98" s="198"/>
      <c r="JJ98" s="198"/>
      <c r="JK98" s="198"/>
      <c r="JL98" s="198"/>
      <c r="JM98" s="198"/>
      <c r="JN98" s="198"/>
      <c r="JO98" s="198"/>
      <c r="JP98" s="198"/>
      <c r="JQ98" s="198"/>
      <c r="JR98" s="198"/>
      <c r="JS98" s="198"/>
      <c r="JT98" s="198"/>
      <c r="JU98" s="198"/>
      <c r="JV98" s="198"/>
      <c r="JW98" s="198"/>
      <c r="JX98" s="198"/>
      <c r="JY98" s="198"/>
      <c r="JZ98" s="198"/>
      <c r="KA98" s="198"/>
      <c r="KB98" s="198"/>
      <c r="KC98" s="198"/>
      <c r="KD98" s="198"/>
      <c r="KE98" s="198"/>
      <c r="KF98" s="198"/>
      <c r="KG98" s="198"/>
      <c r="KH98" s="198"/>
      <c r="KI98" s="198"/>
      <c r="KJ98" s="198"/>
      <c r="KK98" s="198"/>
      <c r="KL98" s="198"/>
      <c r="KM98" s="198"/>
      <c r="KN98" s="198"/>
      <c r="KO98" s="198"/>
      <c r="KP98" s="198"/>
      <c r="KQ98" s="198"/>
      <c r="KR98" s="198"/>
      <c r="KS98" s="198"/>
      <c r="KT98" s="198"/>
      <c r="KU98" s="198"/>
      <c r="KV98" s="198"/>
      <c r="KW98" s="198"/>
      <c r="KX98" s="198"/>
      <c r="KY98" s="198"/>
      <c r="KZ98" s="198"/>
      <c r="LA98" s="198"/>
      <c r="LB98" s="198"/>
      <c r="LC98" s="198"/>
      <c r="LD98" s="198"/>
      <c r="LE98" s="198"/>
      <c r="LF98" s="198"/>
      <c r="LG98" s="198"/>
      <c r="LH98" s="198"/>
      <c r="LI98" s="198"/>
      <c r="LJ98" s="198"/>
      <c r="LK98" s="198"/>
      <c r="LL98" s="198"/>
      <c r="LM98" s="198"/>
      <c r="LN98" s="198"/>
      <c r="LO98" s="198"/>
      <c r="LP98" s="198"/>
      <c r="LQ98" s="198"/>
      <c r="LR98" s="198"/>
      <c r="LS98" s="198"/>
      <c r="LT98" s="198"/>
      <c r="LU98" s="198"/>
      <c r="LV98" s="198"/>
      <c r="LW98" s="198"/>
      <c r="LX98" s="198"/>
      <c r="LY98" s="198"/>
      <c r="LZ98" s="198"/>
      <c r="MA98" s="198"/>
      <c r="MB98" s="198"/>
      <c r="MC98" s="198"/>
      <c r="MD98" s="198"/>
      <c r="ME98" s="198"/>
      <c r="MF98" s="198"/>
      <c r="MG98" s="198"/>
      <c r="MH98" s="198"/>
      <c r="MI98" s="198"/>
      <c r="MJ98" s="198"/>
      <c r="MK98" s="198"/>
      <c r="ML98" s="198"/>
      <c r="MM98" s="198"/>
      <c r="MN98" s="198"/>
      <c r="MO98" s="198"/>
      <c r="MP98" s="198"/>
      <c r="MQ98" s="198"/>
      <c r="MR98" s="198"/>
      <c r="MS98" s="198"/>
      <c r="MT98" s="198"/>
      <c r="MU98" s="198"/>
      <c r="MV98" s="198"/>
      <c r="MW98" s="198"/>
      <c r="MX98" s="198"/>
      <c r="MY98" s="198"/>
      <c r="MZ98" s="198"/>
      <c r="NA98" s="198"/>
      <c r="NB98" s="198"/>
      <c r="NC98" s="198"/>
      <c r="ND98" s="198"/>
      <c r="NE98" s="198"/>
      <c r="NF98" s="198"/>
      <c r="NG98" s="198"/>
      <c r="NH98" s="198"/>
      <c r="NI98" s="198"/>
      <c r="NJ98" s="198"/>
      <c r="NK98" s="198"/>
      <c r="NL98" s="198"/>
      <c r="NM98" s="198"/>
      <c r="NN98" s="198"/>
      <c r="NO98" s="198"/>
      <c r="NP98" s="198"/>
      <c r="NQ98" s="198"/>
      <c r="NR98" s="198"/>
      <c r="NS98" s="198"/>
      <c r="NT98" s="198"/>
      <c r="NU98" s="198"/>
      <c r="NV98" s="198"/>
      <c r="NW98" s="198"/>
      <c r="NX98" s="198"/>
      <c r="NY98" s="198"/>
      <c r="NZ98" s="198"/>
      <c r="OA98" s="198"/>
      <c r="OB98" s="198"/>
      <c r="OC98" s="198"/>
      <c r="OD98" s="198"/>
      <c r="OE98" s="198"/>
      <c r="OF98" s="198"/>
      <c r="OG98" s="198"/>
      <c r="OH98" s="198"/>
      <c r="OI98" s="198"/>
      <c r="OJ98" s="198"/>
      <c r="OK98" s="198"/>
      <c r="OL98" s="198"/>
      <c r="OM98" s="198"/>
      <c r="ON98" s="198"/>
      <c r="OO98" s="198"/>
      <c r="OP98" s="198"/>
      <c r="OQ98" s="198"/>
      <c r="OR98" s="198"/>
      <c r="OS98" s="198"/>
      <c r="OT98" s="198"/>
      <c r="OU98" s="198"/>
      <c r="OV98" s="198"/>
      <c r="OW98" s="198"/>
      <c r="OX98" s="198"/>
      <c r="OY98" s="198"/>
      <c r="OZ98" s="198"/>
      <c r="PA98" s="198"/>
      <c r="PB98" s="198"/>
      <c r="PC98" s="198"/>
      <c r="PD98" s="198"/>
      <c r="PE98" s="198"/>
      <c r="PF98" s="198"/>
      <c r="PG98" s="198"/>
      <c r="PH98" s="198"/>
      <c r="PI98" s="198"/>
      <c r="PJ98" s="198"/>
      <c r="PK98" s="198"/>
      <c r="PL98" s="198"/>
      <c r="PM98" s="198"/>
      <c r="PN98" s="198"/>
      <c r="PO98" s="198"/>
      <c r="PP98" s="198"/>
      <c r="PQ98" s="198"/>
      <c r="PR98" s="198"/>
      <c r="PS98" s="198"/>
      <c r="PT98" s="198"/>
      <c r="PU98" s="198"/>
      <c r="PV98" s="198"/>
      <c r="PW98" s="198"/>
      <c r="PX98" s="198"/>
      <c r="PY98" s="198"/>
      <c r="PZ98" s="198"/>
      <c r="QA98" s="198"/>
      <c r="QB98" s="198"/>
      <c r="QC98" s="198"/>
      <c r="QD98" s="198"/>
      <c r="QE98" s="198"/>
      <c r="QF98" s="198"/>
      <c r="QG98" s="198"/>
      <c r="QH98" s="198"/>
      <c r="QI98" s="198"/>
      <c r="QJ98" s="198"/>
      <c r="QK98" s="198"/>
      <c r="QL98" s="198"/>
      <c r="QM98" s="198"/>
      <c r="QN98" s="198"/>
      <c r="QO98" s="198"/>
      <c r="QP98" s="198"/>
      <c r="QQ98" s="198"/>
      <c r="QR98" s="198"/>
      <c r="QS98" s="198"/>
      <c r="QT98" s="198"/>
      <c r="QU98" s="198"/>
      <c r="QV98" s="198"/>
      <c r="QW98" s="198"/>
      <c r="QX98" s="198"/>
      <c r="QY98" s="198"/>
      <c r="QZ98" s="198"/>
      <c r="RA98" s="198"/>
      <c r="RB98" s="198"/>
      <c r="RC98" s="198"/>
      <c r="RD98" s="198"/>
      <c r="RE98" s="198"/>
      <c r="RF98" s="198"/>
      <c r="RG98" s="198"/>
      <c r="RH98" s="198"/>
      <c r="RI98" s="198"/>
      <c r="RJ98" s="198"/>
      <c r="RK98" s="198"/>
      <c r="RL98" s="198"/>
      <c r="RM98" s="198"/>
      <c r="RN98" s="198"/>
      <c r="RO98" s="198"/>
      <c r="RP98" s="198"/>
      <c r="RQ98" s="198"/>
      <c r="RR98" s="198"/>
      <c r="RS98" s="198"/>
      <c r="RT98" s="198"/>
      <c r="RU98" s="198"/>
      <c r="RV98" s="198"/>
      <c r="RW98" s="198"/>
      <c r="RX98" s="198"/>
      <c r="RY98" s="198"/>
      <c r="RZ98" s="198"/>
      <c r="SA98" s="198"/>
      <c r="SB98" s="198"/>
      <c r="SC98" s="198"/>
      <c r="SD98" s="198"/>
      <c r="SE98" s="198"/>
      <c r="SF98" s="198"/>
      <c r="SG98" s="198"/>
    </row>
    <row r="99" spans="1:501" ht="40.049999999999997" customHeight="1" thickBot="1" x14ac:dyDescent="0.35">
      <c r="A99" s="543" t="s">
        <v>264</v>
      </c>
      <c r="B99" s="956" t="s">
        <v>265</v>
      </c>
      <c r="C99" s="950">
        <f>'MANZ. A'!H100</f>
        <v>0</v>
      </c>
      <c r="D99" s="861"/>
      <c r="E99" s="862">
        <f>'MANZ. B'!R102</f>
        <v>0</v>
      </c>
      <c r="F99" s="861"/>
      <c r="G99" s="863">
        <f>MANZ.C!AL99</f>
        <v>17</v>
      </c>
      <c r="H99" s="861"/>
      <c r="I99" s="862">
        <f>MANZ.D!Z99</f>
        <v>0</v>
      </c>
      <c r="J99" s="861"/>
      <c r="K99" s="862">
        <f>MANZ.E!AL100</f>
        <v>0</v>
      </c>
      <c r="L99" s="861"/>
      <c r="M99" s="863">
        <f>MANZ.F!AB99</f>
        <v>8</v>
      </c>
      <c r="N99" s="861"/>
      <c r="O99" s="862">
        <f>MANZ.G!AT96</f>
        <v>15</v>
      </c>
      <c r="P99" s="861"/>
      <c r="Q99" s="862">
        <f>MANZ.H!V100</f>
        <v>9</v>
      </c>
      <c r="R99" s="861"/>
      <c r="S99" s="862">
        <f>MANZ.I!AB98</f>
        <v>10</v>
      </c>
      <c r="T99" s="861"/>
      <c r="U99" s="862">
        <f>MANZ.J!AS103</f>
        <v>6</v>
      </c>
      <c r="V99" s="861"/>
      <c r="W99" s="862">
        <f>MANZ.K!AB100</f>
        <v>10</v>
      </c>
      <c r="X99" s="861"/>
      <c r="Y99" s="862">
        <f>MANZ.L!Z100</f>
        <v>0</v>
      </c>
      <c r="Z99" s="861"/>
      <c r="AA99" s="862">
        <f>'SALA MULTIUSO'!F113</f>
        <v>0</v>
      </c>
      <c r="AB99" s="864"/>
      <c r="AC99" s="864"/>
      <c r="AD99" s="864"/>
      <c r="AE99" s="864"/>
      <c r="AF99" s="861"/>
      <c r="AG99" s="865">
        <f t="shared" si="0"/>
        <v>18</v>
      </c>
      <c r="AH99" s="866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  <c r="AS99" s="198"/>
      <c r="AT99" s="198"/>
      <c r="AU99" s="198"/>
      <c r="AV99" s="198"/>
      <c r="AW99" s="198"/>
      <c r="AX99" s="198"/>
      <c r="AY99" s="198"/>
      <c r="AZ99" s="198"/>
      <c r="BA99" s="198"/>
      <c r="BB99" s="198"/>
      <c r="BC99" s="198"/>
      <c r="BD99" s="198"/>
      <c r="BE99" s="198"/>
      <c r="BF99" s="198"/>
      <c r="BG99" s="198"/>
      <c r="BH99" s="198"/>
      <c r="BI99" s="198"/>
      <c r="BJ99" s="198"/>
      <c r="BK99" s="198"/>
      <c r="BL99" s="198"/>
      <c r="BM99" s="198"/>
      <c r="BN99" s="198"/>
      <c r="BO99" s="198"/>
      <c r="BP99" s="198"/>
      <c r="BQ99" s="198"/>
      <c r="BR99" s="198"/>
      <c r="BS99" s="198"/>
      <c r="BT99" s="198"/>
      <c r="BU99" s="198"/>
      <c r="BV99" s="198"/>
      <c r="BW99" s="198"/>
      <c r="BX99" s="198"/>
      <c r="BY99" s="198"/>
      <c r="BZ99" s="198"/>
      <c r="CA99" s="198"/>
      <c r="CB99" s="198"/>
      <c r="CC99" s="198"/>
      <c r="CD99" s="198"/>
      <c r="CE99" s="198"/>
      <c r="CF99" s="198"/>
      <c r="CG99" s="198"/>
      <c r="CH99" s="198"/>
      <c r="CI99" s="198"/>
      <c r="CJ99" s="198"/>
      <c r="CK99" s="198"/>
      <c r="CL99" s="198"/>
      <c r="CM99" s="198"/>
      <c r="CN99" s="198"/>
      <c r="CO99" s="198"/>
      <c r="CP99" s="198"/>
      <c r="CQ99" s="198"/>
      <c r="CR99" s="198"/>
      <c r="CS99" s="198"/>
      <c r="CT99" s="198"/>
      <c r="CU99" s="198"/>
      <c r="CV99" s="198"/>
      <c r="CW99" s="198"/>
      <c r="CX99" s="198"/>
      <c r="CY99" s="198"/>
      <c r="CZ99" s="198"/>
      <c r="DA99" s="198"/>
      <c r="DB99" s="198"/>
      <c r="DC99" s="198"/>
      <c r="DD99" s="198"/>
      <c r="DE99" s="198"/>
      <c r="DF99" s="198"/>
      <c r="DG99" s="198"/>
      <c r="DH99" s="198"/>
      <c r="DI99" s="198"/>
      <c r="DJ99" s="198"/>
      <c r="DK99" s="198"/>
      <c r="DL99" s="198"/>
      <c r="DM99" s="198"/>
      <c r="DN99" s="198"/>
      <c r="DO99" s="198"/>
      <c r="DP99" s="198"/>
      <c r="DQ99" s="198"/>
      <c r="DR99" s="198"/>
      <c r="DS99" s="198"/>
      <c r="DT99" s="198"/>
      <c r="DU99" s="198"/>
      <c r="DV99" s="198"/>
      <c r="DW99" s="198"/>
      <c r="DX99" s="198"/>
      <c r="DY99" s="198"/>
      <c r="DZ99" s="198"/>
      <c r="EA99" s="198"/>
      <c r="EB99" s="198"/>
      <c r="EC99" s="198"/>
      <c r="ED99" s="198"/>
      <c r="EE99" s="198"/>
      <c r="EF99" s="198"/>
      <c r="EG99" s="198"/>
      <c r="EH99" s="198"/>
      <c r="EI99" s="198"/>
      <c r="EJ99" s="198"/>
      <c r="EK99" s="198"/>
      <c r="EL99" s="198"/>
      <c r="EM99" s="198"/>
      <c r="EN99" s="198"/>
      <c r="EO99" s="198"/>
      <c r="EP99" s="198"/>
      <c r="EQ99" s="198"/>
      <c r="ER99" s="198"/>
      <c r="ES99" s="198"/>
      <c r="ET99" s="198"/>
      <c r="EU99" s="198"/>
      <c r="EV99" s="198"/>
      <c r="EW99" s="198"/>
      <c r="EX99" s="198"/>
      <c r="EY99" s="198"/>
      <c r="EZ99" s="198"/>
      <c r="FA99" s="198"/>
      <c r="FB99" s="198"/>
      <c r="FC99" s="198"/>
      <c r="FD99" s="198"/>
      <c r="FE99" s="198"/>
      <c r="FF99" s="198"/>
      <c r="FG99" s="198"/>
      <c r="FH99" s="198"/>
      <c r="FI99" s="198"/>
      <c r="FJ99" s="198"/>
      <c r="FK99" s="198"/>
      <c r="FL99" s="198"/>
      <c r="FM99" s="198"/>
      <c r="FN99" s="198"/>
      <c r="FO99" s="198"/>
      <c r="FP99" s="198"/>
      <c r="FQ99" s="198"/>
      <c r="FR99" s="198"/>
      <c r="FS99" s="198"/>
      <c r="FT99" s="198"/>
      <c r="FU99" s="198"/>
      <c r="FV99" s="198"/>
      <c r="FW99" s="198"/>
      <c r="FX99" s="198"/>
      <c r="FY99" s="198"/>
      <c r="FZ99" s="198"/>
      <c r="GA99" s="198"/>
      <c r="GB99" s="198"/>
      <c r="GC99" s="198"/>
      <c r="GD99" s="198"/>
      <c r="GE99" s="198"/>
      <c r="GF99" s="198"/>
      <c r="GG99" s="198"/>
      <c r="GH99" s="198"/>
      <c r="GI99" s="198"/>
      <c r="GJ99" s="198"/>
      <c r="GK99" s="198"/>
      <c r="GL99" s="198"/>
      <c r="GM99" s="198"/>
      <c r="GN99" s="198"/>
      <c r="GO99" s="198"/>
      <c r="GP99" s="198"/>
      <c r="GQ99" s="198"/>
      <c r="GR99" s="198"/>
      <c r="GS99" s="198"/>
      <c r="GT99" s="198"/>
      <c r="GU99" s="198"/>
      <c r="GV99" s="198"/>
      <c r="GW99" s="198"/>
      <c r="GX99" s="198"/>
      <c r="GY99" s="198"/>
      <c r="GZ99" s="198"/>
      <c r="HA99" s="198"/>
      <c r="HB99" s="198"/>
      <c r="HC99" s="198"/>
      <c r="HD99" s="198"/>
      <c r="HE99" s="198"/>
      <c r="HF99" s="198"/>
      <c r="HG99" s="198"/>
      <c r="HH99" s="198"/>
      <c r="HI99" s="198"/>
      <c r="HJ99" s="198"/>
      <c r="HK99" s="198"/>
      <c r="HL99" s="198"/>
      <c r="HM99" s="198"/>
      <c r="HN99" s="198"/>
      <c r="HO99" s="198"/>
      <c r="HP99" s="198"/>
      <c r="HQ99" s="198"/>
      <c r="HR99" s="198"/>
      <c r="HS99" s="198"/>
      <c r="HT99" s="198"/>
      <c r="HU99" s="198"/>
      <c r="HV99" s="198"/>
      <c r="HW99" s="198"/>
      <c r="HX99" s="198"/>
      <c r="HY99" s="198"/>
      <c r="HZ99" s="198"/>
      <c r="IA99" s="198"/>
      <c r="IB99" s="198"/>
      <c r="IC99" s="198"/>
      <c r="ID99" s="198"/>
      <c r="IE99" s="198"/>
      <c r="IF99" s="198"/>
      <c r="IG99" s="198"/>
      <c r="IH99" s="198"/>
      <c r="II99" s="198"/>
      <c r="IJ99" s="198"/>
      <c r="IK99" s="198"/>
      <c r="IL99" s="198"/>
      <c r="IM99" s="198"/>
      <c r="IN99" s="198"/>
      <c r="IO99" s="198"/>
      <c r="IP99" s="198"/>
      <c r="IQ99" s="198"/>
      <c r="IR99" s="198"/>
      <c r="IS99" s="198"/>
      <c r="IT99" s="198"/>
      <c r="IU99" s="198"/>
      <c r="IV99" s="198"/>
      <c r="IW99" s="198"/>
      <c r="IX99" s="198"/>
      <c r="IY99" s="198"/>
      <c r="IZ99" s="198"/>
      <c r="JA99" s="198"/>
      <c r="JB99" s="198"/>
      <c r="JC99" s="198"/>
      <c r="JD99" s="198"/>
      <c r="JE99" s="198"/>
      <c r="JF99" s="198"/>
      <c r="JG99" s="198"/>
      <c r="JH99" s="198"/>
      <c r="JI99" s="198"/>
      <c r="JJ99" s="198"/>
      <c r="JK99" s="198"/>
      <c r="JL99" s="198"/>
      <c r="JM99" s="198"/>
      <c r="JN99" s="198"/>
      <c r="JO99" s="198"/>
      <c r="JP99" s="198"/>
      <c r="JQ99" s="198"/>
      <c r="JR99" s="198"/>
      <c r="JS99" s="198"/>
      <c r="JT99" s="198"/>
      <c r="JU99" s="198"/>
      <c r="JV99" s="198"/>
      <c r="JW99" s="198"/>
      <c r="JX99" s="198"/>
      <c r="JY99" s="198"/>
      <c r="JZ99" s="198"/>
      <c r="KA99" s="198"/>
      <c r="KB99" s="198"/>
      <c r="KC99" s="198"/>
      <c r="KD99" s="198"/>
      <c r="KE99" s="198"/>
      <c r="KF99" s="198"/>
      <c r="KG99" s="198"/>
      <c r="KH99" s="198"/>
      <c r="KI99" s="198"/>
      <c r="KJ99" s="198"/>
      <c r="KK99" s="198"/>
      <c r="KL99" s="198"/>
      <c r="KM99" s="198"/>
      <c r="KN99" s="198"/>
      <c r="KO99" s="198"/>
      <c r="KP99" s="198"/>
      <c r="KQ99" s="198"/>
      <c r="KR99" s="198"/>
      <c r="KS99" s="198"/>
      <c r="KT99" s="198"/>
      <c r="KU99" s="198"/>
      <c r="KV99" s="198"/>
      <c r="KW99" s="198"/>
      <c r="KX99" s="198"/>
      <c r="KY99" s="198"/>
      <c r="KZ99" s="198"/>
      <c r="LA99" s="198"/>
      <c r="LB99" s="198"/>
      <c r="LC99" s="198"/>
      <c r="LD99" s="198"/>
      <c r="LE99" s="198"/>
      <c r="LF99" s="198"/>
      <c r="LG99" s="198"/>
      <c r="LH99" s="198"/>
      <c r="LI99" s="198"/>
      <c r="LJ99" s="198"/>
      <c r="LK99" s="198"/>
      <c r="LL99" s="198"/>
      <c r="LM99" s="198"/>
      <c r="LN99" s="198"/>
      <c r="LO99" s="198"/>
      <c r="LP99" s="198"/>
      <c r="LQ99" s="198"/>
      <c r="LR99" s="198"/>
      <c r="LS99" s="198"/>
      <c r="LT99" s="198"/>
      <c r="LU99" s="198"/>
      <c r="LV99" s="198"/>
      <c r="LW99" s="198"/>
      <c r="LX99" s="198"/>
      <c r="LY99" s="198"/>
      <c r="LZ99" s="198"/>
      <c r="MA99" s="198"/>
      <c r="MB99" s="198"/>
      <c r="MC99" s="198"/>
      <c r="MD99" s="198"/>
      <c r="ME99" s="198"/>
      <c r="MF99" s="198"/>
      <c r="MG99" s="198"/>
      <c r="MH99" s="198"/>
      <c r="MI99" s="198"/>
      <c r="MJ99" s="198"/>
      <c r="MK99" s="198"/>
      <c r="ML99" s="198"/>
      <c r="MM99" s="198"/>
      <c r="MN99" s="198"/>
      <c r="MO99" s="198"/>
      <c r="MP99" s="198"/>
      <c r="MQ99" s="198"/>
      <c r="MR99" s="198"/>
      <c r="MS99" s="198"/>
      <c r="MT99" s="198"/>
      <c r="MU99" s="198"/>
      <c r="MV99" s="198"/>
      <c r="MW99" s="198"/>
      <c r="MX99" s="198"/>
      <c r="MY99" s="198"/>
      <c r="MZ99" s="198"/>
      <c r="NA99" s="198"/>
      <c r="NB99" s="198"/>
      <c r="NC99" s="198"/>
      <c r="ND99" s="198"/>
      <c r="NE99" s="198"/>
      <c r="NF99" s="198"/>
      <c r="NG99" s="198"/>
      <c r="NH99" s="198"/>
      <c r="NI99" s="198"/>
      <c r="NJ99" s="198"/>
      <c r="NK99" s="198"/>
      <c r="NL99" s="198"/>
      <c r="NM99" s="198"/>
      <c r="NN99" s="198"/>
      <c r="NO99" s="198"/>
      <c r="NP99" s="198"/>
      <c r="NQ99" s="198"/>
      <c r="NR99" s="198"/>
      <c r="NS99" s="198"/>
      <c r="NT99" s="198"/>
      <c r="NU99" s="198"/>
      <c r="NV99" s="198"/>
      <c r="NW99" s="198"/>
      <c r="NX99" s="198"/>
      <c r="NY99" s="198"/>
      <c r="NZ99" s="198"/>
      <c r="OA99" s="198"/>
      <c r="OB99" s="198"/>
      <c r="OC99" s="198"/>
      <c r="OD99" s="198"/>
      <c r="OE99" s="198"/>
      <c r="OF99" s="198"/>
      <c r="OG99" s="198"/>
      <c r="OH99" s="198"/>
      <c r="OI99" s="198"/>
      <c r="OJ99" s="198"/>
      <c r="OK99" s="198"/>
      <c r="OL99" s="198"/>
      <c r="OM99" s="198"/>
      <c r="ON99" s="198"/>
      <c r="OO99" s="198"/>
      <c r="OP99" s="198"/>
      <c r="OQ99" s="198"/>
      <c r="OR99" s="198"/>
      <c r="OS99" s="198"/>
      <c r="OT99" s="198"/>
      <c r="OU99" s="198"/>
      <c r="OV99" s="198"/>
      <c r="OW99" s="198"/>
      <c r="OX99" s="198"/>
      <c r="OY99" s="198"/>
      <c r="OZ99" s="198"/>
      <c r="PA99" s="198"/>
      <c r="PB99" s="198"/>
      <c r="PC99" s="198"/>
      <c r="PD99" s="198"/>
      <c r="PE99" s="198"/>
      <c r="PF99" s="198"/>
      <c r="PG99" s="198"/>
      <c r="PH99" s="198"/>
      <c r="PI99" s="198"/>
      <c r="PJ99" s="198"/>
      <c r="PK99" s="198"/>
      <c r="PL99" s="198"/>
      <c r="PM99" s="198"/>
      <c r="PN99" s="198"/>
      <c r="PO99" s="198"/>
      <c r="PP99" s="198"/>
      <c r="PQ99" s="198"/>
      <c r="PR99" s="198"/>
      <c r="PS99" s="198"/>
      <c r="PT99" s="198"/>
      <c r="PU99" s="198"/>
      <c r="PV99" s="198"/>
      <c r="PW99" s="198"/>
      <c r="PX99" s="198"/>
      <c r="PY99" s="198"/>
      <c r="PZ99" s="198"/>
      <c r="QA99" s="198"/>
      <c r="QB99" s="198"/>
      <c r="QC99" s="198"/>
      <c r="QD99" s="198"/>
      <c r="QE99" s="198"/>
      <c r="QF99" s="198"/>
      <c r="QG99" s="198"/>
      <c r="QH99" s="198"/>
      <c r="QI99" s="198"/>
      <c r="QJ99" s="198"/>
      <c r="QK99" s="198"/>
      <c r="QL99" s="198"/>
      <c r="QM99" s="198"/>
      <c r="QN99" s="198"/>
      <c r="QO99" s="198"/>
      <c r="QP99" s="198"/>
      <c r="QQ99" s="198"/>
      <c r="QR99" s="198"/>
      <c r="QS99" s="198"/>
      <c r="QT99" s="198"/>
      <c r="QU99" s="198"/>
      <c r="QV99" s="198"/>
      <c r="QW99" s="198"/>
      <c r="QX99" s="198"/>
      <c r="QY99" s="198"/>
      <c r="QZ99" s="198"/>
      <c r="RA99" s="198"/>
      <c r="RB99" s="198"/>
      <c r="RC99" s="198"/>
      <c r="RD99" s="198"/>
      <c r="RE99" s="198"/>
      <c r="RF99" s="198"/>
      <c r="RG99" s="198"/>
      <c r="RH99" s="198"/>
      <c r="RI99" s="198"/>
      <c r="RJ99" s="198"/>
      <c r="RK99" s="198"/>
      <c r="RL99" s="198"/>
      <c r="RM99" s="198"/>
      <c r="RN99" s="198"/>
      <c r="RO99" s="198"/>
      <c r="RP99" s="198"/>
      <c r="RQ99" s="198"/>
      <c r="RR99" s="198"/>
      <c r="RS99" s="198"/>
      <c r="RT99" s="198"/>
      <c r="RU99" s="198"/>
      <c r="RV99" s="198"/>
      <c r="RW99" s="198"/>
      <c r="RX99" s="198"/>
      <c r="RY99" s="198"/>
      <c r="RZ99" s="198"/>
      <c r="SA99" s="198"/>
      <c r="SB99" s="198"/>
      <c r="SC99" s="198"/>
      <c r="SD99" s="198"/>
      <c r="SE99" s="198"/>
      <c r="SF99" s="198"/>
      <c r="SG99" s="198"/>
    </row>
    <row r="100" spans="1:501" ht="40.049999999999997" customHeight="1" x14ac:dyDescent="0.3">
      <c r="A100" s="542" t="s">
        <v>266</v>
      </c>
      <c r="B100" s="953" t="s">
        <v>267</v>
      </c>
      <c r="C100" s="944"/>
      <c r="D100" s="944"/>
      <c r="E100" s="944"/>
      <c r="F100" s="944"/>
      <c r="G100" s="944"/>
      <c r="H100" s="944"/>
      <c r="I100" s="944"/>
      <c r="J100" s="944"/>
      <c r="K100" s="944"/>
      <c r="L100" s="944"/>
      <c r="M100" s="944"/>
      <c r="N100" s="944"/>
      <c r="O100" s="944"/>
      <c r="P100" s="944"/>
      <c r="Q100" s="944"/>
      <c r="R100" s="944"/>
      <c r="S100" s="944"/>
      <c r="T100" s="944"/>
      <c r="U100" s="944"/>
      <c r="V100" s="944"/>
      <c r="W100" s="944"/>
      <c r="X100" s="944"/>
      <c r="Y100" s="944"/>
      <c r="Z100" s="944"/>
      <c r="AA100" s="944"/>
      <c r="AB100" s="944"/>
      <c r="AC100" s="944"/>
      <c r="AD100" s="944"/>
      <c r="AE100" s="944"/>
      <c r="AF100" s="944"/>
      <c r="AG100" s="944"/>
      <c r="AH100" s="945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  <c r="AS100" s="198"/>
      <c r="AT100" s="198"/>
      <c r="AU100" s="198"/>
      <c r="AV100" s="198"/>
      <c r="AW100" s="198"/>
      <c r="AX100" s="198"/>
      <c r="AY100" s="198"/>
      <c r="AZ100" s="198"/>
      <c r="BA100" s="198"/>
      <c r="BB100" s="198"/>
      <c r="BC100" s="198"/>
      <c r="BD100" s="198"/>
      <c r="BE100" s="198"/>
      <c r="BF100" s="198"/>
      <c r="BG100" s="198"/>
      <c r="BH100" s="198"/>
      <c r="BI100" s="198"/>
      <c r="BJ100" s="198"/>
      <c r="BK100" s="198"/>
      <c r="BL100" s="198"/>
      <c r="BM100" s="198"/>
      <c r="BN100" s="198"/>
      <c r="BO100" s="198"/>
      <c r="BP100" s="198"/>
      <c r="BQ100" s="198"/>
      <c r="BR100" s="198"/>
      <c r="BS100" s="198"/>
      <c r="BT100" s="198"/>
      <c r="BU100" s="198"/>
      <c r="BV100" s="198"/>
      <c r="BW100" s="198"/>
      <c r="BX100" s="198"/>
      <c r="BY100" s="198"/>
      <c r="BZ100" s="198"/>
      <c r="CA100" s="198"/>
      <c r="CB100" s="198"/>
      <c r="CC100" s="198"/>
      <c r="CD100" s="198"/>
      <c r="CE100" s="198"/>
      <c r="CF100" s="198"/>
      <c r="CG100" s="198"/>
      <c r="CH100" s="198"/>
      <c r="CI100" s="198"/>
      <c r="CJ100" s="198"/>
      <c r="CK100" s="198"/>
      <c r="CL100" s="198"/>
      <c r="CM100" s="198"/>
      <c r="CN100" s="198"/>
      <c r="CO100" s="198"/>
      <c r="CP100" s="198"/>
      <c r="CQ100" s="198"/>
      <c r="CR100" s="198"/>
      <c r="CS100" s="198"/>
      <c r="CT100" s="198"/>
      <c r="CU100" s="198"/>
      <c r="CV100" s="198"/>
      <c r="CW100" s="198"/>
      <c r="CX100" s="198"/>
      <c r="CY100" s="198"/>
      <c r="CZ100" s="198"/>
      <c r="DA100" s="198"/>
      <c r="DB100" s="198"/>
      <c r="DC100" s="198"/>
      <c r="DD100" s="198"/>
      <c r="DE100" s="198"/>
      <c r="DF100" s="198"/>
      <c r="DG100" s="198"/>
      <c r="DH100" s="198"/>
      <c r="DI100" s="198"/>
      <c r="DJ100" s="198"/>
      <c r="DK100" s="198"/>
      <c r="DL100" s="198"/>
      <c r="DM100" s="198"/>
      <c r="DN100" s="198"/>
      <c r="DO100" s="198"/>
      <c r="DP100" s="198"/>
      <c r="DQ100" s="198"/>
      <c r="DR100" s="198"/>
      <c r="DS100" s="198"/>
      <c r="DT100" s="198"/>
      <c r="DU100" s="198"/>
      <c r="DV100" s="198"/>
      <c r="DW100" s="198"/>
      <c r="DX100" s="198"/>
      <c r="DY100" s="198"/>
      <c r="DZ100" s="198"/>
      <c r="EA100" s="198"/>
      <c r="EB100" s="198"/>
      <c r="EC100" s="198"/>
      <c r="ED100" s="198"/>
      <c r="EE100" s="198"/>
      <c r="EF100" s="198"/>
      <c r="EG100" s="198"/>
      <c r="EH100" s="198"/>
      <c r="EI100" s="198"/>
      <c r="EJ100" s="198"/>
      <c r="EK100" s="198"/>
      <c r="EL100" s="198"/>
      <c r="EM100" s="198"/>
      <c r="EN100" s="198"/>
      <c r="EO100" s="198"/>
      <c r="EP100" s="198"/>
      <c r="EQ100" s="198"/>
      <c r="ER100" s="198"/>
      <c r="ES100" s="198"/>
      <c r="ET100" s="198"/>
      <c r="EU100" s="198"/>
      <c r="EV100" s="198"/>
      <c r="EW100" s="198"/>
      <c r="EX100" s="198"/>
      <c r="EY100" s="198"/>
      <c r="EZ100" s="198"/>
      <c r="FA100" s="198"/>
      <c r="FB100" s="198"/>
      <c r="FC100" s="198"/>
      <c r="FD100" s="198"/>
      <c r="FE100" s="198"/>
      <c r="FF100" s="198"/>
      <c r="FG100" s="198"/>
      <c r="FH100" s="198"/>
      <c r="FI100" s="198"/>
      <c r="FJ100" s="198"/>
      <c r="FK100" s="198"/>
      <c r="FL100" s="198"/>
      <c r="FM100" s="198"/>
      <c r="FN100" s="198"/>
      <c r="FO100" s="198"/>
      <c r="FP100" s="198"/>
      <c r="FQ100" s="198"/>
      <c r="FR100" s="198"/>
      <c r="FS100" s="198"/>
      <c r="FT100" s="198"/>
      <c r="FU100" s="198"/>
      <c r="FV100" s="198"/>
      <c r="FW100" s="198"/>
      <c r="FX100" s="198"/>
      <c r="FY100" s="198"/>
      <c r="FZ100" s="198"/>
      <c r="GA100" s="198"/>
      <c r="GB100" s="198"/>
      <c r="GC100" s="198"/>
      <c r="GD100" s="198"/>
      <c r="GE100" s="198"/>
      <c r="GF100" s="198"/>
      <c r="GG100" s="198"/>
      <c r="GH100" s="198"/>
      <c r="GI100" s="198"/>
      <c r="GJ100" s="198"/>
      <c r="GK100" s="198"/>
      <c r="GL100" s="198"/>
      <c r="GM100" s="198"/>
      <c r="GN100" s="198"/>
      <c r="GO100" s="198"/>
      <c r="GP100" s="198"/>
      <c r="GQ100" s="198"/>
      <c r="GR100" s="198"/>
      <c r="GS100" s="198"/>
      <c r="GT100" s="198"/>
      <c r="GU100" s="198"/>
      <c r="GV100" s="198"/>
      <c r="GW100" s="198"/>
      <c r="GX100" s="198"/>
      <c r="GY100" s="198"/>
      <c r="GZ100" s="198"/>
      <c r="HA100" s="198"/>
      <c r="HB100" s="198"/>
      <c r="HC100" s="198"/>
      <c r="HD100" s="198"/>
      <c r="HE100" s="198"/>
      <c r="HF100" s="198"/>
      <c r="HG100" s="198"/>
      <c r="HH100" s="198"/>
      <c r="HI100" s="198"/>
      <c r="HJ100" s="198"/>
      <c r="HK100" s="198"/>
      <c r="HL100" s="198"/>
      <c r="HM100" s="198"/>
      <c r="HN100" s="198"/>
      <c r="HO100" s="198"/>
      <c r="HP100" s="198"/>
      <c r="HQ100" s="198"/>
      <c r="HR100" s="198"/>
      <c r="HS100" s="198"/>
      <c r="HT100" s="198"/>
      <c r="HU100" s="198"/>
      <c r="HV100" s="198"/>
      <c r="HW100" s="198"/>
      <c r="HX100" s="198"/>
      <c r="HY100" s="198"/>
      <c r="HZ100" s="198"/>
      <c r="IA100" s="198"/>
      <c r="IB100" s="198"/>
      <c r="IC100" s="198"/>
      <c r="ID100" s="198"/>
      <c r="IE100" s="198"/>
      <c r="IF100" s="198"/>
      <c r="IG100" s="198"/>
      <c r="IH100" s="198"/>
      <c r="II100" s="198"/>
      <c r="IJ100" s="198"/>
      <c r="IK100" s="198"/>
      <c r="IL100" s="198"/>
      <c r="IM100" s="198"/>
      <c r="IN100" s="198"/>
      <c r="IO100" s="198"/>
      <c r="IP100" s="198"/>
      <c r="IQ100" s="198"/>
      <c r="IR100" s="198"/>
      <c r="IS100" s="198"/>
      <c r="IT100" s="198"/>
      <c r="IU100" s="198"/>
      <c r="IV100" s="198"/>
      <c r="IW100" s="198"/>
      <c r="IX100" s="198"/>
      <c r="IY100" s="198"/>
      <c r="IZ100" s="198"/>
      <c r="JA100" s="198"/>
      <c r="JB100" s="198"/>
      <c r="JC100" s="198"/>
      <c r="JD100" s="198"/>
      <c r="JE100" s="198"/>
      <c r="JF100" s="198"/>
      <c r="JG100" s="198"/>
      <c r="JH100" s="198"/>
      <c r="JI100" s="198"/>
      <c r="JJ100" s="198"/>
      <c r="JK100" s="198"/>
      <c r="JL100" s="198"/>
      <c r="JM100" s="198"/>
      <c r="JN100" s="198"/>
      <c r="JO100" s="198"/>
      <c r="JP100" s="198"/>
      <c r="JQ100" s="198"/>
      <c r="JR100" s="198"/>
      <c r="JS100" s="198"/>
      <c r="JT100" s="198"/>
      <c r="JU100" s="198"/>
      <c r="JV100" s="198"/>
      <c r="JW100" s="198"/>
      <c r="JX100" s="198"/>
      <c r="JY100" s="198"/>
      <c r="JZ100" s="198"/>
      <c r="KA100" s="198"/>
      <c r="KB100" s="198"/>
      <c r="KC100" s="198"/>
      <c r="KD100" s="198"/>
      <c r="KE100" s="198"/>
      <c r="KF100" s="198"/>
      <c r="KG100" s="198"/>
      <c r="KH100" s="198"/>
      <c r="KI100" s="198"/>
      <c r="KJ100" s="198"/>
      <c r="KK100" s="198"/>
      <c r="KL100" s="198"/>
      <c r="KM100" s="198"/>
      <c r="KN100" s="198"/>
      <c r="KO100" s="198"/>
      <c r="KP100" s="198"/>
      <c r="KQ100" s="198"/>
      <c r="KR100" s="198"/>
      <c r="KS100" s="198"/>
      <c r="KT100" s="198"/>
      <c r="KU100" s="198"/>
      <c r="KV100" s="198"/>
      <c r="KW100" s="198"/>
      <c r="KX100" s="198"/>
      <c r="KY100" s="198"/>
      <c r="KZ100" s="198"/>
      <c r="LA100" s="198"/>
      <c r="LB100" s="198"/>
      <c r="LC100" s="198"/>
      <c r="LD100" s="198"/>
      <c r="LE100" s="198"/>
      <c r="LF100" s="198"/>
      <c r="LG100" s="198"/>
      <c r="LH100" s="198"/>
      <c r="LI100" s="198"/>
      <c r="LJ100" s="198"/>
      <c r="LK100" s="198"/>
      <c r="LL100" s="198"/>
      <c r="LM100" s="198"/>
      <c r="LN100" s="198"/>
      <c r="LO100" s="198"/>
      <c r="LP100" s="198"/>
      <c r="LQ100" s="198"/>
      <c r="LR100" s="198"/>
      <c r="LS100" s="198"/>
      <c r="LT100" s="198"/>
      <c r="LU100" s="198"/>
      <c r="LV100" s="198"/>
      <c r="LW100" s="198"/>
      <c r="LX100" s="198"/>
      <c r="LY100" s="198"/>
      <c r="LZ100" s="198"/>
      <c r="MA100" s="198"/>
      <c r="MB100" s="198"/>
      <c r="MC100" s="198"/>
      <c r="MD100" s="198"/>
      <c r="ME100" s="198"/>
      <c r="MF100" s="198"/>
      <c r="MG100" s="198"/>
      <c r="MH100" s="198"/>
      <c r="MI100" s="198"/>
      <c r="MJ100" s="198"/>
      <c r="MK100" s="198"/>
      <c r="ML100" s="198"/>
      <c r="MM100" s="198"/>
      <c r="MN100" s="198"/>
      <c r="MO100" s="198"/>
      <c r="MP100" s="198"/>
      <c r="MQ100" s="198"/>
      <c r="MR100" s="198"/>
      <c r="MS100" s="198"/>
      <c r="MT100" s="198"/>
      <c r="MU100" s="198"/>
      <c r="MV100" s="198"/>
      <c r="MW100" s="198"/>
      <c r="MX100" s="198"/>
      <c r="MY100" s="198"/>
      <c r="MZ100" s="198"/>
      <c r="NA100" s="198"/>
      <c r="NB100" s="198"/>
      <c r="NC100" s="198"/>
      <c r="ND100" s="198"/>
      <c r="NE100" s="198"/>
      <c r="NF100" s="198"/>
      <c r="NG100" s="198"/>
      <c r="NH100" s="198"/>
      <c r="NI100" s="198"/>
      <c r="NJ100" s="198"/>
      <c r="NK100" s="198"/>
      <c r="NL100" s="198"/>
      <c r="NM100" s="198"/>
      <c r="NN100" s="198"/>
      <c r="NO100" s="198"/>
      <c r="NP100" s="198"/>
      <c r="NQ100" s="198"/>
      <c r="NR100" s="198"/>
      <c r="NS100" s="198"/>
      <c r="NT100" s="198"/>
      <c r="NU100" s="198"/>
      <c r="NV100" s="198"/>
      <c r="NW100" s="198"/>
      <c r="NX100" s="198"/>
      <c r="NY100" s="198"/>
      <c r="NZ100" s="198"/>
      <c r="OA100" s="198"/>
      <c r="OB100" s="198"/>
      <c r="OC100" s="198"/>
      <c r="OD100" s="198"/>
      <c r="OE100" s="198"/>
      <c r="OF100" s="198"/>
      <c r="OG100" s="198"/>
      <c r="OH100" s="198"/>
      <c r="OI100" s="198"/>
      <c r="OJ100" s="198"/>
      <c r="OK100" s="198"/>
      <c r="OL100" s="198"/>
      <c r="OM100" s="198"/>
      <c r="ON100" s="198"/>
      <c r="OO100" s="198"/>
      <c r="OP100" s="198"/>
      <c r="OQ100" s="198"/>
      <c r="OR100" s="198"/>
      <c r="OS100" s="198"/>
      <c r="OT100" s="198"/>
      <c r="OU100" s="198"/>
      <c r="OV100" s="198"/>
      <c r="OW100" s="198"/>
      <c r="OX100" s="198"/>
      <c r="OY100" s="198"/>
      <c r="OZ100" s="198"/>
      <c r="PA100" s="198"/>
      <c r="PB100" s="198"/>
      <c r="PC100" s="198"/>
      <c r="PD100" s="198"/>
      <c r="PE100" s="198"/>
      <c r="PF100" s="198"/>
      <c r="PG100" s="198"/>
      <c r="PH100" s="198"/>
      <c r="PI100" s="198"/>
      <c r="PJ100" s="198"/>
      <c r="PK100" s="198"/>
      <c r="PL100" s="198"/>
      <c r="PM100" s="198"/>
      <c r="PN100" s="198"/>
      <c r="PO100" s="198"/>
      <c r="PP100" s="198"/>
      <c r="PQ100" s="198"/>
      <c r="PR100" s="198"/>
      <c r="PS100" s="198"/>
      <c r="PT100" s="198"/>
      <c r="PU100" s="198"/>
      <c r="PV100" s="198"/>
      <c r="PW100" s="198"/>
      <c r="PX100" s="198"/>
      <c r="PY100" s="198"/>
      <c r="PZ100" s="198"/>
      <c r="QA100" s="198"/>
      <c r="QB100" s="198"/>
      <c r="QC100" s="198"/>
      <c r="QD100" s="198"/>
      <c r="QE100" s="198"/>
      <c r="QF100" s="198"/>
      <c r="QG100" s="198"/>
      <c r="QH100" s="198"/>
      <c r="QI100" s="198"/>
      <c r="QJ100" s="198"/>
      <c r="QK100" s="198"/>
      <c r="QL100" s="198"/>
      <c r="QM100" s="198"/>
      <c r="QN100" s="198"/>
      <c r="QO100" s="198"/>
      <c r="QP100" s="198"/>
      <c r="QQ100" s="198"/>
      <c r="QR100" s="198"/>
      <c r="QS100" s="198"/>
      <c r="QT100" s="198"/>
      <c r="QU100" s="198"/>
      <c r="QV100" s="198"/>
      <c r="QW100" s="198"/>
      <c r="QX100" s="198"/>
      <c r="QY100" s="198"/>
      <c r="QZ100" s="198"/>
      <c r="RA100" s="198"/>
      <c r="RB100" s="198"/>
      <c r="RC100" s="198"/>
      <c r="RD100" s="198"/>
      <c r="RE100" s="198"/>
      <c r="RF100" s="198"/>
      <c r="RG100" s="198"/>
      <c r="RH100" s="198"/>
      <c r="RI100" s="198"/>
      <c r="RJ100" s="198"/>
      <c r="RK100" s="198"/>
      <c r="RL100" s="198"/>
      <c r="RM100" s="198"/>
      <c r="RN100" s="198"/>
      <c r="RO100" s="198"/>
      <c r="RP100" s="198"/>
      <c r="RQ100" s="198"/>
      <c r="RR100" s="198"/>
      <c r="RS100" s="198"/>
      <c r="RT100" s="198"/>
      <c r="RU100" s="198"/>
      <c r="RV100" s="198"/>
      <c r="RW100" s="198"/>
      <c r="RX100" s="198"/>
      <c r="RY100" s="198"/>
      <c r="RZ100" s="198"/>
      <c r="SA100" s="198"/>
      <c r="SB100" s="198"/>
      <c r="SC100" s="198"/>
      <c r="SD100" s="198"/>
      <c r="SE100" s="198"/>
      <c r="SF100" s="198"/>
      <c r="SG100" s="198"/>
    </row>
    <row r="101" spans="1:501" ht="40.049999999999997" customHeight="1" x14ac:dyDescent="0.3">
      <c r="A101" s="541" t="s">
        <v>268</v>
      </c>
      <c r="B101" s="952" t="s">
        <v>269</v>
      </c>
      <c r="C101" s="950"/>
      <c r="D101" s="861"/>
      <c r="E101" s="862"/>
      <c r="F101" s="861"/>
      <c r="G101" s="863">
        <f>MANZ.C!AL101</f>
        <v>0</v>
      </c>
      <c r="H101" s="861"/>
      <c r="I101" s="862"/>
      <c r="J101" s="861"/>
      <c r="K101" s="862"/>
      <c r="L101" s="861"/>
      <c r="M101" s="862">
        <f>MANZ.F!AB101</f>
        <v>0</v>
      </c>
      <c r="N101" s="861"/>
      <c r="O101" s="862">
        <f>MANZ.G!AS98</f>
        <v>16</v>
      </c>
      <c r="P101" s="861"/>
      <c r="Q101" s="862">
        <f>MANZ.H!V102</f>
        <v>0</v>
      </c>
      <c r="R101" s="861"/>
      <c r="S101" s="862"/>
      <c r="T101" s="861"/>
      <c r="U101" s="862">
        <f>MANZ.J!AT105</f>
        <v>0</v>
      </c>
      <c r="V101" s="861"/>
      <c r="W101" s="862">
        <f>MANZ.K!AB102</f>
        <v>0</v>
      </c>
      <c r="X101" s="861"/>
      <c r="Y101" s="862"/>
      <c r="Z101" s="861"/>
      <c r="AA101" s="862"/>
      <c r="AB101" s="864"/>
      <c r="AC101" s="864"/>
      <c r="AD101" s="864"/>
      <c r="AE101" s="864"/>
      <c r="AF101" s="861"/>
      <c r="AG101" s="865">
        <f>SUM(C100:AA100)</f>
        <v>0</v>
      </c>
      <c r="AH101" s="866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198"/>
      <c r="AS101" s="198"/>
      <c r="AT101" s="198"/>
      <c r="AU101" s="198"/>
      <c r="AV101" s="198"/>
      <c r="AW101" s="198"/>
      <c r="AX101" s="198"/>
      <c r="AY101" s="198"/>
      <c r="AZ101" s="198"/>
      <c r="BA101" s="198"/>
      <c r="BB101" s="198"/>
      <c r="BC101" s="198"/>
      <c r="BD101" s="198"/>
      <c r="BE101" s="198"/>
      <c r="BF101" s="198"/>
      <c r="BG101" s="198"/>
      <c r="BH101" s="198"/>
      <c r="BI101" s="198"/>
      <c r="BJ101" s="198"/>
      <c r="BK101" s="198"/>
      <c r="BL101" s="198"/>
      <c r="BM101" s="198"/>
      <c r="BN101" s="198"/>
      <c r="BO101" s="198"/>
      <c r="BP101" s="198"/>
      <c r="BQ101" s="198"/>
      <c r="BR101" s="198"/>
      <c r="BS101" s="198"/>
      <c r="BT101" s="198"/>
      <c r="BU101" s="198"/>
      <c r="BV101" s="198"/>
      <c r="BW101" s="198"/>
      <c r="BX101" s="198"/>
      <c r="BY101" s="198"/>
      <c r="BZ101" s="198"/>
      <c r="CA101" s="198"/>
      <c r="CB101" s="198"/>
      <c r="CC101" s="198"/>
      <c r="CD101" s="198"/>
      <c r="CE101" s="198"/>
      <c r="CF101" s="198"/>
      <c r="CG101" s="198"/>
      <c r="CH101" s="198"/>
      <c r="CI101" s="198"/>
      <c r="CJ101" s="198"/>
      <c r="CK101" s="198"/>
      <c r="CL101" s="198"/>
      <c r="CM101" s="198"/>
      <c r="CN101" s="198"/>
      <c r="CO101" s="198"/>
      <c r="CP101" s="198"/>
      <c r="CQ101" s="198"/>
      <c r="CR101" s="198"/>
      <c r="CS101" s="198"/>
      <c r="CT101" s="198"/>
      <c r="CU101" s="198"/>
      <c r="CV101" s="198"/>
      <c r="CW101" s="198"/>
      <c r="CX101" s="198"/>
      <c r="CY101" s="198"/>
      <c r="CZ101" s="198"/>
      <c r="DA101" s="198"/>
      <c r="DB101" s="198"/>
      <c r="DC101" s="198"/>
      <c r="DD101" s="198"/>
      <c r="DE101" s="198"/>
      <c r="DF101" s="198"/>
      <c r="DG101" s="198"/>
      <c r="DH101" s="198"/>
      <c r="DI101" s="198"/>
      <c r="DJ101" s="198"/>
      <c r="DK101" s="198"/>
      <c r="DL101" s="198"/>
      <c r="DM101" s="198"/>
      <c r="DN101" s="198"/>
      <c r="DO101" s="198"/>
      <c r="DP101" s="198"/>
      <c r="DQ101" s="198"/>
      <c r="DR101" s="198"/>
      <c r="DS101" s="198"/>
      <c r="DT101" s="198"/>
      <c r="DU101" s="198"/>
      <c r="DV101" s="198"/>
      <c r="DW101" s="198"/>
      <c r="DX101" s="198"/>
      <c r="DY101" s="198"/>
      <c r="DZ101" s="198"/>
      <c r="EA101" s="198"/>
      <c r="EB101" s="198"/>
      <c r="EC101" s="198"/>
      <c r="ED101" s="198"/>
      <c r="EE101" s="198"/>
      <c r="EF101" s="198"/>
      <c r="EG101" s="198"/>
      <c r="EH101" s="198"/>
      <c r="EI101" s="198"/>
      <c r="EJ101" s="198"/>
      <c r="EK101" s="198"/>
      <c r="EL101" s="198"/>
      <c r="EM101" s="198"/>
      <c r="EN101" s="198"/>
      <c r="EO101" s="198"/>
      <c r="EP101" s="198"/>
      <c r="EQ101" s="198"/>
      <c r="ER101" s="198"/>
      <c r="ES101" s="198"/>
      <c r="ET101" s="198"/>
      <c r="EU101" s="198"/>
      <c r="EV101" s="198"/>
      <c r="EW101" s="198"/>
      <c r="EX101" s="198"/>
      <c r="EY101" s="198"/>
      <c r="EZ101" s="198"/>
      <c r="FA101" s="198"/>
      <c r="FB101" s="198"/>
      <c r="FC101" s="198"/>
      <c r="FD101" s="198"/>
      <c r="FE101" s="198"/>
      <c r="FF101" s="198"/>
      <c r="FG101" s="198"/>
      <c r="FH101" s="198"/>
      <c r="FI101" s="198"/>
      <c r="FJ101" s="198"/>
      <c r="FK101" s="198"/>
      <c r="FL101" s="198"/>
      <c r="FM101" s="198"/>
      <c r="FN101" s="198"/>
      <c r="FO101" s="198"/>
      <c r="FP101" s="198"/>
      <c r="FQ101" s="198"/>
      <c r="FR101" s="198"/>
      <c r="FS101" s="198"/>
      <c r="FT101" s="198"/>
      <c r="FU101" s="198"/>
      <c r="FV101" s="198"/>
      <c r="FW101" s="198"/>
      <c r="FX101" s="198"/>
      <c r="FY101" s="198"/>
      <c r="FZ101" s="198"/>
      <c r="GA101" s="198"/>
      <c r="GB101" s="198"/>
      <c r="GC101" s="198"/>
      <c r="GD101" s="198"/>
      <c r="GE101" s="198"/>
      <c r="GF101" s="198"/>
      <c r="GG101" s="198"/>
      <c r="GH101" s="198"/>
      <c r="GI101" s="198"/>
      <c r="GJ101" s="198"/>
      <c r="GK101" s="198"/>
      <c r="GL101" s="198"/>
      <c r="GM101" s="198"/>
      <c r="GN101" s="198"/>
      <c r="GO101" s="198"/>
      <c r="GP101" s="198"/>
      <c r="GQ101" s="198"/>
      <c r="GR101" s="198"/>
      <c r="GS101" s="198"/>
      <c r="GT101" s="198"/>
      <c r="GU101" s="198"/>
      <c r="GV101" s="198"/>
      <c r="GW101" s="198"/>
      <c r="GX101" s="198"/>
      <c r="GY101" s="198"/>
      <c r="GZ101" s="198"/>
      <c r="HA101" s="198"/>
      <c r="HB101" s="198"/>
      <c r="HC101" s="198"/>
      <c r="HD101" s="198"/>
      <c r="HE101" s="198"/>
      <c r="HF101" s="198"/>
      <c r="HG101" s="198"/>
      <c r="HH101" s="198"/>
      <c r="HI101" s="198"/>
      <c r="HJ101" s="198"/>
      <c r="HK101" s="198"/>
      <c r="HL101" s="198"/>
      <c r="HM101" s="198"/>
      <c r="HN101" s="198"/>
      <c r="HO101" s="198"/>
      <c r="HP101" s="198"/>
      <c r="HQ101" s="198"/>
      <c r="HR101" s="198"/>
      <c r="HS101" s="198"/>
      <c r="HT101" s="198"/>
      <c r="HU101" s="198"/>
      <c r="HV101" s="198"/>
      <c r="HW101" s="198"/>
      <c r="HX101" s="198"/>
      <c r="HY101" s="198"/>
      <c r="HZ101" s="198"/>
      <c r="IA101" s="198"/>
      <c r="IB101" s="198"/>
      <c r="IC101" s="198"/>
      <c r="ID101" s="198"/>
      <c r="IE101" s="198"/>
      <c r="IF101" s="198"/>
      <c r="IG101" s="198"/>
      <c r="IH101" s="198"/>
      <c r="II101" s="198"/>
      <c r="IJ101" s="198"/>
      <c r="IK101" s="198"/>
      <c r="IL101" s="198"/>
      <c r="IM101" s="198"/>
      <c r="IN101" s="198"/>
      <c r="IO101" s="198"/>
      <c r="IP101" s="198"/>
      <c r="IQ101" s="198"/>
      <c r="IR101" s="198"/>
      <c r="IS101" s="198"/>
      <c r="IT101" s="198"/>
      <c r="IU101" s="198"/>
      <c r="IV101" s="198"/>
      <c r="IW101" s="198"/>
      <c r="IX101" s="198"/>
      <c r="IY101" s="198"/>
      <c r="IZ101" s="198"/>
      <c r="JA101" s="198"/>
      <c r="JB101" s="198"/>
      <c r="JC101" s="198"/>
      <c r="JD101" s="198"/>
      <c r="JE101" s="198"/>
      <c r="JF101" s="198"/>
      <c r="JG101" s="198"/>
      <c r="JH101" s="198"/>
      <c r="JI101" s="198"/>
      <c r="JJ101" s="198"/>
      <c r="JK101" s="198"/>
      <c r="JL101" s="198"/>
      <c r="JM101" s="198"/>
      <c r="JN101" s="198"/>
      <c r="JO101" s="198"/>
      <c r="JP101" s="198"/>
      <c r="JQ101" s="198"/>
      <c r="JR101" s="198"/>
      <c r="JS101" s="198"/>
      <c r="JT101" s="198"/>
      <c r="JU101" s="198"/>
      <c r="JV101" s="198"/>
      <c r="JW101" s="198"/>
      <c r="JX101" s="198"/>
      <c r="JY101" s="198"/>
      <c r="JZ101" s="198"/>
      <c r="KA101" s="198"/>
      <c r="KB101" s="198"/>
      <c r="KC101" s="198"/>
      <c r="KD101" s="198"/>
      <c r="KE101" s="198"/>
      <c r="KF101" s="198"/>
      <c r="KG101" s="198"/>
      <c r="KH101" s="198"/>
      <c r="KI101" s="198"/>
      <c r="KJ101" s="198"/>
      <c r="KK101" s="198"/>
      <c r="KL101" s="198"/>
      <c r="KM101" s="198"/>
      <c r="KN101" s="198"/>
      <c r="KO101" s="198"/>
      <c r="KP101" s="198"/>
      <c r="KQ101" s="198"/>
      <c r="KR101" s="198"/>
      <c r="KS101" s="198"/>
      <c r="KT101" s="198"/>
      <c r="KU101" s="198"/>
      <c r="KV101" s="198"/>
      <c r="KW101" s="198"/>
      <c r="KX101" s="198"/>
      <c r="KY101" s="198"/>
      <c r="KZ101" s="198"/>
      <c r="LA101" s="198"/>
      <c r="LB101" s="198"/>
      <c r="LC101" s="198"/>
      <c r="LD101" s="198"/>
      <c r="LE101" s="198"/>
      <c r="LF101" s="198"/>
      <c r="LG101" s="198"/>
      <c r="LH101" s="198"/>
      <c r="LI101" s="198"/>
      <c r="LJ101" s="198"/>
      <c r="LK101" s="198"/>
      <c r="LL101" s="198"/>
      <c r="LM101" s="198"/>
      <c r="LN101" s="198"/>
      <c r="LO101" s="198"/>
      <c r="LP101" s="198"/>
      <c r="LQ101" s="198"/>
      <c r="LR101" s="198"/>
      <c r="LS101" s="198"/>
      <c r="LT101" s="198"/>
      <c r="LU101" s="198"/>
      <c r="LV101" s="198"/>
      <c r="LW101" s="198"/>
      <c r="LX101" s="198"/>
      <c r="LY101" s="198"/>
      <c r="LZ101" s="198"/>
      <c r="MA101" s="198"/>
      <c r="MB101" s="198"/>
      <c r="MC101" s="198"/>
      <c r="MD101" s="198"/>
      <c r="ME101" s="198"/>
      <c r="MF101" s="198"/>
      <c r="MG101" s="198"/>
      <c r="MH101" s="198"/>
      <c r="MI101" s="198"/>
      <c r="MJ101" s="198"/>
      <c r="MK101" s="198"/>
      <c r="ML101" s="198"/>
      <c r="MM101" s="198"/>
      <c r="MN101" s="198"/>
      <c r="MO101" s="198"/>
      <c r="MP101" s="198"/>
      <c r="MQ101" s="198"/>
      <c r="MR101" s="198"/>
      <c r="MS101" s="198"/>
      <c r="MT101" s="198"/>
      <c r="MU101" s="198"/>
      <c r="MV101" s="198"/>
      <c r="MW101" s="198"/>
      <c r="MX101" s="198"/>
      <c r="MY101" s="198"/>
      <c r="MZ101" s="198"/>
      <c r="NA101" s="198"/>
      <c r="NB101" s="198"/>
      <c r="NC101" s="198"/>
      <c r="ND101" s="198"/>
      <c r="NE101" s="198"/>
      <c r="NF101" s="198"/>
      <c r="NG101" s="198"/>
      <c r="NH101" s="198"/>
      <c r="NI101" s="198"/>
      <c r="NJ101" s="198"/>
      <c r="NK101" s="198"/>
      <c r="NL101" s="198"/>
      <c r="NM101" s="198"/>
      <c r="NN101" s="198"/>
      <c r="NO101" s="198"/>
      <c r="NP101" s="198"/>
      <c r="NQ101" s="198"/>
      <c r="NR101" s="198"/>
      <c r="NS101" s="198"/>
      <c r="NT101" s="198"/>
      <c r="NU101" s="198"/>
      <c r="NV101" s="198"/>
      <c r="NW101" s="198"/>
      <c r="NX101" s="198"/>
      <c r="NY101" s="198"/>
      <c r="NZ101" s="198"/>
      <c r="OA101" s="198"/>
      <c r="OB101" s="198"/>
      <c r="OC101" s="198"/>
      <c r="OD101" s="198"/>
      <c r="OE101" s="198"/>
      <c r="OF101" s="198"/>
      <c r="OG101" s="198"/>
      <c r="OH101" s="198"/>
      <c r="OI101" s="198"/>
      <c r="OJ101" s="198"/>
      <c r="OK101" s="198"/>
      <c r="OL101" s="198"/>
      <c r="OM101" s="198"/>
      <c r="ON101" s="198"/>
      <c r="OO101" s="198"/>
      <c r="OP101" s="198"/>
      <c r="OQ101" s="198"/>
      <c r="OR101" s="198"/>
      <c r="OS101" s="198"/>
      <c r="OT101" s="198"/>
      <c r="OU101" s="198"/>
      <c r="OV101" s="198"/>
      <c r="OW101" s="198"/>
      <c r="OX101" s="198"/>
      <c r="OY101" s="198"/>
      <c r="OZ101" s="198"/>
      <c r="PA101" s="198"/>
      <c r="PB101" s="198"/>
      <c r="PC101" s="198"/>
      <c r="PD101" s="198"/>
      <c r="PE101" s="198"/>
      <c r="PF101" s="198"/>
      <c r="PG101" s="198"/>
      <c r="PH101" s="198"/>
      <c r="PI101" s="198"/>
      <c r="PJ101" s="198"/>
      <c r="PK101" s="198"/>
      <c r="PL101" s="198"/>
      <c r="PM101" s="198"/>
      <c r="PN101" s="198"/>
      <c r="PO101" s="198"/>
      <c r="PP101" s="198"/>
      <c r="PQ101" s="198"/>
      <c r="PR101" s="198"/>
      <c r="PS101" s="198"/>
      <c r="PT101" s="198"/>
      <c r="PU101" s="198"/>
      <c r="PV101" s="198"/>
      <c r="PW101" s="198"/>
      <c r="PX101" s="198"/>
      <c r="PY101" s="198"/>
      <c r="PZ101" s="198"/>
      <c r="QA101" s="198"/>
      <c r="QB101" s="198"/>
      <c r="QC101" s="198"/>
      <c r="QD101" s="198"/>
      <c r="QE101" s="198"/>
      <c r="QF101" s="198"/>
      <c r="QG101" s="198"/>
      <c r="QH101" s="198"/>
      <c r="QI101" s="198"/>
      <c r="QJ101" s="198"/>
      <c r="QK101" s="198"/>
      <c r="QL101" s="198"/>
      <c r="QM101" s="198"/>
      <c r="QN101" s="198"/>
      <c r="QO101" s="198"/>
      <c r="QP101" s="198"/>
      <c r="QQ101" s="198"/>
      <c r="QR101" s="198"/>
      <c r="QS101" s="198"/>
      <c r="QT101" s="198"/>
      <c r="QU101" s="198"/>
      <c r="QV101" s="198"/>
      <c r="QW101" s="198"/>
      <c r="QX101" s="198"/>
      <c r="QY101" s="198"/>
      <c r="QZ101" s="198"/>
      <c r="RA101" s="198"/>
      <c r="RB101" s="198"/>
      <c r="RC101" s="198"/>
      <c r="RD101" s="198"/>
      <c r="RE101" s="198"/>
      <c r="RF101" s="198"/>
      <c r="RG101" s="198"/>
      <c r="RH101" s="198"/>
      <c r="RI101" s="198"/>
      <c r="RJ101" s="198"/>
      <c r="RK101" s="198"/>
      <c r="RL101" s="198"/>
      <c r="RM101" s="198"/>
      <c r="RN101" s="198"/>
      <c r="RO101" s="198"/>
      <c r="RP101" s="198"/>
      <c r="RQ101" s="198"/>
      <c r="RR101" s="198"/>
      <c r="RS101" s="198"/>
      <c r="RT101" s="198"/>
      <c r="RU101" s="198"/>
      <c r="RV101" s="198"/>
      <c r="RW101" s="198"/>
      <c r="RX101" s="198"/>
      <c r="RY101" s="198"/>
      <c r="RZ101" s="198"/>
      <c r="SA101" s="198"/>
      <c r="SB101" s="198"/>
      <c r="SC101" s="198"/>
      <c r="SD101" s="198"/>
      <c r="SE101" s="198"/>
      <c r="SF101" s="198"/>
      <c r="SG101" s="198"/>
    </row>
    <row r="102" spans="1:501" ht="40.049999999999997" customHeight="1" thickBot="1" x14ac:dyDescent="0.35">
      <c r="A102" s="541" t="s">
        <v>270</v>
      </c>
      <c r="B102" s="952" t="s">
        <v>271</v>
      </c>
      <c r="C102" s="950"/>
      <c r="D102" s="861"/>
      <c r="E102" s="862"/>
      <c r="F102" s="861"/>
      <c r="G102" s="863">
        <f>MANZ.C!AL102</f>
        <v>17</v>
      </c>
      <c r="H102" s="861"/>
      <c r="I102" s="862"/>
      <c r="J102" s="861"/>
      <c r="K102" s="862"/>
      <c r="L102" s="861"/>
      <c r="M102" s="862">
        <f>MANZ.F!AB102</f>
        <v>7</v>
      </c>
      <c r="N102" s="861"/>
      <c r="O102" s="862">
        <f>MANZ.G!AS99</f>
        <v>0</v>
      </c>
      <c r="P102" s="861"/>
      <c r="Q102" s="862">
        <f>MANZ.H!V103</f>
        <v>9</v>
      </c>
      <c r="R102" s="861"/>
      <c r="S102" s="862"/>
      <c r="T102" s="861"/>
      <c r="U102" s="862">
        <f>MANZ.J!AT106</f>
        <v>0</v>
      </c>
      <c r="V102" s="861"/>
      <c r="W102" s="862">
        <f>MANZ.K!AB103</f>
        <v>0</v>
      </c>
      <c r="X102" s="861"/>
      <c r="Y102" s="862"/>
      <c r="Z102" s="861"/>
      <c r="AA102" s="862"/>
      <c r="AB102" s="864"/>
      <c r="AC102" s="864"/>
      <c r="AD102" s="864"/>
      <c r="AE102" s="864"/>
      <c r="AF102" s="861"/>
      <c r="AG102" s="865">
        <f>SUM(C101:AA101)</f>
        <v>16</v>
      </c>
      <c r="AH102" s="866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198"/>
      <c r="AS102" s="198"/>
      <c r="AT102" s="198"/>
      <c r="AU102" s="198"/>
      <c r="AV102" s="198"/>
      <c r="AW102" s="198"/>
      <c r="AX102" s="198"/>
      <c r="AY102" s="198"/>
      <c r="AZ102" s="198"/>
      <c r="BA102" s="198"/>
      <c r="BB102" s="198"/>
      <c r="BC102" s="198"/>
      <c r="BD102" s="198"/>
      <c r="BE102" s="198"/>
      <c r="BF102" s="198"/>
      <c r="BG102" s="198"/>
      <c r="BH102" s="198"/>
      <c r="BI102" s="198"/>
      <c r="BJ102" s="198"/>
      <c r="BK102" s="198"/>
      <c r="BL102" s="198"/>
      <c r="BM102" s="198"/>
      <c r="BN102" s="198"/>
      <c r="BO102" s="198"/>
      <c r="BP102" s="198"/>
      <c r="BQ102" s="198"/>
      <c r="BR102" s="198"/>
      <c r="BS102" s="198"/>
      <c r="BT102" s="198"/>
      <c r="BU102" s="198"/>
      <c r="BV102" s="198"/>
      <c r="BW102" s="198"/>
      <c r="BX102" s="198"/>
      <c r="BY102" s="198"/>
      <c r="BZ102" s="198"/>
      <c r="CA102" s="198"/>
      <c r="CB102" s="198"/>
      <c r="CC102" s="198"/>
      <c r="CD102" s="198"/>
      <c r="CE102" s="198"/>
      <c r="CF102" s="198"/>
      <c r="CG102" s="198"/>
      <c r="CH102" s="198"/>
      <c r="CI102" s="198"/>
      <c r="CJ102" s="198"/>
      <c r="CK102" s="198"/>
      <c r="CL102" s="198"/>
      <c r="CM102" s="198"/>
      <c r="CN102" s="198"/>
      <c r="CO102" s="198"/>
      <c r="CP102" s="198"/>
      <c r="CQ102" s="198"/>
      <c r="CR102" s="198"/>
      <c r="CS102" s="198"/>
      <c r="CT102" s="198"/>
      <c r="CU102" s="198"/>
      <c r="CV102" s="198"/>
      <c r="CW102" s="198"/>
      <c r="CX102" s="198"/>
      <c r="CY102" s="198"/>
      <c r="CZ102" s="198"/>
      <c r="DA102" s="198"/>
      <c r="DB102" s="198"/>
      <c r="DC102" s="198"/>
      <c r="DD102" s="198"/>
      <c r="DE102" s="198"/>
      <c r="DF102" s="198"/>
      <c r="DG102" s="198"/>
      <c r="DH102" s="198"/>
      <c r="DI102" s="198"/>
      <c r="DJ102" s="198"/>
      <c r="DK102" s="198"/>
      <c r="DL102" s="198"/>
      <c r="DM102" s="198"/>
      <c r="DN102" s="198"/>
      <c r="DO102" s="198"/>
      <c r="DP102" s="198"/>
      <c r="DQ102" s="198"/>
      <c r="DR102" s="198"/>
      <c r="DS102" s="198"/>
      <c r="DT102" s="198"/>
      <c r="DU102" s="198"/>
      <c r="DV102" s="198"/>
      <c r="DW102" s="198"/>
      <c r="DX102" s="198"/>
      <c r="DY102" s="198"/>
      <c r="DZ102" s="198"/>
      <c r="EA102" s="198"/>
      <c r="EB102" s="198"/>
      <c r="EC102" s="198"/>
      <c r="ED102" s="198"/>
      <c r="EE102" s="198"/>
      <c r="EF102" s="198"/>
      <c r="EG102" s="198"/>
      <c r="EH102" s="198"/>
      <c r="EI102" s="198"/>
      <c r="EJ102" s="198"/>
      <c r="EK102" s="198"/>
      <c r="EL102" s="198"/>
      <c r="EM102" s="198"/>
      <c r="EN102" s="198"/>
      <c r="EO102" s="198"/>
      <c r="EP102" s="198"/>
      <c r="EQ102" s="198"/>
      <c r="ER102" s="198"/>
      <c r="ES102" s="198"/>
      <c r="ET102" s="198"/>
      <c r="EU102" s="198"/>
      <c r="EV102" s="198"/>
      <c r="EW102" s="198"/>
      <c r="EX102" s="198"/>
      <c r="EY102" s="198"/>
      <c r="EZ102" s="198"/>
      <c r="FA102" s="198"/>
      <c r="FB102" s="198"/>
      <c r="FC102" s="198"/>
      <c r="FD102" s="198"/>
      <c r="FE102" s="198"/>
      <c r="FF102" s="198"/>
      <c r="FG102" s="198"/>
      <c r="FH102" s="198"/>
      <c r="FI102" s="198"/>
      <c r="FJ102" s="198"/>
      <c r="FK102" s="198"/>
      <c r="FL102" s="198"/>
      <c r="FM102" s="198"/>
      <c r="FN102" s="198"/>
      <c r="FO102" s="198"/>
      <c r="FP102" s="198"/>
      <c r="FQ102" s="198"/>
      <c r="FR102" s="198"/>
      <c r="FS102" s="198"/>
      <c r="FT102" s="198"/>
      <c r="FU102" s="198"/>
      <c r="FV102" s="198"/>
      <c r="FW102" s="198"/>
      <c r="FX102" s="198"/>
      <c r="FY102" s="198"/>
      <c r="FZ102" s="198"/>
      <c r="GA102" s="198"/>
      <c r="GB102" s="198"/>
      <c r="GC102" s="198"/>
      <c r="GD102" s="198"/>
      <c r="GE102" s="198"/>
      <c r="GF102" s="198"/>
      <c r="GG102" s="198"/>
      <c r="GH102" s="198"/>
      <c r="GI102" s="198"/>
      <c r="GJ102" s="198"/>
      <c r="GK102" s="198"/>
      <c r="GL102" s="198"/>
      <c r="GM102" s="198"/>
      <c r="GN102" s="198"/>
      <c r="GO102" s="198"/>
      <c r="GP102" s="198"/>
      <c r="GQ102" s="198"/>
      <c r="GR102" s="198"/>
      <c r="GS102" s="198"/>
      <c r="GT102" s="198"/>
      <c r="GU102" s="198"/>
      <c r="GV102" s="198"/>
      <c r="GW102" s="198"/>
      <c r="GX102" s="198"/>
      <c r="GY102" s="198"/>
      <c r="GZ102" s="198"/>
      <c r="HA102" s="198"/>
      <c r="HB102" s="198"/>
      <c r="HC102" s="198"/>
      <c r="HD102" s="198"/>
      <c r="HE102" s="198"/>
      <c r="HF102" s="198"/>
      <c r="HG102" s="198"/>
      <c r="HH102" s="198"/>
      <c r="HI102" s="198"/>
      <c r="HJ102" s="198"/>
      <c r="HK102" s="198"/>
      <c r="HL102" s="198"/>
      <c r="HM102" s="198"/>
      <c r="HN102" s="198"/>
      <c r="HO102" s="198"/>
      <c r="HP102" s="198"/>
      <c r="HQ102" s="198"/>
      <c r="HR102" s="198"/>
      <c r="HS102" s="198"/>
      <c r="HT102" s="198"/>
      <c r="HU102" s="198"/>
      <c r="HV102" s="198"/>
      <c r="HW102" s="198"/>
      <c r="HX102" s="198"/>
      <c r="HY102" s="198"/>
      <c r="HZ102" s="198"/>
      <c r="IA102" s="198"/>
      <c r="IB102" s="198"/>
      <c r="IC102" s="198"/>
      <c r="ID102" s="198"/>
      <c r="IE102" s="198"/>
      <c r="IF102" s="198"/>
      <c r="IG102" s="198"/>
      <c r="IH102" s="198"/>
      <c r="II102" s="198"/>
      <c r="IJ102" s="198"/>
      <c r="IK102" s="198"/>
      <c r="IL102" s="198"/>
      <c r="IM102" s="198"/>
      <c r="IN102" s="198"/>
      <c r="IO102" s="198"/>
      <c r="IP102" s="198"/>
      <c r="IQ102" s="198"/>
      <c r="IR102" s="198"/>
      <c r="IS102" s="198"/>
      <c r="IT102" s="198"/>
      <c r="IU102" s="198"/>
      <c r="IV102" s="198"/>
      <c r="IW102" s="198"/>
      <c r="IX102" s="198"/>
      <c r="IY102" s="198"/>
      <c r="IZ102" s="198"/>
      <c r="JA102" s="198"/>
      <c r="JB102" s="198"/>
      <c r="JC102" s="198"/>
      <c r="JD102" s="198"/>
      <c r="JE102" s="198"/>
      <c r="JF102" s="198"/>
      <c r="JG102" s="198"/>
      <c r="JH102" s="198"/>
      <c r="JI102" s="198"/>
      <c r="JJ102" s="198"/>
      <c r="JK102" s="198"/>
      <c r="JL102" s="198"/>
      <c r="JM102" s="198"/>
      <c r="JN102" s="198"/>
      <c r="JO102" s="198"/>
      <c r="JP102" s="198"/>
      <c r="JQ102" s="198"/>
      <c r="JR102" s="198"/>
      <c r="JS102" s="198"/>
      <c r="JT102" s="198"/>
      <c r="JU102" s="198"/>
      <c r="JV102" s="198"/>
      <c r="JW102" s="198"/>
      <c r="JX102" s="198"/>
      <c r="JY102" s="198"/>
      <c r="JZ102" s="198"/>
      <c r="KA102" s="198"/>
      <c r="KB102" s="198"/>
      <c r="KC102" s="198"/>
      <c r="KD102" s="198"/>
      <c r="KE102" s="198"/>
      <c r="KF102" s="198"/>
      <c r="KG102" s="198"/>
      <c r="KH102" s="198"/>
      <c r="KI102" s="198"/>
      <c r="KJ102" s="198"/>
      <c r="KK102" s="198"/>
      <c r="KL102" s="198"/>
      <c r="KM102" s="198"/>
      <c r="KN102" s="198"/>
      <c r="KO102" s="198"/>
      <c r="KP102" s="198"/>
      <c r="KQ102" s="198"/>
      <c r="KR102" s="198"/>
      <c r="KS102" s="198"/>
      <c r="KT102" s="198"/>
      <c r="KU102" s="198"/>
      <c r="KV102" s="198"/>
      <c r="KW102" s="198"/>
      <c r="KX102" s="198"/>
      <c r="KY102" s="198"/>
      <c r="KZ102" s="198"/>
      <c r="LA102" s="198"/>
      <c r="LB102" s="198"/>
      <c r="LC102" s="198"/>
      <c r="LD102" s="198"/>
      <c r="LE102" s="198"/>
      <c r="LF102" s="198"/>
      <c r="LG102" s="198"/>
      <c r="LH102" s="198"/>
      <c r="LI102" s="198"/>
      <c r="LJ102" s="198"/>
      <c r="LK102" s="198"/>
      <c r="LL102" s="198"/>
      <c r="LM102" s="198"/>
      <c r="LN102" s="198"/>
      <c r="LO102" s="198"/>
      <c r="LP102" s="198"/>
      <c r="LQ102" s="198"/>
      <c r="LR102" s="198"/>
      <c r="LS102" s="198"/>
      <c r="LT102" s="198"/>
      <c r="LU102" s="198"/>
      <c r="LV102" s="198"/>
      <c r="LW102" s="198"/>
      <c r="LX102" s="198"/>
      <c r="LY102" s="198"/>
      <c r="LZ102" s="198"/>
      <c r="MA102" s="198"/>
      <c r="MB102" s="198"/>
      <c r="MC102" s="198"/>
      <c r="MD102" s="198"/>
      <c r="ME102" s="198"/>
      <c r="MF102" s="198"/>
      <c r="MG102" s="198"/>
      <c r="MH102" s="198"/>
      <c r="MI102" s="198"/>
      <c r="MJ102" s="198"/>
      <c r="MK102" s="198"/>
      <c r="ML102" s="198"/>
      <c r="MM102" s="198"/>
      <c r="MN102" s="198"/>
      <c r="MO102" s="198"/>
      <c r="MP102" s="198"/>
      <c r="MQ102" s="198"/>
      <c r="MR102" s="198"/>
      <c r="MS102" s="198"/>
      <c r="MT102" s="198"/>
      <c r="MU102" s="198"/>
      <c r="MV102" s="198"/>
      <c r="MW102" s="198"/>
      <c r="MX102" s="198"/>
      <c r="MY102" s="198"/>
      <c r="MZ102" s="198"/>
      <c r="NA102" s="198"/>
      <c r="NB102" s="198"/>
      <c r="NC102" s="198"/>
      <c r="ND102" s="198"/>
      <c r="NE102" s="198"/>
      <c r="NF102" s="198"/>
      <c r="NG102" s="198"/>
      <c r="NH102" s="198"/>
      <c r="NI102" s="198"/>
      <c r="NJ102" s="198"/>
      <c r="NK102" s="198"/>
      <c r="NL102" s="198"/>
      <c r="NM102" s="198"/>
      <c r="NN102" s="198"/>
      <c r="NO102" s="198"/>
      <c r="NP102" s="198"/>
      <c r="NQ102" s="198"/>
      <c r="NR102" s="198"/>
      <c r="NS102" s="198"/>
      <c r="NT102" s="198"/>
      <c r="NU102" s="198"/>
      <c r="NV102" s="198"/>
      <c r="NW102" s="198"/>
      <c r="NX102" s="198"/>
      <c r="NY102" s="198"/>
      <c r="NZ102" s="198"/>
      <c r="OA102" s="198"/>
      <c r="OB102" s="198"/>
      <c r="OC102" s="198"/>
      <c r="OD102" s="198"/>
      <c r="OE102" s="198"/>
      <c r="OF102" s="198"/>
      <c r="OG102" s="198"/>
      <c r="OH102" s="198"/>
      <c r="OI102" s="198"/>
      <c r="OJ102" s="198"/>
      <c r="OK102" s="198"/>
      <c r="OL102" s="198"/>
      <c r="OM102" s="198"/>
      <c r="ON102" s="198"/>
      <c r="OO102" s="198"/>
      <c r="OP102" s="198"/>
      <c r="OQ102" s="198"/>
      <c r="OR102" s="198"/>
      <c r="OS102" s="198"/>
      <c r="OT102" s="198"/>
      <c r="OU102" s="198"/>
      <c r="OV102" s="198"/>
      <c r="OW102" s="198"/>
      <c r="OX102" s="198"/>
      <c r="OY102" s="198"/>
      <c r="OZ102" s="198"/>
      <c r="PA102" s="198"/>
      <c r="PB102" s="198"/>
      <c r="PC102" s="198"/>
      <c r="PD102" s="198"/>
      <c r="PE102" s="198"/>
      <c r="PF102" s="198"/>
      <c r="PG102" s="198"/>
      <c r="PH102" s="198"/>
      <c r="PI102" s="198"/>
      <c r="PJ102" s="198"/>
      <c r="PK102" s="198"/>
      <c r="PL102" s="198"/>
      <c r="PM102" s="198"/>
      <c r="PN102" s="198"/>
      <c r="PO102" s="198"/>
      <c r="PP102" s="198"/>
      <c r="PQ102" s="198"/>
      <c r="PR102" s="198"/>
      <c r="PS102" s="198"/>
      <c r="PT102" s="198"/>
      <c r="PU102" s="198"/>
      <c r="PV102" s="198"/>
      <c r="PW102" s="198"/>
      <c r="PX102" s="198"/>
      <c r="PY102" s="198"/>
      <c r="PZ102" s="198"/>
      <c r="QA102" s="198"/>
      <c r="QB102" s="198"/>
      <c r="QC102" s="198"/>
      <c r="QD102" s="198"/>
      <c r="QE102" s="198"/>
      <c r="QF102" s="198"/>
      <c r="QG102" s="198"/>
      <c r="QH102" s="198"/>
      <c r="QI102" s="198"/>
      <c r="QJ102" s="198"/>
      <c r="QK102" s="198"/>
      <c r="QL102" s="198"/>
      <c r="QM102" s="198"/>
      <c r="QN102" s="198"/>
      <c r="QO102" s="198"/>
      <c r="QP102" s="198"/>
      <c r="QQ102" s="198"/>
      <c r="QR102" s="198"/>
      <c r="QS102" s="198"/>
      <c r="QT102" s="198"/>
      <c r="QU102" s="198"/>
      <c r="QV102" s="198"/>
      <c r="QW102" s="198"/>
      <c r="QX102" s="198"/>
      <c r="QY102" s="198"/>
      <c r="QZ102" s="198"/>
      <c r="RA102" s="198"/>
      <c r="RB102" s="198"/>
      <c r="RC102" s="198"/>
      <c r="RD102" s="198"/>
      <c r="RE102" s="198"/>
      <c r="RF102" s="198"/>
      <c r="RG102" s="198"/>
      <c r="RH102" s="198"/>
      <c r="RI102" s="198"/>
      <c r="RJ102" s="198"/>
      <c r="RK102" s="198"/>
      <c r="RL102" s="198"/>
      <c r="RM102" s="198"/>
      <c r="RN102" s="198"/>
      <c r="RO102" s="198"/>
      <c r="RP102" s="198"/>
      <c r="RQ102" s="198"/>
      <c r="RR102" s="198"/>
      <c r="RS102" s="198"/>
      <c r="RT102" s="198"/>
      <c r="RU102" s="198"/>
      <c r="RV102" s="198"/>
      <c r="RW102" s="198"/>
      <c r="RX102" s="198"/>
      <c r="RY102" s="198"/>
      <c r="RZ102" s="198"/>
      <c r="SA102" s="198"/>
      <c r="SB102" s="198"/>
      <c r="SC102" s="198"/>
      <c r="SD102" s="198"/>
      <c r="SE102" s="198"/>
      <c r="SF102" s="198"/>
      <c r="SG102" s="198"/>
    </row>
    <row r="103" spans="1:501" ht="40.049999999999997" customHeight="1" x14ac:dyDescent="0.3">
      <c r="A103" s="542" t="s">
        <v>272</v>
      </c>
      <c r="B103" s="953" t="s">
        <v>273</v>
      </c>
      <c r="C103" s="944"/>
      <c r="D103" s="944"/>
      <c r="E103" s="944"/>
      <c r="F103" s="944"/>
      <c r="G103" s="944"/>
      <c r="H103" s="944"/>
      <c r="I103" s="944"/>
      <c r="J103" s="944"/>
      <c r="K103" s="944"/>
      <c r="L103" s="944"/>
      <c r="M103" s="944"/>
      <c r="N103" s="944"/>
      <c r="O103" s="944"/>
      <c r="P103" s="944"/>
      <c r="Q103" s="944"/>
      <c r="R103" s="944"/>
      <c r="S103" s="944"/>
      <c r="T103" s="944"/>
      <c r="U103" s="944"/>
      <c r="V103" s="944"/>
      <c r="W103" s="944"/>
      <c r="X103" s="944"/>
      <c r="Y103" s="944"/>
      <c r="Z103" s="944"/>
      <c r="AA103" s="944"/>
      <c r="AB103" s="944"/>
      <c r="AC103" s="944"/>
      <c r="AD103" s="944"/>
      <c r="AE103" s="944"/>
      <c r="AF103" s="944"/>
      <c r="AG103" s="944"/>
      <c r="AH103" s="945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  <c r="AS103" s="198"/>
      <c r="AT103" s="198"/>
      <c r="AU103" s="198"/>
      <c r="AV103" s="198"/>
      <c r="AW103" s="198"/>
      <c r="AX103" s="198"/>
      <c r="AY103" s="198"/>
      <c r="AZ103" s="198"/>
      <c r="BA103" s="198"/>
      <c r="BB103" s="198"/>
      <c r="BC103" s="198"/>
      <c r="BD103" s="198"/>
      <c r="BE103" s="198"/>
      <c r="BF103" s="198"/>
      <c r="BG103" s="198"/>
      <c r="BH103" s="198"/>
      <c r="BI103" s="198"/>
      <c r="BJ103" s="198"/>
      <c r="BK103" s="198"/>
      <c r="BL103" s="198"/>
      <c r="BM103" s="198"/>
      <c r="BN103" s="198"/>
      <c r="BO103" s="198"/>
      <c r="BP103" s="198"/>
      <c r="BQ103" s="198"/>
      <c r="BR103" s="198"/>
      <c r="BS103" s="198"/>
      <c r="BT103" s="198"/>
      <c r="BU103" s="198"/>
      <c r="BV103" s="198"/>
      <c r="BW103" s="198"/>
      <c r="BX103" s="198"/>
      <c r="BY103" s="198"/>
      <c r="BZ103" s="198"/>
      <c r="CA103" s="198"/>
      <c r="CB103" s="198"/>
      <c r="CC103" s="198"/>
      <c r="CD103" s="198"/>
      <c r="CE103" s="198"/>
      <c r="CF103" s="198"/>
      <c r="CG103" s="198"/>
      <c r="CH103" s="198"/>
      <c r="CI103" s="198"/>
      <c r="CJ103" s="198"/>
      <c r="CK103" s="198"/>
      <c r="CL103" s="198"/>
      <c r="CM103" s="198"/>
      <c r="CN103" s="198"/>
      <c r="CO103" s="198"/>
      <c r="CP103" s="198"/>
      <c r="CQ103" s="198"/>
      <c r="CR103" s="198"/>
      <c r="CS103" s="198"/>
      <c r="CT103" s="198"/>
      <c r="CU103" s="198"/>
      <c r="CV103" s="198"/>
      <c r="CW103" s="198"/>
      <c r="CX103" s="198"/>
      <c r="CY103" s="198"/>
      <c r="CZ103" s="198"/>
      <c r="DA103" s="198"/>
      <c r="DB103" s="198"/>
      <c r="DC103" s="198"/>
      <c r="DD103" s="198"/>
      <c r="DE103" s="198"/>
      <c r="DF103" s="198"/>
      <c r="DG103" s="198"/>
      <c r="DH103" s="198"/>
      <c r="DI103" s="198"/>
      <c r="DJ103" s="198"/>
      <c r="DK103" s="198"/>
      <c r="DL103" s="198"/>
      <c r="DM103" s="198"/>
      <c r="DN103" s="198"/>
      <c r="DO103" s="198"/>
      <c r="DP103" s="198"/>
      <c r="DQ103" s="198"/>
      <c r="DR103" s="198"/>
      <c r="DS103" s="198"/>
      <c r="DT103" s="198"/>
      <c r="DU103" s="198"/>
      <c r="DV103" s="198"/>
      <c r="DW103" s="198"/>
      <c r="DX103" s="198"/>
      <c r="DY103" s="198"/>
      <c r="DZ103" s="198"/>
      <c r="EA103" s="198"/>
      <c r="EB103" s="198"/>
      <c r="EC103" s="198"/>
      <c r="ED103" s="198"/>
      <c r="EE103" s="198"/>
      <c r="EF103" s="198"/>
      <c r="EG103" s="198"/>
      <c r="EH103" s="198"/>
      <c r="EI103" s="198"/>
      <c r="EJ103" s="198"/>
      <c r="EK103" s="198"/>
      <c r="EL103" s="198"/>
      <c r="EM103" s="198"/>
      <c r="EN103" s="198"/>
      <c r="EO103" s="198"/>
      <c r="EP103" s="198"/>
      <c r="EQ103" s="198"/>
      <c r="ER103" s="198"/>
      <c r="ES103" s="198"/>
      <c r="ET103" s="198"/>
      <c r="EU103" s="198"/>
      <c r="EV103" s="198"/>
      <c r="EW103" s="198"/>
      <c r="EX103" s="198"/>
      <c r="EY103" s="198"/>
      <c r="EZ103" s="198"/>
      <c r="FA103" s="198"/>
      <c r="FB103" s="198"/>
      <c r="FC103" s="198"/>
      <c r="FD103" s="198"/>
      <c r="FE103" s="198"/>
      <c r="FF103" s="198"/>
      <c r="FG103" s="198"/>
      <c r="FH103" s="198"/>
      <c r="FI103" s="198"/>
      <c r="FJ103" s="198"/>
      <c r="FK103" s="198"/>
      <c r="FL103" s="198"/>
      <c r="FM103" s="198"/>
      <c r="FN103" s="198"/>
      <c r="FO103" s="198"/>
      <c r="FP103" s="198"/>
      <c r="FQ103" s="198"/>
      <c r="FR103" s="198"/>
      <c r="FS103" s="198"/>
      <c r="FT103" s="198"/>
      <c r="FU103" s="198"/>
      <c r="FV103" s="198"/>
      <c r="FW103" s="198"/>
      <c r="FX103" s="198"/>
      <c r="FY103" s="198"/>
      <c r="FZ103" s="198"/>
      <c r="GA103" s="198"/>
      <c r="GB103" s="198"/>
      <c r="GC103" s="198"/>
      <c r="GD103" s="198"/>
      <c r="GE103" s="198"/>
      <c r="GF103" s="198"/>
      <c r="GG103" s="198"/>
      <c r="GH103" s="198"/>
      <c r="GI103" s="198"/>
      <c r="GJ103" s="198"/>
      <c r="GK103" s="198"/>
      <c r="GL103" s="198"/>
      <c r="GM103" s="198"/>
      <c r="GN103" s="198"/>
      <c r="GO103" s="198"/>
      <c r="GP103" s="198"/>
      <c r="GQ103" s="198"/>
      <c r="GR103" s="198"/>
      <c r="GS103" s="198"/>
      <c r="GT103" s="198"/>
      <c r="GU103" s="198"/>
      <c r="GV103" s="198"/>
      <c r="GW103" s="198"/>
      <c r="GX103" s="198"/>
      <c r="GY103" s="198"/>
      <c r="GZ103" s="198"/>
      <c r="HA103" s="198"/>
      <c r="HB103" s="198"/>
      <c r="HC103" s="198"/>
      <c r="HD103" s="198"/>
      <c r="HE103" s="198"/>
      <c r="HF103" s="198"/>
      <c r="HG103" s="198"/>
      <c r="HH103" s="198"/>
      <c r="HI103" s="198"/>
      <c r="HJ103" s="198"/>
      <c r="HK103" s="198"/>
      <c r="HL103" s="198"/>
      <c r="HM103" s="198"/>
      <c r="HN103" s="198"/>
      <c r="HO103" s="198"/>
      <c r="HP103" s="198"/>
      <c r="HQ103" s="198"/>
      <c r="HR103" s="198"/>
      <c r="HS103" s="198"/>
      <c r="HT103" s="198"/>
      <c r="HU103" s="198"/>
      <c r="HV103" s="198"/>
      <c r="HW103" s="198"/>
      <c r="HX103" s="198"/>
      <c r="HY103" s="198"/>
      <c r="HZ103" s="198"/>
      <c r="IA103" s="198"/>
      <c r="IB103" s="198"/>
      <c r="IC103" s="198"/>
      <c r="ID103" s="198"/>
      <c r="IE103" s="198"/>
      <c r="IF103" s="198"/>
      <c r="IG103" s="198"/>
      <c r="IH103" s="198"/>
      <c r="II103" s="198"/>
      <c r="IJ103" s="198"/>
      <c r="IK103" s="198"/>
      <c r="IL103" s="198"/>
      <c r="IM103" s="198"/>
      <c r="IN103" s="198"/>
      <c r="IO103" s="198"/>
      <c r="IP103" s="198"/>
      <c r="IQ103" s="198"/>
      <c r="IR103" s="198"/>
      <c r="IS103" s="198"/>
      <c r="IT103" s="198"/>
      <c r="IU103" s="198"/>
      <c r="IV103" s="198"/>
      <c r="IW103" s="198"/>
      <c r="IX103" s="198"/>
      <c r="IY103" s="198"/>
      <c r="IZ103" s="198"/>
      <c r="JA103" s="198"/>
      <c r="JB103" s="198"/>
      <c r="JC103" s="198"/>
      <c r="JD103" s="198"/>
      <c r="JE103" s="198"/>
      <c r="JF103" s="198"/>
      <c r="JG103" s="198"/>
      <c r="JH103" s="198"/>
      <c r="JI103" s="198"/>
      <c r="JJ103" s="198"/>
      <c r="JK103" s="198"/>
      <c r="JL103" s="198"/>
      <c r="JM103" s="198"/>
      <c r="JN103" s="198"/>
      <c r="JO103" s="198"/>
      <c r="JP103" s="198"/>
      <c r="JQ103" s="198"/>
      <c r="JR103" s="198"/>
      <c r="JS103" s="198"/>
      <c r="JT103" s="198"/>
      <c r="JU103" s="198"/>
      <c r="JV103" s="198"/>
      <c r="JW103" s="198"/>
      <c r="JX103" s="198"/>
      <c r="JY103" s="198"/>
      <c r="JZ103" s="198"/>
      <c r="KA103" s="198"/>
      <c r="KB103" s="198"/>
      <c r="KC103" s="198"/>
      <c r="KD103" s="198"/>
      <c r="KE103" s="198"/>
      <c r="KF103" s="198"/>
      <c r="KG103" s="198"/>
      <c r="KH103" s="198"/>
      <c r="KI103" s="198"/>
      <c r="KJ103" s="198"/>
      <c r="KK103" s="198"/>
      <c r="KL103" s="198"/>
      <c r="KM103" s="198"/>
      <c r="KN103" s="198"/>
      <c r="KO103" s="198"/>
      <c r="KP103" s="198"/>
      <c r="KQ103" s="198"/>
      <c r="KR103" s="198"/>
      <c r="KS103" s="198"/>
      <c r="KT103" s="198"/>
      <c r="KU103" s="198"/>
      <c r="KV103" s="198"/>
      <c r="KW103" s="198"/>
      <c r="KX103" s="198"/>
      <c r="KY103" s="198"/>
      <c r="KZ103" s="198"/>
      <c r="LA103" s="198"/>
      <c r="LB103" s="198"/>
      <c r="LC103" s="198"/>
      <c r="LD103" s="198"/>
      <c r="LE103" s="198"/>
      <c r="LF103" s="198"/>
      <c r="LG103" s="198"/>
      <c r="LH103" s="198"/>
      <c r="LI103" s="198"/>
      <c r="LJ103" s="198"/>
      <c r="LK103" s="198"/>
      <c r="LL103" s="198"/>
      <c r="LM103" s="198"/>
      <c r="LN103" s="198"/>
      <c r="LO103" s="198"/>
      <c r="LP103" s="198"/>
      <c r="LQ103" s="198"/>
      <c r="LR103" s="198"/>
      <c r="LS103" s="198"/>
      <c r="LT103" s="198"/>
      <c r="LU103" s="198"/>
      <c r="LV103" s="198"/>
      <c r="LW103" s="198"/>
      <c r="LX103" s="198"/>
      <c r="LY103" s="198"/>
      <c r="LZ103" s="198"/>
      <c r="MA103" s="198"/>
      <c r="MB103" s="198"/>
      <c r="MC103" s="198"/>
      <c r="MD103" s="198"/>
      <c r="ME103" s="198"/>
      <c r="MF103" s="198"/>
      <c r="MG103" s="198"/>
      <c r="MH103" s="198"/>
      <c r="MI103" s="198"/>
      <c r="MJ103" s="198"/>
      <c r="MK103" s="198"/>
      <c r="ML103" s="198"/>
      <c r="MM103" s="198"/>
      <c r="MN103" s="198"/>
      <c r="MO103" s="198"/>
      <c r="MP103" s="198"/>
      <c r="MQ103" s="198"/>
      <c r="MR103" s="198"/>
      <c r="MS103" s="198"/>
      <c r="MT103" s="198"/>
      <c r="MU103" s="198"/>
      <c r="MV103" s="198"/>
      <c r="MW103" s="198"/>
      <c r="MX103" s="198"/>
      <c r="MY103" s="198"/>
      <c r="MZ103" s="198"/>
      <c r="NA103" s="198"/>
      <c r="NB103" s="198"/>
      <c r="NC103" s="198"/>
      <c r="ND103" s="198"/>
      <c r="NE103" s="198"/>
      <c r="NF103" s="198"/>
      <c r="NG103" s="198"/>
      <c r="NH103" s="198"/>
      <c r="NI103" s="198"/>
      <c r="NJ103" s="198"/>
      <c r="NK103" s="198"/>
      <c r="NL103" s="198"/>
      <c r="NM103" s="198"/>
      <c r="NN103" s="198"/>
      <c r="NO103" s="198"/>
      <c r="NP103" s="198"/>
      <c r="NQ103" s="198"/>
      <c r="NR103" s="198"/>
      <c r="NS103" s="198"/>
      <c r="NT103" s="198"/>
      <c r="NU103" s="198"/>
      <c r="NV103" s="198"/>
      <c r="NW103" s="198"/>
      <c r="NX103" s="198"/>
      <c r="NY103" s="198"/>
      <c r="NZ103" s="198"/>
      <c r="OA103" s="198"/>
      <c r="OB103" s="198"/>
      <c r="OC103" s="198"/>
      <c r="OD103" s="198"/>
      <c r="OE103" s="198"/>
      <c r="OF103" s="198"/>
      <c r="OG103" s="198"/>
      <c r="OH103" s="198"/>
      <c r="OI103" s="198"/>
      <c r="OJ103" s="198"/>
      <c r="OK103" s="198"/>
      <c r="OL103" s="198"/>
      <c r="OM103" s="198"/>
      <c r="ON103" s="198"/>
      <c r="OO103" s="198"/>
      <c r="OP103" s="198"/>
      <c r="OQ103" s="198"/>
      <c r="OR103" s="198"/>
      <c r="OS103" s="198"/>
      <c r="OT103" s="198"/>
      <c r="OU103" s="198"/>
      <c r="OV103" s="198"/>
      <c r="OW103" s="198"/>
      <c r="OX103" s="198"/>
      <c r="OY103" s="198"/>
      <c r="OZ103" s="198"/>
      <c r="PA103" s="198"/>
      <c r="PB103" s="198"/>
      <c r="PC103" s="198"/>
      <c r="PD103" s="198"/>
      <c r="PE103" s="198"/>
      <c r="PF103" s="198"/>
      <c r="PG103" s="198"/>
      <c r="PH103" s="198"/>
      <c r="PI103" s="198"/>
      <c r="PJ103" s="198"/>
      <c r="PK103" s="198"/>
      <c r="PL103" s="198"/>
      <c r="PM103" s="198"/>
      <c r="PN103" s="198"/>
      <c r="PO103" s="198"/>
      <c r="PP103" s="198"/>
      <c r="PQ103" s="198"/>
      <c r="PR103" s="198"/>
      <c r="PS103" s="198"/>
      <c r="PT103" s="198"/>
      <c r="PU103" s="198"/>
      <c r="PV103" s="198"/>
      <c r="PW103" s="198"/>
      <c r="PX103" s="198"/>
      <c r="PY103" s="198"/>
      <c r="PZ103" s="198"/>
      <c r="QA103" s="198"/>
      <c r="QB103" s="198"/>
      <c r="QC103" s="198"/>
      <c r="QD103" s="198"/>
      <c r="QE103" s="198"/>
      <c r="QF103" s="198"/>
      <c r="QG103" s="198"/>
      <c r="QH103" s="198"/>
      <c r="QI103" s="198"/>
      <c r="QJ103" s="198"/>
      <c r="QK103" s="198"/>
      <c r="QL103" s="198"/>
      <c r="QM103" s="198"/>
      <c r="QN103" s="198"/>
      <c r="QO103" s="198"/>
      <c r="QP103" s="198"/>
      <c r="QQ103" s="198"/>
      <c r="QR103" s="198"/>
      <c r="QS103" s="198"/>
      <c r="QT103" s="198"/>
      <c r="QU103" s="198"/>
      <c r="QV103" s="198"/>
      <c r="QW103" s="198"/>
      <c r="QX103" s="198"/>
      <c r="QY103" s="198"/>
      <c r="QZ103" s="198"/>
      <c r="RA103" s="198"/>
      <c r="RB103" s="198"/>
      <c r="RC103" s="198"/>
      <c r="RD103" s="198"/>
      <c r="RE103" s="198"/>
      <c r="RF103" s="198"/>
      <c r="RG103" s="198"/>
      <c r="RH103" s="198"/>
      <c r="RI103" s="198"/>
      <c r="RJ103" s="198"/>
      <c r="RK103" s="198"/>
      <c r="RL103" s="198"/>
      <c r="RM103" s="198"/>
      <c r="RN103" s="198"/>
      <c r="RO103" s="198"/>
      <c r="RP103" s="198"/>
      <c r="RQ103" s="198"/>
      <c r="RR103" s="198"/>
      <c r="RS103" s="198"/>
      <c r="RT103" s="198"/>
      <c r="RU103" s="198"/>
      <c r="RV103" s="198"/>
      <c r="RW103" s="198"/>
      <c r="RX103" s="198"/>
      <c r="RY103" s="198"/>
      <c r="RZ103" s="198"/>
      <c r="SA103" s="198"/>
      <c r="SB103" s="198"/>
      <c r="SC103" s="198"/>
      <c r="SD103" s="198"/>
      <c r="SE103" s="198"/>
      <c r="SF103" s="198"/>
      <c r="SG103" s="198"/>
    </row>
    <row r="104" spans="1:501" ht="40.049999999999997" customHeight="1" x14ac:dyDescent="0.3">
      <c r="A104" s="541" t="s">
        <v>274</v>
      </c>
      <c r="B104" s="952" t="s">
        <v>275</v>
      </c>
      <c r="C104" s="950"/>
      <c r="D104" s="861"/>
      <c r="E104" s="862"/>
      <c r="F104" s="861"/>
      <c r="G104" s="862"/>
      <c r="H104" s="861"/>
      <c r="I104" s="862"/>
      <c r="J104" s="861"/>
      <c r="K104" s="862"/>
      <c r="L104" s="861"/>
      <c r="M104" s="862"/>
      <c r="N104" s="861"/>
      <c r="O104" s="862"/>
      <c r="P104" s="861"/>
      <c r="Q104" s="862"/>
      <c r="R104" s="861"/>
      <c r="S104" s="862"/>
      <c r="T104" s="861"/>
      <c r="U104" s="862"/>
      <c r="V104" s="861"/>
      <c r="W104" s="862"/>
      <c r="X104" s="861"/>
      <c r="Y104" s="862"/>
      <c r="Z104" s="861"/>
      <c r="AA104" s="862"/>
      <c r="AB104" s="864"/>
      <c r="AC104" s="864"/>
      <c r="AD104" s="864"/>
      <c r="AE104" s="864"/>
      <c r="AF104" s="861"/>
      <c r="AG104" s="865">
        <f>SUM(C103:AA103)</f>
        <v>0</v>
      </c>
      <c r="AH104" s="866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  <c r="AS104" s="198"/>
      <c r="AT104" s="198"/>
      <c r="AU104" s="198"/>
      <c r="AV104" s="198"/>
      <c r="AW104" s="198"/>
      <c r="AX104" s="198"/>
      <c r="AY104" s="198"/>
      <c r="AZ104" s="198"/>
      <c r="BA104" s="198"/>
      <c r="BB104" s="198"/>
      <c r="BC104" s="198"/>
      <c r="BD104" s="198"/>
      <c r="BE104" s="198"/>
      <c r="BF104" s="198"/>
      <c r="BG104" s="198"/>
      <c r="BH104" s="198"/>
      <c r="BI104" s="198"/>
      <c r="BJ104" s="198"/>
      <c r="BK104" s="198"/>
      <c r="BL104" s="198"/>
      <c r="BM104" s="198"/>
      <c r="BN104" s="198"/>
      <c r="BO104" s="198"/>
      <c r="BP104" s="198"/>
      <c r="BQ104" s="198"/>
      <c r="BR104" s="198"/>
      <c r="BS104" s="198"/>
      <c r="BT104" s="198"/>
      <c r="BU104" s="198"/>
      <c r="BV104" s="198"/>
      <c r="BW104" s="198"/>
      <c r="BX104" s="198"/>
      <c r="BY104" s="198"/>
      <c r="BZ104" s="198"/>
      <c r="CA104" s="198"/>
      <c r="CB104" s="198"/>
      <c r="CC104" s="198"/>
      <c r="CD104" s="198"/>
      <c r="CE104" s="198"/>
      <c r="CF104" s="198"/>
      <c r="CG104" s="198"/>
      <c r="CH104" s="198"/>
      <c r="CI104" s="198"/>
      <c r="CJ104" s="198"/>
      <c r="CK104" s="198"/>
      <c r="CL104" s="198"/>
      <c r="CM104" s="198"/>
      <c r="CN104" s="198"/>
      <c r="CO104" s="198"/>
      <c r="CP104" s="198"/>
      <c r="CQ104" s="198"/>
      <c r="CR104" s="198"/>
      <c r="CS104" s="198"/>
      <c r="CT104" s="198"/>
      <c r="CU104" s="198"/>
      <c r="CV104" s="198"/>
      <c r="CW104" s="198"/>
      <c r="CX104" s="198"/>
      <c r="CY104" s="198"/>
      <c r="CZ104" s="198"/>
      <c r="DA104" s="198"/>
      <c r="DB104" s="198"/>
      <c r="DC104" s="198"/>
      <c r="DD104" s="198"/>
      <c r="DE104" s="198"/>
      <c r="DF104" s="198"/>
      <c r="DG104" s="198"/>
      <c r="DH104" s="198"/>
      <c r="DI104" s="198"/>
      <c r="DJ104" s="198"/>
      <c r="DK104" s="198"/>
      <c r="DL104" s="198"/>
      <c r="DM104" s="198"/>
      <c r="DN104" s="198"/>
      <c r="DO104" s="198"/>
      <c r="DP104" s="198"/>
      <c r="DQ104" s="198"/>
      <c r="DR104" s="198"/>
      <c r="DS104" s="198"/>
      <c r="DT104" s="198"/>
      <c r="DU104" s="198"/>
      <c r="DV104" s="198"/>
      <c r="DW104" s="198"/>
      <c r="DX104" s="198"/>
      <c r="DY104" s="198"/>
      <c r="DZ104" s="198"/>
      <c r="EA104" s="198"/>
      <c r="EB104" s="198"/>
      <c r="EC104" s="198"/>
      <c r="ED104" s="198"/>
      <c r="EE104" s="198"/>
      <c r="EF104" s="198"/>
      <c r="EG104" s="198"/>
      <c r="EH104" s="198"/>
      <c r="EI104" s="198"/>
      <c r="EJ104" s="198"/>
      <c r="EK104" s="198"/>
      <c r="EL104" s="198"/>
      <c r="EM104" s="198"/>
      <c r="EN104" s="198"/>
      <c r="EO104" s="198"/>
      <c r="EP104" s="198"/>
      <c r="EQ104" s="198"/>
      <c r="ER104" s="198"/>
      <c r="ES104" s="198"/>
      <c r="ET104" s="198"/>
      <c r="EU104" s="198"/>
      <c r="EV104" s="198"/>
      <c r="EW104" s="198"/>
      <c r="EX104" s="198"/>
      <c r="EY104" s="198"/>
      <c r="EZ104" s="198"/>
      <c r="FA104" s="198"/>
      <c r="FB104" s="198"/>
      <c r="FC104" s="198"/>
      <c r="FD104" s="198"/>
      <c r="FE104" s="198"/>
      <c r="FF104" s="198"/>
      <c r="FG104" s="198"/>
      <c r="FH104" s="198"/>
      <c r="FI104" s="198"/>
      <c r="FJ104" s="198"/>
      <c r="FK104" s="198"/>
      <c r="FL104" s="198"/>
      <c r="FM104" s="198"/>
      <c r="FN104" s="198"/>
      <c r="FO104" s="198"/>
      <c r="FP104" s="198"/>
      <c r="FQ104" s="198"/>
      <c r="FR104" s="198"/>
      <c r="FS104" s="198"/>
      <c r="FT104" s="198"/>
      <c r="FU104" s="198"/>
      <c r="FV104" s="198"/>
      <c r="FW104" s="198"/>
      <c r="FX104" s="198"/>
      <c r="FY104" s="198"/>
      <c r="FZ104" s="198"/>
      <c r="GA104" s="198"/>
      <c r="GB104" s="198"/>
      <c r="GC104" s="198"/>
      <c r="GD104" s="198"/>
      <c r="GE104" s="198"/>
      <c r="GF104" s="198"/>
      <c r="GG104" s="198"/>
      <c r="GH104" s="198"/>
      <c r="GI104" s="198"/>
      <c r="GJ104" s="198"/>
      <c r="GK104" s="198"/>
      <c r="GL104" s="198"/>
      <c r="GM104" s="198"/>
      <c r="GN104" s="198"/>
      <c r="GO104" s="198"/>
      <c r="GP104" s="198"/>
      <c r="GQ104" s="198"/>
      <c r="GR104" s="198"/>
      <c r="GS104" s="198"/>
      <c r="GT104" s="198"/>
      <c r="GU104" s="198"/>
      <c r="GV104" s="198"/>
      <c r="GW104" s="198"/>
      <c r="GX104" s="198"/>
      <c r="GY104" s="198"/>
      <c r="GZ104" s="198"/>
      <c r="HA104" s="198"/>
      <c r="HB104" s="198"/>
      <c r="HC104" s="198"/>
      <c r="HD104" s="198"/>
      <c r="HE104" s="198"/>
      <c r="HF104" s="198"/>
      <c r="HG104" s="198"/>
      <c r="HH104" s="198"/>
      <c r="HI104" s="198"/>
      <c r="HJ104" s="198"/>
      <c r="HK104" s="198"/>
      <c r="HL104" s="198"/>
      <c r="HM104" s="198"/>
      <c r="HN104" s="198"/>
      <c r="HO104" s="198"/>
      <c r="HP104" s="198"/>
      <c r="HQ104" s="198"/>
      <c r="HR104" s="198"/>
      <c r="HS104" s="198"/>
      <c r="HT104" s="198"/>
      <c r="HU104" s="198"/>
      <c r="HV104" s="198"/>
      <c r="HW104" s="198"/>
      <c r="HX104" s="198"/>
      <c r="HY104" s="198"/>
      <c r="HZ104" s="198"/>
      <c r="IA104" s="198"/>
      <c r="IB104" s="198"/>
      <c r="IC104" s="198"/>
      <c r="ID104" s="198"/>
      <c r="IE104" s="198"/>
      <c r="IF104" s="198"/>
      <c r="IG104" s="198"/>
      <c r="IH104" s="198"/>
      <c r="II104" s="198"/>
      <c r="IJ104" s="198"/>
      <c r="IK104" s="198"/>
      <c r="IL104" s="198"/>
      <c r="IM104" s="198"/>
      <c r="IN104" s="198"/>
      <c r="IO104" s="198"/>
      <c r="IP104" s="198"/>
      <c r="IQ104" s="198"/>
      <c r="IR104" s="198"/>
      <c r="IS104" s="198"/>
      <c r="IT104" s="198"/>
      <c r="IU104" s="198"/>
      <c r="IV104" s="198"/>
      <c r="IW104" s="198"/>
      <c r="IX104" s="198"/>
      <c r="IY104" s="198"/>
      <c r="IZ104" s="198"/>
      <c r="JA104" s="198"/>
      <c r="JB104" s="198"/>
      <c r="JC104" s="198"/>
      <c r="JD104" s="198"/>
      <c r="JE104" s="198"/>
      <c r="JF104" s="198"/>
      <c r="JG104" s="198"/>
      <c r="JH104" s="198"/>
      <c r="JI104" s="198"/>
      <c r="JJ104" s="198"/>
      <c r="JK104" s="198"/>
      <c r="JL104" s="198"/>
      <c r="JM104" s="198"/>
      <c r="JN104" s="198"/>
      <c r="JO104" s="198"/>
      <c r="JP104" s="198"/>
      <c r="JQ104" s="198"/>
      <c r="JR104" s="198"/>
      <c r="JS104" s="198"/>
      <c r="JT104" s="198"/>
      <c r="JU104" s="198"/>
      <c r="JV104" s="198"/>
      <c r="JW104" s="198"/>
      <c r="JX104" s="198"/>
      <c r="JY104" s="198"/>
      <c r="JZ104" s="198"/>
      <c r="KA104" s="198"/>
      <c r="KB104" s="198"/>
      <c r="KC104" s="198"/>
      <c r="KD104" s="198"/>
      <c r="KE104" s="198"/>
      <c r="KF104" s="198"/>
      <c r="KG104" s="198"/>
      <c r="KH104" s="198"/>
      <c r="KI104" s="198"/>
      <c r="KJ104" s="198"/>
      <c r="KK104" s="198"/>
      <c r="KL104" s="198"/>
      <c r="KM104" s="198"/>
      <c r="KN104" s="198"/>
      <c r="KO104" s="198"/>
      <c r="KP104" s="198"/>
      <c r="KQ104" s="198"/>
      <c r="KR104" s="198"/>
      <c r="KS104" s="198"/>
      <c r="KT104" s="198"/>
      <c r="KU104" s="198"/>
      <c r="KV104" s="198"/>
      <c r="KW104" s="198"/>
      <c r="KX104" s="198"/>
      <c r="KY104" s="198"/>
      <c r="KZ104" s="198"/>
      <c r="LA104" s="198"/>
      <c r="LB104" s="198"/>
      <c r="LC104" s="198"/>
      <c r="LD104" s="198"/>
      <c r="LE104" s="198"/>
      <c r="LF104" s="198"/>
      <c r="LG104" s="198"/>
      <c r="LH104" s="198"/>
      <c r="LI104" s="198"/>
      <c r="LJ104" s="198"/>
      <c r="LK104" s="198"/>
      <c r="LL104" s="198"/>
      <c r="LM104" s="198"/>
      <c r="LN104" s="198"/>
      <c r="LO104" s="198"/>
      <c r="LP104" s="198"/>
      <c r="LQ104" s="198"/>
      <c r="LR104" s="198"/>
      <c r="LS104" s="198"/>
      <c r="LT104" s="198"/>
      <c r="LU104" s="198"/>
      <c r="LV104" s="198"/>
      <c r="LW104" s="198"/>
      <c r="LX104" s="198"/>
      <c r="LY104" s="198"/>
      <c r="LZ104" s="198"/>
      <c r="MA104" s="198"/>
      <c r="MB104" s="198"/>
      <c r="MC104" s="198"/>
      <c r="MD104" s="198"/>
      <c r="ME104" s="198"/>
      <c r="MF104" s="198"/>
      <c r="MG104" s="198"/>
      <c r="MH104" s="198"/>
      <c r="MI104" s="198"/>
      <c r="MJ104" s="198"/>
      <c r="MK104" s="198"/>
      <c r="ML104" s="198"/>
      <c r="MM104" s="198"/>
      <c r="MN104" s="198"/>
      <c r="MO104" s="198"/>
      <c r="MP104" s="198"/>
      <c r="MQ104" s="198"/>
      <c r="MR104" s="198"/>
      <c r="MS104" s="198"/>
      <c r="MT104" s="198"/>
      <c r="MU104" s="198"/>
      <c r="MV104" s="198"/>
      <c r="MW104" s="198"/>
      <c r="MX104" s="198"/>
      <c r="MY104" s="198"/>
      <c r="MZ104" s="198"/>
      <c r="NA104" s="198"/>
      <c r="NB104" s="198"/>
      <c r="NC104" s="198"/>
      <c r="ND104" s="198"/>
      <c r="NE104" s="198"/>
      <c r="NF104" s="198"/>
      <c r="NG104" s="198"/>
      <c r="NH104" s="198"/>
      <c r="NI104" s="198"/>
      <c r="NJ104" s="198"/>
      <c r="NK104" s="198"/>
      <c r="NL104" s="198"/>
      <c r="NM104" s="198"/>
      <c r="NN104" s="198"/>
      <c r="NO104" s="198"/>
      <c r="NP104" s="198"/>
      <c r="NQ104" s="198"/>
      <c r="NR104" s="198"/>
      <c r="NS104" s="198"/>
      <c r="NT104" s="198"/>
      <c r="NU104" s="198"/>
      <c r="NV104" s="198"/>
      <c r="NW104" s="198"/>
      <c r="NX104" s="198"/>
      <c r="NY104" s="198"/>
      <c r="NZ104" s="198"/>
      <c r="OA104" s="198"/>
      <c r="OB104" s="198"/>
      <c r="OC104" s="198"/>
      <c r="OD104" s="198"/>
      <c r="OE104" s="198"/>
      <c r="OF104" s="198"/>
      <c r="OG104" s="198"/>
      <c r="OH104" s="198"/>
      <c r="OI104" s="198"/>
      <c r="OJ104" s="198"/>
      <c r="OK104" s="198"/>
      <c r="OL104" s="198"/>
      <c r="OM104" s="198"/>
      <c r="ON104" s="198"/>
      <c r="OO104" s="198"/>
      <c r="OP104" s="198"/>
      <c r="OQ104" s="198"/>
      <c r="OR104" s="198"/>
      <c r="OS104" s="198"/>
      <c r="OT104" s="198"/>
      <c r="OU104" s="198"/>
      <c r="OV104" s="198"/>
      <c r="OW104" s="198"/>
      <c r="OX104" s="198"/>
      <c r="OY104" s="198"/>
      <c r="OZ104" s="198"/>
      <c r="PA104" s="198"/>
      <c r="PB104" s="198"/>
      <c r="PC104" s="198"/>
      <c r="PD104" s="198"/>
      <c r="PE104" s="198"/>
      <c r="PF104" s="198"/>
      <c r="PG104" s="198"/>
      <c r="PH104" s="198"/>
      <c r="PI104" s="198"/>
      <c r="PJ104" s="198"/>
      <c r="PK104" s="198"/>
      <c r="PL104" s="198"/>
      <c r="PM104" s="198"/>
      <c r="PN104" s="198"/>
      <c r="PO104" s="198"/>
      <c r="PP104" s="198"/>
      <c r="PQ104" s="198"/>
      <c r="PR104" s="198"/>
      <c r="PS104" s="198"/>
      <c r="PT104" s="198"/>
      <c r="PU104" s="198"/>
      <c r="PV104" s="198"/>
      <c r="PW104" s="198"/>
      <c r="PX104" s="198"/>
      <c r="PY104" s="198"/>
      <c r="PZ104" s="198"/>
      <c r="QA104" s="198"/>
      <c r="QB104" s="198"/>
      <c r="QC104" s="198"/>
      <c r="QD104" s="198"/>
      <c r="QE104" s="198"/>
      <c r="QF104" s="198"/>
      <c r="QG104" s="198"/>
      <c r="QH104" s="198"/>
      <c r="QI104" s="198"/>
      <c r="QJ104" s="198"/>
      <c r="QK104" s="198"/>
      <c r="QL104" s="198"/>
      <c r="QM104" s="198"/>
      <c r="QN104" s="198"/>
      <c r="QO104" s="198"/>
      <c r="QP104" s="198"/>
      <c r="QQ104" s="198"/>
      <c r="QR104" s="198"/>
      <c r="QS104" s="198"/>
      <c r="QT104" s="198"/>
      <c r="QU104" s="198"/>
      <c r="QV104" s="198"/>
      <c r="QW104" s="198"/>
      <c r="QX104" s="198"/>
      <c r="QY104" s="198"/>
      <c r="QZ104" s="198"/>
      <c r="RA104" s="198"/>
      <c r="RB104" s="198"/>
      <c r="RC104" s="198"/>
      <c r="RD104" s="198"/>
      <c r="RE104" s="198"/>
      <c r="RF104" s="198"/>
      <c r="RG104" s="198"/>
      <c r="RH104" s="198"/>
      <c r="RI104" s="198"/>
      <c r="RJ104" s="198"/>
      <c r="RK104" s="198"/>
      <c r="RL104" s="198"/>
      <c r="RM104" s="198"/>
      <c r="RN104" s="198"/>
      <c r="RO104" s="198"/>
      <c r="RP104" s="198"/>
      <c r="RQ104" s="198"/>
      <c r="RR104" s="198"/>
      <c r="RS104" s="198"/>
      <c r="RT104" s="198"/>
      <c r="RU104" s="198"/>
      <c r="RV104" s="198"/>
      <c r="RW104" s="198"/>
      <c r="RX104" s="198"/>
      <c r="RY104" s="198"/>
      <c r="RZ104" s="198"/>
      <c r="SA104" s="198"/>
      <c r="SB104" s="198"/>
      <c r="SC104" s="198"/>
      <c r="SD104" s="198"/>
      <c r="SE104" s="198"/>
      <c r="SF104" s="198"/>
      <c r="SG104" s="198"/>
    </row>
    <row r="105" spans="1:501" ht="40.049999999999997" customHeight="1" thickBot="1" x14ac:dyDescent="0.35">
      <c r="A105" s="541" t="s">
        <v>276</v>
      </c>
      <c r="B105" s="952" t="s">
        <v>277</v>
      </c>
      <c r="C105" s="950"/>
      <c r="D105" s="861"/>
      <c r="E105" s="862"/>
      <c r="F105" s="861"/>
      <c r="G105" s="862"/>
      <c r="H105" s="861"/>
      <c r="I105" s="862"/>
      <c r="J105" s="861"/>
      <c r="K105" s="862"/>
      <c r="L105" s="861"/>
      <c r="M105" s="862"/>
      <c r="N105" s="861"/>
      <c r="O105" s="862"/>
      <c r="P105" s="861"/>
      <c r="Q105" s="862"/>
      <c r="R105" s="861"/>
      <c r="S105" s="862"/>
      <c r="T105" s="861"/>
      <c r="U105" s="862"/>
      <c r="V105" s="861"/>
      <c r="W105" s="862"/>
      <c r="X105" s="861"/>
      <c r="Y105" s="862"/>
      <c r="Z105" s="861"/>
      <c r="AA105" s="862"/>
      <c r="AB105" s="864"/>
      <c r="AC105" s="864"/>
      <c r="AD105" s="864"/>
      <c r="AE105" s="864"/>
      <c r="AF105" s="861"/>
      <c r="AG105" s="865">
        <f>SUM(C105:AA105)</f>
        <v>0</v>
      </c>
      <c r="AH105" s="866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  <c r="AS105" s="198"/>
      <c r="AT105" s="198"/>
      <c r="AU105" s="198"/>
      <c r="AV105" s="198"/>
      <c r="AW105" s="198"/>
      <c r="AX105" s="198"/>
      <c r="AY105" s="198"/>
      <c r="AZ105" s="198"/>
      <c r="BA105" s="198"/>
      <c r="BB105" s="198"/>
      <c r="BC105" s="198"/>
      <c r="BD105" s="198"/>
      <c r="BE105" s="198"/>
      <c r="BF105" s="198"/>
      <c r="BG105" s="198"/>
      <c r="BH105" s="198"/>
      <c r="BI105" s="198"/>
      <c r="BJ105" s="198"/>
      <c r="BK105" s="198"/>
      <c r="BL105" s="198"/>
      <c r="BM105" s="198"/>
      <c r="BN105" s="198"/>
      <c r="BO105" s="198"/>
      <c r="BP105" s="198"/>
      <c r="BQ105" s="198"/>
      <c r="BR105" s="198"/>
      <c r="BS105" s="198"/>
      <c r="BT105" s="198"/>
      <c r="BU105" s="198"/>
      <c r="BV105" s="198"/>
      <c r="BW105" s="198"/>
      <c r="BX105" s="198"/>
      <c r="BY105" s="198"/>
      <c r="BZ105" s="198"/>
      <c r="CA105" s="198"/>
      <c r="CB105" s="198"/>
      <c r="CC105" s="198"/>
      <c r="CD105" s="198"/>
      <c r="CE105" s="198"/>
      <c r="CF105" s="198"/>
      <c r="CG105" s="198"/>
      <c r="CH105" s="198"/>
      <c r="CI105" s="198"/>
      <c r="CJ105" s="198"/>
      <c r="CK105" s="198"/>
      <c r="CL105" s="198"/>
      <c r="CM105" s="198"/>
      <c r="CN105" s="198"/>
      <c r="CO105" s="198"/>
      <c r="CP105" s="198"/>
      <c r="CQ105" s="198"/>
      <c r="CR105" s="198"/>
      <c r="CS105" s="198"/>
      <c r="CT105" s="198"/>
      <c r="CU105" s="198"/>
      <c r="CV105" s="198"/>
      <c r="CW105" s="198"/>
      <c r="CX105" s="198"/>
      <c r="CY105" s="198"/>
      <c r="CZ105" s="198"/>
      <c r="DA105" s="198"/>
      <c r="DB105" s="198"/>
      <c r="DC105" s="198"/>
      <c r="DD105" s="198"/>
      <c r="DE105" s="198"/>
      <c r="DF105" s="198"/>
      <c r="DG105" s="198"/>
      <c r="DH105" s="198"/>
      <c r="DI105" s="198"/>
      <c r="DJ105" s="198"/>
      <c r="DK105" s="198"/>
      <c r="DL105" s="198"/>
      <c r="DM105" s="198"/>
      <c r="DN105" s="198"/>
      <c r="DO105" s="198"/>
      <c r="DP105" s="198"/>
      <c r="DQ105" s="198"/>
      <c r="DR105" s="198"/>
      <c r="DS105" s="198"/>
      <c r="DT105" s="198"/>
      <c r="DU105" s="198"/>
      <c r="DV105" s="198"/>
      <c r="DW105" s="198"/>
      <c r="DX105" s="198"/>
      <c r="DY105" s="198"/>
      <c r="DZ105" s="198"/>
      <c r="EA105" s="198"/>
      <c r="EB105" s="198"/>
      <c r="EC105" s="198"/>
      <c r="ED105" s="198"/>
      <c r="EE105" s="198"/>
      <c r="EF105" s="198"/>
      <c r="EG105" s="198"/>
      <c r="EH105" s="198"/>
      <c r="EI105" s="198"/>
      <c r="EJ105" s="198"/>
      <c r="EK105" s="198"/>
      <c r="EL105" s="198"/>
      <c r="EM105" s="198"/>
      <c r="EN105" s="198"/>
      <c r="EO105" s="198"/>
      <c r="EP105" s="198"/>
      <c r="EQ105" s="198"/>
      <c r="ER105" s="198"/>
      <c r="ES105" s="198"/>
      <c r="ET105" s="198"/>
      <c r="EU105" s="198"/>
      <c r="EV105" s="198"/>
      <c r="EW105" s="198"/>
      <c r="EX105" s="198"/>
      <c r="EY105" s="198"/>
      <c r="EZ105" s="198"/>
      <c r="FA105" s="198"/>
      <c r="FB105" s="198"/>
      <c r="FC105" s="198"/>
      <c r="FD105" s="198"/>
      <c r="FE105" s="198"/>
      <c r="FF105" s="198"/>
      <c r="FG105" s="198"/>
      <c r="FH105" s="198"/>
      <c r="FI105" s="198"/>
      <c r="FJ105" s="198"/>
      <c r="FK105" s="198"/>
      <c r="FL105" s="198"/>
      <c r="FM105" s="198"/>
      <c r="FN105" s="198"/>
      <c r="FO105" s="198"/>
      <c r="FP105" s="198"/>
      <c r="FQ105" s="198"/>
      <c r="FR105" s="198"/>
      <c r="FS105" s="198"/>
      <c r="FT105" s="198"/>
      <c r="FU105" s="198"/>
      <c r="FV105" s="198"/>
      <c r="FW105" s="198"/>
      <c r="FX105" s="198"/>
      <c r="FY105" s="198"/>
      <c r="FZ105" s="198"/>
      <c r="GA105" s="198"/>
      <c r="GB105" s="198"/>
      <c r="GC105" s="198"/>
      <c r="GD105" s="198"/>
      <c r="GE105" s="198"/>
      <c r="GF105" s="198"/>
      <c r="GG105" s="198"/>
      <c r="GH105" s="198"/>
      <c r="GI105" s="198"/>
      <c r="GJ105" s="198"/>
      <c r="GK105" s="198"/>
      <c r="GL105" s="198"/>
      <c r="GM105" s="198"/>
      <c r="GN105" s="198"/>
      <c r="GO105" s="198"/>
      <c r="GP105" s="198"/>
      <c r="GQ105" s="198"/>
      <c r="GR105" s="198"/>
      <c r="GS105" s="198"/>
      <c r="GT105" s="198"/>
      <c r="GU105" s="198"/>
      <c r="GV105" s="198"/>
      <c r="GW105" s="198"/>
      <c r="GX105" s="198"/>
      <c r="GY105" s="198"/>
      <c r="GZ105" s="198"/>
      <c r="HA105" s="198"/>
      <c r="HB105" s="198"/>
      <c r="HC105" s="198"/>
      <c r="HD105" s="198"/>
      <c r="HE105" s="198"/>
      <c r="HF105" s="198"/>
      <c r="HG105" s="198"/>
      <c r="HH105" s="198"/>
      <c r="HI105" s="198"/>
      <c r="HJ105" s="198"/>
      <c r="HK105" s="198"/>
      <c r="HL105" s="198"/>
      <c r="HM105" s="198"/>
      <c r="HN105" s="198"/>
      <c r="HO105" s="198"/>
      <c r="HP105" s="198"/>
      <c r="HQ105" s="198"/>
      <c r="HR105" s="198"/>
      <c r="HS105" s="198"/>
      <c r="HT105" s="198"/>
      <c r="HU105" s="198"/>
      <c r="HV105" s="198"/>
      <c r="HW105" s="198"/>
      <c r="HX105" s="198"/>
      <c r="HY105" s="198"/>
      <c r="HZ105" s="198"/>
      <c r="IA105" s="198"/>
      <c r="IB105" s="198"/>
      <c r="IC105" s="198"/>
      <c r="ID105" s="198"/>
      <c r="IE105" s="198"/>
      <c r="IF105" s="198"/>
      <c r="IG105" s="198"/>
      <c r="IH105" s="198"/>
      <c r="II105" s="198"/>
      <c r="IJ105" s="198"/>
      <c r="IK105" s="198"/>
      <c r="IL105" s="198"/>
      <c r="IM105" s="198"/>
      <c r="IN105" s="198"/>
      <c r="IO105" s="198"/>
      <c r="IP105" s="198"/>
      <c r="IQ105" s="198"/>
      <c r="IR105" s="198"/>
      <c r="IS105" s="198"/>
      <c r="IT105" s="198"/>
      <c r="IU105" s="198"/>
      <c r="IV105" s="198"/>
      <c r="IW105" s="198"/>
      <c r="IX105" s="198"/>
      <c r="IY105" s="198"/>
      <c r="IZ105" s="198"/>
      <c r="JA105" s="198"/>
      <c r="JB105" s="198"/>
      <c r="JC105" s="198"/>
      <c r="JD105" s="198"/>
      <c r="JE105" s="198"/>
      <c r="JF105" s="198"/>
      <c r="JG105" s="198"/>
      <c r="JH105" s="198"/>
      <c r="JI105" s="198"/>
      <c r="JJ105" s="198"/>
      <c r="JK105" s="198"/>
      <c r="JL105" s="198"/>
      <c r="JM105" s="198"/>
      <c r="JN105" s="198"/>
      <c r="JO105" s="198"/>
      <c r="JP105" s="198"/>
      <c r="JQ105" s="198"/>
      <c r="JR105" s="198"/>
      <c r="JS105" s="198"/>
      <c r="JT105" s="198"/>
      <c r="JU105" s="198"/>
      <c r="JV105" s="198"/>
      <c r="JW105" s="198"/>
      <c r="JX105" s="198"/>
      <c r="JY105" s="198"/>
      <c r="JZ105" s="198"/>
      <c r="KA105" s="198"/>
      <c r="KB105" s="198"/>
      <c r="KC105" s="198"/>
      <c r="KD105" s="198"/>
      <c r="KE105" s="198"/>
      <c r="KF105" s="198"/>
      <c r="KG105" s="198"/>
      <c r="KH105" s="198"/>
      <c r="KI105" s="198"/>
      <c r="KJ105" s="198"/>
      <c r="KK105" s="198"/>
      <c r="KL105" s="198"/>
      <c r="KM105" s="198"/>
      <c r="KN105" s="198"/>
      <c r="KO105" s="198"/>
      <c r="KP105" s="198"/>
      <c r="KQ105" s="198"/>
      <c r="KR105" s="198"/>
      <c r="KS105" s="198"/>
      <c r="KT105" s="198"/>
      <c r="KU105" s="198"/>
      <c r="KV105" s="198"/>
      <c r="KW105" s="198"/>
      <c r="KX105" s="198"/>
      <c r="KY105" s="198"/>
      <c r="KZ105" s="198"/>
      <c r="LA105" s="198"/>
      <c r="LB105" s="198"/>
      <c r="LC105" s="198"/>
      <c r="LD105" s="198"/>
      <c r="LE105" s="198"/>
      <c r="LF105" s="198"/>
      <c r="LG105" s="198"/>
      <c r="LH105" s="198"/>
      <c r="LI105" s="198"/>
      <c r="LJ105" s="198"/>
      <c r="LK105" s="198"/>
      <c r="LL105" s="198"/>
      <c r="LM105" s="198"/>
      <c r="LN105" s="198"/>
      <c r="LO105" s="198"/>
      <c r="LP105" s="198"/>
      <c r="LQ105" s="198"/>
      <c r="LR105" s="198"/>
      <c r="LS105" s="198"/>
      <c r="LT105" s="198"/>
      <c r="LU105" s="198"/>
      <c r="LV105" s="198"/>
      <c r="LW105" s="198"/>
      <c r="LX105" s="198"/>
      <c r="LY105" s="198"/>
      <c r="LZ105" s="198"/>
      <c r="MA105" s="198"/>
      <c r="MB105" s="198"/>
      <c r="MC105" s="198"/>
      <c r="MD105" s="198"/>
      <c r="ME105" s="198"/>
      <c r="MF105" s="198"/>
      <c r="MG105" s="198"/>
      <c r="MH105" s="198"/>
      <c r="MI105" s="198"/>
      <c r="MJ105" s="198"/>
      <c r="MK105" s="198"/>
      <c r="ML105" s="198"/>
      <c r="MM105" s="198"/>
      <c r="MN105" s="198"/>
      <c r="MO105" s="198"/>
      <c r="MP105" s="198"/>
      <c r="MQ105" s="198"/>
      <c r="MR105" s="198"/>
      <c r="MS105" s="198"/>
      <c r="MT105" s="198"/>
      <c r="MU105" s="198"/>
      <c r="MV105" s="198"/>
      <c r="MW105" s="198"/>
      <c r="MX105" s="198"/>
      <c r="MY105" s="198"/>
      <c r="MZ105" s="198"/>
      <c r="NA105" s="198"/>
      <c r="NB105" s="198"/>
      <c r="NC105" s="198"/>
      <c r="ND105" s="198"/>
      <c r="NE105" s="198"/>
      <c r="NF105" s="198"/>
      <c r="NG105" s="198"/>
      <c r="NH105" s="198"/>
      <c r="NI105" s="198"/>
      <c r="NJ105" s="198"/>
      <c r="NK105" s="198"/>
      <c r="NL105" s="198"/>
      <c r="NM105" s="198"/>
      <c r="NN105" s="198"/>
      <c r="NO105" s="198"/>
      <c r="NP105" s="198"/>
      <c r="NQ105" s="198"/>
      <c r="NR105" s="198"/>
      <c r="NS105" s="198"/>
      <c r="NT105" s="198"/>
      <c r="NU105" s="198"/>
      <c r="NV105" s="198"/>
      <c r="NW105" s="198"/>
      <c r="NX105" s="198"/>
      <c r="NY105" s="198"/>
      <c r="NZ105" s="198"/>
      <c r="OA105" s="198"/>
      <c r="OB105" s="198"/>
      <c r="OC105" s="198"/>
      <c r="OD105" s="198"/>
      <c r="OE105" s="198"/>
      <c r="OF105" s="198"/>
      <c r="OG105" s="198"/>
      <c r="OH105" s="198"/>
      <c r="OI105" s="198"/>
      <c r="OJ105" s="198"/>
      <c r="OK105" s="198"/>
      <c r="OL105" s="198"/>
      <c r="OM105" s="198"/>
      <c r="ON105" s="198"/>
      <c r="OO105" s="198"/>
      <c r="OP105" s="198"/>
      <c r="OQ105" s="198"/>
      <c r="OR105" s="198"/>
      <c r="OS105" s="198"/>
      <c r="OT105" s="198"/>
      <c r="OU105" s="198"/>
      <c r="OV105" s="198"/>
      <c r="OW105" s="198"/>
      <c r="OX105" s="198"/>
      <c r="OY105" s="198"/>
      <c r="OZ105" s="198"/>
      <c r="PA105" s="198"/>
      <c r="PB105" s="198"/>
      <c r="PC105" s="198"/>
      <c r="PD105" s="198"/>
      <c r="PE105" s="198"/>
      <c r="PF105" s="198"/>
      <c r="PG105" s="198"/>
      <c r="PH105" s="198"/>
      <c r="PI105" s="198"/>
      <c r="PJ105" s="198"/>
      <c r="PK105" s="198"/>
      <c r="PL105" s="198"/>
      <c r="PM105" s="198"/>
      <c r="PN105" s="198"/>
      <c r="PO105" s="198"/>
      <c r="PP105" s="198"/>
      <c r="PQ105" s="198"/>
      <c r="PR105" s="198"/>
      <c r="PS105" s="198"/>
      <c r="PT105" s="198"/>
      <c r="PU105" s="198"/>
      <c r="PV105" s="198"/>
      <c r="PW105" s="198"/>
      <c r="PX105" s="198"/>
      <c r="PY105" s="198"/>
      <c r="PZ105" s="198"/>
      <c r="QA105" s="198"/>
      <c r="QB105" s="198"/>
      <c r="QC105" s="198"/>
      <c r="QD105" s="198"/>
      <c r="QE105" s="198"/>
      <c r="QF105" s="198"/>
      <c r="QG105" s="198"/>
      <c r="QH105" s="198"/>
      <c r="QI105" s="198"/>
      <c r="QJ105" s="198"/>
      <c r="QK105" s="198"/>
      <c r="QL105" s="198"/>
      <c r="QM105" s="198"/>
      <c r="QN105" s="198"/>
      <c r="QO105" s="198"/>
      <c r="QP105" s="198"/>
      <c r="QQ105" s="198"/>
      <c r="QR105" s="198"/>
      <c r="QS105" s="198"/>
      <c r="QT105" s="198"/>
      <c r="QU105" s="198"/>
      <c r="QV105" s="198"/>
      <c r="QW105" s="198"/>
      <c r="QX105" s="198"/>
      <c r="QY105" s="198"/>
      <c r="QZ105" s="198"/>
      <c r="RA105" s="198"/>
      <c r="RB105" s="198"/>
      <c r="RC105" s="198"/>
      <c r="RD105" s="198"/>
      <c r="RE105" s="198"/>
      <c r="RF105" s="198"/>
      <c r="RG105" s="198"/>
      <c r="RH105" s="198"/>
      <c r="RI105" s="198"/>
      <c r="RJ105" s="198"/>
      <c r="RK105" s="198"/>
      <c r="RL105" s="198"/>
      <c r="RM105" s="198"/>
      <c r="RN105" s="198"/>
      <c r="RO105" s="198"/>
      <c r="RP105" s="198"/>
      <c r="RQ105" s="198"/>
      <c r="RR105" s="198"/>
      <c r="RS105" s="198"/>
      <c r="RT105" s="198"/>
      <c r="RU105" s="198"/>
      <c r="RV105" s="198"/>
      <c r="RW105" s="198"/>
      <c r="RX105" s="198"/>
      <c r="RY105" s="198"/>
      <c r="RZ105" s="198"/>
      <c r="SA105" s="198"/>
      <c r="SB105" s="198"/>
      <c r="SC105" s="198"/>
      <c r="SD105" s="198"/>
      <c r="SE105" s="198"/>
      <c r="SF105" s="198"/>
      <c r="SG105" s="198"/>
    </row>
    <row r="106" spans="1:501" ht="40.049999999999997" customHeight="1" x14ac:dyDescent="0.3">
      <c r="A106" s="542" t="s">
        <v>278</v>
      </c>
      <c r="B106" s="953" t="s">
        <v>279</v>
      </c>
      <c r="C106" s="944"/>
      <c r="D106" s="944"/>
      <c r="E106" s="944"/>
      <c r="F106" s="944"/>
      <c r="G106" s="944"/>
      <c r="H106" s="944"/>
      <c r="I106" s="944"/>
      <c r="J106" s="944"/>
      <c r="K106" s="944"/>
      <c r="L106" s="944"/>
      <c r="M106" s="944"/>
      <c r="N106" s="944"/>
      <c r="O106" s="944"/>
      <c r="P106" s="944"/>
      <c r="Q106" s="944"/>
      <c r="R106" s="944"/>
      <c r="S106" s="944"/>
      <c r="T106" s="944"/>
      <c r="U106" s="944"/>
      <c r="V106" s="944"/>
      <c r="W106" s="944"/>
      <c r="X106" s="944"/>
      <c r="Y106" s="944"/>
      <c r="Z106" s="944"/>
      <c r="AA106" s="944"/>
      <c r="AB106" s="944"/>
      <c r="AC106" s="944"/>
      <c r="AD106" s="944"/>
      <c r="AE106" s="944"/>
      <c r="AF106" s="944"/>
      <c r="AG106" s="944"/>
      <c r="AH106" s="945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  <c r="AS106" s="198"/>
      <c r="AT106" s="198"/>
      <c r="AU106" s="198"/>
      <c r="AV106" s="198"/>
      <c r="AW106" s="198"/>
      <c r="AX106" s="198"/>
      <c r="AY106" s="198"/>
      <c r="AZ106" s="198"/>
      <c r="BA106" s="198"/>
      <c r="BB106" s="198"/>
      <c r="BC106" s="198"/>
      <c r="BD106" s="198"/>
      <c r="BE106" s="198"/>
      <c r="BF106" s="198"/>
      <c r="BG106" s="198"/>
      <c r="BH106" s="198"/>
      <c r="BI106" s="198"/>
      <c r="BJ106" s="198"/>
      <c r="BK106" s="198"/>
      <c r="BL106" s="198"/>
      <c r="BM106" s="198"/>
      <c r="BN106" s="198"/>
      <c r="BO106" s="198"/>
      <c r="BP106" s="198"/>
      <c r="BQ106" s="198"/>
      <c r="BR106" s="198"/>
      <c r="BS106" s="198"/>
      <c r="BT106" s="198"/>
      <c r="BU106" s="198"/>
      <c r="BV106" s="198"/>
      <c r="BW106" s="198"/>
      <c r="BX106" s="198"/>
      <c r="BY106" s="198"/>
      <c r="BZ106" s="198"/>
      <c r="CA106" s="198"/>
      <c r="CB106" s="198"/>
      <c r="CC106" s="198"/>
      <c r="CD106" s="198"/>
      <c r="CE106" s="198"/>
      <c r="CF106" s="198"/>
      <c r="CG106" s="198"/>
      <c r="CH106" s="198"/>
      <c r="CI106" s="198"/>
      <c r="CJ106" s="198"/>
      <c r="CK106" s="198"/>
      <c r="CL106" s="198"/>
      <c r="CM106" s="198"/>
      <c r="CN106" s="198"/>
      <c r="CO106" s="198"/>
      <c r="CP106" s="198"/>
      <c r="CQ106" s="198"/>
      <c r="CR106" s="198"/>
      <c r="CS106" s="198"/>
      <c r="CT106" s="198"/>
      <c r="CU106" s="198"/>
      <c r="CV106" s="198"/>
      <c r="CW106" s="198"/>
      <c r="CX106" s="198"/>
      <c r="CY106" s="198"/>
      <c r="CZ106" s="198"/>
      <c r="DA106" s="198"/>
      <c r="DB106" s="198"/>
      <c r="DC106" s="198"/>
      <c r="DD106" s="198"/>
      <c r="DE106" s="198"/>
      <c r="DF106" s="198"/>
      <c r="DG106" s="198"/>
      <c r="DH106" s="198"/>
      <c r="DI106" s="198"/>
      <c r="DJ106" s="198"/>
      <c r="DK106" s="198"/>
      <c r="DL106" s="198"/>
      <c r="DM106" s="198"/>
      <c r="DN106" s="198"/>
      <c r="DO106" s="198"/>
      <c r="DP106" s="198"/>
      <c r="DQ106" s="198"/>
      <c r="DR106" s="198"/>
      <c r="DS106" s="198"/>
      <c r="DT106" s="198"/>
      <c r="DU106" s="198"/>
      <c r="DV106" s="198"/>
      <c r="DW106" s="198"/>
      <c r="DX106" s="198"/>
      <c r="DY106" s="198"/>
      <c r="DZ106" s="198"/>
      <c r="EA106" s="198"/>
      <c r="EB106" s="198"/>
      <c r="EC106" s="198"/>
      <c r="ED106" s="198"/>
      <c r="EE106" s="198"/>
      <c r="EF106" s="198"/>
      <c r="EG106" s="198"/>
      <c r="EH106" s="198"/>
      <c r="EI106" s="198"/>
      <c r="EJ106" s="198"/>
      <c r="EK106" s="198"/>
      <c r="EL106" s="198"/>
      <c r="EM106" s="198"/>
      <c r="EN106" s="198"/>
      <c r="EO106" s="198"/>
      <c r="EP106" s="198"/>
      <c r="EQ106" s="198"/>
      <c r="ER106" s="198"/>
      <c r="ES106" s="198"/>
      <c r="ET106" s="198"/>
      <c r="EU106" s="198"/>
      <c r="EV106" s="198"/>
      <c r="EW106" s="198"/>
      <c r="EX106" s="198"/>
      <c r="EY106" s="198"/>
      <c r="EZ106" s="198"/>
      <c r="FA106" s="198"/>
      <c r="FB106" s="198"/>
      <c r="FC106" s="198"/>
      <c r="FD106" s="198"/>
      <c r="FE106" s="198"/>
      <c r="FF106" s="198"/>
      <c r="FG106" s="198"/>
      <c r="FH106" s="198"/>
      <c r="FI106" s="198"/>
      <c r="FJ106" s="198"/>
      <c r="FK106" s="198"/>
      <c r="FL106" s="198"/>
      <c r="FM106" s="198"/>
      <c r="FN106" s="198"/>
      <c r="FO106" s="198"/>
      <c r="FP106" s="198"/>
      <c r="FQ106" s="198"/>
      <c r="FR106" s="198"/>
      <c r="FS106" s="198"/>
      <c r="FT106" s="198"/>
      <c r="FU106" s="198"/>
      <c r="FV106" s="198"/>
      <c r="FW106" s="198"/>
      <c r="FX106" s="198"/>
      <c r="FY106" s="198"/>
      <c r="FZ106" s="198"/>
      <c r="GA106" s="198"/>
      <c r="GB106" s="198"/>
      <c r="GC106" s="198"/>
      <c r="GD106" s="198"/>
      <c r="GE106" s="198"/>
      <c r="GF106" s="198"/>
      <c r="GG106" s="198"/>
      <c r="GH106" s="198"/>
      <c r="GI106" s="198"/>
      <c r="GJ106" s="198"/>
      <c r="GK106" s="198"/>
      <c r="GL106" s="198"/>
      <c r="GM106" s="198"/>
      <c r="GN106" s="198"/>
      <c r="GO106" s="198"/>
      <c r="GP106" s="198"/>
      <c r="GQ106" s="198"/>
      <c r="GR106" s="198"/>
      <c r="GS106" s="198"/>
      <c r="GT106" s="198"/>
      <c r="GU106" s="198"/>
      <c r="GV106" s="198"/>
      <c r="GW106" s="198"/>
      <c r="GX106" s="198"/>
      <c r="GY106" s="198"/>
      <c r="GZ106" s="198"/>
      <c r="HA106" s="198"/>
      <c r="HB106" s="198"/>
      <c r="HC106" s="198"/>
      <c r="HD106" s="198"/>
      <c r="HE106" s="198"/>
      <c r="HF106" s="198"/>
      <c r="HG106" s="198"/>
      <c r="HH106" s="198"/>
      <c r="HI106" s="198"/>
      <c r="HJ106" s="198"/>
      <c r="HK106" s="198"/>
      <c r="HL106" s="198"/>
      <c r="HM106" s="198"/>
      <c r="HN106" s="198"/>
      <c r="HO106" s="198"/>
      <c r="HP106" s="198"/>
      <c r="HQ106" s="198"/>
      <c r="HR106" s="198"/>
      <c r="HS106" s="198"/>
      <c r="HT106" s="198"/>
      <c r="HU106" s="198"/>
      <c r="HV106" s="198"/>
      <c r="HW106" s="198"/>
      <c r="HX106" s="198"/>
      <c r="HY106" s="198"/>
      <c r="HZ106" s="198"/>
      <c r="IA106" s="198"/>
      <c r="IB106" s="198"/>
      <c r="IC106" s="198"/>
      <c r="ID106" s="198"/>
      <c r="IE106" s="198"/>
      <c r="IF106" s="198"/>
      <c r="IG106" s="198"/>
      <c r="IH106" s="198"/>
      <c r="II106" s="198"/>
      <c r="IJ106" s="198"/>
      <c r="IK106" s="198"/>
      <c r="IL106" s="198"/>
      <c r="IM106" s="198"/>
      <c r="IN106" s="198"/>
      <c r="IO106" s="198"/>
      <c r="IP106" s="198"/>
      <c r="IQ106" s="198"/>
      <c r="IR106" s="198"/>
      <c r="IS106" s="198"/>
      <c r="IT106" s="198"/>
      <c r="IU106" s="198"/>
      <c r="IV106" s="198"/>
      <c r="IW106" s="198"/>
      <c r="IX106" s="198"/>
      <c r="IY106" s="198"/>
      <c r="IZ106" s="198"/>
      <c r="JA106" s="198"/>
      <c r="JB106" s="198"/>
      <c r="JC106" s="198"/>
      <c r="JD106" s="198"/>
      <c r="JE106" s="198"/>
      <c r="JF106" s="198"/>
      <c r="JG106" s="198"/>
      <c r="JH106" s="198"/>
      <c r="JI106" s="198"/>
      <c r="JJ106" s="198"/>
      <c r="JK106" s="198"/>
      <c r="JL106" s="198"/>
      <c r="JM106" s="198"/>
      <c r="JN106" s="198"/>
      <c r="JO106" s="198"/>
      <c r="JP106" s="198"/>
      <c r="JQ106" s="198"/>
      <c r="JR106" s="198"/>
      <c r="JS106" s="198"/>
      <c r="JT106" s="198"/>
      <c r="JU106" s="198"/>
      <c r="JV106" s="198"/>
      <c r="JW106" s="198"/>
      <c r="JX106" s="198"/>
      <c r="JY106" s="198"/>
      <c r="JZ106" s="198"/>
      <c r="KA106" s="198"/>
      <c r="KB106" s="198"/>
      <c r="KC106" s="198"/>
      <c r="KD106" s="198"/>
      <c r="KE106" s="198"/>
      <c r="KF106" s="198"/>
      <c r="KG106" s="198"/>
      <c r="KH106" s="198"/>
      <c r="KI106" s="198"/>
      <c r="KJ106" s="198"/>
      <c r="KK106" s="198"/>
      <c r="KL106" s="198"/>
      <c r="KM106" s="198"/>
      <c r="KN106" s="198"/>
      <c r="KO106" s="198"/>
      <c r="KP106" s="198"/>
      <c r="KQ106" s="198"/>
      <c r="KR106" s="198"/>
      <c r="KS106" s="198"/>
      <c r="KT106" s="198"/>
      <c r="KU106" s="198"/>
      <c r="KV106" s="198"/>
      <c r="KW106" s="198"/>
      <c r="KX106" s="198"/>
      <c r="KY106" s="198"/>
      <c r="KZ106" s="198"/>
      <c r="LA106" s="198"/>
      <c r="LB106" s="198"/>
      <c r="LC106" s="198"/>
      <c r="LD106" s="198"/>
      <c r="LE106" s="198"/>
      <c r="LF106" s="198"/>
      <c r="LG106" s="198"/>
      <c r="LH106" s="198"/>
      <c r="LI106" s="198"/>
      <c r="LJ106" s="198"/>
      <c r="LK106" s="198"/>
      <c r="LL106" s="198"/>
      <c r="LM106" s="198"/>
      <c r="LN106" s="198"/>
      <c r="LO106" s="198"/>
      <c r="LP106" s="198"/>
      <c r="LQ106" s="198"/>
      <c r="LR106" s="198"/>
      <c r="LS106" s="198"/>
      <c r="LT106" s="198"/>
      <c r="LU106" s="198"/>
      <c r="LV106" s="198"/>
      <c r="LW106" s="198"/>
      <c r="LX106" s="198"/>
      <c r="LY106" s="198"/>
      <c r="LZ106" s="198"/>
      <c r="MA106" s="198"/>
      <c r="MB106" s="198"/>
      <c r="MC106" s="198"/>
      <c r="MD106" s="198"/>
      <c r="ME106" s="198"/>
      <c r="MF106" s="198"/>
      <c r="MG106" s="198"/>
      <c r="MH106" s="198"/>
      <c r="MI106" s="198"/>
      <c r="MJ106" s="198"/>
      <c r="MK106" s="198"/>
      <c r="ML106" s="198"/>
      <c r="MM106" s="198"/>
      <c r="MN106" s="198"/>
      <c r="MO106" s="198"/>
      <c r="MP106" s="198"/>
      <c r="MQ106" s="198"/>
      <c r="MR106" s="198"/>
      <c r="MS106" s="198"/>
      <c r="MT106" s="198"/>
      <c r="MU106" s="198"/>
      <c r="MV106" s="198"/>
      <c r="MW106" s="198"/>
      <c r="MX106" s="198"/>
      <c r="MY106" s="198"/>
      <c r="MZ106" s="198"/>
      <c r="NA106" s="198"/>
      <c r="NB106" s="198"/>
      <c r="NC106" s="198"/>
      <c r="ND106" s="198"/>
      <c r="NE106" s="198"/>
      <c r="NF106" s="198"/>
      <c r="NG106" s="198"/>
      <c r="NH106" s="198"/>
      <c r="NI106" s="198"/>
      <c r="NJ106" s="198"/>
      <c r="NK106" s="198"/>
      <c r="NL106" s="198"/>
      <c r="NM106" s="198"/>
      <c r="NN106" s="198"/>
      <c r="NO106" s="198"/>
      <c r="NP106" s="198"/>
      <c r="NQ106" s="198"/>
      <c r="NR106" s="198"/>
      <c r="NS106" s="198"/>
      <c r="NT106" s="198"/>
      <c r="NU106" s="198"/>
      <c r="NV106" s="198"/>
      <c r="NW106" s="198"/>
      <c r="NX106" s="198"/>
      <c r="NY106" s="198"/>
      <c r="NZ106" s="198"/>
      <c r="OA106" s="198"/>
      <c r="OB106" s="198"/>
      <c r="OC106" s="198"/>
      <c r="OD106" s="198"/>
      <c r="OE106" s="198"/>
      <c r="OF106" s="198"/>
      <c r="OG106" s="198"/>
      <c r="OH106" s="198"/>
      <c r="OI106" s="198"/>
      <c r="OJ106" s="198"/>
      <c r="OK106" s="198"/>
      <c r="OL106" s="198"/>
      <c r="OM106" s="198"/>
      <c r="ON106" s="198"/>
      <c r="OO106" s="198"/>
      <c r="OP106" s="198"/>
      <c r="OQ106" s="198"/>
      <c r="OR106" s="198"/>
      <c r="OS106" s="198"/>
      <c r="OT106" s="198"/>
      <c r="OU106" s="198"/>
      <c r="OV106" s="198"/>
      <c r="OW106" s="198"/>
      <c r="OX106" s="198"/>
      <c r="OY106" s="198"/>
      <c r="OZ106" s="198"/>
      <c r="PA106" s="198"/>
      <c r="PB106" s="198"/>
      <c r="PC106" s="198"/>
      <c r="PD106" s="198"/>
      <c r="PE106" s="198"/>
      <c r="PF106" s="198"/>
      <c r="PG106" s="198"/>
      <c r="PH106" s="198"/>
      <c r="PI106" s="198"/>
      <c r="PJ106" s="198"/>
      <c r="PK106" s="198"/>
      <c r="PL106" s="198"/>
      <c r="PM106" s="198"/>
      <c r="PN106" s="198"/>
      <c r="PO106" s="198"/>
      <c r="PP106" s="198"/>
      <c r="PQ106" s="198"/>
      <c r="PR106" s="198"/>
      <c r="PS106" s="198"/>
      <c r="PT106" s="198"/>
      <c r="PU106" s="198"/>
      <c r="PV106" s="198"/>
      <c r="PW106" s="198"/>
      <c r="PX106" s="198"/>
      <c r="PY106" s="198"/>
      <c r="PZ106" s="198"/>
      <c r="QA106" s="198"/>
      <c r="QB106" s="198"/>
      <c r="QC106" s="198"/>
      <c r="QD106" s="198"/>
      <c r="QE106" s="198"/>
      <c r="QF106" s="198"/>
      <c r="QG106" s="198"/>
      <c r="QH106" s="198"/>
      <c r="QI106" s="198"/>
      <c r="QJ106" s="198"/>
      <c r="QK106" s="198"/>
      <c r="QL106" s="198"/>
      <c r="QM106" s="198"/>
      <c r="QN106" s="198"/>
      <c r="QO106" s="198"/>
      <c r="QP106" s="198"/>
      <c r="QQ106" s="198"/>
      <c r="QR106" s="198"/>
      <c r="QS106" s="198"/>
      <c r="QT106" s="198"/>
      <c r="QU106" s="198"/>
      <c r="QV106" s="198"/>
      <c r="QW106" s="198"/>
      <c r="QX106" s="198"/>
      <c r="QY106" s="198"/>
      <c r="QZ106" s="198"/>
      <c r="RA106" s="198"/>
      <c r="RB106" s="198"/>
      <c r="RC106" s="198"/>
      <c r="RD106" s="198"/>
      <c r="RE106" s="198"/>
      <c r="RF106" s="198"/>
      <c r="RG106" s="198"/>
      <c r="RH106" s="198"/>
      <c r="RI106" s="198"/>
      <c r="RJ106" s="198"/>
      <c r="RK106" s="198"/>
      <c r="RL106" s="198"/>
      <c r="RM106" s="198"/>
      <c r="RN106" s="198"/>
      <c r="RO106" s="198"/>
      <c r="RP106" s="198"/>
      <c r="RQ106" s="198"/>
      <c r="RR106" s="198"/>
      <c r="RS106" s="198"/>
      <c r="RT106" s="198"/>
      <c r="RU106" s="198"/>
      <c r="RV106" s="198"/>
      <c r="RW106" s="198"/>
      <c r="RX106" s="198"/>
      <c r="RY106" s="198"/>
      <c r="RZ106" s="198"/>
      <c r="SA106" s="198"/>
      <c r="SB106" s="198"/>
      <c r="SC106" s="198"/>
      <c r="SD106" s="198"/>
      <c r="SE106" s="198"/>
      <c r="SF106" s="198"/>
      <c r="SG106" s="198"/>
    </row>
    <row r="107" spans="1:501" ht="40.049999999999997" customHeight="1" x14ac:dyDescent="0.3">
      <c r="A107" s="543" t="s">
        <v>280</v>
      </c>
      <c r="B107" s="956" t="s">
        <v>281</v>
      </c>
      <c r="C107" s="950"/>
      <c r="D107" s="861"/>
      <c r="E107" s="862"/>
      <c r="F107" s="861"/>
      <c r="G107" s="862"/>
      <c r="H107" s="861"/>
      <c r="I107" s="862"/>
      <c r="J107" s="861"/>
      <c r="K107" s="862"/>
      <c r="L107" s="861"/>
      <c r="M107" s="862"/>
      <c r="N107" s="861"/>
      <c r="O107" s="862"/>
      <c r="P107" s="861"/>
      <c r="Q107" s="862"/>
      <c r="R107" s="861"/>
      <c r="S107" s="862"/>
      <c r="T107" s="861"/>
      <c r="U107" s="862"/>
      <c r="V107" s="861"/>
      <c r="W107" s="862"/>
      <c r="X107" s="861"/>
      <c r="Y107" s="862"/>
      <c r="Z107" s="861"/>
      <c r="AA107" s="862"/>
      <c r="AB107" s="864"/>
      <c r="AC107" s="864"/>
      <c r="AD107" s="864"/>
      <c r="AE107" s="864"/>
      <c r="AF107" s="861"/>
      <c r="AG107" s="865">
        <f>SUM(C107:AA107)</f>
        <v>0</v>
      </c>
      <c r="AH107" s="866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  <c r="AS107" s="198"/>
      <c r="AT107" s="198"/>
      <c r="AU107" s="198"/>
      <c r="AV107" s="198"/>
      <c r="AW107" s="198"/>
      <c r="AX107" s="198"/>
      <c r="AY107" s="198"/>
      <c r="AZ107" s="198"/>
      <c r="BA107" s="198"/>
      <c r="BB107" s="198"/>
      <c r="BC107" s="198"/>
      <c r="BD107" s="198"/>
      <c r="BE107" s="198"/>
      <c r="BF107" s="198"/>
      <c r="BG107" s="198"/>
      <c r="BH107" s="198"/>
      <c r="BI107" s="198"/>
      <c r="BJ107" s="198"/>
      <c r="BK107" s="198"/>
      <c r="BL107" s="198"/>
      <c r="BM107" s="198"/>
      <c r="BN107" s="198"/>
      <c r="BO107" s="198"/>
      <c r="BP107" s="198"/>
      <c r="BQ107" s="198"/>
      <c r="BR107" s="198"/>
      <c r="BS107" s="198"/>
      <c r="BT107" s="198"/>
      <c r="BU107" s="198"/>
      <c r="BV107" s="198"/>
      <c r="BW107" s="198"/>
      <c r="BX107" s="198"/>
      <c r="BY107" s="198"/>
      <c r="BZ107" s="198"/>
      <c r="CA107" s="198"/>
      <c r="CB107" s="198"/>
      <c r="CC107" s="198"/>
      <c r="CD107" s="198"/>
      <c r="CE107" s="198"/>
      <c r="CF107" s="198"/>
      <c r="CG107" s="198"/>
      <c r="CH107" s="198"/>
      <c r="CI107" s="198"/>
      <c r="CJ107" s="198"/>
      <c r="CK107" s="198"/>
      <c r="CL107" s="198"/>
      <c r="CM107" s="198"/>
      <c r="CN107" s="198"/>
      <c r="CO107" s="198"/>
      <c r="CP107" s="198"/>
      <c r="CQ107" s="198"/>
      <c r="CR107" s="198"/>
      <c r="CS107" s="198"/>
      <c r="CT107" s="198"/>
      <c r="CU107" s="198"/>
      <c r="CV107" s="198"/>
      <c r="CW107" s="198"/>
      <c r="CX107" s="198"/>
      <c r="CY107" s="198"/>
      <c r="CZ107" s="198"/>
      <c r="DA107" s="198"/>
      <c r="DB107" s="198"/>
      <c r="DC107" s="198"/>
      <c r="DD107" s="198"/>
      <c r="DE107" s="198"/>
      <c r="DF107" s="198"/>
      <c r="DG107" s="198"/>
      <c r="DH107" s="198"/>
      <c r="DI107" s="198"/>
      <c r="DJ107" s="198"/>
      <c r="DK107" s="198"/>
      <c r="DL107" s="198"/>
      <c r="DM107" s="198"/>
      <c r="DN107" s="198"/>
      <c r="DO107" s="198"/>
      <c r="DP107" s="198"/>
      <c r="DQ107" s="198"/>
      <c r="DR107" s="198"/>
      <c r="DS107" s="198"/>
      <c r="DT107" s="198"/>
      <c r="DU107" s="198"/>
      <c r="DV107" s="198"/>
      <c r="DW107" s="198"/>
      <c r="DX107" s="198"/>
      <c r="DY107" s="198"/>
      <c r="DZ107" s="198"/>
      <c r="EA107" s="198"/>
      <c r="EB107" s="198"/>
      <c r="EC107" s="198"/>
      <c r="ED107" s="198"/>
      <c r="EE107" s="198"/>
      <c r="EF107" s="198"/>
      <c r="EG107" s="198"/>
      <c r="EH107" s="198"/>
      <c r="EI107" s="198"/>
      <c r="EJ107" s="198"/>
      <c r="EK107" s="198"/>
      <c r="EL107" s="198"/>
      <c r="EM107" s="198"/>
      <c r="EN107" s="198"/>
      <c r="EO107" s="198"/>
      <c r="EP107" s="198"/>
      <c r="EQ107" s="198"/>
      <c r="ER107" s="198"/>
      <c r="ES107" s="198"/>
      <c r="ET107" s="198"/>
      <c r="EU107" s="198"/>
      <c r="EV107" s="198"/>
      <c r="EW107" s="198"/>
      <c r="EX107" s="198"/>
      <c r="EY107" s="198"/>
      <c r="EZ107" s="198"/>
      <c r="FA107" s="198"/>
      <c r="FB107" s="198"/>
      <c r="FC107" s="198"/>
      <c r="FD107" s="198"/>
      <c r="FE107" s="198"/>
      <c r="FF107" s="198"/>
      <c r="FG107" s="198"/>
      <c r="FH107" s="198"/>
      <c r="FI107" s="198"/>
      <c r="FJ107" s="198"/>
      <c r="FK107" s="198"/>
      <c r="FL107" s="198"/>
      <c r="FM107" s="198"/>
      <c r="FN107" s="198"/>
      <c r="FO107" s="198"/>
      <c r="FP107" s="198"/>
      <c r="FQ107" s="198"/>
      <c r="FR107" s="198"/>
      <c r="FS107" s="198"/>
      <c r="FT107" s="198"/>
      <c r="FU107" s="198"/>
      <c r="FV107" s="198"/>
      <c r="FW107" s="198"/>
      <c r="FX107" s="198"/>
      <c r="FY107" s="198"/>
      <c r="FZ107" s="198"/>
      <c r="GA107" s="198"/>
      <c r="GB107" s="198"/>
      <c r="GC107" s="198"/>
      <c r="GD107" s="198"/>
      <c r="GE107" s="198"/>
      <c r="GF107" s="198"/>
      <c r="GG107" s="198"/>
      <c r="GH107" s="198"/>
      <c r="GI107" s="198"/>
      <c r="GJ107" s="198"/>
      <c r="GK107" s="198"/>
      <c r="GL107" s="198"/>
      <c r="GM107" s="198"/>
      <c r="GN107" s="198"/>
      <c r="GO107" s="198"/>
      <c r="GP107" s="198"/>
      <c r="GQ107" s="198"/>
      <c r="GR107" s="198"/>
      <c r="GS107" s="198"/>
      <c r="GT107" s="198"/>
      <c r="GU107" s="198"/>
      <c r="GV107" s="198"/>
      <c r="GW107" s="198"/>
      <c r="GX107" s="198"/>
      <c r="GY107" s="198"/>
      <c r="GZ107" s="198"/>
      <c r="HA107" s="198"/>
      <c r="HB107" s="198"/>
      <c r="HC107" s="198"/>
      <c r="HD107" s="198"/>
      <c r="HE107" s="198"/>
      <c r="HF107" s="198"/>
      <c r="HG107" s="198"/>
      <c r="HH107" s="198"/>
      <c r="HI107" s="198"/>
      <c r="HJ107" s="198"/>
      <c r="HK107" s="198"/>
      <c r="HL107" s="198"/>
      <c r="HM107" s="198"/>
      <c r="HN107" s="198"/>
      <c r="HO107" s="198"/>
      <c r="HP107" s="198"/>
      <c r="HQ107" s="198"/>
      <c r="HR107" s="198"/>
      <c r="HS107" s="198"/>
      <c r="HT107" s="198"/>
      <c r="HU107" s="198"/>
      <c r="HV107" s="198"/>
      <c r="HW107" s="198"/>
      <c r="HX107" s="198"/>
      <c r="HY107" s="198"/>
      <c r="HZ107" s="198"/>
      <c r="IA107" s="198"/>
      <c r="IB107" s="198"/>
      <c r="IC107" s="198"/>
      <c r="ID107" s="198"/>
      <c r="IE107" s="198"/>
      <c r="IF107" s="198"/>
      <c r="IG107" s="198"/>
      <c r="IH107" s="198"/>
      <c r="II107" s="198"/>
      <c r="IJ107" s="198"/>
      <c r="IK107" s="198"/>
      <c r="IL107" s="198"/>
      <c r="IM107" s="198"/>
      <c r="IN107" s="198"/>
      <c r="IO107" s="198"/>
      <c r="IP107" s="198"/>
      <c r="IQ107" s="198"/>
      <c r="IR107" s="198"/>
      <c r="IS107" s="198"/>
      <c r="IT107" s="198"/>
      <c r="IU107" s="198"/>
      <c r="IV107" s="198"/>
      <c r="IW107" s="198"/>
      <c r="IX107" s="198"/>
      <c r="IY107" s="198"/>
      <c r="IZ107" s="198"/>
      <c r="JA107" s="198"/>
      <c r="JB107" s="198"/>
      <c r="JC107" s="198"/>
      <c r="JD107" s="198"/>
      <c r="JE107" s="198"/>
      <c r="JF107" s="198"/>
      <c r="JG107" s="198"/>
      <c r="JH107" s="198"/>
      <c r="JI107" s="198"/>
      <c r="JJ107" s="198"/>
      <c r="JK107" s="198"/>
      <c r="JL107" s="198"/>
      <c r="JM107" s="198"/>
      <c r="JN107" s="198"/>
      <c r="JO107" s="198"/>
      <c r="JP107" s="198"/>
      <c r="JQ107" s="198"/>
      <c r="JR107" s="198"/>
      <c r="JS107" s="198"/>
      <c r="JT107" s="198"/>
      <c r="JU107" s="198"/>
      <c r="JV107" s="198"/>
      <c r="JW107" s="198"/>
      <c r="JX107" s="198"/>
      <c r="JY107" s="198"/>
      <c r="JZ107" s="198"/>
      <c r="KA107" s="198"/>
      <c r="KB107" s="198"/>
      <c r="KC107" s="198"/>
      <c r="KD107" s="198"/>
      <c r="KE107" s="198"/>
      <c r="KF107" s="198"/>
      <c r="KG107" s="198"/>
      <c r="KH107" s="198"/>
      <c r="KI107" s="198"/>
      <c r="KJ107" s="198"/>
      <c r="KK107" s="198"/>
      <c r="KL107" s="198"/>
      <c r="KM107" s="198"/>
      <c r="KN107" s="198"/>
      <c r="KO107" s="198"/>
      <c r="KP107" s="198"/>
      <c r="KQ107" s="198"/>
      <c r="KR107" s="198"/>
      <c r="KS107" s="198"/>
      <c r="KT107" s="198"/>
      <c r="KU107" s="198"/>
      <c r="KV107" s="198"/>
      <c r="KW107" s="198"/>
      <c r="KX107" s="198"/>
      <c r="KY107" s="198"/>
      <c r="KZ107" s="198"/>
      <c r="LA107" s="198"/>
      <c r="LB107" s="198"/>
      <c r="LC107" s="198"/>
      <c r="LD107" s="198"/>
      <c r="LE107" s="198"/>
      <c r="LF107" s="198"/>
      <c r="LG107" s="198"/>
      <c r="LH107" s="198"/>
      <c r="LI107" s="198"/>
      <c r="LJ107" s="198"/>
      <c r="LK107" s="198"/>
      <c r="LL107" s="198"/>
      <c r="LM107" s="198"/>
      <c r="LN107" s="198"/>
      <c r="LO107" s="198"/>
      <c r="LP107" s="198"/>
      <c r="LQ107" s="198"/>
      <c r="LR107" s="198"/>
      <c r="LS107" s="198"/>
      <c r="LT107" s="198"/>
      <c r="LU107" s="198"/>
      <c r="LV107" s="198"/>
      <c r="LW107" s="198"/>
      <c r="LX107" s="198"/>
      <c r="LY107" s="198"/>
      <c r="LZ107" s="198"/>
      <c r="MA107" s="198"/>
      <c r="MB107" s="198"/>
      <c r="MC107" s="198"/>
      <c r="MD107" s="198"/>
      <c r="ME107" s="198"/>
      <c r="MF107" s="198"/>
      <c r="MG107" s="198"/>
      <c r="MH107" s="198"/>
      <c r="MI107" s="198"/>
      <c r="MJ107" s="198"/>
      <c r="MK107" s="198"/>
      <c r="ML107" s="198"/>
      <c r="MM107" s="198"/>
      <c r="MN107" s="198"/>
      <c r="MO107" s="198"/>
      <c r="MP107" s="198"/>
      <c r="MQ107" s="198"/>
      <c r="MR107" s="198"/>
      <c r="MS107" s="198"/>
      <c r="MT107" s="198"/>
      <c r="MU107" s="198"/>
      <c r="MV107" s="198"/>
      <c r="MW107" s="198"/>
      <c r="MX107" s="198"/>
      <c r="MY107" s="198"/>
      <c r="MZ107" s="198"/>
      <c r="NA107" s="198"/>
      <c r="NB107" s="198"/>
      <c r="NC107" s="198"/>
      <c r="ND107" s="198"/>
      <c r="NE107" s="198"/>
      <c r="NF107" s="198"/>
      <c r="NG107" s="198"/>
      <c r="NH107" s="198"/>
      <c r="NI107" s="198"/>
      <c r="NJ107" s="198"/>
      <c r="NK107" s="198"/>
      <c r="NL107" s="198"/>
      <c r="NM107" s="198"/>
      <c r="NN107" s="198"/>
      <c r="NO107" s="198"/>
      <c r="NP107" s="198"/>
      <c r="NQ107" s="198"/>
      <c r="NR107" s="198"/>
      <c r="NS107" s="198"/>
      <c r="NT107" s="198"/>
      <c r="NU107" s="198"/>
      <c r="NV107" s="198"/>
      <c r="NW107" s="198"/>
      <c r="NX107" s="198"/>
      <c r="NY107" s="198"/>
      <c r="NZ107" s="198"/>
      <c r="OA107" s="198"/>
      <c r="OB107" s="198"/>
      <c r="OC107" s="198"/>
      <c r="OD107" s="198"/>
      <c r="OE107" s="198"/>
      <c r="OF107" s="198"/>
      <c r="OG107" s="198"/>
      <c r="OH107" s="198"/>
      <c r="OI107" s="198"/>
      <c r="OJ107" s="198"/>
      <c r="OK107" s="198"/>
      <c r="OL107" s="198"/>
      <c r="OM107" s="198"/>
      <c r="ON107" s="198"/>
      <c r="OO107" s="198"/>
      <c r="OP107" s="198"/>
      <c r="OQ107" s="198"/>
      <c r="OR107" s="198"/>
      <c r="OS107" s="198"/>
      <c r="OT107" s="198"/>
      <c r="OU107" s="198"/>
      <c r="OV107" s="198"/>
      <c r="OW107" s="198"/>
      <c r="OX107" s="198"/>
      <c r="OY107" s="198"/>
      <c r="OZ107" s="198"/>
      <c r="PA107" s="198"/>
      <c r="PB107" s="198"/>
      <c r="PC107" s="198"/>
      <c r="PD107" s="198"/>
      <c r="PE107" s="198"/>
      <c r="PF107" s="198"/>
      <c r="PG107" s="198"/>
      <c r="PH107" s="198"/>
      <c r="PI107" s="198"/>
      <c r="PJ107" s="198"/>
      <c r="PK107" s="198"/>
      <c r="PL107" s="198"/>
      <c r="PM107" s="198"/>
      <c r="PN107" s="198"/>
      <c r="PO107" s="198"/>
      <c r="PP107" s="198"/>
      <c r="PQ107" s="198"/>
      <c r="PR107" s="198"/>
      <c r="PS107" s="198"/>
      <c r="PT107" s="198"/>
      <c r="PU107" s="198"/>
      <c r="PV107" s="198"/>
      <c r="PW107" s="198"/>
      <c r="PX107" s="198"/>
      <c r="PY107" s="198"/>
      <c r="PZ107" s="198"/>
      <c r="QA107" s="198"/>
      <c r="QB107" s="198"/>
      <c r="QC107" s="198"/>
      <c r="QD107" s="198"/>
      <c r="QE107" s="198"/>
      <c r="QF107" s="198"/>
      <c r="QG107" s="198"/>
      <c r="QH107" s="198"/>
      <c r="QI107" s="198"/>
      <c r="QJ107" s="198"/>
      <c r="QK107" s="198"/>
      <c r="QL107" s="198"/>
      <c r="QM107" s="198"/>
      <c r="QN107" s="198"/>
      <c r="QO107" s="198"/>
      <c r="QP107" s="198"/>
      <c r="QQ107" s="198"/>
      <c r="QR107" s="198"/>
      <c r="QS107" s="198"/>
      <c r="QT107" s="198"/>
      <c r="QU107" s="198"/>
      <c r="QV107" s="198"/>
      <c r="QW107" s="198"/>
      <c r="QX107" s="198"/>
      <c r="QY107" s="198"/>
      <c r="QZ107" s="198"/>
      <c r="RA107" s="198"/>
      <c r="RB107" s="198"/>
      <c r="RC107" s="198"/>
      <c r="RD107" s="198"/>
      <c r="RE107" s="198"/>
      <c r="RF107" s="198"/>
      <c r="RG107" s="198"/>
      <c r="RH107" s="198"/>
      <c r="RI107" s="198"/>
      <c r="RJ107" s="198"/>
      <c r="RK107" s="198"/>
      <c r="RL107" s="198"/>
      <c r="RM107" s="198"/>
      <c r="RN107" s="198"/>
      <c r="RO107" s="198"/>
      <c r="RP107" s="198"/>
      <c r="RQ107" s="198"/>
      <c r="RR107" s="198"/>
      <c r="RS107" s="198"/>
      <c r="RT107" s="198"/>
      <c r="RU107" s="198"/>
      <c r="RV107" s="198"/>
      <c r="RW107" s="198"/>
      <c r="RX107" s="198"/>
      <c r="RY107" s="198"/>
      <c r="RZ107" s="198"/>
      <c r="SA107" s="198"/>
      <c r="SB107" s="198"/>
      <c r="SC107" s="198"/>
      <c r="SD107" s="198"/>
      <c r="SE107" s="198"/>
      <c r="SF107" s="198"/>
      <c r="SG107" s="198"/>
    </row>
    <row r="108" spans="1:501" ht="40.049999999999997" customHeight="1" x14ac:dyDescent="0.5">
      <c r="A108" s="943" t="s">
        <v>282</v>
      </c>
      <c r="B108" s="954" t="s">
        <v>283</v>
      </c>
      <c r="C108" s="950"/>
      <c r="D108" s="861"/>
      <c r="E108" s="862"/>
      <c r="F108" s="861"/>
      <c r="G108" s="862"/>
      <c r="H108" s="861"/>
      <c r="I108" s="862"/>
      <c r="J108" s="861"/>
      <c r="K108" s="862"/>
      <c r="L108" s="861"/>
      <c r="M108" s="862"/>
      <c r="N108" s="861"/>
      <c r="O108" s="862">
        <f>MANZ.G!AS107</f>
        <v>0</v>
      </c>
      <c r="P108" s="861"/>
      <c r="Q108" s="862"/>
      <c r="R108" s="861"/>
      <c r="S108" s="862"/>
      <c r="T108" s="861"/>
      <c r="U108" s="862"/>
      <c r="V108" s="861"/>
      <c r="W108" s="862"/>
      <c r="X108" s="861"/>
      <c r="Y108" s="862"/>
      <c r="Z108" s="861"/>
      <c r="AA108" s="862"/>
      <c r="AB108" s="864"/>
      <c r="AC108" s="864"/>
      <c r="AD108" s="864"/>
      <c r="AE108" s="864"/>
      <c r="AF108" s="861"/>
      <c r="AG108" s="865">
        <f>SUM(C109:AA109)</f>
        <v>0</v>
      </c>
      <c r="AH108" s="866"/>
    </row>
    <row r="109" spans="1:501" ht="40.049999999999997" customHeight="1" x14ac:dyDescent="0.3">
      <c r="A109" s="543" t="s">
        <v>284</v>
      </c>
      <c r="B109" s="956" t="s">
        <v>285</v>
      </c>
      <c r="C109" s="950"/>
      <c r="D109" s="861"/>
      <c r="E109" s="862"/>
      <c r="F109" s="861"/>
      <c r="G109" s="862"/>
      <c r="H109" s="861"/>
      <c r="I109" s="862"/>
      <c r="J109" s="861"/>
      <c r="K109" s="862"/>
      <c r="L109" s="861"/>
      <c r="M109" s="862"/>
      <c r="N109" s="861"/>
      <c r="O109" s="862"/>
      <c r="P109" s="861"/>
      <c r="Q109" s="862"/>
      <c r="R109" s="861"/>
      <c r="S109" s="862"/>
      <c r="T109" s="861"/>
      <c r="U109" s="862"/>
      <c r="V109" s="861"/>
      <c r="W109" s="862"/>
      <c r="X109" s="861"/>
      <c r="Y109" s="862"/>
      <c r="Z109" s="861"/>
      <c r="AA109" s="862"/>
      <c r="AB109" s="864"/>
      <c r="AC109" s="864"/>
      <c r="AD109" s="864"/>
      <c r="AE109" s="864"/>
      <c r="AF109" s="861"/>
      <c r="AG109" s="865">
        <f>SUM(C109:AA109)</f>
        <v>0</v>
      </c>
      <c r="AH109" s="866"/>
      <c r="AI109" s="198"/>
      <c r="AJ109" s="198"/>
      <c r="AK109" s="198"/>
      <c r="AL109" s="198"/>
      <c r="AM109" s="198"/>
      <c r="AN109" s="198"/>
      <c r="AO109" s="198"/>
      <c r="AP109" s="198"/>
      <c r="AQ109" s="198"/>
      <c r="AR109" s="198"/>
      <c r="AS109" s="198"/>
      <c r="AT109" s="198"/>
      <c r="AU109" s="198"/>
      <c r="AV109" s="198"/>
      <c r="AW109" s="198"/>
      <c r="AX109" s="198"/>
      <c r="AY109" s="198"/>
      <c r="AZ109" s="198"/>
      <c r="BA109" s="198"/>
      <c r="BB109" s="198"/>
      <c r="BC109" s="198"/>
      <c r="BD109" s="198"/>
      <c r="BE109" s="198"/>
      <c r="BF109" s="198"/>
      <c r="BG109" s="198"/>
      <c r="BH109" s="198"/>
      <c r="BI109" s="198"/>
      <c r="BJ109" s="198"/>
      <c r="BK109" s="198"/>
      <c r="BL109" s="198"/>
      <c r="BM109" s="198"/>
      <c r="BN109" s="198"/>
      <c r="BO109" s="198"/>
      <c r="BP109" s="198"/>
      <c r="BQ109" s="198"/>
      <c r="BR109" s="198"/>
      <c r="BS109" s="198"/>
      <c r="BT109" s="198"/>
      <c r="BU109" s="198"/>
      <c r="BV109" s="198"/>
      <c r="BW109" s="198"/>
      <c r="BX109" s="198"/>
      <c r="BY109" s="198"/>
      <c r="BZ109" s="198"/>
      <c r="CA109" s="198"/>
      <c r="CB109" s="198"/>
      <c r="CC109" s="198"/>
      <c r="CD109" s="198"/>
      <c r="CE109" s="198"/>
      <c r="CF109" s="198"/>
      <c r="CG109" s="198"/>
      <c r="CH109" s="198"/>
      <c r="CI109" s="198"/>
      <c r="CJ109" s="198"/>
      <c r="CK109" s="198"/>
      <c r="CL109" s="198"/>
      <c r="CM109" s="198"/>
      <c r="CN109" s="198"/>
      <c r="CO109" s="198"/>
      <c r="CP109" s="198"/>
      <c r="CQ109" s="198"/>
      <c r="CR109" s="198"/>
      <c r="CS109" s="198"/>
      <c r="CT109" s="198"/>
      <c r="CU109" s="198"/>
      <c r="CV109" s="198"/>
      <c r="CW109" s="198"/>
      <c r="CX109" s="198"/>
      <c r="CY109" s="198"/>
      <c r="CZ109" s="198"/>
      <c r="DA109" s="198"/>
      <c r="DB109" s="198"/>
      <c r="DC109" s="198"/>
      <c r="DD109" s="198"/>
      <c r="DE109" s="198"/>
      <c r="DF109" s="198"/>
      <c r="DG109" s="198"/>
      <c r="DH109" s="198"/>
      <c r="DI109" s="198"/>
      <c r="DJ109" s="198"/>
      <c r="DK109" s="198"/>
      <c r="DL109" s="198"/>
      <c r="DM109" s="198"/>
      <c r="DN109" s="198"/>
      <c r="DO109" s="198"/>
      <c r="DP109" s="198"/>
      <c r="DQ109" s="198"/>
      <c r="DR109" s="198"/>
      <c r="DS109" s="198"/>
      <c r="DT109" s="198"/>
      <c r="DU109" s="198"/>
      <c r="DV109" s="198"/>
      <c r="DW109" s="198"/>
      <c r="DX109" s="198"/>
      <c r="DY109" s="198"/>
      <c r="DZ109" s="198"/>
      <c r="EA109" s="198"/>
      <c r="EB109" s="198"/>
      <c r="EC109" s="198"/>
      <c r="ED109" s="198"/>
      <c r="EE109" s="198"/>
      <c r="EF109" s="198"/>
      <c r="EG109" s="198"/>
      <c r="EH109" s="198"/>
      <c r="EI109" s="198"/>
      <c r="EJ109" s="198"/>
      <c r="EK109" s="198"/>
      <c r="EL109" s="198"/>
      <c r="EM109" s="198"/>
      <c r="EN109" s="198"/>
      <c r="EO109" s="198"/>
      <c r="EP109" s="198"/>
      <c r="EQ109" s="198"/>
      <c r="ER109" s="198"/>
      <c r="ES109" s="198"/>
      <c r="ET109" s="198"/>
      <c r="EU109" s="198"/>
      <c r="EV109" s="198"/>
      <c r="EW109" s="198"/>
      <c r="EX109" s="198"/>
      <c r="EY109" s="198"/>
      <c r="EZ109" s="198"/>
      <c r="FA109" s="198"/>
      <c r="FB109" s="198"/>
      <c r="FC109" s="198"/>
      <c r="FD109" s="198"/>
      <c r="FE109" s="198"/>
      <c r="FF109" s="198"/>
      <c r="FG109" s="198"/>
      <c r="FH109" s="198"/>
      <c r="FI109" s="198"/>
      <c r="FJ109" s="198"/>
      <c r="FK109" s="198"/>
      <c r="FL109" s="198"/>
      <c r="FM109" s="198"/>
      <c r="FN109" s="198"/>
      <c r="FO109" s="198"/>
      <c r="FP109" s="198"/>
      <c r="FQ109" s="198"/>
      <c r="FR109" s="198"/>
      <c r="FS109" s="198"/>
      <c r="FT109" s="198"/>
      <c r="FU109" s="198"/>
      <c r="FV109" s="198"/>
      <c r="FW109" s="198"/>
      <c r="FX109" s="198"/>
      <c r="FY109" s="198"/>
      <c r="FZ109" s="198"/>
      <c r="GA109" s="198"/>
      <c r="GB109" s="198"/>
      <c r="GC109" s="198"/>
      <c r="GD109" s="198"/>
      <c r="GE109" s="198"/>
      <c r="GF109" s="198"/>
      <c r="GG109" s="198"/>
      <c r="GH109" s="198"/>
      <c r="GI109" s="198"/>
      <c r="GJ109" s="198"/>
      <c r="GK109" s="198"/>
      <c r="GL109" s="198"/>
      <c r="GM109" s="198"/>
      <c r="GN109" s="198"/>
      <c r="GO109" s="198"/>
      <c r="GP109" s="198"/>
      <c r="GQ109" s="198"/>
      <c r="GR109" s="198"/>
      <c r="GS109" s="198"/>
      <c r="GT109" s="198"/>
      <c r="GU109" s="198"/>
      <c r="GV109" s="198"/>
      <c r="GW109" s="198"/>
      <c r="GX109" s="198"/>
      <c r="GY109" s="198"/>
      <c r="GZ109" s="198"/>
      <c r="HA109" s="198"/>
      <c r="HB109" s="198"/>
      <c r="HC109" s="198"/>
      <c r="HD109" s="198"/>
      <c r="HE109" s="198"/>
      <c r="HF109" s="198"/>
      <c r="HG109" s="198"/>
      <c r="HH109" s="198"/>
      <c r="HI109" s="198"/>
      <c r="HJ109" s="198"/>
      <c r="HK109" s="198"/>
      <c r="HL109" s="198"/>
      <c r="HM109" s="198"/>
      <c r="HN109" s="198"/>
      <c r="HO109" s="198"/>
      <c r="HP109" s="198"/>
      <c r="HQ109" s="198"/>
      <c r="HR109" s="198"/>
      <c r="HS109" s="198"/>
      <c r="HT109" s="198"/>
      <c r="HU109" s="198"/>
      <c r="HV109" s="198"/>
      <c r="HW109" s="198"/>
      <c r="HX109" s="198"/>
      <c r="HY109" s="198"/>
      <c r="HZ109" s="198"/>
      <c r="IA109" s="198"/>
      <c r="IB109" s="198"/>
      <c r="IC109" s="198"/>
      <c r="ID109" s="198"/>
      <c r="IE109" s="198"/>
      <c r="IF109" s="198"/>
      <c r="IG109" s="198"/>
      <c r="IH109" s="198"/>
      <c r="II109" s="198"/>
      <c r="IJ109" s="198"/>
      <c r="IK109" s="198"/>
      <c r="IL109" s="198"/>
      <c r="IM109" s="198"/>
      <c r="IN109" s="198"/>
      <c r="IO109" s="198"/>
      <c r="IP109" s="198"/>
      <c r="IQ109" s="198"/>
      <c r="IR109" s="198"/>
      <c r="IS109" s="198"/>
      <c r="IT109" s="198"/>
      <c r="IU109" s="198"/>
      <c r="IV109" s="198"/>
      <c r="IW109" s="198"/>
      <c r="IX109" s="198"/>
      <c r="IY109" s="198"/>
      <c r="IZ109" s="198"/>
      <c r="JA109" s="198"/>
      <c r="JB109" s="198"/>
      <c r="JC109" s="198"/>
      <c r="JD109" s="198"/>
      <c r="JE109" s="198"/>
      <c r="JF109" s="198"/>
      <c r="JG109" s="198"/>
      <c r="JH109" s="198"/>
      <c r="JI109" s="198"/>
      <c r="JJ109" s="198"/>
      <c r="JK109" s="198"/>
      <c r="JL109" s="198"/>
      <c r="JM109" s="198"/>
      <c r="JN109" s="198"/>
      <c r="JO109" s="198"/>
      <c r="JP109" s="198"/>
      <c r="JQ109" s="198"/>
      <c r="JR109" s="198"/>
      <c r="JS109" s="198"/>
      <c r="JT109" s="198"/>
      <c r="JU109" s="198"/>
      <c r="JV109" s="198"/>
      <c r="JW109" s="198"/>
      <c r="JX109" s="198"/>
      <c r="JY109" s="198"/>
      <c r="JZ109" s="198"/>
      <c r="KA109" s="198"/>
      <c r="KB109" s="198"/>
      <c r="KC109" s="198"/>
      <c r="KD109" s="198"/>
      <c r="KE109" s="198"/>
      <c r="KF109" s="198"/>
      <c r="KG109" s="198"/>
      <c r="KH109" s="198"/>
      <c r="KI109" s="198"/>
      <c r="KJ109" s="198"/>
      <c r="KK109" s="198"/>
      <c r="KL109" s="198"/>
      <c r="KM109" s="198"/>
      <c r="KN109" s="198"/>
      <c r="KO109" s="198"/>
      <c r="KP109" s="198"/>
      <c r="KQ109" s="198"/>
      <c r="KR109" s="198"/>
      <c r="KS109" s="198"/>
      <c r="KT109" s="198"/>
      <c r="KU109" s="198"/>
      <c r="KV109" s="198"/>
      <c r="KW109" s="198"/>
      <c r="KX109" s="198"/>
      <c r="KY109" s="198"/>
      <c r="KZ109" s="198"/>
      <c r="LA109" s="198"/>
      <c r="LB109" s="198"/>
      <c r="LC109" s="198"/>
      <c r="LD109" s="198"/>
      <c r="LE109" s="198"/>
      <c r="LF109" s="198"/>
      <c r="LG109" s="198"/>
      <c r="LH109" s="198"/>
      <c r="LI109" s="198"/>
      <c r="LJ109" s="198"/>
      <c r="LK109" s="198"/>
      <c r="LL109" s="198"/>
      <c r="LM109" s="198"/>
      <c r="LN109" s="198"/>
      <c r="LO109" s="198"/>
      <c r="LP109" s="198"/>
      <c r="LQ109" s="198"/>
      <c r="LR109" s="198"/>
      <c r="LS109" s="198"/>
      <c r="LT109" s="198"/>
      <c r="LU109" s="198"/>
      <c r="LV109" s="198"/>
      <c r="LW109" s="198"/>
      <c r="LX109" s="198"/>
      <c r="LY109" s="198"/>
      <c r="LZ109" s="198"/>
      <c r="MA109" s="198"/>
      <c r="MB109" s="198"/>
      <c r="MC109" s="198"/>
      <c r="MD109" s="198"/>
      <c r="ME109" s="198"/>
      <c r="MF109" s="198"/>
      <c r="MG109" s="198"/>
      <c r="MH109" s="198"/>
      <c r="MI109" s="198"/>
      <c r="MJ109" s="198"/>
      <c r="MK109" s="198"/>
      <c r="ML109" s="198"/>
      <c r="MM109" s="198"/>
      <c r="MN109" s="198"/>
      <c r="MO109" s="198"/>
      <c r="MP109" s="198"/>
      <c r="MQ109" s="198"/>
      <c r="MR109" s="198"/>
      <c r="MS109" s="198"/>
      <c r="MT109" s="198"/>
      <c r="MU109" s="198"/>
      <c r="MV109" s="198"/>
      <c r="MW109" s="198"/>
      <c r="MX109" s="198"/>
      <c r="MY109" s="198"/>
      <c r="MZ109" s="198"/>
      <c r="NA109" s="198"/>
      <c r="NB109" s="198"/>
      <c r="NC109" s="198"/>
      <c r="ND109" s="198"/>
      <c r="NE109" s="198"/>
      <c r="NF109" s="198"/>
      <c r="NG109" s="198"/>
      <c r="NH109" s="198"/>
      <c r="NI109" s="198"/>
      <c r="NJ109" s="198"/>
      <c r="NK109" s="198"/>
      <c r="NL109" s="198"/>
      <c r="NM109" s="198"/>
      <c r="NN109" s="198"/>
      <c r="NO109" s="198"/>
      <c r="NP109" s="198"/>
      <c r="NQ109" s="198"/>
      <c r="NR109" s="198"/>
      <c r="NS109" s="198"/>
      <c r="NT109" s="198"/>
      <c r="NU109" s="198"/>
      <c r="NV109" s="198"/>
      <c r="NW109" s="198"/>
      <c r="NX109" s="198"/>
      <c r="NY109" s="198"/>
      <c r="NZ109" s="198"/>
      <c r="OA109" s="198"/>
      <c r="OB109" s="198"/>
      <c r="OC109" s="198"/>
      <c r="OD109" s="198"/>
      <c r="OE109" s="198"/>
      <c r="OF109" s="198"/>
      <c r="OG109" s="198"/>
      <c r="OH109" s="198"/>
      <c r="OI109" s="198"/>
      <c r="OJ109" s="198"/>
      <c r="OK109" s="198"/>
      <c r="OL109" s="198"/>
      <c r="OM109" s="198"/>
      <c r="ON109" s="198"/>
      <c r="OO109" s="198"/>
      <c r="OP109" s="198"/>
      <c r="OQ109" s="198"/>
      <c r="OR109" s="198"/>
      <c r="OS109" s="198"/>
      <c r="OT109" s="198"/>
      <c r="OU109" s="198"/>
      <c r="OV109" s="198"/>
      <c r="OW109" s="198"/>
      <c r="OX109" s="198"/>
      <c r="OY109" s="198"/>
      <c r="OZ109" s="198"/>
      <c r="PA109" s="198"/>
      <c r="PB109" s="198"/>
      <c r="PC109" s="198"/>
      <c r="PD109" s="198"/>
      <c r="PE109" s="198"/>
      <c r="PF109" s="198"/>
      <c r="PG109" s="198"/>
      <c r="PH109" s="198"/>
      <c r="PI109" s="198"/>
      <c r="PJ109" s="198"/>
      <c r="PK109" s="198"/>
      <c r="PL109" s="198"/>
      <c r="PM109" s="198"/>
      <c r="PN109" s="198"/>
      <c r="PO109" s="198"/>
      <c r="PP109" s="198"/>
      <c r="PQ109" s="198"/>
      <c r="PR109" s="198"/>
      <c r="PS109" s="198"/>
      <c r="PT109" s="198"/>
      <c r="PU109" s="198"/>
      <c r="PV109" s="198"/>
      <c r="PW109" s="198"/>
      <c r="PX109" s="198"/>
      <c r="PY109" s="198"/>
      <c r="PZ109" s="198"/>
      <c r="QA109" s="198"/>
      <c r="QB109" s="198"/>
      <c r="QC109" s="198"/>
      <c r="QD109" s="198"/>
      <c r="QE109" s="198"/>
      <c r="QF109" s="198"/>
      <c r="QG109" s="198"/>
      <c r="QH109" s="198"/>
      <c r="QI109" s="198"/>
      <c r="QJ109" s="198"/>
      <c r="QK109" s="198"/>
      <c r="QL109" s="198"/>
      <c r="QM109" s="198"/>
      <c r="QN109" s="198"/>
      <c r="QO109" s="198"/>
      <c r="QP109" s="198"/>
      <c r="QQ109" s="198"/>
      <c r="QR109" s="198"/>
      <c r="QS109" s="198"/>
      <c r="QT109" s="198"/>
      <c r="QU109" s="198"/>
      <c r="QV109" s="198"/>
      <c r="QW109" s="198"/>
      <c r="QX109" s="198"/>
      <c r="QY109" s="198"/>
      <c r="QZ109" s="198"/>
      <c r="RA109" s="198"/>
      <c r="RB109" s="198"/>
      <c r="RC109" s="198"/>
      <c r="RD109" s="198"/>
      <c r="RE109" s="198"/>
      <c r="RF109" s="198"/>
      <c r="RG109" s="198"/>
      <c r="RH109" s="198"/>
      <c r="RI109" s="198"/>
      <c r="RJ109" s="198"/>
      <c r="RK109" s="198"/>
      <c r="RL109" s="198"/>
      <c r="RM109" s="198"/>
      <c r="RN109" s="198"/>
      <c r="RO109" s="198"/>
      <c r="RP109" s="198"/>
      <c r="RQ109" s="198"/>
      <c r="RR109" s="198"/>
      <c r="RS109" s="198"/>
      <c r="RT109" s="198"/>
      <c r="RU109" s="198"/>
      <c r="RV109" s="198"/>
      <c r="RW109" s="198"/>
      <c r="RX109" s="198"/>
      <c r="RY109" s="198"/>
      <c r="RZ109" s="198"/>
      <c r="SA109" s="198"/>
      <c r="SB109" s="198"/>
      <c r="SC109" s="198"/>
      <c r="SD109" s="198"/>
      <c r="SE109" s="198"/>
      <c r="SF109" s="198"/>
      <c r="SG109" s="198"/>
    </row>
    <row r="110" spans="1:501" ht="40.049999999999997" customHeight="1" x14ac:dyDescent="0.3">
      <c r="A110" s="543" t="s">
        <v>286</v>
      </c>
      <c r="B110" s="956" t="s">
        <v>287</v>
      </c>
      <c r="C110" s="950"/>
      <c r="D110" s="861"/>
      <c r="E110" s="862"/>
      <c r="F110" s="861"/>
      <c r="G110" s="862"/>
      <c r="H110" s="861"/>
      <c r="I110" s="862"/>
      <c r="J110" s="861"/>
      <c r="K110" s="862"/>
      <c r="L110" s="861"/>
      <c r="M110" s="862"/>
      <c r="N110" s="861"/>
      <c r="O110" s="862"/>
      <c r="P110" s="861"/>
      <c r="Q110" s="862"/>
      <c r="R110" s="861"/>
      <c r="S110" s="862"/>
      <c r="T110" s="861"/>
      <c r="U110" s="862"/>
      <c r="V110" s="861"/>
      <c r="W110" s="862"/>
      <c r="X110" s="861"/>
      <c r="Y110" s="862"/>
      <c r="Z110" s="861"/>
      <c r="AA110" s="862"/>
      <c r="AB110" s="864"/>
      <c r="AC110" s="864"/>
      <c r="AD110" s="864"/>
      <c r="AE110" s="864"/>
      <c r="AF110" s="861"/>
      <c r="AG110" s="865">
        <f>SUM(C110:AA110)</f>
        <v>0</v>
      </c>
      <c r="AH110" s="866"/>
      <c r="AI110" s="198"/>
      <c r="AJ110" s="198"/>
      <c r="AK110" s="198"/>
      <c r="AL110" s="198"/>
      <c r="AM110" s="198"/>
      <c r="AN110" s="198"/>
      <c r="AO110" s="198"/>
      <c r="AP110" s="198"/>
      <c r="AQ110" s="198"/>
      <c r="AR110" s="198"/>
      <c r="AS110" s="198"/>
      <c r="AT110" s="198"/>
      <c r="AU110" s="198"/>
      <c r="AV110" s="198"/>
      <c r="AW110" s="198"/>
      <c r="AX110" s="198"/>
      <c r="AY110" s="198"/>
      <c r="AZ110" s="198"/>
      <c r="BA110" s="198"/>
      <c r="BB110" s="198"/>
      <c r="BC110" s="198"/>
      <c r="BD110" s="198"/>
      <c r="BE110" s="198"/>
      <c r="BF110" s="198"/>
      <c r="BG110" s="198"/>
      <c r="BH110" s="198"/>
      <c r="BI110" s="198"/>
      <c r="BJ110" s="198"/>
      <c r="BK110" s="198"/>
      <c r="BL110" s="198"/>
      <c r="BM110" s="198"/>
      <c r="BN110" s="198"/>
      <c r="BO110" s="198"/>
      <c r="BP110" s="198"/>
      <c r="BQ110" s="198"/>
      <c r="BR110" s="198"/>
      <c r="BS110" s="198"/>
      <c r="BT110" s="198"/>
      <c r="BU110" s="198"/>
      <c r="BV110" s="198"/>
      <c r="BW110" s="198"/>
      <c r="BX110" s="198"/>
      <c r="BY110" s="198"/>
      <c r="BZ110" s="198"/>
      <c r="CA110" s="198"/>
      <c r="CB110" s="198"/>
      <c r="CC110" s="198"/>
      <c r="CD110" s="198"/>
      <c r="CE110" s="198"/>
      <c r="CF110" s="198"/>
      <c r="CG110" s="198"/>
      <c r="CH110" s="198"/>
      <c r="CI110" s="198"/>
      <c r="CJ110" s="198"/>
      <c r="CK110" s="198"/>
      <c r="CL110" s="198"/>
      <c r="CM110" s="198"/>
      <c r="CN110" s="198"/>
      <c r="CO110" s="198"/>
      <c r="CP110" s="198"/>
      <c r="CQ110" s="198"/>
      <c r="CR110" s="198"/>
      <c r="CS110" s="198"/>
      <c r="CT110" s="198"/>
      <c r="CU110" s="198"/>
      <c r="CV110" s="198"/>
      <c r="CW110" s="198"/>
      <c r="CX110" s="198"/>
      <c r="CY110" s="198"/>
      <c r="CZ110" s="198"/>
      <c r="DA110" s="198"/>
      <c r="DB110" s="198"/>
      <c r="DC110" s="198"/>
      <c r="DD110" s="198"/>
      <c r="DE110" s="198"/>
      <c r="DF110" s="198"/>
      <c r="DG110" s="198"/>
      <c r="DH110" s="198"/>
      <c r="DI110" s="198"/>
      <c r="DJ110" s="198"/>
      <c r="DK110" s="198"/>
      <c r="DL110" s="198"/>
      <c r="DM110" s="198"/>
      <c r="DN110" s="198"/>
      <c r="DO110" s="198"/>
      <c r="DP110" s="198"/>
      <c r="DQ110" s="198"/>
      <c r="DR110" s="198"/>
      <c r="DS110" s="198"/>
      <c r="DT110" s="198"/>
      <c r="DU110" s="198"/>
      <c r="DV110" s="198"/>
      <c r="DW110" s="198"/>
      <c r="DX110" s="198"/>
      <c r="DY110" s="198"/>
      <c r="DZ110" s="198"/>
      <c r="EA110" s="198"/>
      <c r="EB110" s="198"/>
      <c r="EC110" s="198"/>
      <c r="ED110" s="198"/>
      <c r="EE110" s="198"/>
      <c r="EF110" s="198"/>
      <c r="EG110" s="198"/>
      <c r="EH110" s="198"/>
      <c r="EI110" s="198"/>
      <c r="EJ110" s="198"/>
      <c r="EK110" s="198"/>
      <c r="EL110" s="198"/>
      <c r="EM110" s="198"/>
      <c r="EN110" s="198"/>
      <c r="EO110" s="198"/>
      <c r="EP110" s="198"/>
      <c r="EQ110" s="198"/>
      <c r="ER110" s="198"/>
      <c r="ES110" s="198"/>
      <c r="ET110" s="198"/>
      <c r="EU110" s="198"/>
      <c r="EV110" s="198"/>
      <c r="EW110" s="198"/>
      <c r="EX110" s="198"/>
      <c r="EY110" s="198"/>
      <c r="EZ110" s="198"/>
      <c r="FA110" s="198"/>
      <c r="FB110" s="198"/>
      <c r="FC110" s="198"/>
      <c r="FD110" s="198"/>
      <c r="FE110" s="198"/>
      <c r="FF110" s="198"/>
      <c r="FG110" s="198"/>
      <c r="FH110" s="198"/>
      <c r="FI110" s="198"/>
      <c r="FJ110" s="198"/>
      <c r="FK110" s="198"/>
      <c r="FL110" s="198"/>
      <c r="FM110" s="198"/>
      <c r="FN110" s="198"/>
      <c r="FO110" s="198"/>
      <c r="FP110" s="198"/>
      <c r="FQ110" s="198"/>
      <c r="FR110" s="198"/>
      <c r="FS110" s="198"/>
      <c r="FT110" s="198"/>
      <c r="FU110" s="198"/>
      <c r="FV110" s="198"/>
      <c r="FW110" s="198"/>
      <c r="FX110" s="198"/>
      <c r="FY110" s="198"/>
      <c r="FZ110" s="198"/>
      <c r="GA110" s="198"/>
      <c r="GB110" s="198"/>
      <c r="GC110" s="198"/>
      <c r="GD110" s="198"/>
      <c r="GE110" s="198"/>
      <c r="GF110" s="198"/>
      <c r="GG110" s="198"/>
      <c r="GH110" s="198"/>
      <c r="GI110" s="198"/>
      <c r="GJ110" s="198"/>
      <c r="GK110" s="198"/>
      <c r="GL110" s="198"/>
      <c r="GM110" s="198"/>
      <c r="GN110" s="198"/>
      <c r="GO110" s="198"/>
      <c r="GP110" s="198"/>
      <c r="GQ110" s="198"/>
      <c r="GR110" s="198"/>
      <c r="GS110" s="198"/>
      <c r="GT110" s="198"/>
      <c r="GU110" s="198"/>
      <c r="GV110" s="198"/>
      <c r="GW110" s="198"/>
      <c r="GX110" s="198"/>
      <c r="GY110" s="198"/>
      <c r="GZ110" s="198"/>
      <c r="HA110" s="198"/>
      <c r="HB110" s="198"/>
      <c r="HC110" s="198"/>
      <c r="HD110" s="198"/>
      <c r="HE110" s="198"/>
      <c r="HF110" s="198"/>
      <c r="HG110" s="198"/>
      <c r="HH110" s="198"/>
      <c r="HI110" s="198"/>
      <c r="HJ110" s="198"/>
      <c r="HK110" s="198"/>
      <c r="HL110" s="198"/>
      <c r="HM110" s="198"/>
      <c r="HN110" s="198"/>
      <c r="HO110" s="198"/>
      <c r="HP110" s="198"/>
      <c r="HQ110" s="198"/>
      <c r="HR110" s="198"/>
      <c r="HS110" s="198"/>
      <c r="HT110" s="198"/>
      <c r="HU110" s="198"/>
      <c r="HV110" s="198"/>
      <c r="HW110" s="198"/>
      <c r="HX110" s="198"/>
      <c r="HY110" s="198"/>
      <c r="HZ110" s="198"/>
      <c r="IA110" s="198"/>
      <c r="IB110" s="198"/>
      <c r="IC110" s="198"/>
      <c r="ID110" s="198"/>
      <c r="IE110" s="198"/>
      <c r="IF110" s="198"/>
      <c r="IG110" s="198"/>
      <c r="IH110" s="198"/>
      <c r="II110" s="198"/>
      <c r="IJ110" s="198"/>
      <c r="IK110" s="198"/>
      <c r="IL110" s="198"/>
      <c r="IM110" s="198"/>
      <c r="IN110" s="198"/>
      <c r="IO110" s="198"/>
      <c r="IP110" s="198"/>
      <c r="IQ110" s="198"/>
      <c r="IR110" s="198"/>
      <c r="IS110" s="198"/>
      <c r="IT110" s="198"/>
      <c r="IU110" s="198"/>
      <c r="IV110" s="198"/>
      <c r="IW110" s="198"/>
      <c r="IX110" s="198"/>
      <c r="IY110" s="198"/>
      <c r="IZ110" s="198"/>
      <c r="JA110" s="198"/>
      <c r="JB110" s="198"/>
      <c r="JC110" s="198"/>
      <c r="JD110" s="198"/>
      <c r="JE110" s="198"/>
      <c r="JF110" s="198"/>
      <c r="JG110" s="198"/>
      <c r="JH110" s="198"/>
      <c r="JI110" s="198"/>
      <c r="JJ110" s="198"/>
      <c r="JK110" s="198"/>
      <c r="JL110" s="198"/>
      <c r="JM110" s="198"/>
      <c r="JN110" s="198"/>
      <c r="JO110" s="198"/>
      <c r="JP110" s="198"/>
      <c r="JQ110" s="198"/>
      <c r="JR110" s="198"/>
      <c r="JS110" s="198"/>
      <c r="JT110" s="198"/>
      <c r="JU110" s="198"/>
      <c r="JV110" s="198"/>
      <c r="JW110" s="198"/>
      <c r="JX110" s="198"/>
      <c r="JY110" s="198"/>
      <c r="JZ110" s="198"/>
      <c r="KA110" s="198"/>
      <c r="KB110" s="198"/>
      <c r="KC110" s="198"/>
      <c r="KD110" s="198"/>
      <c r="KE110" s="198"/>
      <c r="KF110" s="198"/>
      <c r="KG110" s="198"/>
      <c r="KH110" s="198"/>
      <c r="KI110" s="198"/>
      <c r="KJ110" s="198"/>
      <c r="KK110" s="198"/>
      <c r="KL110" s="198"/>
      <c r="KM110" s="198"/>
      <c r="KN110" s="198"/>
      <c r="KO110" s="198"/>
      <c r="KP110" s="198"/>
      <c r="KQ110" s="198"/>
      <c r="KR110" s="198"/>
      <c r="KS110" s="198"/>
      <c r="KT110" s="198"/>
      <c r="KU110" s="198"/>
      <c r="KV110" s="198"/>
      <c r="KW110" s="198"/>
      <c r="KX110" s="198"/>
      <c r="KY110" s="198"/>
      <c r="KZ110" s="198"/>
      <c r="LA110" s="198"/>
      <c r="LB110" s="198"/>
      <c r="LC110" s="198"/>
      <c r="LD110" s="198"/>
      <c r="LE110" s="198"/>
      <c r="LF110" s="198"/>
      <c r="LG110" s="198"/>
      <c r="LH110" s="198"/>
      <c r="LI110" s="198"/>
      <c r="LJ110" s="198"/>
      <c r="LK110" s="198"/>
      <c r="LL110" s="198"/>
      <c r="LM110" s="198"/>
      <c r="LN110" s="198"/>
      <c r="LO110" s="198"/>
      <c r="LP110" s="198"/>
      <c r="LQ110" s="198"/>
      <c r="LR110" s="198"/>
      <c r="LS110" s="198"/>
      <c r="LT110" s="198"/>
      <c r="LU110" s="198"/>
      <c r="LV110" s="198"/>
      <c r="LW110" s="198"/>
      <c r="LX110" s="198"/>
      <c r="LY110" s="198"/>
      <c r="LZ110" s="198"/>
      <c r="MA110" s="198"/>
      <c r="MB110" s="198"/>
      <c r="MC110" s="198"/>
      <c r="MD110" s="198"/>
      <c r="ME110" s="198"/>
      <c r="MF110" s="198"/>
      <c r="MG110" s="198"/>
      <c r="MH110" s="198"/>
      <c r="MI110" s="198"/>
      <c r="MJ110" s="198"/>
      <c r="MK110" s="198"/>
      <c r="ML110" s="198"/>
      <c r="MM110" s="198"/>
      <c r="MN110" s="198"/>
      <c r="MO110" s="198"/>
      <c r="MP110" s="198"/>
      <c r="MQ110" s="198"/>
      <c r="MR110" s="198"/>
      <c r="MS110" s="198"/>
      <c r="MT110" s="198"/>
      <c r="MU110" s="198"/>
      <c r="MV110" s="198"/>
      <c r="MW110" s="198"/>
      <c r="MX110" s="198"/>
      <c r="MY110" s="198"/>
      <c r="MZ110" s="198"/>
      <c r="NA110" s="198"/>
      <c r="NB110" s="198"/>
      <c r="NC110" s="198"/>
      <c r="ND110" s="198"/>
      <c r="NE110" s="198"/>
      <c r="NF110" s="198"/>
      <c r="NG110" s="198"/>
      <c r="NH110" s="198"/>
      <c r="NI110" s="198"/>
      <c r="NJ110" s="198"/>
      <c r="NK110" s="198"/>
      <c r="NL110" s="198"/>
      <c r="NM110" s="198"/>
      <c r="NN110" s="198"/>
      <c r="NO110" s="198"/>
      <c r="NP110" s="198"/>
      <c r="NQ110" s="198"/>
      <c r="NR110" s="198"/>
      <c r="NS110" s="198"/>
      <c r="NT110" s="198"/>
      <c r="NU110" s="198"/>
      <c r="NV110" s="198"/>
      <c r="NW110" s="198"/>
      <c r="NX110" s="198"/>
      <c r="NY110" s="198"/>
      <c r="NZ110" s="198"/>
      <c r="OA110" s="198"/>
      <c r="OB110" s="198"/>
      <c r="OC110" s="198"/>
      <c r="OD110" s="198"/>
      <c r="OE110" s="198"/>
      <c r="OF110" s="198"/>
      <c r="OG110" s="198"/>
      <c r="OH110" s="198"/>
      <c r="OI110" s="198"/>
      <c r="OJ110" s="198"/>
      <c r="OK110" s="198"/>
      <c r="OL110" s="198"/>
      <c r="OM110" s="198"/>
      <c r="ON110" s="198"/>
      <c r="OO110" s="198"/>
      <c r="OP110" s="198"/>
      <c r="OQ110" s="198"/>
      <c r="OR110" s="198"/>
      <c r="OS110" s="198"/>
      <c r="OT110" s="198"/>
      <c r="OU110" s="198"/>
      <c r="OV110" s="198"/>
      <c r="OW110" s="198"/>
      <c r="OX110" s="198"/>
      <c r="OY110" s="198"/>
      <c r="OZ110" s="198"/>
      <c r="PA110" s="198"/>
      <c r="PB110" s="198"/>
      <c r="PC110" s="198"/>
      <c r="PD110" s="198"/>
      <c r="PE110" s="198"/>
      <c r="PF110" s="198"/>
      <c r="PG110" s="198"/>
      <c r="PH110" s="198"/>
      <c r="PI110" s="198"/>
      <c r="PJ110" s="198"/>
      <c r="PK110" s="198"/>
      <c r="PL110" s="198"/>
      <c r="PM110" s="198"/>
      <c r="PN110" s="198"/>
      <c r="PO110" s="198"/>
      <c r="PP110" s="198"/>
      <c r="PQ110" s="198"/>
      <c r="PR110" s="198"/>
      <c r="PS110" s="198"/>
      <c r="PT110" s="198"/>
      <c r="PU110" s="198"/>
      <c r="PV110" s="198"/>
      <c r="PW110" s="198"/>
      <c r="PX110" s="198"/>
      <c r="PY110" s="198"/>
      <c r="PZ110" s="198"/>
      <c r="QA110" s="198"/>
      <c r="QB110" s="198"/>
      <c r="QC110" s="198"/>
      <c r="QD110" s="198"/>
      <c r="QE110" s="198"/>
      <c r="QF110" s="198"/>
      <c r="QG110" s="198"/>
      <c r="QH110" s="198"/>
      <c r="QI110" s="198"/>
      <c r="QJ110" s="198"/>
      <c r="QK110" s="198"/>
      <c r="QL110" s="198"/>
      <c r="QM110" s="198"/>
      <c r="QN110" s="198"/>
      <c r="QO110" s="198"/>
      <c r="QP110" s="198"/>
      <c r="QQ110" s="198"/>
      <c r="QR110" s="198"/>
      <c r="QS110" s="198"/>
      <c r="QT110" s="198"/>
      <c r="QU110" s="198"/>
      <c r="QV110" s="198"/>
      <c r="QW110" s="198"/>
      <c r="QX110" s="198"/>
      <c r="QY110" s="198"/>
      <c r="QZ110" s="198"/>
      <c r="RA110" s="198"/>
      <c r="RB110" s="198"/>
      <c r="RC110" s="198"/>
      <c r="RD110" s="198"/>
      <c r="RE110" s="198"/>
      <c r="RF110" s="198"/>
      <c r="RG110" s="198"/>
      <c r="RH110" s="198"/>
      <c r="RI110" s="198"/>
      <c r="RJ110" s="198"/>
      <c r="RK110" s="198"/>
      <c r="RL110" s="198"/>
      <c r="RM110" s="198"/>
      <c r="RN110" s="198"/>
      <c r="RO110" s="198"/>
      <c r="RP110" s="198"/>
      <c r="RQ110" s="198"/>
      <c r="RR110" s="198"/>
      <c r="RS110" s="198"/>
      <c r="RT110" s="198"/>
      <c r="RU110" s="198"/>
      <c r="RV110" s="198"/>
      <c r="RW110" s="198"/>
      <c r="RX110" s="198"/>
      <c r="RY110" s="198"/>
      <c r="RZ110" s="198"/>
      <c r="SA110" s="198"/>
      <c r="SB110" s="198"/>
      <c r="SC110" s="198"/>
      <c r="SD110" s="198"/>
      <c r="SE110" s="198"/>
      <c r="SF110" s="198"/>
      <c r="SG110" s="198"/>
    </row>
    <row r="111" spans="1:501" ht="40.049999999999997" customHeight="1" x14ac:dyDescent="0.3">
      <c r="A111" s="541" t="s">
        <v>288</v>
      </c>
      <c r="B111" s="952" t="s">
        <v>289</v>
      </c>
      <c r="C111" s="950"/>
      <c r="D111" s="861"/>
      <c r="E111" s="862"/>
      <c r="F111" s="861"/>
      <c r="G111" s="862"/>
      <c r="H111" s="861"/>
      <c r="I111" s="862"/>
      <c r="J111" s="861"/>
      <c r="K111" s="862"/>
      <c r="L111" s="861"/>
      <c r="M111" s="862"/>
      <c r="N111" s="861"/>
      <c r="O111" s="862"/>
      <c r="P111" s="861"/>
      <c r="Q111" s="862"/>
      <c r="R111" s="861"/>
      <c r="S111" s="862"/>
      <c r="T111" s="861"/>
      <c r="U111" s="862"/>
      <c r="V111" s="861"/>
      <c r="W111" s="862"/>
      <c r="X111" s="861"/>
      <c r="Y111" s="862"/>
      <c r="Z111" s="861"/>
      <c r="AA111" s="862"/>
      <c r="AB111" s="864"/>
      <c r="AC111" s="864"/>
      <c r="AD111" s="864"/>
      <c r="AE111" s="864"/>
      <c r="AF111" s="861"/>
      <c r="AG111" s="865">
        <f>SUM(C111:AA111)</f>
        <v>0</v>
      </c>
      <c r="AH111" s="866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  <c r="AS111" s="198"/>
      <c r="AT111" s="198"/>
      <c r="AU111" s="198"/>
      <c r="AV111" s="198"/>
      <c r="AW111" s="198"/>
      <c r="AX111" s="198"/>
      <c r="AY111" s="198"/>
      <c r="AZ111" s="198"/>
      <c r="BA111" s="198"/>
      <c r="BB111" s="198"/>
      <c r="BC111" s="198"/>
      <c r="BD111" s="198"/>
      <c r="BE111" s="198"/>
      <c r="BF111" s="198"/>
      <c r="BG111" s="198"/>
      <c r="BH111" s="198"/>
      <c r="BI111" s="198"/>
      <c r="BJ111" s="198"/>
      <c r="BK111" s="198"/>
      <c r="BL111" s="198"/>
      <c r="BM111" s="198"/>
      <c r="BN111" s="198"/>
      <c r="BO111" s="198"/>
      <c r="BP111" s="198"/>
      <c r="BQ111" s="198"/>
      <c r="BR111" s="198"/>
      <c r="BS111" s="198"/>
      <c r="BT111" s="198"/>
      <c r="BU111" s="198"/>
      <c r="BV111" s="198"/>
      <c r="BW111" s="198"/>
      <c r="BX111" s="198"/>
      <c r="BY111" s="198"/>
      <c r="BZ111" s="198"/>
      <c r="CA111" s="198"/>
      <c r="CB111" s="198"/>
      <c r="CC111" s="198"/>
      <c r="CD111" s="198"/>
      <c r="CE111" s="198"/>
      <c r="CF111" s="198"/>
      <c r="CG111" s="198"/>
      <c r="CH111" s="198"/>
      <c r="CI111" s="198"/>
      <c r="CJ111" s="198"/>
      <c r="CK111" s="198"/>
      <c r="CL111" s="198"/>
      <c r="CM111" s="198"/>
      <c r="CN111" s="198"/>
      <c r="CO111" s="198"/>
      <c r="CP111" s="198"/>
      <c r="CQ111" s="198"/>
      <c r="CR111" s="198"/>
      <c r="CS111" s="198"/>
      <c r="CT111" s="198"/>
      <c r="CU111" s="198"/>
      <c r="CV111" s="198"/>
      <c r="CW111" s="198"/>
      <c r="CX111" s="198"/>
      <c r="CY111" s="198"/>
      <c r="CZ111" s="198"/>
      <c r="DA111" s="198"/>
      <c r="DB111" s="198"/>
      <c r="DC111" s="198"/>
      <c r="DD111" s="198"/>
      <c r="DE111" s="198"/>
      <c r="DF111" s="198"/>
      <c r="DG111" s="198"/>
      <c r="DH111" s="198"/>
      <c r="DI111" s="198"/>
      <c r="DJ111" s="198"/>
      <c r="DK111" s="198"/>
      <c r="DL111" s="198"/>
      <c r="DM111" s="198"/>
      <c r="DN111" s="198"/>
      <c r="DO111" s="198"/>
      <c r="DP111" s="198"/>
      <c r="DQ111" s="198"/>
      <c r="DR111" s="198"/>
      <c r="DS111" s="198"/>
      <c r="DT111" s="198"/>
      <c r="DU111" s="198"/>
      <c r="DV111" s="198"/>
      <c r="DW111" s="198"/>
      <c r="DX111" s="198"/>
      <c r="DY111" s="198"/>
      <c r="DZ111" s="198"/>
      <c r="EA111" s="198"/>
      <c r="EB111" s="198"/>
      <c r="EC111" s="198"/>
      <c r="ED111" s="198"/>
      <c r="EE111" s="198"/>
      <c r="EF111" s="198"/>
      <c r="EG111" s="198"/>
      <c r="EH111" s="198"/>
      <c r="EI111" s="198"/>
      <c r="EJ111" s="198"/>
      <c r="EK111" s="198"/>
      <c r="EL111" s="198"/>
      <c r="EM111" s="198"/>
      <c r="EN111" s="198"/>
      <c r="EO111" s="198"/>
      <c r="EP111" s="198"/>
      <c r="EQ111" s="198"/>
      <c r="ER111" s="198"/>
      <c r="ES111" s="198"/>
      <c r="ET111" s="198"/>
      <c r="EU111" s="198"/>
      <c r="EV111" s="198"/>
      <c r="EW111" s="198"/>
      <c r="EX111" s="198"/>
      <c r="EY111" s="198"/>
      <c r="EZ111" s="198"/>
      <c r="FA111" s="198"/>
      <c r="FB111" s="198"/>
      <c r="FC111" s="198"/>
      <c r="FD111" s="198"/>
      <c r="FE111" s="198"/>
      <c r="FF111" s="198"/>
      <c r="FG111" s="198"/>
      <c r="FH111" s="198"/>
      <c r="FI111" s="198"/>
      <c r="FJ111" s="198"/>
      <c r="FK111" s="198"/>
      <c r="FL111" s="198"/>
      <c r="FM111" s="198"/>
      <c r="FN111" s="198"/>
      <c r="FO111" s="198"/>
      <c r="FP111" s="198"/>
      <c r="FQ111" s="198"/>
      <c r="FR111" s="198"/>
      <c r="FS111" s="198"/>
      <c r="FT111" s="198"/>
      <c r="FU111" s="198"/>
      <c r="FV111" s="198"/>
      <c r="FW111" s="198"/>
      <c r="FX111" s="198"/>
      <c r="FY111" s="198"/>
      <c r="FZ111" s="198"/>
      <c r="GA111" s="198"/>
      <c r="GB111" s="198"/>
      <c r="GC111" s="198"/>
      <c r="GD111" s="198"/>
      <c r="GE111" s="198"/>
      <c r="GF111" s="198"/>
      <c r="GG111" s="198"/>
      <c r="GH111" s="198"/>
      <c r="GI111" s="198"/>
      <c r="GJ111" s="198"/>
      <c r="GK111" s="198"/>
      <c r="GL111" s="198"/>
      <c r="GM111" s="198"/>
      <c r="GN111" s="198"/>
      <c r="GO111" s="198"/>
      <c r="GP111" s="198"/>
      <c r="GQ111" s="198"/>
      <c r="GR111" s="198"/>
      <c r="GS111" s="198"/>
      <c r="GT111" s="198"/>
      <c r="GU111" s="198"/>
      <c r="GV111" s="198"/>
      <c r="GW111" s="198"/>
      <c r="GX111" s="198"/>
      <c r="GY111" s="198"/>
      <c r="GZ111" s="198"/>
      <c r="HA111" s="198"/>
      <c r="HB111" s="198"/>
      <c r="HC111" s="198"/>
      <c r="HD111" s="198"/>
      <c r="HE111" s="198"/>
      <c r="HF111" s="198"/>
      <c r="HG111" s="198"/>
      <c r="HH111" s="198"/>
      <c r="HI111" s="198"/>
      <c r="HJ111" s="198"/>
      <c r="HK111" s="198"/>
      <c r="HL111" s="198"/>
      <c r="HM111" s="198"/>
      <c r="HN111" s="198"/>
      <c r="HO111" s="198"/>
      <c r="HP111" s="198"/>
      <c r="HQ111" s="198"/>
      <c r="HR111" s="198"/>
      <c r="HS111" s="198"/>
      <c r="HT111" s="198"/>
      <c r="HU111" s="198"/>
      <c r="HV111" s="198"/>
      <c r="HW111" s="198"/>
      <c r="HX111" s="198"/>
      <c r="HY111" s="198"/>
      <c r="HZ111" s="198"/>
      <c r="IA111" s="198"/>
      <c r="IB111" s="198"/>
      <c r="IC111" s="198"/>
      <c r="ID111" s="198"/>
      <c r="IE111" s="198"/>
      <c r="IF111" s="198"/>
      <c r="IG111" s="198"/>
      <c r="IH111" s="198"/>
      <c r="II111" s="198"/>
      <c r="IJ111" s="198"/>
      <c r="IK111" s="198"/>
      <c r="IL111" s="198"/>
      <c r="IM111" s="198"/>
      <c r="IN111" s="198"/>
      <c r="IO111" s="198"/>
      <c r="IP111" s="198"/>
      <c r="IQ111" s="198"/>
      <c r="IR111" s="198"/>
      <c r="IS111" s="198"/>
      <c r="IT111" s="198"/>
      <c r="IU111" s="198"/>
      <c r="IV111" s="198"/>
      <c r="IW111" s="198"/>
      <c r="IX111" s="198"/>
      <c r="IY111" s="198"/>
      <c r="IZ111" s="198"/>
      <c r="JA111" s="198"/>
      <c r="JB111" s="198"/>
      <c r="JC111" s="198"/>
      <c r="JD111" s="198"/>
      <c r="JE111" s="198"/>
      <c r="JF111" s="198"/>
      <c r="JG111" s="198"/>
      <c r="JH111" s="198"/>
      <c r="JI111" s="198"/>
      <c r="JJ111" s="198"/>
      <c r="JK111" s="198"/>
      <c r="JL111" s="198"/>
      <c r="JM111" s="198"/>
      <c r="JN111" s="198"/>
      <c r="JO111" s="198"/>
      <c r="JP111" s="198"/>
      <c r="JQ111" s="198"/>
      <c r="JR111" s="198"/>
      <c r="JS111" s="198"/>
      <c r="JT111" s="198"/>
      <c r="JU111" s="198"/>
      <c r="JV111" s="198"/>
      <c r="JW111" s="198"/>
      <c r="JX111" s="198"/>
      <c r="JY111" s="198"/>
      <c r="JZ111" s="198"/>
      <c r="KA111" s="198"/>
      <c r="KB111" s="198"/>
      <c r="KC111" s="198"/>
      <c r="KD111" s="198"/>
      <c r="KE111" s="198"/>
      <c r="KF111" s="198"/>
      <c r="KG111" s="198"/>
      <c r="KH111" s="198"/>
      <c r="KI111" s="198"/>
      <c r="KJ111" s="198"/>
      <c r="KK111" s="198"/>
      <c r="KL111" s="198"/>
      <c r="KM111" s="198"/>
      <c r="KN111" s="198"/>
      <c r="KO111" s="198"/>
      <c r="KP111" s="198"/>
      <c r="KQ111" s="198"/>
      <c r="KR111" s="198"/>
      <c r="KS111" s="198"/>
      <c r="KT111" s="198"/>
      <c r="KU111" s="198"/>
      <c r="KV111" s="198"/>
      <c r="KW111" s="198"/>
      <c r="KX111" s="198"/>
      <c r="KY111" s="198"/>
      <c r="KZ111" s="198"/>
      <c r="LA111" s="198"/>
      <c r="LB111" s="198"/>
      <c r="LC111" s="198"/>
      <c r="LD111" s="198"/>
      <c r="LE111" s="198"/>
      <c r="LF111" s="198"/>
      <c r="LG111" s="198"/>
      <c r="LH111" s="198"/>
      <c r="LI111" s="198"/>
      <c r="LJ111" s="198"/>
      <c r="LK111" s="198"/>
      <c r="LL111" s="198"/>
      <c r="LM111" s="198"/>
      <c r="LN111" s="198"/>
      <c r="LO111" s="198"/>
      <c r="LP111" s="198"/>
      <c r="LQ111" s="198"/>
      <c r="LR111" s="198"/>
      <c r="LS111" s="198"/>
      <c r="LT111" s="198"/>
      <c r="LU111" s="198"/>
      <c r="LV111" s="198"/>
      <c r="LW111" s="198"/>
      <c r="LX111" s="198"/>
      <c r="LY111" s="198"/>
      <c r="LZ111" s="198"/>
      <c r="MA111" s="198"/>
      <c r="MB111" s="198"/>
      <c r="MC111" s="198"/>
      <c r="MD111" s="198"/>
      <c r="ME111" s="198"/>
      <c r="MF111" s="198"/>
      <c r="MG111" s="198"/>
      <c r="MH111" s="198"/>
      <c r="MI111" s="198"/>
      <c r="MJ111" s="198"/>
      <c r="MK111" s="198"/>
      <c r="ML111" s="198"/>
      <c r="MM111" s="198"/>
      <c r="MN111" s="198"/>
      <c r="MO111" s="198"/>
      <c r="MP111" s="198"/>
      <c r="MQ111" s="198"/>
      <c r="MR111" s="198"/>
      <c r="MS111" s="198"/>
      <c r="MT111" s="198"/>
      <c r="MU111" s="198"/>
      <c r="MV111" s="198"/>
      <c r="MW111" s="198"/>
      <c r="MX111" s="198"/>
      <c r="MY111" s="198"/>
      <c r="MZ111" s="198"/>
      <c r="NA111" s="198"/>
      <c r="NB111" s="198"/>
      <c r="NC111" s="198"/>
      <c r="ND111" s="198"/>
      <c r="NE111" s="198"/>
      <c r="NF111" s="198"/>
      <c r="NG111" s="198"/>
      <c r="NH111" s="198"/>
      <c r="NI111" s="198"/>
      <c r="NJ111" s="198"/>
      <c r="NK111" s="198"/>
      <c r="NL111" s="198"/>
      <c r="NM111" s="198"/>
      <c r="NN111" s="198"/>
      <c r="NO111" s="198"/>
      <c r="NP111" s="198"/>
      <c r="NQ111" s="198"/>
      <c r="NR111" s="198"/>
      <c r="NS111" s="198"/>
      <c r="NT111" s="198"/>
      <c r="NU111" s="198"/>
      <c r="NV111" s="198"/>
      <c r="NW111" s="198"/>
      <c r="NX111" s="198"/>
      <c r="NY111" s="198"/>
      <c r="NZ111" s="198"/>
      <c r="OA111" s="198"/>
      <c r="OB111" s="198"/>
      <c r="OC111" s="198"/>
      <c r="OD111" s="198"/>
      <c r="OE111" s="198"/>
      <c r="OF111" s="198"/>
      <c r="OG111" s="198"/>
      <c r="OH111" s="198"/>
      <c r="OI111" s="198"/>
      <c r="OJ111" s="198"/>
      <c r="OK111" s="198"/>
      <c r="OL111" s="198"/>
      <c r="OM111" s="198"/>
      <c r="ON111" s="198"/>
      <c r="OO111" s="198"/>
      <c r="OP111" s="198"/>
      <c r="OQ111" s="198"/>
      <c r="OR111" s="198"/>
      <c r="OS111" s="198"/>
      <c r="OT111" s="198"/>
      <c r="OU111" s="198"/>
      <c r="OV111" s="198"/>
      <c r="OW111" s="198"/>
      <c r="OX111" s="198"/>
      <c r="OY111" s="198"/>
      <c r="OZ111" s="198"/>
      <c r="PA111" s="198"/>
      <c r="PB111" s="198"/>
      <c r="PC111" s="198"/>
      <c r="PD111" s="198"/>
      <c r="PE111" s="198"/>
      <c r="PF111" s="198"/>
      <c r="PG111" s="198"/>
      <c r="PH111" s="198"/>
      <c r="PI111" s="198"/>
      <c r="PJ111" s="198"/>
      <c r="PK111" s="198"/>
      <c r="PL111" s="198"/>
      <c r="PM111" s="198"/>
      <c r="PN111" s="198"/>
      <c r="PO111" s="198"/>
      <c r="PP111" s="198"/>
      <c r="PQ111" s="198"/>
      <c r="PR111" s="198"/>
      <c r="PS111" s="198"/>
      <c r="PT111" s="198"/>
      <c r="PU111" s="198"/>
      <c r="PV111" s="198"/>
      <c r="PW111" s="198"/>
      <c r="PX111" s="198"/>
      <c r="PY111" s="198"/>
      <c r="PZ111" s="198"/>
      <c r="QA111" s="198"/>
      <c r="QB111" s="198"/>
      <c r="QC111" s="198"/>
      <c r="QD111" s="198"/>
      <c r="QE111" s="198"/>
      <c r="QF111" s="198"/>
      <c r="QG111" s="198"/>
      <c r="QH111" s="198"/>
      <c r="QI111" s="198"/>
      <c r="QJ111" s="198"/>
      <c r="QK111" s="198"/>
      <c r="QL111" s="198"/>
      <c r="QM111" s="198"/>
      <c r="QN111" s="198"/>
      <c r="QO111" s="198"/>
      <c r="QP111" s="198"/>
      <c r="QQ111" s="198"/>
      <c r="QR111" s="198"/>
      <c r="QS111" s="198"/>
      <c r="QT111" s="198"/>
      <c r="QU111" s="198"/>
      <c r="QV111" s="198"/>
      <c r="QW111" s="198"/>
      <c r="QX111" s="198"/>
      <c r="QY111" s="198"/>
      <c r="QZ111" s="198"/>
      <c r="RA111" s="198"/>
      <c r="RB111" s="198"/>
      <c r="RC111" s="198"/>
      <c r="RD111" s="198"/>
      <c r="RE111" s="198"/>
      <c r="RF111" s="198"/>
      <c r="RG111" s="198"/>
      <c r="RH111" s="198"/>
      <c r="RI111" s="198"/>
      <c r="RJ111" s="198"/>
      <c r="RK111" s="198"/>
      <c r="RL111" s="198"/>
      <c r="RM111" s="198"/>
      <c r="RN111" s="198"/>
      <c r="RO111" s="198"/>
      <c r="RP111" s="198"/>
      <c r="RQ111" s="198"/>
      <c r="RR111" s="198"/>
      <c r="RS111" s="198"/>
      <c r="RT111" s="198"/>
      <c r="RU111" s="198"/>
      <c r="RV111" s="198"/>
      <c r="RW111" s="198"/>
      <c r="RX111" s="198"/>
      <c r="RY111" s="198"/>
      <c r="RZ111" s="198"/>
      <c r="SA111" s="198"/>
      <c r="SB111" s="198"/>
      <c r="SC111" s="198"/>
      <c r="SD111" s="198"/>
      <c r="SE111" s="198"/>
      <c r="SF111" s="198"/>
      <c r="SG111" s="198"/>
    </row>
    <row r="112" spans="1:501" ht="40.049999999999997" customHeight="1" x14ac:dyDescent="0.3">
      <c r="A112" s="541" t="s">
        <v>290</v>
      </c>
      <c r="B112" s="952" t="s">
        <v>291</v>
      </c>
      <c r="C112" s="950"/>
      <c r="D112" s="861"/>
      <c r="E112" s="862"/>
      <c r="F112" s="861"/>
      <c r="G112" s="862"/>
      <c r="H112" s="861"/>
      <c r="I112" s="862"/>
      <c r="J112" s="861"/>
      <c r="K112" s="862"/>
      <c r="L112" s="861"/>
      <c r="M112" s="862"/>
      <c r="N112" s="861"/>
      <c r="O112" s="862"/>
      <c r="P112" s="861"/>
      <c r="Q112" s="862"/>
      <c r="R112" s="861"/>
      <c r="S112" s="862"/>
      <c r="T112" s="861"/>
      <c r="U112" s="862"/>
      <c r="V112" s="861"/>
      <c r="W112" s="862"/>
      <c r="X112" s="861"/>
      <c r="Y112" s="862"/>
      <c r="Z112" s="861"/>
      <c r="AA112" s="862"/>
      <c r="AB112" s="864"/>
      <c r="AC112" s="864"/>
      <c r="AD112" s="864"/>
      <c r="AE112" s="864"/>
      <c r="AF112" s="861"/>
      <c r="AG112" s="865">
        <f>SUM(C112:AA112)</f>
        <v>0</v>
      </c>
      <c r="AH112" s="866"/>
      <c r="AI112" s="198"/>
      <c r="AJ112" s="198"/>
      <c r="AK112" s="198"/>
      <c r="AL112" s="198"/>
      <c r="AM112" s="198"/>
      <c r="AN112" s="198"/>
      <c r="AO112" s="198"/>
      <c r="AP112" s="198"/>
      <c r="AQ112" s="198"/>
      <c r="AR112" s="198"/>
      <c r="AS112" s="198"/>
      <c r="AT112" s="198"/>
      <c r="AU112" s="198"/>
      <c r="AV112" s="198"/>
      <c r="AW112" s="198"/>
      <c r="AX112" s="198"/>
      <c r="AY112" s="198"/>
      <c r="AZ112" s="198"/>
      <c r="BA112" s="198"/>
      <c r="BB112" s="198"/>
      <c r="BC112" s="198"/>
      <c r="BD112" s="198"/>
      <c r="BE112" s="198"/>
      <c r="BF112" s="198"/>
      <c r="BG112" s="198"/>
      <c r="BH112" s="198"/>
      <c r="BI112" s="198"/>
      <c r="BJ112" s="198"/>
      <c r="BK112" s="198"/>
      <c r="BL112" s="198"/>
      <c r="BM112" s="198"/>
      <c r="BN112" s="198"/>
      <c r="BO112" s="198"/>
      <c r="BP112" s="198"/>
      <c r="BQ112" s="198"/>
      <c r="BR112" s="198"/>
      <c r="BS112" s="198"/>
      <c r="BT112" s="198"/>
      <c r="BU112" s="198"/>
      <c r="BV112" s="198"/>
      <c r="BW112" s="198"/>
      <c r="BX112" s="198"/>
      <c r="BY112" s="198"/>
      <c r="BZ112" s="198"/>
      <c r="CA112" s="198"/>
      <c r="CB112" s="198"/>
      <c r="CC112" s="198"/>
      <c r="CD112" s="198"/>
      <c r="CE112" s="198"/>
      <c r="CF112" s="198"/>
      <c r="CG112" s="198"/>
      <c r="CH112" s="198"/>
      <c r="CI112" s="198"/>
      <c r="CJ112" s="198"/>
      <c r="CK112" s="198"/>
      <c r="CL112" s="198"/>
      <c r="CM112" s="198"/>
      <c r="CN112" s="198"/>
      <c r="CO112" s="198"/>
      <c r="CP112" s="198"/>
      <c r="CQ112" s="198"/>
      <c r="CR112" s="198"/>
      <c r="CS112" s="198"/>
      <c r="CT112" s="198"/>
      <c r="CU112" s="198"/>
      <c r="CV112" s="198"/>
      <c r="CW112" s="198"/>
      <c r="CX112" s="198"/>
      <c r="CY112" s="198"/>
      <c r="CZ112" s="198"/>
      <c r="DA112" s="198"/>
      <c r="DB112" s="198"/>
      <c r="DC112" s="198"/>
      <c r="DD112" s="198"/>
      <c r="DE112" s="198"/>
      <c r="DF112" s="198"/>
      <c r="DG112" s="198"/>
      <c r="DH112" s="198"/>
      <c r="DI112" s="198"/>
      <c r="DJ112" s="198"/>
      <c r="DK112" s="198"/>
      <c r="DL112" s="198"/>
      <c r="DM112" s="198"/>
      <c r="DN112" s="198"/>
      <c r="DO112" s="198"/>
      <c r="DP112" s="198"/>
      <c r="DQ112" s="198"/>
      <c r="DR112" s="198"/>
      <c r="DS112" s="198"/>
      <c r="DT112" s="198"/>
      <c r="DU112" s="198"/>
      <c r="DV112" s="198"/>
      <c r="DW112" s="198"/>
      <c r="DX112" s="198"/>
      <c r="DY112" s="198"/>
      <c r="DZ112" s="198"/>
      <c r="EA112" s="198"/>
      <c r="EB112" s="198"/>
      <c r="EC112" s="198"/>
      <c r="ED112" s="198"/>
      <c r="EE112" s="198"/>
      <c r="EF112" s="198"/>
      <c r="EG112" s="198"/>
      <c r="EH112" s="198"/>
      <c r="EI112" s="198"/>
      <c r="EJ112" s="198"/>
      <c r="EK112" s="198"/>
      <c r="EL112" s="198"/>
      <c r="EM112" s="198"/>
      <c r="EN112" s="198"/>
      <c r="EO112" s="198"/>
      <c r="EP112" s="198"/>
      <c r="EQ112" s="198"/>
      <c r="ER112" s="198"/>
      <c r="ES112" s="198"/>
      <c r="ET112" s="198"/>
      <c r="EU112" s="198"/>
      <c r="EV112" s="198"/>
      <c r="EW112" s="198"/>
      <c r="EX112" s="198"/>
      <c r="EY112" s="198"/>
      <c r="EZ112" s="198"/>
      <c r="FA112" s="198"/>
      <c r="FB112" s="198"/>
      <c r="FC112" s="198"/>
      <c r="FD112" s="198"/>
      <c r="FE112" s="198"/>
      <c r="FF112" s="198"/>
      <c r="FG112" s="198"/>
      <c r="FH112" s="198"/>
      <c r="FI112" s="198"/>
      <c r="FJ112" s="198"/>
      <c r="FK112" s="198"/>
      <c r="FL112" s="198"/>
      <c r="FM112" s="198"/>
      <c r="FN112" s="198"/>
      <c r="FO112" s="198"/>
      <c r="FP112" s="198"/>
      <c r="FQ112" s="198"/>
      <c r="FR112" s="198"/>
      <c r="FS112" s="198"/>
      <c r="FT112" s="198"/>
      <c r="FU112" s="198"/>
      <c r="FV112" s="198"/>
      <c r="FW112" s="198"/>
      <c r="FX112" s="198"/>
      <c r="FY112" s="198"/>
      <c r="FZ112" s="198"/>
      <c r="GA112" s="198"/>
      <c r="GB112" s="198"/>
      <c r="GC112" s="198"/>
      <c r="GD112" s="198"/>
      <c r="GE112" s="198"/>
      <c r="GF112" s="198"/>
      <c r="GG112" s="198"/>
      <c r="GH112" s="198"/>
      <c r="GI112" s="198"/>
      <c r="GJ112" s="198"/>
      <c r="GK112" s="198"/>
      <c r="GL112" s="198"/>
      <c r="GM112" s="198"/>
      <c r="GN112" s="198"/>
      <c r="GO112" s="198"/>
      <c r="GP112" s="198"/>
      <c r="GQ112" s="198"/>
      <c r="GR112" s="198"/>
      <c r="GS112" s="198"/>
      <c r="GT112" s="198"/>
      <c r="GU112" s="198"/>
      <c r="GV112" s="198"/>
      <c r="GW112" s="198"/>
      <c r="GX112" s="198"/>
      <c r="GY112" s="198"/>
      <c r="GZ112" s="198"/>
      <c r="HA112" s="198"/>
      <c r="HB112" s="198"/>
      <c r="HC112" s="198"/>
      <c r="HD112" s="198"/>
      <c r="HE112" s="198"/>
      <c r="HF112" s="198"/>
      <c r="HG112" s="198"/>
      <c r="HH112" s="198"/>
      <c r="HI112" s="198"/>
      <c r="HJ112" s="198"/>
      <c r="HK112" s="198"/>
      <c r="HL112" s="198"/>
      <c r="HM112" s="198"/>
      <c r="HN112" s="198"/>
      <c r="HO112" s="198"/>
      <c r="HP112" s="198"/>
      <c r="HQ112" s="198"/>
      <c r="HR112" s="198"/>
      <c r="HS112" s="198"/>
      <c r="HT112" s="198"/>
      <c r="HU112" s="198"/>
      <c r="HV112" s="198"/>
      <c r="HW112" s="198"/>
      <c r="HX112" s="198"/>
      <c r="HY112" s="198"/>
      <c r="HZ112" s="198"/>
      <c r="IA112" s="198"/>
      <c r="IB112" s="198"/>
      <c r="IC112" s="198"/>
      <c r="ID112" s="198"/>
      <c r="IE112" s="198"/>
      <c r="IF112" s="198"/>
      <c r="IG112" s="198"/>
      <c r="IH112" s="198"/>
      <c r="II112" s="198"/>
      <c r="IJ112" s="198"/>
      <c r="IK112" s="198"/>
      <c r="IL112" s="198"/>
      <c r="IM112" s="198"/>
      <c r="IN112" s="198"/>
      <c r="IO112" s="198"/>
      <c r="IP112" s="198"/>
      <c r="IQ112" s="198"/>
      <c r="IR112" s="198"/>
      <c r="IS112" s="198"/>
      <c r="IT112" s="198"/>
      <c r="IU112" s="198"/>
      <c r="IV112" s="198"/>
      <c r="IW112" s="198"/>
      <c r="IX112" s="198"/>
      <c r="IY112" s="198"/>
      <c r="IZ112" s="198"/>
      <c r="JA112" s="198"/>
      <c r="JB112" s="198"/>
      <c r="JC112" s="198"/>
      <c r="JD112" s="198"/>
      <c r="JE112" s="198"/>
      <c r="JF112" s="198"/>
      <c r="JG112" s="198"/>
      <c r="JH112" s="198"/>
      <c r="JI112" s="198"/>
      <c r="JJ112" s="198"/>
      <c r="JK112" s="198"/>
      <c r="JL112" s="198"/>
      <c r="JM112" s="198"/>
      <c r="JN112" s="198"/>
      <c r="JO112" s="198"/>
      <c r="JP112" s="198"/>
      <c r="JQ112" s="198"/>
      <c r="JR112" s="198"/>
      <c r="JS112" s="198"/>
      <c r="JT112" s="198"/>
      <c r="JU112" s="198"/>
      <c r="JV112" s="198"/>
      <c r="JW112" s="198"/>
      <c r="JX112" s="198"/>
      <c r="JY112" s="198"/>
      <c r="JZ112" s="198"/>
      <c r="KA112" s="198"/>
      <c r="KB112" s="198"/>
      <c r="KC112" s="198"/>
      <c r="KD112" s="198"/>
      <c r="KE112" s="198"/>
      <c r="KF112" s="198"/>
      <c r="KG112" s="198"/>
      <c r="KH112" s="198"/>
      <c r="KI112" s="198"/>
      <c r="KJ112" s="198"/>
      <c r="KK112" s="198"/>
      <c r="KL112" s="198"/>
      <c r="KM112" s="198"/>
      <c r="KN112" s="198"/>
      <c r="KO112" s="198"/>
      <c r="KP112" s="198"/>
      <c r="KQ112" s="198"/>
      <c r="KR112" s="198"/>
      <c r="KS112" s="198"/>
      <c r="KT112" s="198"/>
      <c r="KU112" s="198"/>
      <c r="KV112" s="198"/>
      <c r="KW112" s="198"/>
      <c r="KX112" s="198"/>
      <c r="KY112" s="198"/>
      <c r="KZ112" s="198"/>
      <c r="LA112" s="198"/>
      <c r="LB112" s="198"/>
      <c r="LC112" s="198"/>
      <c r="LD112" s="198"/>
      <c r="LE112" s="198"/>
      <c r="LF112" s="198"/>
      <c r="LG112" s="198"/>
      <c r="LH112" s="198"/>
      <c r="LI112" s="198"/>
      <c r="LJ112" s="198"/>
      <c r="LK112" s="198"/>
      <c r="LL112" s="198"/>
      <c r="LM112" s="198"/>
      <c r="LN112" s="198"/>
      <c r="LO112" s="198"/>
      <c r="LP112" s="198"/>
      <c r="LQ112" s="198"/>
      <c r="LR112" s="198"/>
      <c r="LS112" s="198"/>
      <c r="LT112" s="198"/>
      <c r="LU112" s="198"/>
      <c r="LV112" s="198"/>
      <c r="LW112" s="198"/>
      <c r="LX112" s="198"/>
      <c r="LY112" s="198"/>
      <c r="LZ112" s="198"/>
      <c r="MA112" s="198"/>
      <c r="MB112" s="198"/>
      <c r="MC112" s="198"/>
      <c r="MD112" s="198"/>
      <c r="ME112" s="198"/>
      <c r="MF112" s="198"/>
      <c r="MG112" s="198"/>
      <c r="MH112" s="198"/>
      <c r="MI112" s="198"/>
      <c r="MJ112" s="198"/>
      <c r="MK112" s="198"/>
      <c r="ML112" s="198"/>
      <c r="MM112" s="198"/>
      <c r="MN112" s="198"/>
      <c r="MO112" s="198"/>
      <c r="MP112" s="198"/>
      <c r="MQ112" s="198"/>
      <c r="MR112" s="198"/>
      <c r="MS112" s="198"/>
      <c r="MT112" s="198"/>
      <c r="MU112" s="198"/>
      <c r="MV112" s="198"/>
      <c r="MW112" s="198"/>
      <c r="MX112" s="198"/>
      <c r="MY112" s="198"/>
      <c r="MZ112" s="198"/>
      <c r="NA112" s="198"/>
      <c r="NB112" s="198"/>
      <c r="NC112" s="198"/>
      <c r="ND112" s="198"/>
      <c r="NE112" s="198"/>
      <c r="NF112" s="198"/>
      <c r="NG112" s="198"/>
      <c r="NH112" s="198"/>
      <c r="NI112" s="198"/>
      <c r="NJ112" s="198"/>
      <c r="NK112" s="198"/>
      <c r="NL112" s="198"/>
      <c r="NM112" s="198"/>
      <c r="NN112" s="198"/>
      <c r="NO112" s="198"/>
      <c r="NP112" s="198"/>
      <c r="NQ112" s="198"/>
      <c r="NR112" s="198"/>
      <c r="NS112" s="198"/>
      <c r="NT112" s="198"/>
      <c r="NU112" s="198"/>
      <c r="NV112" s="198"/>
      <c r="NW112" s="198"/>
      <c r="NX112" s="198"/>
      <c r="NY112" s="198"/>
      <c r="NZ112" s="198"/>
      <c r="OA112" s="198"/>
      <c r="OB112" s="198"/>
      <c r="OC112" s="198"/>
      <c r="OD112" s="198"/>
      <c r="OE112" s="198"/>
      <c r="OF112" s="198"/>
      <c r="OG112" s="198"/>
      <c r="OH112" s="198"/>
      <c r="OI112" s="198"/>
      <c r="OJ112" s="198"/>
      <c r="OK112" s="198"/>
      <c r="OL112" s="198"/>
      <c r="OM112" s="198"/>
      <c r="ON112" s="198"/>
      <c r="OO112" s="198"/>
      <c r="OP112" s="198"/>
      <c r="OQ112" s="198"/>
      <c r="OR112" s="198"/>
      <c r="OS112" s="198"/>
      <c r="OT112" s="198"/>
      <c r="OU112" s="198"/>
      <c r="OV112" s="198"/>
      <c r="OW112" s="198"/>
      <c r="OX112" s="198"/>
      <c r="OY112" s="198"/>
      <c r="OZ112" s="198"/>
      <c r="PA112" s="198"/>
      <c r="PB112" s="198"/>
      <c r="PC112" s="198"/>
      <c r="PD112" s="198"/>
      <c r="PE112" s="198"/>
      <c r="PF112" s="198"/>
      <c r="PG112" s="198"/>
      <c r="PH112" s="198"/>
      <c r="PI112" s="198"/>
      <c r="PJ112" s="198"/>
      <c r="PK112" s="198"/>
      <c r="PL112" s="198"/>
      <c r="PM112" s="198"/>
      <c r="PN112" s="198"/>
      <c r="PO112" s="198"/>
      <c r="PP112" s="198"/>
      <c r="PQ112" s="198"/>
      <c r="PR112" s="198"/>
      <c r="PS112" s="198"/>
      <c r="PT112" s="198"/>
      <c r="PU112" s="198"/>
      <c r="PV112" s="198"/>
      <c r="PW112" s="198"/>
      <c r="PX112" s="198"/>
      <c r="PY112" s="198"/>
      <c r="PZ112" s="198"/>
      <c r="QA112" s="198"/>
      <c r="QB112" s="198"/>
      <c r="QC112" s="198"/>
      <c r="QD112" s="198"/>
      <c r="QE112" s="198"/>
      <c r="QF112" s="198"/>
      <c r="QG112" s="198"/>
      <c r="QH112" s="198"/>
      <c r="QI112" s="198"/>
      <c r="QJ112" s="198"/>
      <c r="QK112" s="198"/>
      <c r="QL112" s="198"/>
      <c r="QM112" s="198"/>
      <c r="QN112" s="198"/>
      <c r="QO112" s="198"/>
      <c r="QP112" s="198"/>
      <c r="QQ112" s="198"/>
      <c r="QR112" s="198"/>
      <c r="QS112" s="198"/>
      <c r="QT112" s="198"/>
      <c r="QU112" s="198"/>
      <c r="QV112" s="198"/>
      <c r="QW112" s="198"/>
      <c r="QX112" s="198"/>
      <c r="QY112" s="198"/>
      <c r="QZ112" s="198"/>
      <c r="RA112" s="198"/>
      <c r="RB112" s="198"/>
      <c r="RC112" s="198"/>
      <c r="RD112" s="198"/>
      <c r="RE112" s="198"/>
      <c r="RF112" s="198"/>
      <c r="RG112" s="198"/>
      <c r="RH112" s="198"/>
      <c r="RI112" s="198"/>
      <c r="RJ112" s="198"/>
      <c r="RK112" s="198"/>
      <c r="RL112" s="198"/>
      <c r="RM112" s="198"/>
      <c r="RN112" s="198"/>
      <c r="RO112" s="198"/>
      <c r="RP112" s="198"/>
      <c r="RQ112" s="198"/>
      <c r="RR112" s="198"/>
      <c r="RS112" s="198"/>
      <c r="RT112" s="198"/>
      <c r="RU112" s="198"/>
      <c r="RV112" s="198"/>
      <c r="RW112" s="198"/>
      <c r="RX112" s="198"/>
      <c r="RY112" s="198"/>
      <c r="RZ112" s="198"/>
      <c r="SA112" s="198"/>
      <c r="SB112" s="198"/>
      <c r="SC112" s="198"/>
      <c r="SD112" s="198"/>
      <c r="SE112" s="198"/>
      <c r="SF112" s="198"/>
      <c r="SG112" s="198"/>
    </row>
    <row r="113" spans="1:501" ht="40.049999999999997" customHeight="1" thickBot="1" x14ac:dyDescent="0.55000000000000004">
      <c r="A113" s="943" t="s">
        <v>292</v>
      </c>
      <c r="B113" s="954" t="s">
        <v>293</v>
      </c>
      <c r="C113" s="950"/>
      <c r="D113" s="861"/>
      <c r="E113" s="862"/>
      <c r="F113" s="861"/>
      <c r="G113" s="862"/>
      <c r="H113" s="861"/>
      <c r="I113" s="862"/>
      <c r="J113" s="861"/>
      <c r="K113" s="862"/>
      <c r="L113" s="861"/>
      <c r="M113" s="862"/>
      <c r="N113" s="861"/>
      <c r="O113" s="862">
        <f>MANZ.G!AS112</f>
        <v>1</v>
      </c>
      <c r="P113" s="861"/>
      <c r="Q113" s="862"/>
      <c r="R113" s="861"/>
      <c r="S113" s="862"/>
      <c r="T113" s="861"/>
      <c r="U113" s="862"/>
      <c r="V113" s="861"/>
      <c r="W113" s="862"/>
      <c r="X113" s="861"/>
      <c r="Y113" s="862"/>
      <c r="Z113" s="861"/>
      <c r="AA113" s="862"/>
      <c r="AB113" s="864"/>
      <c r="AC113" s="864"/>
      <c r="AD113" s="864"/>
      <c r="AE113" s="864"/>
      <c r="AF113" s="861"/>
      <c r="AG113" s="865">
        <f>SUM(C114:AA114)</f>
        <v>0</v>
      </c>
      <c r="AH113" s="866"/>
    </row>
    <row r="114" spans="1:501" ht="40.049999999999997" customHeight="1" x14ac:dyDescent="0.3">
      <c r="A114" s="542" t="s">
        <v>294</v>
      </c>
      <c r="B114" s="953" t="s">
        <v>295</v>
      </c>
      <c r="C114" s="944"/>
      <c r="D114" s="944"/>
      <c r="E114" s="944"/>
      <c r="F114" s="944"/>
      <c r="G114" s="944"/>
      <c r="H114" s="944"/>
      <c r="I114" s="944"/>
      <c r="J114" s="944"/>
      <c r="K114" s="944"/>
      <c r="L114" s="944"/>
      <c r="M114" s="944"/>
      <c r="N114" s="944"/>
      <c r="O114" s="944"/>
      <c r="P114" s="944"/>
      <c r="Q114" s="944"/>
      <c r="R114" s="944"/>
      <c r="S114" s="944"/>
      <c r="T114" s="944"/>
      <c r="U114" s="944"/>
      <c r="V114" s="944"/>
      <c r="W114" s="944"/>
      <c r="X114" s="944"/>
      <c r="Y114" s="944"/>
      <c r="Z114" s="944"/>
      <c r="AA114" s="944"/>
      <c r="AB114" s="944"/>
      <c r="AC114" s="944"/>
      <c r="AD114" s="944"/>
      <c r="AE114" s="944"/>
      <c r="AF114" s="944"/>
      <c r="AG114" s="944"/>
      <c r="AH114" s="945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198"/>
      <c r="BA114" s="198"/>
      <c r="BB114" s="198"/>
      <c r="BC114" s="198"/>
      <c r="BD114" s="198"/>
      <c r="BE114" s="198"/>
      <c r="BF114" s="198"/>
      <c r="BG114" s="198"/>
      <c r="BH114" s="198"/>
      <c r="BI114" s="198"/>
      <c r="BJ114" s="198"/>
      <c r="BK114" s="198"/>
      <c r="BL114" s="198"/>
      <c r="BM114" s="198"/>
      <c r="BN114" s="198"/>
      <c r="BO114" s="198"/>
      <c r="BP114" s="198"/>
      <c r="BQ114" s="198"/>
      <c r="BR114" s="198"/>
      <c r="BS114" s="198"/>
      <c r="BT114" s="198"/>
      <c r="BU114" s="198"/>
      <c r="BV114" s="198"/>
      <c r="BW114" s="198"/>
      <c r="BX114" s="198"/>
      <c r="BY114" s="198"/>
      <c r="BZ114" s="198"/>
      <c r="CA114" s="198"/>
      <c r="CB114" s="198"/>
      <c r="CC114" s="198"/>
      <c r="CD114" s="198"/>
      <c r="CE114" s="198"/>
      <c r="CF114" s="198"/>
      <c r="CG114" s="198"/>
      <c r="CH114" s="198"/>
      <c r="CI114" s="198"/>
      <c r="CJ114" s="198"/>
      <c r="CK114" s="198"/>
      <c r="CL114" s="198"/>
      <c r="CM114" s="198"/>
      <c r="CN114" s="198"/>
      <c r="CO114" s="198"/>
      <c r="CP114" s="198"/>
      <c r="CQ114" s="198"/>
      <c r="CR114" s="198"/>
      <c r="CS114" s="198"/>
      <c r="CT114" s="198"/>
      <c r="CU114" s="198"/>
      <c r="CV114" s="198"/>
      <c r="CW114" s="198"/>
      <c r="CX114" s="198"/>
      <c r="CY114" s="198"/>
      <c r="CZ114" s="198"/>
      <c r="DA114" s="198"/>
      <c r="DB114" s="198"/>
      <c r="DC114" s="198"/>
      <c r="DD114" s="198"/>
      <c r="DE114" s="198"/>
      <c r="DF114" s="198"/>
      <c r="DG114" s="198"/>
      <c r="DH114" s="198"/>
      <c r="DI114" s="198"/>
      <c r="DJ114" s="198"/>
      <c r="DK114" s="198"/>
      <c r="DL114" s="198"/>
      <c r="DM114" s="198"/>
      <c r="DN114" s="198"/>
      <c r="DO114" s="198"/>
      <c r="DP114" s="198"/>
      <c r="DQ114" s="198"/>
      <c r="DR114" s="198"/>
      <c r="DS114" s="198"/>
      <c r="DT114" s="198"/>
      <c r="DU114" s="198"/>
      <c r="DV114" s="198"/>
      <c r="DW114" s="198"/>
      <c r="DX114" s="198"/>
      <c r="DY114" s="198"/>
      <c r="DZ114" s="198"/>
      <c r="EA114" s="198"/>
      <c r="EB114" s="198"/>
      <c r="EC114" s="198"/>
      <c r="ED114" s="198"/>
      <c r="EE114" s="198"/>
      <c r="EF114" s="198"/>
      <c r="EG114" s="198"/>
      <c r="EH114" s="198"/>
      <c r="EI114" s="198"/>
      <c r="EJ114" s="198"/>
      <c r="EK114" s="198"/>
      <c r="EL114" s="198"/>
      <c r="EM114" s="198"/>
      <c r="EN114" s="198"/>
      <c r="EO114" s="198"/>
      <c r="EP114" s="198"/>
      <c r="EQ114" s="198"/>
      <c r="ER114" s="198"/>
      <c r="ES114" s="198"/>
      <c r="ET114" s="198"/>
      <c r="EU114" s="198"/>
      <c r="EV114" s="198"/>
      <c r="EW114" s="198"/>
      <c r="EX114" s="198"/>
      <c r="EY114" s="198"/>
      <c r="EZ114" s="198"/>
      <c r="FA114" s="198"/>
      <c r="FB114" s="198"/>
      <c r="FC114" s="198"/>
      <c r="FD114" s="198"/>
      <c r="FE114" s="198"/>
      <c r="FF114" s="198"/>
      <c r="FG114" s="198"/>
      <c r="FH114" s="198"/>
      <c r="FI114" s="198"/>
      <c r="FJ114" s="198"/>
      <c r="FK114" s="198"/>
      <c r="FL114" s="198"/>
      <c r="FM114" s="198"/>
      <c r="FN114" s="198"/>
      <c r="FO114" s="198"/>
      <c r="FP114" s="198"/>
      <c r="FQ114" s="198"/>
      <c r="FR114" s="198"/>
      <c r="FS114" s="198"/>
      <c r="FT114" s="198"/>
      <c r="FU114" s="198"/>
      <c r="FV114" s="198"/>
      <c r="FW114" s="198"/>
      <c r="FX114" s="198"/>
      <c r="FY114" s="198"/>
      <c r="FZ114" s="198"/>
      <c r="GA114" s="198"/>
      <c r="GB114" s="198"/>
      <c r="GC114" s="198"/>
      <c r="GD114" s="198"/>
      <c r="GE114" s="198"/>
      <c r="GF114" s="198"/>
      <c r="GG114" s="198"/>
      <c r="GH114" s="198"/>
      <c r="GI114" s="198"/>
      <c r="GJ114" s="198"/>
      <c r="GK114" s="198"/>
      <c r="GL114" s="198"/>
      <c r="GM114" s="198"/>
      <c r="GN114" s="198"/>
      <c r="GO114" s="198"/>
      <c r="GP114" s="198"/>
      <c r="GQ114" s="198"/>
      <c r="GR114" s="198"/>
      <c r="GS114" s="198"/>
      <c r="GT114" s="198"/>
      <c r="GU114" s="198"/>
      <c r="GV114" s="198"/>
      <c r="GW114" s="198"/>
      <c r="GX114" s="198"/>
      <c r="GY114" s="198"/>
      <c r="GZ114" s="198"/>
      <c r="HA114" s="198"/>
      <c r="HB114" s="198"/>
      <c r="HC114" s="198"/>
      <c r="HD114" s="198"/>
      <c r="HE114" s="198"/>
      <c r="HF114" s="198"/>
      <c r="HG114" s="198"/>
      <c r="HH114" s="198"/>
      <c r="HI114" s="198"/>
      <c r="HJ114" s="198"/>
      <c r="HK114" s="198"/>
      <c r="HL114" s="198"/>
      <c r="HM114" s="198"/>
      <c r="HN114" s="198"/>
      <c r="HO114" s="198"/>
      <c r="HP114" s="198"/>
      <c r="HQ114" s="198"/>
      <c r="HR114" s="198"/>
      <c r="HS114" s="198"/>
      <c r="HT114" s="198"/>
      <c r="HU114" s="198"/>
      <c r="HV114" s="198"/>
      <c r="HW114" s="198"/>
      <c r="HX114" s="198"/>
      <c r="HY114" s="198"/>
      <c r="HZ114" s="198"/>
      <c r="IA114" s="198"/>
      <c r="IB114" s="198"/>
      <c r="IC114" s="198"/>
      <c r="ID114" s="198"/>
      <c r="IE114" s="198"/>
      <c r="IF114" s="198"/>
      <c r="IG114" s="198"/>
      <c r="IH114" s="198"/>
      <c r="II114" s="198"/>
      <c r="IJ114" s="198"/>
      <c r="IK114" s="198"/>
      <c r="IL114" s="198"/>
      <c r="IM114" s="198"/>
      <c r="IN114" s="198"/>
      <c r="IO114" s="198"/>
      <c r="IP114" s="198"/>
      <c r="IQ114" s="198"/>
      <c r="IR114" s="198"/>
      <c r="IS114" s="198"/>
      <c r="IT114" s="198"/>
      <c r="IU114" s="198"/>
      <c r="IV114" s="198"/>
      <c r="IW114" s="198"/>
      <c r="IX114" s="198"/>
      <c r="IY114" s="198"/>
      <c r="IZ114" s="198"/>
      <c r="JA114" s="198"/>
      <c r="JB114" s="198"/>
      <c r="JC114" s="198"/>
      <c r="JD114" s="198"/>
      <c r="JE114" s="198"/>
      <c r="JF114" s="198"/>
      <c r="JG114" s="198"/>
      <c r="JH114" s="198"/>
      <c r="JI114" s="198"/>
      <c r="JJ114" s="198"/>
      <c r="JK114" s="198"/>
      <c r="JL114" s="198"/>
      <c r="JM114" s="198"/>
      <c r="JN114" s="198"/>
      <c r="JO114" s="198"/>
      <c r="JP114" s="198"/>
      <c r="JQ114" s="198"/>
      <c r="JR114" s="198"/>
      <c r="JS114" s="198"/>
      <c r="JT114" s="198"/>
      <c r="JU114" s="198"/>
      <c r="JV114" s="198"/>
      <c r="JW114" s="198"/>
      <c r="JX114" s="198"/>
      <c r="JY114" s="198"/>
      <c r="JZ114" s="198"/>
      <c r="KA114" s="198"/>
      <c r="KB114" s="198"/>
      <c r="KC114" s="198"/>
      <c r="KD114" s="198"/>
      <c r="KE114" s="198"/>
      <c r="KF114" s="198"/>
      <c r="KG114" s="198"/>
      <c r="KH114" s="198"/>
      <c r="KI114" s="198"/>
      <c r="KJ114" s="198"/>
      <c r="KK114" s="198"/>
      <c r="KL114" s="198"/>
      <c r="KM114" s="198"/>
      <c r="KN114" s="198"/>
      <c r="KO114" s="198"/>
      <c r="KP114" s="198"/>
      <c r="KQ114" s="198"/>
      <c r="KR114" s="198"/>
      <c r="KS114" s="198"/>
      <c r="KT114" s="198"/>
      <c r="KU114" s="198"/>
      <c r="KV114" s="198"/>
      <c r="KW114" s="198"/>
      <c r="KX114" s="198"/>
      <c r="KY114" s="198"/>
      <c r="KZ114" s="198"/>
      <c r="LA114" s="198"/>
      <c r="LB114" s="198"/>
      <c r="LC114" s="198"/>
      <c r="LD114" s="198"/>
      <c r="LE114" s="198"/>
      <c r="LF114" s="198"/>
      <c r="LG114" s="198"/>
      <c r="LH114" s="198"/>
      <c r="LI114" s="198"/>
      <c r="LJ114" s="198"/>
      <c r="LK114" s="198"/>
      <c r="LL114" s="198"/>
      <c r="LM114" s="198"/>
      <c r="LN114" s="198"/>
      <c r="LO114" s="198"/>
      <c r="LP114" s="198"/>
      <c r="LQ114" s="198"/>
      <c r="LR114" s="198"/>
      <c r="LS114" s="198"/>
      <c r="LT114" s="198"/>
      <c r="LU114" s="198"/>
      <c r="LV114" s="198"/>
      <c r="LW114" s="198"/>
      <c r="LX114" s="198"/>
      <c r="LY114" s="198"/>
      <c r="LZ114" s="198"/>
      <c r="MA114" s="198"/>
      <c r="MB114" s="198"/>
      <c r="MC114" s="198"/>
      <c r="MD114" s="198"/>
      <c r="ME114" s="198"/>
      <c r="MF114" s="198"/>
      <c r="MG114" s="198"/>
      <c r="MH114" s="198"/>
      <c r="MI114" s="198"/>
      <c r="MJ114" s="198"/>
      <c r="MK114" s="198"/>
      <c r="ML114" s="198"/>
      <c r="MM114" s="198"/>
      <c r="MN114" s="198"/>
      <c r="MO114" s="198"/>
      <c r="MP114" s="198"/>
      <c r="MQ114" s="198"/>
      <c r="MR114" s="198"/>
      <c r="MS114" s="198"/>
      <c r="MT114" s="198"/>
      <c r="MU114" s="198"/>
      <c r="MV114" s="198"/>
      <c r="MW114" s="198"/>
      <c r="MX114" s="198"/>
      <c r="MY114" s="198"/>
      <c r="MZ114" s="198"/>
      <c r="NA114" s="198"/>
      <c r="NB114" s="198"/>
      <c r="NC114" s="198"/>
      <c r="ND114" s="198"/>
      <c r="NE114" s="198"/>
      <c r="NF114" s="198"/>
      <c r="NG114" s="198"/>
      <c r="NH114" s="198"/>
      <c r="NI114" s="198"/>
      <c r="NJ114" s="198"/>
      <c r="NK114" s="198"/>
      <c r="NL114" s="198"/>
      <c r="NM114" s="198"/>
      <c r="NN114" s="198"/>
      <c r="NO114" s="198"/>
      <c r="NP114" s="198"/>
      <c r="NQ114" s="198"/>
      <c r="NR114" s="198"/>
      <c r="NS114" s="198"/>
      <c r="NT114" s="198"/>
      <c r="NU114" s="198"/>
      <c r="NV114" s="198"/>
      <c r="NW114" s="198"/>
      <c r="NX114" s="198"/>
      <c r="NY114" s="198"/>
      <c r="NZ114" s="198"/>
      <c r="OA114" s="198"/>
      <c r="OB114" s="198"/>
      <c r="OC114" s="198"/>
      <c r="OD114" s="198"/>
      <c r="OE114" s="198"/>
      <c r="OF114" s="198"/>
      <c r="OG114" s="198"/>
      <c r="OH114" s="198"/>
      <c r="OI114" s="198"/>
      <c r="OJ114" s="198"/>
      <c r="OK114" s="198"/>
      <c r="OL114" s="198"/>
      <c r="OM114" s="198"/>
      <c r="ON114" s="198"/>
      <c r="OO114" s="198"/>
      <c r="OP114" s="198"/>
      <c r="OQ114" s="198"/>
      <c r="OR114" s="198"/>
      <c r="OS114" s="198"/>
      <c r="OT114" s="198"/>
      <c r="OU114" s="198"/>
      <c r="OV114" s="198"/>
      <c r="OW114" s="198"/>
      <c r="OX114" s="198"/>
      <c r="OY114" s="198"/>
      <c r="OZ114" s="198"/>
      <c r="PA114" s="198"/>
      <c r="PB114" s="198"/>
      <c r="PC114" s="198"/>
      <c r="PD114" s="198"/>
      <c r="PE114" s="198"/>
      <c r="PF114" s="198"/>
      <c r="PG114" s="198"/>
      <c r="PH114" s="198"/>
      <c r="PI114" s="198"/>
      <c r="PJ114" s="198"/>
      <c r="PK114" s="198"/>
      <c r="PL114" s="198"/>
      <c r="PM114" s="198"/>
      <c r="PN114" s="198"/>
      <c r="PO114" s="198"/>
      <c r="PP114" s="198"/>
      <c r="PQ114" s="198"/>
      <c r="PR114" s="198"/>
      <c r="PS114" s="198"/>
      <c r="PT114" s="198"/>
      <c r="PU114" s="198"/>
      <c r="PV114" s="198"/>
      <c r="PW114" s="198"/>
      <c r="PX114" s="198"/>
      <c r="PY114" s="198"/>
      <c r="PZ114" s="198"/>
      <c r="QA114" s="198"/>
      <c r="QB114" s="198"/>
      <c r="QC114" s="198"/>
      <c r="QD114" s="198"/>
      <c r="QE114" s="198"/>
      <c r="QF114" s="198"/>
      <c r="QG114" s="198"/>
      <c r="QH114" s="198"/>
      <c r="QI114" s="198"/>
      <c r="QJ114" s="198"/>
      <c r="QK114" s="198"/>
      <c r="QL114" s="198"/>
      <c r="QM114" s="198"/>
      <c r="QN114" s="198"/>
      <c r="QO114" s="198"/>
      <c r="QP114" s="198"/>
      <c r="QQ114" s="198"/>
      <c r="QR114" s="198"/>
      <c r="QS114" s="198"/>
      <c r="QT114" s="198"/>
      <c r="QU114" s="198"/>
      <c r="QV114" s="198"/>
      <c r="QW114" s="198"/>
      <c r="QX114" s="198"/>
      <c r="QY114" s="198"/>
      <c r="QZ114" s="198"/>
      <c r="RA114" s="198"/>
      <c r="RB114" s="198"/>
      <c r="RC114" s="198"/>
      <c r="RD114" s="198"/>
      <c r="RE114" s="198"/>
      <c r="RF114" s="198"/>
      <c r="RG114" s="198"/>
      <c r="RH114" s="198"/>
      <c r="RI114" s="198"/>
      <c r="RJ114" s="198"/>
      <c r="RK114" s="198"/>
      <c r="RL114" s="198"/>
      <c r="RM114" s="198"/>
      <c r="RN114" s="198"/>
      <c r="RO114" s="198"/>
      <c r="RP114" s="198"/>
      <c r="RQ114" s="198"/>
      <c r="RR114" s="198"/>
      <c r="RS114" s="198"/>
      <c r="RT114" s="198"/>
      <c r="RU114" s="198"/>
      <c r="RV114" s="198"/>
      <c r="RW114" s="198"/>
      <c r="RX114" s="198"/>
      <c r="RY114" s="198"/>
      <c r="RZ114" s="198"/>
      <c r="SA114" s="198"/>
      <c r="SB114" s="198"/>
      <c r="SC114" s="198"/>
      <c r="SD114" s="198"/>
      <c r="SE114" s="198"/>
      <c r="SF114" s="198"/>
      <c r="SG114" s="198"/>
    </row>
    <row r="115" spans="1:501" ht="40.049999999999997" customHeight="1" x14ac:dyDescent="0.3">
      <c r="A115" s="546" t="s">
        <v>296</v>
      </c>
      <c r="B115" s="959" t="s">
        <v>297</v>
      </c>
      <c r="C115" s="950"/>
      <c r="D115" s="861"/>
      <c r="E115" s="862"/>
      <c r="F115" s="861"/>
      <c r="G115" s="863">
        <f>MANZ.C!AL117</f>
        <v>17</v>
      </c>
      <c r="H115" s="861"/>
      <c r="I115" s="862">
        <f>MANZ.D!Y117</f>
        <v>0</v>
      </c>
      <c r="J115" s="861"/>
      <c r="K115" s="862">
        <f>MANZ.E!AL118</f>
        <v>0</v>
      </c>
      <c r="L115" s="861"/>
      <c r="M115" s="862">
        <f>MANZ.F!AA117</f>
        <v>8</v>
      </c>
      <c r="N115" s="861"/>
      <c r="O115" s="862">
        <f>MANZ.G!AS113</f>
        <v>1</v>
      </c>
      <c r="P115" s="861"/>
      <c r="Q115" s="863">
        <f>MANZ.H!V118</f>
        <v>9</v>
      </c>
      <c r="R115" s="861"/>
      <c r="S115" s="862">
        <f>MANZ.I!AA116</f>
        <v>0</v>
      </c>
      <c r="T115" s="861"/>
      <c r="U115" s="862">
        <f>MANZ.J!AT121</f>
        <v>6</v>
      </c>
      <c r="V115" s="861"/>
      <c r="W115" s="862">
        <f>MANZ.K!AB118</f>
        <v>0</v>
      </c>
      <c r="X115" s="861"/>
      <c r="Y115" s="862"/>
      <c r="Z115" s="861"/>
      <c r="AA115" s="862"/>
      <c r="AB115" s="864"/>
      <c r="AC115" s="864"/>
      <c r="AD115" s="864"/>
      <c r="AE115" s="864"/>
      <c r="AF115" s="861"/>
      <c r="AG115" s="865">
        <f t="shared" ref="AG115:AG126" si="1">SUM(C115:AA115)</f>
        <v>41</v>
      </c>
      <c r="AH115" s="866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  <c r="AS115" s="198"/>
      <c r="AT115" s="198"/>
      <c r="AU115" s="198"/>
      <c r="AV115" s="198"/>
      <c r="AW115" s="198"/>
      <c r="AX115" s="198"/>
      <c r="AY115" s="198"/>
      <c r="AZ115" s="198"/>
      <c r="BA115" s="198"/>
      <c r="BB115" s="198"/>
      <c r="BC115" s="198"/>
      <c r="BD115" s="198"/>
      <c r="BE115" s="198"/>
      <c r="BF115" s="198"/>
      <c r="BG115" s="198"/>
      <c r="BH115" s="198"/>
      <c r="BI115" s="198"/>
      <c r="BJ115" s="198"/>
      <c r="BK115" s="198"/>
      <c r="BL115" s="198"/>
      <c r="BM115" s="198"/>
      <c r="BN115" s="198"/>
      <c r="BO115" s="198"/>
      <c r="BP115" s="198"/>
      <c r="BQ115" s="198"/>
      <c r="BR115" s="198"/>
      <c r="BS115" s="198"/>
      <c r="BT115" s="198"/>
      <c r="BU115" s="198"/>
      <c r="BV115" s="198"/>
      <c r="BW115" s="198"/>
      <c r="BX115" s="198"/>
      <c r="BY115" s="198"/>
      <c r="BZ115" s="198"/>
      <c r="CA115" s="198"/>
      <c r="CB115" s="198"/>
      <c r="CC115" s="198"/>
      <c r="CD115" s="198"/>
      <c r="CE115" s="198"/>
      <c r="CF115" s="198"/>
      <c r="CG115" s="198"/>
      <c r="CH115" s="198"/>
      <c r="CI115" s="198"/>
      <c r="CJ115" s="198"/>
      <c r="CK115" s="198"/>
      <c r="CL115" s="198"/>
      <c r="CM115" s="198"/>
      <c r="CN115" s="198"/>
      <c r="CO115" s="198"/>
      <c r="CP115" s="198"/>
      <c r="CQ115" s="198"/>
      <c r="CR115" s="198"/>
      <c r="CS115" s="198"/>
      <c r="CT115" s="198"/>
      <c r="CU115" s="198"/>
      <c r="CV115" s="198"/>
      <c r="CW115" s="198"/>
      <c r="CX115" s="198"/>
      <c r="CY115" s="198"/>
      <c r="CZ115" s="198"/>
      <c r="DA115" s="198"/>
      <c r="DB115" s="198"/>
      <c r="DC115" s="198"/>
      <c r="DD115" s="198"/>
      <c r="DE115" s="198"/>
      <c r="DF115" s="198"/>
      <c r="DG115" s="198"/>
      <c r="DH115" s="198"/>
      <c r="DI115" s="198"/>
      <c r="DJ115" s="198"/>
      <c r="DK115" s="198"/>
      <c r="DL115" s="198"/>
      <c r="DM115" s="198"/>
      <c r="DN115" s="198"/>
      <c r="DO115" s="198"/>
      <c r="DP115" s="198"/>
      <c r="DQ115" s="198"/>
      <c r="DR115" s="198"/>
      <c r="DS115" s="198"/>
      <c r="DT115" s="198"/>
      <c r="DU115" s="198"/>
      <c r="DV115" s="198"/>
      <c r="DW115" s="198"/>
      <c r="DX115" s="198"/>
      <c r="DY115" s="198"/>
      <c r="DZ115" s="198"/>
      <c r="EA115" s="198"/>
      <c r="EB115" s="198"/>
      <c r="EC115" s="198"/>
      <c r="ED115" s="198"/>
      <c r="EE115" s="198"/>
      <c r="EF115" s="198"/>
      <c r="EG115" s="198"/>
      <c r="EH115" s="198"/>
      <c r="EI115" s="198"/>
      <c r="EJ115" s="198"/>
      <c r="EK115" s="198"/>
      <c r="EL115" s="198"/>
      <c r="EM115" s="198"/>
      <c r="EN115" s="198"/>
      <c r="EO115" s="198"/>
      <c r="EP115" s="198"/>
      <c r="EQ115" s="198"/>
      <c r="ER115" s="198"/>
      <c r="ES115" s="198"/>
      <c r="ET115" s="198"/>
      <c r="EU115" s="198"/>
      <c r="EV115" s="198"/>
      <c r="EW115" s="198"/>
      <c r="EX115" s="198"/>
      <c r="EY115" s="198"/>
      <c r="EZ115" s="198"/>
      <c r="FA115" s="198"/>
      <c r="FB115" s="198"/>
      <c r="FC115" s="198"/>
      <c r="FD115" s="198"/>
      <c r="FE115" s="198"/>
      <c r="FF115" s="198"/>
      <c r="FG115" s="198"/>
      <c r="FH115" s="198"/>
      <c r="FI115" s="198"/>
      <c r="FJ115" s="198"/>
      <c r="FK115" s="198"/>
      <c r="FL115" s="198"/>
      <c r="FM115" s="198"/>
      <c r="FN115" s="198"/>
      <c r="FO115" s="198"/>
      <c r="FP115" s="198"/>
      <c r="FQ115" s="198"/>
      <c r="FR115" s="198"/>
      <c r="FS115" s="198"/>
      <c r="FT115" s="198"/>
      <c r="FU115" s="198"/>
      <c r="FV115" s="198"/>
      <c r="FW115" s="198"/>
      <c r="FX115" s="198"/>
      <c r="FY115" s="198"/>
      <c r="FZ115" s="198"/>
      <c r="GA115" s="198"/>
      <c r="GB115" s="198"/>
      <c r="GC115" s="198"/>
      <c r="GD115" s="198"/>
      <c r="GE115" s="198"/>
      <c r="GF115" s="198"/>
      <c r="GG115" s="198"/>
      <c r="GH115" s="198"/>
      <c r="GI115" s="198"/>
      <c r="GJ115" s="198"/>
      <c r="GK115" s="198"/>
      <c r="GL115" s="198"/>
      <c r="GM115" s="198"/>
      <c r="GN115" s="198"/>
      <c r="GO115" s="198"/>
      <c r="GP115" s="198"/>
      <c r="GQ115" s="198"/>
      <c r="GR115" s="198"/>
      <c r="GS115" s="198"/>
      <c r="GT115" s="198"/>
      <c r="GU115" s="198"/>
      <c r="GV115" s="198"/>
      <c r="GW115" s="198"/>
      <c r="GX115" s="198"/>
      <c r="GY115" s="198"/>
      <c r="GZ115" s="198"/>
      <c r="HA115" s="198"/>
      <c r="HB115" s="198"/>
      <c r="HC115" s="198"/>
      <c r="HD115" s="198"/>
      <c r="HE115" s="198"/>
      <c r="HF115" s="198"/>
      <c r="HG115" s="198"/>
      <c r="HH115" s="198"/>
      <c r="HI115" s="198"/>
      <c r="HJ115" s="198"/>
      <c r="HK115" s="198"/>
      <c r="HL115" s="198"/>
      <c r="HM115" s="198"/>
      <c r="HN115" s="198"/>
      <c r="HO115" s="198"/>
      <c r="HP115" s="198"/>
      <c r="HQ115" s="198"/>
      <c r="HR115" s="198"/>
      <c r="HS115" s="198"/>
      <c r="HT115" s="198"/>
      <c r="HU115" s="198"/>
      <c r="HV115" s="198"/>
      <c r="HW115" s="198"/>
      <c r="HX115" s="198"/>
      <c r="HY115" s="198"/>
      <c r="HZ115" s="198"/>
      <c r="IA115" s="198"/>
      <c r="IB115" s="198"/>
      <c r="IC115" s="198"/>
      <c r="ID115" s="198"/>
      <c r="IE115" s="198"/>
      <c r="IF115" s="198"/>
      <c r="IG115" s="198"/>
      <c r="IH115" s="198"/>
      <c r="II115" s="198"/>
      <c r="IJ115" s="198"/>
      <c r="IK115" s="198"/>
      <c r="IL115" s="198"/>
      <c r="IM115" s="198"/>
      <c r="IN115" s="198"/>
      <c r="IO115" s="198"/>
      <c r="IP115" s="198"/>
      <c r="IQ115" s="198"/>
      <c r="IR115" s="198"/>
      <c r="IS115" s="198"/>
      <c r="IT115" s="198"/>
      <c r="IU115" s="198"/>
      <c r="IV115" s="198"/>
      <c r="IW115" s="198"/>
      <c r="IX115" s="198"/>
      <c r="IY115" s="198"/>
      <c r="IZ115" s="198"/>
      <c r="JA115" s="198"/>
      <c r="JB115" s="198"/>
      <c r="JC115" s="198"/>
      <c r="JD115" s="198"/>
      <c r="JE115" s="198"/>
      <c r="JF115" s="198"/>
      <c r="JG115" s="198"/>
      <c r="JH115" s="198"/>
      <c r="JI115" s="198"/>
      <c r="JJ115" s="198"/>
      <c r="JK115" s="198"/>
      <c r="JL115" s="198"/>
      <c r="JM115" s="198"/>
      <c r="JN115" s="198"/>
      <c r="JO115" s="198"/>
      <c r="JP115" s="198"/>
      <c r="JQ115" s="198"/>
      <c r="JR115" s="198"/>
      <c r="JS115" s="198"/>
      <c r="JT115" s="198"/>
      <c r="JU115" s="198"/>
      <c r="JV115" s="198"/>
      <c r="JW115" s="198"/>
      <c r="JX115" s="198"/>
      <c r="JY115" s="198"/>
      <c r="JZ115" s="198"/>
      <c r="KA115" s="198"/>
      <c r="KB115" s="198"/>
      <c r="KC115" s="198"/>
      <c r="KD115" s="198"/>
      <c r="KE115" s="198"/>
      <c r="KF115" s="198"/>
      <c r="KG115" s="198"/>
      <c r="KH115" s="198"/>
      <c r="KI115" s="198"/>
      <c r="KJ115" s="198"/>
      <c r="KK115" s="198"/>
      <c r="KL115" s="198"/>
      <c r="KM115" s="198"/>
      <c r="KN115" s="198"/>
      <c r="KO115" s="198"/>
      <c r="KP115" s="198"/>
      <c r="KQ115" s="198"/>
      <c r="KR115" s="198"/>
      <c r="KS115" s="198"/>
      <c r="KT115" s="198"/>
      <c r="KU115" s="198"/>
      <c r="KV115" s="198"/>
      <c r="KW115" s="198"/>
      <c r="KX115" s="198"/>
      <c r="KY115" s="198"/>
      <c r="KZ115" s="198"/>
      <c r="LA115" s="198"/>
      <c r="LB115" s="198"/>
      <c r="LC115" s="198"/>
      <c r="LD115" s="198"/>
      <c r="LE115" s="198"/>
      <c r="LF115" s="198"/>
      <c r="LG115" s="198"/>
      <c r="LH115" s="198"/>
      <c r="LI115" s="198"/>
      <c r="LJ115" s="198"/>
      <c r="LK115" s="198"/>
      <c r="LL115" s="198"/>
      <c r="LM115" s="198"/>
      <c r="LN115" s="198"/>
      <c r="LO115" s="198"/>
      <c r="LP115" s="198"/>
      <c r="LQ115" s="198"/>
      <c r="LR115" s="198"/>
      <c r="LS115" s="198"/>
      <c r="LT115" s="198"/>
      <c r="LU115" s="198"/>
      <c r="LV115" s="198"/>
      <c r="LW115" s="198"/>
      <c r="LX115" s="198"/>
      <c r="LY115" s="198"/>
      <c r="LZ115" s="198"/>
      <c r="MA115" s="198"/>
      <c r="MB115" s="198"/>
      <c r="MC115" s="198"/>
      <c r="MD115" s="198"/>
      <c r="ME115" s="198"/>
      <c r="MF115" s="198"/>
      <c r="MG115" s="198"/>
      <c r="MH115" s="198"/>
      <c r="MI115" s="198"/>
      <c r="MJ115" s="198"/>
      <c r="MK115" s="198"/>
      <c r="ML115" s="198"/>
      <c r="MM115" s="198"/>
      <c r="MN115" s="198"/>
      <c r="MO115" s="198"/>
      <c r="MP115" s="198"/>
      <c r="MQ115" s="198"/>
      <c r="MR115" s="198"/>
      <c r="MS115" s="198"/>
      <c r="MT115" s="198"/>
      <c r="MU115" s="198"/>
      <c r="MV115" s="198"/>
      <c r="MW115" s="198"/>
      <c r="MX115" s="198"/>
      <c r="MY115" s="198"/>
      <c r="MZ115" s="198"/>
      <c r="NA115" s="198"/>
      <c r="NB115" s="198"/>
      <c r="NC115" s="198"/>
      <c r="ND115" s="198"/>
      <c r="NE115" s="198"/>
      <c r="NF115" s="198"/>
      <c r="NG115" s="198"/>
      <c r="NH115" s="198"/>
      <c r="NI115" s="198"/>
      <c r="NJ115" s="198"/>
      <c r="NK115" s="198"/>
      <c r="NL115" s="198"/>
      <c r="NM115" s="198"/>
      <c r="NN115" s="198"/>
      <c r="NO115" s="198"/>
      <c r="NP115" s="198"/>
      <c r="NQ115" s="198"/>
      <c r="NR115" s="198"/>
      <c r="NS115" s="198"/>
      <c r="NT115" s="198"/>
      <c r="NU115" s="198"/>
      <c r="NV115" s="198"/>
      <c r="NW115" s="198"/>
      <c r="NX115" s="198"/>
      <c r="NY115" s="198"/>
      <c r="NZ115" s="198"/>
      <c r="OA115" s="198"/>
      <c r="OB115" s="198"/>
      <c r="OC115" s="198"/>
      <c r="OD115" s="198"/>
      <c r="OE115" s="198"/>
      <c r="OF115" s="198"/>
      <c r="OG115" s="198"/>
      <c r="OH115" s="198"/>
      <c r="OI115" s="198"/>
      <c r="OJ115" s="198"/>
      <c r="OK115" s="198"/>
      <c r="OL115" s="198"/>
      <c r="OM115" s="198"/>
      <c r="ON115" s="198"/>
      <c r="OO115" s="198"/>
      <c r="OP115" s="198"/>
      <c r="OQ115" s="198"/>
      <c r="OR115" s="198"/>
      <c r="OS115" s="198"/>
      <c r="OT115" s="198"/>
      <c r="OU115" s="198"/>
      <c r="OV115" s="198"/>
      <c r="OW115" s="198"/>
      <c r="OX115" s="198"/>
      <c r="OY115" s="198"/>
      <c r="OZ115" s="198"/>
      <c r="PA115" s="198"/>
      <c r="PB115" s="198"/>
      <c r="PC115" s="198"/>
      <c r="PD115" s="198"/>
      <c r="PE115" s="198"/>
      <c r="PF115" s="198"/>
      <c r="PG115" s="198"/>
      <c r="PH115" s="198"/>
      <c r="PI115" s="198"/>
      <c r="PJ115" s="198"/>
      <c r="PK115" s="198"/>
      <c r="PL115" s="198"/>
      <c r="PM115" s="198"/>
      <c r="PN115" s="198"/>
      <c r="PO115" s="198"/>
      <c r="PP115" s="198"/>
      <c r="PQ115" s="198"/>
      <c r="PR115" s="198"/>
      <c r="PS115" s="198"/>
      <c r="PT115" s="198"/>
      <c r="PU115" s="198"/>
      <c r="PV115" s="198"/>
      <c r="PW115" s="198"/>
      <c r="PX115" s="198"/>
      <c r="PY115" s="198"/>
      <c r="PZ115" s="198"/>
      <c r="QA115" s="198"/>
      <c r="QB115" s="198"/>
      <c r="QC115" s="198"/>
      <c r="QD115" s="198"/>
      <c r="QE115" s="198"/>
      <c r="QF115" s="198"/>
      <c r="QG115" s="198"/>
      <c r="QH115" s="198"/>
      <c r="QI115" s="198"/>
      <c r="QJ115" s="198"/>
      <c r="QK115" s="198"/>
      <c r="QL115" s="198"/>
      <c r="QM115" s="198"/>
      <c r="QN115" s="198"/>
      <c r="QO115" s="198"/>
      <c r="QP115" s="198"/>
      <c r="QQ115" s="198"/>
      <c r="QR115" s="198"/>
      <c r="QS115" s="198"/>
      <c r="QT115" s="198"/>
      <c r="QU115" s="198"/>
      <c r="QV115" s="198"/>
      <c r="QW115" s="198"/>
      <c r="QX115" s="198"/>
      <c r="QY115" s="198"/>
      <c r="QZ115" s="198"/>
      <c r="RA115" s="198"/>
      <c r="RB115" s="198"/>
      <c r="RC115" s="198"/>
      <c r="RD115" s="198"/>
      <c r="RE115" s="198"/>
      <c r="RF115" s="198"/>
      <c r="RG115" s="198"/>
      <c r="RH115" s="198"/>
      <c r="RI115" s="198"/>
      <c r="RJ115" s="198"/>
      <c r="RK115" s="198"/>
      <c r="RL115" s="198"/>
      <c r="RM115" s="198"/>
      <c r="RN115" s="198"/>
      <c r="RO115" s="198"/>
      <c r="RP115" s="198"/>
      <c r="RQ115" s="198"/>
      <c r="RR115" s="198"/>
      <c r="RS115" s="198"/>
      <c r="RT115" s="198"/>
      <c r="RU115" s="198"/>
      <c r="RV115" s="198"/>
      <c r="RW115" s="198"/>
      <c r="RX115" s="198"/>
      <c r="RY115" s="198"/>
      <c r="RZ115" s="198"/>
      <c r="SA115" s="198"/>
      <c r="SB115" s="198"/>
      <c r="SC115" s="198"/>
      <c r="SD115" s="198"/>
      <c r="SE115" s="198"/>
      <c r="SF115" s="198"/>
      <c r="SG115" s="198"/>
    </row>
    <row r="116" spans="1:501" ht="40.049999999999997" customHeight="1" x14ac:dyDescent="0.3">
      <c r="A116" s="546" t="s">
        <v>298</v>
      </c>
      <c r="B116" s="959" t="s">
        <v>299</v>
      </c>
      <c r="C116" s="950"/>
      <c r="D116" s="861"/>
      <c r="E116" s="862"/>
      <c r="F116" s="861"/>
      <c r="G116" s="863">
        <f>MANZ.C!AL118</f>
        <v>17</v>
      </c>
      <c r="H116" s="861"/>
      <c r="I116" s="862">
        <f>MANZ.D!Y118</f>
        <v>0</v>
      </c>
      <c r="J116" s="861"/>
      <c r="K116" s="862">
        <f>MANZ.E!AK119</f>
        <v>0</v>
      </c>
      <c r="L116" s="861"/>
      <c r="M116" s="862">
        <f>MANZ.F!AA118</f>
        <v>8</v>
      </c>
      <c r="N116" s="861"/>
      <c r="O116" s="862">
        <f>MANZ.G!AS114</f>
        <v>0</v>
      </c>
      <c r="P116" s="861"/>
      <c r="Q116" s="863">
        <f>MANZ.H!U119</f>
        <v>9</v>
      </c>
      <c r="R116" s="861"/>
      <c r="S116" s="862">
        <f>MANZ.I!AA117</f>
        <v>0</v>
      </c>
      <c r="T116" s="861"/>
      <c r="U116" s="862">
        <f>MANZ.J!AT122</f>
        <v>6</v>
      </c>
      <c r="V116" s="861"/>
      <c r="W116" s="862">
        <f>MANZ.K!AA119</f>
        <v>10</v>
      </c>
      <c r="X116" s="861"/>
      <c r="Y116" s="862">
        <f>MANZ.L!Z119</f>
        <v>0</v>
      </c>
      <c r="Z116" s="861"/>
      <c r="AA116" s="862"/>
      <c r="AB116" s="864"/>
      <c r="AC116" s="864"/>
      <c r="AD116" s="864"/>
      <c r="AE116" s="864"/>
      <c r="AF116" s="861"/>
      <c r="AG116" s="865">
        <f t="shared" si="1"/>
        <v>50</v>
      </c>
      <c r="AH116" s="866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  <c r="AS116" s="198"/>
      <c r="AT116" s="198"/>
      <c r="AU116" s="198"/>
      <c r="AV116" s="198"/>
      <c r="AW116" s="198"/>
      <c r="AX116" s="198"/>
      <c r="AY116" s="198"/>
      <c r="AZ116" s="198"/>
      <c r="BA116" s="198"/>
      <c r="BB116" s="198"/>
      <c r="BC116" s="198"/>
      <c r="BD116" s="198"/>
      <c r="BE116" s="198"/>
      <c r="BF116" s="198"/>
      <c r="BG116" s="198"/>
      <c r="BH116" s="198"/>
      <c r="BI116" s="198"/>
      <c r="BJ116" s="198"/>
      <c r="BK116" s="198"/>
      <c r="BL116" s="198"/>
      <c r="BM116" s="198"/>
      <c r="BN116" s="198"/>
      <c r="BO116" s="198"/>
      <c r="BP116" s="198"/>
      <c r="BQ116" s="198"/>
      <c r="BR116" s="198"/>
      <c r="BS116" s="198"/>
      <c r="BT116" s="198"/>
      <c r="BU116" s="198"/>
      <c r="BV116" s="198"/>
      <c r="BW116" s="198"/>
      <c r="BX116" s="198"/>
      <c r="BY116" s="198"/>
      <c r="BZ116" s="198"/>
      <c r="CA116" s="198"/>
      <c r="CB116" s="198"/>
      <c r="CC116" s="198"/>
      <c r="CD116" s="198"/>
      <c r="CE116" s="198"/>
      <c r="CF116" s="198"/>
      <c r="CG116" s="198"/>
      <c r="CH116" s="198"/>
      <c r="CI116" s="198"/>
      <c r="CJ116" s="198"/>
      <c r="CK116" s="198"/>
      <c r="CL116" s="198"/>
      <c r="CM116" s="198"/>
      <c r="CN116" s="198"/>
      <c r="CO116" s="198"/>
      <c r="CP116" s="198"/>
      <c r="CQ116" s="198"/>
      <c r="CR116" s="198"/>
      <c r="CS116" s="198"/>
      <c r="CT116" s="198"/>
      <c r="CU116" s="198"/>
      <c r="CV116" s="198"/>
      <c r="CW116" s="198"/>
      <c r="CX116" s="198"/>
      <c r="CY116" s="198"/>
      <c r="CZ116" s="198"/>
      <c r="DA116" s="198"/>
      <c r="DB116" s="198"/>
      <c r="DC116" s="198"/>
      <c r="DD116" s="198"/>
      <c r="DE116" s="198"/>
      <c r="DF116" s="198"/>
      <c r="DG116" s="198"/>
      <c r="DH116" s="198"/>
      <c r="DI116" s="198"/>
      <c r="DJ116" s="198"/>
      <c r="DK116" s="198"/>
      <c r="DL116" s="198"/>
      <c r="DM116" s="198"/>
      <c r="DN116" s="198"/>
      <c r="DO116" s="198"/>
      <c r="DP116" s="198"/>
      <c r="DQ116" s="198"/>
      <c r="DR116" s="198"/>
      <c r="DS116" s="198"/>
      <c r="DT116" s="198"/>
      <c r="DU116" s="198"/>
      <c r="DV116" s="198"/>
      <c r="DW116" s="198"/>
      <c r="DX116" s="198"/>
      <c r="DY116" s="198"/>
      <c r="DZ116" s="198"/>
      <c r="EA116" s="198"/>
      <c r="EB116" s="198"/>
      <c r="EC116" s="198"/>
      <c r="ED116" s="198"/>
      <c r="EE116" s="198"/>
      <c r="EF116" s="198"/>
      <c r="EG116" s="198"/>
      <c r="EH116" s="198"/>
      <c r="EI116" s="198"/>
      <c r="EJ116" s="198"/>
      <c r="EK116" s="198"/>
      <c r="EL116" s="198"/>
      <c r="EM116" s="198"/>
      <c r="EN116" s="198"/>
      <c r="EO116" s="198"/>
      <c r="EP116" s="198"/>
      <c r="EQ116" s="198"/>
      <c r="ER116" s="198"/>
      <c r="ES116" s="198"/>
      <c r="ET116" s="198"/>
      <c r="EU116" s="198"/>
      <c r="EV116" s="198"/>
      <c r="EW116" s="198"/>
      <c r="EX116" s="198"/>
      <c r="EY116" s="198"/>
      <c r="EZ116" s="198"/>
      <c r="FA116" s="198"/>
      <c r="FB116" s="198"/>
      <c r="FC116" s="198"/>
      <c r="FD116" s="198"/>
      <c r="FE116" s="198"/>
      <c r="FF116" s="198"/>
      <c r="FG116" s="198"/>
      <c r="FH116" s="198"/>
      <c r="FI116" s="198"/>
      <c r="FJ116" s="198"/>
      <c r="FK116" s="198"/>
      <c r="FL116" s="198"/>
      <c r="FM116" s="198"/>
      <c r="FN116" s="198"/>
      <c r="FO116" s="198"/>
      <c r="FP116" s="198"/>
      <c r="FQ116" s="198"/>
      <c r="FR116" s="198"/>
      <c r="FS116" s="198"/>
      <c r="FT116" s="198"/>
      <c r="FU116" s="198"/>
      <c r="FV116" s="198"/>
      <c r="FW116" s="198"/>
      <c r="FX116" s="198"/>
      <c r="FY116" s="198"/>
      <c r="FZ116" s="198"/>
      <c r="GA116" s="198"/>
      <c r="GB116" s="198"/>
      <c r="GC116" s="198"/>
      <c r="GD116" s="198"/>
      <c r="GE116" s="198"/>
      <c r="GF116" s="198"/>
      <c r="GG116" s="198"/>
      <c r="GH116" s="198"/>
      <c r="GI116" s="198"/>
      <c r="GJ116" s="198"/>
      <c r="GK116" s="198"/>
      <c r="GL116" s="198"/>
      <c r="GM116" s="198"/>
      <c r="GN116" s="198"/>
      <c r="GO116" s="198"/>
      <c r="GP116" s="198"/>
      <c r="GQ116" s="198"/>
      <c r="GR116" s="198"/>
      <c r="GS116" s="198"/>
      <c r="GT116" s="198"/>
      <c r="GU116" s="198"/>
      <c r="GV116" s="198"/>
      <c r="GW116" s="198"/>
      <c r="GX116" s="198"/>
      <c r="GY116" s="198"/>
      <c r="GZ116" s="198"/>
      <c r="HA116" s="198"/>
      <c r="HB116" s="198"/>
      <c r="HC116" s="198"/>
      <c r="HD116" s="198"/>
      <c r="HE116" s="198"/>
      <c r="HF116" s="198"/>
      <c r="HG116" s="198"/>
      <c r="HH116" s="198"/>
      <c r="HI116" s="198"/>
      <c r="HJ116" s="198"/>
      <c r="HK116" s="198"/>
      <c r="HL116" s="198"/>
      <c r="HM116" s="198"/>
      <c r="HN116" s="198"/>
      <c r="HO116" s="198"/>
      <c r="HP116" s="198"/>
      <c r="HQ116" s="198"/>
      <c r="HR116" s="198"/>
      <c r="HS116" s="198"/>
      <c r="HT116" s="198"/>
      <c r="HU116" s="198"/>
      <c r="HV116" s="198"/>
      <c r="HW116" s="198"/>
      <c r="HX116" s="198"/>
      <c r="HY116" s="198"/>
      <c r="HZ116" s="198"/>
      <c r="IA116" s="198"/>
      <c r="IB116" s="198"/>
      <c r="IC116" s="198"/>
      <c r="ID116" s="198"/>
      <c r="IE116" s="198"/>
      <c r="IF116" s="198"/>
      <c r="IG116" s="198"/>
      <c r="IH116" s="198"/>
      <c r="II116" s="198"/>
      <c r="IJ116" s="198"/>
      <c r="IK116" s="198"/>
      <c r="IL116" s="198"/>
      <c r="IM116" s="198"/>
      <c r="IN116" s="198"/>
      <c r="IO116" s="198"/>
      <c r="IP116" s="198"/>
      <c r="IQ116" s="198"/>
      <c r="IR116" s="198"/>
      <c r="IS116" s="198"/>
      <c r="IT116" s="198"/>
      <c r="IU116" s="198"/>
      <c r="IV116" s="198"/>
      <c r="IW116" s="198"/>
      <c r="IX116" s="198"/>
      <c r="IY116" s="198"/>
      <c r="IZ116" s="198"/>
      <c r="JA116" s="198"/>
      <c r="JB116" s="198"/>
      <c r="JC116" s="198"/>
      <c r="JD116" s="198"/>
      <c r="JE116" s="198"/>
      <c r="JF116" s="198"/>
      <c r="JG116" s="198"/>
      <c r="JH116" s="198"/>
      <c r="JI116" s="198"/>
      <c r="JJ116" s="198"/>
      <c r="JK116" s="198"/>
      <c r="JL116" s="198"/>
      <c r="JM116" s="198"/>
      <c r="JN116" s="198"/>
      <c r="JO116" s="198"/>
      <c r="JP116" s="198"/>
      <c r="JQ116" s="198"/>
      <c r="JR116" s="198"/>
      <c r="JS116" s="198"/>
      <c r="JT116" s="198"/>
      <c r="JU116" s="198"/>
      <c r="JV116" s="198"/>
      <c r="JW116" s="198"/>
      <c r="JX116" s="198"/>
      <c r="JY116" s="198"/>
      <c r="JZ116" s="198"/>
      <c r="KA116" s="198"/>
      <c r="KB116" s="198"/>
      <c r="KC116" s="198"/>
      <c r="KD116" s="198"/>
      <c r="KE116" s="198"/>
      <c r="KF116" s="198"/>
      <c r="KG116" s="198"/>
      <c r="KH116" s="198"/>
      <c r="KI116" s="198"/>
      <c r="KJ116" s="198"/>
      <c r="KK116" s="198"/>
      <c r="KL116" s="198"/>
      <c r="KM116" s="198"/>
      <c r="KN116" s="198"/>
      <c r="KO116" s="198"/>
      <c r="KP116" s="198"/>
      <c r="KQ116" s="198"/>
      <c r="KR116" s="198"/>
      <c r="KS116" s="198"/>
      <c r="KT116" s="198"/>
      <c r="KU116" s="198"/>
      <c r="KV116" s="198"/>
      <c r="KW116" s="198"/>
      <c r="KX116" s="198"/>
      <c r="KY116" s="198"/>
      <c r="KZ116" s="198"/>
      <c r="LA116" s="198"/>
      <c r="LB116" s="198"/>
      <c r="LC116" s="198"/>
      <c r="LD116" s="198"/>
      <c r="LE116" s="198"/>
      <c r="LF116" s="198"/>
      <c r="LG116" s="198"/>
      <c r="LH116" s="198"/>
      <c r="LI116" s="198"/>
      <c r="LJ116" s="198"/>
      <c r="LK116" s="198"/>
      <c r="LL116" s="198"/>
      <c r="LM116" s="198"/>
      <c r="LN116" s="198"/>
      <c r="LO116" s="198"/>
      <c r="LP116" s="198"/>
      <c r="LQ116" s="198"/>
      <c r="LR116" s="198"/>
      <c r="LS116" s="198"/>
      <c r="LT116" s="198"/>
      <c r="LU116" s="198"/>
      <c r="LV116" s="198"/>
      <c r="LW116" s="198"/>
      <c r="LX116" s="198"/>
      <c r="LY116" s="198"/>
      <c r="LZ116" s="198"/>
      <c r="MA116" s="198"/>
      <c r="MB116" s="198"/>
      <c r="MC116" s="198"/>
      <c r="MD116" s="198"/>
      <c r="ME116" s="198"/>
      <c r="MF116" s="198"/>
      <c r="MG116" s="198"/>
      <c r="MH116" s="198"/>
      <c r="MI116" s="198"/>
      <c r="MJ116" s="198"/>
      <c r="MK116" s="198"/>
      <c r="ML116" s="198"/>
      <c r="MM116" s="198"/>
      <c r="MN116" s="198"/>
      <c r="MO116" s="198"/>
      <c r="MP116" s="198"/>
      <c r="MQ116" s="198"/>
      <c r="MR116" s="198"/>
      <c r="MS116" s="198"/>
      <c r="MT116" s="198"/>
      <c r="MU116" s="198"/>
      <c r="MV116" s="198"/>
      <c r="MW116" s="198"/>
      <c r="MX116" s="198"/>
      <c r="MY116" s="198"/>
      <c r="MZ116" s="198"/>
      <c r="NA116" s="198"/>
      <c r="NB116" s="198"/>
      <c r="NC116" s="198"/>
      <c r="ND116" s="198"/>
      <c r="NE116" s="198"/>
      <c r="NF116" s="198"/>
      <c r="NG116" s="198"/>
      <c r="NH116" s="198"/>
      <c r="NI116" s="198"/>
      <c r="NJ116" s="198"/>
      <c r="NK116" s="198"/>
      <c r="NL116" s="198"/>
      <c r="NM116" s="198"/>
      <c r="NN116" s="198"/>
      <c r="NO116" s="198"/>
      <c r="NP116" s="198"/>
      <c r="NQ116" s="198"/>
      <c r="NR116" s="198"/>
      <c r="NS116" s="198"/>
      <c r="NT116" s="198"/>
      <c r="NU116" s="198"/>
      <c r="NV116" s="198"/>
      <c r="NW116" s="198"/>
      <c r="NX116" s="198"/>
      <c r="NY116" s="198"/>
      <c r="NZ116" s="198"/>
      <c r="OA116" s="198"/>
      <c r="OB116" s="198"/>
      <c r="OC116" s="198"/>
      <c r="OD116" s="198"/>
      <c r="OE116" s="198"/>
      <c r="OF116" s="198"/>
      <c r="OG116" s="198"/>
      <c r="OH116" s="198"/>
      <c r="OI116" s="198"/>
      <c r="OJ116" s="198"/>
      <c r="OK116" s="198"/>
      <c r="OL116" s="198"/>
      <c r="OM116" s="198"/>
      <c r="ON116" s="198"/>
      <c r="OO116" s="198"/>
      <c r="OP116" s="198"/>
      <c r="OQ116" s="198"/>
      <c r="OR116" s="198"/>
      <c r="OS116" s="198"/>
      <c r="OT116" s="198"/>
      <c r="OU116" s="198"/>
      <c r="OV116" s="198"/>
      <c r="OW116" s="198"/>
      <c r="OX116" s="198"/>
      <c r="OY116" s="198"/>
      <c r="OZ116" s="198"/>
      <c r="PA116" s="198"/>
      <c r="PB116" s="198"/>
      <c r="PC116" s="198"/>
      <c r="PD116" s="198"/>
      <c r="PE116" s="198"/>
      <c r="PF116" s="198"/>
      <c r="PG116" s="198"/>
      <c r="PH116" s="198"/>
      <c r="PI116" s="198"/>
      <c r="PJ116" s="198"/>
      <c r="PK116" s="198"/>
      <c r="PL116" s="198"/>
      <c r="PM116" s="198"/>
      <c r="PN116" s="198"/>
      <c r="PO116" s="198"/>
      <c r="PP116" s="198"/>
      <c r="PQ116" s="198"/>
      <c r="PR116" s="198"/>
      <c r="PS116" s="198"/>
      <c r="PT116" s="198"/>
      <c r="PU116" s="198"/>
      <c r="PV116" s="198"/>
      <c r="PW116" s="198"/>
      <c r="PX116" s="198"/>
      <c r="PY116" s="198"/>
      <c r="PZ116" s="198"/>
      <c r="QA116" s="198"/>
      <c r="QB116" s="198"/>
      <c r="QC116" s="198"/>
      <c r="QD116" s="198"/>
      <c r="QE116" s="198"/>
      <c r="QF116" s="198"/>
      <c r="QG116" s="198"/>
      <c r="QH116" s="198"/>
      <c r="QI116" s="198"/>
      <c r="QJ116" s="198"/>
      <c r="QK116" s="198"/>
      <c r="QL116" s="198"/>
      <c r="QM116" s="198"/>
      <c r="QN116" s="198"/>
      <c r="QO116" s="198"/>
      <c r="QP116" s="198"/>
      <c r="QQ116" s="198"/>
      <c r="QR116" s="198"/>
      <c r="QS116" s="198"/>
      <c r="QT116" s="198"/>
      <c r="QU116" s="198"/>
      <c r="QV116" s="198"/>
      <c r="QW116" s="198"/>
      <c r="QX116" s="198"/>
      <c r="QY116" s="198"/>
      <c r="QZ116" s="198"/>
      <c r="RA116" s="198"/>
      <c r="RB116" s="198"/>
      <c r="RC116" s="198"/>
      <c r="RD116" s="198"/>
      <c r="RE116" s="198"/>
      <c r="RF116" s="198"/>
      <c r="RG116" s="198"/>
      <c r="RH116" s="198"/>
      <c r="RI116" s="198"/>
      <c r="RJ116" s="198"/>
      <c r="RK116" s="198"/>
      <c r="RL116" s="198"/>
      <c r="RM116" s="198"/>
      <c r="RN116" s="198"/>
      <c r="RO116" s="198"/>
      <c r="RP116" s="198"/>
      <c r="RQ116" s="198"/>
      <c r="RR116" s="198"/>
      <c r="RS116" s="198"/>
      <c r="RT116" s="198"/>
      <c r="RU116" s="198"/>
      <c r="RV116" s="198"/>
      <c r="RW116" s="198"/>
      <c r="RX116" s="198"/>
      <c r="RY116" s="198"/>
      <c r="RZ116" s="198"/>
      <c r="SA116" s="198"/>
      <c r="SB116" s="198"/>
      <c r="SC116" s="198"/>
      <c r="SD116" s="198"/>
      <c r="SE116" s="198"/>
      <c r="SF116" s="198"/>
      <c r="SG116" s="198"/>
    </row>
    <row r="117" spans="1:501" ht="40.049999999999997" customHeight="1" x14ac:dyDescent="0.3">
      <c r="A117" s="546" t="s">
        <v>300</v>
      </c>
      <c r="B117" s="959" t="s">
        <v>301</v>
      </c>
      <c r="C117" s="950"/>
      <c r="D117" s="861"/>
      <c r="E117" s="862"/>
      <c r="F117" s="861"/>
      <c r="G117" s="862"/>
      <c r="H117" s="861"/>
      <c r="I117" s="862"/>
      <c r="J117" s="861"/>
      <c r="K117" s="862"/>
      <c r="L117" s="861"/>
      <c r="M117" s="862"/>
      <c r="N117" s="861"/>
      <c r="O117" s="862"/>
      <c r="P117" s="861"/>
      <c r="Q117" s="862"/>
      <c r="R117" s="861"/>
      <c r="S117" s="862"/>
      <c r="T117" s="861"/>
      <c r="U117" s="862"/>
      <c r="V117" s="861"/>
      <c r="W117" s="862"/>
      <c r="X117" s="861"/>
      <c r="Y117" s="862"/>
      <c r="Z117" s="861"/>
      <c r="AA117" s="862"/>
      <c r="AB117" s="864"/>
      <c r="AC117" s="864"/>
      <c r="AD117" s="864"/>
      <c r="AE117" s="864"/>
      <c r="AF117" s="861"/>
      <c r="AG117" s="865">
        <f t="shared" si="1"/>
        <v>0</v>
      </c>
      <c r="AH117" s="866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  <c r="AS117" s="198"/>
      <c r="AT117" s="198"/>
      <c r="AU117" s="198"/>
      <c r="AV117" s="198"/>
      <c r="AW117" s="198"/>
      <c r="AX117" s="198"/>
      <c r="AY117" s="198"/>
      <c r="AZ117" s="198"/>
      <c r="BA117" s="198"/>
      <c r="BB117" s="198"/>
      <c r="BC117" s="198"/>
      <c r="BD117" s="198"/>
      <c r="BE117" s="198"/>
      <c r="BF117" s="198"/>
      <c r="BG117" s="198"/>
      <c r="BH117" s="198"/>
      <c r="BI117" s="198"/>
      <c r="BJ117" s="198"/>
      <c r="BK117" s="198"/>
      <c r="BL117" s="198"/>
      <c r="BM117" s="198"/>
      <c r="BN117" s="198"/>
      <c r="BO117" s="198"/>
      <c r="BP117" s="198"/>
      <c r="BQ117" s="198"/>
      <c r="BR117" s="198"/>
      <c r="BS117" s="198"/>
      <c r="BT117" s="198"/>
      <c r="BU117" s="198"/>
      <c r="BV117" s="198"/>
      <c r="BW117" s="198"/>
      <c r="BX117" s="198"/>
      <c r="BY117" s="198"/>
      <c r="BZ117" s="198"/>
      <c r="CA117" s="198"/>
      <c r="CB117" s="198"/>
      <c r="CC117" s="198"/>
      <c r="CD117" s="198"/>
      <c r="CE117" s="198"/>
      <c r="CF117" s="198"/>
      <c r="CG117" s="198"/>
      <c r="CH117" s="198"/>
      <c r="CI117" s="198"/>
      <c r="CJ117" s="198"/>
      <c r="CK117" s="198"/>
      <c r="CL117" s="198"/>
      <c r="CM117" s="198"/>
      <c r="CN117" s="198"/>
      <c r="CO117" s="198"/>
      <c r="CP117" s="198"/>
      <c r="CQ117" s="198"/>
      <c r="CR117" s="198"/>
      <c r="CS117" s="198"/>
      <c r="CT117" s="198"/>
      <c r="CU117" s="198"/>
      <c r="CV117" s="198"/>
      <c r="CW117" s="198"/>
      <c r="CX117" s="198"/>
      <c r="CY117" s="198"/>
      <c r="CZ117" s="198"/>
      <c r="DA117" s="198"/>
      <c r="DB117" s="198"/>
      <c r="DC117" s="198"/>
      <c r="DD117" s="198"/>
      <c r="DE117" s="198"/>
      <c r="DF117" s="198"/>
      <c r="DG117" s="198"/>
      <c r="DH117" s="198"/>
      <c r="DI117" s="198"/>
      <c r="DJ117" s="198"/>
      <c r="DK117" s="198"/>
      <c r="DL117" s="198"/>
      <c r="DM117" s="198"/>
      <c r="DN117" s="198"/>
      <c r="DO117" s="198"/>
      <c r="DP117" s="198"/>
      <c r="DQ117" s="198"/>
      <c r="DR117" s="198"/>
      <c r="DS117" s="198"/>
      <c r="DT117" s="198"/>
      <c r="DU117" s="198"/>
      <c r="DV117" s="198"/>
      <c r="DW117" s="198"/>
      <c r="DX117" s="198"/>
      <c r="DY117" s="198"/>
      <c r="DZ117" s="198"/>
      <c r="EA117" s="198"/>
      <c r="EB117" s="198"/>
      <c r="EC117" s="198"/>
      <c r="ED117" s="198"/>
      <c r="EE117" s="198"/>
      <c r="EF117" s="198"/>
      <c r="EG117" s="198"/>
      <c r="EH117" s="198"/>
      <c r="EI117" s="198"/>
      <c r="EJ117" s="198"/>
      <c r="EK117" s="198"/>
      <c r="EL117" s="198"/>
      <c r="EM117" s="198"/>
      <c r="EN117" s="198"/>
      <c r="EO117" s="198"/>
      <c r="EP117" s="198"/>
      <c r="EQ117" s="198"/>
      <c r="ER117" s="198"/>
      <c r="ES117" s="198"/>
      <c r="ET117" s="198"/>
      <c r="EU117" s="198"/>
      <c r="EV117" s="198"/>
      <c r="EW117" s="198"/>
      <c r="EX117" s="198"/>
      <c r="EY117" s="198"/>
      <c r="EZ117" s="198"/>
      <c r="FA117" s="198"/>
      <c r="FB117" s="198"/>
      <c r="FC117" s="198"/>
      <c r="FD117" s="198"/>
      <c r="FE117" s="198"/>
      <c r="FF117" s="198"/>
      <c r="FG117" s="198"/>
      <c r="FH117" s="198"/>
      <c r="FI117" s="198"/>
      <c r="FJ117" s="198"/>
      <c r="FK117" s="198"/>
      <c r="FL117" s="198"/>
      <c r="FM117" s="198"/>
      <c r="FN117" s="198"/>
      <c r="FO117" s="198"/>
      <c r="FP117" s="198"/>
      <c r="FQ117" s="198"/>
      <c r="FR117" s="198"/>
      <c r="FS117" s="198"/>
      <c r="FT117" s="198"/>
      <c r="FU117" s="198"/>
      <c r="FV117" s="198"/>
      <c r="FW117" s="198"/>
      <c r="FX117" s="198"/>
      <c r="FY117" s="198"/>
      <c r="FZ117" s="198"/>
      <c r="GA117" s="198"/>
      <c r="GB117" s="198"/>
      <c r="GC117" s="198"/>
      <c r="GD117" s="198"/>
      <c r="GE117" s="198"/>
      <c r="GF117" s="198"/>
      <c r="GG117" s="198"/>
      <c r="GH117" s="198"/>
      <c r="GI117" s="198"/>
      <c r="GJ117" s="198"/>
      <c r="GK117" s="198"/>
      <c r="GL117" s="198"/>
      <c r="GM117" s="198"/>
      <c r="GN117" s="198"/>
      <c r="GO117" s="198"/>
      <c r="GP117" s="198"/>
      <c r="GQ117" s="198"/>
      <c r="GR117" s="198"/>
      <c r="GS117" s="198"/>
      <c r="GT117" s="198"/>
      <c r="GU117" s="198"/>
      <c r="GV117" s="198"/>
      <c r="GW117" s="198"/>
      <c r="GX117" s="198"/>
      <c r="GY117" s="198"/>
      <c r="GZ117" s="198"/>
      <c r="HA117" s="198"/>
      <c r="HB117" s="198"/>
      <c r="HC117" s="198"/>
      <c r="HD117" s="198"/>
      <c r="HE117" s="198"/>
      <c r="HF117" s="198"/>
      <c r="HG117" s="198"/>
      <c r="HH117" s="198"/>
      <c r="HI117" s="198"/>
      <c r="HJ117" s="198"/>
      <c r="HK117" s="198"/>
      <c r="HL117" s="198"/>
      <c r="HM117" s="198"/>
      <c r="HN117" s="198"/>
      <c r="HO117" s="198"/>
      <c r="HP117" s="198"/>
      <c r="HQ117" s="198"/>
      <c r="HR117" s="198"/>
      <c r="HS117" s="198"/>
      <c r="HT117" s="198"/>
      <c r="HU117" s="198"/>
      <c r="HV117" s="198"/>
      <c r="HW117" s="198"/>
      <c r="HX117" s="198"/>
      <c r="HY117" s="198"/>
      <c r="HZ117" s="198"/>
      <c r="IA117" s="198"/>
      <c r="IB117" s="198"/>
      <c r="IC117" s="198"/>
      <c r="ID117" s="198"/>
      <c r="IE117" s="198"/>
      <c r="IF117" s="198"/>
      <c r="IG117" s="198"/>
      <c r="IH117" s="198"/>
      <c r="II117" s="198"/>
      <c r="IJ117" s="198"/>
      <c r="IK117" s="198"/>
      <c r="IL117" s="198"/>
      <c r="IM117" s="198"/>
      <c r="IN117" s="198"/>
      <c r="IO117" s="198"/>
      <c r="IP117" s="198"/>
      <c r="IQ117" s="198"/>
      <c r="IR117" s="198"/>
      <c r="IS117" s="198"/>
      <c r="IT117" s="198"/>
      <c r="IU117" s="198"/>
      <c r="IV117" s="198"/>
      <c r="IW117" s="198"/>
      <c r="IX117" s="198"/>
      <c r="IY117" s="198"/>
      <c r="IZ117" s="198"/>
      <c r="JA117" s="198"/>
      <c r="JB117" s="198"/>
      <c r="JC117" s="198"/>
      <c r="JD117" s="198"/>
      <c r="JE117" s="198"/>
      <c r="JF117" s="198"/>
      <c r="JG117" s="198"/>
      <c r="JH117" s="198"/>
      <c r="JI117" s="198"/>
      <c r="JJ117" s="198"/>
      <c r="JK117" s="198"/>
      <c r="JL117" s="198"/>
      <c r="JM117" s="198"/>
      <c r="JN117" s="198"/>
      <c r="JO117" s="198"/>
      <c r="JP117" s="198"/>
      <c r="JQ117" s="198"/>
      <c r="JR117" s="198"/>
      <c r="JS117" s="198"/>
      <c r="JT117" s="198"/>
      <c r="JU117" s="198"/>
      <c r="JV117" s="198"/>
      <c r="JW117" s="198"/>
      <c r="JX117" s="198"/>
      <c r="JY117" s="198"/>
      <c r="JZ117" s="198"/>
      <c r="KA117" s="198"/>
      <c r="KB117" s="198"/>
      <c r="KC117" s="198"/>
      <c r="KD117" s="198"/>
      <c r="KE117" s="198"/>
      <c r="KF117" s="198"/>
      <c r="KG117" s="198"/>
      <c r="KH117" s="198"/>
      <c r="KI117" s="198"/>
      <c r="KJ117" s="198"/>
      <c r="KK117" s="198"/>
      <c r="KL117" s="198"/>
      <c r="KM117" s="198"/>
      <c r="KN117" s="198"/>
      <c r="KO117" s="198"/>
      <c r="KP117" s="198"/>
      <c r="KQ117" s="198"/>
      <c r="KR117" s="198"/>
      <c r="KS117" s="198"/>
      <c r="KT117" s="198"/>
      <c r="KU117" s="198"/>
      <c r="KV117" s="198"/>
      <c r="KW117" s="198"/>
      <c r="KX117" s="198"/>
      <c r="KY117" s="198"/>
      <c r="KZ117" s="198"/>
      <c r="LA117" s="198"/>
      <c r="LB117" s="198"/>
      <c r="LC117" s="198"/>
      <c r="LD117" s="198"/>
      <c r="LE117" s="198"/>
      <c r="LF117" s="198"/>
      <c r="LG117" s="198"/>
      <c r="LH117" s="198"/>
      <c r="LI117" s="198"/>
      <c r="LJ117" s="198"/>
      <c r="LK117" s="198"/>
      <c r="LL117" s="198"/>
      <c r="LM117" s="198"/>
      <c r="LN117" s="198"/>
      <c r="LO117" s="198"/>
      <c r="LP117" s="198"/>
      <c r="LQ117" s="198"/>
      <c r="LR117" s="198"/>
      <c r="LS117" s="198"/>
      <c r="LT117" s="198"/>
      <c r="LU117" s="198"/>
      <c r="LV117" s="198"/>
      <c r="LW117" s="198"/>
      <c r="LX117" s="198"/>
      <c r="LY117" s="198"/>
      <c r="LZ117" s="198"/>
      <c r="MA117" s="198"/>
      <c r="MB117" s="198"/>
      <c r="MC117" s="198"/>
      <c r="MD117" s="198"/>
      <c r="ME117" s="198"/>
      <c r="MF117" s="198"/>
      <c r="MG117" s="198"/>
      <c r="MH117" s="198"/>
      <c r="MI117" s="198"/>
      <c r="MJ117" s="198"/>
      <c r="MK117" s="198"/>
      <c r="ML117" s="198"/>
      <c r="MM117" s="198"/>
      <c r="MN117" s="198"/>
      <c r="MO117" s="198"/>
      <c r="MP117" s="198"/>
      <c r="MQ117" s="198"/>
      <c r="MR117" s="198"/>
      <c r="MS117" s="198"/>
      <c r="MT117" s="198"/>
      <c r="MU117" s="198"/>
      <c r="MV117" s="198"/>
      <c r="MW117" s="198"/>
      <c r="MX117" s="198"/>
      <c r="MY117" s="198"/>
      <c r="MZ117" s="198"/>
      <c r="NA117" s="198"/>
      <c r="NB117" s="198"/>
      <c r="NC117" s="198"/>
      <c r="ND117" s="198"/>
      <c r="NE117" s="198"/>
      <c r="NF117" s="198"/>
      <c r="NG117" s="198"/>
      <c r="NH117" s="198"/>
      <c r="NI117" s="198"/>
      <c r="NJ117" s="198"/>
      <c r="NK117" s="198"/>
      <c r="NL117" s="198"/>
      <c r="NM117" s="198"/>
      <c r="NN117" s="198"/>
      <c r="NO117" s="198"/>
      <c r="NP117" s="198"/>
      <c r="NQ117" s="198"/>
      <c r="NR117" s="198"/>
      <c r="NS117" s="198"/>
      <c r="NT117" s="198"/>
      <c r="NU117" s="198"/>
      <c r="NV117" s="198"/>
      <c r="NW117" s="198"/>
      <c r="NX117" s="198"/>
      <c r="NY117" s="198"/>
      <c r="NZ117" s="198"/>
      <c r="OA117" s="198"/>
      <c r="OB117" s="198"/>
      <c r="OC117" s="198"/>
      <c r="OD117" s="198"/>
      <c r="OE117" s="198"/>
      <c r="OF117" s="198"/>
      <c r="OG117" s="198"/>
      <c r="OH117" s="198"/>
      <c r="OI117" s="198"/>
      <c r="OJ117" s="198"/>
      <c r="OK117" s="198"/>
      <c r="OL117" s="198"/>
      <c r="OM117" s="198"/>
      <c r="ON117" s="198"/>
      <c r="OO117" s="198"/>
      <c r="OP117" s="198"/>
      <c r="OQ117" s="198"/>
      <c r="OR117" s="198"/>
      <c r="OS117" s="198"/>
      <c r="OT117" s="198"/>
      <c r="OU117" s="198"/>
      <c r="OV117" s="198"/>
      <c r="OW117" s="198"/>
      <c r="OX117" s="198"/>
      <c r="OY117" s="198"/>
      <c r="OZ117" s="198"/>
      <c r="PA117" s="198"/>
      <c r="PB117" s="198"/>
      <c r="PC117" s="198"/>
      <c r="PD117" s="198"/>
      <c r="PE117" s="198"/>
      <c r="PF117" s="198"/>
      <c r="PG117" s="198"/>
      <c r="PH117" s="198"/>
      <c r="PI117" s="198"/>
      <c r="PJ117" s="198"/>
      <c r="PK117" s="198"/>
      <c r="PL117" s="198"/>
      <c r="PM117" s="198"/>
      <c r="PN117" s="198"/>
      <c r="PO117" s="198"/>
      <c r="PP117" s="198"/>
      <c r="PQ117" s="198"/>
      <c r="PR117" s="198"/>
      <c r="PS117" s="198"/>
      <c r="PT117" s="198"/>
      <c r="PU117" s="198"/>
      <c r="PV117" s="198"/>
      <c r="PW117" s="198"/>
      <c r="PX117" s="198"/>
      <c r="PY117" s="198"/>
      <c r="PZ117" s="198"/>
      <c r="QA117" s="198"/>
      <c r="QB117" s="198"/>
      <c r="QC117" s="198"/>
      <c r="QD117" s="198"/>
      <c r="QE117" s="198"/>
      <c r="QF117" s="198"/>
      <c r="QG117" s="198"/>
      <c r="QH117" s="198"/>
      <c r="QI117" s="198"/>
      <c r="QJ117" s="198"/>
      <c r="QK117" s="198"/>
      <c r="QL117" s="198"/>
      <c r="QM117" s="198"/>
      <c r="QN117" s="198"/>
      <c r="QO117" s="198"/>
      <c r="QP117" s="198"/>
      <c r="QQ117" s="198"/>
      <c r="QR117" s="198"/>
      <c r="QS117" s="198"/>
      <c r="QT117" s="198"/>
      <c r="QU117" s="198"/>
      <c r="QV117" s="198"/>
      <c r="QW117" s="198"/>
      <c r="QX117" s="198"/>
      <c r="QY117" s="198"/>
      <c r="QZ117" s="198"/>
      <c r="RA117" s="198"/>
      <c r="RB117" s="198"/>
      <c r="RC117" s="198"/>
      <c r="RD117" s="198"/>
      <c r="RE117" s="198"/>
      <c r="RF117" s="198"/>
      <c r="RG117" s="198"/>
      <c r="RH117" s="198"/>
      <c r="RI117" s="198"/>
      <c r="RJ117" s="198"/>
      <c r="RK117" s="198"/>
      <c r="RL117" s="198"/>
      <c r="RM117" s="198"/>
      <c r="RN117" s="198"/>
      <c r="RO117" s="198"/>
      <c r="RP117" s="198"/>
      <c r="RQ117" s="198"/>
      <c r="RR117" s="198"/>
      <c r="RS117" s="198"/>
      <c r="RT117" s="198"/>
      <c r="RU117" s="198"/>
      <c r="RV117" s="198"/>
      <c r="RW117" s="198"/>
      <c r="RX117" s="198"/>
      <c r="RY117" s="198"/>
      <c r="RZ117" s="198"/>
      <c r="SA117" s="198"/>
      <c r="SB117" s="198"/>
      <c r="SC117" s="198"/>
      <c r="SD117" s="198"/>
      <c r="SE117" s="198"/>
      <c r="SF117" s="198"/>
      <c r="SG117" s="198"/>
    </row>
    <row r="118" spans="1:501" ht="40.049999999999997" customHeight="1" x14ac:dyDescent="0.3">
      <c r="A118" s="546" t="s">
        <v>302</v>
      </c>
      <c r="B118" s="959" t="s">
        <v>303</v>
      </c>
      <c r="C118" s="950"/>
      <c r="D118" s="861"/>
      <c r="E118" s="862"/>
      <c r="F118" s="861"/>
      <c r="G118" s="862"/>
      <c r="H118" s="861"/>
      <c r="I118" s="862"/>
      <c r="J118" s="861"/>
      <c r="K118" s="862"/>
      <c r="L118" s="861"/>
      <c r="M118" s="862"/>
      <c r="N118" s="861"/>
      <c r="O118" s="862"/>
      <c r="P118" s="861"/>
      <c r="Q118" s="862"/>
      <c r="R118" s="861"/>
      <c r="S118" s="862"/>
      <c r="T118" s="861"/>
      <c r="U118" s="862"/>
      <c r="V118" s="861"/>
      <c r="W118" s="862"/>
      <c r="X118" s="861"/>
      <c r="Y118" s="862"/>
      <c r="Z118" s="861"/>
      <c r="AA118" s="862"/>
      <c r="AB118" s="864"/>
      <c r="AC118" s="864"/>
      <c r="AD118" s="864"/>
      <c r="AE118" s="864"/>
      <c r="AF118" s="861"/>
      <c r="AG118" s="865">
        <f t="shared" si="1"/>
        <v>0</v>
      </c>
      <c r="AH118" s="866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  <c r="AS118" s="198"/>
      <c r="AT118" s="198"/>
      <c r="AU118" s="198"/>
      <c r="AV118" s="198"/>
      <c r="AW118" s="198"/>
      <c r="AX118" s="198"/>
      <c r="AY118" s="198"/>
      <c r="AZ118" s="198"/>
      <c r="BA118" s="198"/>
      <c r="BB118" s="198"/>
      <c r="BC118" s="198"/>
      <c r="BD118" s="198"/>
      <c r="BE118" s="198"/>
      <c r="BF118" s="198"/>
      <c r="BG118" s="198"/>
      <c r="BH118" s="198"/>
      <c r="BI118" s="198"/>
      <c r="BJ118" s="198"/>
      <c r="BK118" s="198"/>
      <c r="BL118" s="198"/>
      <c r="BM118" s="198"/>
      <c r="BN118" s="198"/>
      <c r="BO118" s="198"/>
      <c r="BP118" s="198"/>
      <c r="BQ118" s="198"/>
      <c r="BR118" s="198"/>
      <c r="BS118" s="198"/>
      <c r="BT118" s="198"/>
      <c r="BU118" s="198"/>
      <c r="BV118" s="198"/>
      <c r="BW118" s="198"/>
      <c r="BX118" s="198"/>
      <c r="BY118" s="198"/>
      <c r="BZ118" s="198"/>
      <c r="CA118" s="198"/>
      <c r="CB118" s="198"/>
      <c r="CC118" s="198"/>
      <c r="CD118" s="198"/>
      <c r="CE118" s="198"/>
      <c r="CF118" s="198"/>
      <c r="CG118" s="198"/>
      <c r="CH118" s="198"/>
      <c r="CI118" s="198"/>
      <c r="CJ118" s="198"/>
      <c r="CK118" s="198"/>
      <c r="CL118" s="198"/>
      <c r="CM118" s="198"/>
      <c r="CN118" s="198"/>
      <c r="CO118" s="198"/>
      <c r="CP118" s="198"/>
      <c r="CQ118" s="198"/>
      <c r="CR118" s="198"/>
      <c r="CS118" s="198"/>
      <c r="CT118" s="198"/>
      <c r="CU118" s="198"/>
      <c r="CV118" s="198"/>
      <c r="CW118" s="198"/>
      <c r="CX118" s="198"/>
      <c r="CY118" s="198"/>
      <c r="CZ118" s="198"/>
      <c r="DA118" s="198"/>
      <c r="DB118" s="198"/>
      <c r="DC118" s="198"/>
      <c r="DD118" s="198"/>
      <c r="DE118" s="198"/>
      <c r="DF118" s="198"/>
      <c r="DG118" s="198"/>
      <c r="DH118" s="198"/>
      <c r="DI118" s="198"/>
      <c r="DJ118" s="198"/>
      <c r="DK118" s="198"/>
      <c r="DL118" s="198"/>
      <c r="DM118" s="198"/>
      <c r="DN118" s="198"/>
      <c r="DO118" s="198"/>
      <c r="DP118" s="198"/>
      <c r="DQ118" s="198"/>
      <c r="DR118" s="198"/>
      <c r="DS118" s="198"/>
      <c r="DT118" s="198"/>
      <c r="DU118" s="198"/>
      <c r="DV118" s="198"/>
      <c r="DW118" s="198"/>
      <c r="DX118" s="198"/>
      <c r="DY118" s="198"/>
      <c r="DZ118" s="198"/>
      <c r="EA118" s="198"/>
      <c r="EB118" s="198"/>
      <c r="EC118" s="198"/>
      <c r="ED118" s="198"/>
      <c r="EE118" s="198"/>
      <c r="EF118" s="198"/>
      <c r="EG118" s="198"/>
      <c r="EH118" s="198"/>
      <c r="EI118" s="198"/>
      <c r="EJ118" s="198"/>
      <c r="EK118" s="198"/>
      <c r="EL118" s="198"/>
      <c r="EM118" s="198"/>
      <c r="EN118" s="198"/>
      <c r="EO118" s="198"/>
      <c r="EP118" s="198"/>
      <c r="EQ118" s="198"/>
      <c r="ER118" s="198"/>
      <c r="ES118" s="198"/>
      <c r="ET118" s="198"/>
      <c r="EU118" s="198"/>
      <c r="EV118" s="198"/>
      <c r="EW118" s="198"/>
      <c r="EX118" s="198"/>
      <c r="EY118" s="198"/>
      <c r="EZ118" s="198"/>
      <c r="FA118" s="198"/>
      <c r="FB118" s="198"/>
      <c r="FC118" s="198"/>
      <c r="FD118" s="198"/>
      <c r="FE118" s="198"/>
      <c r="FF118" s="198"/>
      <c r="FG118" s="198"/>
      <c r="FH118" s="198"/>
      <c r="FI118" s="198"/>
      <c r="FJ118" s="198"/>
      <c r="FK118" s="198"/>
      <c r="FL118" s="198"/>
      <c r="FM118" s="198"/>
      <c r="FN118" s="198"/>
      <c r="FO118" s="198"/>
      <c r="FP118" s="198"/>
      <c r="FQ118" s="198"/>
      <c r="FR118" s="198"/>
      <c r="FS118" s="198"/>
      <c r="FT118" s="198"/>
      <c r="FU118" s="198"/>
      <c r="FV118" s="198"/>
      <c r="FW118" s="198"/>
      <c r="FX118" s="198"/>
      <c r="FY118" s="198"/>
      <c r="FZ118" s="198"/>
      <c r="GA118" s="198"/>
      <c r="GB118" s="198"/>
      <c r="GC118" s="198"/>
      <c r="GD118" s="198"/>
      <c r="GE118" s="198"/>
      <c r="GF118" s="198"/>
      <c r="GG118" s="198"/>
      <c r="GH118" s="198"/>
      <c r="GI118" s="198"/>
      <c r="GJ118" s="198"/>
      <c r="GK118" s="198"/>
      <c r="GL118" s="198"/>
      <c r="GM118" s="198"/>
      <c r="GN118" s="198"/>
      <c r="GO118" s="198"/>
      <c r="GP118" s="198"/>
      <c r="GQ118" s="198"/>
      <c r="GR118" s="198"/>
      <c r="GS118" s="198"/>
      <c r="GT118" s="198"/>
      <c r="GU118" s="198"/>
      <c r="GV118" s="198"/>
      <c r="GW118" s="198"/>
      <c r="GX118" s="198"/>
      <c r="GY118" s="198"/>
      <c r="GZ118" s="198"/>
      <c r="HA118" s="198"/>
      <c r="HB118" s="198"/>
      <c r="HC118" s="198"/>
      <c r="HD118" s="198"/>
      <c r="HE118" s="198"/>
      <c r="HF118" s="198"/>
      <c r="HG118" s="198"/>
      <c r="HH118" s="198"/>
      <c r="HI118" s="198"/>
      <c r="HJ118" s="198"/>
      <c r="HK118" s="198"/>
      <c r="HL118" s="198"/>
      <c r="HM118" s="198"/>
      <c r="HN118" s="198"/>
      <c r="HO118" s="198"/>
      <c r="HP118" s="198"/>
      <c r="HQ118" s="198"/>
      <c r="HR118" s="198"/>
      <c r="HS118" s="198"/>
      <c r="HT118" s="198"/>
      <c r="HU118" s="198"/>
      <c r="HV118" s="198"/>
      <c r="HW118" s="198"/>
      <c r="HX118" s="198"/>
      <c r="HY118" s="198"/>
      <c r="HZ118" s="198"/>
      <c r="IA118" s="198"/>
      <c r="IB118" s="198"/>
      <c r="IC118" s="198"/>
      <c r="ID118" s="198"/>
      <c r="IE118" s="198"/>
      <c r="IF118" s="198"/>
      <c r="IG118" s="198"/>
      <c r="IH118" s="198"/>
      <c r="II118" s="198"/>
      <c r="IJ118" s="198"/>
      <c r="IK118" s="198"/>
      <c r="IL118" s="198"/>
      <c r="IM118" s="198"/>
      <c r="IN118" s="198"/>
      <c r="IO118" s="198"/>
      <c r="IP118" s="198"/>
      <c r="IQ118" s="198"/>
      <c r="IR118" s="198"/>
      <c r="IS118" s="198"/>
      <c r="IT118" s="198"/>
      <c r="IU118" s="198"/>
      <c r="IV118" s="198"/>
      <c r="IW118" s="198"/>
      <c r="IX118" s="198"/>
      <c r="IY118" s="198"/>
      <c r="IZ118" s="198"/>
      <c r="JA118" s="198"/>
      <c r="JB118" s="198"/>
      <c r="JC118" s="198"/>
      <c r="JD118" s="198"/>
      <c r="JE118" s="198"/>
      <c r="JF118" s="198"/>
      <c r="JG118" s="198"/>
      <c r="JH118" s="198"/>
      <c r="JI118" s="198"/>
      <c r="JJ118" s="198"/>
      <c r="JK118" s="198"/>
      <c r="JL118" s="198"/>
      <c r="JM118" s="198"/>
      <c r="JN118" s="198"/>
      <c r="JO118" s="198"/>
      <c r="JP118" s="198"/>
      <c r="JQ118" s="198"/>
      <c r="JR118" s="198"/>
      <c r="JS118" s="198"/>
      <c r="JT118" s="198"/>
      <c r="JU118" s="198"/>
      <c r="JV118" s="198"/>
      <c r="JW118" s="198"/>
      <c r="JX118" s="198"/>
      <c r="JY118" s="198"/>
      <c r="JZ118" s="198"/>
      <c r="KA118" s="198"/>
      <c r="KB118" s="198"/>
      <c r="KC118" s="198"/>
      <c r="KD118" s="198"/>
      <c r="KE118" s="198"/>
      <c r="KF118" s="198"/>
      <c r="KG118" s="198"/>
      <c r="KH118" s="198"/>
      <c r="KI118" s="198"/>
      <c r="KJ118" s="198"/>
      <c r="KK118" s="198"/>
      <c r="KL118" s="198"/>
      <c r="KM118" s="198"/>
      <c r="KN118" s="198"/>
      <c r="KO118" s="198"/>
      <c r="KP118" s="198"/>
      <c r="KQ118" s="198"/>
      <c r="KR118" s="198"/>
      <c r="KS118" s="198"/>
      <c r="KT118" s="198"/>
      <c r="KU118" s="198"/>
      <c r="KV118" s="198"/>
      <c r="KW118" s="198"/>
      <c r="KX118" s="198"/>
      <c r="KY118" s="198"/>
      <c r="KZ118" s="198"/>
      <c r="LA118" s="198"/>
      <c r="LB118" s="198"/>
      <c r="LC118" s="198"/>
      <c r="LD118" s="198"/>
      <c r="LE118" s="198"/>
      <c r="LF118" s="198"/>
      <c r="LG118" s="198"/>
      <c r="LH118" s="198"/>
      <c r="LI118" s="198"/>
      <c r="LJ118" s="198"/>
      <c r="LK118" s="198"/>
      <c r="LL118" s="198"/>
      <c r="LM118" s="198"/>
      <c r="LN118" s="198"/>
      <c r="LO118" s="198"/>
      <c r="LP118" s="198"/>
      <c r="LQ118" s="198"/>
      <c r="LR118" s="198"/>
      <c r="LS118" s="198"/>
      <c r="LT118" s="198"/>
      <c r="LU118" s="198"/>
      <c r="LV118" s="198"/>
      <c r="LW118" s="198"/>
      <c r="LX118" s="198"/>
      <c r="LY118" s="198"/>
      <c r="LZ118" s="198"/>
      <c r="MA118" s="198"/>
      <c r="MB118" s="198"/>
      <c r="MC118" s="198"/>
      <c r="MD118" s="198"/>
      <c r="ME118" s="198"/>
      <c r="MF118" s="198"/>
      <c r="MG118" s="198"/>
      <c r="MH118" s="198"/>
      <c r="MI118" s="198"/>
      <c r="MJ118" s="198"/>
      <c r="MK118" s="198"/>
      <c r="ML118" s="198"/>
      <c r="MM118" s="198"/>
      <c r="MN118" s="198"/>
      <c r="MO118" s="198"/>
      <c r="MP118" s="198"/>
      <c r="MQ118" s="198"/>
      <c r="MR118" s="198"/>
      <c r="MS118" s="198"/>
      <c r="MT118" s="198"/>
      <c r="MU118" s="198"/>
      <c r="MV118" s="198"/>
      <c r="MW118" s="198"/>
      <c r="MX118" s="198"/>
      <c r="MY118" s="198"/>
      <c r="MZ118" s="198"/>
      <c r="NA118" s="198"/>
      <c r="NB118" s="198"/>
      <c r="NC118" s="198"/>
      <c r="ND118" s="198"/>
      <c r="NE118" s="198"/>
      <c r="NF118" s="198"/>
      <c r="NG118" s="198"/>
      <c r="NH118" s="198"/>
      <c r="NI118" s="198"/>
      <c r="NJ118" s="198"/>
      <c r="NK118" s="198"/>
      <c r="NL118" s="198"/>
      <c r="NM118" s="198"/>
      <c r="NN118" s="198"/>
      <c r="NO118" s="198"/>
      <c r="NP118" s="198"/>
      <c r="NQ118" s="198"/>
      <c r="NR118" s="198"/>
      <c r="NS118" s="198"/>
      <c r="NT118" s="198"/>
      <c r="NU118" s="198"/>
      <c r="NV118" s="198"/>
      <c r="NW118" s="198"/>
      <c r="NX118" s="198"/>
      <c r="NY118" s="198"/>
      <c r="NZ118" s="198"/>
      <c r="OA118" s="198"/>
      <c r="OB118" s="198"/>
      <c r="OC118" s="198"/>
      <c r="OD118" s="198"/>
      <c r="OE118" s="198"/>
      <c r="OF118" s="198"/>
      <c r="OG118" s="198"/>
      <c r="OH118" s="198"/>
      <c r="OI118" s="198"/>
      <c r="OJ118" s="198"/>
      <c r="OK118" s="198"/>
      <c r="OL118" s="198"/>
      <c r="OM118" s="198"/>
      <c r="ON118" s="198"/>
      <c r="OO118" s="198"/>
      <c r="OP118" s="198"/>
      <c r="OQ118" s="198"/>
      <c r="OR118" s="198"/>
      <c r="OS118" s="198"/>
      <c r="OT118" s="198"/>
      <c r="OU118" s="198"/>
      <c r="OV118" s="198"/>
      <c r="OW118" s="198"/>
      <c r="OX118" s="198"/>
      <c r="OY118" s="198"/>
      <c r="OZ118" s="198"/>
      <c r="PA118" s="198"/>
      <c r="PB118" s="198"/>
      <c r="PC118" s="198"/>
      <c r="PD118" s="198"/>
      <c r="PE118" s="198"/>
      <c r="PF118" s="198"/>
      <c r="PG118" s="198"/>
      <c r="PH118" s="198"/>
      <c r="PI118" s="198"/>
      <c r="PJ118" s="198"/>
      <c r="PK118" s="198"/>
      <c r="PL118" s="198"/>
      <c r="PM118" s="198"/>
      <c r="PN118" s="198"/>
      <c r="PO118" s="198"/>
      <c r="PP118" s="198"/>
      <c r="PQ118" s="198"/>
      <c r="PR118" s="198"/>
      <c r="PS118" s="198"/>
      <c r="PT118" s="198"/>
      <c r="PU118" s="198"/>
      <c r="PV118" s="198"/>
      <c r="PW118" s="198"/>
      <c r="PX118" s="198"/>
      <c r="PY118" s="198"/>
      <c r="PZ118" s="198"/>
      <c r="QA118" s="198"/>
      <c r="QB118" s="198"/>
      <c r="QC118" s="198"/>
      <c r="QD118" s="198"/>
      <c r="QE118" s="198"/>
      <c r="QF118" s="198"/>
      <c r="QG118" s="198"/>
      <c r="QH118" s="198"/>
      <c r="QI118" s="198"/>
      <c r="QJ118" s="198"/>
      <c r="QK118" s="198"/>
      <c r="QL118" s="198"/>
      <c r="QM118" s="198"/>
      <c r="QN118" s="198"/>
      <c r="QO118" s="198"/>
      <c r="QP118" s="198"/>
      <c r="QQ118" s="198"/>
      <c r="QR118" s="198"/>
      <c r="QS118" s="198"/>
      <c r="QT118" s="198"/>
      <c r="QU118" s="198"/>
      <c r="QV118" s="198"/>
      <c r="QW118" s="198"/>
      <c r="QX118" s="198"/>
      <c r="QY118" s="198"/>
      <c r="QZ118" s="198"/>
      <c r="RA118" s="198"/>
      <c r="RB118" s="198"/>
      <c r="RC118" s="198"/>
      <c r="RD118" s="198"/>
      <c r="RE118" s="198"/>
      <c r="RF118" s="198"/>
      <c r="RG118" s="198"/>
      <c r="RH118" s="198"/>
      <c r="RI118" s="198"/>
      <c r="RJ118" s="198"/>
      <c r="RK118" s="198"/>
      <c r="RL118" s="198"/>
      <c r="RM118" s="198"/>
      <c r="RN118" s="198"/>
      <c r="RO118" s="198"/>
      <c r="RP118" s="198"/>
      <c r="RQ118" s="198"/>
      <c r="RR118" s="198"/>
      <c r="RS118" s="198"/>
      <c r="RT118" s="198"/>
      <c r="RU118" s="198"/>
      <c r="RV118" s="198"/>
      <c r="RW118" s="198"/>
      <c r="RX118" s="198"/>
      <c r="RY118" s="198"/>
      <c r="RZ118" s="198"/>
      <c r="SA118" s="198"/>
      <c r="SB118" s="198"/>
      <c r="SC118" s="198"/>
      <c r="SD118" s="198"/>
      <c r="SE118" s="198"/>
      <c r="SF118" s="198"/>
      <c r="SG118" s="198"/>
    </row>
    <row r="119" spans="1:501" ht="40.049999999999997" customHeight="1" x14ac:dyDescent="0.3">
      <c r="A119" s="546" t="s">
        <v>304</v>
      </c>
      <c r="B119" s="959" t="s">
        <v>305</v>
      </c>
      <c r="C119" s="950"/>
      <c r="D119" s="861"/>
      <c r="E119" s="862"/>
      <c r="F119" s="861"/>
      <c r="G119" s="862"/>
      <c r="H119" s="861"/>
      <c r="I119" s="862"/>
      <c r="J119" s="861"/>
      <c r="K119" s="862"/>
      <c r="L119" s="861"/>
      <c r="M119" s="862">
        <f>MANZ.F!AB121</f>
        <v>0</v>
      </c>
      <c r="N119" s="861"/>
      <c r="O119" s="862"/>
      <c r="P119" s="861"/>
      <c r="Q119" s="862"/>
      <c r="R119" s="861"/>
      <c r="S119" s="862"/>
      <c r="T119" s="861"/>
      <c r="U119" s="862">
        <f>MANZ.J!AT125</f>
        <v>0</v>
      </c>
      <c r="V119" s="861"/>
      <c r="W119" s="862"/>
      <c r="X119" s="861"/>
      <c r="Y119" s="862"/>
      <c r="Z119" s="861"/>
      <c r="AA119" s="862"/>
      <c r="AB119" s="864"/>
      <c r="AC119" s="864"/>
      <c r="AD119" s="864"/>
      <c r="AE119" s="864"/>
      <c r="AF119" s="861"/>
      <c r="AG119" s="865">
        <f t="shared" si="1"/>
        <v>0</v>
      </c>
      <c r="AH119" s="866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  <c r="AS119" s="198"/>
      <c r="AT119" s="198"/>
      <c r="AU119" s="198"/>
      <c r="AV119" s="198"/>
      <c r="AW119" s="198"/>
      <c r="AX119" s="198"/>
      <c r="AY119" s="198"/>
      <c r="AZ119" s="198"/>
      <c r="BA119" s="198"/>
      <c r="BB119" s="198"/>
      <c r="BC119" s="198"/>
      <c r="BD119" s="198"/>
      <c r="BE119" s="198"/>
      <c r="BF119" s="198"/>
      <c r="BG119" s="198"/>
      <c r="BH119" s="198"/>
      <c r="BI119" s="198"/>
      <c r="BJ119" s="198"/>
      <c r="BK119" s="198"/>
      <c r="BL119" s="198"/>
      <c r="BM119" s="198"/>
      <c r="BN119" s="198"/>
      <c r="BO119" s="198"/>
      <c r="BP119" s="198"/>
      <c r="BQ119" s="198"/>
      <c r="BR119" s="198"/>
      <c r="BS119" s="198"/>
      <c r="BT119" s="198"/>
      <c r="BU119" s="198"/>
      <c r="BV119" s="198"/>
      <c r="BW119" s="198"/>
      <c r="BX119" s="198"/>
      <c r="BY119" s="198"/>
      <c r="BZ119" s="198"/>
      <c r="CA119" s="198"/>
      <c r="CB119" s="198"/>
      <c r="CC119" s="198"/>
      <c r="CD119" s="198"/>
      <c r="CE119" s="198"/>
      <c r="CF119" s="198"/>
      <c r="CG119" s="198"/>
      <c r="CH119" s="198"/>
      <c r="CI119" s="198"/>
      <c r="CJ119" s="198"/>
      <c r="CK119" s="198"/>
      <c r="CL119" s="198"/>
      <c r="CM119" s="198"/>
      <c r="CN119" s="198"/>
      <c r="CO119" s="198"/>
      <c r="CP119" s="198"/>
      <c r="CQ119" s="198"/>
      <c r="CR119" s="198"/>
      <c r="CS119" s="198"/>
      <c r="CT119" s="198"/>
      <c r="CU119" s="198"/>
      <c r="CV119" s="198"/>
      <c r="CW119" s="198"/>
      <c r="CX119" s="198"/>
      <c r="CY119" s="198"/>
      <c r="CZ119" s="198"/>
      <c r="DA119" s="198"/>
      <c r="DB119" s="198"/>
      <c r="DC119" s="198"/>
      <c r="DD119" s="198"/>
      <c r="DE119" s="198"/>
      <c r="DF119" s="198"/>
      <c r="DG119" s="198"/>
      <c r="DH119" s="198"/>
      <c r="DI119" s="198"/>
      <c r="DJ119" s="198"/>
      <c r="DK119" s="198"/>
      <c r="DL119" s="198"/>
      <c r="DM119" s="198"/>
      <c r="DN119" s="198"/>
      <c r="DO119" s="198"/>
      <c r="DP119" s="198"/>
      <c r="DQ119" s="198"/>
      <c r="DR119" s="198"/>
      <c r="DS119" s="198"/>
      <c r="DT119" s="198"/>
      <c r="DU119" s="198"/>
      <c r="DV119" s="198"/>
      <c r="DW119" s="198"/>
      <c r="DX119" s="198"/>
      <c r="DY119" s="198"/>
      <c r="DZ119" s="198"/>
      <c r="EA119" s="198"/>
      <c r="EB119" s="198"/>
      <c r="EC119" s="198"/>
      <c r="ED119" s="198"/>
      <c r="EE119" s="198"/>
      <c r="EF119" s="198"/>
      <c r="EG119" s="198"/>
      <c r="EH119" s="198"/>
      <c r="EI119" s="198"/>
      <c r="EJ119" s="198"/>
      <c r="EK119" s="198"/>
      <c r="EL119" s="198"/>
      <c r="EM119" s="198"/>
      <c r="EN119" s="198"/>
      <c r="EO119" s="198"/>
      <c r="EP119" s="198"/>
      <c r="EQ119" s="198"/>
      <c r="ER119" s="198"/>
      <c r="ES119" s="198"/>
      <c r="ET119" s="198"/>
      <c r="EU119" s="198"/>
      <c r="EV119" s="198"/>
      <c r="EW119" s="198"/>
      <c r="EX119" s="198"/>
      <c r="EY119" s="198"/>
      <c r="EZ119" s="198"/>
      <c r="FA119" s="198"/>
      <c r="FB119" s="198"/>
      <c r="FC119" s="198"/>
      <c r="FD119" s="198"/>
      <c r="FE119" s="198"/>
      <c r="FF119" s="198"/>
      <c r="FG119" s="198"/>
      <c r="FH119" s="198"/>
      <c r="FI119" s="198"/>
      <c r="FJ119" s="198"/>
      <c r="FK119" s="198"/>
      <c r="FL119" s="198"/>
      <c r="FM119" s="198"/>
      <c r="FN119" s="198"/>
      <c r="FO119" s="198"/>
      <c r="FP119" s="198"/>
      <c r="FQ119" s="198"/>
      <c r="FR119" s="198"/>
      <c r="FS119" s="198"/>
      <c r="FT119" s="198"/>
      <c r="FU119" s="198"/>
      <c r="FV119" s="198"/>
      <c r="FW119" s="198"/>
      <c r="FX119" s="198"/>
      <c r="FY119" s="198"/>
      <c r="FZ119" s="198"/>
      <c r="GA119" s="198"/>
      <c r="GB119" s="198"/>
      <c r="GC119" s="198"/>
      <c r="GD119" s="198"/>
      <c r="GE119" s="198"/>
      <c r="GF119" s="198"/>
      <c r="GG119" s="198"/>
      <c r="GH119" s="198"/>
      <c r="GI119" s="198"/>
      <c r="GJ119" s="198"/>
      <c r="GK119" s="198"/>
      <c r="GL119" s="198"/>
      <c r="GM119" s="198"/>
      <c r="GN119" s="198"/>
      <c r="GO119" s="198"/>
      <c r="GP119" s="198"/>
      <c r="GQ119" s="198"/>
      <c r="GR119" s="198"/>
      <c r="GS119" s="198"/>
      <c r="GT119" s="198"/>
      <c r="GU119" s="198"/>
      <c r="GV119" s="198"/>
      <c r="GW119" s="198"/>
      <c r="GX119" s="198"/>
      <c r="GY119" s="198"/>
      <c r="GZ119" s="198"/>
      <c r="HA119" s="198"/>
      <c r="HB119" s="198"/>
      <c r="HC119" s="198"/>
      <c r="HD119" s="198"/>
      <c r="HE119" s="198"/>
      <c r="HF119" s="198"/>
      <c r="HG119" s="198"/>
      <c r="HH119" s="198"/>
      <c r="HI119" s="198"/>
      <c r="HJ119" s="198"/>
      <c r="HK119" s="198"/>
      <c r="HL119" s="198"/>
      <c r="HM119" s="198"/>
      <c r="HN119" s="198"/>
      <c r="HO119" s="198"/>
      <c r="HP119" s="198"/>
      <c r="HQ119" s="198"/>
      <c r="HR119" s="198"/>
      <c r="HS119" s="198"/>
      <c r="HT119" s="198"/>
      <c r="HU119" s="198"/>
      <c r="HV119" s="198"/>
      <c r="HW119" s="198"/>
      <c r="HX119" s="198"/>
      <c r="HY119" s="198"/>
      <c r="HZ119" s="198"/>
      <c r="IA119" s="198"/>
      <c r="IB119" s="198"/>
      <c r="IC119" s="198"/>
      <c r="ID119" s="198"/>
      <c r="IE119" s="198"/>
      <c r="IF119" s="198"/>
      <c r="IG119" s="198"/>
      <c r="IH119" s="198"/>
      <c r="II119" s="198"/>
      <c r="IJ119" s="198"/>
      <c r="IK119" s="198"/>
      <c r="IL119" s="198"/>
      <c r="IM119" s="198"/>
      <c r="IN119" s="198"/>
      <c r="IO119" s="198"/>
      <c r="IP119" s="198"/>
      <c r="IQ119" s="198"/>
      <c r="IR119" s="198"/>
      <c r="IS119" s="198"/>
      <c r="IT119" s="198"/>
      <c r="IU119" s="198"/>
      <c r="IV119" s="198"/>
      <c r="IW119" s="198"/>
      <c r="IX119" s="198"/>
      <c r="IY119" s="198"/>
      <c r="IZ119" s="198"/>
      <c r="JA119" s="198"/>
      <c r="JB119" s="198"/>
      <c r="JC119" s="198"/>
      <c r="JD119" s="198"/>
      <c r="JE119" s="198"/>
      <c r="JF119" s="198"/>
      <c r="JG119" s="198"/>
      <c r="JH119" s="198"/>
      <c r="JI119" s="198"/>
      <c r="JJ119" s="198"/>
      <c r="JK119" s="198"/>
      <c r="JL119" s="198"/>
      <c r="JM119" s="198"/>
      <c r="JN119" s="198"/>
      <c r="JO119" s="198"/>
      <c r="JP119" s="198"/>
      <c r="JQ119" s="198"/>
      <c r="JR119" s="198"/>
      <c r="JS119" s="198"/>
      <c r="JT119" s="198"/>
      <c r="JU119" s="198"/>
      <c r="JV119" s="198"/>
      <c r="JW119" s="198"/>
      <c r="JX119" s="198"/>
      <c r="JY119" s="198"/>
      <c r="JZ119" s="198"/>
      <c r="KA119" s="198"/>
      <c r="KB119" s="198"/>
      <c r="KC119" s="198"/>
      <c r="KD119" s="198"/>
      <c r="KE119" s="198"/>
      <c r="KF119" s="198"/>
      <c r="KG119" s="198"/>
      <c r="KH119" s="198"/>
      <c r="KI119" s="198"/>
      <c r="KJ119" s="198"/>
      <c r="KK119" s="198"/>
      <c r="KL119" s="198"/>
      <c r="KM119" s="198"/>
      <c r="KN119" s="198"/>
      <c r="KO119" s="198"/>
      <c r="KP119" s="198"/>
      <c r="KQ119" s="198"/>
      <c r="KR119" s="198"/>
      <c r="KS119" s="198"/>
      <c r="KT119" s="198"/>
      <c r="KU119" s="198"/>
      <c r="KV119" s="198"/>
      <c r="KW119" s="198"/>
      <c r="KX119" s="198"/>
      <c r="KY119" s="198"/>
      <c r="KZ119" s="198"/>
      <c r="LA119" s="198"/>
      <c r="LB119" s="198"/>
      <c r="LC119" s="198"/>
      <c r="LD119" s="198"/>
      <c r="LE119" s="198"/>
      <c r="LF119" s="198"/>
      <c r="LG119" s="198"/>
      <c r="LH119" s="198"/>
      <c r="LI119" s="198"/>
      <c r="LJ119" s="198"/>
      <c r="LK119" s="198"/>
      <c r="LL119" s="198"/>
      <c r="LM119" s="198"/>
      <c r="LN119" s="198"/>
      <c r="LO119" s="198"/>
      <c r="LP119" s="198"/>
      <c r="LQ119" s="198"/>
      <c r="LR119" s="198"/>
      <c r="LS119" s="198"/>
      <c r="LT119" s="198"/>
      <c r="LU119" s="198"/>
      <c r="LV119" s="198"/>
      <c r="LW119" s="198"/>
      <c r="LX119" s="198"/>
      <c r="LY119" s="198"/>
      <c r="LZ119" s="198"/>
      <c r="MA119" s="198"/>
      <c r="MB119" s="198"/>
      <c r="MC119" s="198"/>
      <c r="MD119" s="198"/>
      <c r="ME119" s="198"/>
      <c r="MF119" s="198"/>
      <c r="MG119" s="198"/>
      <c r="MH119" s="198"/>
      <c r="MI119" s="198"/>
      <c r="MJ119" s="198"/>
      <c r="MK119" s="198"/>
      <c r="ML119" s="198"/>
      <c r="MM119" s="198"/>
      <c r="MN119" s="198"/>
      <c r="MO119" s="198"/>
      <c r="MP119" s="198"/>
      <c r="MQ119" s="198"/>
      <c r="MR119" s="198"/>
      <c r="MS119" s="198"/>
      <c r="MT119" s="198"/>
      <c r="MU119" s="198"/>
      <c r="MV119" s="198"/>
      <c r="MW119" s="198"/>
      <c r="MX119" s="198"/>
      <c r="MY119" s="198"/>
      <c r="MZ119" s="198"/>
      <c r="NA119" s="198"/>
      <c r="NB119" s="198"/>
      <c r="NC119" s="198"/>
      <c r="ND119" s="198"/>
      <c r="NE119" s="198"/>
      <c r="NF119" s="198"/>
      <c r="NG119" s="198"/>
      <c r="NH119" s="198"/>
      <c r="NI119" s="198"/>
      <c r="NJ119" s="198"/>
      <c r="NK119" s="198"/>
      <c r="NL119" s="198"/>
      <c r="NM119" s="198"/>
      <c r="NN119" s="198"/>
      <c r="NO119" s="198"/>
      <c r="NP119" s="198"/>
      <c r="NQ119" s="198"/>
      <c r="NR119" s="198"/>
      <c r="NS119" s="198"/>
      <c r="NT119" s="198"/>
      <c r="NU119" s="198"/>
      <c r="NV119" s="198"/>
      <c r="NW119" s="198"/>
      <c r="NX119" s="198"/>
      <c r="NY119" s="198"/>
      <c r="NZ119" s="198"/>
      <c r="OA119" s="198"/>
      <c r="OB119" s="198"/>
      <c r="OC119" s="198"/>
      <c r="OD119" s="198"/>
      <c r="OE119" s="198"/>
      <c r="OF119" s="198"/>
      <c r="OG119" s="198"/>
      <c r="OH119" s="198"/>
      <c r="OI119" s="198"/>
      <c r="OJ119" s="198"/>
      <c r="OK119" s="198"/>
      <c r="OL119" s="198"/>
      <c r="OM119" s="198"/>
      <c r="ON119" s="198"/>
      <c r="OO119" s="198"/>
      <c r="OP119" s="198"/>
      <c r="OQ119" s="198"/>
      <c r="OR119" s="198"/>
      <c r="OS119" s="198"/>
      <c r="OT119" s="198"/>
      <c r="OU119" s="198"/>
      <c r="OV119" s="198"/>
      <c r="OW119" s="198"/>
      <c r="OX119" s="198"/>
      <c r="OY119" s="198"/>
      <c r="OZ119" s="198"/>
      <c r="PA119" s="198"/>
      <c r="PB119" s="198"/>
      <c r="PC119" s="198"/>
      <c r="PD119" s="198"/>
      <c r="PE119" s="198"/>
      <c r="PF119" s="198"/>
      <c r="PG119" s="198"/>
      <c r="PH119" s="198"/>
      <c r="PI119" s="198"/>
      <c r="PJ119" s="198"/>
      <c r="PK119" s="198"/>
      <c r="PL119" s="198"/>
      <c r="PM119" s="198"/>
      <c r="PN119" s="198"/>
      <c r="PO119" s="198"/>
      <c r="PP119" s="198"/>
      <c r="PQ119" s="198"/>
      <c r="PR119" s="198"/>
      <c r="PS119" s="198"/>
      <c r="PT119" s="198"/>
      <c r="PU119" s="198"/>
      <c r="PV119" s="198"/>
      <c r="PW119" s="198"/>
      <c r="PX119" s="198"/>
      <c r="PY119" s="198"/>
      <c r="PZ119" s="198"/>
      <c r="QA119" s="198"/>
      <c r="QB119" s="198"/>
      <c r="QC119" s="198"/>
      <c r="QD119" s="198"/>
      <c r="QE119" s="198"/>
      <c r="QF119" s="198"/>
      <c r="QG119" s="198"/>
      <c r="QH119" s="198"/>
      <c r="QI119" s="198"/>
      <c r="QJ119" s="198"/>
      <c r="QK119" s="198"/>
      <c r="QL119" s="198"/>
      <c r="QM119" s="198"/>
      <c r="QN119" s="198"/>
      <c r="QO119" s="198"/>
      <c r="QP119" s="198"/>
      <c r="QQ119" s="198"/>
      <c r="QR119" s="198"/>
      <c r="QS119" s="198"/>
      <c r="QT119" s="198"/>
      <c r="QU119" s="198"/>
      <c r="QV119" s="198"/>
      <c r="QW119" s="198"/>
      <c r="QX119" s="198"/>
      <c r="QY119" s="198"/>
      <c r="QZ119" s="198"/>
      <c r="RA119" s="198"/>
      <c r="RB119" s="198"/>
      <c r="RC119" s="198"/>
      <c r="RD119" s="198"/>
      <c r="RE119" s="198"/>
      <c r="RF119" s="198"/>
      <c r="RG119" s="198"/>
      <c r="RH119" s="198"/>
      <c r="RI119" s="198"/>
      <c r="RJ119" s="198"/>
      <c r="RK119" s="198"/>
      <c r="RL119" s="198"/>
      <c r="RM119" s="198"/>
      <c r="RN119" s="198"/>
      <c r="RO119" s="198"/>
      <c r="RP119" s="198"/>
      <c r="RQ119" s="198"/>
      <c r="RR119" s="198"/>
      <c r="RS119" s="198"/>
      <c r="RT119" s="198"/>
      <c r="RU119" s="198"/>
      <c r="RV119" s="198"/>
      <c r="RW119" s="198"/>
      <c r="RX119" s="198"/>
      <c r="RY119" s="198"/>
      <c r="RZ119" s="198"/>
      <c r="SA119" s="198"/>
      <c r="SB119" s="198"/>
      <c r="SC119" s="198"/>
      <c r="SD119" s="198"/>
      <c r="SE119" s="198"/>
      <c r="SF119" s="198"/>
      <c r="SG119" s="198"/>
    </row>
    <row r="120" spans="1:501" ht="40.049999999999997" customHeight="1" x14ac:dyDescent="0.3">
      <c r="A120" s="546" t="s">
        <v>306</v>
      </c>
      <c r="B120" s="959" t="s">
        <v>307</v>
      </c>
      <c r="C120" s="950"/>
      <c r="D120" s="861"/>
      <c r="E120" s="862"/>
      <c r="F120" s="861"/>
      <c r="G120" s="863">
        <f>MANZ.C!AL122</f>
        <v>0</v>
      </c>
      <c r="H120" s="861"/>
      <c r="I120" s="862"/>
      <c r="J120" s="861"/>
      <c r="K120" s="862"/>
      <c r="L120" s="861"/>
      <c r="M120" s="862">
        <f>MANZ.F!AB122</f>
        <v>0</v>
      </c>
      <c r="N120" s="861"/>
      <c r="O120" s="862">
        <f>MANZ.G!AT118</f>
        <v>0</v>
      </c>
      <c r="P120" s="861"/>
      <c r="Q120" s="862">
        <f>MANZ.H!V123</f>
        <v>0</v>
      </c>
      <c r="R120" s="861"/>
      <c r="S120" s="862"/>
      <c r="T120" s="861"/>
      <c r="U120" s="862">
        <f>MANZ.J!AT126</f>
        <v>0</v>
      </c>
      <c r="V120" s="861"/>
      <c r="W120" s="862">
        <f>MANZ.K!AB123</f>
        <v>0</v>
      </c>
      <c r="X120" s="861"/>
      <c r="Y120" s="862"/>
      <c r="Z120" s="861"/>
      <c r="AA120" s="862"/>
      <c r="AB120" s="864"/>
      <c r="AC120" s="864"/>
      <c r="AD120" s="864"/>
      <c r="AE120" s="864"/>
      <c r="AF120" s="861"/>
      <c r="AG120" s="865">
        <f t="shared" si="1"/>
        <v>0</v>
      </c>
      <c r="AH120" s="866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  <c r="AS120" s="198"/>
      <c r="AT120" s="198"/>
      <c r="AU120" s="198"/>
      <c r="AV120" s="198"/>
      <c r="AW120" s="198"/>
      <c r="AX120" s="198"/>
      <c r="AY120" s="198"/>
      <c r="AZ120" s="198"/>
      <c r="BA120" s="198"/>
      <c r="BB120" s="198"/>
      <c r="BC120" s="198"/>
      <c r="BD120" s="198"/>
      <c r="BE120" s="198"/>
      <c r="BF120" s="198"/>
      <c r="BG120" s="198"/>
      <c r="BH120" s="198"/>
      <c r="BI120" s="198"/>
      <c r="BJ120" s="198"/>
      <c r="BK120" s="198"/>
      <c r="BL120" s="198"/>
      <c r="BM120" s="198"/>
      <c r="BN120" s="198"/>
      <c r="BO120" s="198"/>
      <c r="BP120" s="198"/>
      <c r="BQ120" s="198"/>
      <c r="BR120" s="198"/>
      <c r="BS120" s="198"/>
      <c r="BT120" s="198"/>
      <c r="BU120" s="198"/>
      <c r="BV120" s="198"/>
      <c r="BW120" s="198"/>
      <c r="BX120" s="198"/>
      <c r="BY120" s="198"/>
      <c r="BZ120" s="198"/>
      <c r="CA120" s="198"/>
      <c r="CB120" s="198"/>
      <c r="CC120" s="198"/>
      <c r="CD120" s="198"/>
      <c r="CE120" s="198"/>
      <c r="CF120" s="198"/>
      <c r="CG120" s="198"/>
      <c r="CH120" s="198"/>
      <c r="CI120" s="198"/>
      <c r="CJ120" s="198"/>
      <c r="CK120" s="198"/>
      <c r="CL120" s="198"/>
      <c r="CM120" s="198"/>
      <c r="CN120" s="198"/>
      <c r="CO120" s="198"/>
      <c r="CP120" s="198"/>
      <c r="CQ120" s="198"/>
      <c r="CR120" s="198"/>
      <c r="CS120" s="198"/>
      <c r="CT120" s="198"/>
      <c r="CU120" s="198"/>
      <c r="CV120" s="198"/>
      <c r="CW120" s="198"/>
      <c r="CX120" s="198"/>
      <c r="CY120" s="198"/>
      <c r="CZ120" s="198"/>
      <c r="DA120" s="198"/>
      <c r="DB120" s="198"/>
      <c r="DC120" s="198"/>
      <c r="DD120" s="198"/>
      <c r="DE120" s="198"/>
      <c r="DF120" s="198"/>
      <c r="DG120" s="198"/>
      <c r="DH120" s="198"/>
      <c r="DI120" s="198"/>
      <c r="DJ120" s="198"/>
      <c r="DK120" s="198"/>
      <c r="DL120" s="198"/>
      <c r="DM120" s="198"/>
      <c r="DN120" s="198"/>
      <c r="DO120" s="198"/>
      <c r="DP120" s="198"/>
      <c r="DQ120" s="198"/>
      <c r="DR120" s="198"/>
      <c r="DS120" s="198"/>
      <c r="DT120" s="198"/>
      <c r="DU120" s="198"/>
      <c r="DV120" s="198"/>
      <c r="DW120" s="198"/>
      <c r="DX120" s="198"/>
      <c r="DY120" s="198"/>
      <c r="DZ120" s="198"/>
      <c r="EA120" s="198"/>
      <c r="EB120" s="198"/>
      <c r="EC120" s="198"/>
      <c r="ED120" s="198"/>
      <c r="EE120" s="198"/>
      <c r="EF120" s="198"/>
      <c r="EG120" s="198"/>
      <c r="EH120" s="198"/>
      <c r="EI120" s="198"/>
      <c r="EJ120" s="198"/>
      <c r="EK120" s="198"/>
      <c r="EL120" s="198"/>
      <c r="EM120" s="198"/>
      <c r="EN120" s="198"/>
      <c r="EO120" s="198"/>
      <c r="EP120" s="198"/>
      <c r="EQ120" s="198"/>
      <c r="ER120" s="198"/>
      <c r="ES120" s="198"/>
      <c r="ET120" s="198"/>
      <c r="EU120" s="198"/>
      <c r="EV120" s="198"/>
      <c r="EW120" s="198"/>
      <c r="EX120" s="198"/>
      <c r="EY120" s="198"/>
      <c r="EZ120" s="198"/>
      <c r="FA120" s="198"/>
      <c r="FB120" s="198"/>
      <c r="FC120" s="198"/>
      <c r="FD120" s="198"/>
      <c r="FE120" s="198"/>
      <c r="FF120" s="198"/>
      <c r="FG120" s="198"/>
      <c r="FH120" s="198"/>
      <c r="FI120" s="198"/>
      <c r="FJ120" s="198"/>
      <c r="FK120" s="198"/>
      <c r="FL120" s="198"/>
      <c r="FM120" s="198"/>
      <c r="FN120" s="198"/>
      <c r="FO120" s="198"/>
      <c r="FP120" s="198"/>
      <c r="FQ120" s="198"/>
      <c r="FR120" s="198"/>
      <c r="FS120" s="198"/>
      <c r="FT120" s="198"/>
      <c r="FU120" s="198"/>
      <c r="FV120" s="198"/>
      <c r="FW120" s="198"/>
      <c r="FX120" s="198"/>
      <c r="FY120" s="198"/>
      <c r="FZ120" s="198"/>
      <c r="GA120" s="198"/>
      <c r="GB120" s="198"/>
      <c r="GC120" s="198"/>
      <c r="GD120" s="198"/>
      <c r="GE120" s="198"/>
      <c r="GF120" s="198"/>
      <c r="GG120" s="198"/>
      <c r="GH120" s="198"/>
      <c r="GI120" s="198"/>
      <c r="GJ120" s="198"/>
      <c r="GK120" s="198"/>
      <c r="GL120" s="198"/>
      <c r="GM120" s="198"/>
      <c r="GN120" s="198"/>
      <c r="GO120" s="198"/>
      <c r="GP120" s="198"/>
      <c r="GQ120" s="198"/>
      <c r="GR120" s="198"/>
      <c r="GS120" s="198"/>
      <c r="GT120" s="198"/>
      <c r="GU120" s="198"/>
      <c r="GV120" s="198"/>
      <c r="GW120" s="198"/>
      <c r="GX120" s="198"/>
      <c r="GY120" s="198"/>
      <c r="GZ120" s="198"/>
      <c r="HA120" s="198"/>
      <c r="HB120" s="198"/>
      <c r="HC120" s="198"/>
      <c r="HD120" s="198"/>
      <c r="HE120" s="198"/>
      <c r="HF120" s="198"/>
      <c r="HG120" s="198"/>
      <c r="HH120" s="198"/>
      <c r="HI120" s="198"/>
      <c r="HJ120" s="198"/>
      <c r="HK120" s="198"/>
      <c r="HL120" s="198"/>
      <c r="HM120" s="198"/>
      <c r="HN120" s="198"/>
      <c r="HO120" s="198"/>
      <c r="HP120" s="198"/>
      <c r="HQ120" s="198"/>
      <c r="HR120" s="198"/>
      <c r="HS120" s="198"/>
      <c r="HT120" s="198"/>
      <c r="HU120" s="198"/>
      <c r="HV120" s="198"/>
      <c r="HW120" s="198"/>
      <c r="HX120" s="198"/>
      <c r="HY120" s="198"/>
      <c r="HZ120" s="198"/>
      <c r="IA120" s="198"/>
      <c r="IB120" s="198"/>
      <c r="IC120" s="198"/>
      <c r="ID120" s="198"/>
      <c r="IE120" s="198"/>
      <c r="IF120" s="198"/>
      <c r="IG120" s="198"/>
      <c r="IH120" s="198"/>
      <c r="II120" s="198"/>
      <c r="IJ120" s="198"/>
      <c r="IK120" s="198"/>
      <c r="IL120" s="198"/>
      <c r="IM120" s="198"/>
      <c r="IN120" s="198"/>
      <c r="IO120" s="198"/>
      <c r="IP120" s="198"/>
      <c r="IQ120" s="198"/>
      <c r="IR120" s="198"/>
      <c r="IS120" s="198"/>
      <c r="IT120" s="198"/>
      <c r="IU120" s="198"/>
      <c r="IV120" s="198"/>
      <c r="IW120" s="198"/>
      <c r="IX120" s="198"/>
      <c r="IY120" s="198"/>
      <c r="IZ120" s="198"/>
      <c r="JA120" s="198"/>
      <c r="JB120" s="198"/>
      <c r="JC120" s="198"/>
      <c r="JD120" s="198"/>
      <c r="JE120" s="198"/>
      <c r="JF120" s="198"/>
      <c r="JG120" s="198"/>
      <c r="JH120" s="198"/>
      <c r="JI120" s="198"/>
      <c r="JJ120" s="198"/>
      <c r="JK120" s="198"/>
      <c r="JL120" s="198"/>
      <c r="JM120" s="198"/>
      <c r="JN120" s="198"/>
      <c r="JO120" s="198"/>
      <c r="JP120" s="198"/>
      <c r="JQ120" s="198"/>
      <c r="JR120" s="198"/>
      <c r="JS120" s="198"/>
      <c r="JT120" s="198"/>
      <c r="JU120" s="198"/>
      <c r="JV120" s="198"/>
      <c r="JW120" s="198"/>
      <c r="JX120" s="198"/>
      <c r="JY120" s="198"/>
      <c r="JZ120" s="198"/>
      <c r="KA120" s="198"/>
      <c r="KB120" s="198"/>
      <c r="KC120" s="198"/>
      <c r="KD120" s="198"/>
      <c r="KE120" s="198"/>
      <c r="KF120" s="198"/>
      <c r="KG120" s="198"/>
      <c r="KH120" s="198"/>
      <c r="KI120" s="198"/>
      <c r="KJ120" s="198"/>
      <c r="KK120" s="198"/>
      <c r="KL120" s="198"/>
      <c r="KM120" s="198"/>
      <c r="KN120" s="198"/>
      <c r="KO120" s="198"/>
      <c r="KP120" s="198"/>
      <c r="KQ120" s="198"/>
      <c r="KR120" s="198"/>
      <c r="KS120" s="198"/>
      <c r="KT120" s="198"/>
      <c r="KU120" s="198"/>
      <c r="KV120" s="198"/>
      <c r="KW120" s="198"/>
      <c r="KX120" s="198"/>
      <c r="KY120" s="198"/>
      <c r="KZ120" s="198"/>
      <c r="LA120" s="198"/>
      <c r="LB120" s="198"/>
      <c r="LC120" s="198"/>
      <c r="LD120" s="198"/>
      <c r="LE120" s="198"/>
      <c r="LF120" s="198"/>
      <c r="LG120" s="198"/>
      <c r="LH120" s="198"/>
      <c r="LI120" s="198"/>
      <c r="LJ120" s="198"/>
      <c r="LK120" s="198"/>
      <c r="LL120" s="198"/>
      <c r="LM120" s="198"/>
      <c r="LN120" s="198"/>
      <c r="LO120" s="198"/>
      <c r="LP120" s="198"/>
      <c r="LQ120" s="198"/>
      <c r="LR120" s="198"/>
      <c r="LS120" s="198"/>
      <c r="LT120" s="198"/>
      <c r="LU120" s="198"/>
      <c r="LV120" s="198"/>
      <c r="LW120" s="198"/>
      <c r="LX120" s="198"/>
      <c r="LY120" s="198"/>
      <c r="LZ120" s="198"/>
      <c r="MA120" s="198"/>
      <c r="MB120" s="198"/>
      <c r="MC120" s="198"/>
      <c r="MD120" s="198"/>
      <c r="ME120" s="198"/>
      <c r="MF120" s="198"/>
      <c r="MG120" s="198"/>
      <c r="MH120" s="198"/>
      <c r="MI120" s="198"/>
      <c r="MJ120" s="198"/>
      <c r="MK120" s="198"/>
      <c r="ML120" s="198"/>
      <c r="MM120" s="198"/>
      <c r="MN120" s="198"/>
      <c r="MO120" s="198"/>
      <c r="MP120" s="198"/>
      <c r="MQ120" s="198"/>
      <c r="MR120" s="198"/>
      <c r="MS120" s="198"/>
      <c r="MT120" s="198"/>
      <c r="MU120" s="198"/>
      <c r="MV120" s="198"/>
      <c r="MW120" s="198"/>
      <c r="MX120" s="198"/>
      <c r="MY120" s="198"/>
      <c r="MZ120" s="198"/>
      <c r="NA120" s="198"/>
      <c r="NB120" s="198"/>
      <c r="NC120" s="198"/>
      <c r="ND120" s="198"/>
      <c r="NE120" s="198"/>
      <c r="NF120" s="198"/>
      <c r="NG120" s="198"/>
      <c r="NH120" s="198"/>
      <c r="NI120" s="198"/>
      <c r="NJ120" s="198"/>
      <c r="NK120" s="198"/>
      <c r="NL120" s="198"/>
      <c r="NM120" s="198"/>
      <c r="NN120" s="198"/>
      <c r="NO120" s="198"/>
      <c r="NP120" s="198"/>
      <c r="NQ120" s="198"/>
      <c r="NR120" s="198"/>
      <c r="NS120" s="198"/>
      <c r="NT120" s="198"/>
      <c r="NU120" s="198"/>
      <c r="NV120" s="198"/>
      <c r="NW120" s="198"/>
      <c r="NX120" s="198"/>
      <c r="NY120" s="198"/>
      <c r="NZ120" s="198"/>
      <c r="OA120" s="198"/>
      <c r="OB120" s="198"/>
      <c r="OC120" s="198"/>
      <c r="OD120" s="198"/>
      <c r="OE120" s="198"/>
      <c r="OF120" s="198"/>
      <c r="OG120" s="198"/>
      <c r="OH120" s="198"/>
      <c r="OI120" s="198"/>
      <c r="OJ120" s="198"/>
      <c r="OK120" s="198"/>
      <c r="OL120" s="198"/>
      <c r="OM120" s="198"/>
      <c r="ON120" s="198"/>
      <c r="OO120" s="198"/>
      <c r="OP120" s="198"/>
      <c r="OQ120" s="198"/>
      <c r="OR120" s="198"/>
      <c r="OS120" s="198"/>
      <c r="OT120" s="198"/>
      <c r="OU120" s="198"/>
      <c r="OV120" s="198"/>
      <c r="OW120" s="198"/>
      <c r="OX120" s="198"/>
      <c r="OY120" s="198"/>
      <c r="OZ120" s="198"/>
      <c r="PA120" s="198"/>
      <c r="PB120" s="198"/>
      <c r="PC120" s="198"/>
      <c r="PD120" s="198"/>
      <c r="PE120" s="198"/>
      <c r="PF120" s="198"/>
      <c r="PG120" s="198"/>
      <c r="PH120" s="198"/>
      <c r="PI120" s="198"/>
      <c r="PJ120" s="198"/>
      <c r="PK120" s="198"/>
      <c r="PL120" s="198"/>
      <c r="PM120" s="198"/>
      <c r="PN120" s="198"/>
      <c r="PO120" s="198"/>
      <c r="PP120" s="198"/>
      <c r="PQ120" s="198"/>
      <c r="PR120" s="198"/>
      <c r="PS120" s="198"/>
      <c r="PT120" s="198"/>
      <c r="PU120" s="198"/>
      <c r="PV120" s="198"/>
      <c r="PW120" s="198"/>
      <c r="PX120" s="198"/>
      <c r="PY120" s="198"/>
      <c r="PZ120" s="198"/>
      <c r="QA120" s="198"/>
      <c r="QB120" s="198"/>
      <c r="QC120" s="198"/>
      <c r="QD120" s="198"/>
      <c r="QE120" s="198"/>
      <c r="QF120" s="198"/>
      <c r="QG120" s="198"/>
      <c r="QH120" s="198"/>
      <c r="QI120" s="198"/>
      <c r="QJ120" s="198"/>
      <c r="QK120" s="198"/>
      <c r="QL120" s="198"/>
      <c r="QM120" s="198"/>
      <c r="QN120" s="198"/>
      <c r="QO120" s="198"/>
      <c r="QP120" s="198"/>
      <c r="QQ120" s="198"/>
      <c r="QR120" s="198"/>
      <c r="QS120" s="198"/>
      <c r="QT120" s="198"/>
      <c r="QU120" s="198"/>
      <c r="QV120" s="198"/>
      <c r="QW120" s="198"/>
      <c r="QX120" s="198"/>
      <c r="QY120" s="198"/>
      <c r="QZ120" s="198"/>
      <c r="RA120" s="198"/>
      <c r="RB120" s="198"/>
      <c r="RC120" s="198"/>
      <c r="RD120" s="198"/>
      <c r="RE120" s="198"/>
      <c r="RF120" s="198"/>
      <c r="RG120" s="198"/>
      <c r="RH120" s="198"/>
      <c r="RI120" s="198"/>
      <c r="RJ120" s="198"/>
      <c r="RK120" s="198"/>
      <c r="RL120" s="198"/>
      <c r="RM120" s="198"/>
      <c r="RN120" s="198"/>
      <c r="RO120" s="198"/>
      <c r="RP120" s="198"/>
      <c r="RQ120" s="198"/>
      <c r="RR120" s="198"/>
      <c r="RS120" s="198"/>
      <c r="RT120" s="198"/>
      <c r="RU120" s="198"/>
      <c r="RV120" s="198"/>
      <c r="RW120" s="198"/>
      <c r="RX120" s="198"/>
      <c r="RY120" s="198"/>
      <c r="RZ120" s="198"/>
      <c r="SA120" s="198"/>
      <c r="SB120" s="198"/>
      <c r="SC120" s="198"/>
      <c r="SD120" s="198"/>
      <c r="SE120" s="198"/>
      <c r="SF120" s="198"/>
      <c r="SG120" s="198"/>
    </row>
    <row r="121" spans="1:501" ht="40.049999999999997" customHeight="1" x14ac:dyDescent="0.3">
      <c r="A121" s="546" t="s">
        <v>308</v>
      </c>
      <c r="B121" s="959" t="s">
        <v>309</v>
      </c>
      <c r="C121" s="950"/>
      <c r="D121" s="861"/>
      <c r="E121" s="862"/>
      <c r="F121" s="861"/>
      <c r="G121" s="862"/>
      <c r="H121" s="861"/>
      <c r="I121" s="862"/>
      <c r="J121" s="861"/>
      <c r="K121" s="862"/>
      <c r="L121" s="861"/>
      <c r="M121" s="862"/>
      <c r="N121" s="861"/>
      <c r="O121" s="862"/>
      <c r="P121" s="861"/>
      <c r="Q121" s="862"/>
      <c r="R121" s="861"/>
      <c r="S121" s="862"/>
      <c r="T121" s="861"/>
      <c r="U121" s="862"/>
      <c r="V121" s="861"/>
      <c r="W121" s="862"/>
      <c r="X121" s="861"/>
      <c r="Y121" s="862"/>
      <c r="Z121" s="861"/>
      <c r="AA121" s="862"/>
      <c r="AB121" s="864"/>
      <c r="AC121" s="864"/>
      <c r="AD121" s="864"/>
      <c r="AE121" s="864"/>
      <c r="AF121" s="861"/>
      <c r="AG121" s="865">
        <f t="shared" si="1"/>
        <v>0</v>
      </c>
      <c r="AH121" s="866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  <c r="AS121" s="198"/>
      <c r="AT121" s="198"/>
      <c r="AU121" s="198"/>
      <c r="AV121" s="198"/>
      <c r="AW121" s="198"/>
      <c r="AX121" s="198"/>
      <c r="AY121" s="198"/>
      <c r="AZ121" s="198"/>
      <c r="BA121" s="198"/>
      <c r="BB121" s="198"/>
      <c r="BC121" s="198"/>
      <c r="BD121" s="198"/>
      <c r="BE121" s="198"/>
      <c r="BF121" s="198"/>
      <c r="BG121" s="198"/>
      <c r="BH121" s="198"/>
      <c r="BI121" s="198"/>
      <c r="BJ121" s="198"/>
      <c r="BK121" s="198"/>
      <c r="BL121" s="198"/>
      <c r="BM121" s="198"/>
      <c r="BN121" s="198"/>
      <c r="BO121" s="198"/>
      <c r="BP121" s="198"/>
      <c r="BQ121" s="198"/>
      <c r="BR121" s="198"/>
      <c r="BS121" s="198"/>
      <c r="BT121" s="198"/>
      <c r="BU121" s="198"/>
      <c r="BV121" s="198"/>
      <c r="BW121" s="198"/>
      <c r="BX121" s="198"/>
      <c r="BY121" s="198"/>
      <c r="BZ121" s="198"/>
      <c r="CA121" s="198"/>
      <c r="CB121" s="198"/>
      <c r="CC121" s="198"/>
      <c r="CD121" s="198"/>
      <c r="CE121" s="198"/>
      <c r="CF121" s="198"/>
      <c r="CG121" s="198"/>
      <c r="CH121" s="198"/>
      <c r="CI121" s="198"/>
      <c r="CJ121" s="198"/>
      <c r="CK121" s="198"/>
      <c r="CL121" s="198"/>
      <c r="CM121" s="198"/>
      <c r="CN121" s="198"/>
      <c r="CO121" s="198"/>
      <c r="CP121" s="198"/>
      <c r="CQ121" s="198"/>
      <c r="CR121" s="198"/>
      <c r="CS121" s="198"/>
      <c r="CT121" s="198"/>
      <c r="CU121" s="198"/>
      <c r="CV121" s="198"/>
      <c r="CW121" s="198"/>
      <c r="CX121" s="198"/>
      <c r="CY121" s="198"/>
      <c r="CZ121" s="198"/>
      <c r="DA121" s="198"/>
      <c r="DB121" s="198"/>
      <c r="DC121" s="198"/>
      <c r="DD121" s="198"/>
      <c r="DE121" s="198"/>
      <c r="DF121" s="198"/>
      <c r="DG121" s="198"/>
      <c r="DH121" s="198"/>
      <c r="DI121" s="198"/>
      <c r="DJ121" s="198"/>
      <c r="DK121" s="198"/>
      <c r="DL121" s="198"/>
      <c r="DM121" s="198"/>
      <c r="DN121" s="198"/>
      <c r="DO121" s="198"/>
      <c r="DP121" s="198"/>
      <c r="DQ121" s="198"/>
      <c r="DR121" s="198"/>
      <c r="DS121" s="198"/>
      <c r="DT121" s="198"/>
      <c r="DU121" s="198"/>
      <c r="DV121" s="198"/>
      <c r="DW121" s="198"/>
      <c r="DX121" s="198"/>
      <c r="DY121" s="198"/>
      <c r="DZ121" s="198"/>
      <c r="EA121" s="198"/>
      <c r="EB121" s="198"/>
      <c r="EC121" s="198"/>
      <c r="ED121" s="198"/>
      <c r="EE121" s="198"/>
      <c r="EF121" s="198"/>
      <c r="EG121" s="198"/>
      <c r="EH121" s="198"/>
      <c r="EI121" s="198"/>
      <c r="EJ121" s="198"/>
      <c r="EK121" s="198"/>
      <c r="EL121" s="198"/>
      <c r="EM121" s="198"/>
      <c r="EN121" s="198"/>
      <c r="EO121" s="198"/>
      <c r="EP121" s="198"/>
      <c r="EQ121" s="198"/>
      <c r="ER121" s="198"/>
      <c r="ES121" s="198"/>
      <c r="ET121" s="198"/>
      <c r="EU121" s="198"/>
      <c r="EV121" s="198"/>
      <c r="EW121" s="198"/>
      <c r="EX121" s="198"/>
      <c r="EY121" s="198"/>
      <c r="EZ121" s="198"/>
      <c r="FA121" s="198"/>
      <c r="FB121" s="198"/>
      <c r="FC121" s="198"/>
      <c r="FD121" s="198"/>
      <c r="FE121" s="198"/>
      <c r="FF121" s="198"/>
      <c r="FG121" s="198"/>
      <c r="FH121" s="198"/>
      <c r="FI121" s="198"/>
      <c r="FJ121" s="198"/>
      <c r="FK121" s="198"/>
      <c r="FL121" s="198"/>
      <c r="FM121" s="198"/>
      <c r="FN121" s="198"/>
      <c r="FO121" s="198"/>
      <c r="FP121" s="198"/>
      <c r="FQ121" s="198"/>
      <c r="FR121" s="198"/>
      <c r="FS121" s="198"/>
      <c r="FT121" s="198"/>
      <c r="FU121" s="198"/>
      <c r="FV121" s="198"/>
      <c r="FW121" s="198"/>
      <c r="FX121" s="198"/>
      <c r="FY121" s="198"/>
      <c r="FZ121" s="198"/>
      <c r="GA121" s="198"/>
      <c r="GB121" s="198"/>
      <c r="GC121" s="198"/>
      <c r="GD121" s="198"/>
      <c r="GE121" s="198"/>
      <c r="GF121" s="198"/>
      <c r="GG121" s="198"/>
      <c r="GH121" s="198"/>
      <c r="GI121" s="198"/>
      <c r="GJ121" s="198"/>
      <c r="GK121" s="198"/>
      <c r="GL121" s="198"/>
      <c r="GM121" s="198"/>
      <c r="GN121" s="198"/>
      <c r="GO121" s="198"/>
      <c r="GP121" s="198"/>
      <c r="GQ121" s="198"/>
      <c r="GR121" s="198"/>
      <c r="GS121" s="198"/>
      <c r="GT121" s="198"/>
      <c r="GU121" s="198"/>
      <c r="GV121" s="198"/>
      <c r="GW121" s="198"/>
      <c r="GX121" s="198"/>
      <c r="GY121" s="198"/>
      <c r="GZ121" s="198"/>
      <c r="HA121" s="198"/>
      <c r="HB121" s="198"/>
      <c r="HC121" s="198"/>
      <c r="HD121" s="198"/>
      <c r="HE121" s="198"/>
      <c r="HF121" s="198"/>
      <c r="HG121" s="198"/>
      <c r="HH121" s="198"/>
      <c r="HI121" s="198"/>
      <c r="HJ121" s="198"/>
      <c r="HK121" s="198"/>
      <c r="HL121" s="198"/>
      <c r="HM121" s="198"/>
      <c r="HN121" s="198"/>
      <c r="HO121" s="198"/>
      <c r="HP121" s="198"/>
      <c r="HQ121" s="198"/>
      <c r="HR121" s="198"/>
      <c r="HS121" s="198"/>
      <c r="HT121" s="198"/>
      <c r="HU121" s="198"/>
      <c r="HV121" s="198"/>
      <c r="HW121" s="198"/>
      <c r="HX121" s="198"/>
      <c r="HY121" s="198"/>
      <c r="HZ121" s="198"/>
      <c r="IA121" s="198"/>
      <c r="IB121" s="198"/>
      <c r="IC121" s="198"/>
      <c r="ID121" s="198"/>
      <c r="IE121" s="198"/>
      <c r="IF121" s="198"/>
      <c r="IG121" s="198"/>
      <c r="IH121" s="198"/>
      <c r="II121" s="198"/>
      <c r="IJ121" s="198"/>
      <c r="IK121" s="198"/>
      <c r="IL121" s="198"/>
      <c r="IM121" s="198"/>
      <c r="IN121" s="198"/>
      <c r="IO121" s="198"/>
      <c r="IP121" s="198"/>
      <c r="IQ121" s="198"/>
      <c r="IR121" s="198"/>
      <c r="IS121" s="198"/>
      <c r="IT121" s="198"/>
      <c r="IU121" s="198"/>
      <c r="IV121" s="198"/>
      <c r="IW121" s="198"/>
      <c r="IX121" s="198"/>
      <c r="IY121" s="198"/>
      <c r="IZ121" s="198"/>
      <c r="JA121" s="198"/>
      <c r="JB121" s="198"/>
      <c r="JC121" s="198"/>
      <c r="JD121" s="198"/>
      <c r="JE121" s="198"/>
      <c r="JF121" s="198"/>
      <c r="JG121" s="198"/>
      <c r="JH121" s="198"/>
      <c r="JI121" s="198"/>
      <c r="JJ121" s="198"/>
      <c r="JK121" s="198"/>
      <c r="JL121" s="198"/>
      <c r="JM121" s="198"/>
      <c r="JN121" s="198"/>
      <c r="JO121" s="198"/>
      <c r="JP121" s="198"/>
      <c r="JQ121" s="198"/>
      <c r="JR121" s="198"/>
      <c r="JS121" s="198"/>
      <c r="JT121" s="198"/>
      <c r="JU121" s="198"/>
      <c r="JV121" s="198"/>
      <c r="JW121" s="198"/>
      <c r="JX121" s="198"/>
      <c r="JY121" s="198"/>
      <c r="JZ121" s="198"/>
      <c r="KA121" s="198"/>
      <c r="KB121" s="198"/>
      <c r="KC121" s="198"/>
      <c r="KD121" s="198"/>
      <c r="KE121" s="198"/>
      <c r="KF121" s="198"/>
      <c r="KG121" s="198"/>
      <c r="KH121" s="198"/>
      <c r="KI121" s="198"/>
      <c r="KJ121" s="198"/>
      <c r="KK121" s="198"/>
      <c r="KL121" s="198"/>
      <c r="KM121" s="198"/>
      <c r="KN121" s="198"/>
      <c r="KO121" s="198"/>
      <c r="KP121" s="198"/>
      <c r="KQ121" s="198"/>
      <c r="KR121" s="198"/>
      <c r="KS121" s="198"/>
      <c r="KT121" s="198"/>
      <c r="KU121" s="198"/>
      <c r="KV121" s="198"/>
      <c r="KW121" s="198"/>
      <c r="KX121" s="198"/>
      <c r="KY121" s="198"/>
      <c r="KZ121" s="198"/>
      <c r="LA121" s="198"/>
      <c r="LB121" s="198"/>
      <c r="LC121" s="198"/>
      <c r="LD121" s="198"/>
      <c r="LE121" s="198"/>
      <c r="LF121" s="198"/>
      <c r="LG121" s="198"/>
      <c r="LH121" s="198"/>
      <c r="LI121" s="198"/>
      <c r="LJ121" s="198"/>
      <c r="LK121" s="198"/>
      <c r="LL121" s="198"/>
      <c r="LM121" s="198"/>
      <c r="LN121" s="198"/>
      <c r="LO121" s="198"/>
      <c r="LP121" s="198"/>
      <c r="LQ121" s="198"/>
      <c r="LR121" s="198"/>
      <c r="LS121" s="198"/>
      <c r="LT121" s="198"/>
      <c r="LU121" s="198"/>
      <c r="LV121" s="198"/>
      <c r="LW121" s="198"/>
      <c r="LX121" s="198"/>
      <c r="LY121" s="198"/>
      <c r="LZ121" s="198"/>
      <c r="MA121" s="198"/>
      <c r="MB121" s="198"/>
      <c r="MC121" s="198"/>
      <c r="MD121" s="198"/>
      <c r="ME121" s="198"/>
      <c r="MF121" s="198"/>
      <c r="MG121" s="198"/>
      <c r="MH121" s="198"/>
      <c r="MI121" s="198"/>
      <c r="MJ121" s="198"/>
      <c r="MK121" s="198"/>
      <c r="ML121" s="198"/>
      <c r="MM121" s="198"/>
      <c r="MN121" s="198"/>
      <c r="MO121" s="198"/>
      <c r="MP121" s="198"/>
      <c r="MQ121" s="198"/>
      <c r="MR121" s="198"/>
      <c r="MS121" s="198"/>
      <c r="MT121" s="198"/>
      <c r="MU121" s="198"/>
      <c r="MV121" s="198"/>
      <c r="MW121" s="198"/>
      <c r="MX121" s="198"/>
      <c r="MY121" s="198"/>
      <c r="MZ121" s="198"/>
      <c r="NA121" s="198"/>
      <c r="NB121" s="198"/>
      <c r="NC121" s="198"/>
      <c r="ND121" s="198"/>
      <c r="NE121" s="198"/>
      <c r="NF121" s="198"/>
      <c r="NG121" s="198"/>
      <c r="NH121" s="198"/>
      <c r="NI121" s="198"/>
      <c r="NJ121" s="198"/>
      <c r="NK121" s="198"/>
      <c r="NL121" s="198"/>
      <c r="NM121" s="198"/>
      <c r="NN121" s="198"/>
      <c r="NO121" s="198"/>
      <c r="NP121" s="198"/>
      <c r="NQ121" s="198"/>
      <c r="NR121" s="198"/>
      <c r="NS121" s="198"/>
      <c r="NT121" s="198"/>
      <c r="NU121" s="198"/>
      <c r="NV121" s="198"/>
      <c r="NW121" s="198"/>
      <c r="NX121" s="198"/>
      <c r="NY121" s="198"/>
      <c r="NZ121" s="198"/>
      <c r="OA121" s="198"/>
      <c r="OB121" s="198"/>
      <c r="OC121" s="198"/>
      <c r="OD121" s="198"/>
      <c r="OE121" s="198"/>
      <c r="OF121" s="198"/>
      <c r="OG121" s="198"/>
      <c r="OH121" s="198"/>
      <c r="OI121" s="198"/>
      <c r="OJ121" s="198"/>
      <c r="OK121" s="198"/>
      <c r="OL121" s="198"/>
      <c r="OM121" s="198"/>
      <c r="ON121" s="198"/>
      <c r="OO121" s="198"/>
      <c r="OP121" s="198"/>
      <c r="OQ121" s="198"/>
      <c r="OR121" s="198"/>
      <c r="OS121" s="198"/>
      <c r="OT121" s="198"/>
      <c r="OU121" s="198"/>
      <c r="OV121" s="198"/>
      <c r="OW121" s="198"/>
      <c r="OX121" s="198"/>
      <c r="OY121" s="198"/>
      <c r="OZ121" s="198"/>
      <c r="PA121" s="198"/>
      <c r="PB121" s="198"/>
      <c r="PC121" s="198"/>
      <c r="PD121" s="198"/>
      <c r="PE121" s="198"/>
      <c r="PF121" s="198"/>
      <c r="PG121" s="198"/>
      <c r="PH121" s="198"/>
      <c r="PI121" s="198"/>
      <c r="PJ121" s="198"/>
      <c r="PK121" s="198"/>
      <c r="PL121" s="198"/>
      <c r="PM121" s="198"/>
      <c r="PN121" s="198"/>
      <c r="PO121" s="198"/>
      <c r="PP121" s="198"/>
      <c r="PQ121" s="198"/>
      <c r="PR121" s="198"/>
      <c r="PS121" s="198"/>
      <c r="PT121" s="198"/>
      <c r="PU121" s="198"/>
      <c r="PV121" s="198"/>
      <c r="PW121" s="198"/>
      <c r="PX121" s="198"/>
      <c r="PY121" s="198"/>
      <c r="PZ121" s="198"/>
      <c r="QA121" s="198"/>
      <c r="QB121" s="198"/>
      <c r="QC121" s="198"/>
      <c r="QD121" s="198"/>
      <c r="QE121" s="198"/>
      <c r="QF121" s="198"/>
      <c r="QG121" s="198"/>
      <c r="QH121" s="198"/>
      <c r="QI121" s="198"/>
      <c r="QJ121" s="198"/>
      <c r="QK121" s="198"/>
      <c r="QL121" s="198"/>
      <c r="QM121" s="198"/>
      <c r="QN121" s="198"/>
      <c r="QO121" s="198"/>
      <c r="QP121" s="198"/>
      <c r="QQ121" s="198"/>
      <c r="QR121" s="198"/>
      <c r="QS121" s="198"/>
      <c r="QT121" s="198"/>
      <c r="QU121" s="198"/>
      <c r="QV121" s="198"/>
      <c r="QW121" s="198"/>
      <c r="QX121" s="198"/>
      <c r="QY121" s="198"/>
      <c r="QZ121" s="198"/>
      <c r="RA121" s="198"/>
      <c r="RB121" s="198"/>
      <c r="RC121" s="198"/>
      <c r="RD121" s="198"/>
      <c r="RE121" s="198"/>
      <c r="RF121" s="198"/>
      <c r="RG121" s="198"/>
      <c r="RH121" s="198"/>
      <c r="RI121" s="198"/>
      <c r="RJ121" s="198"/>
      <c r="RK121" s="198"/>
      <c r="RL121" s="198"/>
      <c r="RM121" s="198"/>
      <c r="RN121" s="198"/>
      <c r="RO121" s="198"/>
      <c r="RP121" s="198"/>
      <c r="RQ121" s="198"/>
      <c r="RR121" s="198"/>
      <c r="RS121" s="198"/>
      <c r="RT121" s="198"/>
      <c r="RU121" s="198"/>
      <c r="RV121" s="198"/>
      <c r="RW121" s="198"/>
      <c r="RX121" s="198"/>
      <c r="RY121" s="198"/>
      <c r="RZ121" s="198"/>
      <c r="SA121" s="198"/>
      <c r="SB121" s="198"/>
      <c r="SC121" s="198"/>
      <c r="SD121" s="198"/>
      <c r="SE121" s="198"/>
      <c r="SF121" s="198"/>
      <c r="SG121" s="198"/>
    </row>
    <row r="122" spans="1:501" ht="40.049999999999997" customHeight="1" x14ac:dyDescent="0.3">
      <c r="A122" s="546" t="s">
        <v>310</v>
      </c>
      <c r="B122" s="959" t="s">
        <v>311</v>
      </c>
      <c r="C122" s="950"/>
      <c r="D122" s="861"/>
      <c r="E122" s="862"/>
      <c r="F122" s="861"/>
      <c r="G122" s="862"/>
      <c r="H122" s="861"/>
      <c r="I122" s="862"/>
      <c r="J122" s="861"/>
      <c r="K122" s="862"/>
      <c r="L122" s="861"/>
      <c r="M122" s="862"/>
      <c r="N122" s="861"/>
      <c r="O122" s="862"/>
      <c r="P122" s="861"/>
      <c r="Q122" s="862"/>
      <c r="R122" s="861"/>
      <c r="S122" s="862"/>
      <c r="T122" s="861"/>
      <c r="U122" s="862"/>
      <c r="V122" s="861"/>
      <c r="W122" s="862"/>
      <c r="X122" s="861"/>
      <c r="Y122" s="862"/>
      <c r="Z122" s="861"/>
      <c r="AA122" s="862"/>
      <c r="AB122" s="864"/>
      <c r="AC122" s="864"/>
      <c r="AD122" s="864"/>
      <c r="AE122" s="864"/>
      <c r="AF122" s="861"/>
      <c r="AG122" s="865">
        <f t="shared" si="1"/>
        <v>0</v>
      </c>
      <c r="AH122" s="866"/>
      <c r="AI122" s="198"/>
      <c r="AJ122" s="198"/>
      <c r="AK122" s="198"/>
      <c r="AL122" s="198"/>
      <c r="AM122" s="198"/>
      <c r="AN122" s="198"/>
      <c r="AO122" s="198"/>
      <c r="AP122" s="198"/>
      <c r="AQ122" s="198"/>
      <c r="AR122" s="198"/>
      <c r="AS122" s="198"/>
      <c r="AT122" s="198"/>
      <c r="AU122" s="198"/>
      <c r="AV122" s="198"/>
      <c r="AW122" s="198"/>
      <c r="AX122" s="198"/>
      <c r="AY122" s="198"/>
      <c r="AZ122" s="198"/>
      <c r="BA122" s="198"/>
      <c r="BB122" s="198"/>
      <c r="BC122" s="198"/>
      <c r="BD122" s="198"/>
      <c r="BE122" s="198"/>
      <c r="BF122" s="198"/>
      <c r="BG122" s="198"/>
      <c r="BH122" s="198"/>
      <c r="BI122" s="198"/>
      <c r="BJ122" s="198"/>
      <c r="BK122" s="198"/>
      <c r="BL122" s="198"/>
      <c r="BM122" s="198"/>
      <c r="BN122" s="198"/>
      <c r="BO122" s="198"/>
      <c r="BP122" s="198"/>
      <c r="BQ122" s="198"/>
      <c r="BR122" s="198"/>
      <c r="BS122" s="198"/>
      <c r="BT122" s="198"/>
      <c r="BU122" s="198"/>
      <c r="BV122" s="198"/>
      <c r="BW122" s="198"/>
      <c r="BX122" s="198"/>
      <c r="BY122" s="198"/>
      <c r="BZ122" s="198"/>
      <c r="CA122" s="198"/>
      <c r="CB122" s="198"/>
      <c r="CC122" s="198"/>
      <c r="CD122" s="198"/>
      <c r="CE122" s="198"/>
      <c r="CF122" s="198"/>
      <c r="CG122" s="198"/>
      <c r="CH122" s="198"/>
      <c r="CI122" s="198"/>
      <c r="CJ122" s="198"/>
      <c r="CK122" s="198"/>
      <c r="CL122" s="198"/>
      <c r="CM122" s="198"/>
      <c r="CN122" s="198"/>
      <c r="CO122" s="198"/>
      <c r="CP122" s="198"/>
      <c r="CQ122" s="198"/>
      <c r="CR122" s="198"/>
      <c r="CS122" s="198"/>
      <c r="CT122" s="198"/>
      <c r="CU122" s="198"/>
      <c r="CV122" s="198"/>
      <c r="CW122" s="198"/>
      <c r="CX122" s="198"/>
      <c r="CY122" s="198"/>
      <c r="CZ122" s="198"/>
      <c r="DA122" s="198"/>
      <c r="DB122" s="198"/>
      <c r="DC122" s="198"/>
      <c r="DD122" s="198"/>
      <c r="DE122" s="198"/>
      <c r="DF122" s="198"/>
      <c r="DG122" s="198"/>
      <c r="DH122" s="198"/>
      <c r="DI122" s="198"/>
      <c r="DJ122" s="198"/>
      <c r="DK122" s="198"/>
      <c r="DL122" s="198"/>
      <c r="DM122" s="198"/>
      <c r="DN122" s="198"/>
      <c r="DO122" s="198"/>
      <c r="DP122" s="198"/>
      <c r="DQ122" s="198"/>
      <c r="DR122" s="198"/>
      <c r="DS122" s="198"/>
      <c r="DT122" s="198"/>
      <c r="DU122" s="198"/>
      <c r="DV122" s="198"/>
      <c r="DW122" s="198"/>
      <c r="DX122" s="198"/>
      <c r="DY122" s="198"/>
      <c r="DZ122" s="198"/>
      <c r="EA122" s="198"/>
      <c r="EB122" s="198"/>
      <c r="EC122" s="198"/>
      <c r="ED122" s="198"/>
      <c r="EE122" s="198"/>
      <c r="EF122" s="198"/>
      <c r="EG122" s="198"/>
      <c r="EH122" s="198"/>
      <c r="EI122" s="198"/>
      <c r="EJ122" s="198"/>
      <c r="EK122" s="198"/>
      <c r="EL122" s="198"/>
      <c r="EM122" s="198"/>
      <c r="EN122" s="198"/>
      <c r="EO122" s="198"/>
      <c r="EP122" s="198"/>
      <c r="EQ122" s="198"/>
      <c r="ER122" s="198"/>
      <c r="ES122" s="198"/>
      <c r="ET122" s="198"/>
      <c r="EU122" s="198"/>
      <c r="EV122" s="198"/>
      <c r="EW122" s="198"/>
      <c r="EX122" s="198"/>
      <c r="EY122" s="198"/>
      <c r="EZ122" s="198"/>
      <c r="FA122" s="198"/>
      <c r="FB122" s="198"/>
      <c r="FC122" s="198"/>
      <c r="FD122" s="198"/>
      <c r="FE122" s="198"/>
      <c r="FF122" s="198"/>
      <c r="FG122" s="198"/>
      <c r="FH122" s="198"/>
      <c r="FI122" s="198"/>
      <c r="FJ122" s="198"/>
      <c r="FK122" s="198"/>
      <c r="FL122" s="198"/>
      <c r="FM122" s="198"/>
      <c r="FN122" s="198"/>
      <c r="FO122" s="198"/>
      <c r="FP122" s="198"/>
      <c r="FQ122" s="198"/>
      <c r="FR122" s="198"/>
      <c r="FS122" s="198"/>
      <c r="FT122" s="198"/>
      <c r="FU122" s="198"/>
      <c r="FV122" s="198"/>
      <c r="FW122" s="198"/>
      <c r="FX122" s="198"/>
      <c r="FY122" s="198"/>
      <c r="FZ122" s="198"/>
      <c r="GA122" s="198"/>
      <c r="GB122" s="198"/>
      <c r="GC122" s="198"/>
      <c r="GD122" s="198"/>
      <c r="GE122" s="198"/>
      <c r="GF122" s="198"/>
      <c r="GG122" s="198"/>
      <c r="GH122" s="198"/>
      <c r="GI122" s="198"/>
      <c r="GJ122" s="198"/>
      <c r="GK122" s="198"/>
      <c r="GL122" s="198"/>
      <c r="GM122" s="198"/>
      <c r="GN122" s="198"/>
      <c r="GO122" s="198"/>
      <c r="GP122" s="198"/>
      <c r="GQ122" s="198"/>
      <c r="GR122" s="198"/>
      <c r="GS122" s="198"/>
      <c r="GT122" s="198"/>
      <c r="GU122" s="198"/>
      <c r="GV122" s="198"/>
      <c r="GW122" s="198"/>
      <c r="GX122" s="198"/>
      <c r="GY122" s="198"/>
      <c r="GZ122" s="198"/>
      <c r="HA122" s="198"/>
      <c r="HB122" s="198"/>
      <c r="HC122" s="198"/>
      <c r="HD122" s="198"/>
      <c r="HE122" s="198"/>
      <c r="HF122" s="198"/>
      <c r="HG122" s="198"/>
      <c r="HH122" s="198"/>
      <c r="HI122" s="198"/>
      <c r="HJ122" s="198"/>
      <c r="HK122" s="198"/>
      <c r="HL122" s="198"/>
      <c r="HM122" s="198"/>
      <c r="HN122" s="198"/>
      <c r="HO122" s="198"/>
      <c r="HP122" s="198"/>
      <c r="HQ122" s="198"/>
      <c r="HR122" s="198"/>
      <c r="HS122" s="198"/>
      <c r="HT122" s="198"/>
      <c r="HU122" s="198"/>
      <c r="HV122" s="198"/>
      <c r="HW122" s="198"/>
      <c r="HX122" s="198"/>
      <c r="HY122" s="198"/>
      <c r="HZ122" s="198"/>
      <c r="IA122" s="198"/>
      <c r="IB122" s="198"/>
      <c r="IC122" s="198"/>
      <c r="ID122" s="198"/>
      <c r="IE122" s="198"/>
      <c r="IF122" s="198"/>
      <c r="IG122" s="198"/>
      <c r="IH122" s="198"/>
      <c r="II122" s="198"/>
      <c r="IJ122" s="198"/>
      <c r="IK122" s="198"/>
      <c r="IL122" s="198"/>
      <c r="IM122" s="198"/>
      <c r="IN122" s="198"/>
      <c r="IO122" s="198"/>
      <c r="IP122" s="198"/>
      <c r="IQ122" s="198"/>
      <c r="IR122" s="198"/>
      <c r="IS122" s="198"/>
      <c r="IT122" s="198"/>
      <c r="IU122" s="198"/>
      <c r="IV122" s="198"/>
      <c r="IW122" s="198"/>
      <c r="IX122" s="198"/>
      <c r="IY122" s="198"/>
      <c r="IZ122" s="198"/>
      <c r="JA122" s="198"/>
      <c r="JB122" s="198"/>
      <c r="JC122" s="198"/>
      <c r="JD122" s="198"/>
      <c r="JE122" s="198"/>
      <c r="JF122" s="198"/>
      <c r="JG122" s="198"/>
      <c r="JH122" s="198"/>
      <c r="JI122" s="198"/>
      <c r="JJ122" s="198"/>
      <c r="JK122" s="198"/>
      <c r="JL122" s="198"/>
      <c r="JM122" s="198"/>
      <c r="JN122" s="198"/>
      <c r="JO122" s="198"/>
      <c r="JP122" s="198"/>
      <c r="JQ122" s="198"/>
      <c r="JR122" s="198"/>
      <c r="JS122" s="198"/>
      <c r="JT122" s="198"/>
      <c r="JU122" s="198"/>
      <c r="JV122" s="198"/>
      <c r="JW122" s="198"/>
      <c r="JX122" s="198"/>
      <c r="JY122" s="198"/>
      <c r="JZ122" s="198"/>
      <c r="KA122" s="198"/>
      <c r="KB122" s="198"/>
      <c r="KC122" s="198"/>
      <c r="KD122" s="198"/>
      <c r="KE122" s="198"/>
      <c r="KF122" s="198"/>
      <c r="KG122" s="198"/>
      <c r="KH122" s="198"/>
      <c r="KI122" s="198"/>
      <c r="KJ122" s="198"/>
      <c r="KK122" s="198"/>
      <c r="KL122" s="198"/>
      <c r="KM122" s="198"/>
      <c r="KN122" s="198"/>
      <c r="KO122" s="198"/>
      <c r="KP122" s="198"/>
      <c r="KQ122" s="198"/>
      <c r="KR122" s="198"/>
      <c r="KS122" s="198"/>
      <c r="KT122" s="198"/>
      <c r="KU122" s="198"/>
      <c r="KV122" s="198"/>
      <c r="KW122" s="198"/>
      <c r="KX122" s="198"/>
      <c r="KY122" s="198"/>
      <c r="KZ122" s="198"/>
      <c r="LA122" s="198"/>
      <c r="LB122" s="198"/>
      <c r="LC122" s="198"/>
      <c r="LD122" s="198"/>
      <c r="LE122" s="198"/>
      <c r="LF122" s="198"/>
      <c r="LG122" s="198"/>
      <c r="LH122" s="198"/>
      <c r="LI122" s="198"/>
      <c r="LJ122" s="198"/>
      <c r="LK122" s="198"/>
      <c r="LL122" s="198"/>
      <c r="LM122" s="198"/>
      <c r="LN122" s="198"/>
      <c r="LO122" s="198"/>
      <c r="LP122" s="198"/>
      <c r="LQ122" s="198"/>
      <c r="LR122" s="198"/>
      <c r="LS122" s="198"/>
      <c r="LT122" s="198"/>
      <c r="LU122" s="198"/>
      <c r="LV122" s="198"/>
      <c r="LW122" s="198"/>
      <c r="LX122" s="198"/>
      <c r="LY122" s="198"/>
      <c r="LZ122" s="198"/>
      <c r="MA122" s="198"/>
      <c r="MB122" s="198"/>
      <c r="MC122" s="198"/>
      <c r="MD122" s="198"/>
      <c r="ME122" s="198"/>
      <c r="MF122" s="198"/>
      <c r="MG122" s="198"/>
      <c r="MH122" s="198"/>
      <c r="MI122" s="198"/>
      <c r="MJ122" s="198"/>
      <c r="MK122" s="198"/>
      <c r="ML122" s="198"/>
      <c r="MM122" s="198"/>
      <c r="MN122" s="198"/>
      <c r="MO122" s="198"/>
      <c r="MP122" s="198"/>
      <c r="MQ122" s="198"/>
      <c r="MR122" s="198"/>
      <c r="MS122" s="198"/>
      <c r="MT122" s="198"/>
      <c r="MU122" s="198"/>
      <c r="MV122" s="198"/>
      <c r="MW122" s="198"/>
      <c r="MX122" s="198"/>
      <c r="MY122" s="198"/>
      <c r="MZ122" s="198"/>
      <c r="NA122" s="198"/>
      <c r="NB122" s="198"/>
      <c r="NC122" s="198"/>
      <c r="ND122" s="198"/>
      <c r="NE122" s="198"/>
      <c r="NF122" s="198"/>
      <c r="NG122" s="198"/>
      <c r="NH122" s="198"/>
      <c r="NI122" s="198"/>
      <c r="NJ122" s="198"/>
      <c r="NK122" s="198"/>
      <c r="NL122" s="198"/>
      <c r="NM122" s="198"/>
      <c r="NN122" s="198"/>
      <c r="NO122" s="198"/>
      <c r="NP122" s="198"/>
      <c r="NQ122" s="198"/>
      <c r="NR122" s="198"/>
      <c r="NS122" s="198"/>
      <c r="NT122" s="198"/>
      <c r="NU122" s="198"/>
      <c r="NV122" s="198"/>
      <c r="NW122" s="198"/>
      <c r="NX122" s="198"/>
      <c r="NY122" s="198"/>
      <c r="NZ122" s="198"/>
      <c r="OA122" s="198"/>
      <c r="OB122" s="198"/>
      <c r="OC122" s="198"/>
      <c r="OD122" s="198"/>
      <c r="OE122" s="198"/>
      <c r="OF122" s="198"/>
      <c r="OG122" s="198"/>
      <c r="OH122" s="198"/>
      <c r="OI122" s="198"/>
      <c r="OJ122" s="198"/>
      <c r="OK122" s="198"/>
      <c r="OL122" s="198"/>
      <c r="OM122" s="198"/>
      <c r="ON122" s="198"/>
      <c r="OO122" s="198"/>
      <c r="OP122" s="198"/>
      <c r="OQ122" s="198"/>
      <c r="OR122" s="198"/>
      <c r="OS122" s="198"/>
      <c r="OT122" s="198"/>
      <c r="OU122" s="198"/>
      <c r="OV122" s="198"/>
      <c r="OW122" s="198"/>
      <c r="OX122" s="198"/>
      <c r="OY122" s="198"/>
      <c r="OZ122" s="198"/>
      <c r="PA122" s="198"/>
      <c r="PB122" s="198"/>
      <c r="PC122" s="198"/>
      <c r="PD122" s="198"/>
      <c r="PE122" s="198"/>
      <c r="PF122" s="198"/>
      <c r="PG122" s="198"/>
      <c r="PH122" s="198"/>
      <c r="PI122" s="198"/>
      <c r="PJ122" s="198"/>
      <c r="PK122" s="198"/>
      <c r="PL122" s="198"/>
      <c r="PM122" s="198"/>
      <c r="PN122" s="198"/>
      <c r="PO122" s="198"/>
      <c r="PP122" s="198"/>
      <c r="PQ122" s="198"/>
      <c r="PR122" s="198"/>
      <c r="PS122" s="198"/>
      <c r="PT122" s="198"/>
      <c r="PU122" s="198"/>
      <c r="PV122" s="198"/>
      <c r="PW122" s="198"/>
      <c r="PX122" s="198"/>
      <c r="PY122" s="198"/>
      <c r="PZ122" s="198"/>
      <c r="QA122" s="198"/>
      <c r="QB122" s="198"/>
      <c r="QC122" s="198"/>
      <c r="QD122" s="198"/>
      <c r="QE122" s="198"/>
      <c r="QF122" s="198"/>
      <c r="QG122" s="198"/>
      <c r="QH122" s="198"/>
      <c r="QI122" s="198"/>
      <c r="QJ122" s="198"/>
      <c r="QK122" s="198"/>
      <c r="QL122" s="198"/>
      <c r="QM122" s="198"/>
      <c r="QN122" s="198"/>
      <c r="QO122" s="198"/>
      <c r="QP122" s="198"/>
      <c r="QQ122" s="198"/>
      <c r="QR122" s="198"/>
      <c r="QS122" s="198"/>
      <c r="QT122" s="198"/>
      <c r="QU122" s="198"/>
      <c r="QV122" s="198"/>
      <c r="QW122" s="198"/>
      <c r="QX122" s="198"/>
      <c r="QY122" s="198"/>
      <c r="QZ122" s="198"/>
      <c r="RA122" s="198"/>
      <c r="RB122" s="198"/>
      <c r="RC122" s="198"/>
      <c r="RD122" s="198"/>
      <c r="RE122" s="198"/>
      <c r="RF122" s="198"/>
      <c r="RG122" s="198"/>
      <c r="RH122" s="198"/>
      <c r="RI122" s="198"/>
      <c r="RJ122" s="198"/>
      <c r="RK122" s="198"/>
      <c r="RL122" s="198"/>
      <c r="RM122" s="198"/>
      <c r="RN122" s="198"/>
      <c r="RO122" s="198"/>
      <c r="RP122" s="198"/>
      <c r="RQ122" s="198"/>
      <c r="RR122" s="198"/>
      <c r="RS122" s="198"/>
      <c r="RT122" s="198"/>
      <c r="RU122" s="198"/>
      <c r="RV122" s="198"/>
      <c r="RW122" s="198"/>
      <c r="RX122" s="198"/>
      <c r="RY122" s="198"/>
      <c r="RZ122" s="198"/>
      <c r="SA122" s="198"/>
      <c r="SB122" s="198"/>
      <c r="SC122" s="198"/>
      <c r="SD122" s="198"/>
      <c r="SE122" s="198"/>
      <c r="SF122" s="198"/>
      <c r="SG122" s="198"/>
    </row>
    <row r="123" spans="1:501" ht="40.049999999999997" customHeight="1" x14ac:dyDescent="0.3">
      <c r="A123" s="546" t="s">
        <v>312</v>
      </c>
      <c r="B123" s="959" t="s">
        <v>313</v>
      </c>
      <c r="C123" s="950"/>
      <c r="D123" s="861"/>
      <c r="E123" s="862"/>
      <c r="F123" s="861"/>
      <c r="G123" s="862"/>
      <c r="H123" s="861"/>
      <c r="I123" s="862"/>
      <c r="J123" s="861"/>
      <c r="K123" s="862"/>
      <c r="L123" s="861"/>
      <c r="M123" s="862"/>
      <c r="N123" s="861"/>
      <c r="O123" s="862"/>
      <c r="P123" s="861"/>
      <c r="Q123" s="862"/>
      <c r="R123" s="861"/>
      <c r="S123" s="862"/>
      <c r="T123" s="861"/>
      <c r="U123" s="862"/>
      <c r="V123" s="861"/>
      <c r="W123" s="862"/>
      <c r="X123" s="861"/>
      <c r="Y123" s="862"/>
      <c r="Z123" s="861"/>
      <c r="AA123" s="862"/>
      <c r="AB123" s="864"/>
      <c r="AC123" s="864"/>
      <c r="AD123" s="864"/>
      <c r="AE123" s="864"/>
      <c r="AF123" s="861"/>
      <c r="AG123" s="865">
        <f t="shared" si="1"/>
        <v>0</v>
      </c>
      <c r="AH123" s="866"/>
      <c r="AI123" s="198"/>
      <c r="AJ123" s="198"/>
      <c r="AK123" s="198"/>
      <c r="AL123" s="198"/>
      <c r="AM123" s="198"/>
      <c r="AN123" s="198"/>
      <c r="AO123" s="198"/>
      <c r="AP123" s="198"/>
      <c r="AQ123" s="198"/>
      <c r="AR123" s="198"/>
      <c r="AS123" s="198"/>
      <c r="AT123" s="198"/>
      <c r="AU123" s="198"/>
      <c r="AV123" s="198"/>
      <c r="AW123" s="198"/>
      <c r="AX123" s="198"/>
      <c r="AY123" s="198"/>
      <c r="AZ123" s="198"/>
      <c r="BA123" s="198"/>
      <c r="BB123" s="198"/>
      <c r="BC123" s="198"/>
      <c r="BD123" s="198"/>
      <c r="BE123" s="198"/>
      <c r="BF123" s="198"/>
      <c r="BG123" s="198"/>
      <c r="BH123" s="198"/>
      <c r="BI123" s="198"/>
      <c r="BJ123" s="198"/>
      <c r="BK123" s="198"/>
      <c r="BL123" s="198"/>
      <c r="BM123" s="198"/>
      <c r="BN123" s="198"/>
      <c r="BO123" s="198"/>
      <c r="BP123" s="198"/>
      <c r="BQ123" s="198"/>
      <c r="BR123" s="198"/>
      <c r="BS123" s="198"/>
      <c r="BT123" s="198"/>
      <c r="BU123" s="198"/>
      <c r="BV123" s="198"/>
      <c r="BW123" s="198"/>
      <c r="BX123" s="198"/>
      <c r="BY123" s="198"/>
      <c r="BZ123" s="198"/>
      <c r="CA123" s="198"/>
      <c r="CB123" s="198"/>
      <c r="CC123" s="198"/>
      <c r="CD123" s="198"/>
      <c r="CE123" s="198"/>
      <c r="CF123" s="198"/>
      <c r="CG123" s="198"/>
      <c r="CH123" s="198"/>
      <c r="CI123" s="198"/>
      <c r="CJ123" s="198"/>
      <c r="CK123" s="198"/>
      <c r="CL123" s="198"/>
      <c r="CM123" s="198"/>
      <c r="CN123" s="198"/>
      <c r="CO123" s="198"/>
      <c r="CP123" s="198"/>
      <c r="CQ123" s="198"/>
      <c r="CR123" s="198"/>
      <c r="CS123" s="198"/>
      <c r="CT123" s="198"/>
      <c r="CU123" s="198"/>
      <c r="CV123" s="198"/>
      <c r="CW123" s="198"/>
      <c r="CX123" s="198"/>
      <c r="CY123" s="198"/>
      <c r="CZ123" s="198"/>
      <c r="DA123" s="198"/>
      <c r="DB123" s="198"/>
      <c r="DC123" s="198"/>
      <c r="DD123" s="198"/>
      <c r="DE123" s="198"/>
      <c r="DF123" s="198"/>
      <c r="DG123" s="198"/>
      <c r="DH123" s="198"/>
      <c r="DI123" s="198"/>
      <c r="DJ123" s="198"/>
      <c r="DK123" s="198"/>
      <c r="DL123" s="198"/>
      <c r="DM123" s="198"/>
      <c r="DN123" s="198"/>
      <c r="DO123" s="198"/>
      <c r="DP123" s="198"/>
      <c r="DQ123" s="198"/>
      <c r="DR123" s="198"/>
      <c r="DS123" s="198"/>
      <c r="DT123" s="198"/>
      <c r="DU123" s="198"/>
      <c r="DV123" s="198"/>
      <c r="DW123" s="198"/>
      <c r="DX123" s="198"/>
      <c r="DY123" s="198"/>
      <c r="DZ123" s="198"/>
      <c r="EA123" s="198"/>
      <c r="EB123" s="198"/>
      <c r="EC123" s="198"/>
      <c r="ED123" s="198"/>
      <c r="EE123" s="198"/>
      <c r="EF123" s="198"/>
      <c r="EG123" s="198"/>
      <c r="EH123" s="198"/>
      <c r="EI123" s="198"/>
      <c r="EJ123" s="198"/>
      <c r="EK123" s="198"/>
      <c r="EL123" s="198"/>
      <c r="EM123" s="198"/>
      <c r="EN123" s="198"/>
      <c r="EO123" s="198"/>
      <c r="EP123" s="198"/>
      <c r="EQ123" s="198"/>
      <c r="ER123" s="198"/>
      <c r="ES123" s="198"/>
      <c r="ET123" s="198"/>
      <c r="EU123" s="198"/>
      <c r="EV123" s="198"/>
      <c r="EW123" s="198"/>
      <c r="EX123" s="198"/>
      <c r="EY123" s="198"/>
      <c r="EZ123" s="198"/>
      <c r="FA123" s="198"/>
      <c r="FB123" s="198"/>
      <c r="FC123" s="198"/>
      <c r="FD123" s="198"/>
      <c r="FE123" s="198"/>
      <c r="FF123" s="198"/>
      <c r="FG123" s="198"/>
      <c r="FH123" s="198"/>
      <c r="FI123" s="198"/>
      <c r="FJ123" s="198"/>
      <c r="FK123" s="198"/>
      <c r="FL123" s="198"/>
      <c r="FM123" s="198"/>
      <c r="FN123" s="198"/>
      <c r="FO123" s="198"/>
      <c r="FP123" s="198"/>
      <c r="FQ123" s="198"/>
      <c r="FR123" s="198"/>
      <c r="FS123" s="198"/>
      <c r="FT123" s="198"/>
      <c r="FU123" s="198"/>
      <c r="FV123" s="198"/>
      <c r="FW123" s="198"/>
      <c r="FX123" s="198"/>
      <c r="FY123" s="198"/>
      <c r="FZ123" s="198"/>
      <c r="GA123" s="198"/>
      <c r="GB123" s="198"/>
      <c r="GC123" s="198"/>
      <c r="GD123" s="198"/>
      <c r="GE123" s="198"/>
      <c r="GF123" s="198"/>
      <c r="GG123" s="198"/>
      <c r="GH123" s="198"/>
      <c r="GI123" s="198"/>
      <c r="GJ123" s="198"/>
      <c r="GK123" s="198"/>
      <c r="GL123" s="198"/>
      <c r="GM123" s="198"/>
      <c r="GN123" s="198"/>
      <c r="GO123" s="198"/>
      <c r="GP123" s="198"/>
      <c r="GQ123" s="198"/>
      <c r="GR123" s="198"/>
      <c r="GS123" s="198"/>
      <c r="GT123" s="198"/>
      <c r="GU123" s="198"/>
      <c r="GV123" s="198"/>
      <c r="GW123" s="198"/>
      <c r="GX123" s="198"/>
      <c r="GY123" s="198"/>
      <c r="GZ123" s="198"/>
      <c r="HA123" s="198"/>
      <c r="HB123" s="198"/>
      <c r="HC123" s="198"/>
      <c r="HD123" s="198"/>
      <c r="HE123" s="198"/>
      <c r="HF123" s="198"/>
      <c r="HG123" s="198"/>
      <c r="HH123" s="198"/>
      <c r="HI123" s="198"/>
      <c r="HJ123" s="198"/>
      <c r="HK123" s="198"/>
      <c r="HL123" s="198"/>
      <c r="HM123" s="198"/>
      <c r="HN123" s="198"/>
      <c r="HO123" s="198"/>
      <c r="HP123" s="198"/>
      <c r="HQ123" s="198"/>
      <c r="HR123" s="198"/>
      <c r="HS123" s="198"/>
      <c r="HT123" s="198"/>
      <c r="HU123" s="198"/>
      <c r="HV123" s="198"/>
      <c r="HW123" s="198"/>
      <c r="HX123" s="198"/>
      <c r="HY123" s="198"/>
      <c r="HZ123" s="198"/>
      <c r="IA123" s="198"/>
      <c r="IB123" s="198"/>
      <c r="IC123" s="198"/>
      <c r="ID123" s="198"/>
      <c r="IE123" s="198"/>
      <c r="IF123" s="198"/>
      <c r="IG123" s="198"/>
      <c r="IH123" s="198"/>
      <c r="II123" s="198"/>
      <c r="IJ123" s="198"/>
      <c r="IK123" s="198"/>
      <c r="IL123" s="198"/>
      <c r="IM123" s="198"/>
      <c r="IN123" s="198"/>
      <c r="IO123" s="198"/>
      <c r="IP123" s="198"/>
      <c r="IQ123" s="198"/>
      <c r="IR123" s="198"/>
      <c r="IS123" s="198"/>
      <c r="IT123" s="198"/>
      <c r="IU123" s="198"/>
      <c r="IV123" s="198"/>
      <c r="IW123" s="198"/>
      <c r="IX123" s="198"/>
      <c r="IY123" s="198"/>
      <c r="IZ123" s="198"/>
      <c r="JA123" s="198"/>
      <c r="JB123" s="198"/>
      <c r="JC123" s="198"/>
      <c r="JD123" s="198"/>
      <c r="JE123" s="198"/>
      <c r="JF123" s="198"/>
      <c r="JG123" s="198"/>
      <c r="JH123" s="198"/>
      <c r="JI123" s="198"/>
      <c r="JJ123" s="198"/>
      <c r="JK123" s="198"/>
      <c r="JL123" s="198"/>
      <c r="JM123" s="198"/>
      <c r="JN123" s="198"/>
      <c r="JO123" s="198"/>
      <c r="JP123" s="198"/>
      <c r="JQ123" s="198"/>
      <c r="JR123" s="198"/>
      <c r="JS123" s="198"/>
      <c r="JT123" s="198"/>
      <c r="JU123" s="198"/>
      <c r="JV123" s="198"/>
      <c r="JW123" s="198"/>
      <c r="JX123" s="198"/>
      <c r="JY123" s="198"/>
      <c r="JZ123" s="198"/>
      <c r="KA123" s="198"/>
      <c r="KB123" s="198"/>
      <c r="KC123" s="198"/>
      <c r="KD123" s="198"/>
      <c r="KE123" s="198"/>
      <c r="KF123" s="198"/>
      <c r="KG123" s="198"/>
      <c r="KH123" s="198"/>
      <c r="KI123" s="198"/>
      <c r="KJ123" s="198"/>
      <c r="KK123" s="198"/>
      <c r="KL123" s="198"/>
      <c r="KM123" s="198"/>
      <c r="KN123" s="198"/>
      <c r="KO123" s="198"/>
      <c r="KP123" s="198"/>
      <c r="KQ123" s="198"/>
      <c r="KR123" s="198"/>
      <c r="KS123" s="198"/>
      <c r="KT123" s="198"/>
      <c r="KU123" s="198"/>
      <c r="KV123" s="198"/>
      <c r="KW123" s="198"/>
      <c r="KX123" s="198"/>
      <c r="KY123" s="198"/>
      <c r="KZ123" s="198"/>
      <c r="LA123" s="198"/>
      <c r="LB123" s="198"/>
      <c r="LC123" s="198"/>
      <c r="LD123" s="198"/>
      <c r="LE123" s="198"/>
      <c r="LF123" s="198"/>
      <c r="LG123" s="198"/>
      <c r="LH123" s="198"/>
      <c r="LI123" s="198"/>
      <c r="LJ123" s="198"/>
      <c r="LK123" s="198"/>
      <c r="LL123" s="198"/>
      <c r="LM123" s="198"/>
      <c r="LN123" s="198"/>
      <c r="LO123" s="198"/>
      <c r="LP123" s="198"/>
      <c r="LQ123" s="198"/>
      <c r="LR123" s="198"/>
      <c r="LS123" s="198"/>
      <c r="LT123" s="198"/>
      <c r="LU123" s="198"/>
      <c r="LV123" s="198"/>
      <c r="LW123" s="198"/>
      <c r="LX123" s="198"/>
      <c r="LY123" s="198"/>
      <c r="LZ123" s="198"/>
      <c r="MA123" s="198"/>
      <c r="MB123" s="198"/>
      <c r="MC123" s="198"/>
      <c r="MD123" s="198"/>
      <c r="ME123" s="198"/>
      <c r="MF123" s="198"/>
      <c r="MG123" s="198"/>
      <c r="MH123" s="198"/>
      <c r="MI123" s="198"/>
      <c r="MJ123" s="198"/>
      <c r="MK123" s="198"/>
      <c r="ML123" s="198"/>
      <c r="MM123" s="198"/>
      <c r="MN123" s="198"/>
      <c r="MO123" s="198"/>
      <c r="MP123" s="198"/>
      <c r="MQ123" s="198"/>
      <c r="MR123" s="198"/>
      <c r="MS123" s="198"/>
      <c r="MT123" s="198"/>
      <c r="MU123" s="198"/>
      <c r="MV123" s="198"/>
      <c r="MW123" s="198"/>
      <c r="MX123" s="198"/>
      <c r="MY123" s="198"/>
      <c r="MZ123" s="198"/>
      <c r="NA123" s="198"/>
      <c r="NB123" s="198"/>
      <c r="NC123" s="198"/>
      <c r="ND123" s="198"/>
      <c r="NE123" s="198"/>
      <c r="NF123" s="198"/>
      <c r="NG123" s="198"/>
      <c r="NH123" s="198"/>
      <c r="NI123" s="198"/>
      <c r="NJ123" s="198"/>
      <c r="NK123" s="198"/>
      <c r="NL123" s="198"/>
      <c r="NM123" s="198"/>
      <c r="NN123" s="198"/>
      <c r="NO123" s="198"/>
      <c r="NP123" s="198"/>
      <c r="NQ123" s="198"/>
      <c r="NR123" s="198"/>
      <c r="NS123" s="198"/>
      <c r="NT123" s="198"/>
      <c r="NU123" s="198"/>
      <c r="NV123" s="198"/>
      <c r="NW123" s="198"/>
      <c r="NX123" s="198"/>
      <c r="NY123" s="198"/>
      <c r="NZ123" s="198"/>
      <c r="OA123" s="198"/>
      <c r="OB123" s="198"/>
      <c r="OC123" s="198"/>
      <c r="OD123" s="198"/>
      <c r="OE123" s="198"/>
      <c r="OF123" s="198"/>
      <c r="OG123" s="198"/>
      <c r="OH123" s="198"/>
      <c r="OI123" s="198"/>
      <c r="OJ123" s="198"/>
      <c r="OK123" s="198"/>
      <c r="OL123" s="198"/>
      <c r="OM123" s="198"/>
      <c r="ON123" s="198"/>
      <c r="OO123" s="198"/>
      <c r="OP123" s="198"/>
      <c r="OQ123" s="198"/>
      <c r="OR123" s="198"/>
      <c r="OS123" s="198"/>
      <c r="OT123" s="198"/>
      <c r="OU123" s="198"/>
      <c r="OV123" s="198"/>
      <c r="OW123" s="198"/>
      <c r="OX123" s="198"/>
      <c r="OY123" s="198"/>
      <c r="OZ123" s="198"/>
      <c r="PA123" s="198"/>
      <c r="PB123" s="198"/>
      <c r="PC123" s="198"/>
      <c r="PD123" s="198"/>
      <c r="PE123" s="198"/>
      <c r="PF123" s="198"/>
      <c r="PG123" s="198"/>
      <c r="PH123" s="198"/>
      <c r="PI123" s="198"/>
      <c r="PJ123" s="198"/>
      <c r="PK123" s="198"/>
      <c r="PL123" s="198"/>
      <c r="PM123" s="198"/>
      <c r="PN123" s="198"/>
      <c r="PO123" s="198"/>
      <c r="PP123" s="198"/>
      <c r="PQ123" s="198"/>
      <c r="PR123" s="198"/>
      <c r="PS123" s="198"/>
      <c r="PT123" s="198"/>
      <c r="PU123" s="198"/>
      <c r="PV123" s="198"/>
      <c r="PW123" s="198"/>
      <c r="PX123" s="198"/>
      <c r="PY123" s="198"/>
      <c r="PZ123" s="198"/>
      <c r="QA123" s="198"/>
      <c r="QB123" s="198"/>
      <c r="QC123" s="198"/>
      <c r="QD123" s="198"/>
      <c r="QE123" s="198"/>
      <c r="QF123" s="198"/>
      <c r="QG123" s="198"/>
      <c r="QH123" s="198"/>
      <c r="QI123" s="198"/>
      <c r="QJ123" s="198"/>
      <c r="QK123" s="198"/>
      <c r="QL123" s="198"/>
      <c r="QM123" s="198"/>
      <c r="QN123" s="198"/>
      <c r="QO123" s="198"/>
      <c r="QP123" s="198"/>
      <c r="QQ123" s="198"/>
      <c r="QR123" s="198"/>
      <c r="QS123" s="198"/>
      <c r="QT123" s="198"/>
      <c r="QU123" s="198"/>
      <c r="QV123" s="198"/>
      <c r="QW123" s="198"/>
      <c r="QX123" s="198"/>
      <c r="QY123" s="198"/>
      <c r="QZ123" s="198"/>
      <c r="RA123" s="198"/>
      <c r="RB123" s="198"/>
      <c r="RC123" s="198"/>
      <c r="RD123" s="198"/>
      <c r="RE123" s="198"/>
      <c r="RF123" s="198"/>
      <c r="RG123" s="198"/>
      <c r="RH123" s="198"/>
      <c r="RI123" s="198"/>
      <c r="RJ123" s="198"/>
      <c r="RK123" s="198"/>
      <c r="RL123" s="198"/>
      <c r="RM123" s="198"/>
      <c r="RN123" s="198"/>
      <c r="RO123" s="198"/>
      <c r="RP123" s="198"/>
      <c r="RQ123" s="198"/>
      <c r="RR123" s="198"/>
      <c r="RS123" s="198"/>
      <c r="RT123" s="198"/>
      <c r="RU123" s="198"/>
      <c r="RV123" s="198"/>
      <c r="RW123" s="198"/>
      <c r="RX123" s="198"/>
      <c r="RY123" s="198"/>
      <c r="RZ123" s="198"/>
      <c r="SA123" s="198"/>
      <c r="SB123" s="198"/>
      <c r="SC123" s="198"/>
      <c r="SD123" s="198"/>
      <c r="SE123" s="198"/>
      <c r="SF123" s="198"/>
      <c r="SG123" s="198"/>
    </row>
    <row r="124" spans="1:501" ht="40.049999999999997" customHeight="1" x14ac:dyDescent="0.3">
      <c r="A124" s="546" t="s">
        <v>314</v>
      </c>
      <c r="B124" s="959" t="s">
        <v>315</v>
      </c>
      <c r="C124" s="950"/>
      <c r="D124" s="861"/>
      <c r="E124" s="862"/>
      <c r="F124" s="861"/>
      <c r="G124" s="862"/>
      <c r="H124" s="861"/>
      <c r="I124" s="862"/>
      <c r="J124" s="861"/>
      <c r="K124" s="862"/>
      <c r="L124" s="861"/>
      <c r="M124" s="862"/>
      <c r="N124" s="861"/>
      <c r="O124" s="862"/>
      <c r="P124" s="861"/>
      <c r="Q124" s="862"/>
      <c r="R124" s="861"/>
      <c r="S124" s="862"/>
      <c r="T124" s="861"/>
      <c r="U124" s="862"/>
      <c r="V124" s="861"/>
      <c r="W124" s="862"/>
      <c r="X124" s="861"/>
      <c r="Y124" s="862"/>
      <c r="Z124" s="861"/>
      <c r="AA124" s="862"/>
      <c r="AB124" s="864"/>
      <c r="AC124" s="864"/>
      <c r="AD124" s="864"/>
      <c r="AE124" s="864"/>
      <c r="AF124" s="861"/>
      <c r="AG124" s="865">
        <f t="shared" si="1"/>
        <v>0</v>
      </c>
      <c r="AH124" s="866"/>
      <c r="AI124" s="198"/>
      <c r="AJ124" s="198"/>
      <c r="AK124" s="198"/>
      <c r="AL124" s="198"/>
      <c r="AM124" s="198"/>
      <c r="AN124" s="198"/>
      <c r="AO124" s="198"/>
      <c r="AP124" s="198"/>
      <c r="AQ124" s="198"/>
      <c r="AR124" s="198"/>
      <c r="AS124" s="198"/>
      <c r="AT124" s="198"/>
      <c r="AU124" s="198"/>
      <c r="AV124" s="198"/>
      <c r="AW124" s="198"/>
      <c r="AX124" s="198"/>
      <c r="AY124" s="198"/>
      <c r="AZ124" s="198"/>
      <c r="BA124" s="198"/>
      <c r="BB124" s="198"/>
      <c r="BC124" s="198"/>
      <c r="BD124" s="198"/>
      <c r="BE124" s="198"/>
      <c r="BF124" s="198"/>
      <c r="BG124" s="198"/>
      <c r="BH124" s="198"/>
      <c r="BI124" s="198"/>
      <c r="BJ124" s="198"/>
      <c r="BK124" s="198"/>
      <c r="BL124" s="198"/>
      <c r="BM124" s="198"/>
      <c r="BN124" s="198"/>
      <c r="BO124" s="198"/>
      <c r="BP124" s="198"/>
      <c r="BQ124" s="198"/>
      <c r="BR124" s="198"/>
      <c r="BS124" s="198"/>
      <c r="BT124" s="198"/>
      <c r="BU124" s="198"/>
      <c r="BV124" s="198"/>
      <c r="BW124" s="198"/>
      <c r="BX124" s="198"/>
      <c r="BY124" s="198"/>
      <c r="BZ124" s="198"/>
      <c r="CA124" s="198"/>
      <c r="CB124" s="198"/>
      <c r="CC124" s="198"/>
      <c r="CD124" s="198"/>
      <c r="CE124" s="198"/>
      <c r="CF124" s="198"/>
      <c r="CG124" s="198"/>
      <c r="CH124" s="198"/>
      <c r="CI124" s="198"/>
      <c r="CJ124" s="198"/>
      <c r="CK124" s="198"/>
      <c r="CL124" s="198"/>
      <c r="CM124" s="198"/>
      <c r="CN124" s="198"/>
      <c r="CO124" s="198"/>
      <c r="CP124" s="198"/>
      <c r="CQ124" s="198"/>
      <c r="CR124" s="198"/>
      <c r="CS124" s="198"/>
      <c r="CT124" s="198"/>
      <c r="CU124" s="198"/>
      <c r="CV124" s="198"/>
      <c r="CW124" s="198"/>
      <c r="CX124" s="198"/>
      <c r="CY124" s="198"/>
      <c r="CZ124" s="198"/>
      <c r="DA124" s="198"/>
      <c r="DB124" s="198"/>
      <c r="DC124" s="198"/>
      <c r="DD124" s="198"/>
      <c r="DE124" s="198"/>
      <c r="DF124" s="198"/>
      <c r="DG124" s="198"/>
      <c r="DH124" s="198"/>
      <c r="DI124" s="198"/>
      <c r="DJ124" s="198"/>
      <c r="DK124" s="198"/>
      <c r="DL124" s="198"/>
      <c r="DM124" s="198"/>
      <c r="DN124" s="198"/>
      <c r="DO124" s="198"/>
      <c r="DP124" s="198"/>
      <c r="DQ124" s="198"/>
      <c r="DR124" s="198"/>
      <c r="DS124" s="198"/>
      <c r="DT124" s="198"/>
      <c r="DU124" s="198"/>
      <c r="DV124" s="198"/>
      <c r="DW124" s="198"/>
      <c r="DX124" s="198"/>
      <c r="DY124" s="198"/>
      <c r="DZ124" s="198"/>
      <c r="EA124" s="198"/>
      <c r="EB124" s="198"/>
      <c r="EC124" s="198"/>
      <c r="ED124" s="198"/>
      <c r="EE124" s="198"/>
      <c r="EF124" s="198"/>
      <c r="EG124" s="198"/>
      <c r="EH124" s="198"/>
      <c r="EI124" s="198"/>
      <c r="EJ124" s="198"/>
      <c r="EK124" s="198"/>
      <c r="EL124" s="198"/>
      <c r="EM124" s="198"/>
      <c r="EN124" s="198"/>
      <c r="EO124" s="198"/>
      <c r="EP124" s="198"/>
      <c r="EQ124" s="198"/>
      <c r="ER124" s="198"/>
      <c r="ES124" s="198"/>
      <c r="ET124" s="198"/>
      <c r="EU124" s="198"/>
      <c r="EV124" s="198"/>
      <c r="EW124" s="198"/>
      <c r="EX124" s="198"/>
      <c r="EY124" s="198"/>
      <c r="EZ124" s="198"/>
      <c r="FA124" s="198"/>
      <c r="FB124" s="198"/>
      <c r="FC124" s="198"/>
      <c r="FD124" s="198"/>
      <c r="FE124" s="198"/>
      <c r="FF124" s="198"/>
      <c r="FG124" s="198"/>
      <c r="FH124" s="198"/>
      <c r="FI124" s="198"/>
      <c r="FJ124" s="198"/>
      <c r="FK124" s="198"/>
      <c r="FL124" s="198"/>
      <c r="FM124" s="198"/>
      <c r="FN124" s="198"/>
      <c r="FO124" s="198"/>
      <c r="FP124" s="198"/>
      <c r="FQ124" s="198"/>
      <c r="FR124" s="198"/>
      <c r="FS124" s="198"/>
      <c r="FT124" s="198"/>
      <c r="FU124" s="198"/>
      <c r="FV124" s="198"/>
      <c r="FW124" s="198"/>
      <c r="FX124" s="198"/>
      <c r="FY124" s="198"/>
      <c r="FZ124" s="198"/>
      <c r="GA124" s="198"/>
      <c r="GB124" s="198"/>
      <c r="GC124" s="198"/>
      <c r="GD124" s="198"/>
      <c r="GE124" s="198"/>
      <c r="GF124" s="198"/>
      <c r="GG124" s="198"/>
      <c r="GH124" s="198"/>
      <c r="GI124" s="198"/>
      <c r="GJ124" s="198"/>
      <c r="GK124" s="198"/>
      <c r="GL124" s="198"/>
      <c r="GM124" s="198"/>
      <c r="GN124" s="198"/>
      <c r="GO124" s="198"/>
      <c r="GP124" s="198"/>
      <c r="GQ124" s="198"/>
      <c r="GR124" s="198"/>
      <c r="GS124" s="198"/>
      <c r="GT124" s="198"/>
      <c r="GU124" s="198"/>
      <c r="GV124" s="198"/>
      <c r="GW124" s="198"/>
      <c r="GX124" s="198"/>
      <c r="GY124" s="198"/>
      <c r="GZ124" s="198"/>
      <c r="HA124" s="198"/>
      <c r="HB124" s="198"/>
      <c r="HC124" s="198"/>
      <c r="HD124" s="198"/>
      <c r="HE124" s="198"/>
      <c r="HF124" s="198"/>
      <c r="HG124" s="198"/>
      <c r="HH124" s="198"/>
      <c r="HI124" s="198"/>
      <c r="HJ124" s="198"/>
      <c r="HK124" s="198"/>
      <c r="HL124" s="198"/>
      <c r="HM124" s="198"/>
      <c r="HN124" s="198"/>
      <c r="HO124" s="198"/>
      <c r="HP124" s="198"/>
      <c r="HQ124" s="198"/>
      <c r="HR124" s="198"/>
      <c r="HS124" s="198"/>
      <c r="HT124" s="198"/>
      <c r="HU124" s="198"/>
      <c r="HV124" s="198"/>
      <c r="HW124" s="198"/>
      <c r="HX124" s="198"/>
      <c r="HY124" s="198"/>
      <c r="HZ124" s="198"/>
      <c r="IA124" s="198"/>
      <c r="IB124" s="198"/>
      <c r="IC124" s="198"/>
      <c r="ID124" s="198"/>
      <c r="IE124" s="198"/>
      <c r="IF124" s="198"/>
      <c r="IG124" s="198"/>
      <c r="IH124" s="198"/>
      <c r="II124" s="198"/>
      <c r="IJ124" s="198"/>
      <c r="IK124" s="198"/>
      <c r="IL124" s="198"/>
      <c r="IM124" s="198"/>
      <c r="IN124" s="198"/>
      <c r="IO124" s="198"/>
      <c r="IP124" s="198"/>
      <c r="IQ124" s="198"/>
      <c r="IR124" s="198"/>
      <c r="IS124" s="198"/>
      <c r="IT124" s="198"/>
      <c r="IU124" s="198"/>
      <c r="IV124" s="198"/>
      <c r="IW124" s="198"/>
      <c r="IX124" s="198"/>
      <c r="IY124" s="198"/>
      <c r="IZ124" s="198"/>
      <c r="JA124" s="198"/>
      <c r="JB124" s="198"/>
      <c r="JC124" s="198"/>
      <c r="JD124" s="198"/>
      <c r="JE124" s="198"/>
      <c r="JF124" s="198"/>
      <c r="JG124" s="198"/>
      <c r="JH124" s="198"/>
      <c r="JI124" s="198"/>
      <c r="JJ124" s="198"/>
      <c r="JK124" s="198"/>
      <c r="JL124" s="198"/>
      <c r="JM124" s="198"/>
      <c r="JN124" s="198"/>
      <c r="JO124" s="198"/>
      <c r="JP124" s="198"/>
      <c r="JQ124" s="198"/>
      <c r="JR124" s="198"/>
      <c r="JS124" s="198"/>
      <c r="JT124" s="198"/>
      <c r="JU124" s="198"/>
      <c r="JV124" s="198"/>
      <c r="JW124" s="198"/>
      <c r="JX124" s="198"/>
      <c r="JY124" s="198"/>
      <c r="JZ124" s="198"/>
      <c r="KA124" s="198"/>
      <c r="KB124" s="198"/>
      <c r="KC124" s="198"/>
      <c r="KD124" s="198"/>
      <c r="KE124" s="198"/>
      <c r="KF124" s="198"/>
      <c r="KG124" s="198"/>
      <c r="KH124" s="198"/>
      <c r="KI124" s="198"/>
      <c r="KJ124" s="198"/>
      <c r="KK124" s="198"/>
      <c r="KL124" s="198"/>
      <c r="KM124" s="198"/>
      <c r="KN124" s="198"/>
      <c r="KO124" s="198"/>
      <c r="KP124" s="198"/>
      <c r="KQ124" s="198"/>
      <c r="KR124" s="198"/>
      <c r="KS124" s="198"/>
      <c r="KT124" s="198"/>
      <c r="KU124" s="198"/>
      <c r="KV124" s="198"/>
      <c r="KW124" s="198"/>
      <c r="KX124" s="198"/>
      <c r="KY124" s="198"/>
      <c r="KZ124" s="198"/>
      <c r="LA124" s="198"/>
      <c r="LB124" s="198"/>
      <c r="LC124" s="198"/>
      <c r="LD124" s="198"/>
      <c r="LE124" s="198"/>
      <c r="LF124" s="198"/>
      <c r="LG124" s="198"/>
      <c r="LH124" s="198"/>
      <c r="LI124" s="198"/>
      <c r="LJ124" s="198"/>
      <c r="LK124" s="198"/>
      <c r="LL124" s="198"/>
      <c r="LM124" s="198"/>
      <c r="LN124" s="198"/>
      <c r="LO124" s="198"/>
      <c r="LP124" s="198"/>
      <c r="LQ124" s="198"/>
      <c r="LR124" s="198"/>
      <c r="LS124" s="198"/>
      <c r="LT124" s="198"/>
      <c r="LU124" s="198"/>
      <c r="LV124" s="198"/>
      <c r="LW124" s="198"/>
      <c r="LX124" s="198"/>
      <c r="LY124" s="198"/>
      <c r="LZ124" s="198"/>
      <c r="MA124" s="198"/>
      <c r="MB124" s="198"/>
      <c r="MC124" s="198"/>
      <c r="MD124" s="198"/>
      <c r="ME124" s="198"/>
      <c r="MF124" s="198"/>
      <c r="MG124" s="198"/>
      <c r="MH124" s="198"/>
      <c r="MI124" s="198"/>
      <c r="MJ124" s="198"/>
      <c r="MK124" s="198"/>
      <c r="ML124" s="198"/>
      <c r="MM124" s="198"/>
      <c r="MN124" s="198"/>
      <c r="MO124" s="198"/>
      <c r="MP124" s="198"/>
      <c r="MQ124" s="198"/>
      <c r="MR124" s="198"/>
      <c r="MS124" s="198"/>
      <c r="MT124" s="198"/>
      <c r="MU124" s="198"/>
      <c r="MV124" s="198"/>
      <c r="MW124" s="198"/>
      <c r="MX124" s="198"/>
      <c r="MY124" s="198"/>
      <c r="MZ124" s="198"/>
      <c r="NA124" s="198"/>
      <c r="NB124" s="198"/>
      <c r="NC124" s="198"/>
      <c r="ND124" s="198"/>
      <c r="NE124" s="198"/>
      <c r="NF124" s="198"/>
      <c r="NG124" s="198"/>
      <c r="NH124" s="198"/>
      <c r="NI124" s="198"/>
      <c r="NJ124" s="198"/>
      <c r="NK124" s="198"/>
      <c r="NL124" s="198"/>
      <c r="NM124" s="198"/>
      <c r="NN124" s="198"/>
      <c r="NO124" s="198"/>
      <c r="NP124" s="198"/>
      <c r="NQ124" s="198"/>
      <c r="NR124" s="198"/>
      <c r="NS124" s="198"/>
      <c r="NT124" s="198"/>
      <c r="NU124" s="198"/>
      <c r="NV124" s="198"/>
      <c r="NW124" s="198"/>
      <c r="NX124" s="198"/>
      <c r="NY124" s="198"/>
      <c r="NZ124" s="198"/>
      <c r="OA124" s="198"/>
      <c r="OB124" s="198"/>
      <c r="OC124" s="198"/>
      <c r="OD124" s="198"/>
      <c r="OE124" s="198"/>
      <c r="OF124" s="198"/>
      <c r="OG124" s="198"/>
      <c r="OH124" s="198"/>
      <c r="OI124" s="198"/>
      <c r="OJ124" s="198"/>
      <c r="OK124" s="198"/>
      <c r="OL124" s="198"/>
      <c r="OM124" s="198"/>
      <c r="ON124" s="198"/>
      <c r="OO124" s="198"/>
      <c r="OP124" s="198"/>
      <c r="OQ124" s="198"/>
      <c r="OR124" s="198"/>
      <c r="OS124" s="198"/>
      <c r="OT124" s="198"/>
      <c r="OU124" s="198"/>
      <c r="OV124" s="198"/>
      <c r="OW124" s="198"/>
      <c r="OX124" s="198"/>
      <c r="OY124" s="198"/>
      <c r="OZ124" s="198"/>
      <c r="PA124" s="198"/>
      <c r="PB124" s="198"/>
      <c r="PC124" s="198"/>
      <c r="PD124" s="198"/>
      <c r="PE124" s="198"/>
      <c r="PF124" s="198"/>
      <c r="PG124" s="198"/>
      <c r="PH124" s="198"/>
      <c r="PI124" s="198"/>
      <c r="PJ124" s="198"/>
      <c r="PK124" s="198"/>
      <c r="PL124" s="198"/>
      <c r="PM124" s="198"/>
      <c r="PN124" s="198"/>
      <c r="PO124" s="198"/>
      <c r="PP124" s="198"/>
      <c r="PQ124" s="198"/>
      <c r="PR124" s="198"/>
      <c r="PS124" s="198"/>
      <c r="PT124" s="198"/>
      <c r="PU124" s="198"/>
      <c r="PV124" s="198"/>
      <c r="PW124" s="198"/>
      <c r="PX124" s="198"/>
      <c r="PY124" s="198"/>
      <c r="PZ124" s="198"/>
      <c r="QA124" s="198"/>
      <c r="QB124" s="198"/>
      <c r="QC124" s="198"/>
      <c r="QD124" s="198"/>
      <c r="QE124" s="198"/>
      <c r="QF124" s="198"/>
      <c r="QG124" s="198"/>
      <c r="QH124" s="198"/>
      <c r="QI124" s="198"/>
      <c r="QJ124" s="198"/>
      <c r="QK124" s="198"/>
      <c r="QL124" s="198"/>
      <c r="QM124" s="198"/>
      <c r="QN124" s="198"/>
      <c r="QO124" s="198"/>
      <c r="QP124" s="198"/>
      <c r="QQ124" s="198"/>
      <c r="QR124" s="198"/>
      <c r="QS124" s="198"/>
      <c r="QT124" s="198"/>
      <c r="QU124" s="198"/>
      <c r="QV124" s="198"/>
      <c r="QW124" s="198"/>
      <c r="QX124" s="198"/>
      <c r="QY124" s="198"/>
      <c r="QZ124" s="198"/>
      <c r="RA124" s="198"/>
      <c r="RB124" s="198"/>
      <c r="RC124" s="198"/>
      <c r="RD124" s="198"/>
      <c r="RE124" s="198"/>
      <c r="RF124" s="198"/>
      <c r="RG124" s="198"/>
      <c r="RH124" s="198"/>
      <c r="RI124" s="198"/>
      <c r="RJ124" s="198"/>
      <c r="RK124" s="198"/>
      <c r="RL124" s="198"/>
      <c r="RM124" s="198"/>
      <c r="RN124" s="198"/>
      <c r="RO124" s="198"/>
      <c r="RP124" s="198"/>
      <c r="RQ124" s="198"/>
      <c r="RR124" s="198"/>
      <c r="RS124" s="198"/>
      <c r="RT124" s="198"/>
      <c r="RU124" s="198"/>
      <c r="RV124" s="198"/>
      <c r="RW124" s="198"/>
      <c r="RX124" s="198"/>
      <c r="RY124" s="198"/>
      <c r="RZ124" s="198"/>
      <c r="SA124" s="198"/>
      <c r="SB124" s="198"/>
      <c r="SC124" s="198"/>
      <c r="SD124" s="198"/>
      <c r="SE124" s="198"/>
      <c r="SF124" s="198"/>
      <c r="SG124" s="198"/>
    </row>
    <row r="125" spans="1:501" ht="40.049999999999997" customHeight="1" x14ac:dyDescent="0.3">
      <c r="A125" s="546" t="s">
        <v>316</v>
      </c>
      <c r="B125" s="959" t="s">
        <v>317</v>
      </c>
      <c r="C125" s="950"/>
      <c r="D125" s="861"/>
      <c r="E125" s="862"/>
      <c r="F125" s="861"/>
      <c r="G125" s="862"/>
      <c r="H125" s="861"/>
      <c r="I125" s="862"/>
      <c r="J125" s="861"/>
      <c r="K125" s="862"/>
      <c r="L125" s="861"/>
      <c r="M125" s="862"/>
      <c r="N125" s="861"/>
      <c r="O125" s="862"/>
      <c r="P125" s="861"/>
      <c r="Q125" s="862"/>
      <c r="R125" s="861"/>
      <c r="S125" s="862"/>
      <c r="T125" s="861"/>
      <c r="U125" s="862"/>
      <c r="V125" s="861"/>
      <c r="W125" s="862"/>
      <c r="X125" s="861"/>
      <c r="Y125" s="862"/>
      <c r="Z125" s="861"/>
      <c r="AA125" s="862"/>
      <c r="AB125" s="864"/>
      <c r="AC125" s="864"/>
      <c r="AD125" s="864"/>
      <c r="AE125" s="864"/>
      <c r="AF125" s="861"/>
      <c r="AG125" s="865">
        <f t="shared" si="1"/>
        <v>0</v>
      </c>
      <c r="AH125" s="866"/>
      <c r="AI125" s="198"/>
      <c r="AJ125" s="198"/>
      <c r="AK125" s="198"/>
      <c r="AL125" s="198"/>
      <c r="AM125" s="198"/>
      <c r="AN125" s="198"/>
      <c r="AO125" s="198"/>
      <c r="AP125" s="198"/>
      <c r="AQ125" s="198"/>
      <c r="AR125" s="198"/>
      <c r="AS125" s="198"/>
      <c r="AT125" s="198"/>
      <c r="AU125" s="198"/>
      <c r="AV125" s="198"/>
      <c r="AW125" s="198"/>
      <c r="AX125" s="198"/>
      <c r="AY125" s="198"/>
      <c r="AZ125" s="198"/>
      <c r="BA125" s="198"/>
      <c r="BB125" s="198"/>
      <c r="BC125" s="198"/>
      <c r="BD125" s="198"/>
      <c r="BE125" s="198"/>
      <c r="BF125" s="198"/>
      <c r="BG125" s="198"/>
      <c r="BH125" s="198"/>
      <c r="BI125" s="198"/>
      <c r="BJ125" s="198"/>
      <c r="BK125" s="198"/>
      <c r="BL125" s="198"/>
      <c r="BM125" s="198"/>
      <c r="BN125" s="198"/>
      <c r="BO125" s="198"/>
      <c r="BP125" s="198"/>
      <c r="BQ125" s="198"/>
      <c r="BR125" s="198"/>
      <c r="BS125" s="198"/>
      <c r="BT125" s="198"/>
      <c r="BU125" s="198"/>
      <c r="BV125" s="198"/>
      <c r="BW125" s="198"/>
      <c r="BX125" s="198"/>
      <c r="BY125" s="198"/>
      <c r="BZ125" s="198"/>
      <c r="CA125" s="198"/>
      <c r="CB125" s="198"/>
      <c r="CC125" s="198"/>
      <c r="CD125" s="198"/>
      <c r="CE125" s="198"/>
      <c r="CF125" s="198"/>
      <c r="CG125" s="198"/>
      <c r="CH125" s="198"/>
      <c r="CI125" s="198"/>
      <c r="CJ125" s="198"/>
      <c r="CK125" s="198"/>
      <c r="CL125" s="198"/>
      <c r="CM125" s="198"/>
      <c r="CN125" s="198"/>
      <c r="CO125" s="198"/>
      <c r="CP125" s="198"/>
      <c r="CQ125" s="198"/>
      <c r="CR125" s="198"/>
      <c r="CS125" s="198"/>
      <c r="CT125" s="198"/>
      <c r="CU125" s="198"/>
      <c r="CV125" s="198"/>
      <c r="CW125" s="198"/>
      <c r="CX125" s="198"/>
      <c r="CY125" s="198"/>
      <c r="CZ125" s="198"/>
      <c r="DA125" s="198"/>
      <c r="DB125" s="198"/>
      <c r="DC125" s="198"/>
      <c r="DD125" s="198"/>
      <c r="DE125" s="198"/>
      <c r="DF125" s="198"/>
      <c r="DG125" s="198"/>
      <c r="DH125" s="198"/>
      <c r="DI125" s="198"/>
      <c r="DJ125" s="198"/>
      <c r="DK125" s="198"/>
      <c r="DL125" s="198"/>
      <c r="DM125" s="198"/>
      <c r="DN125" s="198"/>
      <c r="DO125" s="198"/>
      <c r="DP125" s="198"/>
      <c r="DQ125" s="198"/>
      <c r="DR125" s="198"/>
      <c r="DS125" s="198"/>
      <c r="DT125" s="198"/>
      <c r="DU125" s="198"/>
      <c r="DV125" s="198"/>
      <c r="DW125" s="198"/>
      <c r="DX125" s="198"/>
      <c r="DY125" s="198"/>
      <c r="DZ125" s="198"/>
      <c r="EA125" s="198"/>
      <c r="EB125" s="198"/>
      <c r="EC125" s="198"/>
      <c r="ED125" s="198"/>
      <c r="EE125" s="198"/>
      <c r="EF125" s="198"/>
      <c r="EG125" s="198"/>
      <c r="EH125" s="198"/>
      <c r="EI125" s="198"/>
      <c r="EJ125" s="198"/>
      <c r="EK125" s="198"/>
      <c r="EL125" s="198"/>
      <c r="EM125" s="198"/>
      <c r="EN125" s="198"/>
      <c r="EO125" s="198"/>
      <c r="EP125" s="198"/>
      <c r="EQ125" s="198"/>
      <c r="ER125" s="198"/>
      <c r="ES125" s="198"/>
      <c r="ET125" s="198"/>
      <c r="EU125" s="198"/>
      <c r="EV125" s="198"/>
      <c r="EW125" s="198"/>
      <c r="EX125" s="198"/>
      <c r="EY125" s="198"/>
      <c r="EZ125" s="198"/>
      <c r="FA125" s="198"/>
      <c r="FB125" s="198"/>
      <c r="FC125" s="198"/>
      <c r="FD125" s="198"/>
      <c r="FE125" s="198"/>
      <c r="FF125" s="198"/>
      <c r="FG125" s="198"/>
      <c r="FH125" s="198"/>
      <c r="FI125" s="198"/>
      <c r="FJ125" s="198"/>
      <c r="FK125" s="198"/>
      <c r="FL125" s="198"/>
      <c r="FM125" s="198"/>
      <c r="FN125" s="198"/>
      <c r="FO125" s="198"/>
      <c r="FP125" s="198"/>
      <c r="FQ125" s="198"/>
      <c r="FR125" s="198"/>
      <c r="FS125" s="198"/>
      <c r="FT125" s="198"/>
      <c r="FU125" s="198"/>
      <c r="FV125" s="198"/>
      <c r="FW125" s="198"/>
      <c r="FX125" s="198"/>
      <c r="FY125" s="198"/>
      <c r="FZ125" s="198"/>
      <c r="GA125" s="198"/>
      <c r="GB125" s="198"/>
      <c r="GC125" s="198"/>
      <c r="GD125" s="198"/>
      <c r="GE125" s="198"/>
      <c r="GF125" s="198"/>
      <c r="GG125" s="198"/>
      <c r="GH125" s="198"/>
      <c r="GI125" s="198"/>
      <c r="GJ125" s="198"/>
      <c r="GK125" s="198"/>
      <c r="GL125" s="198"/>
      <c r="GM125" s="198"/>
      <c r="GN125" s="198"/>
      <c r="GO125" s="198"/>
      <c r="GP125" s="198"/>
      <c r="GQ125" s="198"/>
      <c r="GR125" s="198"/>
      <c r="GS125" s="198"/>
      <c r="GT125" s="198"/>
      <c r="GU125" s="198"/>
      <c r="GV125" s="198"/>
      <c r="GW125" s="198"/>
      <c r="GX125" s="198"/>
      <c r="GY125" s="198"/>
      <c r="GZ125" s="198"/>
      <c r="HA125" s="198"/>
      <c r="HB125" s="198"/>
      <c r="HC125" s="198"/>
      <c r="HD125" s="198"/>
      <c r="HE125" s="198"/>
      <c r="HF125" s="198"/>
      <c r="HG125" s="198"/>
      <c r="HH125" s="198"/>
      <c r="HI125" s="198"/>
      <c r="HJ125" s="198"/>
      <c r="HK125" s="198"/>
      <c r="HL125" s="198"/>
      <c r="HM125" s="198"/>
      <c r="HN125" s="198"/>
      <c r="HO125" s="198"/>
      <c r="HP125" s="198"/>
      <c r="HQ125" s="198"/>
      <c r="HR125" s="198"/>
      <c r="HS125" s="198"/>
      <c r="HT125" s="198"/>
      <c r="HU125" s="198"/>
      <c r="HV125" s="198"/>
      <c r="HW125" s="198"/>
      <c r="HX125" s="198"/>
      <c r="HY125" s="198"/>
      <c r="HZ125" s="198"/>
      <c r="IA125" s="198"/>
      <c r="IB125" s="198"/>
      <c r="IC125" s="198"/>
      <c r="ID125" s="198"/>
      <c r="IE125" s="198"/>
      <c r="IF125" s="198"/>
      <c r="IG125" s="198"/>
      <c r="IH125" s="198"/>
      <c r="II125" s="198"/>
      <c r="IJ125" s="198"/>
      <c r="IK125" s="198"/>
      <c r="IL125" s="198"/>
      <c r="IM125" s="198"/>
      <c r="IN125" s="198"/>
      <c r="IO125" s="198"/>
      <c r="IP125" s="198"/>
      <c r="IQ125" s="198"/>
      <c r="IR125" s="198"/>
      <c r="IS125" s="198"/>
      <c r="IT125" s="198"/>
      <c r="IU125" s="198"/>
      <c r="IV125" s="198"/>
      <c r="IW125" s="198"/>
      <c r="IX125" s="198"/>
      <c r="IY125" s="198"/>
      <c r="IZ125" s="198"/>
      <c r="JA125" s="198"/>
      <c r="JB125" s="198"/>
      <c r="JC125" s="198"/>
      <c r="JD125" s="198"/>
      <c r="JE125" s="198"/>
      <c r="JF125" s="198"/>
      <c r="JG125" s="198"/>
      <c r="JH125" s="198"/>
      <c r="JI125" s="198"/>
      <c r="JJ125" s="198"/>
      <c r="JK125" s="198"/>
      <c r="JL125" s="198"/>
      <c r="JM125" s="198"/>
      <c r="JN125" s="198"/>
      <c r="JO125" s="198"/>
      <c r="JP125" s="198"/>
      <c r="JQ125" s="198"/>
      <c r="JR125" s="198"/>
      <c r="JS125" s="198"/>
      <c r="JT125" s="198"/>
      <c r="JU125" s="198"/>
      <c r="JV125" s="198"/>
      <c r="JW125" s="198"/>
      <c r="JX125" s="198"/>
      <c r="JY125" s="198"/>
      <c r="JZ125" s="198"/>
      <c r="KA125" s="198"/>
      <c r="KB125" s="198"/>
      <c r="KC125" s="198"/>
      <c r="KD125" s="198"/>
      <c r="KE125" s="198"/>
      <c r="KF125" s="198"/>
      <c r="KG125" s="198"/>
      <c r="KH125" s="198"/>
      <c r="KI125" s="198"/>
      <c r="KJ125" s="198"/>
      <c r="KK125" s="198"/>
      <c r="KL125" s="198"/>
      <c r="KM125" s="198"/>
      <c r="KN125" s="198"/>
      <c r="KO125" s="198"/>
      <c r="KP125" s="198"/>
      <c r="KQ125" s="198"/>
      <c r="KR125" s="198"/>
      <c r="KS125" s="198"/>
      <c r="KT125" s="198"/>
      <c r="KU125" s="198"/>
      <c r="KV125" s="198"/>
      <c r="KW125" s="198"/>
      <c r="KX125" s="198"/>
      <c r="KY125" s="198"/>
      <c r="KZ125" s="198"/>
      <c r="LA125" s="198"/>
      <c r="LB125" s="198"/>
      <c r="LC125" s="198"/>
      <c r="LD125" s="198"/>
      <c r="LE125" s="198"/>
      <c r="LF125" s="198"/>
      <c r="LG125" s="198"/>
      <c r="LH125" s="198"/>
      <c r="LI125" s="198"/>
      <c r="LJ125" s="198"/>
      <c r="LK125" s="198"/>
      <c r="LL125" s="198"/>
      <c r="LM125" s="198"/>
      <c r="LN125" s="198"/>
      <c r="LO125" s="198"/>
      <c r="LP125" s="198"/>
      <c r="LQ125" s="198"/>
      <c r="LR125" s="198"/>
      <c r="LS125" s="198"/>
      <c r="LT125" s="198"/>
      <c r="LU125" s="198"/>
      <c r="LV125" s="198"/>
      <c r="LW125" s="198"/>
      <c r="LX125" s="198"/>
      <c r="LY125" s="198"/>
      <c r="LZ125" s="198"/>
      <c r="MA125" s="198"/>
      <c r="MB125" s="198"/>
      <c r="MC125" s="198"/>
      <c r="MD125" s="198"/>
      <c r="ME125" s="198"/>
      <c r="MF125" s="198"/>
      <c r="MG125" s="198"/>
      <c r="MH125" s="198"/>
      <c r="MI125" s="198"/>
      <c r="MJ125" s="198"/>
      <c r="MK125" s="198"/>
      <c r="ML125" s="198"/>
      <c r="MM125" s="198"/>
      <c r="MN125" s="198"/>
      <c r="MO125" s="198"/>
      <c r="MP125" s="198"/>
      <c r="MQ125" s="198"/>
      <c r="MR125" s="198"/>
      <c r="MS125" s="198"/>
      <c r="MT125" s="198"/>
      <c r="MU125" s="198"/>
      <c r="MV125" s="198"/>
      <c r="MW125" s="198"/>
      <c r="MX125" s="198"/>
      <c r="MY125" s="198"/>
      <c r="MZ125" s="198"/>
      <c r="NA125" s="198"/>
      <c r="NB125" s="198"/>
      <c r="NC125" s="198"/>
      <c r="ND125" s="198"/>
      <c r="NE125" s="198"/>
      <c r="NF125" s="198"/>
      <c r="NG125" s="198"/>
      <c r="NH125" s="198"/>
      <c r="NI125" s="198"/>
      <c r="NJ125" s="198"/>
      <c r="NK125" s="198"/>
      <c r="NL125" s="198"/>
      <c r="NM125" s="198"/>
      <c r="NN125" s="198"/>
      <c r="NO125" s="198"/>
      <c r="NP125" s="198"/>
      <c r="NQ125" s="198"/>
      <c r="NR125" s="198"/>
      <c r="NS125" s="198"/>
      <c r="NT125" s="198"/>
      <c r="NU125" s="198"/>
      <c r="NV125" s="198"/>
      <c r="NW125" s="198"/>
      <c r="NX125" s="198"/>
      <c r="NY125" s="198"/>
      <c r="NZ125" s="198"/>
      <c r="OA125" s="198"/>
      <c r="OB125" s="198"/>
      <c r="OC125" s="198"/>
      <c r="OD125" s="198"/>
      <c r="OE125" s="198"/>
      <c r="OF125" s="198"/>
      <c r="OG125" s="198"/>
      <c r="OH125" s="198"/>
      <c r="OI125" s="198"/>
      <c r="OJ125" s="198"/>
      <c r="OK125" s="198"/>
      <c r="OL125" s="198"/>
      <c r="OM125" s="198"/>
      <c r="ON125" s="198"/>
      <c r="OO125" s="198"/>
      <c r="OP125" s="198"/>
      <c r="OQ125" s="198"/>
      <c r="OR125" s="198"/>
      <c r="OS125" s="198"/>
      <c r="OT125" s="198"/>
      <c r="OU125" s="198"/>
      <c r="OV125" s="198"/>
      <c r="OW125" s="198"/>
      <c r="OX125" s="198"/>
      <c r="OY125" s="198"/>
      <c r="OZ125" s="198"/>
      <c r="PA125" s="198"/>
      <c r="PB125" s="198"/>
      <c r="PC125" s="198"/>
      <c r="PD125" s="198"/>
      <c r="PE125" s="198"/>
      <c r="PF125" s="198"/>
      <c r="PG125" s="198"/>
      <c r="PH125" s="198"/>
      <c r="PI125" s="198"/>
      <c r="PJ125" s="198"/>
      <c r="PK125" s="198"/>
      <c r="PL125" s="198"/>
      <c r="PM125" s="198"/>
      <c r="PN125" s="198"/>
      <c r="PO125" s="198"/>
      <c r="PP125" s="198"/>
      <c r="PQ125" s="198"/>
      <c r="PR125" s="198"/>
      <c r="PS125" s="198"/>
      <c r="PT125" s="198"/>
      <c r="PU125" s="198"/>
      <c r="PV125" s="198"/>
      <c r="PW125" s="198"/>
      <c r="PX125" s="198"/>
      <c r="PY125" s="198"/>
      <c r="PZ125" s="198"/>
      <c r="QA125" s="198"/>
      <c r="QB125" s="198"/>
      <c r="QC125" s="198"/>
      <c r="QD125" s="198"/>
      <c r="QE125" s="198"/>
      <c r="QF125" s="198"/>
      <c r="QG125" s="198"/>
      <c r="QH125" s="198"/>
      <c r="QI125" s="198"/>
      <c r="QJ125" s="198"/>
      <c r="QK125" s="198"/>
      <c r="QL125" s="198"/>
      <c r="QM125" s="198"/>
      <c r="QN125" s="198"/>
      <c r="QO125" s="198"/>
      <c r="QP125" s="198"/>
      <c r="QQ125" s="198"/>
      <c r="QR125" s="198"/>
      <c r="QS125" s="198"/>
      <c r="QT125" s="198"/>
      <c r="QU125" s="198"/>
      <c r="QV125" s="198"/>
      <c r="QW125" s="198"/>
      <c r="QX125" s="198"/>
      <c r="QY125" s="198"/>
      <c r="QZ125" s="198"/>
      <c r="RA125" s="198"/>
      <c r="RB125" s="198"/>
      <c r="RC125" s="198"/>
      <c r="RD125" s="198"/>
      <c r="RE125" s="198"/>
      <c r="RF125" s="198"/>
      <c r="RG125" s="198"/>
      <c r="RH125" s="198"/>
      <c r="RI125" s="198"/>
      <c r="RJ125" s="198"/>
      <c r="RK125" s="198"/>
      <c r="RL125" s="198"/>
      <c r="RM125" s="198"/>
      <c r="RN125" s="198"/>
      <c r="RO125" s="198"/>
      <c r="RP125" s="198"/>
      <c r="RQ125" s="198"/>
      <c r="RR125" s="198"/>
      <c r="RS125" s="198"/>
      <c r="RT125" s="198"/>
      <c r="RU125" s="198"/>
      <c r="RV125" s="198"/>
      <c r="RW125" s="198"/>
      <c r="RX125" s="198"/>
      <c r="RY125" s="198"/>
      <c r="RZ125" s="198"/>
      <c r="SA125" s="198"/>
      <c r="SB125" s="198"/>
      <c r="SC125" s="198"/>
      <c r="SD125" s="198"/>
      <c r="SE125" s="198"/>
      <c r="SF125" s="198"/>
      <c r="SG125" s="198"/>
    </row>
    <row r="126" spans="1:501" ht="40.049999999999997" customHeight="1" thickBot="1" x14ac:dyDescent="0.35">
      <c r="A126" s="546" t="s">
        <v>318</v>
      </c>
      <c r="B126" s="959" t="s">
        <v>319</v>
      </c>
      <c r="C126" s="950"/>
      <c r="D126" s="861"/>
      <c r="E126" s="862"/>
      <c r="F126" s="861"/>
      <c r="G126" s="862"/>
      <c r="H126" s="861"/>
      <c r="I126" s="862"/>
      <c r="J126" s="861"/>
      <c r="K126" s="862"/>
      <c r="L126" s="861"/>
      <c r="M126" s="862"/>
      <c r="N126" s="861"/>
      <c r="O126" s="862"/>
      <c r="P126" s="861"/>
      <c r="Q126" s="862"/>
      <c r="R126" s="861"/>
      <c r="S126" s="862"/>
      <c r="T126" s="861"/>
      <c r="U126" s="862"/>
      <c r="V126" s="861"/>
      <c r="W126" s="862"/>
      <c r="X126" s="861"/>
      <c r="Y126" s="862"/>
      <c r="Z126" s="861"/>
      <c r="AA126" s="862"/>
      <c r="AB126" s="864"/>
      <c r="AC126" s="864"/>
      <c r="AD126" s="864"/>
      <c r="AE126" s="864"/>
      <c r="AF126" s="861"/>
      <c r="AG126" s="865">
        <f t="shared" si="1"/>
        <v>0</v>
      </c>
      <c r="AH126" s="866"/>
      <c r="AI126" s="198"/>
      <c r="AJ126" s="198"/>
      <c r="AK126" s="198"/>
      <c r="AL126" s="198"/>
      <c r="AM126" s="198"/>
      <c r="AN126" s="198"/>
      <c r="AO126" s="198"/>
      <c r="AP126" s="198"/>
      <c r="AQ126" s="198"/>
      <c r="AR126" s="198"/>
      <c r="AS126" s="198"/>
      <c r="AT126" s="198"/>
      <c r="AU126" s="198"/>
      <c r="AV126" s="198"/>
      <c r="AW126" s="198"/>
      <c r="AX126" s="198"/>
      <c r="AY126" s="198"/>
      <c r="AZ126" s="198"/>
      <c r="BA126" s="198"/>
      <c r="BB126" s="198"/>
      <c r="BC126" s="198"/>
      <c r="BD126" s="198"/>
      <c r="BE126" s="198"/>
      <c r="BF126" s="198"/>
      <c r="BG126" s="198"/>
      <c r="BH126" s="198"/>
      <c r="BI126" s="198"/>
      <c r="BJ126" s="198"/>
      <c r="BK126" s="198"/>
      <c r="BL126" s="198"/>
      <c r="BM126" s="198"/>
      <c r="BN126" s="198"/>
      <c r="BO126" s="198"/>
      <c r="BP126" s="198"/>
      <c r="BQ126" s="198"/>
      <c r="BR126" s="198"/>
      <c r="BS126" s="198"/>
      <c r="BT126" s="198"/>
      <c r="BU126" s="198"/>
      <c r="BV126" s="198"/>
      <c r="BW126" s="198"/>
      <c r="BX126" s="198"/>
      <c r="BY126" s="198"/>
      <c r="BZ126" s="198"/>
      <c r="CA126" s="198"/>
      <c r="CB126" s="198"/>
      <c r="CC126" s="198"/>
      <c r="CD126" s="198"/>
      <c r="CE126" s="198"/>
      <c r="CF126" s="198"/>
      <c r="CG126" s="198"/>
      <c r="CH126" s="198"/>
      <c r="CI126" s="198"/>
      <c r="CJ126" s="198"/>
      <c r="CK126" s="198"/>
      <c r="CL126" s="198"/>
      <c r="CM126" s="198"/>
      <c r="CN126" s="198"/>
      <c r="CO126" s="198"/>
      <c r="CP126" s="198"/>
      <c r="CQ126" s="198"/>
      <c r="CR126" s="198"/>
      <c r="CS126" s="198"/>
      <c r="CT126" s="198"/>
      <c r="CU126" s="198"/>
      <c r="CV126" s="198"/>
      <c r="CW126" s="198"/>
      <c r="CX126" s="198"/>
      <c r="CY126" s="198"/>
      <c r="CZ126" s="198"/>
      <c r="DA126" s="198"/>
      <c r="DB126" s="198"/>
      <c r="DC126" s="198"/>
      <c r="DD126" s="198"/>
      <c r="DE126" s="198"/>
      <c r="DF126" s="198"/>
      <c r="DG126" s="198"/>
      <c r="DH126" s="198"/>
      <c r="DI126" s="198"/>
      <c r="DJ126" s="198"/>
      <c r="DK126" s="198"/>
      <c r="DL126" s="198"/>
      <c r="DM126" s="198"/>
      <c r="DN126" s="198"/>
      <c r="DO126" s="198"/>
      <c r="DP126" s="198"/>
      <c r="DQ126" s="198"/>
      <c r="DR126" s="198"/>
      <c r="DS126" s="198"/>
      <c r="DT126" s="198"/>
      <c r="DU126" s="198"/>
      <c r="DV126" s="198"/>
      <c r="DW126" s="198"/>
      <c r="DX126" s="198"/>
      <c r="DY126" s="198"/>
      <c r="DZ126" s="198"/>
      <c r="EA126" s="198"/>
      <c r="EB126" s="198"/>
      <c r="EC126" s="198"/>
      <c r="ED126" s="198"/>
      <c r="EE126" s="198"/>
      <c r="EF126" s="198"/>
      <c r="EG126" s="198"/>
      <c r="EH126" s="198"/>
      <c r="EI126" s="198"/>
      <c r="EJ126" s="198"/>
      <c r="EK126" s="198"/>
      <c r="EL126" s="198"/>
      <c r="EM126" s="198"/>
      <c r="EN126" s="198"/>
      <c r="EO126" s="198"/>
      <c r="EP126" s="198"/>
      <c r="EQ126" s="198"/>
      <c r="ER126" s="198"/>
      <c r="ES126" s="198"/>
      <c r="ET126" s="198"/>
      <c r="EU126" s="198"/>
      <c r="EV126" s="198"/>
      <c r="EW126" s="198"/>
      <c r="EX126" s="198"/>
      <c r="EY126" s="198"/>
      <c r="EZ126" s="198"/>
      <c r="FA126" s="198"/>
      <c r="FB126" s="198"/>
      <c r="FC126" s="198"/>
      <c r="FD126" s="198"/>
      <c r="FE126" s="198"/>
      <c r="FF126" s="198"/>
      <c r="FG126" s="198"/>
      <c r="FH126" s="198"/>
      <c r="FI126" s="198"/>
      <c r="FJ126" s="198"/>
      <c r="FK126" s="198"/>
      <c r="FL126" s="198"/>
      <c r="FM126" s="198"/>
      <c r="FN126" s="198"/>
      <c r="FO126" s="198"/>
      <c r="FP126" s="198"/>
      <c r="FQ126" s="198"/>
      <c r="FR126" s="198"/>
      <c r="FS126" s="198"/>
      <c r="FT126" s="198"/>
      <c r="FU126" s="198"/>
      <c r="FV126" s="198"/>
      <c r="FW126" s="198"/>
      <c r="FX126" s="198"/>
      <c r="FY126" s="198"/>
      <c r="FZ126" s="198"/>
      <c r="GA126" s="198"/>
      <c r="GB126" s="198"/>
      <c r="GC126" s="198"/>
      <c r="GD126" s="198"/>
      <c r="GE126" s="198"/>
      <c r="GF126" s="198"/>
      <c r="GG126" s="198"/>
      <c r="GH126" s="198"/>
      <c r="GI126" s="198"/>
      <c r="GJ126" s="198"/>
      <c r="GK126" s="198"/>
      <c r="GL126" s="198"/>
      <c r="GM126" s="198"/>
      <c r="GN126" s="198"/>
      <c r="GO126" s="198"/>
      <c r="GP126" s="198"/>
      <c r="GQ126" s="198"/>
      <c r="GR126" s="198"/>
      <c r="GS126" s="198"/>
      <c r="GT126" s="198"/>
      <c r="GU126" s="198"/>
      <c r="GV126" s="198"/>
      <c r="GW126" s="198"/>
      <c r="GX126" s="198"/>
      <c r="GY126" s="198"/>
      <c r="GZ126" s="198"/>
      <c r="HA126" s="198"/>
      <c r="HB126" s="198"/>
      <c r="HC126" s="198"/>
      <c r="HD126" s="198"/>
      <c r="HE126" s="198"/>
      <c r="HF126" s="198"/>
      <c r="HG126" s="198"/>
      <c r="HH126" s="198"/>
      <c r="HI126" s="198"/>
      <c r="HJ126" s="198"/>
      <c r="HK126" s="198"/>
      <c r="HL126" s="198"/>
      <c r="HM126" s="198"/>
      <c r="HN126" s="198"/>
      <c r="HO126" s="198"/>
      <c r="HP126" s="198"/>
      <c r="HQ126" s="198"/>
      <c r="HR126" s="198"/>
      <c r="HS126" s="198"/>
      <c r="HT126" s="198"/>
      <c r="HU126" s="198"/>
      <c r="HV126" s="198"/>
      <c r="HW126" s="198"/>
      <c r="HX126" s="198"/>
      <c r="HY126" s="198"/>
      <c r="HZ126" s="198"/>
      <c r="IA126" s="198"/>
      <c r="IB126" s="198"/>
      <c r="IC126" s="198"/>
      <c r="ID126" s="198"/>
      <c r="IE126" s="198"/>
      <c r="IF126" s="198"/>
      <c r="IG126" s="198"/>
      <c r="IH126" s="198"/>
      <c r="II126" s="198"/>
      <c r="IJ126" s="198"/>
      <c r="IK126" s="198"/>
      <c r="IL126" s="198"/>
      <c r="IM126" s="198"/>
      <c r="IN126" s="198"/>
      <c r="IO126" s="198"/>
      <c r="IP126" s="198"/>
      <c r="IQ126" s="198"/>
      <c r="IR126" s="198"/>
      <c r="IS126" s="198"/>
      <c r="IT126" s="198"/>
      <c r="IU126" s="198"/>
      <c r="IV126" s="198"/>
      <c r="IW126" s="198"/>
      <c r="IX126" s="198"/>
      <c r="IY126" s="198"/>
      <c r="IZ126" s="198"/>
      <c r="JA126" s="198"/>
      <c r="JB126" s="198"/>
      <c r="JC126" s="198"/>
      <c r="JD126" s="198"/>
      <c r="JE126" s="198"/>
      <c r="JF126" s="198"/>
      <c r="JG126" s="198"/>
      <c r="JH126" s="198"/>
      <c r="JI126" s="198"/>
      <c r="JJ126" s="198"/>
      <c r="JK126" s="198"/>
      <c r="JL126" s="198"/>
      <c r="JM126" s="198"/>
      <c r="JN126" s="198"/>
      <c r="JO126" s="198"/>
      <c r="JP126" s="198"/>
      <c r="JQ126" s="198"/>
      <c r="JR126" s="198"/>
      <c r="JS126" s="198"/>
      <c r="JT126" s="198"/>
      <c r="JU126" s="198"/>
      <c r="JV126" s="198"/>
      <c r="JW126" s="198"/>
      <c r="JX126" s="198"/>
      <c r="JY126" s="198"/>
      <c r="JZ126" s="198"/>
      <c r="KA126" s="198"/>
      <c r="KB126" s="198"/>
      <c r="KC126" s="198"/>
      <c r="KD126" s="198"/>
      <c r="KE126" s="198"/>
      <c r="KF126" s="198"/>
      <c r="KG126" s="198"/>
      <c r="KH126" s="198"/>
      <c r="KI126" s="198"/>
      <c r="KJ126" s="198"/>
      <c r="KK126" s="198"/>
      <c r="KL126" s="198"/>
      <c r="KM126" s="198"/>
      <c r="KN126" s="198"/>
      <c r="KO126" s="198"/>
      <c r="KP126" s="198"/>
      <c r="KQ126" s="198"/>
      <c r="KR126" s="198"/>
      <c r="KS126" s="198"/>
      <c r="KT126" s="198"/>
      <c r="KU126" s="198"/>
      <c r="KV126" s="198"/>
      <c r="KW126" s="198"/>
      <c r="KX126" s="198"/>
      <c r="KY126" s="198"/>
      <c r="KZ126" s="198"/>
      <c r="LA126" s="198"/>
      <c r="LB126" s="198"/>
      <c r="LC126" s="198"/>
      <c r="LD126" s="198"/>
      <c r="LE126" s="198"/>
      <c r="LF126" s="198"/>
      <c r="LG126" s="198"/>
      <c r="LH126" s="198"/>
      <c r="LI126" s="198"/>
      <c r="LJ126" s="198"/>
      <c r="LK126" s="198"/>
      <c r="LL126" s="198"/>
      <c r="LM126" s="198"/>
      <c r="LN126" s="198"/>
      <c r="LO126" s="198"/>
      <c r="LP126" s="198"/>
      <c r="LQ126" s="198"/>
      <c r="LR126" s="198"/>
      <c r="LS126" s="198"/>
      <c r="LT126" s="198"/>
      <c r="LU126" s="198"/>
      <c r="LV126" s="198"/>
      <c r="LW126" s="198"/>
      <c r="LX126" s="198"/>
      <c r="LY126" s="198"/>
      <c r="LZ126" s="198"/>
      <c r="MA126" s="198"/>
      <c r="MB126" s="198"/>
      <c r="MC126" s="198"/>
      <c r="MD126" s="198"/>
      <c r="ME126" s="198"/>
      <c r="MF126" s="198"/>
      <c r="MG126" s="198"/>
      <c r="MH126" s="198"/>
      <c r="MI126" s="198"/>
      <c r="MJ126" s="198"/>
      <c r="MK126" s="198"/>
      <c r="ML126" s="198"/>
      <c r="MM126" s="198"/>
      <c r="MN126" s="198"/>
      <c r="MO126" s="198"/>
      <c r="MP126" s="198"/>
      <c r="MQ126" s="198"/>
      <c r="MR126" s="198"/>
      <c r="MS126" s="198"/>
      <c r="MT126" s="198"/>
      <c r="MU126" s="198"/>
      <c r="MV126" s="198"/>
      <c r="MW126" s="198"/>
      <c r="MX126" s="198"/>
      <c r="MY126" s="198"/>
      <c r="MZ126" s="198"/>
      <c r="NA126" s="198"/>
      <c r="NB126" s="198"/>
      <c r="NC126" s="198"/>
      <c r="ND126" s="198"/>
      <c r="NE126" s="198"/>
      <c r="NF126" s="198"/>
      <c r="NG126" s="198"/>
      <c r="NH126" s="198"/>
      <c r="NI126" s="198"/>
      <c r="NJ126" s="198"/>
      <c r="NK126" s="198"/>
      <c r="NL126" s="198"/>
      <c r="NM126" s="198"/>
      <c r="NN126" s="198"/>
      <c r="NO126" s="198"/>
      <c r="NP126" s="198"/>
      <c r="NQ126" s="198"/>
      <c r="NR126" s="198"/>
      <c r="NS126" s="198"/>
      <c r="NT126" s="198"/>
      <c r="NU126" s="198"/>
      <c r="NV126" s="198"/>
      <c r="NW126" s="198"/>
      <c r="NX126" s="198"/>
      <c r="NY126" s="198"/>
      <c r="NZ126" s="198"/>
      <c r="OA126" s="198"/>
      <c r="OB126" s="198"/>
      <c r="OC126" s="198"/>
      <c r="OD126" s="198"/>
      <c r="OE126" s="198"/>
      <c r="OF126" s="198"/>
      <c r="OG126" s="198"/>
      <c r="OH126" s="198"/>
      <c r="OI126" s="198"/>
      <c r="OJ126" s="198"/>
      <c r="OK126" s="198"/>
      <c r="OL126" s="198"/>
      <c r="OM126" s="198"/>
      <c r="ON126" s="198"/>
      <c r="OO126" s="198"/>
      <c r="OP126" s="198"/>
      <c r="OQ126" s="198"/>
      <c r="OR126" s="198"/>
      <c r="OS126" s="198"/>
      <c r="OT126" s="198"/>
      <c r="OU126" s="198"/>
      <c r="OV126" s="198"/>
      <c r="OW126" s="198"/>
      <c r="OX126" s="198"/>
      <c r="OY126" s="198"/>
      <c r="OZ126" s="198"/>
      <c r="PA126" s="198"/>
      <c r="PB126" s="198"/>
      <c r="PC126" s="198"/>
      <c r="PD126" s="198"/>
      <c r="PE126" s="198"/>
      <c r="PF126" s="198"/>
      <c r="PG126" s="198"/>
      <c r="PH126" s="198"/>
      <c r="PI126" s="198"/>
      <c r="PJ126" s="198"/>
      <c r="PK126" s="198"/>
      <c r="PL126" s="198"/>
      <c r="PM126" s="198"/>
      <c r="PN126" s="198"/>
      <c r="PO126" s="198"/>
      <c r="PP126" s="198"/>
      <c r="PQ126" s="198"/>
      <c r="PR126" s="198"/>
      <c r="PS126" s="198"/>
      <c r="PT126" s="198"/>
      <c r="PU126" s="198"/>
      <c r="PV126" s="198"/>
      <c r="PW126" s="198"/>
      <c r="PX126" s="198"/>
      <c r="PY126" s="198"/>
      <c r="PZ126" s="198"/>
      <c r="QA126" s="198"/>
      <c r="QB126" s="198"/>
      <c r="QC126" s="198"/>
      <c r="QD126" s="198"/>
      <c r="QE126" s="198"/>
      <c r="QF126" s="198"/>
      <c r="QG126" s="198"/>
      <c r="QH126" s="198"/>
      <c r="QI126" s="198"/>
      <c r="QJ126" s="198"/>
      <c r="QK126" s="198"/>
      <c r="QL126" s="198"/>
      <c r="QM126" s="198"/>
      <c r="QN126" s="198"/>
      <c r="QO126" s="198"/>
      <c r="QP126" s="198"/>
      <c r="QQ126" s="198"/>
      <c r="QR126" s="198"/>
      <c r="QS126" s="198"/>
      <c r="QT126" s="198"/>
      <c r="QU126" s="198"/>
      <c r="QV126" s="198"/>
      <c r="QW126" s="198"/>
      <c r="QX126" s="198"/>
      <c r="QY126" s="198"/>
      <c r="QZ126" s="198"/>
      <c r="RA126" s="198"/>
      <c r="RB126" s="198"/>
      <c r="RC126" s="198"/>
      <c r="RD126" s="198"/>
      <c r="RE126" s="198"/>
      <c r="RF126" s="198"/>
      <c r="RG126" s="198"/>
      <c r="RH126" s="198"/>
      <c r="RI126" s="198"/>
      <c r="RJ126" s="198"/>
      <c r="RK126" s="198"/>
      <c r="RL126" s="198"/>
      <c r="RM126" s="198"/>
      <c r="RN126" s="198"/>
      <c r="RO126" s="198"/>
      <c r="RP126" s="198"/>
      <c r="RQ126" s="198"/>
      <c r="RR126" s="198"/>
      <c r="RS126" s="198"/>
      <c r="RT126" s="198"/>
      <c r="RU126" s="198"/>
      <c r="RV126" s="198"/>
      <c r="RW126" s="198"/>
      <c r="RX126" s="198"/>
      <c r="RY126" s="198"/>
      <c r="RZ126" s="198"/>
      <c r="SA126" s="198"/>
      <c r="SB126" s="198"/>
      <c r="SC126" s="198"/>
      <c r="SD126" s="198"/>
      <c r="SE126" s="198"/>
      <c r="SF126" s="198"/>
      <c r="SG126" s="198"/>
    </row>
    <row r="127" spans="1:501" ht="40.049999999999997" customHeight="1" thickBot="1" x14ac:dyDescent="0.35">
      <c r="A127" s="544" t="s">
        <v>320</v>
      </c>
      <c r="B127" s="960" t="s">
        <v>321</v>
      </c>
      <c r="C127" s="944"/>
      <c r="D127" s="944"/>
      <c r="E127" s="944"/>
      <c r="F127" s="944"/>
      <c r="G127" s="944"/>
      <c r="H127" s="944"/>
      <c r="I127" s="944"/>
      <c r="J127" s="944"/>
      <c r="K127" s="944"/>
      <c r="L127" s="944"/>
      <c r="M127" s="944"/>
      <c r="N127" s="944"/>
      <c r="O127" s="944"/>
      <c r="P127" s="944"/>
      <c r="Q127" s="944"/>
      <c r="R127" s="944"/>
      <c r="S127" s="944"/>
      <c r="T127" s="944"/>
      <c r="U127" s="944"/>
      <c r="V127" s="944"/>
      <c r="W127" s="944"/>
      <c r="X127" s="944"/>
      <c r="Y127" s="944"/>
      <c r="Z127" s="944"/>
      <c r="AA127" s="944"/>
      <c r="AB127" s="944"/>
      <c r="AC127" s="944"/>
      <c r="AD127" s="944"/>
      <c r="AE127" s="944"/>
      <c r="AF127" s="944"/>
      <c r="AG127" s="944"/>
      <c r="AH127" s="945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  <c r="AS127" s="198"/>
      <c r="AT127" s="198"/>
      <c r="AU127" s="198"/>
      <c r="AV127" s="198"/>
      <c r="AW127" s="198"/>
      <c r="AX127" s="198"/>
      <c r="AY127" s="198"/>
      <c r="AZ127" s="198"/>
      <c r="BA127" s="198"/>
      <c r="BB127" s="198"/>
      <c r="BC127" s="198"/>
      <c r="BD127" s="198"/>
      <c r="BE127" s="198"/>
      <c r="BF127" s="198"/>
      <c r="BG127" s="198"/>
      <c r="BH127" s="198"/>
      <c r="BI127" s="198"/>
      <c r="BJ127" s="198"/>
      <c r="BK127" s="198"/>
      <c r="BL127" s="198"/>
      <c r="BM127" s="198"/>
      <c r="BN127" s="198"/>
      <c r="BO127" s="198"/>
      <c r="BP127" s="198"/>
      <c r="BQ127" s="198"/>
      <c r="BR127" s="198"/>
      <c r="BS127" s="198"/>
      <c r="BT127" s="198"/>
      <c r="BU127" s="198"/>
      <c r="BV127" s="198"/>
      <c r="BW127" s="198"/>
      <c r="BX127" s="198"/>
      <c r="BY127" s="198"/>
      <c r="BZ127" s="198"/>
      <c r="CA127" s="198"/>
      <c r="CB127" s="198"/>
      <c r="CC127" s="198"/>
      <c r="CD127" s="198"/>
      <c r="CE127" s="198"/>
      <c r="CF127" s="198"/>
      <c r="CG127" s="198"/>
      <c r="CH127" s="198"/>
      <c r="CI127" s="198"/>
      <c r="CJ127" s="198"/>
      <c r="CK127" s="198"/>
      <c r="CL127" s="198"/>
      <c r="CM127" s="198"/>
      <c r="CN127" s="198"/>
      <c r="CO127" s="198"/>
      <c r="CP127" s="198"/>
      <c r="CQ127" s="198"/>
      <c r="CR127" s="198"/>
      <c r="CS127" s="198"/>
      <c r="CT127" s="198"/>
      <c r="CU127" s="198"/>
      <c r="CV127" s="198"/>
      <c r="CW127" s="198"/>
      <c r="CX127" s="198"/>
      <c r="CY127" s="198"/>
      <c r="CZ127" s="198"/>
      <c r="DA127" s="198"/>
      <c r="DB127" s="198"/>
      <c r="DC127" s="198"/>
      <c r="DD127" s="198"/>
      <c r="DE127" s="198"/>
      <c r="DF127" s="198"/>
      <c r="DG127" s="198"/>
      <c r="DH127" s="198"/>
      <c r="DI127" s="198"/>
      <c r="DJ127" s="198"/>
      <c r="DK127" s="198"/>
      <c r="DL127" s="198"/>
      <c r="DM127" s="198"/>
      <c r="DN127" s="198"/>
      <c r="DO127" s="198"/>
      <c r="DP127" s="198"/>
      <c r="DQ127" s="198"/>
      <c r="DR127" s="198"/>
      <c r="DS127" s="198"/>
      <c r="DT127" s="198"/>
      <c r="DU127" s="198"/>
      <c r="DV127" s="198"/>
      <c r="DW127" s="198"/>
      <c r="DX127" s="198"/>
      <c r="DY127" s="198"/>
      <c r="DZ127" s="198"/>
      <c r="EA127" s="198"/>
      <c r="EB127" s="198"/>
      <c r="EC127" s="198"/>
      <c r="ED127" s="198"/>
      <c r="EE127" s="198"/>
      <c r="EF127" s="198"/>
      <c r="EG127" s="198"/>
      <c r="EH127" s="198"/>
      <c r="EI127" s="198"/>
      <c r="EJ127" s="198"/>
      <c r="EK127" s="198"/>
      <c r="EL127" s="198"/>
      <c r="EM127" s="198"/>
      <c r="EN127" s="198"/>
      <c r="EO127" s="198"/>
      <c r="EP127" s="198"/>
      <c r="EQ127" s="198"/>
      <c r="ER127" s="198"/>
      <c r="ES127" s="198"/>
      <c r="ET127" s="198"/>
      <c r="EU127" s="198"/>
      <c r="EV127" s="198"/>
      <c r="EW127" s="198"/>
      <c r="EX127" s="198"/>
      <c r="EY127" s="198"/>
      <c r="EZ127" s="198"/>
      <c r="FA127" s="198"/>
      <c r="FB127" s="198"/>
      <c r="FC127" s="198"/>
      <c r="FD127" s="198"/>
      <c r="FE127" s="198"/>
      <c r="FF127" s="198"/>
      <c r="FG127" s="198"/>
      <c r="FH127" s="198"/>
      <c r="FI127" s="198"/>
      <c r="FJ127" s="198"/>
      <c r="FK127" s="198"/>
      <c r="FL127" s="198"/>
      <c r="FM127" s="198"/>
      <c r="FN127" s="198"/>
      <c r="FO127" s="198"/>
      <c r="FP127" s="198"/>
      <c r="FQ127" s="198"/>
      <c r="FR127" s="198"/>
      <c r="FS127" s="198"/>
      <c r="FT127" s="198"/>
      <c r="FU127" s="198"/>
      <c r="FV127" s="198"/>
      <c r="FW127" s="198"/>
      <c r="FX127" s="198"/>
      <c r="FY127" s="198"/>
      <c r="FZ127" s="198"/>
      <c r="GA127" s="198"/>
      <c r="GB127" s="198"/>
      <c r="GC127" s="198"/>
      <c r="GD127" s="198"/>
      <c r="GE127" s="198"/>
      <c r="GF127" s="198"/>
      <c r="GG127" s="198"/>
      <c r="GH127" s="198"/>
      <c r="GI127" s="198"/>
      <c r="GJ127" s="198"/>
      <c r="GK127" s="198"/>
      <c r="GL127" s="198"/>
      <c r="GM127" s="198"/>
      <c r="GN127" s="198"/>
      <c r="GO127" s="198"/>
      <c r="GP127" s="198"/>
      <c r="GQ127" s="198"/>
      <c r="GR127" s="198"/>
      <c r="GS127" s="198"/>
      <c r="GT127" s="198"/>
      <c r="GU127" s="198"/>
      <c r="GV127" s="198"/>
      <c r="GW127" s="198"/>
      <c r="GX127" s="198"/>
      <c r="GY127" s="198"/>
      <c r="GZ127" s="198"/>
      <c r="HA127" s="198"/>
      <c r="HB127" s="198"/>
      <c r="HC127" s="198"/>
      <c r="HD127" s="198"/>
      <c r="HE127" s="198"/>
      <c r="HF127" s="198"/>
      <c r="HG127" s="198"/>
      <c r="HH127" s="198"/>
      <c r="HI127" s="198"/>
      <c r="HJ127" s="198"/>
      <c r="HK127" s="198"/>
      <c r="HL127" s="198"/>
      <c r="HM127" s="198"/>
      <c r="HN127" s="198"/>
      <c r="HO127" s="198"/>
      <c r="HP127" s="198"/>
      <c r="HQ127" s="198"/>
      <c r="HR127" s="198"/>
      <c r="HS127" s="198"/>
      <c r="HT127" s="198"/>
      <c r="HU127" s="198"/>
      <c r="HV127" s="198"/>
      <c r="HW127" s="198"/>
      <c r="HX127" s="198"/>
      <c r="HY127" s="198"/>
      <c r="HZ127" s="198"/>
      <c r="IA127" s="198"/>
      <c r="IB127" s="198"/>
      <c r="IC127" s="198"/>
      <c r="ID127" s="198"/>
      <c r="IE127" s="198"/>
      <c r="IF127" s="198"/>
      <c r="IG127" s="198"/>
      <c r="IH127" s="198"/>
      <c r="II127" s="198"/>
      <c r="IJ127" s="198"/>
      <c r="IK127" s="198"/>
      <c r="IL127" s="198"/>
      <c r="IM127" s="198"/>
      <c r="IN127" s="198"/>
      <c r="IO127" s="198"/>
      <c r="IP127" s="198"/>
      <c r="IQ127" s="198"/>
      <c r="IR127" s="198"/>
      <c r="IS127" s="198"/>
      <c r="IT127" s="198"/>
      <c r="IU127" s="198"/>
      <c r="IV127" s="198"/>
      <c r="IW127" s="198"/>
      <c r="IX127" s="198"/>
      <c r="IY127" s="198"/>
      <c r="IZ127" s="198"/>
      <c r="JA127" s="198"/>
      <c r="JB127" s="198"/>
      <c r="JC127" s="198"/>
      <c r="JD127" s="198"/>
      <c r="JE127" s="198"/>
      <c r="JF127" s="198"/>
      <c r="JG127" s="198"/>
      <c r="JH127" s="198"/>
      <c r="JI127" s="198"/>
      <c r="JJ127" s="198"/>
      <c r="JK127" s="198"/>
      <c r="JL127" s="198"/>
      <c r="JM127" s="198"/>
      <c r="JN127" s="198"/>
      <c r="JO127" s="198"/>
      <c r="JP127" s="198"/>
      <c r="JQ127" s="198"/>
      <c r="JR127" s="198"/>
      <c r="JS127" s="198"/>
      <c r="JT127" s="198"/>
      <c r="JU127" s="198"/>
      <c r="JV127" s="198"/>
      <c r="JW127" s="198"/>
      <c r="JX127" s="198"/>
      <c r="JY127" s="198"/>
      <c r="JZ127" s="198"/>
      <c r="KA127" s="198"/>
      <c r="KB127" s="198"/>
      <c r="KC127" s="198"/>
      <c r="KD127" s="198"/>
      <c r="KE127" s="198"/>
      <c r="KF127" s="198"/>
      <c r="KG127" s="198"/>
      <c r="KH127" s="198"/>
      <c r="KI127" s="198"/>
      <c r="KJ127" s="198"/>
      <c r="KK127" s="198"/>
      <c r="KL127" s="198"/>
      <c r="KM127" s="198"/>
      <c r="KN127" s="198"/>
      <c r="KO127" s="198"/>
      <c r="KP127" s="198"/>
      <c r="KQ127" s="198"/>
      <c r="KR127" s="198"/>
      <c r="KS127" s="198"/>
      <c r="KT127" s="198"/>
      <c r="KU127" s="198"/>
      <c r="KV127" s="198"/>
      <c r="KW127" s="198"/>
      <c r="KX127" s="198"/>
      <c r="KY127" s="198"/>
      <c r="KZ127" s="198"/>
      <c r="LA127" s="198"/>
      <c r="LB127" s="198"/>
      <c r="LC127" s="198"/>
      <c r="LD127" s="198"/>
      <c r="LE127" s="198"/>
      <c r="LF127" s="198"/>
      <c r="LG127" s="198"/>
      <c r="LH127" s="198"/>
      <c r="LI127" s="198"/>
      <c r="LJ127" s="198"/>
      <c r="LK127" s="198"/>
      <c r="LL127" s="198"/>
      <c r="LM127" s="198"/>
      <c r="LN127" s="198"/>
      <c r="LO127" s="198"/>
      <c r="LP127" s="198"/>
      <c r="LQ127" s="198"/>
      <c r="LR127" s="198"/>
      <c r="LS127" s="198"/>
      <c r="LT127" s="198"/>
      <c r="LU127" s="198"/>
      <c r="LV127" s="198"/>
      <c r="LW127" s="198"/>
      <c r="LX127" s="198"/>
      <c r="LY127" s="198"/>
      <c r="LZ127" s="198"/>
      <c r="MA127" s="198"/>
      <c r="MB127" s="198"/>
      <c r="MC127" s="198"/>
      <c r="MD127" s="198"/>
      <c r="ME127" s="198"/>
      <c r="MF127" s="198"/>
      <c r="MG127" s="198"/>
      <c r="MH127" s="198"/>
      <c r="MI127" s="198"/>
      <c r="MJ127" s="198"/>
      <c r="MK127" s="198"/>
      <c r="ML127" s="198"/>
      <c r="MM127" s="198"/>
      <c r="MN127" s="198"/>
      <c r="MO127" s="198"/>
      <c r="MP127" s="198"/>
      <c r="MQ127" s="198"/>
      <c r="MR127" s="198"/>
      <c r="MS127" s="198"/>
      <c r="MT127" s="198"/>
      <c r="MU127" s="198"/>
      <c r="MV127" s="198"/>
      <c r="MW127" s="198"/>
      <c r="MX127" s="198"/>
      <c r="MY127" s="198"/>
      <c r="MZ127" s="198"/>
      <c r="NA127" s="198"/>
      <c r="NB127" s="198"/>
      <c r="NC127" s="198"/>
      <c r="ND127" s="198"/>
      <c r="NE127" s="198"/>
      <c r="NF127" s="198"/>
      <c r="NG127" s="198"/>
      <c r="NH127" s="198"/>
      <c r="NI127" s="198"/>
      <c r="NJ127" s="198"/>
      <c r="NK127" s="198"/>
      <c r="NL127" s="198"/>
      <c r="NM127" s="198"/>
      <c r="NN127" s="198"/>
      <c r="NO127" s="198"/>
      <c r="NP127" s="198"/>
      <c r="NQ127" s="198"/>
      <c r="NR127" s="198"/>
      <c r="NS127" s="198"/>
      <c r="NT127" s="198"/>
      <c r="NU127" s="198"/>
      <c r="NV127" s="198"/>
      <c r="NW127" s="198"/>
      <c r="NX127" s="198"/>
      <c r="NY127" s="198"/>
      <c r="NZ127" s="198"/>
      <c r="OA127" s="198"/>
      <c r="OB127" s="198"/>
      <c r="OC127" s="198"/>
      <c r="OD127" s="198"/>
      <c r="OE127" s="198"/>
      <c r="OF127" s="198"/>
      <c r="OG127" s="198"/>
      <c r="OH127" s="198"/>
      <c r="OI127" s="198"/>
      <c r="OJ127" s="198"/>
      <c r="OK127" s="198"/>
      <c r="OL127" s="198"/>
      <c r="OM127" s="198"/>
      <c r="ON127" s="198"/>
      <c r="OO127" s="198"/>
      <c r="OP127" s="198"/>
      <c r="OQ127" s="198"/>
      <c r="OR127" s="198"/>
      <c r="OS127" s="198"/>
      <c r="OT127" s="198"/>
      <c r="OU127" s="198"/>
      <c r="OV127" s="198"/>
      <c r="OW127" s="198"/>
      <c r="OX127" s="198"/>
      <c r="OY127" s="198"/>
      <c r="OZ127" s="198"/>
      <c r="PA127" s="198"/>
      <c r="PB127" s="198"/>
      <c r="PC127" s="198"/>
      <c r="PD127" s="198"/>
      <c r="PE127" s="198"/>
      <c r="PF127" s="198"/>
      <c r="PG127" s="198"/>
      <c r="PH127" s="198"/>
      <c r="PI127" s="198"/>
      <c r="PJ127" s="198"/>
      <c r="PK127" s="198"/>
      <c r="PL127" s="198"/>
      <c r="PM127" s="198"/>
      <c r="PN127" s="198"/>
      <c r="PO127" s="198"/>
      <c r="PP127" s="198"/>
      <c r="PQ127" s="198"/>
      <c r="PR127" s="198"/>
      <c r="PS127" s="198"/>
      <c r="PT127" s="198"/>
      <c r="PU127" s="198"/>
      <c r="PV127" s="198"/>
      <c r="PW127" s="198"/>
      <c r="PX127" s="198"/>
      <c r="PY127" s="198"/>
      <c r="PZ127" s="198"/>
      <c r="QA127" s="198"/>
      <c r="QB127" s="198"/>
      <c r="QC127" s="198"/>
      <c r="QD127" s="198"/>
      <c r="QE127" s="198"/>
      <c r="QF127" s="198"/>
      <c r="QG127" s="198"/>
      <c r="QH127" s="198"/>
      <c r="QI127" s="198"/>
      <c r="QJ127" s="198"/>
      <c r="QK127" s="198"/>
      <c r="QL127" s="198"/>
      <c r="QM127" s="198"/>
      <c r="QN127" s="198"/>
      <c r="QO127" s="198"/>
      <c r="QP127" s="198"/>
      <c r="QQ127" s="198"/>
      <c r="QR127" s="198"/>
      <c r="QS127" s="198"/>
      <c r="QT127" s="198"/>
      <c r="QU127" s="198"/>
      <c r="QV127" s="198"/>
      <c r="QW127" s="198"/>
      <c r="QX127" s="198"/>
      <c r="QY127" s="198"/>
      <c r="QZ127" s="198"/>
      <c r="RA127" s="198"/>
      <c r="RB127" s="198"/>
      <c r="RC127" s="198"/>
      <c r="RD127" s="198"/>
      <c r="RE127" s="198"/>
      <c r="RF127" s="198"/>
      <c r="RG127" s="198"/>
      <c r="RH127" s="198"/>
      <c r="RI127" s="198"/>
      <c r="RJ127" s="198"/>
      <c r="RK127" s="198"/>
      <c r="RL127" s="198"/>
      <c r="RM127" s="198"/>
      <c r="RN127" s="198"/>
      <c r="RO127" s="198"/>
      <c r="RP127" s="198"/>
      <c r="RQ127" s="198"/>
      <c r="RR127" s="198"/>
      <c r="RS127" s="198"/>
      <c r="RT127" s="198"/>
      <c r="RU127" s="198"/>
      <c r="RV127" s="198"/>
      <c r="RW127" s="198"/>
      <c r="RX127" s="198"/>
      <c r="RY127" s="198"/>
      <c r="RZ127" s="198"/>
      <c r="SA127" s="198"/>
      <c r="SB127" s="198"/>
      <c r="SC127" s="198"/>
      <c r="SD127" s="198"/>
      <c r="SE127" s="198"/>
      <c r="SF127" s="198"/>
      <c r="SG127" s="198"/>
    </row>
    <row r="128" spans="1:501" ht="40.049999999999997" customHeight="1" x14ac:dyDescent="0.3">
      <c r="A128" s="540" t="s">
        <v>322</v>
      </c>
      <c r="B128" s="951" t="s">
        <v>323</v>
      </c>
      <c r="C128" s="944"/>
      <c r="D128" s="944"/>
      <c r="E128" s="944"/>
      <c r="F128" s="944"/>
      <c r="G128" s="944"/>
      <c r="H128" s="944"/>
      <c r="I128" s="944"/>
      <c r="J128" s="944"/>
      <c r="K128" s="944"/>
      <c r="L128" s="944"/>
      <c r="M128" s="944"/>
      <c r="N128" s="944"/>
      <c r="O128" s="944"/>
      <c r="P128" s="944"/>
      <c r="Q128" s="944"/>
      <c r="R128" s="944"/>
      <c r="S128" s="944"/>
      <c r="T128" s="944"/>
      <c r="U128" s="944"/>
      <c r="V128" s="944"/>
      <c r="W128" s="944"/>
      <c r="X128" s="944"/>
      <c r="Y128" s="944"/>
      <c r="Z128" s="944"/>
      <c r="AA128" s="944"/>
      <c r="AB128" s="944"/>
      <c r="AC128" s="944"/>
      <c r="AD128" s="944"/>
      <c r="AE128" s="944"/>
      <c r="AF128" s="944"/>
      <c r="AG128" s="944"/>
      <c r="AH128" s="945"/>
      <c r="AI128" s="198"/>
      <c r="AJ128" s="198"/>
      <c r="AK128" s="198"/>
      <c r="AL128" s="198"/>
      <c r="AM128" s="198"/>
      <c r="AN128" s="198"/>
      <c r="AO128" s="198"/>
      <c r="AP128" s="198"/>
      <c r="AQ128" s="198"/>
      <c r="AR128" s="198"/>
      <c r="AS128" s="198"/>
      <c r="AT128" s="198"/>
      <c r="AU128" s="198"/>
      <c r="AV128" s="198"/>
      <c r="AW128" s="198"/>
      <c r="AX128" s="198"/>
      <c r="AY128" s="198"/>
      <c r="AZ128" s="198"/>
      <c r="BA128" s="198"/>
      <c r="BB128" s="198"/>
      <c r="BC128" s="198"/>
      <c r="BD128" s="198"/>
      <c r="BE128" s="198"/>
      <c r="BF128" s="198"/>
      <c r="BG128" s="198"/>
      <c r="BH128" s="198"/>
      <c r="BI128" s="198"/>
      <c r="BJ128" s="198"/>
      <c r="BK128" s="198"/>
      <c r="BL128" s="198"/>
      <c r="BM128" s="198"/>
      <c r="BN128" s="198"/>
      <c r="BO128" s="198"/>
      <c r="BP128" s="198"/>
      <c r="BQ128" s="198"/>
      <c r="BR128" s="198"/>
      <c r="BS128" s="198"/>
      <c r="BT128" s="198"/>
      <c r="BU128" s="198"/>
      <c r="BV128" s="198"/>
      <c r="BW128" s="198"/>
      <c r="BX128" s="198"/>
      <c r="BY128" s="198"/>
      <c r="BZ128" s="198"/>
      <c r="CA128" s="198"/>
      <c r="CB128" s="198"/>
      <c r="CC128" s="198"/>
      <c r="CD128" s="198"/>
      <c r="CE128" s="198"/>
      <c r="CF128" s="198"/>
      <c r="CG128" s="198"/>
      <c r="CH128" s="198"/>
      <c r="CI128" s="198"/>
      <c r="CJ128" s="198"/>
      <c r="CK128" s="198"/>
      <c r="CL128" s="198"/>
      <c r="CM128" s="198"/>
      <c r="CN128" s="198"/>
      <c r="CO128" s="198"/>
      <c r="CP128" s="198"/>
      <c r="CQ128" s="198"/>
      <c r="CR128" s="198"/>
      <c r="CS128" s="198"/>
      <c r="CT128" s="198"/>
      <c r="CU128" s="198"/>
      <c r="CV128" s="198"/>
      <c r="CW128" s="198"/>
      <c r="CX128" s="198"/>
      <c r="CY128" s="198"/>
      <c r="CZ128" s="198"/>
      <c r="DA128" s="198"/>
      <c r="DB128" s="198"/>
      <c r="DC128" s="198"/>
      <c r="DD128" s="198"/>
      <c r="DE128" s="198"/>
      <c r="DF128" s="198"/>
      <c r="DG128" s="198"/>
      <c r="DH128" s="198"/>
      <c r="DI128" s="198"/>
      <c r="DJ128" s="198"/>
      <c r="DK128" s="198"/>
      <c r="DL128" s="198"/>
      <c r="DM128" s="198"/>
      <c r="DN128" s="198"/>
      <c r="DO128" s="198"/>
      <c r="DP128" s="198"/>
      <c r="DQ128" s="198"/>
      <c r="DR128" s="198"/>
      <c r="DS128" s="198"/>
      <c r="DT128" s="198"/>
      <c r="DU128" s="198"/>
      <c r="DV128" s="198"/>
      <c r="DW128" s="198"/>
      <c r="DX128" s="198"/>
      <c r="DY128" s="198"/>
      <c r="DZ128" s="198"/>
      <c r="EA128" s="198"/>
      <c r="EB128" s="198"/>
      <c r="EC128" s="198"/>
      <c r="ED128" s="198"/>
      <c r="EE128" s="198"/>
      <c r="EF128" s="198"/>
      <c r="EG128" s="198"/>
      <c r="EH128" s="198"/>
      <c r="EI128" s="198"/>
      <c r="EJ128" s="198"/>
      <c r="EK128" s="198"/>
      <c r="EL128" s="198"/>
      <c r="EM128" s="198"/>
      <c r="EN128" s="198"/>
      <c r="EO128" s="198"/>
      <c r="EP128" s="198"/>
      <c r="EQ128" s="198"/>
      <c r="ER128" s="198"/>
      <c r="ES128" s="198"/>
      <c r="ET128" s="198"/>
      <c r="EU128" s="198"/>
      <c r="EV128" s="198"/>
      <c r="EW128" s="198"/>
      <c r="EX128" s="198"/>
      <c r="EY128" s="198"/>
      <c r="EZ128" s="198"/>
      <c r="FA128" s="198"/>
      <c r="FB128" s="198"/>
      <c r="FC128" s="198"/>
      <c r="FD128" s="198"/>
      <c r="FE128" s="198"/>
      <c r="FF128" s="198"/>
      <c r="FG128" s="198"/>
      <c r="FH128" s="198"/>
      <c r="FI128" s="198"/>
      <c r="FJ128" s="198"/>
      <c r="FK128" s="198"/>
      <c r="FL128" s="198"/>
      <c r="FM128" s="198"/>
      <c r="FN128" s="198"/>
      <c r="FO128" s="198"/>
      <c r="FP128" s="198"/>
      <c r="FQ128" s="198"/>
      <c r="FR128" s="198"/>
      <c r="FS128" s="198"/>
      <c r="FT128" s="198"/>
      <c r="FU128" s="198"/>
      <c r="FV128" s="198"/>
      <c r="FW128" s="198"/>
      <c r="FX128" s="198"/>
      <c r="FY128" s="198"/>
      <c r="FZ128" s="198"/>
      <c r="GA128" s="198"/>
      <c r="GB128" s="198"/>
      <c r="GC128" s="198"/>
      <c r="GD128" s="198"/>
      <c r="GE128" s="198"/>
      <c r="GF128" s="198"/>
      <c r="GG128" s="198"/>
      <c r="GH128" s="198"/>
      <c r="GI128" s="198"/>
      <c r="GJ128" s="198"/>
      <c r="GK128" s="198"/>
      <c r="GL128" s="198"/>
      <c r="GM128" s="198"/>
      <c r="GN128" s="198"/>
      <c r="GO128" s="198"/>
      <c r="GP128" s="198"/>
      <c r="GQ128" s="198"/>
      <c r="GR128" s="198"/>
      <c r="GS128" s="198"/>
      <c r="GT128" s="198"/>
      <c r="GU128" s="198"/>
      <c r="GV128" s="198"/>
      <c r="GW128" s="198"/>
      <c r="GX128" s="198"/>
      <c r="GY128" s="198"/>
      <c r="GZ128" s="198"/>
      <c r="HA128" s="198"/>
      <c r="HB128" s="198"/>
      <c r="HC128" s="198"/>
      <c r="HD128" s="198"/>
      <c r="HE128" s="198"/>
      <c r="HF128" s="198"/>
      <c r="HG128" s="198"/>
      <c r="HH128" s="198"/>
      <c r="HI128" s="198"/>
      <c r="HJ128" s="198"/>
      <c r="HK128" s="198"/>
      <c r="HL128" s="198"/>
      <c r="HM128" s="198"/>
      <c r="HN128" s="198"/>
      <c r="HO128" s="198"/>
      <c r="HP128" s="198"/>
      <c r="HQ128" s="198"/>
      <c r="HR128" s="198"/>
      <c r="HS128" s="198"/>
      <c r="HT128" s="198"/>
      <c r="HU128" s="198"/>
      <c r="HV128" s="198"/>
      <c r="HW128" s="198"/>
      <c r="HX128" s="198"/>
      <c r="HY128" s="198"/>
      <c r="HZ128" s="198"/>
      <c r="IA128" s="198"/>
      <c r="IB128" s="198"/>
      <c r="IC128" s="198"/>
      <c r="ID128" s="198"/>
      <c r="IE128" s="198"/>
      <c r="IF128" s="198"/>
      <c r="IG128" s="198"/>
      <c r="IH128" s="198"/>
      <c r="II128" s="198"/>
      <c r="IJ128" s="198"/>
      <c r="IK128" s="198"/>
      <c r="IL128" s="198"/>
      <c r="IM128" s="198"/>
      <c r="IN128" s="198"/>
      <c r="IO128" s="198"/>
      <c r="IP128" s="198"/>
      <c r="IQ128" s="198"/>
      <c r="IR128" s="198"/>
      <c r="IS128" s="198"/>
      <c r="IT128" s="198"/>
      <c r="IU128" s="198"/>
      <c r="IV128" s="198"/>
      <c r="IW128" s="198"/>
      <c r="IX128" s="198"/>
      <c r="IY128" s="198"/>
      <c r="IZ128" s="198"/>
      <c r="JA128" s="198"/>
      <c r="JB128" s="198"/>
      <c r="JC128" s="198"/>
      <c r="JD128" s="198"/>
      <c r="JE128" s="198"/>
      <c r="JF128" s="198"/>
      <c r="JG128" s="198"/>
      <c r="JH128" s="198"/>
      <c r="JI128" s="198"/>
      <c r="JJ128" s="198"/>
      <c r="JK128" s="198"/>
      <c r="JL128" s="198"/>
      <c r="JM128" s="198"/>
      <c r="JN128" s="198"/>
      <c r="JO128" s="198"/>
      <c r="JP128" s="198"/>
      <c r="JQ128" s="198"/>
      <c r="JR128" s="198"/>
      <c r="JS128" s="198"/>
      <c r="JT128" s="198"/>
      <c r="JU128" s="198"/>
      <c r="JV128" s="198"/>
      <c r="JW128" s="198"/>
      <c r="JX128" s="198"/>
      <c r="JY128" s="198"/>
      <c r="JZ128" s="198"/>
      <c r="KA128" s="198"/>
      <c r="KB128" s="198"/>
      <c r="KC128" s="198"/>
      <c r="KD128" s="198"/>
      <c r="KE128" s="198"/>
      <c r="KF128" s="198"/>
      <c r="KG128" s="198"/>
      <c r="KH128" s="198"/>
      <c r="KI128" s="198"/>
      <c r="KJ128" s="198"/>
      <c r="KK128" s="198"/>
      <c r="KL128" s="198"/>
      <c r="KM128" s="198"/>
      <c r="KN128" s="198"/>
      <c r="KO128" s="198"/>
      <c r="KP128" s="198"/>
      <c r="KQ128" s="198"/>
      <c r="KR128" s="198"/>
      <c r="KS128" s="198"/>
      <c r="KT128" s="198"/>
      <c r="KU128" s="198"/>
      <c r="KV128" s="198"/>
      <c r="KW128" s="198"/>
      <c r="KX128" s="198"/>
      <c r="KY128" s="198"/>
      <c r="KZ128" s="198"/>
      <c r="LA128" s="198"/>
      <c r="LB128" s="198"/>
      <c r="LC128" s="198"/>
      <c r="LD128" s="198"/>
      <c r="LE128" s="198"/>
      <c r="LF128" s="198"/>
      <c r="LG128" s="198"/>
      <c r="LH128" s="198"/>
      <c r="LI128" s="198"/>
      <c r="LJ128" s="198"/>
      <c r="LK128" s="198"/>
      <c r="LL128" s="198"/>
      <c r="LM128" s="198"/>
      <c r="LN128" s="198"/>
      <c r="LO128" s="198"/>
      <c r="LP128" s="198"/>
      <c r="LQ128" s="198"/>
      <c r="LR128" s="198"/>
      <c r="LS128" s="198"/>
      <c r="LT128" s="198"/>
      <c r="LU128" s="198"/>
      <c r="LV128" s="198"/>
      <c r="LW128" s="198"/>
      <c r="LX128" s="198"/>
      <c r="LY128" s="198"/>
      <c r="LZ128" s="198"/>
      <c r="MA128" s="198"/>
      <c r="MB128" s="198"/>
      <c r="MC128" s="198"/>
      <c r="MD128" s="198"/>
      <c r="ME128" s="198"/>
      <c r="MF128" s="198"/>
      <c r="MG128" s="198"/>
      <c r="MH128" s="198"/>
      <c r="MI128" s="198"/>
      <c r="MJ128" s="198"/>
      <c r="MK128" s="198"/>
      <c r="ML128" s="198"/>
      <c r="MM128" s="198"/>
      <c r="MN128" s="198"/>
      <c r="MO128" s="198"/>
      <c r="MP128" s="198"/>
      <c r="MQ128" s="198"/>
      <c r="MR128" s="198"/>
      <c r="MS128" s="198"/>
      <c r="MT128" s="198"/>
      <c r="MU128" s="198"/>
      <c r="MV128" s="198"/>
      <c r="MW128" s="198"/>
      <c r="MX128" s="198"/>
      <c r="MY128" s="198"/>
      <c r="MZ128" s="198"/>
      <c r="NA128" s="198"/>
      <c r="NB128" s="198"/>
      <c r="NC128" s="198"/>
      <c r="ND128" s="198"/>
      <c r="NE128" s="198"/>
      <c r="NF128" s="198"/>
      <c r="NG128" s="198"/>
      <c r="NH128" s="198"/>
      <c r="NI128" s="198"/>
      <c r="NJ128" s="198"/>
      <c r="NK128" s="198"/>
      <c r="NL128" s="198"/>
      <c r="NM128" s="198"/>
      <c r="NN128" s="198"/>
      <c r="NO128" s="198"/>
      <c r="NP128" s="198"/>
      <c r="NQ128" s="198"/>
      <c r="NR128" s="198"/>
      <c r="NS128" s="198"/>
      <c r="NT128" s="198"/>
      <c r="NU128" s="198"/>
      <c r="NV128" s="198"/>
      <c r="NW128" s="198"/>
      <c r="NX128" s="198"/>
      <c r="NY128" s="198"/>
      <c r="NZ128" s="198"/>
      <c r="OA128" s="198"/>
      <c r="OB128" s="198"/>
      <c r="OC128" s="198"/>
      <c r="OD128" s="198"/>
      <c r="OE128" s="198"/>
      <c r="OF128" s="198"/>
      <c r="OG128" s="198"/>
      <c r="OH128" s="198"/>
      <c r="OI128" s="198"/>
      <c r="OJ128" s="198"/>
      <c r="OK128" s="198"/>
      <c r="OL128" s="198"/>
      <c r="OM128" s="198"/>
      <c r="ON128" s="198"/>
      <c r="OO128" s="198"/>
      <c r="OP128" s="198"/>
      <c r="OQ128" s="198"/>
      <c r="OR128" s="198"/>
      <c r="OS128" s="198"/>
      <c r="OT128" s="198"/>
      <c r="OU128" s="198"/>
      <c r="OV128" s="198"/>
      <c r="OW128" s="198"/>
      <c r="OX128" s="198"/>
      <c r="OY128" s="198"/>
      <c r="OZ128" s="198"/>
      <c r="PA128" s="198"/>
      <c r="PB128" s="198"/>
      <c r="PC128" s="198"/>
      <c r="PD128" s="198"/>
      <c r="PE128" s="198"/>
      <c r="PF128" s="198"/>
      <c r="PG128" s="198"/>
      <c r="PH128" s="198"/>
      <c r="PI128" s="198"/>
      <c r="PJ128" s="198"/>
      <c r="PK128" s="198"/>
      <c r="PL128" s="198"/>
      <c r="PM128" s="198"/>
      <c r="PN128" s="198"/>
      <c r="PO128" s="198"/>
      <c r="PP128" s="198"/>
      <c r="PQ128" s="198"/>
      <c r="PR128" s="198"/>
      <c r="PS128" s="198"/>
      <c r="PT128" s="198"/>
      <c r="PU128" s="198"/>
      <c r="PV128" s="198"/>
      <c r="PW128" s="198"/>
      <c r="PX128" s="198"/>
      <c r="PY128" s="198"/>
      <c r="PZ128" s="198"/>
      <c r="QA128" s="198"/>
      <c r="QB128" s="198"/>
      <c r="QC128" s="198"/>
      <c r="QD128" s="198"/>
      <c r="QE128" s="198"/>
      <c r="QF128" s="198"/>
      <c r="QG128" s="198"/>
      <c r="QH128" s="198"/>
      <c r="QI128" s="198"/>
      <c r="QJ128" s="198"/>
      <c r="QK128" s="198"/>
      <c r="QL128" s="198"/>
      <c r="QM128" s="198"/>
      <c r="QN128" s="198"/>
      <c r="QO128" s="198"/>
      <c r="QP128" s="198"/>
      <c r="QQ128" s="198"/>
      <c r="QR128" s="198"/>
      <c r="QS128" s="198"/>
      <c r="QT128" s="198"/>
      <c r="QU128" s="198"/>
      <c r="QV128" s="198"/>
      <c r="QW128" s="198"/>
      <c r="QX128" s="198"/>
      <c r="QY128" s="198"/>
      <c r="QZ128" s="198"/>
      <c r="RA128" s="198"/>
      <c r="RB128" s="198"/>
      <c r="RC128" s="198"/>
      <c r="RD128" s="198"/>
      <c r="RE128" s="198"/>
      <c r="RF128" s="198"/>
      <c r="RG128" s="198"/>
      <c r="RH128" s="198"/>
      <c r="RI128" s="198"/>
      <c r="RJ128" s="198"/>
      <c r="RK128" s="198"/>
      <c r="RL128" s="198"/>
      <c r="RM128" s="198"/>
      <c r="RN128" s="198"/>
      <c r="RO128" s="198"/>
      <c r="RP128" s="198"/>
      <c r="RQ128" s="198"/>
      <c r="RR128" s="198"/>
      <c r="RS128" s="198"/>
      <c r="RT128" s="198"/>
      <c r="RU128" s="198"/>
      <c r="RV128" s="198"/>
      <c r="RW128" s="198"/>
      <c r="RX128" s="198"/>
      <c r="RY128" s="198"/>
      <c r="RZ128" s="198"/>
      <c r="SA128" s="198"/>
      <c r="SB128" s="198"/>
      <c r="SC128" s="198"/>
      <c r="SD128" s="198"/>
      <c r="SE128" s="198"/>
      <c r="SF128" s="198"/>
      <c r="SG128" s="198"/>
    </row>
    <row r="129" spans="1:501" ht="40.049999999999997" customHeight="1" x14ac:dyDescent="0.3">
      <c r="A129" s="543" t="s">
        <v>324</v>
      </c>
      <c r="B129" s="956" t="s">
        <v>325</v>
      </c>
      <c r="C129" s="950"/>
      <c r="D129" s="861"/>
      <c r="E129" s="862"/>
      <c r="F129" s="861"/>
      <c r="G129" s="863">
        <f>MANZ.C!AL131</f>
        <v>0</v>
      </c>
      <c r="H129" s="861"/>
      <c r="I129" s="862"/>
      <c r="J129" s="861"/>
      <c r="K129" s="862"/>
      <c r="L129" s="861"/>
      <c r="M129" s="862"/>
      <c r="N129" s="861"/>
      <c r="O129" s="862">
        <f>MANZ.G!AT127</f>
        <v>0</v>
      </c>
      <c r="P129" s="861"/>
      <c r="Q129" s="862"/>
      <c r="R129" s="861"/>
      <c r="S129" s="862"/>
      <c r="T129" s="861"/>
      <c r="U129" s="862"/>
      <c r="V129" s="861"/>
      <c r="W129" s="862"/>
      <c r="X129" s="861"/>
      <c r="Y129" s="862"/>
      <c r="Z129" s="861"/>
      <c r="AA129" s="862"/>
      <c r="AB129" s="864"/>
      <c r="AC129" s="864"/>
      <c r="AD129" s="864"/>
      <c r="AE129" s="864"/>
      <c r="AF129" s="861"/>
      <c r="AG129" s="865">
        <f t="shared" ref="AG129:AG140" si="2">SUM(C129:AA129)</f>
        <v>0</v>
      </c>
      <c r="AH129" s="866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  <c r="AS129" s="198"/>
      <c r="AT129" s="198"/>
      <c r="AU129" s="198"/>
      <c r="AV129" s="198"/>
      <c r="AW129" s="198"/>
      <c r="AX129" s="198"/>
      <c r="AY129" s="198"/>
      <c r="AZ129" s="198"/>
      <c r="BA129" s="198"/>
      <c r="BB129" s="198"/>
      <c r="BC129" s="198"/>
      <c r="BD129" s="198"/>
      <c r="BE129" s="198"/>
      <c r="BF129" s="198"/>
      <c r="BG129" s="198"/>
      <c r="BH129" s="198"/>
      <c r="BI129" s="198"/>
      <c r="BJ129" s="198"/>
      <c r="BK129" s="198"/>
      <c r="BL129" s="198"/>
      <c r="BM129" s="198"/>
      <c r="BN129" s="198"/>
      <c r="BO129" s="198"/>
      <c r="BP129" s="198"/>
      <c r="BQ129" s="198"/>
      <c r="BR129" s="198"/>
      <c r="BS129" s="198"/>
      <c r="BT129" s="198"/>
      <c r="BU129" s="198"/>
      <c r="BV129" s="198"/>
      <c r="BW129" s="198"/>
      <c r="BX129" s="198"/>
      <c r="BY129" s="198"/>
      <c r="BZ129" s="198"/>
      <c r="CA129" s="198"/>
      <c r="CB129" s="198"/>
      <c r="CC129" s="198"/>
      <c r="CD129" s="198"/>
      <c r="CE129" s="198"/>
      <c r="CF129" s="198"/>
      <c r="CG129" s="198"/>
      <c r="CH129" s="198"/>
      <c r="CI129" s="198"/>
      <c r="CJ129" s="198"/>
      <c r="CK129" s="198"/>
      <c r="CL129" s="198"/>
      <c r="CM129" s="198"/>
      <c r="CN129" s="198"/>
      <c r="CO129" s="198"/>
      <c r="CP129" s="198"/>
      <c r="CQ129" s="198"/>
      <c r="CR129" s="198"/>
      <c r="CS129" s="198"/>
      <c r="CT129" s="198"/>
      <c r="CU129" s="198"/>
      <c r="CV129" s="198"/>
      <c r="CW129" s="198"/>
      <c r="CX129" s="198"/>
      <c r="CY129" s="198"/>
      <c r="CZ129" s="198"/>
      <c r="DA129" s="198"/>
      <c r="DB129" s="198"/>
      <c r="DC129" s="198"/>
      <c r="DD129" s="198"/>
      <c r="DE129" s="198"/>
      <c r="DF129" s="198"/>
      <c r="DG129" s="198"/>
      <c r="DH129" s="198"/>
      <c r="DI129" s="198"/>
      <c r="DJ129" s="198"/>
      <c r="DK129" s="198"/>
      <c r="DL129" s="198"/>
      <c r="DM129" s="198"/>
      <c r="DN129" s="198"/>
      <c r="DO129" s="198"/>
      <c r="DP129" s="198"/>
      <c r="DQ129" s="198"/>
      <c r="DR129" s="198"/>
      <c r="DS129" s="198"/>
      <c r="DT129" s="198"/>
      <c r="DU129" s="198"/>
      <c r="DV129" s="198"/>
      <c r="DW129" s="198"/>
      <c r="DX129" s="198"/>
      <c r="DY129" s="198"/>
      <c r="DZ129" s="198"/>
      <c r="EA129" s="198"/>
      <c r="EB129" s="198"/>
      <c r="EC129" s="198"/>
      <c r="ED129" s="198"/>
      <c r="EE129" s="198"/>
      <c r="EF129" s="198"/>
      <c r="EG129" s="198"/>
      <c r="EH129" s="198"/>
      <c r="EI129" s="198"/>
      <c r="EJ129" s="198"/>
      <c r="EK129" s="198"/>
      <c r="EL129" s="198"/>
      <c r="EM129" s="198"/>
      <c r="EN129" s="198"/>
      <c r="EO129" s="198"/>
      <c r="EP129" s="198"/>
      <c r="EQ129" s="198"/>
      <c r="ER129" s="198"/>
      <c r="ES129" s="198"/>
      <c r="ET129" s="198"/>
      <c r="EU129" s="198"/>
      <c r="EV129" s="198"/>
      <c r="EW129" s="198"/>
      <c r="EX129" s="198"/>
      <c r="EY129" s="198"/>
      <c r="EZ129" s="198"/>
      <c r="FA129" s="198"/>
      <c r="FB129" s="198"/>
      <c r="FC129" s="198"/>
      <c r="FD129" s="198"/>
      <c r="FE129" s="198"/>
      <c r="FF129" s="198"/>
      <c r="FG129" s="198"/>
      <c r="FH129" s="198"/>
      <c r="FI129" s="198"/>
      <c r="FJ129" s="198"/>
      <c r="FK129" s="198"/>
      <c r="FL129" s="198"/>
      <c r="FM129" s="198"/>
      <c r="FN129" s="198"/>
      <c r="FO129" s="198"/>
      <c r="FP129" s="198"/>
      <c r="FQ129" s="198"/>
      <c r="FR129" s="198"/>
      <c r="FS129" s="198"/>
      <c r="FT129" s="198"/>
      <c r="FU129" s="198"/>
      <c r="FV129" s="198"/>
      <c r="FW129" s="198"/>
      <c r="FX129" s="198"/>
      <c r="FY129" s="198"/>
      <c r="FZ129" s="198"/>
      <c r="GA129" s="198"/>
      <c r="GB129" s="198"/>
      <c r="GC129" s="198"/>
      <c r="GD129" s="198"/>
      <c r="GE129" s="198"/>
      <c r="GF129" s="198"/>
      <c r="GG129" s="198"/>
      <c r="GH129" s="198"/>
      <c r="GI129" s="198"/>
      <c r="GJ129" s="198"/>
      <c r="GK129" s="198"/>
      <c r="GL129" s="198"/>
      <c r="GM129" s="198"/>
      <c r="GN129" s="198"/>
      <c r="GO129" s="198"/>
      <c r="GP129" s="198"/>
      <c r="GQ129" s="198"/>
      <c r="GR129" s="198"/>
      <c r="GS129" s="198"/>
      <c r="GT129" s="198"/>
      <c r="GU129" s="198"/>
      <c r="GV129" s="198"/>
      <c r="GW129" s="198"/>
      <c r="GX129" s="198"/>
      <c r="GY129" s="198"/>
      <c r="GZ129" s="198"/>
      <c r="HA129" s="198"/>
      <c r="HB129" s="198"/>
      <c r="HC129" s="198"/>
      <c r="HD129" s="198"/>
      <c r="HE129" s="198"/>
      <c r="HF129" s="198"/>
      <c r="HG129" s="198"/>
      <c r="HH129" s="198"/>
      <c r="HI129" s="198"/>
      <c r="HJ129" s="198"/>
      <c r="HK129" s="198"/>
      <c r="HL129" s="198"/>
      <c r="HM129" s="198"/>
      <c r="HN129" s="198"/>
      <c r="HO129" s="198"/>
      <c r="HP129" s="198"/>
      <c r="HQ129" s="198"/>
      <c r="HR129" s="198"/>
      <c r="HS129" s="198"/>
      <c r="HT129" s="198"/>
      <c r="HU129" s="198"/>
      <c r="HV129" s="198"/>
      <c r="HW129" s="198"/>
      <c r="HX129" s="198"/>
      <c r="HY129" s="198"/>
      <c r="HZ129" s="198"/>
      <c r="IA129" s="198"/>
      <c r="IB129" s="198"/>
      <c r="IC129" s="198"/>
      <c r="ID129" s="198"/>
      <c r="IE129" s="198"/>
      <c r="IF129" s="198"/>
      <c r="IG129" s="198"/>
      <c r="IH129" s="198"/>
      <c r="II129" s="198"/>
      <c r="IJ129" s="198"/>
      <c r="IK129" s="198"/>
      <c r="IL129" s="198"/>
      <c r="IM129" s="198"/>
      <c r="IN129" s="198"/>
      <c r="IO129" s="198"/>
      <c r="IP129" s="198"/>
      <c r="IQ129" s="198"/>
      <c r="IR129" s="198"/>
      <c r="IS129" s="198"/>
      <c r="IT129" s="198"/>
      <c r="IU129" s="198"/>
      <c r="IV129" s="198"/>
      <c r="IW129" s="198"/>
      <c r="IX129" s="198"/>
      <c r="IY129" s="198"/>
      <c r="IZ129" s="198"/>
      <c r="JA129" s="198"/>
      <c r="JB129" s="198"/>
      <c r="JC129" s="198"/>
      <c r="JD129" s="198"/>
      <c r="JE129" s="198"/>
      <c r="JF129" s="198"/>
      <c r="JG129" s="198"/>
      <c r="JH129" s="198"/>
      <c r="JI129" s="198"/>
      <c r="JJ129" s="198"/>
      <c r="JK129" s="198"/>
      <c r="JL129" s="198"/>
      <c r="JM129" s="198"/>
      <c r="JN129" s="198"/>
      <c r="JO129" s="198"/>
      <c r="JP129" s="198"/>
      <c r="JQ129" s="198"/>
      <c r="JR129" s="198"/>
      <c r="JS129" s="198"/>
      <c r="JT129" s="198"/>
      <c r="JU129" s="198"/>
      <c r="JV129" s="198"/>
      <c r="JW129" s="198"/>
      <c r="JX129" s="198"/>
      <c r="JY129" s="198"/>
      <c r="JZ129" s="198"/>
      <c r="KA129" s="198"/>
      <c r="KB129" s="198"/>
      <c r="KC129" s="198"/>
      <c r="KD129" s="198"/>
      <c r="KE129" s="198"/>
      <c r="KF129" s="198"/>
      <c r="KG129" s="198"/>
      <c r="KH129" s="198"/>
      <c r="KI129" s="198"/>
      <c r="KJ129" s="198"/>
      <c r="KK129" s="198"/>
      <c r="KL129" s="198"/>
      <c r="KM129" s="198"/>
      <c r="KN129" s="198"/>
      <c r="KO129" s="198"/>
      <c r="KP129" s="198"/>
      <c r="KQ129" s="198"/>
      <c r="KR129" s="198"/>
      <c r="KS129" s="198"/>
      <c r="KT129" s="198"/>
      <c r="KU129" s="198"/>
      <c r="KV129" s="198"/>
      <c r="KW129" s="198"/>
      <c r="KX129" s="198"/>
      <c r="KY129" s="198"/>
      <c r="KZ129" s="198"/>
      <c r="LA129" s="198"/>
      <c r="LB129" s="198"/>
      <c r="LC129" s="198"/>
      <c r="LD129" s="198"/>
      <c r="LE129" s="198"/>
      <c r="LF129" s="198"/>
      <c r="LG129" s="198"/>
      <c r="LH129" s="198"/>
      <c r="LI129" s="198"/>
      <c r="LJ129" s="198"/>
      <c r="LK129" s="198"/>
      <c r="LL129" s="198"/>
      <c r="LM129" s="198"/>
      <c r="LN129" s="198"/>
      <c r="LO129" s="198"/>
      <c r="LP129" s="198"/>
      <c r="LQ129" s="198"/>
      <c r="LR129" s="198"/>
      <c r="LS129" s="198"/>
      <c r="LT129" s="198"/>
      <c r="LU129" s="198"/>
      <c r="LV129" s="198"/>
      <c r="LW129" s="198"/>
      <c r="LX129" s="198"/>
      <c r="LY129" s="198"/>
      <c r="LZ129" s="198"/>
      <c r="MA129" s="198"/>
      <c r="MB129" s="198"/>
      <c r="MC129" s="198"/>
      <c r="MD129" s="198"/>
      <c r="ME129" s="198"/>
      <c r="MF129" s="198"/>
      <c r="MG129" s="198"/>
      <c r="MH129" s="198"/>
      <c r="MI129" s="198"/>
      <c r="MJ129" s="198"/>
      <c r="MK129" s="198"/>
      <c r="ML129" s="198"/>
      <c r="MM129" s="198"/>
      <c r="MN129" s="198"/>
      <c r="MO129" s="198"/>
      <c r="MP129" s="198"/>
      <c r="MQ129" s="198"/>
      <c r="MR129" s="198"/>
      <c r="MS129" s="198"/>
      <c r="MT129" s="198"/>
      <c r="MU129" s="198"/>
      <c r="MV129" s="198"/>
      <c r="MW129" s="198"/>
      <c r="MX129" s="198"/>
      <c r="MY129" s="198"/>
      <c r="MZ129" s="198"/>
      <c r="NA129" s="198"/>
      <c r="NB129" s="198"/>
      <c r="NC129" s="198"/>
      <c r="ND129" s="198"/>
      <c r="NE129" s="198"/>
      <c r="NF129" s="198"/>
      <c r="NG129" s="198"/>
      <c r="NH129" s="198"/>
      <c r="NI129" s="198"/>
      <c r="NJ129" s="198"/>
      <c r="NK129" s="198"/>
      <c r="NL129" s="198"/>
      <c r="NM129" s="198"/>
      <c r="NN129" s="198"/>
      <c r="NO129" s="198"/>
      <c r="NP129" s="198"/>
      <c r="NQ129" s="198"/>
      <c r="NR129" s="198"/>
      <c r="NS129" s="198"/>
      <c r="NT129" s="198"/>
      <c r="NU129" s="198"/>
      <c r="NV129" s="198"/>
      <c r="NW129" s="198"/>
      <c r="NX129" s="198"/>
      <c r="NY129" s="198"/>
      <c r="NZ129" s="198"/>
      <c r="OA129" s="198"/>
      <c r="OB129" s="198"/>
      <c r="OC129" s="198"/>
      <c r="OD129" s="198"/>
      <c r="OE129" s="198"/>
      <c r="OF129" s="198"/>
      <c r="OG129" s="198"/>
      <c r="OH129" s="198"/>
      <c r="OI129" s="198"/>
      <c r="OJ129" s="198"/>
      <c r="OK129" s="198"/>
      <c r="OL129" s="198"/>
      <c r="OM129" s="198"/>
      <c r="ON129" s="198"/>
      <c r="OO129" s="198"/>
      <c r="OP129" s="198"/>
      <c r="OQ129" s="198"/>
      <c r="OR129" s="198"/>
      <c r="OS129" s="198"/>
      <c r="OT129" s="198"/>
      <c r="OU129" s="198"/>
      <c r="OV129" s="198"/>
      <c r="OW129" s="198"/>
      <c r="OX129" s="198"/>
      <c r="OY129" s="198"/>
      <c r="OZ129" s="198"/>
      <c r="PA129" s="198"/>
      <c r="PB129" s="198"/>
      <c r="PC129" s="198"/>
      <c r="PD129" s="198"/>
      <c r="PE129" s="198"/>
      <c r="PF129" s="198"/>
      <c r="PG129" s="198"/>
      <c r="PH129" s="198"/>
      <c r="PI129" s="198"/>
      <c r="PJ129" s="198"/>
      <c r="PK129" s="198"/>
      <c r="PL129" s="198"/>
      <c r="PM129" s="198"/>
      <c r="PN129" s="198"/>
      <c r="PO129" s="198"/>
      <c r="PP129" s="198"/>
      <c r="PQ129" s="198"/>
      <c r="PR129" s="198"/>
      <c r="PS129" s="198"/>
      <c r="PT129" s="198"/>
      <c r="PU129" s="198"/>
      <c r="PV129" s="198"/>
      <c r="PW129" s="198"/>
      <c r="PX129" s="198"/>
      <c r="PY129" s="198"/>
      <c r="PZ129" s="198"/>
      <c r="QA129" s="198"/>
      <c r="QB129" s="198"/>
      <c r="QC129" s="198"/>
      <c r="QD129" s="198"/>
      <c r="QE129" s="198"/>
      <c r="QF129" s="198"/>
      <c r="QG129" s="198"/>
      <c r="QH129" s="198"/>
      <c r="QI129" s="198"/>
      <c r="QJ129" s="198"/>
      <c r="QK129" s="198"/>
      <c r="QL129" s="198"/>
      <c r="QM129" s="198"/>
      <c r="QN129" s="198"/>
      <c r="QO129" s="198"/>
      <c r="QP129" s="198"/>
      <c r="QQ129" s="198"/>
      <c r="QR129" s="198"/>
      <c r="QS129" s="198"/>
      <c r="QT129" s="198"/>
      <c r="QU129" s="198"/>
      <c r="QV129" s="198"/>
      <c r="QW129" s="198"/>
      <c r="QX129" s="198"/>
      <c r="QY129" s="198"/>
      <c r="QZ129" s="198"/>
      <c r="RA129" s="198"/>
      <c r="RB129" s="198"/>
      <c r="RC129" s="198"/>
      <c r="RD129" s="198"/>
      <c r="RE129" s="198"/>
      <c r="RF129" s="198"/>
      <c r="RG129" s="198"/>
      <c r="RH129" s="198"/>
      <c r="RI129" s="198"/>
      <c r="RJ129" s="198"/>
      <c r="RK129" s="198"/>
      <c r="RL129" s="198"/>
      <c r="RM129" s="198"/>
      <c r="RN129" s="198"/>
      <c r="RO129" s="198"/>
      <c r="RP129" s="198"/>
      <c r="RQ129" s="198"/>
      <c r="RR129" s="198"/>
      <c r="RS129" s="198"/>
      <c r="RT129" s="198"/>
      <c r="RU129" s="198"/>
      <c r="RV129" s="198"/>
      <c r="RW129" s="198"/>
      <c r="RX129" s="198"/>
      <c r="RY129" s="198"/>
      <c r="RZ129" s="198"/>
      <c r="SA129" s="198"/>
      <c r="SB129" s="198"/>
      <c r="SC129" s="198"/>
      <c r="SD129" s="198"/>
      <c r="SE129" s="198"/>
      <c r="SF129" s="198"/>
      <c r="SG129" s="198"/>
    </row>
    <row r="130" spans="1:501" ht="40.049999999999997" customHeight="1" x14ac:dyDescent="0.3">
      <c r="A130" s="545" t="s">
        <v>326</v>
      </c>
      <c r="B130" s="955" t="s">
        <v>327</v>
      </c>
      <c r="C130" s="950"/>
      <c r="D130" s="861"/>
      <c r="E130" s="862"/>
      <c r="F130" s="861"/>
      <c r="G130" s="863">
        <f>MANZ.C!AL132</f>
        <v>0</v>
      </c>
      <c r="H130" s="861"/>
      <c r="I130" s="862"/>
      <c r="J130" s="861"/>
      <c r="K130" s="862"/>
      <c r="L130" s="861"/>
      <c r="M130" s="862"/>
      <c r="N130" s="861"/>
      <c r="O130" s="862">
        <f>MANZ.G!AT128</f>
        <v>0</v>
      </c>
      <c r="P130" s="861"/>
      <c r="Q130" s="862"/>
      <c r="R130" s="861"/>
      <c r="S130" s="862"/>
      <c r="T130" s="861"/>
      <c r="U130" s="862"/>
      <c r="V130" s="861"/>
      <c r="W130" s="862"/>
      <c r="X130" s="861"/>
      <c r="Y130" s="862"/>
      <c r="Z130" s="861"/>
      <c r="AA130" s="862"/>
      <c r="AB130" s="864"/>
      <c r="AC130" s="864"/>
      <c r="AD130" s="864"/>
      <c r="AE130" s="864"/>
      <c r="AF130" s="861"/>
      <c r="AG130" s="865">
        <f t="shared" si="2"/>
        <v>0</v>
      </c>
      <c r="AH130" s="866"/>
      <c r="AI130" s="198"/>
      <c r="AJ130" s="198"/>
      <c r="AK130" s="198"/>
      <c r="AL130" s="198"/>
      <c r="AM130" s="198"/>
      <c r="AN130" s="198"/>
      <c r="AO130" s="198"/>
      <c r="AP130" s="198"/>
      <c r="AQ130" s="198"/>
      <c r="AR130" s="198"/>
      <c r="AS130" s="198"/>
      <c r="AT130" s="198"/>
      <c r="AU130" s="198"/>
      <c r="AV130" s="198"/>
      <c r="AW130" s="198"/>
      <c r="AX130" s="198"/>
      <c r="AY130" s="198"/>
      <c r="AZ130" s="198"/>
      <c r="BA130" s="198"/>
      <c r="BB130" s="198"/>
      <c r="BC130" s="198"/>
      <c r="BD130" s="198"/>
      <c r="BE130" s="198"/>
      <c r="BF130" s="198"/>
      <c r="BG130" s="198"/>
      <c r="BH130" s="198"/>
      <c r="BI130" s="198"/>
      <c r="BJ130" s="198"/>
      <c r="BK130" s="198"/>
      <c r="BL130" s="198"/>
      <c r="BM130" s="198"/>
      <c r="BN130" s="198"/>
      <c r="BO130" s="198"/>
      <c r="BP130" s="198"/>
      <c r="BQ130" s="198"/>
      <c r="BR130" s="198"/>
      <c r="BS130" s="198"/>
      <c r="BT130" s="198"/>
      <c r="BU130" s="198"/>
      <c r="BV130" s="198"/>
      <c r="BW130" s="198"/>
      <c r="BX130" s="198"/>
      <c r="BY130" s="198"/>
      <c r="BZ130" s="198"/>
      <c r="CA130" s="198"/>
      <c r="CB130" s="198"/>
      <c r="CC130" s="198"/>
      <c r="CD130" s="198"/>
      <c r="CE130" s="198"/>
      <c r="CF130" s="198"/>
      <c r="CG130" s="198"/>
      <c r="CH130" s="198"/>
      <c r="CI130" s="198"/>
      <c r="CJ130" s="198"/>
      <c r="CK130" s="198"/>
      <c r="CL130" s="198"/>
      <c r="CM130" s="198"/>
      <c r="CN130" s="198"/>
      <c r="CO130" s="198"/>
      <c r="CP130" s="198"/>
      <c r="CQ130" s="198"/>
      <c r="CR130" s="198"/>
      <c r="CS130" s="198"/>
      <c r="CT130" s="198"/>
      <c r="CU130" s="198"/>
      <c r="CV130" s="198"/>
      <c r="CW130" s="198"/>
      <c r="CX130" s="198"/>
      <c r="CY130" s="198"/>
      <c r="CZ130" s="198"/>
      <c r="DA130" s="198"/>
      <c r="DB130" s="198"/>
      <c r="DC130" s="198"/>
      <c r="DD130" s="198"/>
      <c r="DE130" s="198"/>
      <c r="DF130" s="198"/>
      <c r="DG130" s="198"/>
      <c r="DH130" s="198"/>
      <c r="DI130" s="198"/>
      <c r="DJ130" s="198"/>
      <c r="DK130" s="198"/>
      <c r="DL130" s="198"/>
      <c r="DM130" s="198"/>
      <c r="DN130" s="198"/>
      <c r="DO130" s="198"/>
      <c r="DP130" s="198"/>
      <c r="DQ130" s="198"/>
      <c r="DR130" s="198"/>
      <c r="DS130" s="198"/>
      <c r="DT130" s="198"/>
      <c r="DU130" s="198"/>
      <c r="DV130" s="198"/>
      <c r="DW130" s="198"/>
      <c r="DX130" s="198"/>
      <c r="DY130" s="198"/>
      <c r="DZ130" s="198"/>
      <c r="EA130" s="198"/>
      <c r="EB130" s="198"/>
      <c r="EC130" s="198"/>
      <c r="ED130" s="198"/>
      <c r="EE130" s="198"/>
      <c r="EF130" s="198"/>
      <c r="EG130" s="198"/>
      <c r="EH130" s="198"/>
      <c r="EI130" s="198"/>
      <c r="EJ130" s="198"/>
      <c r="EK130" s="198"/>
      <c r="EL130" s="198"/>
      <c r="EM130" s="198"/>
      <c r="EN130" s="198"/>
      <c r="EO130" s="198"/>
      <c r="EP130" s="198"/>
      <c r="EQ130" s="198"/>
      <c r="ER130" s="198"/>
      <c r="ES130" s="198"/>
      <c r="ET130" s="198"/>
      <c r="EU130" s="198"/>
      <c r="EV130" s="198"/>
      <c r="EW130" s="198"/>
      <c r="EX130" s="198"/>
      <c r="EY130" s="198"/>
      <c r="EZ130" s="198"/>
      <c r="FA130" s="198"/>
      <c r="FB130" s="198"/>
      <c r="FC130" s="198"/>
      <c r="FD130" s="198"/>
      <c r="FE130" s="198"/>
      <c r="FF130" s="198"/>
      <c r="FG130" s="198"/>
      <c r="FH130" s="198"/>
      <c r="FI130" s="198"/>
      <c r="FJ130" s="198"/>
      <c r="FK130" s="198"/>
      <c r="FL130" s="198"/>
      <c r="FM130" s="198"/>
      <c r="FN130" s="198"/>
      <c r="FO130" s="198"/>
      <c r="FP130" s="198"/>
      <c r="FQ130" s="198"/>
      <c r="FR130" s="198"/>
      <c r="FS130" s="198"/>
      <c r="FT130" s="198"/>
      <c r="FU130" s="198"/>
      <c r="FV130" s="198"/>
      <c r="FW130" s="198"/>
      <c r="FX130" s="198"/>
      <c r="FY130" s="198"/>
      <c r="FZ130" s="198"/>
      <c r="GA130" s="198"/>
      <c r="GB130" s="198"/>
      <c r="GC130" s="198"/>
      <c r="GD130" s="198"/>
      <c r="GE130" s="198"/>
      <c r="GF130" s="198"/>
      <c r="GG130" s="198"/>
      <c r="GH130" s="198"/>
      <c r="GI130" s="198"/>
      <c r="GJ130" s="198"/>
      <c r="GK130" s="198"/>
      <c r="GL130" s="198"/>
      <c r="GM130" s="198"/>
      <c r="GN130" s="198"/>
      <c r="GO130" s="198"/>
      <c r="GP130" s="198"/>
      <c r="GQ130" s="198"/>
      <c r="GR130" s="198"/>
      <c r="GS130" s="198"/>
      <c r="GT130" s="198"/>
      <c r="GU130" s="198"/>
      <c r="GV130" s="198"/>
      <c r="GW130" s="198"/>
      <c r="GX130" s="198"/>
      <c r="GY130" s="198"/>
      <c r="GZ130" s="198"/>
      <c r="HA130" s="198"/>
      <c r="HB130" s="198"/>
      <c r="HC130" s="198"/>
      <c r="HD130" s="198"/>
      <c r="HE130" s="198"/>
      <c r="HF130" s="198"/>
      <c r="HG130" s="198"/>
      <c r="HH130" s="198"/>
      <c r="HI130" s="198"/>
      <c r="HJ130" s="198"/>
      <c r="HK130" s="198"/>
      <c r="HL130" s="198"/>
      <c r="HM130" s="198"/>
      <c r="HN130" s="198"/>
      <c r="HO130" s="198"/>
      <c r="HP130" s="198"/>
      <c r="HQ130" s="198"/>
      <c r="HR130" s="198"/>
      <c r="HS130" s="198"/>
      <c r="HT130" s="198"/>
      <c r="HU130" s="198"/>
      <c r="HV130" s="198"/>
      <c r="HW130" s="198"/>
      <c r="HX130" s="198"/>
      <c r="HY130" s="198"/>
      <c r="HZ130" s="198"/>
      <c r="IA130" s="198"/>
      <c r="IB130" s="198"/>
      <c r="IC130" s="198"/>
      <c r="ID130" s="198"/>
      <c r="IE130" s="198"/>
      <c r="IF130" s="198"/>
      <c r="IG130" s="198"/>
      <c r="IH130" s="198"/>
      <c r="II130" s="198"/>
      <c r="IJ130" s="198"/>
      <c r="IK130" s="198"/>
      <c r="IL130" s="198"/>
      <c r="IM130" s="198"/>
      <c r="IN130" s="198"/>
      <c r="IO130" s="198"/>
      <c r="IP130" s="198"/>
      <c r="IQ130" s="198"/>
      <c r="IR130" s="198"/>
      <c r="IS130" s="198"/>
      <c r="IT130" s="198"/>
      <c r="IU130" s="198"/>
      <c r="IV130" s="198"/>
      <c r="IW130" s="198"/>
      <c r="IX130" s="198"/>
      <c r="IY130" s="198"/>
      <c r="IZ130" s="198"/>
      <c r="JA130" s="198"/>
      <c r="JB130" s="198"/>
      <c r="JC130" s="198"/>
      <c r="JD130" s="198"/>
      <c r="JE130" s="198"/>
      <c r="JF130" s="198"/>
      <c r="JG130" s="198"/>
      <c r="JH130" s="198"/>
      <c r="JI130" s="198"/>
      <c r="JJ130" s="198"/>
      <c r="JK130" s="198"/>
      <c r="JL130" s="198"/>
      <c r="JM130" s="198"/>
      <c r="JN130" s="198"/>
      <c r="JO130" s="198"/>
      <c r="JP130" s="198"/>
      <c r="JQ130" s="198"/>
      <c r="JR130" s="198"/>
      <c r="JS130" s="198"/>
      <c r="JT130" s="198"/>
      <c r="JU130" s="198"/>
      <c r="JV130" s="198"/>
      <c r="JW130" s="198"/>
      <c r="JX130" s="198"/>
      <c r="JY130" s="198"/>
      <c r="JZ130" s="198"/>
      <c r="KA130" s="198"/>
      <c r="KB130" s="198"/>
      <c r="KC130" s="198"/>
      <c r="KD130" s="198"/>
      <c r="KE130" s="198"/>
      <c r="KF130" s="198"/>
      <c r="KG130" s="198"/>
      <c r="KH130" s="198"/>
      <c r="KI130" s="198"/>
      <c r="KJ130" s="198"/>
      <c r="KK130" s="198"/>
      <c r="KL130" s="198"/>
      <c r="KM130" s="198"/>
      <c r="KN130" s="198"/>
      <c r="KO130" s="198"/>
      <c r="KP130" s="198"/>
      <c r="KQ130" s="198"/>
      <c r="KR130" s="198"/>
      <c r="KS130" s="198"/>
      <c r="KT130" s="198"/>
      <c r="KU130" s="198"/>
      <c r="KV130" s="198"/>
      <c r="KW130" s="198"/>
      <c r="KX130" s="198"/>
      <c r="KY130" s="198"/>
      <c r="KZ130" s="198"/>
      <c r="LA130" s="198"/>
      <c r="LB130" s="198"/>
      <c r="LC130" s="198"/>
      <c r="LD130" s="198"/>
      <c r="LE130" s="198"/>
      <c r="LF130" s="198"/>
      <c r="LG130" s="198"/>
      <c r="LH130" s="198"/>
      <c r="LI130" s="198"/>
      <c r="LJ130" s="198"/>
      <c r="LK130" s="198"/>
      <c r="LL130" s="198"/>
      <c r="LM130" s="198"/>
      <c r="LN130" s="198"/>
      <c r="LO130" s="198"/>
      <c r="LP130" s="198"/>
      <c r="LQ130" s="198"/>
      <c r="LR130" s="198"/>
      <c r="LS130" s="198"/>
      <c r="LT130" s="198"/>
      <c r="LU130" s="198"/>
      <c r="LV130" s="198"/>
      <c r="LW130" s="198"/>
      <c r="LX130" s="198"/>
      <c r="LY130" s="198"/>
      <c r="LZ130" s="198"/>
      <c r="MA130" s="198"/>
      <c r="MB130" s="198"/>
      <c r="MC130" s="198"/>
      <c r="MD130" s="198"/>
      <c r="ME130" s="198"/>
      <c r="MF130" s="198"/>
      <c r="MG130" s="198"/>
      <c r="MH130" s="198"/>
      <c r="MI130" s="198"/>
      <c r="MJ130" s="198"/>
      <c r="MK130" s="198"/>
      <c r="ML130" s="198"/>
      <c r="MM130" s="198"/>
      <c r="MN130" s="198"/>
      <c r="MO130" s="198"/>
      <c r="MP130" s="198"/>
      <c r="MQ130" s="198"/>
      <c r="MR130" s="198"/>
      <c r="MS130" s="198"/>
      <c r="MT130" s="198"/>
      <c r="MU130" s="198"/>
      <c r="MV130" s="198"/>
      <c r="MW130" s="198"/>
      <c r="MX130" s="198"/>
      <c r="MY130" s="198"/>
      <c r="MZ130" s="198"/>
      <c r="NA130" s="198"/>
      <c r="NB130" s="198"/>
      <c r="NC130" s="198"/>
      <c r="ND130" s="198"/>
      <c r="NE130" s="198"/>
      <c r="NF130" s="198"/>
      <c r="NG130" s="198"/>
      <c r="NH130" s="198"/>
      <c r="NI130" s="198"/>
      <c r="NJ130" s="198"/>
      <c r="NK130" s="198"/>
      <c r="NL130" s="198"/>
      <c r="NM130" s="198"/>
      <c r="NN130" s="198"/>
      <c r="NO130" s="198"/>
      <c r="NP130" s="198"/>
      <c r="NQ130" s="198"/>
      <c r="NR130" s="198"/>
      <c r="NS130" s="198"/>
      <c r="NT130" s="198"/>
      <c r="NU130" s="198"/>
      <c r="NV130" s="198"/>
      <c r="NW130" s="198"/>
      <c r="NX130" s="198"/>
      <c r="NY130" s="198"/>
      <c r="NZ130" s="198"/>
      <c r="OA130" s="198"/>
      <c r="OB130" s="198"/>
      <c r="OC130" s="198"/>
      <c r="OD130" s="198"/>
      <c r="OE130" s="198"/>
      <c r="OF130" s="198"/>
      <c r="OG130" s="198"/>
      <c r="OH130" s="198"/>
      <c r="OI130" s="198"/>
      <c r="OJ130" s="198"/>
      <c r="OK130" s="198"/>
      <c r="OL130" s="198"/>
      <c r="OM130" s="198"/>
      <c r="ON130" s="198"/>
      <c r="OO130" s="198"/>
      <c r="OP130" s="198"/>
      <c r="OQ130" s="198"/>
      <c r="OR130" s="198"/>
      <c r="OS130" s="198"/>
      <c r="OT130" s="198"/>
      <c r="OU130" s="198"/>
      <c r="OV130" s="198"/>
      <c r="OW130" s="198"/>
      <c r="OX130" s="198"/>
      <c r="OY130" s="198"/>
      <c r="OZ130" s="198"/>
      <c r="PA130" s="198"/>
      <c r="PB130" s="198"/>
      <c r="PC130" s="198"/>
      <c r="PD130" s="198"/>
      <c r="PE130" s="198"/>
      <c r="PF130" s="198"/>
      <c r="PG130" s="198"/>
      <c r="PH130" s="198"/>
      <c r="PI130" s="198"/>
      <c r="PJ130" s="198"/>
      <c r="PK130" s="198"/>
      <c r="PL130" s="198"/>
      <c r="PM130" s="198"/>
      <c r="PN130" s="198"/>
      <c r="PO130" s="198"/>
      <c r="PP130" s="198"/>
      <c r="PQ130" s="198"/>
      <c r="PR130" s="198"/>
      <c r="PS130" s="198"/>
      <c r="PT130" s="198"/>
      <c r="PU130" s="198"/>
      <c r="PV130" s="198"/>
      <c r="PW130" s="198"/>
      <c r="PX130" s="198"/>
      <c r="PY130" s="198"/>
      <c r="PZ130" s="198"/>
      <c r="QA130" s="198"/>
      <c r="QB130" s="198"/>
      <c r="QC130" s="198"/>
      <c r="QD130" s="198"/>
      <c r="QE130" s="198"/>
      <c r="QF130" s="198"/>
      <c r="QG130" s="198"/>
      <c r="QH130" s="198"/>
      <c r="QI130" s="198"/>
      <c r="QJ130" s="198"/>
      <c r="QK130" s="198"/>
      <c r="QL130" s="198"/>
      <c r="QM130" s="198"/>
      <c r="QN130" s="198"/>
      <c r="QO130" s="198"/>
      <c r="QP130" s="198"/>
      <c r="QQ130" s="198"/>
      <c r="QR130" s="198"/>
      <c r="QS130" s="198"/>
      <c r="QT130" s="198"/>
      <c r="QU130" s="198"/>
      <c r="QV130" s="198"/>
      <c r="QW130" s="198"/>
      <c r="QX130" s="198"/>
      <c r="QY130" s="198"/>
      <c r="QZ130" s="198"/>
      <c r="RA130" s="198"/>
      <c r="RB130" s="198"/>
      <c r="RC130" s="198"/>
      <c r="RD130" s="198"/>
      <c r="RE130" s="198"/>
      <c r="RF130" s="198"/>
      <c r="RG130" s="198"/>
      <c r="RH130" s="198"/>
      <c r="RI130" s="198"/>
      <c r="RJ130" s="198"/>
      <c r="RK130" s="198"/>
      <c r="RL130" s="198"/>
      <c r="RM130" s="198"/>
      <c r="RN130" s="198"/>
      <c r="RO130" s="198"/>
      <c r="RP130" s="198"/>
      <c r="RQ130" s="198"/>
      <c r="RR130" s="198"/>
      <c r="RS130" s="198"/>
      <c r="RT130" s="198"/>
      <c r="RU130" s="198"/>
      <c r="RV130" s="198"/>
      <c r="RW130" s="198"/>
      <c r="RX130" s="198"/>
      <c r="RY130" s="198"/>
      <c r="RZ130" s="198"/>
      <c r="SA130" s="198"/>
      <c r="SB130" s="198"/>
      <c r="SC130" s="198"/>
      <c r="SD130" s="198"/>
      <c r="SE130" s="198"/>
      <c r="SF130" s="198"/>
      <c r="SG130" s="198"/>
    </row>
    <row r="131" spans="1:501" ht="40.049999999999997" customHeight="1" x14ac:dyDescent="0.3">
      <c r="A131" s="543" t="s">
        <v>328</v>
      </c>
      <c r="B131" s="956" t="s">
        <v>329</v>
      </c>
      <c r="C131" s="950"/>
      <c r="D131" s="861"/>
      <c r="E131" s="862"/>
      <c r="F131" s="861"/>
      <c r="G131" s="862"/>
      <c r="H131" s="861"/>
      <c r="I131" s="862"/>
      <c r="J131" s="861"/>
      <c r="K131" s="862"/>
      <c r="L131" s="861"/>
      <c r="M131" s="862"/>
      <c r="N131" s="861"/>
      <c r="O131" s="862"/>
      <c r="P131" s="861"/>
      <c r="Q131" s="862"/>
      <c r="R131" s="861"/>
      <c r="S131" s="862"/>
      <c r="T131" s="861"/>
      <c r="U131" s="862"/>
      <c r="V131" s="861"/>
      <c r="W131" s="862"/>
      <c r="X131" s="861"/>
      <c r="Y131" s="862"/>
      <c r="Z131" s="861"/>
      <c r="AA131" s="862"/>
      <c r="AB131" s="864"/>
      <c r="AC131" s="864"/>
      <c r="AD131" s="864"/>
      <c r="AE131" s="864"/>
      <c r="AF131" s="861"/>
      <c r="AG131" s="865">
        <f t="shared" si="2"/>
        <v>0</v>
      </c>
      <c r="AH131" s="866"/>
      <c r="AI131" s="198"/>
      <c r="AJ131" s="198"/>
      <c r="AK131" s="198"/>
      <c r="AL131" s="198"/>
      <c r="AM131" s="198"/>
      <c r="AN131" s="198"/>
      <c r="AO131" s="198"/>
      <c r="AP131" s="198"/>
      <c r="AQ131" s="198"/>
      <c r="AR131" s="198"/>
      <c r="AS131" s="198"/>
      <c r="AT131" s="198"/>
      <c r="AU131" s="198"/>
      <c r="AV131" s="198"/>
      <c r="AW131" s="198"/>
      <c r="AX131" s="198"/>
      <c r="AY131" s="198"/>
      <c r="AZ131" s="198"/>
      <c r="BA131" s="198"/>
      <c r="BB131" s="198"/>
      <c r="BC131" s="198"/>
      <c r="BD131" s="198"/>
      <c r="BE131" s="198"/>
      <c r="BF131" s="198"/>
      <c r="BG131" s="198"/>
      <c r="BH131" s="198"/>
      <c r="BI131" s="198"/>
      <c r="BJ131" s="198"/>
      <c r="BK131" s="198"/>
      <c r="BL131" s="198"/>
      <c r="BM131" s="198"/>
      <c r="BN131" s="198"/>
      <c r="BO131" s="198"/>
      <c r="BP131" s="198"/>
      <c r="BQ131" s="198"/>
      <c r="BR131" s="198"/>
      <c r="BS131" s="198"/>
      <c r="BT131" s="198"/>
      <c r="BU131" s="198"/>
      <c r="BV131" s="198"/>
      <c r="BW131" s="198"/>
      <c r="BX131" s="198"/>
      <c r="BY131" s="198"/>
      <c r="BZ131" s="198"/>
      <c r="CA131" s="198"/>
      <c r="CB131" s="198"/>
      <c r="CC131" s="198"/>
      <c r="CD131" s="198"/>
      <c r="CE131" s="198"/>
      <c r="CF131" s="198"/>
      <c r="CG131" s="198"/>
      <c r="CH131" s="198"/>
      <c r="CI131" s="198"/>
      <c r="CJ131" s="198"/>
      <c r="CK131" s="198"/>
      <c r="CL131" s="198"/>
      <c r="CM131" s="198"/>
      <c r="CN131" s="198"/>
      <c r="CO131" s="198"/>
      <c r="CP131" s="198"/>
      <c r="CQ131" s="198"/>
      <c r="CR131" s="198"/>
      <c r="CS131" s="198"/>
      <c r="CT131" s="198"/>
      <c r="CU131" s="198"/>
      <c r="CV131" s="198"/>
      <c r="CW131" s="198"/>
      <c r="CX131" s="198"/>
      <c r="CY131" s="198"/>
      <c r="CZ131" s="198"/>
      <c r="DA131" s="198"/>
      <c r="DB131" s="198"/>
      <c r="DC131" s="198"/>
      <c r="DD131" s="198"/>
      <c r="DE131" s="198"/>
      <c r="DF131" s="198"/>
      <c r="DG131" s="198"/>
      <c r="DH131" s="198"/>
      <c r="DI131" s="198"/>
      <c r="DJ131" s="198"/>
      <c r="DK131" s="198"/>
      <c r="DL131" s="198"/>
      <c r="DM131" s="198"/>
      <c r="DN131" s="198"/>
      <c r="DO131" s="198"/>
      <c r="DP131" s="198"/>
      <c r="DQ131" s="198"/>
      <c r="DR131" s="198"/>
      <c r="DS131" s="198"/>
      <c r="DT131" s="198"/>
      <c r="DU131" s="198"/>
      <c r="DV131" s="198"/>
      <c r="DW131" s="198"/>
      <c r="DX131" s="198"/>
      <c r="DY131" s="198"/>
      <c r="DZ131" s="198"/>
      <c r="EA131" s="198"/>
      <c r="EB131" s="198"/>
      <c r="EC131" s="198"/>
      <c r="ED131" s="198"/>
      <c r="EE131" s="198"/>
      <c r="EF131" s="198"/>
      <c r="EG131" s="198"/>
      <c r="EH131" s="198"/>
      <c r="EI131" s="198"/>
      <c r="EJ131" s="198"/>
      <c r="EK131" s="198"/>
      <c r="EL131" s="198"/>
      <c r="EM131" s="198"/>
      <c r="EN131" s="198"/>
      <c r="EO131" s="198"/>
      <c r="EP131" s="198"/>
      <c r="EQ131" s="198"/>
      <c r="ER131" s="198"/>
      <c r="ES131" s="198"/>
      <c r="ET131" s="198"/>
      <c r="EU131" s="198"/>
      <c r="EV131" s="198"/>
      <c r="EW131" s="198"/>
      <c r="EX131" s="198"/>
      <c r="EY131" s="198"/>
      <c r="EZ131" s="198"/>
      <c r="FA131" s="198"/>
      <c r="FB131" s="198"/>
      <c r="FC131" s="198"/>
      <c r="FD131" s="198"/>
      <c r="FE131" s="198"/>
      <c r="FF131" s="198"/>
      <c r="FG131" s="198"/>
      <c r="FH131" s="198"/>
      <c r="FI131" s="198"/>
      <c r="FJ131" s="198"/>
      <c r="FK131" s="198"/>
      <c r="FL131" s="198"/>
      <c r="FM131" s="198"/>
      <c r="FN131" s="198"/>
      <c r="FO131" s="198"/>
      <c r="FP131" s="198"/>
      <c r="FQ131" s="198"/>
      <c r="FR131" s="198"/>
      <c r="FS131" s="198"/>
      <c r="FT131" s="198"/>
      <c r="FU131" s="198"/>
      <c r="FV131" s="198"/>
      <c r="FW131" s="198"/>
      <c r="FX131" s="198"/>
      <c r="FY131" s="198"/>
      <c r="FZ131" s="198"/>
      <c r="GA131" s="198"/>
      <c r="GB131" s="198"/>
      <c r="GC131" s="198"/>
      <c r="GD131" s="198"/>
      <c r="GE131" s="198"/>
      <c r="GF131" s="198"/>
      <c r="GG131" s="198"/>
      <c r="GH131" s="198"/>
      <c r="GI131" s="198"/>
      <c r="GJ131" s="198"/>
      <c r="GK131" s="198"/>
      <c r="GL131" s="198"/>
      <c r="GM131" s="198"/>
      <c r="GN131" s="198"/>
      <c r="GO131" s="198"/>
      <c r="GP131" s="198"/>
      <c r="GQ131" s="198"/>
      <c r="GR131" s="198"/>
      <c r="GS131" s="198"/>
      <c r="GT131" s="198"/>
      <c r="GU131" s="198"/>
      <c r="GV131" s="198"/>
      <c r="GW131" s="198"/>
      <c r="GX131" s="198"/>
      <c r="GY131" s="198"/>
      <c r="GZ131" s="198"/>
      <c r="HA131" s="198"/>
      <c r="HB131" s="198"/>
      <c r="HC131" s="198"/>
      <c r="HD131" s="198"/>
      <c r="HE131" s="198"/>
      <c r="HF131" s="198"/>
      <c r="HG131" s="198"/>
      <c r="HH131" s="198"/>
      <c r="HI131" s="198"/>
      <c r="HJ131" s="198"/>
      <c r="HK131" s="198"/>
      <c r="HL131" s="198"/>
      <c r="HM131" s="198"/>
      <c r="HN131" s="198"/>
      <c r="HO131" s="198"/>
      <c r="HP131" s="198"/>
      <c r="HQ131" s="198"/>
      <c r="HR131" s="198"/>
      <c r="HS131" s="198"/>
      <c r="HT131" s="198"/>
      <c r="HU131" s="198"/>
      <c r="HV131" s="198"/>
      <c r="HW131" s="198"/>
      <c r="HX131" s="198"/>
      <c r="HY131" s="198"/>
      <c r="HZ131" s="198"/>
      <c r="IA131" s="198"/>
      <c r="IB131" s="198"/>
      <c r="IC131" s="198"/>
      <c r="ID131" s="198"/>
      <c r="IE131" s="198"/>
      <c r="IF131" s="198"/>
      <c r="IG131" s="198"/>
      <c r="IH131" s="198"/>
      <c r="II131" s="198"/>
      <c r="IJ131" s="198"/>
      <c r="IK131" s="198"/>
      <c r="IL131" s="198"/>
      <c r="IM131" s="198"/>
      <c r="IN131" s="198"/>
      <c r="IO131" s="198"/>
      <c r="IP131" s="198"/>
      <c r="IQ131" s="198"/>
      <c r="IR131" s="198"/>
      <c r="IS131" s="198"/>
      <c r="IT131" s="198"/>
      <c r="IU131" s="198"/>
      <c r="IV131" s="198"/>
      <c r="IW131" s="198"/>
      <c r="IX131" s="198"/>
      <c r="IY131" s="198"/>
      <c r="IZ131" s="198"/>
      <c r="JA131" s="198"/>
      <c r="JB131" s="198"/>
      <c r="JC131" s="198"/>
      <c r="JD131" s="198"/>
      <c r="JE131" s="198"/>
      <c r="JF131" s="198"/>
      <c r="JG131" s="198"/>
      <c r="JH131" s="198"/>
      <c r="JI131" s="198"/>
      <c r="JJ131" s="198"/>
      <c r="JK131" s="198"/>
      <c r="JL131" s="198"/>
      <c r="JM131" s="198"/>
      <c r="JN131" s="198"/>
      <c r="JO131" s="198"/>
      <c r="JP131" s="198"/>
      <c r="JQ131" s="198"/>
      <c r="JR131" s="198"/>
      <c r="JS131" s="198"/>
      <c r="JT131" s="198"/>
      <c r="JU131" s="198"/>
      <c r="JV131" s="198"/>
      <c r="JW131" s="198"/>
      <c r="JX131" s="198"/>
      <c r="JY131" s="198"/>
      <c r="JZ131" s="198"/>
      <c r="KA131" s="198"/>
      <c r="KB131" s="198"/>
      <c r="KC131" s="198"/>
      <c r="KD131" s="198"/>
      <c r="KE131" s="198"/>
      <c r="KF131" s="198"/>
      <c r="KG131" s="198"/>
      <c r="KH131" s="198"/>
      <c r="KI131" s="198"/>
      <c r="KJ131" s="198"/>
      <c r="KK131" s="198"/>
      <c r="KL131" s="198"/>
      <c r="KM131" s="198"/>
      <c r="KN131" s="198"/>
      <c r="KO131" s="198"/>
      <c r="KP131" s="198"/>
      <c r="KQ131" s="198"/>
      <c r="KR131" s="198"/>
      <c r="KS131" s="198"/>
      <c r="KT131" s="198"/>
      <c r="KU131" s="198"/>
      <c r="KV131" s="198"/>
      <c r="KW131" s="198"/>
      <c r="KX131" s="198"/>
      <c r="KY131" s="198"/>
      <c r="KZ131" s="198"/>
      <c r="LA131" s="198"/>
      <c r="LB131" s="198"/>
      <c r="LC131" s="198"/>
      <c r="LD131" s="198"/>
      <c r="LE131" s="198"/>
      <c r="LF131" s="198"/>
      <c r="LG131" s="198"/>
      <c r="LH131" s="198"/>
      <c r="LI131" s="198"/>
      <c r="LJ131" s="198"/>
      <c r="LK131" s="198"/>
      <c r="LL131" s="198"/>
      <c r="LM131" s="198"/>
      <c r="LN131" s="198"/>
      <c r="LO131" s="198"/>
      <c r="LP131" s="198"/>
      <c r="LQ131" s="198"/>
      <c r="LR131" s="198"/>
      <c r="LS131" s="198"/>
      <c r="LT131" s="198"/>
      <c r="LU131" s="198"/>
      <c r="LV131" s="198"/>
      <c r="LW131" s="198"/>
      <c r="LX131" s="198"/>
      <c r="LY131" s="198"/>
      <c r="LZ131" s="198"/>
      <c r="MA131" s="198"/>
      <c r="MB131" s="198"/>
      <c r="MC131" s="198"/>
      <c r="MD131" s="198"/>
      <c r="ME131" s="198"/>
      <c r="MF131" s="198"/>
      <c r="MG131" s="198"/>
      <c r="MH131" s="198"/>
      <c r="MI131" s="198"/>
      <c r="MJ131" s="198"/>
      <c r="MK131" s="198"/>
      <c r="ML131" s="198"/>
      <c r="MM131" s="198"/>
      <c r="MN131" s="198"/>
      <c r="MO131" s="198"/>
      <c r="MP131" s="198"/>
      <c r="MQ131" s="198"/>
      <c r="MR131" s="198"/>
      <c r="MS131" s="198"/>
      <c r="MT131" s="198"/>
      <c r="MU131" s="198"/>
      <c r="MV131" s="198"/>
      <c r="MW131" s="198"/>
      <c r="MX131" s="198"/>
      <c r="MY131" s="198"/>
      <c r="MZ131" s="198"/>
      <c r="NA131" s="198"/>
      <c r="NB131" s="198"/>
      <c r="NC131" s="198"/>
      <c r="ND131" s="198"/>
      <c r="NE131" s="198"/>
      <c r="NF131" s="198"/>
      <c r="NG131" s="198"/>
      <c r="NH131" s="198"/>
      <c r="NI131" s="198"/>
      <c r="NJ131" s="198"/>
      <c r="NK131" s="198"/>
      <c r="NL131" s="198"/>
      <c r="NM131" s="198"/>
      <c r="NN131" s="198"/>
      <c r="NO131" s="198"/>
      <c r="NP131" s="198"/>
      <c r="NQ131" s="198"/>
      <c r="NR131" s="198"/>
      <c r="NS131" s="198"/>
      <c r="NT131" s="198"/>
      <c r="NU131" s="198"/>
      <c r="NV131" s="198"/>
      <c r="NW131" s="198"/>
      <c r="NX131" s="198"/>
      <c r="NY131" s="198"/>
      <c r="NZ131" s="198"/>
      <c r="OA131" s="198"/>
      <c r="OB131" s="198"/>
      <c r="OC131" s="198"/>
      <c r="OD131" s="198"/>
      <c r="OE131" s="198"/>
      <c r="OF131" s="198"/>
      <c r="OG131" s="198"/>
      <c r="OH131" s="198"/>
      <c r="OI131" s="198"/>
      <c r="OJ131" s="198"/>
      <c r="OK131" s="198"/>
      <c r="OL131" s="198"/>
      <c r="OM131" s="198"/>
      <c r="ON131" s="198"/>
      <c r="OO131" s="198"/>
      <c r="OP131" s="198"/>
      <c r="OQ131" s="198"/>
      <c r="OR131" s="198"/>
      <c r="OS131" s="198"/>
      <c r="OT131" s="198"/>
      <c r="OU131" s="198"/>
      <c r="OV131" s="198"/>
      <c r="OW131" s="198"/>
      <c r="OX131" s="198"/>
      <c r="OY131" s="198"/>
      <c r="OZ131" s="198"/>
      <c r="PA131" s="198"/>
      <c r="PB131" s="198"/>
      <c r="PC131" s="198"/>
      <c r="PD131" s="198"/>
      <c r="PE131" s="198"/>
      <c r="PF131" s="198"/>
      <c r="PG131" s="198"/>
      <c r="PH131" s="198"/>
      <c r="PI131" s="198"/>
      <c r="PJ131" s="198"/>
      <c r="PK131" s="198"/>
      <c r="PL131" s="198"/>
      <c r="PM131" s="198"/>
      <c r="PN131" s="198"/>
      <c r="PO131" s="198"/>
      <c r="PP131" s="198"/>
      <c r="PQ131" s="198"/>
      <c r="PR131" s="198"/>
      <c r="PS131" s="198"/>
      <c r="PT131" s="198"/>
      <c r="PU131" s="198"/>
      <c r="PV131" s="198"/>
      <c r="PW131" s="198"/>
      <c r="PX131" s="198"/>
      <c r="PY131" s="198"/>
      <c r="PZ131" s="198"/>
      <c r="QA131" s="198"/>
      <c r="QB131" s="198"/>
      <c r="QC131" s="198"/>
      <c r="QD131" s="198"/>
      <c r="QE131" s="198"/>
      <c r="QF131" s="198"/>
      <c r="QG131" s="198"/>
      <c r="QH131" s="198"/>
      <c r="QI131" s="198"/>
      <c r="QJ131" s="198"/>
      <c r="QK131" s="198"/>
      <c r="QL131" s="198"/>
      <c r="QM131" s="198"/>
      <c r="QN131" s="198"/>
      <c r="QO131" s="198"/>
      <c r="QP131" s="198"/>
      <c r="QQ131" s="198"/>
      <c r="QR131" s="198"/>
      <c r="QS131" s="198"/>
      <c r="QT131" s="198"/>
      <c r="QU131" s="198"/>
      <c r="QV131" s="198"/>
      <c r="QW131" s="198"/>
      <c r="QX131" s="198"/>
      <c r="QY131" s="198"/>
      <c r="QZ131" s="198"/>
      <c r="RA131" s="198"/>
      <c r="RB131" s="198"/>
      <c r="RC131" s="198"/>
      <c r="RD131" s="198"/>
      <c r="RE131" s="198"/>
      <c r="RF131" s="198"/>
      <c r="RG131" s="198"/>
      <c r="RH131" s="198"/>
      <c r="RI131" s="198"/>
      <c r="RJ131" s="198"/>
      <c r="RK131" s="198"/>
      <c r="RL131" s="198"/>
      <c r="RM131" s="198"/>
      <c r="RN131" s="198"/>
      <c r="RO131" s="198"/>
      <c r="RP131" s="198"/>
      <c r="RQ131" s="198"/>
      <c r="RR131" s="198"/>
      <c r="RS131" s="198"/>
      <c r="RT131" s="198"/>
      <c r="RU131" s="198"/>
      <c r="RV131" s="198"/>
      <c r="RW131" s="198"/>
      <c r="RX131" s="198"/>
      <c r="RY131" s="198"/>
      <c r="RZ131" s="198"/>
      <c r="SA131" s="198"/>
      <c r="SB131" s="198"/>
      <c r="SC131" s="198"/>
      <c r="SD131" s="198"/>
      <c r="SE131" s="198"/>
      <c r="SF131" s="198"/>
      <c r="SG131" s="198"/>
    </row>
    <row r="132" spans="1:501" ht="40.049999999999997" customHeight="1" x14ac:dyDescent="0.3">
      <c r="A132" s="543" t="s">
        <v>330</v>
      </c>
      <c r="B132" s="956" t="s">
        <v>331</v>
      </c>
      <c r="C132" s="950"/>
      <c r="D132" s="861"/>
      <c r="E132" s="862"/>
      <c r="F132" s="861"/>
      <c r="G132" s="863">
        <f>MANZ.C!AK134</f>
        <v>0</v>
      </c>
      <c r="H132" s="861"/>
      <c r="I132" s="862"/>
      <c r="J132" s="861"/>
      <c r="K132" s="862"/>
      <c r="L132" s="861"/>
      <c r="M132" s="862"/>
      <c r="N132" s="861"/>
      <c r="O132" s="862">
        <f>MANZ.G!AS130</f>
        <v>16</v>
      </c>
      <c r="P132" s="861"/>
      <c r="Q132" s="862"/>
      <c r="R132" s="861"/>
      <c r="S132" s="862">
        <f>MANZ.I!AB133</f>
        <v>0</v>
      </c>
      <c r="T132" s="861"/>
      <c r="U132" s="862"/>
      <c r="V132" s="861"/>
      <c r="W132" s="862"/>
      <c r="X132" s="861"/>
      <c r="Y132" s="862"/>
      <c r="Z132" s="861"/>
      <c r="AA132" s="862"/>
      <c r="AB132" s="864"/>
      <c r="AC132" s="864"/>
      <c r="AD132" s="864"/>
      <c r="AE132" s="864"/>
      <c r="AF132" s="861"/>
      <c r="AG132" s="865">
        <f t="shared" si="2"/>
        <v>16</v>
      </c>
      <c r="AH132" s="866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  <c r="AS132" s="198"/>
      <c r="AT132" s="198"/>
      <c r="AU132" s="198"/>
      <c r="AV132" s="198"/>
      <c r="AW132" s="198"/>
      <c r="AX132" s="198"/>
      <c r="AY132" s="198"/>
      <c r="AZ132" s="198"/>
      <c r="BA132" s="198"/>
      <c r="BB132" s="198"/>
      <c r="BC132" s="198"/>
      <c r="BD132" s="198"/>
      <c r="BE132" s="198"/>
      <c r="BF132" s="198"/>
      <c r="BG132" s="198"/>
      <c r="BH132" s="198"/>
      <c r="BI132" s="198"/>
      <c r="BJ132" s="198"/>
      <c r="BK132" s="198"/>
      <c r="BL132" s="198"/>
      <c r="BM132" s="198"/>
      <c r="BN132" s="198"/>
      <c r="BO132" s="198"/>
      <c r="BP132" s="198"/>
      <c r="BQ132" s="198"/>
      <c r="BR132" s="198"/>
      <c r="BS132" s="198"/>
      <c r="BT132" s="198"/>
      <c r="BU132" s="198"/>
      <c r="BV132" s="198"/>
      <c r="BW132" s="198"/>
      <c r="BX132" s="198"/>
      <c r="BY132" s="198"/>
      <c r="BZ132" s="198"/>
      <c r="CA132" s="198"/>
      <c r="CB132" s="198"/>
      <c r="CC132" s="198"/>
      <c r="CD132" s="198"/>
      <c r="CE132" s="198"/>
      <c r="CF132" s="198"/>
      <c r="CG132" s="198"/>
      <c r="CH132" s="198"/>
      <c r="CI132" s="198"/>
      <c r="CJ132" s="198"/>
      <c r="CK132" s="198"/>
      <c r="CL132" s="198"/>
      <c r="CM132" s="198"/>
      <c r="CN132" s="198"/>
      <c r="CO132" s="198"/>
      <c r="CP132" s="198"/>
      <c r="CQ132" s="198"/>
      <c r="CR132" s="198"/>
      <c r="CS132" s="198"/>
      <c r="CT132" s="198"/>
      <c r="CU132" s="198"/>
      <c r="CV132" s="198"/>
      <c r="CW132" s="198"/>
      <c r="CX132" s="198"/>
      <c r="CY132" s="198"/>
      <c r="CZ132" s="198"/>
      <c r="DA132" s="198"/>
      <c r="DB132" s="198"/>
      <c r="DC132" s="198"/>
      <c r="DD132" s="198"/>
      <c r="DE132" s="198"/>
      <c r="DF132" s="198"/>
      <c r="DG132" s="198"/>
      <c r="DH132" s="198"/>
      <c r="DI132" s="198"/>
      <c r="DJ132" s="198"/>
      <c r="DK132" s="198"/>
      <c r="DL132" s="198"/>
      <c r="DM132" s="198"/>
      <c r="DN132" s="198"/>
      <c r="DO132" s="198"/>
      <c r="DP132" s="198"/>
      <c r="DQ132" s="198"/>
      <c r="DR132" s="198"/>
      <c r="DS132" s="198"/>
      <c r="DT132" s="198"/>
      <c r="DU132" s="198"/>
      <c r="DV132" s="198"/>
      <c r="DW132" s="198"/>
      <c r="DX132" s="198"/>
      <c r="DY132" s="198"/>
      <c r="DZ132" s="198"/>
      <c r="EA132" s="198"/>
      <c r="EB132" s="198"/>
      <c r="EC132" s="198"/>
      <c r="ED132" s="198"/>
      <c r="EE132" s="198"/>
      <c r="EF132" s="198"/>
      <c r="EG132" s="198"/>
      <c r="EH132" s="198"/>
      <c r="EI132" s="198"/>
      <c r="EJ132" s="198"/>
      <c r="EK132" s="198"/>
      <c r="EL132" s="198"/>
      <c r="EM132" s="198"/>
      <c r="EN132" s="198"/>
      <c r="EO132" s="198"/>
      <c r="EP132" s="198"/>
      <c r="EQ132" s="198"/>
      <c r="ER132" s="198"/>
      <c r="ES132" s="198"/>
      <c r="ET132" s="198"/>
      <c r="EU132" s="198"/>
      <c r="EV132" s="198"/>
      <c r="EW132" s="198"/>
      <c r="EX132" s="198"/>
      <c r="EY132" s="198"/>
      <c r="EZ132" s="198"/>
      <c r="FA132" s="198"/>
      <c r="FB132" s="198"/>
      <c r="FC132" s="198"/>
      <c r="FD132" s="198"/>
      <c r="FE132" s="198"/>
      <c r="FF132" s="198"/>
      <c r="FG132" s="198"/>
      <c r="FH132" s="198"/>
      <c r="FI132" s="198"/>
      <c r="FJ132" s="198"/>
      <c r="FK132" s="198"/>
      <c r="FL132" s="198"/>
      <c r="FM132" s="198"/>
      <c r="FN132" s="198"/>
      <c r="FO132" s="198"/>
      <c r="FP132" s="198"/>
      <c r="FQ132" s="198"/>
      <c r="FR132" s="198"/>
      <c r="FS132" s="198"/>
      <c r="FT132" s="198"/>
      <c r="FU132" s="198"/>
      <c r="FV132" s="198"/>
      <c r="FW132" s="198"/>
      <c r="FX132" s="198"/>
      <c r="FY132" s="198"/>
      <c r="FZ132" s="198"/>
      <c r="GA132" s="198"/>
      <c r="GB132" s="198"/>
      <c r="GC132" s="198"/>
      <c r="GD132" s="198"/>
      <c r="GE132" s="198"/>
      <c r="GF132" s="198"/>
      <c r="GG132" s="198"/>
      <c r="GH132" s="198"/>
      <c r="GI132" s="198"/>
      <c r="GJ132" s="198"/>
      <c r="GK132" s="198"/>
      <c r="GL132" s="198"/>
      <c r="GM132" s="198"/>
      <c r="GN132" s="198"/>
      <c r="GO132" s="198"/>
      <c r="GP132" s="198"/>
      <c r="GQ132" s="198"/>
      <c r="GR132" s="198"/>
      <c r="GS132" s="198"/>
      <c r="GT132" s="198"/>
      <c r="GU132" s="198"/>
      <c r="GV132" s="198"/>
      <c r="GW132" s="198"/>
      <c r="GX132" s="198"/>
      <c r="GY132" s="198"/>
      <c r="GZ132" s="198"/>
      <c r="HA132" s="198"/>
      <c r="HB132" s="198"/>
      <c r="HC132" s="198"/>
      <c r="HD132" s="198"/>
      <c r="HE132" s="198"/>
      <c r="HF132" s="198"/>
      <c r="HG132" s="198"/>
      <c r="HH132" s="198"/>
      <c r="HI132" s="198"/>
      <c r="HJ132" s="198"/>
      <c r="HK132" s="198"/>
      <c r="HL132" s="198"/>
      <c r="HM132" s="198"/>
      <c r="HN132" s="198"/>
      <c r="HO132" s="198"/>
      <c r="HP132" s="198"/>
      <c r="HQ132" s="198"/>
      <c r="HR132" s="198"/>
      <c r="HS132" s="198"/>
      <c r="HT132" s="198"/>
      <c r="HU132" s="198"/>
      <c r="HV132" s="198"/>
      <c r="HW132" s="198"/>
      <c r="HX132" s="198"/>
      <c r="HY132" s="198"/>
      <c r="HZ132" s="198"/>
      <c r="IA132" s="198"/>
      <c r="IB132" s="198"/>
      <c r="IC132" s="198"/>
      <c r="ID132" s="198"/>
      <c r="IE132" s="198"/>
      <c r="IF132" s="198"/>
      <c r="IG132" s="198"/>
      <c r="IH132" s="198"/>
      <c r="II132" s="198"/>
      <c r="IJ132" s="198"/>
      <c r="IK132" s="198"/>
      <c r="IL132" s="198"/>
      <c r="IM132" s="198"/>
      <c r="IN132" s="198"/>
      <c r="IO132" s="198"/>
      <c r="IP132" s="198"/>
      <c r="IQ132" s="198"/>
      <c r="IR132" s="198"/>
      <c r="IS132" s="198"/>
      <c r="IT132" s="198"/>
      <c r="IU132" s="198"/>
      <c r="IV132" s="198"/>
      <c r="IW132" s="198"/>
      <c r="IX132" s="198"/>
      <c r="IY132" s="198"/>
      <c r="IZ132" s="198"/>
      <c r="JA132" s="198"/>
      <c r="JB132" s="198"/>
      <c r="JC132" s="198"/>
      <c r="JD132" s="198"/>
      <c r="JE132" s="198"/>
      <c r="JF132" s="198"/>
      <c r="JG132" s="198"/>
      <c r="JH132" s="198"/>
      <c r="JI132" s="198"/>
      <c r="JJ132" s="198"/>
      <c r="JK132" s="198"/>
      <c r="JL132" s="198"/>
      <c r="JM132" s="198"/>
      <c r="JN132" s="198"/>
      <c r="JO132" s="198"/>
      <c r="JP132" s="198"/>
      <c r="JQ132" s="198"/>
      <c r="JR132" s="198"/>
      <c r="JS132" s="198"/>
      <c r="JT132" s="198"/>
      <c r="JU132" s="198"/>
      <c r="JV132" s="198"/>
      <c r="JW132" s="198"/>
      <c r="JX132" s="198"/>
      <c r="JY132" s="198"/>
      <c r="JZ132" s="198"/>
      <c r="KA132" s="198"/>
      <c r="KB132" s="198"/>
      <c r="KC132" s="198"/>
      <c r="KD132" s="198"/>
      <c r="KE132" s="198"/>
      <c r="KF132" s="198"/>
      <c r="KG132" s="198"/>
      <c r="KH132" s="198"/>
      <c r="KI132" s="198"/>
      <c r="KJ132" s="198"/>
      <c r="KK132" s="198"/>
      <c r="KL132" s="198"/>
      <c r="KM132" s="198"/>
      <c r="KN132" s="198"/>
      <c r="KO132" s="198"/>
      <c r="KP132" s="198"/>
      <c r="KQ132" s="198"/>
      <c r="KR132" s="198"/>
      <c r="KS132" s="198"/>
      <c r="KT132" s="198"/>
      <c r="KU132" s="198"/>
      <c r="KV132" s="198"/>
      <c r="KW132" s="198"/>
      <c r="KX132" s="198"/>
      <c r="KY132" s="198"/>
      <c r="KZ132" s="198"/>
      <c r="LA132" s="198"/>
      <c r="LB132" s="198"/>
      <c r="LC132" s="198"/>
      <c r="LD132" s="198"/>
      <c r="LE132" s="198"/>
      <c r="LF132" s="198"/>
      <c r="LG132" s="198"/>
      <c r="LH132" s="198"/>
      <c r="LI132" s="198"/>
      <c r="LJ132" s="198"/>
      <c r="LK132" s="198"/>
      <c r="LL132" s="198"/>
      <c r="LM132" s="198"/>
      <c r="LN132" s="198"/>
      <c r="LO132" s="198"/>
      <c r="LP132" s="198"/>
      <c r="LQ132" s="198"/>
      <c r="LR132" s="198"/>
      <c r="LS132" s="198"/>
      <c r="LT132" s="198"/>
      <c r="LU132" s="198"/>
      <c r="LV132" s="198"/>
      <c r="LW132" s="198"/>
      <c r="LX132" s="198"/>
      <c r="LY132" s="198"/>
      <c r="LZ132" s="198"/>
      <c r="MA132" s="198"/>
      <c r="MB132" s="198"/>
      <c r="MC132" s="198"/>
      <c r="MD132" s="198"/>
      <c r="ME132" s="198"/>
      <c r="MF132" s="198"/>
      <c r="MG132" s="198"/>
      <c r="MH132" s="198"/>
      <c r="MI132" s="198"/>
      <c r="MJ132" s="198"/>
      <c r="MK132" s="198"/>
      <c r="ML132" s="198"/>
      <c r="MM132" s="198"/>
      <c r="MN132" s="198"/>
      <c r="MO132" s="198"/>
      <c r="MP132" s="198"/>
      <c r="MQ132" s="198"/>
      <c r="MR132" s="198"/>
      <c r="MS132" s="198"/>
      <c r="MT132" s="198"/>
      <c r="MU132" s="198"/>
      <c r="MV132" s="198"/>
      <c r="MW132" s="198"/>
      <c r="MX132" s="198"/>
      <c r="MY132" s="198"/>
      <c r="MZ132" s="198"/>
      <c r="NA132" s="198"/>
      <c r="NB132" s="198"/>
      <c r="NC132" s="198"/>
      <c r="ND132" s="198"/>
      <c r="NE132" s="198"/>
      <c r="NF132" s="198"/>
      <c r="NG132" s="198"/>
      <c r="NH132" s="198"/>
      <c r="NI132" s="198"/>
      <c r="NJ132" s="198"/>
      <c r="NK132" s="198"/>
      <c r="NL132" s="198"/>
      <c r="NM132" s="198"/>
      <c r="NN132" s="198"/>
      <c r="NO132" s="198"/>
      <c r="NP132" s="198"/>
      <c r="NQ132" s="198"/>
      <c r="NR132" s="198"/>
      <c r="NS132" s="198"/>
      <c r="NT132" s="198"/>
      <c r="NU132" s="198"/>
      <c r="NV132" s="198"/>
      <c r="NW132" s="198"/>
      <c r="NX132" s="198"/>
      <c r="NY132" s="198"/>
      <c r="NZ132" s="198"/>
      <c r="OA132" s="198"/>
      <c r="OB132" s="198"/>
      <c r="OC132" s="198"/>
      <c r="OD132" s="198"/>
      <c r="OE132" s="198"/>
      <c r="OF132" s="198"/>
      <c r="OG132" s="198"/>
      <c r="OH132" s="198"/>
      <c r="OI132" s="198"/>
      <c r="OJ132" s="198"/>
      <c r="OK132" s="198"/>
      <c r="OL132" s="198"/>
      <c r="OM132" s="198"/>
      <c r="ON132" s="198"/>
      <c r="OO132" s="198"/>
      <c r="OP132" s="198"/>
      <c r="OQ132" s="198"/>
      <c r="OR132" s="198"/>
      <c r="OS132" s="198"/>
      <c r="OT132" s="198"/>
      <c r="OU132" s="198"/>
      <c r="OV132" s="198"/>
      <c r="OW132" s="198"/>
      <c r="OX132" s="198"/>
      <c r="OY132" s="198"/>
      <c r="OZ132" s="198"/>
      <c r="PA132" s="198"/>
      <c r="PB132" s="198"/>
      <c r="PC132" s="198"/>
      <c r="PD132" s="198"/>
      <c r="PE132" s="198"/>
      <c r="PF132" s="198"/>
      <c r="PG132" s="198"/>
      <c r="PH132" s="198"/>
      <c r="PI132" s="198"/>
      <c r="PJ132" s="198"/>
      <c r="PK132" s="198"/>
      <c r="PL132" s="198"/>
      <c r="PM132" s="198"/>
      <c r="PN132" s="198"/>
      <c r="PO132" s="198"/>
      <c r="PP132" s="198"/>
      <c r="PQ132" s="198"/>
      <c r="PR132" s="198"/>
      <c r="PS132" s="198"/>
      <c r="PT132" s="198"/>
      <c r="PU132" s="198"/>
      <c r="PV132" s="198"/>
      <c r="PW132" s="198"/>
      <c r="PX132" s="198"/>
      <c r="PY132" s="198"/>
      <c r="PZ132" s="198"/>
      <c r="QA132" s="198"/>
      <c r="QB132" s="198"/>
      <c r="QC132" s="198"/>
      <c r="QD132" s="198"/>
      <c r="QE132" s="198"/>
      <c r="QF132" s="198"/>
      <c r="QG132" s="198"/>
      <c r="QH132" s="198"/>
      <c r="QI132" s="198"/>
      <c r="QJ132" s="198"/>
      <c r="QK132" s="198"/>
      <c r="QL132" s="198"/>
      <c r="QM132" s="198"/>
      <c r="QN132" s="198"/>
      <c r="QO132" s="198"/>
      <c r="QP132" s="198"/>
      <c r="QQ132" s="198"/>
      <c r="QR132" s="198"/>
      <c r="QS132" s="198"/>
      <c r="QT132" s="198"/>
      <c r="QU132" s="198"/>
      <c r="QV132" s="198"/>
      <c r="QW132" s="198"/>
      <c r="QX132" s="198"/>
      <c r="QY132" s="198"/>
      <c r="QZ132" s="198"/>
      <c r="RA132" s="198"/>
      <c r="RB132" s="198"/>
      <c r="RC132" s="198"/>
      <c r="RD132" s="198"/>
      <c r="RE132" s="198"/>
      <c r="RF132" s="198"/>
      <c r="RG132" s="198"/>
      <c r="RH132" s="198"/>
      <c r="RI132" s="198"/>
      <c r="RJ132" s="198"/>
      <c r="RK132" s="198"/>
      <c r="RL132" s="198"/>
      <c r="RM132" s="198"/>
      <c r="RN132" s="198"/>
      <c r="RO132" s="198"/>
      <c r="RP132" s="198"/>
      <c r="RQ132" s="198"/>
      <c r="RR132" s="198"/>
      <c r="RS132" s="198"/>
      <c r="RT132" s="198"/>
      <c r="RU132" s="198"/>
      <c r="RV132" s="198"/>
      <c r="RW132" s="198"/>
      <c r="RX132" s="198"/>
      <c r="RY132" s="198"/>
      <c r="RZ132" s="198"/>
      <c r="SA132" s="198"/>
      <c r="SB132" s="198"/>
      <c r="SC132" s="198"/>
      <c r="SD132" s="198"/>
      <c r="SE132" s="198"/>
      <c r="SF132" s="198"/>
      <c r="SG132" s="198"/>
    </row>
    <row r="133" spans="1:501" ht="40.049999999999997" customHeight="1" x14ac:dyDescent="0.3">
      <c r="A133" s="543" t="s">
        <v>332</v>
      </c>
      <c r="B133" s="956" t="s">
        <v>333</v>
      </c>
      <c r="C133" s="950"/>
      <c r="D133" s="861"/>
      <c r="E133" s="862"/>
      <c r="F133" s="861"/>
      <c r="G133" s="862"/>
      <c r="H133" s="861"/>
      <c r="I133" s="862"/>
      <c r="J133" s="861"/>
      <c r="K133" s="862"/>
      <c r="L133" s="861"/>
      <c r="M133" s="862"/>
      <c r="N133" s="861"/>
      <c r="O133" s="862"/>
      <c r="P133" s="861"/>
      <c r="Q133" s="862"/>
      <c r="R133" s="861"/>
      <c r="S133" s="862"/>
      <c r="T133" s="861"/>
      <c r="U133" s="862"/>
      <c r="V133" s="861"/>
      <c r="W133" s="862"/>
      <c r="X133" s="861"/>
      <c r="Y133" s="862"/>
      <c r="Z133" s="861"/>
      <c r="AA133" s="862"/>
      <c r="AB133" s="864"/>
      <c r="AC133" s="864"/>
      <c r="AD133" s="864"/>
      <c r="AE133" s="864"/>
      <c r="AF133" s="861"/>
      <c r="AG133" s="865">
        <f t="shared" si="2"/>
        <v>0</v>
      </c>
      <c r="AH133" s="866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  <c r="AS133" s="198"/>
      <c r="AT133" s="198"/>
      <c r="AU133" s="198"/>
      <c r="AV133" s="198"/>
      <c r="AW133" s="198"/>
      <c r="AX133" s="198"/>
      <c r="AY133" s="198"/>
      <c r="AZ133" s="198"/>
      <c r="BA133" s="198"/>
      <c r="BB133" s="198"/>
      <c r="BC133" s="198"/>
      <c r="BD133" s="198"/>
      <c r="BE133" s="198"/>
      <c r="BF133" s="198"/>
      <c r="BG133" s="198"/>
      <c r="BH133" s="198"/>
      <c r="BI133" s="198"/>
      <c r="BJ133" s="198"/>
      <c r="BK133" s="198"/>
      <c r="BL133" s="198"/>
      <c r="BM133" s="198"/>
      <c r="BN133" s="198"/>
      <c r="BO133" s="198"/>
      <c r="BP133" s="198"/>
      <c r="BQ133" s="198"/>
      <c r="BR133" s="198"/>
      <c r="BS133" s="198"/>
      <c r="BT133" s="198"/>
      <c r="BU133" s="198"/>
      <c r="BV133" s="198"/>
      <c r="BW133" s="198"/>
      <c r="BX133" s="198"/>
      <c r="BY133" s="198"/>
      <c r="BZ133" s="198"/>
      <c r="CA133" s="198"/>
      <c r="CB133" s="198"/>
      <c r="CC133" s="198"/>
      <c r="CD133" s="198"/>
      <c r="CE133" s="198"/>
      <c r="CF133" s="198"/>
      <c r="CG133" s="198"/>
      <c r="CH133" s="198"/>
      <c r="CI133" s="198"/>
      <c r="CJ133" s="198"/>
      <c r="CK133" s="198"/>
      <c r="CL133" s="198"/>
      <c r="CM133" s="198"/>
      <c r="CN133" s="198"/>
      <c r="CO133" s="198"/>
      <c r="CP133" s="198"/>
      <c r="CQ133" s="198"/>
      <c r="CR133" s="198"/>
      <c r="CS133" s="198"/>
      <c r="CT133" s="198"/>
      <c r="CU133" s="198"/>
      <c r="CV133" s="198"/>
      <c r="CW133" s="198"/>
      <c r="CX133" s="198"/>
      <c r="CY133" s="198"/>
      <c r="CZ133" s="198"/>
      <c r="DA133" s="198"/>
      <c r="DB133" s="198"/>
      <c r="DC133" s="198"/>
      <c r="DD133" s="198"/>
      <c r="DE133" s="198"/>
      <c r="DF133" s="198"/>
      <c r="DG133" s="198"/>
      <c r="DH133" s="198"/>
      <c r="DI133" s="198"/>
      <c r="DJ133" s="198"/>
      <c r="DK133" s="198"/>
      <c r="DL133" s="198"/>
      <c r="DM133" s="198"/>
      <c r="DN133" s="198"/>
      <c r="DO133" s="198"/>
      <c r="DP133" s="198"/>
      <c r="DQ133" s="198"/>
      <c r="DR133" s="198"/>
      <c r="DS133" s="198"/>
      <c r="DT133" s="198"/>
      <c r="DU133" s="198"/>
      <c r="DV133" s="198"/>
      <c r="DW133" s="198"/>
      <c r="DX133" s="198"/>
      <c r="DY133" s="198"/>
      <c r="DZ133" s="198"/>
      <c r="EA133" s="198"/>
      <c r="EB133" s="198"/>
      <c r="EC133" s="198"/>
      <c r="ED133" s="198"/>
      <c r="EE133" s="198"/>
      <c r="EF133" s="198"/>
      <c r="EG133" s="198"/>
      <c r="EH133" s="198"/>
      <c r="EI133" s="198"/>
      <c r="EJ133" s="198"/>
      <c r="EK133" s="198"/>
      <c r="EL133" s="198"/>
      <c r="EM133" s="198"/>
      <c r="EN133" s="198"/>
      <c r="EO133" s="198"/>
      <c r="EP133" s="198"/>
      <c r="EQ133" s="198"/>
      <c r="ER133" s="198"/>
      <c r="ES133" s="198"/>
      <c r="ET133" s="198"/>
      <c r="EU133" s="198"/>
      <c r="EV133" s="198"/>
      <c r="EW133" s="198"/>
      <c r="EX133" s="198"/>
      <c r="EY133" s="198"/>
      <c r="EZ133" s="198"/>
      <c r="FA133" s="198"/>
      <c r="FB133" s="198"/>
      <c r="FC133" s="198"/>
      <c r="FD133" s="198"/>
      <c r="FE133" s="198"/>
      <c r="FF133" s="198"/>
      <c r="FG133" s="198"/>
      <c r="FH133" s="198"/>
      <c r="FI133" s="198"/>
      <c r="FJ133" s="198"/>
      <c r="FK133" s="198"/>
      <c r="FL133" s="198"/>
      <c r="FM133" s="198"/>
      <c r="FN133" s="198"/>
      <c r="FO133" s="198"/>
      <c r="FP133" s="198"/>
      <c r="FQ133" s="198"/>
      <c r="FR133" s="198"/>
      <c r="FS133" s="198"/>
      <c r="FT133" s="198"/>
      <c r="FU133" s="198"/>
      <c r="FV133" s="198"/>
      <c r="FW133" s="198"/>
      <c r="FX133" s="198"/>
      <c r="FY133" s="198"/>
      <c r="FZ133" s="198"/>
      <c r="GA133" s="198"/>
      <c r="GB133" s="198"/>
      <c r="GC133" s="198"/>
      <c r="GD133" s="198"/>
      <c r="GE133" s="198"/>
      <c r="GF133" s="198"/>
      <c r="GG133" s="198"/>
      <c r="GH133" s="198"/>
      <c r="GI133" s="198"/>
      <c r="GJ133" s="198"/>
      <c r="GK133" s="198"/>
      <c r="GL133" s="198"/>
      <c r="GM133" s="198"/>
      <c r="GN133" s="198"/>
      <c r="GO133" s="198"/>
      <c r="GP133" s="198"/>
      <c r="GQ133" s="198"/>
      <c r="GR133" s="198"/>
      <c r="GS133" s="198"/>
      <c r="GT133" s="198"/>
      <c r="GU133" s="198"/>
      <c r="GV133" s="198"/>
      <c r="GW133" s="198"/>
      <c r="GX133" s="198"/>
      <c r="GY133" s="198"/>
      <c r="GZ133" s="198"/>
      <c r="HA133" s="198"/>
      <c r="HB133" s="198"/>
      <c r="HC133" s="198"/>
      <c r="HD133" s="198"/>
      <c r="HE133" s="198"/>
      <c r="HF133" s="198"/>
      <c r="HG133" s="198"/>
      <c r="HH133" s="198"/>
      <c r="HI133" s="198"/>
      <c r="HJ133" s="198"/>
      <c r="HK133" s="198"/>
      <c r="HL133" s="198"/>
      <c r="HM133" s="198"/>
      <c r="HN133" s="198"/>
      <c r="HO133" s="198"/>
      <c r="HP133" s="198"/>
      <c r="HQ133" s="198"/>
      <c r="HR133" s="198"/>
      <c r="HS133" s="198"/>
      <c r="HT133" s="198"/>
      <c r="HU133" s="198"/>
      <c r="HV133" s="198"/>
      <c r="HW133" s="198"/>
      <c r="HX133" s="198"/>
      <c r="HY133" s="198"/>
      <c r="HZ133" s="198"/>
      <c r="IA133" s="198"/>
      <c r="IB133" s="198"/>
      <c r="IC133" s="198"/>
      <c r="ID133" s="198"/>
      <c r="IE133" s="198"/>
      <c r="IF133" s="198"/>
      <c r="IG133" s="198"/>
      <c r="IH133" s="198"/>
      <c r="II133" s="198"/>
      <c r="IJ133" s="198"/>
      <c r="IK133" s="198"/>
      <c r="IL133" s="198"/>
      <c r="IM133" s="198"/>
      <c r="IN133" s="198"/>
      <c r="IO133" s="198"/>
      <c r="IP133" s="198"/>
      <c r="IQ133" s="198"/>
      <c r="IR133" s="198"/>
      <c r="IS133" s="198"/>
      <c r="IT133" s="198"/>
      <c r="IU133" s="198"/>
      <c r="IV133" s="198"/>
      <c r="IW133" s="198"/>
      <c r="IX133" s="198"/>
      <c r="IY133" s="198"/>
      <c r="IZ133" s="198"/>
      <c r="JA133" s="198"/>
      <c r="JB133" s="198"/>
      <c r="JC133" s="198"/>
      <c r="JD133" s="198"/>
      <c r="JE133" s="198"/>
      <c r="JF133" s="198"/>
      <c r="JG133" s="198"/>
      <c r="JH133" s="198"/>
      <c r="JI133" s="198"/>
      <c r="JJ133" s="198"/>
      <c r="JK133" s="198"/>
      <c r="JL133" s="198"/>
      <c r="JM133" s="198"/>
      <c r="JN133" s="198"/>
      <c r="JO133" s="198"/>
      <c r="JP133" s="198"/>
      <c r="JQ133" s="198"/>
      <c r="JR133" s="198"/>
      <c r="JS133" s="198"/>
      <c r="JT133" s="198"/>
      <c r="JU133" s="198"/>
      <c r="JV133" s="198"/>
      <c r="JW133" s="198"/>
      <c r="JX133" s="198"/>
      <c r="JY133" s="198"/>
      <c r="JZ133" s="198"/>
      <c r="KA133" s="198"/>
      <c r="KB133" s="198"/>
      <c r="KC133" s="198"/>
      <c r="KD133" s="198"/>
      <c r="KE133" s="198"/>
      <c r="KF133" s="198"/>
      <c r="KG133" s="198"/>
      <c r="KH133" s="198"/>
      <c r="KI133" s="198"/>
      <c r="KJ133" s="198"/>
      <c r="KK133" s="198"/>
      <c r="KL133" s="198"/>
      <c r="KM133" s="198"/>
      <c r="KN133" s="198"/>
      <c r="KO133" s="198"/>
      <c r="KP133" s="198"/>
      <c r="KQ133" s="198"/>
      <c r="KR133" s="198"/>
      <c r="KS133" s="198"/>
      <c r="KT133" s="198"/>
      <c r="KU133" s="198"/>
      <c r="KV133" s="198"/>
      <c r="KW133" s="198"/>
      <c r="KX133" s="198"/>
      <c r="KY133" s="198"/>
      <c r="KZ133" s="198"/>
      <c r="LA133" s="198"/>
      <c r="LB133" s="198"/>
      <c r="LC133" s="198"/>
      <c r="LD133" s="198"/>
      <c r="LE133" s="198"/>
      <c r="LF133" s="198"/>
      <c r="LG133" s="198"/>
      <c r="LH133" s="198"/>
      <c r="LI133" s="198"/>
      <c r="LJ133" s="198"/>
      <c r="LK133" s="198"/>
      <c r="LL133" s="198"/>
      <c r="LM133" s="198"/>
      <c r="LN133" s="198"/>
      <c r="LO133" s="198"/>
      <c r="LP133" s="198"/>
      <c r="LQ133" s="198"/>
      <c r="LR133" s="198"/>
      <c r="LS133" s="198"/>
      <c r="LT133" s="198"/>
      <c r="LU133" s="198"/>
      <c r="LV133" s="198"/>
      <c r="LW133" s="198"/>
      <c r="LX133" s="198"/>
      <c r="LY133" s="198"/>
      <c r="LZ133" s="198"/>
      <c r="MA133" s="198"/>
      <c r="MB133" s="198"/>
      <c r="MC133" s="198"/>
      <c r="MD133" s="198"/>
      <c r="ME133" s="198"/>
      <c r="MF133" s="198"/>
      <c r="MG133" s="198"/>
      <c r="MH133" s="198"/>
      <c r="MI133" s="198"/>
      <c r="MJ133" s="198"/>
      <c r="MK133" s="198"/>
      <c r="ML133" s="198"/>
      <c r="MM133" s="198"/>
      <c r="MN133" s="198"/>
      <c r="MO133" s="198"/>
      <c r="MP133" s="198"/>
      <c r="MQ133" s="198"/>
      <c r="MR133" s="198"/>
      <c r="MS133" s="198"/>
      <c r="MT133" s="198"/>
      <c r="MU133" s="198"/>
      <c r="MV133" s="198"/>
      <c r="MW133" s="198"/>
      <c r="MX133" s="198"/>
      <c r="MY133" s="198"/>
      <c r="MZ133" s="198"/>
      <c r="NA133" s="198"/>
      <c r="NB133" s="198"/>
      <c r="NC133" s="198"/>
      <c r="ND133" s="198"/>
      <c r="NE133" s="198"/>
      <c r="NF133" s="198"/>
      <c r="NG133" s="198"/>
      <c r="NH133" s="198"/>
      <c r="NI133" s="198"/>
      <c r="NJ133" s="198"/>
      <c r="NK133" s="198"/>
      <c r="NL133" s="198"/>
      <c r="NM133" s="198"/>
      <c r="NN133" s="198"/>
      <c r="NO133" s="198"/>
      <c r="NP133" s="198"/>
      <c r="NQ133" s="198"/>
      <c r="NR133" s="198"/>
      <c r="NS133" s="198"/>
      <c r="NT133" s="198"/>
      <c r="NU133" s="198"/>
      <c r="NV133" s="198"/>
      <c r="NW133" s="198"/>
      <c r="NX133" s="198"/>
      <c r="NY133" s="198"/>
      <c r="NZ133" s="198"/>
      <c r="OA133" s="198"/>
      <c r="OB133" s="198"/>
      <c r="OC133" s="198"/>
      <c r="OD133" s="198"/>
      <c r="OE133" s="198"/>
      <c r="OF133" s="198"/>
      <c r="OG133" s="198"/>
      <c r="OH133" s="198"/>
      <c r="OI133" s="198"/>
      <c r="OJ133" s="198"/>
      <c r="OK133" s="198"/>
      <c r="OL133" s="198"/>
      <c r="OM133" s="198"/>
      <c r="ON133" s="198"/>
      <c r="OO133" s="198"/>
      <c r="OP133" s="198"/>
      <c r="OQ133" s="198"/>
      <c r="OR133" s="198"/>
      <c r="OS133" s="198"/>
      <c r="OT133" s="198"/>
      <c r="OU133" s="198"/>
      <c r="OV133" s="198"/>
      <c r="OW133" s="198"/>
      <c r="OX133" s="198"/>
      <c r="OY133" s="198"/>
      <c r="OZ133" s="198"/>
      <c r="PA133" s="198"/>
      <c r="PB133" s="198"/>
      <c r="PC133" s="198"/>
      <c r="PD133" s="198"/>
      <c r="PE133" s="198"/>
      <c r="PF133" s="198"/>
      <c r="PG133" s="198"/>
      <c r="PH133" s="198"/>
      <c r="PI133" s="198"/>
      <c r="PJ133" s="198"/>
      <c r="PK133" s="198"/>
      <c r="PL133" s="198"/>
      <c r="PM133" s="198"/>
      <c r="PN133" s="198"/>
      <c r="PO133" s="198"/>
      <c r="PP133" s="198"/>
      <c r="PQ133" s="198"/>
      <c r="PR133" s="198"/>
      <c r="PS133" s="198"/>
      <c r="PT133" s="198"/>
      <c r="PU133" s="198"/>
      <c r="PV133" s="198"/>
      <c r="PW133" s="198"/>
      <c r="PX133" s="198"/>
      <c r="PY133" s="198"/>
      <c r="PZ133" s="198"/>
      <c r="QA133" s="198"/>
      <c r="QB133" s="198"/>
      <c r="QC133" s="198"/>
      <c r="QD133" s="198"/>
      <c r="QE133" s="198"/>
      <c r="QF133" s="198"/>
      <c r="QG133" s="198"/>
      <c r="QH133" s="198"/>
      <c r="QI133" s="198"/>
      <c r="QJ133" s="198"/>
      <c r="QK133" s="198"/>
      <c r="QL133" s="198"/>
      <c r="QM133" s="198"/>
      <c r="QN133" s="198"/>
      <c r="QO133" s="198"/>
      <c r="QP133" s="198"/>
      <c r="QQ133" s="198"/>
      <c r="QR133" s="198"/>
      <c r="QS133" s="198"/>
      <c r="QT133" s="198"/>
      <c r="QU133" s="198"/>
      <c r="QV133" s="198"/>
      <c r="QW133" s="198"/>
      <c r="QX133" s="198"/>
      <c r="QY133" s="198"/>
      <c r="QZ133" s="198"/>
      <c r="RA133" s="198"/>
      <c r="RB133" s="198"/>
      <c r="RC133" s="198"/>
      <c r="RD133" s="198"/>
      <c r="RE133" s="198"/>
      <c r="RF133" s="198"/>
      <c r="RG133" s="198"/>
      <c r="RH133" s="198"/>
      <c r="RI133" s="198"/>
      <c r="RJ133" s="198"/>
      <c r="RK133" s="198"/>
      <c r="RL133" s="198"/>
      <c r="RM133" s="198"/>
      <c r="RN133" s="198"/>
      <c r="RO133" s="198"/>
      <c r="RP133" s="198"/>
      <c r="RQ133" s="198"/>
      <c r="RR133" s="198"/>
      <c r="RS133" s="198"/>
      <c r="RT133" s="198"/>
      <c r="RU133" s="198"/>
      <c r="RV133" s="198"/>
      <c r="RW133" s="198"/>
      <c r="RX133" s="198"/>
      <c r="RY133" s="198"/>
      <c r="RZ133" s="198"/>
      <c r="SA133" s="198"/>
      <c r="SB133" s="198"/>
      <c r="SC133" s="198"/>
      <c r="SD133" s="198"/>
      <c r="SE133" s="198"/>
      <c r="SF133" s="198"/>
      <c r="SG133" s="198"/>
    </row>
    <row r="134" spans="1:501" ht="40.049999999999997" customHeight="1" x14ac:dyDescent="0.3">
      <c r="A134" s="543" t="s">
        <v>334</v>
      </c>
      <c r="B134" s="956" t="s">
        <v>335</v>
      </c>
      <c r="C134" s="950"/>
      <c r="D134" s="861"/>
      <c r="E134" s="862"/>
      <c r="F134" s="861"/>
      <c r="G134" s="862"/>
      <c r="H134" s="861"/>
      <c r="I134" s="862"/>
      <c r="J134" s="861"/>
      <c r="K134" s="862"/>
      <c r="L134" s="861"/>
      <c r="M134" s="862"/>
      <c r="N134" s="861"/>
      <c r="O134" s="862"/>
      <c r="P134" s="861"/>
      <c r="Q134" s="862"/>
      <c r="R134" s="861"/>
      <c r="S134" s="862"/>
      <c r="T134" s="861"/>
      <c r="U134" s="862"/>
      <c r="V134" s="861"/>
      <c r="W134" s="862"/>
      <c r="X134" s="861"/>
      <c r="Y134" s="862"/>
      <c r="Z134" s="861"/>
      <c r="AA134" s="862"/>
      <c r="AB134" s="864"/>
      <c r="AC134" s="864"/>
      <c r="AD134" s="864"/>
      <c r="AE134" s="864"/>
      <c r="AF134" s="861"/>
      <c r="AG134" s="865">
        <f t="shared" si="2"/>
        <v>0</v>
      </c>
      <c r="AH134" s="866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  <c r="AS134" s="198"/>
      <c r="AT134" s="198"/>
      <c r="AU134" s="198"/>
      <c r="AV134" s="198"/>
      <c r="AW134" s="198"/>
      <c r="AX134" s="198"/>
      <c r="AY134" s="198"/>
      <c r="AZ134" s="198"/>
      <c r="BA134" s="198"/>
      <c r="BB134" s="198"/>
      <c r="BC134" s="198"/>
      <c r="BD134" s="198"/>
      <c r="BE134" s="198"/>
      <c r="BF134" s="198"/>
      <c r="BG134" s="198"/>
      <c r="BH134" s="198"/>
      <c r="BI134" s="198"/>
      <c r="BJ134" s="198"/>
      <c r="BK134" s="198"/>
      <c r="BL134" s="198"/>
      <c r="BM134" s="198"/>
      <c r="BN134" s="198"/>
      <c r="BO134" s="198"/>
      <c r="BP134" s="198"/>
      <c r="BQ134" s="198"/>
      <c r="BR134" s="198"/>
      <c r="BS134" s="198"/>
      <c r="BT134" s="198"/>
      <c r="BU134" s="198"/>
      <c r="BV134" s="198"/>
      <c r="BW134" s="198"/>
      <c r="BX134" s="198"/>
      <c r="BY134" s="198"/>
      <c r="BZ134" s="198"/>
      <c r="CA134" s="198"/>
      <c r="CB134" s="198"/>
      <c r="CC134" s="198"/>
      <c r="CD134" s="198"/>
      <c r="CE134" s="198"/>
      <c r="CF134" s="198"/>
      <c r="CG134" s="198"/>
      <c r="CH134" s="198"/>
      <c r="CI134" s="198"/>
      <c r="CJ134" s="198"/>
      <c r="CK134" s="198"/>
      <c r="CL134" s="198"/>
      <c r="CM134" s="198"/>
      <c r="CN134" s="198"/>
      <c r="CO134" s="198"/>
      <c r="CP134" s="198"/>
      <c r="CQ134" s="198"/>
      <c r="CR134" s="198"/>
      <c r="CS134" s="198"/>
      <c r="CT134" s="198"/>
      <c r="CU134" s="198"/>
      <c r="CV134" s="198"/>
      <c r="CW134" s="198"/>
      <c r="CX134" s="198"/>
      <c r="CY134" s="198"/>
      <c r="CZ134" s="198"/>
      <c r="DA134" s="198"/>
      <c r="DB134" s="198"/>
      <c r="DC134" s="198"/>
      <c r="DD134" s="198"/>
      <c r="DE134" s="198"/>
      <c r="DF134" s="198"/>
      <c r="DG134" s="198"/>
      <c r="DH134" s="198"/>
      <c r="DI134" s="198"/>
      <c r="DJ134" s="198"/>
      <c r="DK134" s="198"/>
      <c r="DL134" s="198"/>
      <c r="DM134" s="198"/>
      <c r="DN134" s="198"/>
      <c r="DO134" s="198"/>
      <c r="DP134" s="198"/>
      <c r="DQ134" s="198"/>
      <c r="DR134" s="198"/>
      <c r="DS134" s="198"/>
      <c r="DT134" s="198"/>
      <c r="DU134" s="198"/>
      <c r="DV134" s="198"/>
      <c r="DW134" s="198"/>
      <c r="DX134" s="198"/>
      <c r="DY134" s="198"/>
      <c r="DZ134" s="198"/>
      <c r="EA134" s="198"/>
      <c r="EB134" s="198"/>
      <c r="EC134" s="198"/>
      <c r="ED134" s="198"/>
      <c r="EE134" s="198"/>
      <c r="EF134" s="198"/>
      <c r="EG134" s="198"/>
      <c r="EH134" s="198"/>
      <c r="EI134" s="198"/>
      <c r="EJ134" s="198"/>
      <c r="EK134" s="198"/>
      <c r="EL134" s="198"/>
      <c r="EM134" s="198"/>
      <c r="EN134" s="198"/>
      <c r="EO134" s="198"/>
      <c r="EP134" s="198"/>
      <c r="EQ134" s="198"/>
      <c r="ER134" s="198"/>
      <c r="ES134" s="198"/>
      <c r="ET134" s="198"/>
      <c r="EU134" s="198"/>
      <c r="EV134" s="198"/>
      <c r="EW134" s="198"/>
      <c r="EX134" s="198"/>
      <c r="EY134" s="198"/>
      <c r="EZ134" s="198"/>
      <c r="FA134" s="198"/>
      <c r="FB134" s="198"/>
      <c r="FC134" s="198"/>
      <c r="FD134" s="198"/>
      <c r="FE134" s="198"/>
      <c r="FF134" s="198"/>
      <c r="FG134" s="198"/>
      <c r="FH134" s="198"/>
      <c r="FI134" s="198"/>
      <c r="FJ134" s="198"/>
      <c r="FK134" s="198"/>
      <c r="FL134" s="198"/>
      <c r="FM134" s="198"/>
      <c r="FN134" s="198"/>
      <c r="FO134" s="198"/>
      <c r="FP134" s="198"/>
      <c r="FQ134" s="198"/>
      <c r="FR134" s="198"/>
      <c r="FS134" s="198"/>
      <c r="FT134" s="198"/>
      <c r="FU134" s="198"/>
      <c r="FV134" s="198"/>
      <c r="FW134" s="198"/>
      <c r="FX134" s="198"/>
      <c r="FY134" s="198"/>
      <c r="FZ134" s="198"/>
      <c r="GA134" s="198"/>
      <c r="GB134" s="198"/>
      <c r="GC134" s="198"/>
      <c r="GD134" s="198"/>
      <c r="GE134" s="198"/>
      <c r="GF134" s="198"/>
      <c r="GG134" s="198"/>
      <c r="GH134" s="198"/>
      <c r="GI134" s="198"/>
      <c r="GJ134" s="198"/>
      <c r="GK134" s="198"/>
      <c r="GL134" s="198"/>
      <c r="GM134" s="198"/>
      <c r="GN134" s="198"/>
      <c r="GO134" s="198"/>
      <c r="GP134" s="198"/>
      <c r="GQ134" s="198"/>
      <c r="GR134" s="198"/>
      <c r="GS134" s="198"/>
      <c r="GT134" s="198"/>
      <c r="GU134" s="198"/>
      <c r="GV134" s="198"/>
      <c r="GW134" s="198"/>
      <c r="GX134" s="198"/>
      <c r="GY134" s="198"/>
      <c r="GZ134" s="198"/>
      <c r="HA134" s="198"/>
      <c r="HB134" s="198"/>
      <c r="HC134" s="198"/>
      <c r="HD134" s="198"/>
      <c r="HE134" s="198"/>
      <c r="HF134" s="198"/>
      <c r="HG134" s="198"/>
      <c r="HH134" s="198"/>
      <c r="HI134" s="198"/>
      <c r="HJ134" s="198"/>
      <c r="HK134" s="198"/>
      <c r="HL134" s="198"/>
      <c r="HM134" s="198"/>
      <c r="HN134" s="198"/>
      <c r="HO134" s="198"/>
      <c r="HP134" s="198"/>
      <c r="HQ134" s="198"/>
      <c r="HR134" s="198"/>
      <c r="HS134" s="198"/>
      <c r="HT134" s="198"/>
      <c r="HU134" s="198"/>
      <c r="HV134" s="198"/>
      <c r="HW134" s="198"/>
      <c r="HX134" s="198"/>
      <c r="HY134" s="198"/>
      <c r="HZ134" s="198"/>
      <c r="IA134" s="198"/>
      <c r="IB134" s="198"/>
      <c r="IC134" s="198"/>
      <c r="ID134" s="198"/>
      <c r="IE134" s="198"/>
      <c r="IF134" s="198"/>
      <c r="IG134" s="198"/>
      <c r="IH134" s="198"/>
      <c r="II134" s="198"/>
      <c r="IJ134" s="198"/>
      <c r="IK134" s="198"/>
      <c r="IL134" s="198"/>
      <c r="IM134" s="198"/>
      <c r="IN134" s="198"/>
      <c r="IO134" s="198"/>
      <c r="IP134" s="198"/>
      <c r="IQ134" s="198"/>
      <c r="IR134" s="198"/>
      <c r="IS134" s="198"/>
      <c r="IT134" s="198"/>
      <c r="IU134" s="198"/>
      <c r="IV134" s="198"/>
      <c r="IW134" s="198"/>
      <c r="IX134" s="198"/>
      <c r="IY134" s="198"/>
      <c r="IZ134" s="198"/>
      <c r="JA134" s="198"/>
      <c r="JB134" s="198"/>
      <c r="JC134" s="198"/>
      <c r="JD134" s="198"/>
      <c r="JE134" s="198"/>
      <c r="JF134" s="198"/>
      <c r="JG134" s="198"/>
      <c r="JH134" s="198"/>
      <c r="JI134" s="198"/>
      <c r="JJ134" s="198"/>
      <c r="JK134" s="198"/>
      <c r="JL134" s="198"/>
      <c r="JM134" s="198"/>
      <c r="JN134" s="198"/>
      <c r="JO134" s="198"/>
      <c r="JP134" s="198"/>
      <c r="JQ134" s="198"/>
      <c r="JR134" s="198"/>
      <c r="JS134" s="198"/>
      <c r="JT134" s="198"/>
      <c r="JU134" s="198"/>
      <c r="JV134" s="198"/>
      <c r="JW134" s="198"/>
      <c r="JX134" s="198"/>
      <c r="JY134" s="198"/>
      <c r="JZ134" s="198"/>
      <c r="KA134" s="198"/>
      <c r="KB134" s="198"/>
      <c r="KC134" s="198"/>
      <c r="KD134" s="198"/>
      <c r="KE134" s="198"/>
      <c r="KF134" s="198"/>
      <c r="KG134" s="198"/>
      <c r="KH134" s="198"/>
      <c r="KI134" s="198"/>
      <c r="KJ134" s="198"/>
      <c r="KK134" s="198"/>
      <c r="KL134" s="198"/>
      <c r="KM134" s="198"/>
      <c r="KN134" s="198"/>
      <c r="KO134" s="198"/>
      <c r="KP134" s="198"/>
      <c r="KQ134" s="198"/>
      <c r="KR134" s="198"/>
      <c r="KS134" s="198"/>
      <c r="KT134" s="198"/>
      <c r="KU134" s="198"/>
      <c r="KV134" s="198"/>
      <c r="KW134" s="198"/>
      <c r="KX134" s="198"/>
      <c r="KY134" s="198"/>
      <c r="KZ134" s="198"/>
      <c r="LA134" s="198"/>
      <c r="LB134" s="198"/>
      <c r="LC134" s="198"/>
      <c r="LD134" s="198"/>
      <c r="LE134" s="198"/>
      <c r="LF134" s="198"/>
      <c r="LG134" s="198"/>
      <c r="LH134" s="198"/>
      <c r="LI134" s="198"/>
      <c r="LJ134" s="198"/>
      <c r="LK134" s="198"/>
      <c r="LL134" s="198"/>
      <c r="LM134" s="198"/>
      <c r="LN134" s="198"/>
      <c r="LO134" s="198"/>
      <c r="LP134" s="198"/>
      <c r="LQ134" s="198"/>
      <c r="LR134" s="198"/>
      <c r="LS134" s="198"/>
      <c r="LT134" s="198"/>
      <c r="LU134" s="198"/>
      <c r="LV134" s="198"/>
      <c r="LW134" s="198"/>
      <c r="LX134" s="198"/>
      <c r="LY134" s="198"/>
      <c r="LZ134" s="198"/>
      <c r="MA134" s="198"/>
      <c r="MB134" s="198"/>
      <c r="MC134" s="198"/>
      <c r="MD134" s="198"/>
      <c r="ME134" s="198"/>
      <c r="MF134" s="198"/>
      <c r="MG134" s="198"/>
      <c r="MH134" s="198"/>
      <c r="MI134" s="198"/>
      <c r="MJ134" s="198"/>
      <c r="MK134" s="198"/>
      <c r="ML134" s="198"/>
      <c r="MM134" s="198"/>
      <c r="MN134" s="198"/>
      <c r="MO134" s="198"/>
      <c r="MP134" s="198"/>
      <c r="MQ134" s="198"/>
      <c r="MR134" s="198"/>
      <c r="MS134" s="198"/>
      <c r="MT134" s="198"/>
      <c r="MU134" s="198"/>
      <c r="MV134" s="198"/>
      <c r="MW134" s="198"/>
      <c r="MX134" s="198"/>
      <c r="MY134" s="198"/>
      <c r="MZ134" s="198"/>
      <c r="NA134" s="198"/>
      <c r="NB134" s="198"/>
      <c r="NC134" s="198"/>
      <c r="ND134" s="198"/>
      <c r="NE134" s="198"/>
      <c r="NF134" s="198"/>
      <c r="NG134" s="198"/>
      <c r="NH134" s="198"/>
      <c r="NI134" s="198"/>
      <c r="NJ134" s="198"/>
      <c r="NK134" s="198"/>
      <c r="NL134" s="198"/>
      <c r="NM134" s="198"/>
      <c r="NN134" s="198"/>
      <c r="NO134" s="198"/>
      <c r="NP134" s="198"/>
      <c r="NQ134" s="198"/>
      <c r="NR134" s="198"/>
      <c r="NS134" s="198"/>
      <c r="NT134" s="198"/>
      <c r="NU134" s="198"/>
      <c r="NV134" s="198"/>
      <c r="NW134" s="198"/>
      <c r="NX134" s="198"/>
      <c r="NY134" s="198"/>
      <c r="NZ134" s="198"/>
      <c r="OA134" s="198"/>
      <c r="OB134" s="198"/>
      <c r="OC134" s="198"/>
      <c r="OD134" s="198"/>
      <c r="OE134" s="198"/>
      <c r="OF134" s="198"/>
      <c r="OG134" s="198"/>
      <c r="OH134" s="198"/>
      <c r="OI134" s="198"/>
      <c r="OJ134" s="198"/>
      <c r="OK134" s="198"/>
      <c r="OL134" s="198"/>
      <c r="OM134" s="198"/>
      <c r="ON134" s="198"/>
      <c r="OO134" s="198"/>
      <c r="OP134" s="198"/>
      <c r="OQ134" s="198"/>
      <c r="OR134" s="198"/>
      <c r="OS134" s="198"/>
      <c r="OT134" s="198"/>
      <c r="OU134" s="198"/>
      <c r="OV134" s="198"/>
      <c r="OW134" s="198"/>
      <c r="OX134" s="198"/>
      <c r="OY134" s="198"/>
      <c r="OZ134" s="198"/>
      <c r="PA134" s="198"/>
      <c r="PB134" s="198"/>
      <c r="PC134" s="198"/>
      <c r="PD134" s="198"/>
      <c r="PE134" s="198"/>
      <c r="PF134" s="198"/>
      <c r="PG134" s="198"/>
      <c r="PH134" s="198"/>
      <c r="PI134" s="198"/>
      <c r="PJ134" s="198"/>
      <c r="PK134" s="198"/>
      <c r="PL134" s="198"/>
      <c r="PM134" s="198"/>
      <c r="PN134" s="198"/>
      <c r="PO134" s="198"/>
      <c r="PP134" s="198"/>
      <c r="PQ134" s="198"/>
      <c r="PR134" s="198"/>
      <c r="PS134" s="198"/>
      <c r="PT134" s="198"/>
      <c r="PU134" s="198"/>
      <c r="PV134" s="198"/>
      <c r="PW134" s="198"/>
      <c r="PX134" s="198"/>
      <c r="PY134" s="198"/>
      <c r="PZ134" s="198"/>
      <c r="QA134" s="198"/>
      <c r="QB134" s="198"/>
      <c r="QC134" s="198"/>
      <c r="QD134" s="198"/>
      <c r="QE134" s="198"/>
      <c r="QF134" s="198"/>
      <c r="QG134" s="198"/>
      <c r="QH134" s="198"/>
      <c r="QI134" s="198"/>
      <c r="QJ134" s="198"/>
      <c r="QK134" s="198"/>
      <c r="QL134" s="198"/>
      <c r="QM134" s="198"/>
      <c r="QN134" s="198"/>
      <c r="QO134" s="198"/>
      <c r="QP134" s="198"/>
      <c r="QQ134" s="198"/>
      <c r="QR134" s="198"/>
      <c r="QS134" s="198"/>
      <c r="QT134" s="198"/>
      <c r="QU134" s="198"/>
      <c r="QV134" s="198"/>
      <c r="QW134" s="198"/>
      <c r="QX134" s="198"/>
      <c r="QY134" s="198"/>
      <c r="QZ134" s="198"/>
      <c r="RA134" s="198"/>
      <c r="RB134" s="198"/>
      <c r="RC134" s="198"/>
      <c r="RD134" s="198"/>
      <c r="RE134" s="198"/>
      <c r="RF134" s="198"/>
      <c r="RG134" s="198"/>
      <c r="RH134" s="198"/>
      <c r="RI134" s="198"/>
      <c r="RJ134" s="198"/>
      <c r="RK134" s="198"/>
      <c r="RL134" s="198"/>
      <c r="RM134" s="198"/>
      <c r="RN134" s="198"/>
      <c r="RO134" s="198"/>
      <c r="RP134" s="198"/>
      <c r="RQ134" s="198"/>
      <c r="RR134" s="198"/>
      <c r="RS134" s="198"/>
      <c r="RT134" s="198"/>
      <c r="RU134" s="198"/>
      <c r="RV134" s="198"/>
      <c r="RW134" s="198"/>
      <c r="RX134" s="198"/>
      <c r="RY134" s="198"/>
      <c r="RZ134" s="198"/>
      <c r="SA134" s="198"/>
      <c r="SB134" s="198"/>
      <c r="SC134" s="198"/>
      <c r="SD134" s="198"/>
      <c r="SE134" s="198"/>
      <c r="SF134" s="198"/>
      <c r="SG134" s="198"/>
    </row>
    <row r="135" spans="1:501" ht="40.049999999999997" customHeight="1" x14ac:dyDescent="0.3">
      <c r="A135" s="543" t="s">
        <v>336</v>
      </c>
      <c r="B135" s="956" t="s">
        <v>337</v>
      </c>
      <c r="C135" s="950"/>
      <c r="D135" s="861"/>
      <c r="E135" s="862"/>
      <c r="F135" s="861"/>
      <c r="G135" s="862"/>
      <c r="H135" s="861"/>
      <c r="I135" s="862"/>
      <c r="J135" s="861"/>
      <c r="K135" s="862"/>
      <c r="L135" s="861"/>
      <c r="M135" s="862"/>
      <c r="N135" s="861"/>
      <c r="O135" s="862"/>
      <c r="P135" s="861"/>
      <c r="Q135" s="862"/>
      <c r="R135" s="861"/>
      <c r="S135" s="862"/>
      <c r="T135" s="861"/>
      <c r="U135" s="862"/>
      <c r="V135" s="861"/>
      <c r="W135" s="862"/>
      <c r="X135" s="861"/>
      <c r="Y135" s="862"/>
      <c r="Z135" s="861"/>
      <c r="AA135" s="862"/>
      <c r="AB135" s="864"/>
      <c r="AC135" s="864"/>
      <c r="AD135" s="864"/>
      <c r="AE135" s="864"/>
      <c r="AF135" s="861"/>
      <c r="AG135" s="865">
        <f t="shared" si="2"/>
        <v>0</v>
      </c>
      <c r="AH135" s="866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  <c r="AS135" s="198"/>
      <c r="AT135" s="198"/>
      <c r="AU135" s="198"/>
      <c r="AV135" s="198"/>
      <c r="AW135" s="198"/>
      <c r="AX135" s="198"/>
      <c r="AY135" s="198"/>
      <c r="AZ135" s="198"/>
      <c r="BA135" s="198"/>
      <c r="BB135" s="198"/>
      <c r="BC135" s="198"/>
      <c r="BD135" s="198"/>
      <c r="BE135" s="198"/>
      <c r="BF135" s="198"/>
      <c r="BG135" s="198"/>
      <c r="BH135" s="198"/>
      <c r="BI135" s="198"/>
      <c r="BJ135" s="198"/>
      <c r="BK135" s="198"/>
      <c r="BL135" s="198"/>
      <c r="BM135" s="198"/>
      <c r="BN135" s="198"/>
      <c r="BO135" s="198"/>
      <c r="BP135" s="198"/>
      <c r="BQ135" s="198"/>
      <c r="BR135" s="198"/>
      <c r="BS135" s="198"/>
      <c r="BT135" s="198"/>
      <c r="BU135" s="198"/>
      <c r="BV135" s="198"/>
      <c r="BW135" s="198"/>
      <c r="BX135" s="198"/>
      <c r="BY135" s="198"/>
      <c r="BZ135" s="198"/>
      <c r="CA135" s="198"/>
      <c r="CB135" s="198"/>
      <c r="CC135" s="198"/>
      <c r="CD135" s="198"/>
      <c r="CE135" s="198"/>
      <c r="CF135" s="198"/>
      <c r="CG135" s="198"/>
      <c r="CH135" s="198"/>
      <c r="CI135" s="198"/>
      <c r="CJ135" s="198"/>
      <c r="CK135" s="198"/>
      <c r="CL135" s="198"/>
      <c r="CM135" s="198"/>
      <c r="CN135" s="198"/>
      <c r="CO135" s="198"/>
      <c r="CP135" s="198"/>
      <c r="CQ135" s="198"/>
      <c r="CR135" s="198"/>
      <c r="CS135" s="198"/>
      <c r="CT135" s="198"/>
      <c r="CU135" s="198"/>
      <c r="CV135" s="198"/>
      <c r="CW135" s="198"/>
      <c r="CX135" s="198"/>
      <c r="CY135" s="198"/>
      <c r="CZ135" s="198"/>
      <c r="DA135" s="198"/>
      <c r="DB135" s="198"/>
      <c r="DC135" s="198"/>
      <c r="DD135" s="198"/>
      <c r="DE135" s="198"/>
      <c r="DF135" s="198"/>
      <c r="DG135" s="198"/>
      <c r="DH135" s="198"/>
      <c r="DI135" s="198"/>
      <c r="DJ135" s="198"/>
      <c r="DK135" s="198"/>
      <c r="DL135" s="198"/>
      <c r="DM135" s="198"/>
      <c r="DN135" s="198"/>
      <c r="DO135" s="198"/>
      <c r="DP135" s="198"/>
      <c r="DQ135" s="198"/>
      <c r="DR135" s="198"/>
      <c r="DS135" s="198"/>
      <c r="DT135" s="198"/>
      <c r="DU135" s="198"/>
      <c r="DV135" s="198"/>
      <c r="DW135" s="198"/>
      <c r="DX135" s="198"/>
      <c r="DY135" s="198"/>
      <c r="DZ135" s="198"/>
      <c r="EA135" s="198"/>
      <c r="EB135" s="198"/>
      <c r="EC135" s="198"/>
      <c r="ED135" s="198"/>
      <c r="EE135" s="198"/>
      <c r="EF135" s="198"/>
      <c r="EG135" s="198"/>
      <c r="EH135" s="198"/>
      <c r="EI135" s="198"/>
      <c r="EJ135" s="198"/>
      <c r="EK135" s="198"/>
      <c r="EL135" s="198"/>
      <c r="EM135" s="198"/>
      <c r="EN135" s="198"/>
      <c r="EO135" s="198"/>
      <c r="EP135" s="198"/>
      <c r="EQ135" s="198"/>
      <c r="ER135" s="198"/>
      <c r="ES135" s="198"/>
      <c r="ET135" s="198"/>
      <c r="EU135" s="198"/>
      <c r="EV135" s="198"/>
      <c r="EW135" s="198"/>
      <c r="EX135" s="198"/>
      <c r="EY135" s="198"/>
      <c r="EZ135" s="198"/>
      <c r="FA135" s="198"/>
      <c r="FB135" s="198"/>
      <c r="FC135" s="198"/>
      <c r="FD135" s="198"/>
      <c r="FE135" s="198"/>
      <c r="FF135" s="198"/>
      <c r="FG135" s="198"/>
      <c r="FH135" s="198"/>
      <c r="FI135" s="198"/>
      <c r="FJ135" s="198"/>
      <c r="FK135" s="198"/>
      <c r="FL135" s="198"/>
      <c r="FM135" s="198"/>
      <c r="FN135" s="198"/>
      <c r="FO135" s="198"/>
      <c r="FP135" s="198"/>
      <c r="FQ135" s="198"/>
      <c r="FR135" s="198"/>
      <c r="FS135" s="198"/>
      <c r="FT135" s="198"/>
      <c r="FU135" s="198"/>
      <c r="FV135" s="198"/>
      <c r="FW135" s="198"/>
      <c r="FX135" s="198"/>
      <c r="FY135" s="198"/>
      <c r="FZ135" s="198"/>
      <c r="GA135" s="198"/>
      <c r="GB135" s="198"/>
      <c r="GC135" s="198"/>
      <c r="GD135" s="198"/>
      <c r="GE135" s="198"/>
      <c r="GF135" s="198"/>
      <c r="GG135" s="198"/>
      <c r="GH135" s="198"/>
      <c r="GI135" s="198"/>
      <c r="GJ135" s="198"/>
      <c r="GK135" s="198"/>
      <c r="GL135" s="198"/>
      <c r="GM135" s="198"/>
      <c r="GN135" s="198"/>
      <c r="GO135" s="198"/>
      <c r="GP135" s="198"/>
      <c r="GQ135" s="198"/>
      <c r="GR135" s="198"/>
      <c r="GS135" s="198"/>
      <c r="GT135" s="198"/>
      <c r="GU135" s="198"/>
      <c r="GV135" s="198"/>
      <c r="GW135" s="198"/>
      <c r="GX135" s="198"/>
      <c r="GY135" s="198"/>
      <c r="GZ135" s="198"/>
      <c r="HA135" s="198"/>
      <c r="HB135" s="198"/>
      <c r="HC135" s="198"/>
      <c r="HD135" s="198"/>
      <c r="HE135" s="198"/>
      <c r="HF135" s="198"/>
      <c r="HG135" s="198"/>
      <c r="HH135" s="198"/>
      <c r="HI135" s="198"/>
      <c r="HJ135" s="198"/>
      <c r="HK135" s="198"/>
      <c r="HL135" s="198"/>
      <c r="HM135" s="198"/>
      <c r="HN135" s="198"/>
      <c r="HO135" s="198"/>
      <c r="HP135" s="198"/>
      <c r="HQ135" s="198"/>
      <c r="HR135" s="198"/>
      <c r="HS135" s="198"/>
      <c r="HT135" s="198"/>
      <c r="HU135" s="198"/>
      <c r="HV135" s="198"/>
      <c r="HW135" s="198"/>
      <c r="HX135" s="198"/>
      <c r="HY135" s="198"/>
      <c r="HZ135" s="198"/>
      <c r="IA135" s="198"/>
      <c r="IB135" s="198"/>
      <c r="IC135" s="198"/>
      <c r="ID135" s="198"/>
      <c r="IE135" s="198"/>
      <c r="IF135" s="198"/>
      <c r="IG135" s="198"/>
      <c r="IH135" s="198"/>
      <c r="II135" s="198"/>
      <c r="IJ135" s="198"/>
      <c r="IK135" s="198"/>
      <c r="IL135" s="198"/>
      <c r="IM135" s="198"/>
      <c r="IN135" s="198"/>
      <c r="IO135" s="198"/>
      <c r="IP135" s="198"/>
      <c r="IQ135" s="198"/>
      <c r="IR135" s="198"/>
      <c r="IS135" s="198"/>
      <c r="IT135" s="198"/>
      <c r="IU135" s="198"/>
      <c r="IV135" s="198"/>
      <c r="IW135" s="198"/>
      <c r="IX135" s="198"/>
      <c r="IY135" s="198"/>
      <c r="IZ135" s="198"/>
      <c r="JA135" s="198"/>
      <c r="JB135" s="198"/>
      <c r="JC135" s="198"/>
      <c r="JD135" s="198"/>
      <c r="JE135" s="198"/>
      <c r="JF135" s="198"/>
      <c r="JG135" s="198"/>
      <c r="JH135" s="198"/>
      <c r="JI135" s="198"/>
      <c r="JJ135" s="198"/>
      <c r="JK135" s="198"/>
      <c r="JL135" s="198"/>
      <c r="JM135" s="198"/>
      <c r="JN135" s="198"/>
      <c r="JO135" s="198"/>
      <c r="JP135" s="198"/>
      <c r="JQ135" s="198"/>
      <c r="JR135" s="198"/>
      <c r="JS135" s="198"/>
      <c r="JT135" s="198"/>
      <c r="JU135" s="198"/>
      <c r="JV135" s="198"/>
      <c r="JW135" s="198"/>
      <c r="JX135" s="198"/>
      <c r="JY135" s="198"/>
      <c r="JZ135" s="198"/>
      <c r="KA135" s="198"/>
      <c r="KB135" s="198"/>
      <c r="KC135" s="198"/>
      <c r="KD135" s="198"/>
      <c r="KE135" s="198"/>
      <c r="KF135" s="198"/>
      <c r="KG135" s="198"/>
      <c r="KH135" s="198"/>
      <c r="KI135" s="198"/>
      <c r="KJ135" s="198"/>
      <c r="KK135" s="198"/>
      <c r="KL135" s="198"/>
      <c r="KM135" s="198"/>
      <c r="KN135" s="198"/>
      <c r="KO135" s="198"/>
      <c r="KP135" s="198"/>
      <c r="KQ135" s="198"/>
      <c r="KR135" s="198"/>
      <c r="KS135" s="198"/>
      <c r="KT135" s="198"/>
      <c r="KU135" s="198"/>
      <c r="KV135" s="198"/>
      <c r="KW135" s="198"/>
      <c r="KX135" s="198"/>
      <c r="KY135" s="198"/>
      <c r="KZ135" s="198"/>
      <c r="LA135" s="198"/>
      <c r="LB135" s="198"/>
      <c r="LC135" s="198"/>
      <c r="LD135" s="198"/>
      <c r="LE135" s="198"/>
      <c r="LF135" s="198"/>
      <c r="LG135" s="198"/>
      <c r="LH135" s="198"/>
      <c r="LI135" s="198"/>
      <c r="LJ135" s="198"/>
      <c r="LK135" s="198"/>
      <c r="LL135" s="198"/>
      <c r="LM135" s="198"/>
      <c r="LN135" s="198"/>
      <c r="LO135" s="198"/>
      <c r="LP135" s="198"/>
      <c r="LQ135" s="198"/>
      <c r="LR135" s="198"/>
      <c r="LS135" s="198"/>
      <c r="LT135" s="198"/>
      <c r="LU135" s="198"/>
      <c r="LV135" s="198"/>
      <c r="LW135" s="198"/>
      <c r="LX135" s="198"/>
      <c r="LY135" s="198"/>
      <c r="LZ135" s="198"/>
      <c r="MA135" s="198"/>
      <c r="MB135" s="198"/>
      <c r="MC135" s="198"/>
      <c r="MD135" s="198"/>
      <c r="ME135" s="198"/>
      <c r="MF135" s="198"/>
      <c r="MG135" s="198"/>
      <c r="MH135" s="198"/>
      <c r="MI135" s="198"/>
      <c r="MJ135" s="198"/>
      <c r="MK135" s="198"/>
      <c r="ML135" s="198"/>
      <c r="MM135" s="198"/>
      <c r="MN135" s="198"/>
      <c r="MO135" s="198"/>
      <c r="MP135" s="198"/>
      <c r="MQ135" s="198"/>
      <c r="MR135" s="198"/>
      <c r="MS135" s="198"/>
      <c r="MT135" s="198"/>
      <c r="MU135" s="198"/>
      <c r="MV135" s="198"/>
      <c r="MW135" s="198"/>
      <c r="MX135" s="198"/>
      <c r="MY135" s="198"/>
      <c r="MZ135" s="198"/>
      <c r="NA135" s="198"/>
      <c r="NB135" s="198"/>
      <c r="NC135" s="198"/>
      <c r="ND135" s="198"/>
      <c r="NE135" s="198"/>
      <c r="NF135" s="198"/>
      <c r="NG135" s="198"/>
      <c r="NH135" s="198"/>
      <c r="NI135" s="198"/>
      <c r="NJ135" s="198"/>
      <c r="NK135" s="198"/>
      <c r="NL135" s="198"/>
      <c r="NM135" s="198"/>
      <c r="NN135" s="198"/>
      <c r="NO135" s="198"/>
      <c r="NP135" s="198"/>
      <c r="NQ135" s="198"/>
      <c r="NR135" s="198"/>
      <c r="NS135" s="198"/>
      <c r="NT135" s="198"/>
      <c r="NU135" s="198"/>
      <c r="NV135" s="198"/>
      <c r="NW135" s="198"/>
      <c r="NX135" s="198"/>
      <c r="NY135" s="198"/>
      <c r="NZ135" s="198"/>
      <c r="OA135" s="198"/>
      <c r="OB135" s="198"/>
      <c r="OC135" s="198"/>
      <c r="OD135" s="198"/>
      <c r="OE135" s="198"/>
      <c r="OF135" s="198"/>
      <c r="OG135" s="198"/>
      <c r="OH135" s="198"/>
      <c r="OI135" s="198"/>
      <c r="OJ135" s="198"/>
      <c r="OK135" s="198"/>
      <c r="OL135" s="198"/>
      <c r="OM135" s="198"/>
      <c r="ON135" s="198"/>
      <c r="OO135" s="198"/>
      <c r="OP135" s="198"/>
      <c r="OQ135" s="198"/>
      <c r="OR135" s="198"/>
      <c r="OS135" s="198"/>
      <c r="OT135" s="198"/>
      <c r="OU135" s="198"/>
      <c r="OV135" s="198"/>
      <c r="OW135" s="198"/>
      <c r="OX135" s="198"/>
      <c r="OY135" s="198"/>
      <c r="OZ135" s="198"/>
      <c r="PA135" s="198"/>
      <c r="PB135" s="198"/>
      <c r="PC135" s="198"/>
      <c r="PD135" s="198"/>
      <c r="PE135" s="198"/>
      <c r="PF135" s="198"/>
      <c r="PG135" s="198"/>
      <c r="PH135" s="198"/>
      <c r="PI135" s="198"/>
      <c r="PJ135" s="198"/>
      <c r="PK135" s="198"/>
      <c r="PL135" s="198"/>
      <c r="PM135" s="198"/>
      <c r="PN135" s="198"/>
      <c r="PO135" s="198"/>
      <c r="PP135" s="198"/>
      <c r="PQ135" s="198"/>
      <c r="PR135" s="198"/>
      <c r="PS135" s="198"/>
      <c r="PT135" s="198"/>
      <c r="PU135" s="198"/>
      <c r="PV135" s="198"/>
      <c r="PW135" s="198"/>
      <c r="PX135" s="198"/>
      <c r="PY135" s="198"/>
      <c r="PZ135" s="198"/>
      <c r="QA135" s="198"/>
      <c r="QB135" s="198"/>
      <c r="QC135" s="198"/>
      <c r="QD135" s="198"/>
      <c r="QE135" s="198"/>
      <c r="QF135" s="198"/>
      <c r="QG135" s="198"/>
      <c r="QH135" s="198"/>
      <c r="QI135" s="198"/>
      <c r="QJ135" s="198"/>
      <c r="QK135" s="198"/>
      <c r="QL135" s="198"/>
      <c r="QM135" s="198"/>
      <c r="QN135" s="198"/>
      <c r="QO135" s="198"/>
      <c r="QP135" s="198"/>
      <c r="QQ135" s="198"/>
      <c r="QR135" s="198"/>
      <c r="QS135" s="198"/>
      <c r="QT135" s="198"/>
      <c r="QU135" s="198"/>
      <c r="QV135" s="198"/>
      <c r="QW135" s="198"/>
      <c r="QX135" s="198"/>
      <c r="QY135" s="198"/>
      <c r="QZ135" s="198"/>
      <c r="RA135" s="198"/>
      <c r="RB135" s="198"/>
      <c r="RC135" s="198"/>
      <c r="RD135" s="198"/>
      <c r="RE135" s="198"/>
      <c r="RF135" s="198"/>
      <c r="RG135" s="198"/>
      <c r="RH135" s="198"/>
      <c r="RI135" s="198"/>
      <c r="RJ135" s="198"/>
      <c r="RK135" s="198"/>
      <c r="RL135" s="198"/>
      <c r="RM135" s="198"/>
      <c r="RN135" s="198"/>
      <c r="RO135" s="198"/>
      <c r="RP135" s="198"/>
      <c r="RQ135" s="198"/>
      <c r="RR135" s="198"/>
      <c r="RS135" s="198"/>
      <c r="RT135" s="198"/>
      <c r="RU135" s="198"/>
      <c r="RV135" s="198"/>
      <c r="RW135" s="198"/>
      <c r="RX135" s="198"/>
      <c r="RY135" s="198"/>
      <c r="RZ135" s="198"/>
      <c r="SA135" s="198"/>
      <c r="SB135" s="198"/>
      <c r="SC135" s="198"/>
      <c r="SD135" s="198"/>
      <c r="SE135" s="198"/>
      <c r="SF135" s="198"/>
      <c r="SG135" s="198"/>
    </row>
    <row r="136" spans="1:501" ht="40.049999999999997" customHeight="1" x14ac:dyDescent="0.3">
      <c r="A136" s="543" t="s">
        <v>338</v>
      </c>
      <c r="B136" s="956" t="s">
        <v>339</v>
      </c>
      <c r="C136" s="950"/>
      <c r="D136" s="861"/>
      <c r="E136" s="862"/>
      <c r="F136" s="861"/>
      <c r="G136" s="862"/>
      <c r="H136" s="861"/>
      <c r="I136" s="862"/>
      <c r="J136" s="861"/>
      <c r="K136" s="862"/>
      <c r="L136" s="861"/>
      <c r="M136" s="862"/>
      <c r="N136" s="861"/>
      <c r="O136" s="862"/>
      <c r="P136" s="861"/>
      <c r="Q136" s="862"/>
      <c r="R136" s="861"/>
      <c r="S136" s="862"/>
      <c r="T136" s="861"/>
      <c r="U136" s="862"/>
      <c r="V136" s="861"/>
      <c r="W136" s="862"/>
      <c r="X136" s="861"/>
      <c r="Y136" s="862"/>
      <c r="Z136" s="861"/>
      <c r="AA136" s="862"/>
      <c r="AB136" s="864"/>
      <c r="AC136" s="864"/>
      <c r="AD136" s="864"/>
      <c r="AE136" s="864"/>
      <c r="AF136" s="861"/>
      <c r="AG136" s="865">
        <f t="shared" si="2"/>
        <v>0</v>
      </c>
      <c r="AH136" s="866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  <c r="AS136" s="198"/>
      <c r="AT136" s="198"/>
      <c r="AU136" s="198"/>
      <c r="AV136" s="198"/>
      <c r="AW136" s="198"/>
      <c r="AX136" s="198"/>
      <c r="AY136" s="198"/>
      <c r="AZ136" s="198"/>
      <c r="BA136" s="198"/>
      <c r="BB136" s="198"/>
      <c r="BC136" s="198"/>
      <c r="BD136" s="198"/>
      <c r="BE136" s="198"/>
      <c r="BF136" s="198"/>
      <c r="BG136" s="198"/>
      <c r="BH136" s="198"/>
      <c r="BI136" s="198"/>
      <c r="BJ136" s="198"/>
      <c r="BK136" s="198"/>
      <c r="BL136" s="198"/>
      <c r="BM136" s="198"/>
      <c r="BN136" s="198"/>
      <c r="BO136" s="198"/>
      <c r="BP136" s="198"/>
      <c r="BQ136" s="198"/>
      <c r="BR136" s="198"/>
      <c r="BS136" s="198"/>
      <c r="BT136" s="198"/>
      <c r="BU136" s="198"/>
      <c r="BV136" s="198"/>
      <c r="BW136" s="198"/>
      <c r="BX136" s="198"/>
      <c r="BY136" s="198"/>
      <c r="BZ136" s="198"/>
      <c r="CA136" s="198"/>
      <c r="CB136" s="198"/>
      <c r="CC136" s="198"/>
      <c r="CD136" s="198"/>
      <c r="CE136" s="198"/>
      <c r="CF136" s="198"/>
      <c r="CG136" s="198"/>
      <c r="CH136" s="198"/>
      <c r="CI136" s="198"/>
      <c r="CJ136" s="198"/>
      <c r="CK136" s="198"/>
      <c r="CL136" s="198"/>
      <c r="CM136" s="198"/>
      <c r="CN136" s="198"/>
      <c r="CO136" s="198"/>
      <c r="CP136" s="198"/>
      <c r="CQ136" s="198"/>
      <c r="CR136" s="198"/>
      <c r="CS136" s="198"/>
      <c r="CT136" s="198"/>
      <c r="CU136" s="198"/>
      <c r="CV136" s="198"/>
      <c r="CW136" s="198"/>
      <c r="CX136" s="198"/>
      <c r="CY136" s="198"/>
      <c r="CZ136" s="198"/>
      <c r="DA136" s="198"/>
      <c r="DB136" s="198"/>
      <c r="DC136" s="198"/>
      <c r="DD136" s="198"/>
      <c r="DE136" s="198"/>
      <c r="DF136" s="198"/>
      <c r="DG136" s="198"/>
      <c r="DH136" s="198"/>
      <c r="DI136" s="198"/>
      <c r="DJ136" s="198"/>
      <c r="DK136" s="198"/>
      <c r="DL136" s="198"/>
      <c r="DM136" s="198"/>
      <c r="DN136" s="198"/>
      <c r="DO136" s="198"/>
      <c r="DP136" s="198"/>
      <c r="DQ136" s="198"/>
      <c r="DR136" s="198"/>
      <c r="DS136" s="198"/>
      <c r="DT136" s="198"/>
      <c r="DU136" s="198"/>
      <c r="DV136" s="198"/>
      <c r="DW136" s="198"/>
      <c r="DX136" s="198"/>
      <c r="DY136" s="198"/>
      <c r="DZ136" s="198"/>
      <c r="EA136" s="198"/>
      <c r="EB136" s="198"/>
      <c r="EC136" s="198"/>
      <c r="ED136" s="198"/>
      <c r="EE136" s="198"/>
      <c r="EF136" s="198"/>
      <c r="EG136" s="198"/>
      <c r="EH136" s="198"/>
      <c r="EI136" s="198"/>
      <c r="EJ136" s="198"/>
      <c r="EK136" s="198"/>
      <c r="EL136" s="198"/>
      <c r="EM136" s="198"/>
      <c r="EN136" s="198"/>
      <c r="EO136" s="198"/>
      <c r="EP136" s="198"/>
      <c r="EQ136" s="198"/>
      <c r="ER136" s="198"/>
      <c r="ES136" s="198"/>
      <c r="ET136" s="198"/>
      <c r="EU136" s="198"/>
      <c r="EV136" s="198"/>
      <c r="EW136" s="198"/>
      <c r="EX136" s="198"/>
      <c r="EY136" s="198"/>
      <c r="EZ136" s="198"/>
      <c r="FA136" s="198"/>
      <c r="FB136" s="198"/>
      <c r="FC136" s="198"/>
      <c r="FD136" s="198"/>
      <c r="FE136" s="198"/>
      <c r="FF136" s="198"/>
      <c r="FG136" s="198"/>
      <c r="FH136" s="198"/>
      <c r="FI136" s="198"/>
      <c r="FJ136" s="198"/>
      <c r="FK136" s="198"/>
      <c r="FL136" s="198"/>
      <c r="FM136" s="198"/>
      <c r="FN136" s="198"/>
      <c r="FO136" s="198"/>
      <c r="FP136" s="198"/>
      <c r="FQ136" s="198"/>
      <c r="FR136" s="198"/>
      <c r="FS136" s="198"/>
      <c r="FT136" s="198"/>
      <c r="FU136" s="198"/>
      <c r="FV136" s="198"/>
      <c r="FW136" s="198"/>
      <c r="FX136" s="198"/>
      <c r="FY136" s="198"/>
      <c r="FZ136" s="198"/>
      <c r="GA136" s="198"/>
      <c r="GB136" s="198"/>
      <c r="GC136" s="198"/>
      <c r="GD136" s="198"/>
      <c r="GE136" s="198"/>
      <c r="GF136" s="198"/>
      <c r="GG136" s="198"/>
      <c r="GH136" s="198"/>
      <c r="GI136" s="198"/>
      <c r="GJ136" s="198"/>
      <c r="GK136" s="198"/>
      <c r="GL136" s="198"/>
      <c r="GM136" s="198"/>
      <c r="GN136" s="198"/>
      <c r="GO136" s="198"/>
      <c r="GP136" s="198"/>
      <c r="GQ136" s="198"/>
      <c r="GR136" s="198"/>
      <c r="GS136" s="198"/>
      <c r="GT136" s="198"/>
      <c r="GU136" s="198"/>
      <c r="GV136" s="198"/>
      <c r="GW136" s="198"/>
      <c r="GX136" s="198"/>
      <c r="GY136" s="198"/>
      <c r="GZ136" s="198"/>
      <c r="HA136" s="198"/>
      <c r="HB136" s="198"/>
      <c r="HC136" s="198"/>
      <c r="HD136" s="198"/>
      <c r="HE136" s="198"/>
      <c r="HF136" s="198"/>
      <c r="HG136" s="198"/>
      <c r="HH136" s="198"/>
      <c r="HI136" s="198"/>
      <c r="HJ136" s="198"/>
      <c r="HK136" s="198"/>
      <c r="HL136" s="198"/>
      <c r="HM136" s="198"/>
      <c r="HN136" s="198"/>
      <c r="HO136" s="198"/>
      <c r="HP136" s="198"/>
      <c r="HQ136" s="198"/>
      <c r="HR136" s="198"/>
      <c r="HS136" s="198"/>
      <c r="HT136" s="198"/>
      <c r="HU136" s="198"/>
      <c r="HV136" s="198"/>
      <c r="HW136" s="198"/>
      <c r="HX136" s="198"/>
      <c r="HY136" s="198"/>
      <c r="HZ136" s="198"/>
      <c r="IA136" s="198"/>
      <c r="IB136" s="198"/>
      <c r="IC136" s="198"/>
      <c r="ID136" s="198"/>
      <c r="IE136" s="198"/>
      <c r="IF136" s="198"/>
      <c r="IG136" s="198"/>
      <c r="IH136" s="198"/>
      <c r="II136" s="198"/>
      <c r="IJ136" s="198"/>
      <c r="IK136" s="198"/>
      <c r="IL136" s="198"/>
      <c r="IM136" s="198"/>
      <c r="IN136" s="198"/>
      <c r="IO136" s="198"/>
      <c r="IP136" s="198"/>
      <c r="IQ136" s="198"/>
      <c r="IR136" s="198"/>
      <c r="IS136" s="198"/>
      <c r="IT136" s="198"/>
      <c r="IU136" s="198"/>
      <c r="IV136" s="198"/>
      <c r="IW136" s="198"/>
      <c r="IX136" s="198"/>
      <c r="IY136" s="198"/>
      <c r="IZ136" s="198"/>
      <c r="JA136" s="198"/>
      <c r="JB136" s="198"/>
      <c r="JC136" s="198"/>
      <c r="JD136" s="198"/>
      <c r="JE136" s="198"/>
      <c r="JF136" s="198"/>
      <c r="JG136" s="198"/>
      <c r="JH136" s="198"/>
      <c r="JI136" s="198"/>
      <c r="JJ136" s="198"/>
      <c r="JK136" s="198"/>
      <c r="JL136" s="198"/>
      <c r="JM136" s="198"/>
      <c r="JN136" s="198"/>
      <c r="JO136" s="198"/>
      <c r="JP136" s="198"/>
      <c r="JQ136" s="198"/>
      <c r="JR136" s="198"/>
      <c r="JS136" s="198"/>
      <c r="JT136" s="198"/>
      <c r="JU136" s="198"/>
      <c r="JV136" s="198"/>
      <c r="JW136" s="198"/>
      <c r="JX136" s="198"/>
      <c r="JY136" s="198"/>
      <c r="JZ136" s="198"/>
      <c r="KA136" s="198"/>
      <c r="KB136" s="198"/>
      <c r="KC136" s="198"/>
      <c r="KD136" s="198"/>
      <c r="KE136" s="198"/>
      <c r="KF136" s="198"/>
      <c r="KG136" s="198"/>
      <c r="KH136" s="198"/>
      <c r="KI136" s="198"/>
      <c r="KJ136" s="198"/>
      <c r="KK136" s="198"/>
      <c r="KL136" s="198"/>
      <c r="KM136" s="198"/>
      <c r="KN136" s="198"/>
      <c r="KO136" s="198"/>
      <c r="KP136" s="198"/>
      <c r="KQ136" s="198"/>
      <c r="KR136" s="198"/>
      <c r="KS136" s="198"/>
      <c r="KT136" s="198"/>
      <c r="KU136" s="198"/>
      <c r="KV136" s="198"/>
      <c r="KW136" s="198"/>
      <c r="KX136" s="198"/>
      <c r="KY136" s="198"/>
      <c r="KZ136" s="198"/>
      <c r="LA136" s="198"/>
      <c r="LB136" s="198"/>
      <c r="LC136" s="198"/>
      <c r="LD136" s="198"/>
      <c r="LE136" s="198"/>
      <c r="LF136" s="198"/>
      <c r="LG136" s="198"/>
      <c r="LH136" s="198"/>
      <c r="LI136" s="198"/>
      <c r="LJ136" s="198"/>
      <c r="LK136" s="198"/>
      <c r="LL136" s="198"/>
      <c r="LM136" s="198"/>
      <c r="LN136" s="198"/>
      <c r="LO136" s="198"/>
      <c r="LP136" s="198"/>
      <c r="LQ136" s="198"/>
      <c r="LR136" s="198"/>
      <c r="LS136" s="198"/>
      <c r="LT136" s="198"/>
      <c r="LU136" s="198"/>
      <c r="LV136" s="198"/>
      <c r="LW136" s="198"/>
      <c r="LX136" s="198"/>
      <c r="LY136" s="198"/>
      <c r="LZ136" s="198"/>
      <c r="MA136" s="198"/>
      <c r="MB136" s="198"/>
      <c r="MC136" s="198"/>
      <c r="MD136" s="198"/>
      <c r="ME136" s="198"/>
      <c r="MF136" s="198"/>
      <c r="MG136" s="198"/>
      <c r="MH136" s="198"/>
      <c r="MI136" s="198"/>
      <c r="MJ136" s="198"/>
      <c r="MK136" s="198"/>
      <c r="ML136" s="198"/>
      <c r="MM136" s="198"/>
      <c r="MN136" s="198"/>
      <c r="MO136" s="198"/>
      <c r="MP136" s="198"/>
      <c r="MQ136" s="198"/>
      <c r="MR136" s="198"/>
      <c r="MS136" s="198"/>
      <c r="MT136" s="198"/>
      <c r="MU136" s="198"/>
      <c r="MV136" s="198"/>
      <c r="MW136" s="198"/>
      <c r="MX136" s="198"/>
      <c r="MY136" s="198"/>
      <c r="MZ136" s="198"/>
      <c r="NA136" s="198"/>
      <c r="NB136" s="198"/>
      <c r="NC136" s="198"/>
      <c r="ND136" s="198"/>
      <c r="NE136" s="198"/>
      <c r="NF136" s="198"/>
      <c r="NG136" s="198"/>
      <c r="NH136" s="198"/>
      <c r="NI136" s="198"/>
      <c r="NJ136" s="198"/>
      <c r="NK136" s="198"/>
      <c r="NL136" s="198"/>
      <c r="NM136" s="198"/>
      <c r="NN136" s="198"/>
      <c r="NO136" s="198"/>
      <c r="NP136" s="198"/>
      <c r="NQ136" s="198"/>
      <c r="NR136" s="198"/>
      <c r="NS136" s="198"/>
      <c r="NT136" s="198"/>
      <c r="NU136" s="198"/>
      <c r="NV136" s="198"/>
      <c r="NW136" s="198"/>
      <c r="NX136" s="198"/>
      <c r="NY136" s="198"/>
      <c r="NZ136" s="198"/>
      <c r="OA136" s="198"/>
      <c r="OB136" s="198"/>
      <c r="OC136" s="198"/>
      <c r="OD136" s="198"/>
      <c r="OE136" s="198"/>
      <c r="OF136" s="198"/>
      <c r="OG136" s="198"/>
      <c r="OH136" s="198"/>
      <c r="OI136" s="198"/>
      <c r="OJ136" s="198"/>
      <c r="OK136" s="198"/>
      <c r="OL136" s="198"/>
      <c r="OM136" s="198"/>
      <c r="ON136" s="198"/>
      <c r="OO136" s="198"/>
      <c r="OP136" s="198"/>
      <c r="OQ136" s="198"/>
      <c r="OR136" s="198"/>
      <c r="OS136" s="198"/>
      <c r="OT136" s="198"/>
      <c r="OU136" s="198"/>
      <c r="OV136" s="198"/>
      <c r="OW136" s="198"/>
      <c r="OX136" s="198"/>
      <c r="OY136" s="198"/>
      <c r="OZ136" s="198"/>
      <c r="PA136" s="198"/>
      <c r="PB136" s="198"/>
      <c r="PC136" s="198"/>
      <c r="PD136" s="198"/>
      <c r="PE136" s="198"/>
      <c r="PF136" s="198"/>
      <c r="PG136" s="198"/>
      <c r="PH136" s="198"/>
      <c r="PI136" s="198"/>
      <c r="PJ136" s="198"/>
      <c r="PK136" s="198"/>
      <c r="PL136" s="198"/>
      <c r="PM136" s="198"/>
      <c r="PN136" s="198"/>
      <c r="PO136" s="198"/>
      <c r="PP136" s="198"/>
      <c r="PQ136" s="198"/>
      <c r="PR136" s="198"/>
      <c r="PS136" s="198"/>
      <c r="PT136" s="198"/>
      <c r="PU136" s="198"/>
      <c r="PV136" s="198"/>
      <c r="PW136" s="198"/>
      <c r="PX136" s="198"/>
      <c r="PY136" s="198"/>
      <c r="PZ136" s="198"/>
      <c r="QA136" s="198"/>
      <c r="QB136" s="198"/>
      <c r="QC136" s="198"/>
      <c r="QD136" s="198"/>
      <c r="QE136" s="198"/>
      <c r="QF136" s="198"/>
      <c r="QG136" s="198"/>
      <c r="QH136" s="198"/>
      <c r="QI136" s="198"/>
      <c r="QJ136" s="198"/>
      <c r="QK136" s="198"/>
      <c r="QL136" s="198"/>
      <c r="QM136" s="198"/>
      <c r="QN136" s="198"/>
      <c r="QO136" s="198"/>
      <c r="QP136" s="198"/>
      <c r="QQ136" s="198"/>
      <c r="QR136" s="198"/>
      <c r="QS136" s="198"/>
      <c r="QT136" s="198"/>
      <c r="QU136" s="198"/>
      <c r="QV136" s="198"/>
      <c r="QW136" s="198"/>
      <c r="QX136" s="198"/>
      <c r="QY136" s="198"/>
      <c r="QZ136" s="198"/>
      <c r="RA136" s="198"/>
      <c r="RB136" s="198"/>
      <c r="RC136" s="198"/>
      <c r="RD136" s="198"/>
      <c r="RE136" s="198"/>
      <c r="RF136" s="198"/>
      <c r="RG136" s="198"/>
      <c r="RH136" s="198"/>
      <c r="RI136" s="198"/>
      <c r="RJ136" s="198"/>
      <c r="RK136" s="198"/>
      <c r="RL136" s="198"/>
      <c r="RM136" s="198"/>
      <c r="RN136" s="198"/>
      <c r="RO136" s="198"/>
      <c r="RP136" s="198"/>
      <c r="RQ136" s="198"/>
      <c r="RR136" s="198"/>
      <c r="RS136" s="198"/>
      <c r="RT136" s="198"/>
      <c r="RU136" s="198"/>
      <c r="RV136" s="198"/>
      <c r="RW136" s="198"/>
      <c r="RX136" s="198"/>
      <c r="RY136" s="198"/>
      <c r="RZ136" s="198"/>
      <c r="SA136" s="198"/>
      <c r="SB136" s="198"/>
      <c r="SC136" s="198"/>
      <c r="SD136" s="198"/>
      <c r="SE136" s="198"/>
      <c r="SF136" s="198"/>
      <c r="SG136" s="198"/>
    </row>
    <row r="137" spans="1:501" ht="40.049999999999997" customHeight="1" x14ac:dyDescent="0.3">
      <c r="A137" s="543" t="s">
        <v>340</v>
      </c>
      <c r="B137" s="956" t="s">
        <v>341</v>
      </c>
      <c r="C137" s="950"/>
      <c r="D137" s="861"/>
      <c r="E137" s="862"/>
      <c r="F137" s="861"/>
      <c r="G137" s="862"/>
      <c r="H137" s="861"/>
      <c r="I137" s="862"/>
      <c r="J137" s="861"/>
      <c r="K137" s="862"/>
      <c r="L137" s="861"/>
      <c r="M137" s="862"/>
      <c r="N137" s="861"/>
      <c r="O137" s="862"/>
      <c r="P137" s="861"/>
      <c r="Q137" s="862"/>
      <c r="R137" s="861"/>
      <c r="S137" s="862"/>
      <c r="T137" s="861"/>
      <c r="U137" s="862"/>
      <c r="V137" s="861"/>
      <c r="W137" s="862"/>
      <c r="X137" s="861"/>
      <c r="Y137" s="862"/>
      <c r="Z137" s="861"/>
      <c r="AA137" s="862"/>
      <c r="AB137" s="864"/>
      <c r="AC137" s="864"/>
      <c r="AD137" s="864"/>
      <c r="AE137" s="864"/>
      <c r="AF137" s="861"/>
      <c r="AG137" s="865">
        <f t="shared" si="2"/>
        <v>0</v>
      </c>
      <c r="AH137" s="866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  <c r="AS137" s="198"/>
      <c r="AT137" s="198"/>
      <c r="AU137" s="198"/>
      <c r="AV137" s="198"/>
      <c r="AW137" s="198"/>
      <c r="AX137" s="198"/>
      <c r="AY137" s="198"/>
      <c r="AZ137" s="198"/>
      <c r="BA137" s="198"/>
      <c r="BB137" s="198"/>
      <c r="BC137" s="198"/>
      <c r="BD137" s="198"/>
      <c r="BE137" s="198"/>
      <c r="BF137" s="198"/>
      <c r="BG137" s="198"/>
      <c r="BH137" s="198"/>
      <c r="BI137" s="198"/>
      <c r="BJ137" s="198"/>
      <c r="BK137" s="198"/>
      <c r="BL137" s="198"/>
      <c r="BM137" s="198"/>
      <c r="BN137" s="198"/>
      <c r="BO137" s="198"/>
      <c r="BP137" s="198"/>
      <c r="BQ137" s="198"/>
      <c r="BR137" s="198"/>
      <c r="BS137" s="198"/>
      <c r="BT137" s="198"/>
      <c r="BU137" s="198"/>
      <c r="BV137" s="198"/>
      <c r="BW137" s="198"/>
      <c r="BX137" s="198"/>
      <c r="BY137" s="198"/>
      <c r="BZ137" s="198"/>
      <c r="CA137" s="198"/>
      <c r="CB137" s="198"/>
      <c r="CC137" s="198"/>
      <c r="CD137" s="198"/>
      <c r="CE137" s="198"/>
      <c r="CF137" s="198"/>
      <c r="CG137" s="198"/>
      <c r="CH137" s="198"/>
      <c r="CI137" s="198"/>
      <c r="CJ137" s="198"/>
      <c r="CK137" s="198"/>
      <c r="CL137" s="198"/>
      <c r="CM137" s="198"/>
      <c r="CN137" s="198"/>
      <c r="CO137" s="198"/>
      <c r="CP137" s="198"/>
      <c r="CQ137" s="198"/>
      <c r="CR137" s="198"/>
      <c r="CS137" s="198"/>
      <c r="CT137" s="198"/>
      <c r="CU137" s="198"/>
      <c r="CV137" s="198"/>
      <c r="CW137" s="198"/>
      <c r="CX137" s="198"/>
      <c r="CY137" s="198"/>
      <c r="CZ137" s="198"/>
      <c r="DA137" s="198"/>
      <c r="DB137" s="198"/>
      <c r="DC137" s="198"/>
      <c r="DD137" s="198"/>
      <c r="DE137" s="198"/>
      <c r="DF137" s="198"/>
      <c r="DG137" s="198"/>
      <c r="DH137" s="198"/>
      <c r="DI137" s="198"/>
      <c r="DJ137" s="198"/>
      <c r="DK137" s="198"/>
      <c r="DL137" s="198"/>
      <c r="DM137" s="198"/>
      <c r="DN137" s="198"/>
      <c r="DO137" s="198"/>
      <c r="DP137" s="198"/>
      <c r="DQ137" s="198"/>
      <c r="DR137" s="198"/>
      <c r="DS137" s="198"/>
      <c r="DT137" s="198"/>
      <c r="DU137" s="198"/>
      <c r="DV137" s="198"/>
      <c r="DW137" s="198"/>
      <c r="DX137" s="198"/>
      <c r="DY137" s="198"/>
      <c r="DZ137" s="198"/>
      <c r="EA137" s="198"/>
      <c r="EB137" s="198"/>
      <c r="EC137" s="198"/>
      <c r="ED137" s="198"/>
      <c r="EE137" s="198"/>
      <c r="EF137" s="198"/>
      <c r="EG137" s="198"/>
      <c r="EH137" s="198"/>
      <c r="EI137" s="198"/>
      <c r="EJ137" s="198"/>
      <c r="EK137" s="198"/>
      <c r="EL137" s="198"/>
      <c r="EM137" s="198"/>
      <c r="EN137" s="198"/>
      <c r="EO137" s="198"/>
      <c r="EP137" s="198"/>
      <c r="EQ137" s="198"/>
      <c r="ER137" s="198"/>
      <c r="ES137" s="198"/>
      <c r="ET137" s="198"/>
      <c r="EU137" s="198"/>
      <c r="EV137" s="198"/>
      <c r="EW137" s="198"/>
      <c r="EX137" s="198"/>
      <c r="EY137" s="198"/>
      <c r="EZ137" s="198"/>
      <c r="FA137" s="198"/>
      <c r="FB137" s="198"/>
      <c r="FC137" s="198"/>
      <c r="FD137" s="198"/>
      <c r="FE137" s="198"/>
      <c r="FF137" s="198"/>
      <c r="FG137" s="198"/>
      <c r="FH137" s="198"/>
      <c r="FI137" s="198"/>
      <c r="FJ137" s="198"/>
      <c r="FK137" s="198"/>
      <c r="FL137" s="198"/>
      <c r="FM137" s="198"/>
      <c r="FN137" s="198"/>
      <c r="FO137" s="198"/>
      <c r="FP137" s="198"/>
      <c r="FQ137" s="198"/>
      <c r="FR137" s="198"/>
      <c r="FS137" s="198"/>
      <c r="FT137" s="198"/>
      <c r="FU137" s="198"/>
      <c r="FV137" s="198"/>
      <c r="FW137" s="198"/>
      <c r="FX137" s="198"/>
      <c r="FY137" s="198"/>
      <c r="FZ137" s="198"/>
      <c r="GA137" s="198"/>
      <c r="GB137" s="198"/>
      <c r="GC137" s="198"/>
      <c r="GD137" s="198"/>
      <c r="GE137" s="198"/>
      <c r="GF137" s="198"/>
      <c r="GG137" s="198"/>
      <c r="GH137" s="198"/>
      <c r="GI137" s="198"/>
      <c r="GJ137" s="198"/>
      <c r="GK137" s="198"/>
      <c r="GL137" s="198"/>
      <c r="GM137" s="198"/>
      <c r="GN137" s="198"/>
      <c r="GO137" s="198"/>
      <c r="GP137" s="198"/>
      <c r="GQ137" s="198"/>
      <c r="GR137" s="198"/>
      <c r="GS137" s="198"/>
      <c r="GT137" s="198"/>
      <c r="GU137" s="198"/>
      <c r="GV137" s="198"/>
      <c r="GW137" s="198"/>
      <c r="GX137" s="198"/>
      <c r="GY137" s="198"/>
      <c r="GZ137" s="198"/>
      <c r="HA137" s="198"/>
      <c r="HB137" s="198"/>
      <c r="HC137" s="198"/>
      <c r="HD137" s="198"/>
      <c r="HE137" s="198"/>
      <c r="HF137" s="198"/>
      <c r="HG137" s="198"/>
      <c r="HH137" s="198"/>
      <c r="HI137" s="198"/>
      <c r="HJ137" s="198"/>
      <c r="HK137" s="198"/>
      <c r="HL137" s="198"/>
      <c r="HM137" s="198"/>
      <c r="HN137" s="198"/>
      <c r="HO137" s="198"/>
      <c r="HP137" s="198"/>
      <c r="HQ137" s="198"/>
      <c r="HR137" s="198"/>
      <c r="HS137" s="198"/>
      <c r="HT137" s="198"/>
      <c r="HU137" s="198"/>
      <c r="HV137" s="198"/>
      <c r="HW137" s="198"/>
      <c r="HX137" s="198"/>
      <c r="HY137" s="198"/>
      <c r="HZ137" s="198"/>
      <c r="IA137" s="198"/>
      <c r="IB137" s="198"/>
      <c r="IC137" s="198"/>
      <c r="ID137" s="198"/>
      <c r="IE137" s="198"/>
      <c r="IF137" s="198"/>
      <c r="IG137" s="198"/>
      <c r="IH137" s="198"/>
      <c r="II137" s="198"/>
      <c r="IJ137" s="198"/>
      <c r="IK137" s="198"/>
      <c r="IL137" s="198"/>
      <c r="IM137" s="198"/>
      <c r="IN137" s="198"/>
      <c r="IO137" s="198"/>
      <c r="IP137" s="198"/>
      <c r="IQ137" s="198"/>
      <c r="IR137" s="198"/>
      <c r="IS137" s="198"/>
      <c r="IT137" s="198"/>
      <c r="IU137" s="198"/>
      <c r="IV137" s="198"/>
      <c r="IW137" s="198"/>
      <c r="IX137" s="198"/>
      <c r="IY137" s="198"/>
      <c r="IZ137" s="198"/>
      <c r="JA137" s="198"/>
      <c r="JB137" s="198"/>
      <c r="JC137" s="198"/>
      <c r="JD137" s="198"/>
      <c r="JE137" s="198"/>
      <c r="JF137" s="198"/>
      <c r="JG137" s="198"/>
      <c r="JH137" s="198"/>
      <c r="JI137" s="198"/>
      <c r="JJ137" s="198"/>
      <c r="JK137" s="198"/>
      <c r="JL137" s="198"/>
      <c r="JM137" s="198"/>
      <c r="JN137" s="198"/>
      <c r="JO137" s="198"/>
      <c r="JP137" s="198"/>
      <c r="JQ137" s="198"/>
      <c r="JR137" s="198"/>
      <c r="JS137" s="198"/>
      <c r="JT137" s="198"/>
      <c r="JU137" s="198"/>
      <c r="JV137" s="198"/>
      <c r="JW137" s="198"/>
      <c r="JX137" s="198"/>
      <c r="JY137" s="198"/>
      <c r="JZ137" s="198"/>
      <c r="KA137" s="198"/>
      <c r="KB137" s="198"/>
      <c r="KC137" s="198"/>
      <c r="KD137" s="198"/>
      <c r="KE137" s="198"/>
      <c r="KF137" s="198"/>
      <c r="KG137" s="198"/>
      <c r="KH137" s="198"/>
      <c r="KI137" s="198"/>
      <c r="KJ137" s="198"/>
      <c r="KK137" s="198"/>
      <c r="KL137" s="198"/>
      <c r="KM137" s="198"/>
      <c r="KN137" s="198"/>
      <c r="KO137" s="198"/>
      <c r="KP137" s="198"/>
      <c r="KQ137" s="198"/>
      <c r="KR137" s="198"/>
      <c r="KS137" s="198"/>
      <c r="KT137" s="198"/>
      <c r="KU137" s="198"/>
      <c r="KV137" s="198"/>
      <c r="KW137" s="198"/>
      <c r="KX137" s="198"/>
      <c r="KY137" s="198"/>
      <c r="KZ137" s="198"/>
      <c r="LA137" s="198"/>
      <c r="LB137" s="198"/>
      <c r="LC137" s="198"/>
      <c r="LD137" s="198"/>
      <c r="LE137" s="198"/>
      <c r="LF137" s="198"/>
      <c r="LG137" s="198"/>
      <c r="LH137" s="198"/>
      <c r="LI137" s="198"/>
      <c r="LJ137" s="198"/>
      <c r="LK137" s="198"/>
      <c r="LL137" s="198"/>
      <c r="LM137" s="198"/>
      <c r="LN137" s="198"/>
      <c r="LO137" s="198"/>
      <c r="LP137" s="198"/>
      <c r="LQ137" s="198"/>
      <c r="LR137" s="198"/>
      <c r="LS137" s="198"/>
      <c r="LT137" s="198"/>
      <c r="LU137" s="198"/>
      <c r="LV137" s="198"/>
      <c r="LW137" s="198"/>
      <c r="LX137" s="198"/>
      <c r="LY137" s="198"/>
      <c r="LZ137" s="198"/>
      <c r="MA137" s="198"/>
      <c r="MB137" s="198"/>
      <c r="MC137" s="198"/>
      <c r="MD137" s="198"/>
      <c r="ME137" s="198"/>
      <c r="MF137" s="198"/>
      <c r="MG137" s="198"/>
      <c r="MH137" s="198"/>
      <c r="MI137" s="198"/>
      <c r="MJ137" s="198"/>
      <c r="MK137" s="198"/>
      <c r="ML137" s="198"/>
      <c r="MM137" s="198"/>
      <c r="MN137" s="198"/>
      <c r="MO137" s="198"/>
      <c r="MP137" s="198"/>
      <c r="MQ137" s="198"/>
      <c r="MR137" s="198"/>
      <c r="MS137" s="198"/>
      <c r="MT137" s="198"/>
      <c r="MU137" s="198"/>
      <c r="MV137" s="198"/>
      <c r="MW137" s="198"/>
      <c r="MX137" s="198"/>
      <c r="MY137" s="198"/>
      <c r="MZ137" s="198"/>
      <c r="NA137" s="198"/>
      <c r="NB137" s="198"/>
      <c r="NC137" s="198"/>
      <c r="ND137" s="198"/>
      <c r="NE137" s="198"/>
      <c r="NF137" s="198"/>
      <c r="NG137" s="198"/>
      <c r="NH137" s="198"/>
      <c r="NI137" s="198"/>
      <c r="NJ137" s="198"/>
      <c r="NK137" s="198"/>
      <c r="NL137" s="198"/>
      <c r="NM137" s="198"/>
      <c r="NN137" s="198"/>
      <c r="NO137" s="198"/>
      <c r="NP137" s="198"/>
      <c r="NQ137" s="198"/>
      <c r="NR137" s="198"/>
      <c r="NS137" s="198"/>
      <c r="NT137" s="198"/>
      <c r="NU137" s="198"/>
      <c r="NV137" s="198"/>
      <c r="NW137" s="198"/>
      <c r="NX137" s="198"/>
      <c r="NY137" s="198"/>
      <c r="NZ137" s="198"/>
      <c r="OA137" s="198"/>
      <c r="OB137" s="198"/>
      <c r="OC137" s="198"/>
      <c r="OD137" s="198"/>
      <c r="OE137" s="198"/>
      <c r="OF137" s="198"/>
      <c r="OG137" s="198"/>
      <c r="OH137" s="198"/>
      <c r="OI137" s="198"/>
      <c r="OJ137" s="198"/>
      <c r="OK137" s="198"/>
      <c r="OL137" s="198"/>
      <c r="OM137" s="198"/>
      <c r="ON137" s="198"/>
      <c r="OO137" s="198"/>
      <c r="OP137" s="198"/>
      <c r="OQ137" s="198"/>
      <c r="OR137" s="198"/>
      <c r="OS137" s="198"/>
      <c r="OT137" s="198"/>
      <c r="OU137" s="198"/>
      <c r="OV137" s="198"/>
      <c r="OW137" s="198"/>
      <c r="OX137" s="198"/>
      <c r="OY137" s="198"/>
      <c r="OZ137" s="198"/>
      <c r="PA137" s="198"/>
      <c r="PB137" s="198"/>
      <c r="PC137" s="198"/>
      <c r="PD137" s="198"/>
      <c r="PE137" s="198"/>
      <c r="PF137" s="198"/>
      <c r="PG137" s="198"/>
      <c r="PH137" s="198"/>
      <c r="PI137" s="198"/>
      <c r="PJ137" s="198"/>
      <c r="PK137" s="198"/>
      <c r="PL137" s="198"/>
      <c r="PM137" s="198"/>
      <c r="PN137" s="198"/>
      <c r="PO137" s="198"/>
      <c r="PP137" s="198"/>
      <c r="PQ137" s="198"/>
      <c r="PR137" s="198"/>
      <c r="PS137" s="198"/>
      <c r="PT137" s="198"/>
      <c r="PU137" s="198"/>
      <c r="PV137" s="198"/>
      <c r="PW137" s="198"/>
      <c r="PX137" s="198"/>
      <c r="PY137" s="198"/>
      <c r="PZ137" s="198"/>
      <c r="QA137" s="198"/>
      <c r="QB137" s="198"/>
      <c r="QC137" s="198"/>
      <c r="QD137" s="198"/>
      <c r="QE137" s="198"/>
      <c r="QF137" s="198"/>
      <c r="QG137" s="198"/>
      <c r="QH137" s="198"/>
      <c r="QI137" s="198"/>
      <c r="QJ137" s="198"/>
      <c r="QK137" s="198"/>
      <c r="QL137" s="198"/>
      <c r="QM137" s="198"/>
      <c r="QN137" s="198"/>
      <c r="QO137" s="198"/>
      <c r="QP137" s="198"/>
      <c r="QQ137" s="198"/>
      <c r="QR137" s="198"/>
      <c r="QS137" s="198"/>
      <c r="QT137" s="198"/>
      <c r="QU137" s="198"/>
      <c r="QV137" s="198"/>
      <c r="QW137" s="198"/>
      <c r="QX137" s="198"/>
      <c r="QY137" s="198"/>
      <c r="QZ137" s="198"/>
      <c r="RA137" s="198"/>
      <c r="RB137" s="198"/>
      <c r="RC137" s="198"/>
      <c r="RD137" s="198"/>
      <c r="RE137" s="198"/>
      <c r="RF137" s="198"/>
      <c r="RG137" s="198"/>
      <c r="RH137" s="198"/>
      <c r="RI137" s="198"/>
      <c r="RJ137" s="198"/>
      <c r="RK137" s="198"/>
      <c r="RL137" s="198"/>
      <c r="RM137" s="198"/>
      <c r="RN137" s="198"/>
      <c r="RO137" s="198"/>
      <c r="RP137" s="198"/>
      <c r="RQ137" s="198"/>
      <c r="RR137" s="198"/>
      <c r="RS137" s="198"/>
      <c r="RT137" s="198"/>
      <c r="RU137" s="198"/>
      <c r="RV137" s="198"/>
      <c r="RW137" s="198"/>
      <c r="RX137" s="198"/>
      <c r="RY137" s="198"/>
      <c r="RZ137" s="198"/>
      <c r="SA137" s="198"/>
      <c r="SB137" s="198"/>
      <c r="SC137" s="198"/>
      <c r="SD137" s="198"/>
      <c r="SE137" s="198"/>
      <c r="SF137" s="198"/>
      <c r="SG137" s="198"/>
    </row>
    <row r="138" spans="1:501" ht="40.049999999999997" customHeight="1" x14ac:dyDescent="0.3">
      <c r="A138" s="543" t="s">
        <v>342</v>
      </c>
      <c r="B138" s="956" t="s">
        <v>343</v>
      </c>
      <c r="C138" s="950"/>
      <c r="D138" s="861"/>
      <c r="E138" s="862"/>
      <c r="F138" s="861"/>
      <c r="G138" s="862"/>
      <c r="H138" s="861"/>
      <c r="I138" s="862"/>
      <c r="J138" s="861"/>
      <c r="K138" s="862"/>
      <c r="L138" s="861"/>
      <c r="M138" s="862"/>
      <c r="N138" s="861"/>
      <c r="O138" s="862"/>
      <c r="P138" s="861"/>
      <c r="Q138" s="862"/>
      <c r="R138" s="861"/>
      <c r="S138" s="862"/>
      <c r="T138" s="861"/>
      <c r="U138" s="862"/>
      <c r="V138" s="861"/>
      <c r="W138" s="862"/>
      <c r="X138" s="861"/>
      <c r="Y138" s="862"/>
      <c r="Z138" s="861"/>
      <c r="AA138" s="862"/>
      <c r="AB138" s="864"/>
      <c r="AC138" s="864"/>
      <c r="AD138" s="864"/>
      <c r="AE138" s="864"/>
      <c r="AF138" s="861"/>
      <c r="AG138" s="865">
        <f t="shared" si="2"/>
        <v>0</v>
      </c>
      <c r="AH138" s="866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  <c r="AS138" s="198"/>
      <c r="AT138" s="198"/>
      <c r="AU138" s="198"/>
      <c r="AV138" s="198"/>
      <c r="AW138" s="198"/>
      <c r="AX138" s="198"/>
      <c r="AY138" s="198"/>
      <c r="AZ138" s="198"/>
      <c r="BA138" s="198"/>
      <c r="BB138" s="198"/>
      <c r="BC138" s="198"/>
      <c r="BD138" s="198"/>
      <c r="BE138" s="198"/>
      <c r="BF138" s="198"/>
      <c r="BG138" s="198"/>
      <c r="BH138" s="198"/>
      <c r="BI138" s="198"/>
      <c r="BJ138" s="198"/>
      <c r="BK138" s="198"/>
      <c r="BL138" s="198"/>
      <c r="BM138" s="198"/>
      <c r="BN138" s="198"/>
      <c r="BO138" s="198"/>
      <c r="BP138" s="198"/>
      <c r="BQ138" s="198"/>
      <c r="BR138" s="198"/>
      <c r="BS138" s="198"/>
      <c r="BT138" s="198"/>
      <c r="BU138" s="198"/>
      <c r="BV138" s="198"/>
      <c r="BW138" s="198"/>
      <c r="BX138" s="198"/>
      <c r="BY138" s="198"/>
      <c r="BZ138" s="198"/>
      <c r="CA138" s="198"/>
      <c r="CB138" s="198"/>
      <c r="CC138" s="198"/>
      <c r="CD138" s="198"/>
      <c r="CE138" s="198"/>
      <c r="CF138" s="198"/>
      <c r="CG138" s="198"/>
      <c r="CH138" s="198"/>
      <c r="CI138" s="198"/>
      <c r="CJ138" s="198"/>
      <c r="CK138" s="198"/>
      <c r="CL138" s="198"/>
      <c r="CM138" s="198"/>
      <c r="CN138" s="198"/>
      <c r="CO138" s="198"/>
      <c r="CP138" s="198"/>
      <c r="CQ138" s="198"/>
      <c r="CR138" s="198"/>
      <c r="CS138" s="198"/>
      <c r="CT138" s="198"/>
      <c r="CU138" s="198"/>
      <c r="CV138" s="198"/>
      <c r="CW138" s="198"/>
      <c r="CX138" s="198"/>
      <c r="CY138" s="198"/>
      <c r="CZ138" s="198"/>
      <c r="DA138" s="198"/>
      <c r="DB138" s="198"/>
      <c r="DC138" s="198"/>
      <c r="DD138" s="198"/>
      <c r="DE138" s="198"/>
      <c r="DF138" s="198"/>
      <c r="DG138" s="198"/>
      <c r="DH138" s="198"/>
      <c r="DI138" s="198"/>
      <c r="DJ138" s="198"/>
      <c r="DK138" s="198"/>
      <c r="DL138" s="198"/>
      <c r="DM138" s="198"/>
      <c r="DN138" s="198"/>
      <c r="DO138" s="198"/>
      <c r="DP138" s="198"/>
      <c r="DQ138" s="198"/>
      <c r="DR138" s="198"/>
      <c r="DS138" s="198"/>
      <c r="DT138" s="198"/>
      <c r="DU138" s="198"/>
      <c r="DV138" s="198"/>
      <c r="DW138" s="198"/>
      <c r="DX138" s="198"/>
      <c r="DY138" s="198"/>
      <c r="DZ138" s="198"/>
      <c r="EA138" s="198"/>
      <c r="EB138" s="198"/>
      <c r="EC138" s="198"/>
      <c r="ED138" s="198"/>
      <c r="EE138" s="198"/>
      <c r="EF138" s="198"/>
      <c r="EG138" s="198"/>
      <c r="EH138" s="198"/>
      <c r="EI138" s="198"/>
      <c r="EJ138" s="198"/>
      <c r="EK138" s="198"/>
      <c r="EL138" s="198"/>
      <c r="EM138" s="198"/>
      <c r="EN138" s="198"/>
      <c r="EO138" s="198"/>
      <c r="EP138" s="198"/>
      <c r="EQ138" s="198"/>
      <c r="ER138" s="198"/>
      <c r="ES138" s="198"/>
      <c r="ET138" s="198"/>
      <c r="EU138" s="198"/>
      <c r="EV138" s="198"/>
      <c r="EW138" s="198"/>
      <c r="EX138" s="198"/>
      <c r="EY138" s="198"/>
      <c r="EZ138" s="198"/>
      <c r="FA138" s="198"/>
      <c r="FB138" s="198"/>
      <c r="FC138" s="198"/>
      <c r="FD138" s="198"/>
      <c r="FE138" s="198"/>
      <c r="FF138" s="198"/>
      <c r="FG138" s="198"/>
      <c r="FH138" s="198"/>
      <c r="FI138" s="198"/>
      <c r="FJ138" s="198"/>
      <c r="FK138" s="198"/>
      <c r="FL138" s="198"/>
      <c r="FM138" s="198"/>
      <c r="FN138" s="198"/>
      <c r="FO138" s="198"/>
      <c r="FP138" s="198"/>
      <c r="FQ138" s="198"/>
      <c r="FR138" s="198"/>
      <c r="FS138" s="198"/>
      <c r="FT138" s="198"/>
      <c r="FU138" s="198"/>
      <c r="FV138" s="198"/>
      <c r="FW138" s="198"/>
      <c r="FX138" s="198"/>
      <c r="FY138" s="198"/>
      <c r="FZ138" s="198"/>
      <c r="GA138" s="198"/>
      <c r="GB138" s="198"/>
      <c r="GC138" s="198"/>
      <c r="GD138" s="198"/>
      <c r="GE138" s="198"/>
      <c r="GF138" s="198"/>
      <c r="GG138" s="198"/>
      <c r="GH138" s="198"/>
      <c r="GI138" s="198"/>
      <c r="GJ138" s="198"/>
      <c r="GK138" s="198"/>
      <c r="GL138" s="198"/>
      <c r="GM138" s="198"/>
      <c r="GN138" s="198"/>
      <c r="GO138" s="198"/>
      <c r="GP138" s="198"/>
      <c r="GQ138" s="198"/>
      <c r="GR138" s="198"/>
      <c r="GS138" s="198"/>
      <c r="GT138" s="198"/>
      <c r="GU138" s="198"/>
      <c r="GV138" s="198"/>
      <c r="GW138" s="198"/>
      <c r="GX138" s="198"/>
      <c r="GY138" s="198"/>
      <c r="GZ138" s="198"/>
      <c r="HA138" s="198"/>
      <c r="HB138" s="198"/>
      <c r="HC138" s="198"/>
      <c r="HD138" s="198"/>
      <c r="HE138" s="198"/>
      <c r="HF138" s="198"/>
      <c r="HG138" s="198"/>
      <c r="HH138" s="198"/>
      <c r="HI138" s="198"/>
      <c r="HJ138" s="198"/>
      <c r="HK138" s="198"/>
      <c r="HL138" s="198"/>
      <c r="HM138" s="198"/>
      <c r="HN138" s="198"/>
      <c r="HO138" s="198"/>
      <c r="HP138" s="198"/>
      <c r="HQ138" s="198"/>
      <c r="HR138" s="198"/>
      <c r="HS138" s="198"/>
      <c r="HT138" s="198"/>
      <c r="HU138" s="198"/>
      <c r="HV138" s="198"/>
      <c r="HW138" s="198"/>
      <c r="HX138" s="198"/>
      <c r="HY138" s="198"/>
      <c r="HZ138" s="198"/>
      <c r="IA138" s="198"/>
      <c r="IB138" s="198"/>
      <c r="IC138" s="198"/>
      <c r="ID138" s="198"/>
      <c r="IE138" s="198"/>
      <c r="IF138" s="198"/>
      <c r="IG138" s="198"/>
      <c r="IH138" s="198"/>
      <c r="II138" s="198"/>
      <c r="IJ138" s="198"/>
      <c r="IK138" s="198"/>
      <c r="IL138" s="198"/>
      <c r="IM138" s="198"/>
      <c r="IN138" s="198"/>
      <c r="IO138" s="198"/>
      <c r="IP138" s="198"/>
      <c r="IQ138" s="198"/>
      <c r="IR138" s="198"/>
      <c r="IS138" s="198"/>
      <c r="IT138" s="198"/>
      <c r="IU138" s="198"/>
      <c r="IV138" s="198"/>
      <c r="IW138" s="198"/>
      <c r="IX138" s="198"/>
      <c r="IY138" s="198"/>
      <c r="IZ138" s="198"/>
      <c r="JA138" s="198"/>
      <c r="JB138" s="198"/>
      <c r="JC138" s="198"/>
      <c r="JD138" s="198"/>
      <c r="JE138" s="198"/>
      <c r="JF138" s="198"/>
      <c r="JG138" s="198"/>
      <c r="JH138" s="198"/>
      <c r="JI138" s="198"/>
      <c r="JJ138" s="198"/>
      <c r="JK138" s="198"/>
      <c r="JL138" s="198"/>
      <c r="JM138" s="198"/>
      <c r="JN138" s="198"/>
      <c r="JO138" s="198"/>
      <c r="JP138" s="198"/>
      <c r="JQ138" s="198"/>
      <c r="JR138" s="198"/>
      <c r="JS138" s="198"/>
      <c r="JT138" s="198"/>
      <c r="JU138" s="198"/>
      <c r="JV138" s="198"/>
      <c r="JW138" s="198"/>
      <c r="JX138" s="198"/>
      <c r="JY138" s="198"/>
      <c r="JZ138" s="198"/>
      <c r="KA138" s="198"/>
      <c r="KB138" s="198"/>
      <c r="KC138" s="198"/>
      <c r="KD138" s="198"/>
      <c r="KE138" s="198"/>
      <c r="KF138" s="198"/>
      <c r="KG138" s="198"/>
      <c r="KH138" s="198"/>
      <c r="KI138" s="198"/>
      <c r="KJ138" s="198"/>
      <c r="KK138" s="198"/>
      <c r="KL138" s="198"/>
      <c r="KM138" s="198"/>
      <c r="KN138" s="198"/>
      <c r="KO138" s="198"/>
      <c r="KP138" s="198"/>
      <c r="KQ138" s="198"/>
      <c r="KR138" s="198"/>
      <c r="KS138" s="198"/>
      <c r="KT138" s="198"/>
      <c r="KU138" s="198"/>
      <c r="KV138" s="198"/>
      <c r="KW138" s="198"/>
      <c r="KX138" s="198"/>
      <c r="KY138" s="198"/>
      <c r="KZ138" s="198"/>
      <c r="LA138" s="198"/>
      <c r="LB138" s="198"/>
      <c r="LC138" s="198"/>
      <c r="LD138" s="198"/>
      <c r="LE138" s="198"/>
      <c r="LF138" s="198"/>
      <c r="LG138" s="198"/>
      <c r="LH138" s="198"/>
      <c r="LI138" s="198"/>
      <c r="LJ138" s="198"/>
      <c r="LK138" s="198"/>
      <c r="LL138" s="198"/>
      <c r="LM138" s="198"/>
      <c r="LN138" s="198"/>
      <c r="LO138" s="198"/>
      <c r="LP138" s="198"/>
      <c r="LQ138" s="198"/>
      <c r="LR138" s="198"/>
      <c r="LS138" s="198"/>
      <c r="LT138" s="198"/>
      <c r="LU138" s="198"/>
      <c r="LV138" s="198"/>
      <c r="LW138" s="198"/>
      <c r="LX138" s="198"/>
      <c r="LY138" s="198"/>
      <c r="LZ138" s="198"/>
      <c r="MA138" s="198"/>
      <c r="MB138" s="198"/>
      <c r="MC138" s="198"/>
      <c r="MD138" s="198"/>
      <c r="ME138" s="198"/>
      <c r="MF138" s="198"/>
      <c r="MG138" s="198"/>
      <c r="MH138" s="198"/>
      <c r="MI138" s="198"/>
      <c r="MJ138" s="198"/>
      <c r="MK138" s="198"/>
      <c r="ML138" s="198"/>
      <c r="MM138" s="198"/>
      <c r="MN138" s="198"/>
      <c r="MO138" s="198"/>
      <c r="MP138" s="198"/>
      <c r="MQ138" s="198"/>
      <c r="MR138" s="198"/>
      <c r="MS138" s="198"/>
      <c r="MT138" s="198"/>
      <c r="MU138" s="198"/>
      <c r="MV138" s="198"/>
      <c r="MW138" s="198"/>
      <c r="MX138" s="198"/>
      <c r="MY138" s="198"/>
      <c r="MZ138" s="198"/>
      <c r="NA138" s="198"/>
      <c r="NB138" s="198"/>
      <c r="NC138" s="198"/>
      <c r="ND138" s="198"/>
      <c r="NE138" s="198"/>
      <c r="NF138" s="198"/>
      <c r="NG138" s="198"/>
      <c r="NH138" s="198"/>
      <c r="NI138" s="198"/>
      <c r="NJ138" s="198"/>
      <c r="NK138" s="198"/>
      <c r="NL138" s="198"/>
      <c r="NM138" s="198"/>
      <c r="NN138" s="198"/>
      <c r="NO138" s="198"/>
      <c r="NP138" s="198"/>
      <c r="NQ138" s="198"/>
      <c r="NR138" s="198"/>
      <c r="NS138" s="198"/>
      <c r="NT138" s="198"/>
      <c r="NU138" s="198"/>
      <c r="NV138" s="198"/>
      <c r="NW138" s="198"/>
      <c r="NX138" s="198"/>
      <c r="NY138" s="198"/>
      <c r="NZ138" s="198"/>
      <c r="OA138" s="198"/>
      <c r="OB138" s="198"/>
      <c r="OC138" s="198"/>
      <c r="OD138" s="198"/>
      <c r="OE138" s="198"/>
      <c r="OF138" s="198"/>
      <c r="OG138" s="198"/>
      <c r="OH138" s="198"/>
      <c r="OI138" s="198"/>
      <c r="OJ138" s="198"/>
      <c r="OK138" s="198"/>
      <c r="OL138" s="198"/>
      <c r="OM138" s="198"/>
      <c r="ON138" s="198"/>
      <c r="OO138" s="198"/>
      <c r="OP138" s="198"/>
      <c r="OQ138" s="198"/>
      <c r="OR138" s="198"/>
      <c r="OS138" s="198"/>
      <c r="OT138" s="198"/>
      <c r="OU138" s="198"/>
      <c r="OV138" s="198"/>
      <c r="OW138" s="198"/>
      <c r="OX138" s="198"/>
      <c r="OY138" s="198"/>
      <c r="OZ138" s="198"/>
      <c r="PA138" s="198"/>
      <c r="PB138" s="198"/>
      <c r="PC138" s="198"/>
      <c r="PD138" s="198"/>
      <c r="PE138" s="198"/>
      <c r="PF138" s="198"/>
      <c r="PG138" s="198"/>
      <c r="PH138" s="198"/>
      <c r="PI138" s="198"/>
      <c r="PJ138" s="198"/>
      <c r="PK138" s="198"/>
      <c r="PL138" s="198"/>
      <c r="PM138" s="198"/>
      <c r="PN138" s="198"/>
      <c r="PO138" s="198"/>
      <c r="PP138" s="198"/>
      <c r="PQ138" s="198"/>
      <c r="PR138" s="198"/>
      <c r="PS138" s="198"/>
      <c r="PT138" s="198"/>
      <c r="PU138" s="198"/>
      <c r="PV138" s="198"/>
      <c r="PW138" s="198"/>
      <c r="PX138" s="198"/>
      <c r="PY138" s="198"/>
      <c r="PZ138" s="198"/>
      <c r="QA138" s="198"/>
      <c r="QB138" s="198"/>
      <c r="QC138" s="198"/>
      <c r="QD138" s="198"/>
      <c r="QE138" s="198"/>
      <c r="QF138" s="198"/>
      <c r="QG138" s="198"/>
      <c r="QH138" s="198"/>
      <c r="QI138" s="198"/>
      <c r="QJ138" s="198"/>
      <c r="QK138" s="198"/>
      <c r="QL138" s="198"/>
      <c r="QM138" s="198"/>
      <c r="QN138" s="198"/>
      <c r="QO138" s="198"/>
      <c r="QP138" s="198"/>
      <c r="QQ138" s="198"/>
      <c r="QR138" s="198"/>
      <c r="QS138" s="198"/>
      <c r="QT138" s="198"/>
      <c r="QU138" s="198"/>
      <c r="QV138" s="198"/>
      <c r="QW138" s="198"/>
      <c r="QX138" s="198"/>
      <c r="QY138" s="198"/>
      <c r="QZ138" s="198"/>
      <c r="RA138" s="198"/>
      <c r="RB138" s="198"/>
      <c r="RC138" s="198"/>
      <c r="RD138" s="198"/>
      <c r="RE138" s="198"/>
      <c r="RF138" s="198"/>
      <c r="RG138" s="198"/>
      <c r="RH138" s="198"/>
      <c r="RI138" s="198"/>
      <c r="RJ138" s="198"/>
      <c r="RK138" s="198"/>
      <c r="RL138" s="198"/>
      <c r="RM138" s="198"/>
      <c r="RN138" s="198"/>
      <c r="RO138" s="198"/>
      <c r="RP138" s="198"/>
      <c r="RQ138" s="198"/>
      <c r="RR138" s="198"/>
      <c r="RS138" s="198"/>
      <c r="RT138" s="198"/>
      <c r="RU138" s="198"/>
      <c r="RV138" s="198"/>
      <c r="RW138" s="198"/>
      <c r="RX138" s="198"/>
      <c r="RY138" s="198"/>
      <c r="RZ138" s="198"/>
      <c r="SA138" s="198"/>
      <c r="SB138" s="198"/>
      <c r="SC138" s="198"/>
      <c r="SD138" s="198"/>
      <c r="SE138" s="198"/>
      <c r="SF138" s="198"/>
      <c r="SG138" s="198"/>
    </row>
    <row r="139" spans="1:501" ht="40.049999999999997" customHeight="1" x14ac:dyDescent="0.3">
      <c r="A139" s="543" t="s">
        <v>344</v>
      </c>
      <c r="B139" s="956" t="s">
        <v>345</v>
      </c>
      <c r="C139" s="950"/>
      <c r="D139" s="861"/>
      <c r="E139" s="862"/>
      <c r="F139" s="861"/>
      <c r="G139" s="862"/>
      <c r="H139" s="861"/>
      <c r="I139" s="862"/>
      <c r="J139" s="861"/>
      <c r="K139" s="862"/>
      <c r="L139" s="861"/>
      <c r="M139" s="862"/>
      <c r="N139" s="861"/>
      <c r="O139" s="862"/>
      <c r="P139" s="861"/>
      <c r="Q139" s="862"/>
      <c r="R139" s="861"/>
      <c r="S139" s="862"/>
      <c r="T139" s="861"/>
      <c r="U139" s="862"/>
      <c r="V139" s="861"/>
      <c r="W139" s="862"/>
      <c r="X139" s="861"/>
      <c r="Y139" s="862"/>
      <c r="Z139" s="861"/>
      <c r="AA139" s="862"/>
      <c r="AB139" s="864"/>
      <c r="AC139" s="864"/>
      <c r="AD139" s="864"/>
      <c r="AE139" s="864"/>
      <c r="AF139" s="861"/>
      <c r="AG139" s="865">
        <f t="shared" si="2"/>
        <v>0</v>
      </c>
      <c r="AH139" s="866"/>
      <c r="AJ139" s="198"/>
      <c r="AK139" s="198"/>
      <c r="AL139" s="198"/>
      <c r="AM139" s="198"/>
      <c r="AN139" s="198"/>
      <c r="AO139" s="198"/>
      <c r="AP139" s="198"/>
      <c r="AQ139" s="198"/>
      <c r="AR139" s="198"/>
      <c r="AS139" s="198"/>
      <c r="AT139" s="198"/>
      <c r="AU139" s="198"/>
      <c r="AV139" s="198"/>
      <c r="AW139" s="198"/>
      <c r="AX139" s="198"/>
      <c r="AY139" s="198"/>
      <c r="AZ139" s="198"/>
      <c r="BA139" s="198"/>
      <c r="BB139" s="198"/>
      <c r="BC139" s="198"/>
      <c r="BD139" s="198"/>
      <c r="BE139" s="198"/>
      <c r="BF139" s="198"/>
      <c r="BG139" s="198"/>
      <c r="BH139" s="198"/>
      <c r="BI139" s="198"/>
      <c r="BJ139" s="198"/>
      <c r="BK139" s="198"/>
      <c r="BL139" s="198"/>
      <c r="BM139" s="198"/>
      <c r="BN139" s="198"/>
      <c r="BO139" s="198"/>
      <c r="BP139" s="198"/>
      <c r="BQ139" s="198"/>
      <c r="BR139" s="198"/>
      <c r="BS139" s="198"/>
      <c r="BT139" s="198"/>
      <c r="BU139" s="198"/>
      <c r="BV139" s="198"/>
      <c r="BW139" s="198"/>
      <c r="BX139" s="198"/>
      <c r="BY139" s="198"/>
      <c r="BZ139" s="198"/>
      <c r="CA139" s="198"/>
      <c r="CB139" s="198"/>
      <c r="CC139" s="198"/>
      <c r="CD139" s="198"/>
      <c r="CE139" s="198"/>
      <c r="CF139" s="198"/>
      <c r="CG139" s="198"/>
      <c r="CH139" s="198"/>
      <c r="CI139" s="198"/>
      <c r="CJ139" s="198"/>
      <c r="CK139" s="198"/>
      <c r="CL139" s="198"/>
      <c r="CM139" s="198"/>
      <c r="CN139" s="198"/>
      <c r="CO139" s="198"/>
      <c r="CP139" s="198"/>
      <c r="CQ139" s="198"/>
      <c r="CR139" s="198"/>
      <c r="CS139" s="198"/>
      <c r="CT139" s="198"/>
      <c r="CU139" s="198"/>
      <c r="CV139" s="198"/>
      <c r="CW139" s="198"/>
      <c r="CX139" s="198"/>
      <c r="CY139" s="198"/>
      <c r="CZ139" s="198"/>
      <c r="DA139" s="198"/>
      <c r="DB139" s="198"/>
      <c r="DC139" s="198"/>
      <c r="DD139" s="198"/>
      <c r="DE139" s="198"/>
      <c r="DF139" s="198"/>
      <c r="DG139" s="198"/>
      <c r="DH139" s="198"/>
      <c r="DI139" s="198"/>
      <c r="DJ139" s="198"/>
      <c r="DK139" s="198"/>
      <c r="DL139" s="198"/>
      <c r="DM139" s="198"/>
      <c r="DN139" s="198"/>
      <c r="DO139" s="198"/>
      <c r="DP139" s="198"/>
      <c r="DQ139" s="198"/>
      <c r="DR139" s="198"/>
      <c r="DS139" s="198"/>
      <c r="DT139" s="198"/>
      <c r="DU139" s="198"/>
      <c r="DV139" s="198"/>
      <c r="DW139" s="198"/>
      <c r="DX139" s="198"/>
      <c r="DY139" s="198"/>
      <c r="DZ139" s="198"/>
      <c r="EA139" s="198"/>
      <c r="EB139" s="198"/>
      <c r="EC139" s="198"/>
      <c r="ED139" s="198"/>
      <c r="EE139" s="198"/>
      <c r="EF139" s="198"/>
      <c r="EG139" s="198"/>
      <c r="EH139" s="198"/>
      <c r="EI139" s="198"/>
      <c r="EJ139" s="198"/>
      <c r="EK139" s="198"/>
      <c r="EL139" s="198"/>
      <c r="EM139" s="198"/>
      <c r="EN139" s="198"/>
      <c r="EO139" s="198"/>
      <c r="EP139" s="198"/>
      <c r="EQ139" s="198"/>
      <c r="ER139" s="198"/>
      <c r="ES139" s="198"/>
      <c r="ET139" s="198"/>
      <c r="EU139" s="198"/>
      <c r="EV139" s="198"/>
      <c r="EW139" s="198"/>
      <c r="EX139" s="198"/>
      <c r="EY139" s="198"/>
      <c r="EZ139" s="198"/>
      <c r="FA139" s="198"/>
      <c r="FB139" s="198"/>
      <c r="FC139" s="198"/>
      <c r="FD139" s="198"/>
      <c r="FE139" s="198"/>
      <c r="FF139" s="198"/>
      <c r="FG139" s="198"/>
      <c r="FH139" s="198"/>
      <c r="FI139" s="198"/>
      <c r="FJ139" s="198"/>
      <c r="FK139" s="198"/>
      <c r="FL139" s="198"/>
      <c r="FM139" s="198"/>
      <c r="FN139" s="198"/>
      <c r="FO139" s="198"/>
      <c r="FP139" s="198"/>
      <c r="FQ139" s="198"/>
      <c r="FR139" s="198"/>
      <c r="FS139" s="198"/>
      <c r="FT139" s="198"/>
      <c r="FU139" s="198"/>
      <c r="FV139" s="198"/>
      <c r="FW139" s="198"/>
      <c r="FX139" s="198"/>
      <c r="FY139" s="198"/>
      <c r="FZ139" s="198"/>
      <c r="GA139" s="198"/>
      <c r="GB139" s="198"/>
      <c r="GC139" s="198"/>
      <c r="GD139" s="198"/>
      <c r="GE139" s="198"/>
      <c r="GF139" s="198"/>
      <c r="GG139" s="198"/>
      <c r="GH139" s="198"/>
      <c r="GI139" s="198"/>
      <c r="GJ139" s="198"/>
      <c r="GK139" s="198"/>
      <c r="GL139" s="198"/>
      <c r="GM139" s="198"/>
      <c r="GN139" s="198"/>
      <c r="GO139" s="198"/>
      <c r="GP139" s="198"/>
      <c r="GQ139" s="198"/>
      <c r="GR139" s="198"/>
      <c r="GS139" s="198"/>
      <c r="GT139" s="198"/>
      <c r="GU139" s="198"/>
      <c r="GV139" s="198"/>
      <c r="GW139" s="198"/>
      <c r="GX139" s="198"/>
      <c r="GY139" s="198"/>
      <c r="GZ139" s="198"/>
      <c r="HA139" s="198"/>
      <c r="HB139" s="198"/>
      <c r="HC139" s="198"/>
      <c r="HD139" s="198"/>
      <c r="HE139" s="198"/>
      <c r="HF139" s="198"/>
      <c r="HG139" s="198"/>
      <c r="HH139" s="198"/>
      <c r="HI139" s="198"/>
      <c r="HJ139" s="198"/>
      <c r="HK139" s="198"/>
      <c r="HL139" s="198"/>
      <c r="HM139" s="198"/>
      <c r="HN139" s="198"/>
      <c r="HO139" s="198"/>
      <c r="HP139" s="198"/>
      <c r="HQ139" s="198"/>
      <c r="HR139" s="198"/>
      <c r="HS139" s="198"/>
      <c r="HT139" s="198"/>
      <c r="HU139" s="198"/>
      <c r="HV139" s="198"/>
      <c r="HW139" s="198"/>
      <c r="HX139" s="198"/>
      <c r="HY139" s="198"/>
      <c r="HZ139" s="198"/>
      <c r="IA139" s="198"/>
      <c r="IB139" s="198"/>
      <c r="IC139" s="198"/>
      <c r="ID139" s="198"/>
      <c r="IE139" s="198"/>
      <c r="IF139" s="198"/>
      <c r="IG139" s="198"/>
      <c r="IH139" s="198"/>
      <c r="II139" s="198"/>
      <c r="IJ139" s="198"/>
      <c r="IK139" s="198"/>
      <c r="IL139" s="198"/>
      <c r="IM139" s="198"/>
      <c r="IN139" s="198"/>
      <c r="IO139" s="198"/>
      <c r="IP139" s="198"/>
      <c r="IQ139" s="198"/>
      <c r="IR139" s="198"/>
      <c r="IS139" s="198"/>
      <c r="IT139" s="198"/>
      <c r="IU139" s="198"/>
      <c r="IV139" s="198"/>
      <c r="IW139" s="198"/>
      <c r="IX139" s="198"/>
      <c r="IY139" s="198"/>
      <c r="IZ139" s="198"/>
      <c r="JA139" s="198"/>
      <c r="JB139" s="198"/>
      <c r="JC139" s="198"/>
      <c r="JD139" s="198"/>
      <c r="JE139" s="198"/>
      <c r="JF139" s="198"/>
      <c r="JG139" s="198"/>
      <c r="JH139" s="198"/>
      <c r="JI139" s="198"/>
      <c r="JJ139" s="198"/>
      <c r="JK139" s="198"/>
      <c r="JL139" s="198"/>
      <c r="JM139" s="198"/>
      <c r="JN139" s="198"/>
      <c r="JO139" s="198"/>
      <c r="JP139" s="198"/>
      <c r="JQ139" s="198"/>
      <c r="JR139" s="198"/>
      <c r="JS139" s="198"/>
      <c r="JT139" s="198"/>
      <c r="JU139" s="198"/>
      <c r="JV139" s="198"/>
      <c r="JW139" s="198"/>
      <c r="JX139" s="198"/>
      <c r="JY139" s="198"/>
      <c r="JZ139" s="198"/>
      <c r="KA139" s="198"/>
      <c r="KB139" s="198"/>
      <c r="KC139" s="198"/>
      <c r="KD139" s="198"/>
      <c r="KE139" s="198"/>
      <c r="KF139" s="198"/>
      <c r="KG139" s="198"/>
      <c r="KH139" s="198"/>
      <c r="KI139" s="198"/>
      <c r="KJ139" s="198"/>
      <c r="KK139" s="198"/>
      <c r="KL139" s="198"/>
      <c r="KM139" s="198"/>
      <c r="KN139" s="198"/>
      <c r="KO139" s="198"/>
      <c r="KP139" s="198"/>
      <c r="KQ139" s="198"/>
      <c r="KR139" s="198"/>
      <c r="KS139" s="198"/>
      <c r="KT139" s="198"/>
      <c r="KU139" s="198"/>
      <c r="KV139" s="198"/>
      <c r="KW139" s="198"/>
      <c r="KX139" s="198"/>
      <c r="KY139" s="198"/>
      <c r="KZ139" s="198"/>
      <c r="LA139" s="198"/>
      <c r="LB139" s="198"/>
      <c r="LC139" s="198"/>
      <c r="LD139" s="198"/>
      <c r="LE139" s="198"/>
      <c r="LF139" s="198"/>
      <c r="LG139" s="198"/>
      <c r="LH139" s="198"/>
      <c r="LI139" s="198"/>
      <c r="LJ139" s="198"/>
      <c r="LK139" s="198"/>
      <c r="LL139" s="198"/>
      <c r="LM139" s="198"/>
      <c r="LN139" s="198"/>
      <c r="LO139" s="198"/>
      <c r="LP139" s="198"/>
      <c r="LQ139" s="198"/>
      <c r="LR139" s="198"/>
      <c r="LS139" s="198"/>
      <c r="LT139" s="198"/>
      <c r="LU139" s="198"/>
      <c r="LV139" s="198"/>
      <c r="LW139" s="198"/>
      <c r="LX139" s="198"/>
      <c r="LY139" s="198"/>
      <c r="LZ139" s="198"/>
      <c r="MA139" s="198"/>
      <c r="MB139" s="198"/>
      <c r="MC139" s="198"/>
      <c r="MD139" s="198"/>
      <c r="ME139" s="198"/>
      <c r="MF139" s="198"/>
      <c r="MG139" s="198"/>
      <c r="MH139" s="198"/>
      <c r="MI139" s="198"/>
      <c r="MJ139" s="198"/>
      <c r="MK139" s="198"/>
      <c r="ML139" s="198"/>
      <c r="MM139" s="198"/>
      <c r="MN139" s="198"/>
      <c r="MO139" s="198"/>
      <c r="MP139" s="198"/>
      <c r="MQ139" s="198"/>
      <c r="MR139" s="198"/>
      <c r="MS139" s="198"/>
      <c r="MT139" s="198"/>
      <c r="MU139" s="198"/>
      <c r="MV139" s="198"/>
      <c r="MW139" s="198"/>
      <c r="MX139" s="198"/>
      <c r="MY139" s="198"/>
      <c r="MZ139" s="198"/>
      <c r="NA139" s="198"/>
      <c r="NB139" s="198"/>
      <c r="NC139" s="198"/>
      <c r="ND139" s="198"/>
      <c r="NE139" s="198"/>
      <c r="NF139" s="198"/>
      <c r="NG139" s="198"/>
      <c r="NH139" s="198"/>
      <c r="NI139" s="198"/>
      <c r="NJ139" s="198"/>
      <c r="NK139" s="198"/>
      <c r="NL139" s="198"/>
      <c r="NM139" s="198"/>
      <c r="NN139" s="198"/>
      <c r="NO139" s="198"/>
      <c r="NP139" s="198"/>
      <c r="NQ139" s="198"/>
      <c r="NR139" s="198"/>
      <c r="NS139" s="198"/>
      <c r="NT139" s="198"/>
      <c r="NU139" s="198"/>
      <c r="NV139" s="198"/>
      <c r="NW139" s="198"/>
      <c r="NX139" s="198"/>
      <c r="NY139" s="198"/>
      <c r="NZ139" s="198"/>
      <c r="OA139" s="198"/>
      <c r="OB139" s="198"/>
      <c r="OC139" s="198"/>
      <c r="OD139" s="198"/>
      <c r="OE139" s="198"/>
      <c r="OF139" s="198"/>
      <c r="OG139" s="198"/>
      <c r="OH139" s="198"/>
      <c r="OI139" s="198"/>
      <c r="OJ139" s="198"/>
      <c r="OK139" s="198"/>
      <c r="OL139" s="198"/>
      <c r="OM139" s="198"/>
      <c r="ON139" s="198"/>
      <c r="OO139" s="198"/>
      <c r="OP139" s="198"/>
      <c r="OQ139" s="198"/>
      <c r="OR139" s="198"/>
      <c r="OS139" s="198"/>
      <c r="OT139" s="198"/>
      <c r="OU139" s="198"/>
      <c r="OV139" s="198"/>
      <c r="OW139" s="198"/>
      <c r="OX139" s="198"/>
      <c r="OY139" s="198"/>
      <c r="OZ139" s="198"/>
      <c r="PA139" s="198"/>
      <c r="PB139" s="198"/>
      <c r="PC139" s="198"/>
      <c r="PD139" s="198"/>
      <c r="PE139" s="198"/>
      <c r="PF139" s="198"/>
      <c r="PG139" s="198"/>
      <c r="PH139" s="198"/>
      <c r="PI139" s="198"/>
      <c r="PJ139" s="198"/>
      <c r="PK139" s="198"/>
      <c r="PL139" s="198"/>
      <c r="PM139" s="198"/>
      <c r="PN139" s="198"/>
      <c r="PO139" s="198"/>
      <c r="PP139" s="198"/>
      <c r="PQ139" s="198"/>
      <c r="PR139" s="198"/>
      <c r="PS139" s="198"/>
      <c r="PT139" s="198"/>
      <c r="PU139" s="198"/>
      <c r="PV139" s="198"/>
      <c r="PW139" s="198"/>
      <c r="PX139" s="198"/>
      <c r="PY139" s="198"/>
      <c r="PZ139" s="198"/>
      <c r="QA139" s="198"/>
      <c r="QB139" s="198"/>
      <c r="QC139" s="198"/>
      <c r="QD139" s="198"/>
      <c r="QE139" s="198"/>
      <c r="QF139" s="198"/>
      <c r="QG139" s="198"/>
      <c r="QH139" s="198"/>
      <c r="QI139" s="198"/>
      <c r="QJ139" s="198"/>
      <c r="QK139" s="198"/>
      <c r="QL139" s="198"/>
      <c r="QM139" s="198"/>
      <c r="QN139" s="198"/>
      <c r="QO139" s="198"/>
      <c r="QP139" s="198"/>
      <c r="QQ139" s="198"/>
      <c r="QR139" s="198"/>
      <c r="QS139" s="198"/>
      <c r="QT139" s="198"/>
      <c r="QU139" s="198"/>
      <c r="QV139" s="198"/>
      <c r="QW139" s="198"/>
      <c r="QX139" s="198"/>
      <c r="QY139" s="198"/>
      <c r="QZ139" s="198"/>
      <c r="RA139" s="198"/>
      <c r="RB139" s="198"/>
      <c r="RC139" s="198"/>
      <c r="RD139" s="198"/>
      <c r="RE139" s="198"/>
      <c r="RF139" s="198"/>
      <c r="RG139" s="198"/>
      <c r="RH139" s="198"/>
      <c r="RI139" s="198"/>
      <c r="RJ139" s="198"/>
      <c r="RK139" s="198"/>
      <c r="RL139" s="198"/>
      <c r="RM139" s="198"/>
      <c r="RN139" s="198"/>
      <c r="RO139" s="198"/>
      <c r="RP139" s="198"/>
      <c r="RQ139" s="198"/>
      <c r="RR139" s="198"/>
      <c r="RS139" s="198"/>
      <c r="RT139" s="198"/>
      <c r="RU139" s="198"/>
      <c r="RV139" s="198"/>
      <c r="RW139" s="198"/>
      <c r="RX139" s="198"/>
      <c r="RY139" s="198"/>
      <c r="RZ139" s="198"/>
      <c r="SA139" s="198"/>
      <c r="SB139" s="198"/>
      <c r="SC139" s="198"/>
      <c r="SD139" s="198"/>
      <c r="SE139" s="198"/>
      <c r="SF139" s="198"/>
      <c r="SG139" s="198"/>
    </row>
    <row r="140" spans="1:501" ht="40.049999999999997" customHeight="1" thickBot="1" x14ac:dyDescent="0.35">
      <c r="A140" s="543" t="s">
        <v>346</v>
      </c>
      <c r="B140" s="956" t="s">
        <v>347</v>
      </c>
      <c r="C140" s="950"/>
      <c r="D140" s="861"/>
      <c r="E140" s="862"/>
      <c r="F140" s="861"/>
      <c r="G140" s="862"/>
      <c r="H140" s="861"/>
      <c r="I140" s="862"/>
      <c r="J140" s="861"/>
      <c r="K140" s="862"/>
      <c r="L140" s="861"/>
      <c r="M140" s="862"/>
      <c r="N140" s="861"/>
      <c r="O140" s="862"/>
      <c r="P140" s="861"/>
      <c r="Q140" s="862"/>
      <c r="R140" s="861"/>
      <c r="S140" s="862"/>
      <c r="T140" s="861"/>
      <c r="U140" s="862"/>
      <c r="V140" s="861"/>
      <c r="W140" s="862"/>
      <c r="X140" s="861"/>
      <c r="Y140" s="862"/>
      <c r="Z140" s="861"/>
      <c r="AA140" s="862"/>
      <c r="AB140" s="864"/>
      <c r="AC140" s="864"/>
      <c r="AD140" s="864"/>
      <c r="AE140" s="864"/>
      <c r="AF140" s="861"/>
      <c r="AG140" s="865">
        <f t="shared" si="2"/>
        <v>0</v>
      </c>
      <c r="AH140" s="866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  <c r="AS140" s="198"/>
      <c r="AT140" s="198"/>
      <c r="AU140" s="198"/>
      <c r="AV140" s="198"/>
      <c r="AW140" s="198"/>
      <c r="AX140" s="198"/>
      <c r="AY140" s="198"/>
      <c r="AZ140" s="198"/>
      <c r="BA140" s="198"/>
      <c r="BB140" s="198"/>
      <c r="BC140" s="198"/>
      <c r="BD140" s="198"/>
      <c r="BE140" s="198"/>
      <c r="BF140" s="198"/>
      <c r="BG140" s="198"/>
      <c r="BH140" s="198"/>
      <c r="BI140" s="198"/>
      <c r="BJ140" s="198"/>
      <c r="BK140" s="198"/>
      <c r="BL140" s="198"/>
      <c r="BM140" s="198"/>
      <c r="BN140" s="198"/>
      <c r="BO140" s="198"/>
      <c r="BP140" s="198"/>
      <c r="BQ140" s="198"/>
      <c r="BR140" s="198"/>
      <c r="BS140" s="198"/>
      <c r="BT140" s="198"/>
      <c r="BU140" s="198"/>
      <c r="BV140" s="198"/>
      <c r="BW140" s="198"/>
      <c r="BX140" s="198"/>
      <c r="BY140" s="198"/>
      <c r="BZ140" s="198"/>
      <c r="CA140" s="198"/>
      <c r="CB140" s="198"/>
      <c r="CC140" s="198"/>
      <c r="CD140" s="198"/>
      <c r="CE140" s="198"/>
      <c r="CF140" s="198"/>
      <c r="CG140" s="198"/>
      <c r="CH140" s="198"/>
      <c r="CI140" s="198"/>
      <c r="CJ140" s="198"/>
      <c r="CK140" s="198"/>
      <c r="CL140" s="198"/>
      <c r="CM140" s="198"/>
      <c r="CN140" s="198"/>
      <c r="CO140" s="198"/>
      <c r="CP140" s="198"/>
      <c r="CQ140" s="198"/>
      <c r="CR140" s="198"/>
      <c r="CS140" s="198"/>
      <c r="CT140" s="198"/>
      <c r="CU140" s="198"/>
      <c r="CV140" s="198"/>
      <c r="CW140" s="198"/>
      <c r="CX140" s="198"/>
      <c r="CY140" s="198"/>
      <c r="CZ140" s="198"/>
      <c r="DA140" s="198"/>
      <c r="DB140" s="198"/>
      <c r="DC140" s="198"/>
      <c r="DD140" s="198"/>
      <c r="DE140" s="198"/>
      <c r="DF140" s="198"/>
      <c r="DG140" s="198"/>
      <c r="DH140" s="198"/>
      <c r="DI140" s="198"/>
      <c r="DJ140" s="198"/>
      <c r="DK140" s="198"/>
      <c r="DL140" s="198"/>
      <c r="DM140" s="198"/>
      <c r="DN140" s="198"/>
      <c r="DO140" s="198"/>
      <c r="DP140" s="198"/>
      <c r="DQ140" s="198"/>
      <c r="DR140" s="198"/>
      <c r="DS140" s="198"/>
      <c r="DT140" s="198"/>
      <c r="DU140" s="198"/>
      <c r="DV140" s="198"/>
      <c r="DW140" s="198"/>
      <c r="DX140" s="198"/>
      <c r="DY140" s="198"/>
      <c r="DZ140" s="198"/>
      <c r="EA140" s="198"/>
      <c r="EB140" s="198"/>
      <c r="EC140" s="198"/>
      <c r="ED140" s="198"/>
      <c r="EE140" s="198"/>
      <c r="EF140" s="198"/>
      <c r="EG140" s="198"/>
      <c r="EH140" s="198"/>
      <c r="EI140" s="198"/>
      <c r="EJ140" s="198"/>
      <c r="EK140" s="198"/>
      <c r="EL140" s="198"/>
      <c r="EM140" s="198"/>
      <c r="EN140" s="198"/>
      <c r="EO140" s="198"/>
      <c r="EP140" s="198"/>
      <c r="EQ140" s="198"/>
      <c r="ER140" s="198"/>
      <c r="ES140" s="198"/>
      <c r="ET140" s="198"/>
      <c r="EU140" s="198"/>
      <c r="EV140" s="198"/>
      <c r="EW140" s="198"/>
      <c r="EX140" s="198"/>
      <c r="EY140" s="198"/>
      <c r="EZ140" s="198"/>
      <c r="FA140" s="198"/>
      <c r="FB140" s="198"/>
      <c r="FC140" s="198"/>
      <c r="FD140" s="198"/>
      <c r="FE140" s="198"/>
      <c r="FF140" s="198"/>
      <c r="FG140" s="198"/>
      <c r="FH140" s="198"/>
      <c r="FI140" s="198"/>
      <c r="FJ140" s="198"/>
      <c r="FK140" s="198"/>
      <c r="FL140" s="198"/>
      <c r="FM140" s="198"/>
      <c r="FN140" s="198"/>
      <c r="FO140" s="198"/>
      <c r="FP140" s="198"/>
      <c r="FQ140" s="198"/>
      <c r="FR140" s="198"/>
      <c r="FS140" s="198"/>
      <c r="FT140" s="198"/>
      <c r="FU140" s="198"/>
      <c r="FV140" s="198"/>
      <c r="FW140" s="198"/>
      <c r="FX140" s="198"/>
      <c r="FY140" s="198"/>
      <c r="FZ140" s="198"/>
      <c r="GA140" s="198"/>
      <c r="GB140" s="198"/>
      <c r="GC140" s="198"/>
      <c r="GD140" s="198"/>
      <c r="GE140" s="198"/>
      <c r="GF140" s="198"/>
      <c r="GG140" s="198"/>
      <c r="GH140" s="198"/>
      <c r="GI140" s="198"/>
      <c r="GJ140" s="198"/>
      <c r="GK140" s="198"/>
      <c r="GL140" s="198"/>
      <c r="GM140" s="198"/>
      <c r="GN140" s="198"/>
      <c r="GO140" s="198"/>
      <c r="GP140" s="198"/>
      <c r="GQ140" s="198"/>
      <c r="GR140" s="198"/>
      <c r="GS140" s="198"/>
      <c r="GT140" s="198"/>
      <c r="GU140" s="198"/>
      <c r="GV140" s="198"/>
      <c r="GW140" s="198"/>
      <c r="GX140" s="198"/>
      <c r="GY140" s="198"/>
      <c r="GZ140" s="198"/>
      <c r="HA140" s="198"/>
      <c r="HB140" s="198"/>
      <c r="HC140" s="198"/>
      <c r="HD140" s="198"/>
      <c r="HE140" s="198"/>
      <c r="HF140" s="198"/>
      <c r="HG140" s="198"/>
      <c r="HH140" s="198"/>
      <c r="HI140" s="198"/>
      <c r="HJ140" s="198"/>
      <c r="HK140" s="198"/>
      <c r="HL140" s="198"/>
      <c r="HM140" s="198"/>
      <c r="HN140" s="198"/>
      <c r="HO140" s="198"/>
      <c r="HP140" s="198"/>
      <c r="HQ140" s="198"/>
      <c r="HR140" s="198"/>
      <c r="HS140" s="198"/>
      <c r="HT140" s="198"/>
      <c r="HU140" s="198"/>
      <c r="HV140" s="198"/>
      <c r="HW140" s="198"/>
      <c r="HX140" s="198"/>
      <c r="HY140" s="198"/>
      <c r="HZ140" s="198"/>
      <c r="IA140" s="198"/>
      <c r="IB140" s="198"/>
      <c r="IC140" s="198"/>
      <c r="ID140" s="198"/>
      <c r="IE140" s="198"/>
      <c r="IF140" s="198"/>
      <c r="IG140" s="198"/>
      <c r="IH140" s="198"/>
      <c r="II140" s="198"/>
      <c r="IJ140" s="198"/>
      <c r="IK140" s="198"/>
      <c r="IL140" s="198"/>
      <c r="IM140" s="198"/>
      <c r="IN140" s="198"/>
      <c r="IO140" s="198"/>
      <c r="IP140" s="198"/>
      <c r="IQ140" s="198"/>
      <c r="IR140" s="198"/>
      <c r="IS140" s="198"/>
      <c r="IT140" s="198"/>
      <c r="IU140" s="198"/>
      <c r="IV140" s="198"/>
      <c r="IW140" s="198"/>
      <c r="IX140" s="198"/>
      <c r="IY140" s="198"/>
      <c r="IZ140" s="198"/>
      <c r="JA140" s="198"/>
      <c r="JB140" s="198"/>
      <c r="JC140" s="198"/>
      <c r="JD140" s="198"/>
      <c r="JE140" s="198"/>
      <c r="JF140" s="198"/>
      <c r="JG140" s="198"/>
      <c r="JH140" s="198"/>
      <c r="JI140" s="198"/>
      <c r="JJ140" s="198"/>
      <c r="JK140" s="198"/>
      <c r="JL140" s="198"/>
      <c r="JM140" s="198"/>
      <c r="JN140" s="198"/>
      <c r="JO140" s="198"/>
      <c r="JP140" s="198"/>
      <c r="JQ140" s="198"/>
      <c r="JR140" s="198"/>
      <c r="JS140" s="198"/>
      <c r="JT140" s="198"/>
      <c r="JU140" s="198"/>
      <c r="JV140" s="198"/>
      <c r="JW140" s="198"/>
      <c r="JX140" s="198"/>
      <c r="JY140" s="198"/>
      <c r="JZ140" s="198"/>
      <c r="KA140" s="198"/>
      <c r="KB140" s="198"/>
      <c r="KC140" s="198"/>
      <c r="KD140" s="198"/>
      <c r="KE140" s="198"/>
      <c r="KF140" s="198"/>
      <c r="KG140" s="198"/>
      <c r="KH140" s="198"/>
      <c r="KI140" s="198"/>
      <c r="KJ140" s="198"/>
      <c r="KK140" s="198"/>
      <c r="KL140" s="198"/>
      <c r="KM140" s="198"/>
      <c r="KN140" s="198"/>
      <c r="KO140" s="198"/>
      <c r="KP140" s="198"/>
      <c r="KQ140" s="198"/>
      <c r="KR140" s="198"/>
      <c r="KS140" s="198"/>
      <c r="KT140" s="198"/>
      <c r="KU140" s="198"/>
      <c r="KV140" s="198"/>
      <c r="KW140" s="198"/>
      <c r="KX140" s="198"/>
      <c r="KY140" s="198"/>
      <c r="KZ140" s="198"/>
      <c r="LA140" s="198"/>
      <c r="LB140" s="198"/>
      <c r="LC140" s="198"/>
      <c r="LD140" s="198"/>
      <c r="LE140" s="198"/>
      <c r="LF140" s="198"/>
      <c r="LG140" s="198"/>
      <c r="LH140" s="198"/>
      <c r="LI140" s="198"/>
      <c r="LJ140" s="198"/>
      <c r="LK140" s="198"/>
      <c r="LL140" s="198"/>
      <c r="LM140" s="198"/>
      <c r="LN140" s="198"/>
      <c r="LO140" s="198"/>
      <c r="LP140" s="198"/>
      <c r="LQ140" s="198"/>
      <c r="LR140" s="198"/>
      <c r="LS140" s="198"/>
      <c r="LT140" s="198"/>
      <c r="LU140" s="198"/>
      <c r="LV140" s="198"/>
      <c r="LW140" s="198"/>
      <c r="LX140" s="198"/>
      <c r="LY140" s="198"/>
      <c r="LZ140" s="198"/>
      <c r="MA140" s="198"/>
      <c r="MB140" s="198"/>
      <c r="MC140" s="198"/>
      <c r="MD140" s="198"/>
      <c r="ME140" s="198"/>
      <c r="MF140" s="198"/>
      <c r="MG140" s="198"/>
      <c r="MH140" s="198"/>
      <c r="MI140" s="198"/>
      <c r="MJ140" s="198"/>
      <c r="MK140" s="198"/>
      <c r="ML140" s="198"/>
      <c r="MM140" s="198"/>
      <c r="MN140" s="198"/>
      <c r="MO140" s="198"/>
      <c r="MP140" s="198"/>
      <c r="MQ140" s="198"/>
      <c r="MR140" s="198"/>
      <c r="MS140" s="198"/>
      <c r="MT140" s="198"/>
      <c r="MU140" s="198"/>
      <c r="MV140" s="198"/>
      <c r="MW140" s="198"/>
      <c r="MX140" s="198"/>
      <c r="MY140" s="198"/>
      <c r="MZ140" s="198"/>
      <c r="NA140" s="198"/>
      <c r="NB140" s="198"/>
      <c r="NC140" s="198"/>
      <c r="ND140" s="198"/>
      <c r="NE140" s="198"/>
      <c r="NF140" s="198"/>
      <c r="NG140" s="198"/>
      <c r="NH140" s="198"/>
      <c r="NI140" s="198"/>
      <c r="NJ140" s="198"/>
      <c r="NK140" s="198"/>
      <c r="NL140" s="198"/>
      <c r="NM140" s="198"/>
      <c r="NN140" s="198"/>
      <c r="NO140" s="198"/>
      <c r="NP140" s="198"/>
      <c r="NQ140" s="198"/>
      <c r="NR140" s="198"/>
      <c r="NS140" s="198"/>
      <c r="NT140" s="198"/>
      <c r="NU140" s="198"/>
      <c r="NV140" s="198"/>
      <c r="NW140" s="198"/>
      <c r="NX140" s="198"/>
      <c r="NY140" s="198"/>
      <c r="NZ140" s="198"/>
      <c r="OA140" s="198"/>
      <c r="OB140" s="198"/>
      <c r="OC140" s="198"/>
      <c r="OD140" s="198"/>
      <c r="OE140" s="198"/>
      <c r="OF140" s="198"/>
      <c r="OG140" s="198"/>
      <c r="OH140" s="198"/>
      <c r="OI140" s="198"/>
      <c r="OJ140" s="198"/>
      <c r="OK140" s="198"/>
      <c r="OL140" s="198"/>
      <c r="OM140" s="198"/>
      <c r="ON140" s="198"/>
      <c r="OO140" s="198"/>
      <c r="OP140" s="198"/>
      <c r="OQ140" s="198"/>
      <c r="OR140" s="198"/>
      <c r="OS140" s="198"/>
      <c r="OT140" s="198"/>
      <c r="OU140" s="198"/>
      <c r="OV140" s="198"/>
      <c r="OW140" s="198"/>
      <c r="OX140" s="198"/>
      <c r="OY140" s="198"/>
      <c r="OZ140" s="198"/>
      <c r="PA140" s="198"/>
      <c r="PB140" s="198"/>
      <c r="PC140" s="198"/>
      <c r="PD140" s="198"/>
      <c r="PE140" s="198"/>
      <c r="PF140" s="198"/>
      <c r="PG140" s="198"/>
      <c r="PH140" s="198"/>
      <c r="PI140" s="198"/>
      <c r="PJ140" s="198"/>
      <c r="PK140" s="198"/>
      <c r="PL140" s="198"/>
      <c r="PM140" s="198"/>
      <c r="PN140" s="198"/>
      <c r="PO140" s="198"/>
      <c r="PP140" s="198"/>
      <c r="PQ140" s="198"/>
      <c r="PR140" s="198"/>
      <c r="PS140" s="198"/>
      <c r="PT140" s="198"/>
      <c r="PU140" s="198"/>
      <c r="PV140" s="198"/>
      <c r="PW140" s="198"/>
      <c r="PX140" s="198"/>
      <c r="PY140" s="198"/>
      <c r="PZ140" s="198"/>
      <c r="QA140" s="198"/>
      <c r="QB140" s="198"/>
      <c r="QC140" s="198"/>
      <c r="QD140" s="198"/>
      <c r="QE140" s="198"/>
      <c r="QF140" s="198"/>
      <c r="QG140" s="198"/>
      <c r="QH140" s="198"/>
      <c r="QI140" s="198"/>
      <c r="QJ140" s="198"/>
      <c r="QK140" s="198"/>
      <c r="QL140" s="198"/>
      <c r="QM140" s="198"/>
      <c r="QN140" s="198"/>
      <c r="QO140" s="198"/>
      <c r="QP140" s="198"/>
      <c r="QQ140" s="198"/>
      <c r="QR140" s="198"/>
      <c r="QS140" s="198"/>
      <c r="QT140" s="198"/>
      <c r="QU140" s="198"/>
      <c r="QV140" s="198"/>
      <c r="QW140" s="198"/>
      <c r="QX140" s="198"/>
      <c r="QY140" s="198"/>
      <c r="QZ140" s="198"/>
      <c r="RA140" s="198"/>
      <c r="RB140" s="198"/>
      <c r="RC140" s="198"/>
      <c r="RD140" s="198"/>
      <c r="RE140" s="198"/>
      <c r="RF140" s="198"/>
      <c r="RG140" s="198"/>
      <c r="RH140" s="198"/>
      <c r="RI140" s="198"/>
      <c r="RJ140" s="198"/>
      <c r="RK140" s="198"/>
      <c r="RL140" s="198"/>
      <c r="RM140" s="198"/>
      <c r="RN140" s="198"/>
      <c r="RO140" s="198"/>
      <c r="RP140" s="198"/>
      <c r="RQ140" s="198"/>
      <c r="RR140" s="198"/>
      <c r="RS140" s="198"/>
      <c r="RT140" s="198"/>
      <c r="RU140" s="198"/>
      <c r="RV140" s="198"/>
      <c r="RW140" s="198"/>
      <c r="RX140" s="198"/>
      <c r="RY140" s="198"/>
      <c r="RZ140" s="198"/>
      <c r="SA140" s="198"/>
      <c r="SB140" s="198"/>
      <c r="SC140" s="198"/>
      <c r="SD140" s="198"/>
      <c r="SE140" s="198"/>
      <c r="SF140" s="198"/>
      <c r="SG140" s="198"/>
    </row>
    <row r="141" spans="1:501" ht="40.049999999999997" customHeight="1" x14ac:dyDescent="0.3">
      <c r="A141" s="542" t="s">
        <v>348</v>
      </c>
      <c r="B141" s="953" t="s">
        <v>349</v>
      </c>
      <c r="C141" s="944"/>
      <c r="D141" s="944"/>
      <c r="E141" s="944"/>
      <c r="F141" s="944"/>
      <c r="G141" s="944"/>
      <c r="H141" s="944"/>
      <c r="I141" s="944"/>
      <c r="J141" s="944"/>
      <c r="K141" s="944"/>
      <c r="L141" s="944"/>
      <c r="M141" s="944"/>
      <c r="N141" s="944"/>
      <c r="O141" s="944"/>
      <c r="P141" s="944"/>
      <c r="Q141" s="944"/>
      <c r="R141" s="944"/>
      <c r="S141" s="944"/>
      <c r="T141" s="944"/>
      <c r="U141" s="944"/>
      <c r="V141" s="944"/>
      <c r="W141" s="944"/>
      <c r="X141" s="944"/>
      <c r="Y141" s="944"/>
      <c r="Z141" s="944"/>
      <c r="AA141" s="944"/>
      <c r="AB141" s="944"/>
      <c r="AC141" s="944"/>
      <c r="AD141" s="944"/>
      <c r="AE141" s="944"/>
      <c r="AF141" s="944"/>
      <c r="AG141" s="944"/>
      <c r="AH141" s="945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  <c r="AS141" s="198"/>
      <c r="AT141" s="198"/>
      <c r="AU141" s="198"/>
      <c r="AV141" s="198"/>
      <c r="AW141" s="198"/>
      <c r="AX141" s="198"/>
      <c r="AY141" s="198"/>
      <c r="AZ141" s="198"/>
      <c r="BA141" s="198"/>
      <c r="BB141" s="198"/>
      <c r="BC141" s="198"/>
      <c r="BD141" s="198"/>
      <c r="BE141" s="198"/>
      <c r="BF141" s="198"/>
      <c r="BG141" s="198"/>
      <c r="BH141" s="198"/>
      <c r="BI141" s="198"/>
      <c r="BJ141" s="198"/>
      <c r="BK141" s="198"/>
      <c r="BL141" s="198"/>
      <c r="BM141" s="198"/>
      <c r="BN141" s="198"/>
      <c r="BO141" s="198"/>
      <c r="BP141" s="198"/>
      <c r="BQ141" s="198"/>
      <c r="BR141" s="198"/>
      <c r="BS141" s="198"/>
      <c r="BT141" s="198"/>
      <c r="BU141" s="198"/>
      <c r="BV141" s="198"/>
      <c r="BW141" s="198"/>
      <c r="BX141" s="198"/>
      <c r="BY141" s="198"/>
      <c r="BZ141" s="198"/>
      <c r="CA141" s="198"/>
      <c r="CB141" s="198"/>
      <c r="CC141" s="198"/>
      <c r="CD141" s="198"/>
      <c r="CE141" s="198"/>
      <c r="CF141" s="198"/>
      <c r="CG141" s="198"/>
      <c r="CH141" s="198"/>
      <c r="CI141" s="198"/>
      <c r="CJ141" s="198"/>
      <c r="CK141" s="198"/>
      <c r="CL141" s="198"/>
      <c r="CM141" s="198"/>
      <c r="CN141" s="198"/>
      <c r="CO141" s="198"/>
      <c r="CP141" s="198"/>
      <c r="CQ141" s="198"/>
      <c r="CR141" s="198"/>
      <c r="CS141" s="198"/>
      <c r="CT141" s="198"/>
      <c r="CU141" s="198"/>
      <c r="CV141" s="198"/>
      <c r="CW141" s="198"/>
      <c r="CX141" s="198"/>
      <c r="CY141" s="198"/>
      <c r="CZ141" s="198"/>
      <c r="DA141" s="198"/>
      <c r="DB141" s="198"/>
      <c r="DC141" s="198"/>
      <c r="DD141" s="198"/>
      <c r="DE141" s="198"/>
      <c r="DF141" s="198"/>
      <c r="DG141" s="198"/>
      <c r="DH141" s="198"/>
      <c r="DI141" s="198"/>
      <c r="DJ141" s="198"/>
      <c r="DK141" s="198"/>
      <c r="DL141" s="198"/>
      <c r="DM141" s="198"/>
      <c r="DN141" s="198"/>
      <c r="DO141" s="198"/>
      <c r="DP141" s="198"/>
      <c r="DQ141" s="198"/>
      <c r="DR141" s="198"/>
      <c r="DS141" s="198"/>
      <c r="DT141" s="198"/>
      <c r="DU141" s="198"/>
      <c r="DV141" s="198"/>
      <c r="DW141" s="198"/>
      <c r="DX141" s="198"/>
      <c r="DY141" s="198"/>
      <c r="DZ141" s="198"/>
      <c r="EA141" s="198"/>
      <c r="EB141" s="198"/>
      <c r="EC141" s="198"/>
      <c r="ED141" s="198"/>
      <c r="EE141" s="198"/>
      <c r="EF141" s="198"/>
      <c r="EG141" s="198"/>
      <c r="EH141" s="198"/>
      <c r="EI141" s="198"/>
      <c r="EJ141" s="198"/>
      <c r="EK141" s="198"/>
      <c r="EL141" s="198"/>
      <c r="EM141" s="198"/>
      <c r="EN141" s="198"/>
      <c r="EO141" s="198"/>
      <c r="EP141" s="198"/>
      <c r="EQ141" s="198"/>
      <c r="ER141" s="198"/>
      <c r="ES141" s="198"/>
      <c r="ET141" s="198"/>
      <c r="EU141" s="198"/>
      <c r="EV141" s="198"/>
      <c r="EW141" s="198"/>
      <c r="EX141" s="198"/>
      <c r="EY141" s="198"/>
      <c r="EZ141" s="198"/>
      <c r="FA141" s="198"/>
      <c r="FB141" s="198"/>
      <c r="FC141" s="198"/>
      <c r="FD141" s="198"/>
      <c r="FE141" s="198"/>
      <c r="FF141" s="198"/>
      <c r="FG141" s="198"/>
      <c r="FH141" s="198"/>
      <c r="FI141" s="198"/>
      <c r="FJ141" s="198"/>
      <c r="FK141" s="198"/>
      <c r="FL141" s="198"/>
      <c r="FM141" s="198"/>
      <c r="FN141" s="198"/>
      <c r="FO141" s="198"/>
      <c r="FP141" s="198"/>
      <c r="FQ141" s="198"/>
      <c r="FR141" s="198"/>
      <c r="FS141" s="198"/>
      <c r="FT141" s="198"/>
      <c r="FU141" s="198"/>
      <c r="FV141" s="198"/>
      <c r="FW141" s="198"/>
      <c r="FX141" s="198"/>
      <c r="FY141" s="198"/>
      <c r="FZ141" s="198"/>
      <c r="GA141" s="198"/>
      <c r="GB141" s="198"/>
      <c r="GC141" s="198"/>
      <c r="GD141" s="198"/>
      <c r="GE141" s="198"/>
      <c r="GF141" s="198"/>
      <c r="GG141" s="198"/>
      <c r="GH141" s="198"/>
      <c r="GI141" s="198"/>
      <c r="GJ141" s="198"/>
      <c r="GK141" s="198"/>
      <c r="GL141" s="198"/>
      <c r="GM141" s="198"/>
      <c r="GN141" s="198"/>
      <c r="GO141" s="198"/>
      <c r="GP141" s="198"/>
      <c r="GQ141" s="198"/>
      <c r="GR141" s="198"/>
      <c r="GS141" s="198"/>
      <c r="GT141" s="198"/>
      <c r="GU141" s="198"/>
      <c r="GV141" s="198"/>
      <c r="GW141" s="198"/>
      <c r="GX141" s="198"/>
      <c r="GY141" s="198"/>
      <c r="GZ141" s="198"/>
      <c r="HA141" s="198"/>
      <c r="HB141" s="198"/>
      <c r="HC141" s="198"/>
      <c r="HD141" s="198"/>
      <c r="HE141" s="198"/>
      <c r="HF141" s="198"/>
      <c r="HG141" s="198"/>
      <c r="HH141" s="198"/>
      <c r="HI141" s="198"/>
      <c r="HJ141" s="198"/>
      <c r="HK141" s="198"/>
      <c r="HL141" s="198"/>
      <c r="HM141" s="198"/>
      <c r="HN141" s="198"/>
      <c r="HO141" s="198"/>
      <c r="HP141" s="198"/>
      <c r="HQ141" s="198"/>
      <c r="HR141" s="198"/>
      <c r="HS141" s="198"/>
      <c r="HT141" s="198"/>
      <c r="HU141" s="198"/>
      <c r="HV141" s="198"/>
      <c r="HW141" s="198"/>
      <c r="HX141" s="198"/>
      <c r="HY141" s="198"/>
      <c r="HZ141" s="198"/>
      <c r="IA141" s="198"/>
      <c r="IB141" s="198"/>
      <c r="IC141" s="198"/>
      <c r="ID141" s="198"/>
      <c r="IE141" s="198"/>
      <c r="IF141" s="198"/>
      <c r="IG141" s="198"/>
      <c r="IH141" s="198"/>
      <c r="II141" s="198"/>
      <c r="IJ141" s="198"/>
      <c r="IK141" s="198"/>
      <c r="IL141" s="198"/>
      <c r="IM141" s="198"/>
      <c r="IN141" s="198"/>
      <c r="IO141" s="198"/>
      <c r="IP141" s="198"/>
      <c r="IQ141" s="198"/>
      <c r="IR141" s="198"/>
      <c r="IS141" s="198"/>
      <c r="IT141" s="198"/>
      <c r="IU141" s="198"/>
      <c r="IV141" s="198"/>
      <c r="IW141" s="198"/>
      <c r="IX141" s="198"/>
      <c r="IY141" s="198"/>
      <c r="IZ141" s="198"/>
      <c r="JA141" s="198"/>
      <c r="JB141" s="198"/>
      <c r="JC141" s="198"/>
      <c r="JD141" s="198"/>
      <c r="JE141" s="198"/>
      <c r="JF141" s="198"/>
      <c r="JG141" s="198"/>
      <c r="JH141" s="198"/>
      <c r="JI141" s="198"/>
      <c r="JJ141" s="198"/>
      <c r="JK141" s="198"/>
      <c r="JL141" s="198"/>
      <c r="JM141" s="198"/>
      <c r="JN141" s="198"/>
      <c r="JO141" s="198"/>
      <c r="JP141" s="198"/>
      <c r="JQ141" s="198"/>
      <c r="JR141" s="198"/>
      <c r="JS141" s="198"/>
      <c r="JT141" s="198"/>
      <c r="JU141" s="198"/>
      <c r="JV141" s="198"/>
      <c r="JW141" s="198"/>
      <c r="JX141" s="198"/>
      <c r="JY141" s="198"/>
      <c r="JZ141" s="198"/>
      <c r="KA141" s="198"/>
      <c r="KB141" s="198"/>
      <c r="KC141" s="198"/>
      <c r="KD141" s="198"/>
      <c r="KE141" s="198"/>
      <c r="KF141" s="198"/>
      <c r="KG141" s="198"/>
      <c r="KH141" s="198"/>
      <c r="KI141" s="198"/>
      <c r="KJ141" s="198"/>
      <c r="KK141" s="198"/>
      <c r="KL141" s="198"/>
      <c r="KM141" s="198"/>
      <c r="KN141" s="198"/>
      <c r="KO141" s="198"/>
      <c r="KP141" s="198"/>
      <c r="KQ141" s="198"/>
      <c r="KR141" s="198"/>
      <c r="KS141" s="198"/>
      <c r="KT141" s="198"/>
      <c r="KU141" s="198"/>
      <c r="KV141" s="198"/>
      <c r="KW141" s="198"/>
      <c r="KX141" s="198"/>
      <c r="KY141" s="198"/>
      <c r="KZ141" s="198"/>
      <c r="LA141" s="198"/>
      <c r="LB141" s="198"/>
      <c r="LC141" s="198"/>
      <c r="LD141" s="198"/>
      <c r="LE141" s="198"/>
      <c r="LF141" s="198"/>
      <c r="LG141" s="198"/>
      <c r="LH141" s="198"/>
      <c r="LI141" s="198"/>
      <c r="LJ141" s="198"/>
      <c r="LK141" s="198"/>
      <c r="LL141" s="198"/>
      <c r="LM141" s="198"/>
      <c r="LN141" s="198"/>
      <c r="LO141" s="198"/>
      <c r="LP141" s="198"/>
      <c r="LQ141" s="198"/>
      <c r="LR141" s="198"/>
      <c r="LS141" s="198"/>
      <c r="LT141" s="198"/>
      <c r="LU141" s="198"/>
      <c r="LV141" s="198"/>
      <c r="LW141" s="198"/>
      <c r="LX141" s="198"/>
      <c r="LY141" s="198"/>
      <c r="LZ141" s="198"/>
      <c r="MA141" s="198"/>
      <c r="MB141" s="198"/>
      <c r="MC141" s="198"/>
      <c r="MD141" s="198"/>
      <c r="ME141" s="198"/>
      <c r="MF141" s="198"/>
      <c r="MG141" s="198"/>
      <c r="MH141" s="198"/>
      <c r="MI141" s="198"/>
      <c r="MJ141" s="198"/>
      <c r="MK141" s="198"/>
      <c r="ML141" s="198"/>
      <c r="MM141" s="198"/>
      <c r="MN141" s="198"/>
      <c r="MO141" s="198"/>
      <c r="MP141" s="198"/>
      <c r="MQ141" s="198"/>
      <c r="MR141" s="198"/>
      <c r="MS141" s="198"/>
      <c r="MT141" s="198"/>
      <c r="MU141" s="198"/>
      <c r="MV141" s="198"/>
      <c r="MW141" s="198"/>
      <c r="MX141" s="198"/>
      <c r="MY141" s="198"/>
      <c r="MZ141" s="198"/>
      <c r="NA141" s="198"/>
      <c r="NB141" s="198"/>
      <c r="NC141" s="198"/>
      <c r="ND141" s="198"/>
      <c r="NE141" s="198"/>
      <c r="NF141" s="198"/>
      <c r="NG141" s="198"/>
      <c r="NH141" s="198"/>
      <c r="NI141" s="198"/>
      <c r="NJ141" s="198"/>
      <c r="NK141" s="198"/>
      <c r="NL141" s="198"/>
      <c r="NM141" s="198"/>
      <c r="NN141" s="198"/>
      <c r="NO141" s="198"/>
      <c r="NP141" s="198"/>
      <c r="NQ141" s="198"/>
      <c r="NR141" s="198"/>
      <c r="NS141" s="198"/>
      <c r="NT141" s="198"/>
      <c r="NU141" s="198"/>
      <c r="NV141" s="198"/>
      <c r="NW141" s="198"/>
      <c r="NX141" s="198"/>
      <c r="NY141" s="198"/>
      <c r="NZ141" s="198"/>
      <c r="OA141" s="198"/>
      <c r="OB141" s="198"/>
      <c r="OC141" s="198"/>
      <c r="OD141" s="198"/>
      <c r="OE141" s="198"/>
      <c r="OF141" s="198"/>
      <c r="OG141" s="198"/>
      <c r="OH141" s="198"/>
      <c r="OI141" s="198"/>
      <c r="OJ141" s="198"/>
      <c r="OK141" s="198"/>
      <c r="OL141" s="198"/>
      <c r="OM141" s="198"/>
      <c r="ON141" s="198"/>
      <c r="OO141" s="198"/>
      <c r="OP141" s="198"/>
      <c r="OQ141" s="198"/>
      <c r="OR141" s="198"/>
      <c r="OS141" s="198"/>
      <c r="OT141" s="198"/>
      <c r="OU141" s="198"/>
      <c r="OV141" s="198"/>
      <c r="OW141" s="198"/>
      <c r="OX141" s="198"/>
      <c r="OY141" s="198"/>
      <c r="OZ141" s="198"/>
      <c r="PA141" s="198"/>
      <c r="PB141" s="198"/>
      <c r="PC141" s="198"/>
      <c r="PD141" s="198"/>
      <c r="PE141" s="198"/>
      <c r="PF141" s="198"/>
      <c r="PG141" s="198"/>
      <c r="PH141" s="198"/>
      <c r="PI141" s="198"/>
      <c r="PJ141" s="198"/>
      <c r="PK141" s="198"/>
      <c r="PL141" s="198"/>
      <c r="PM141" s="198"/>
      <c r="PN141" s="198"/>
      <c r="PO141" s="198"/>
      <c r="PP141" s="198"/>
      <c r="PQ141" s="198"/>
      <c r="PR141" s="198"/>
      <c r="PS141" s="198"/>
      <c r="PT141" s="198"/>
      <c r="PU141" s="198"/>
      <c r="PV141" s="198"/>
      <c r="PW141" s="198"/>
      <c r="PX141" s="198"/>
      <c r="PY141" s="198"/>
      <c r="PZ141" s="198"/>
      <c r="QA141" s="198"/>
      <c r="QB141" s="198"/>
      <c r="QC141" s="198"/>
      <c r="QD141" s="198"/>
      <c r="QE141" s="198"/>
      <c r="QF141" s="198"/>
      <c r="QG141" s="198"/>
      <c r="QH141" s="198"/>
      <c r="QI141" s="198"/>
      <c r="QJ141" s="198"/>
      <c r="QK141" s="198"/>
      <c r="QL141" s="198"/>
      <c r="QM141" s="198"/>
      <c r="QN141" s="198"/>
      <c r="QO141" s="198"/>
      <c r="QP141" s="198"/>
      <c r="QQ141" s="198"/>
      <c r="QR141" s="198"/>
      <c r="QS141" s="198"/>
      <c r="QT141" s="198"/>
      <c r="QU141" s="198"/>
      <c r="QV141" s="198"/>
      <c r="QW141" s="198"/>
      <c r="QX141" s="198"/>
      <c r="QY141" s="198"/>
      <c r="QZ141" s="198"/>
      <c r="RA141" s="198"/>
      <c r="RB141" s="198"/>
      <c r="RC141" s="198"/>
      <c r="RD141" s="198"/>
      <c r="RE141" s="198"/>
      <c r="RF141" s="198"/>
      <c r="RG141" s="198"/>
      <c r="RH141" s="198"/>
      <c r="RI141" s="198"/>
      <c r="RJ141" s="198"/>
      <c r="RK141" s="198"/>
      <c r="RL141" s="198"/>
      <c r="RM141" s="198"/>
      <c r="RN141" s="198"/>
      <c r="RO141" s="198"/>
      <c r="RP141" s="198"/>
      <c r="RQ141" s="198"/>
      <c r="RR141" s="198"/>
      <c r="RS141" s="198"/>
      <c r="RT141" s="198"/>
      <c r="RU141" s="198"/>
      <c r="RV141" s="198"/>
      <c r="RW141" s="198"/>
      <c r="RX141" s="198"/>
      <c r="RY141" s="198"/>
      <c r="RZ141" s="198"/>
      <c r="SA141" s="198"/>
      <c r="SB141" s="198"/>
      <c r="SC141" s="198"/>
      <c r="SD141" s="198"/>
      <c r="SE141" s="198"/>
      <c r="SF141" s="198"/>
      <c r="SG141" s="198"/>
    </row>
    <row r="142" spans="1:501" ht="40.049999999999997" customHeight="1" x14ac:dyDescent="0.3">
      <c r="A142" s="543" t="s">
        <v>350</v>
      </c>
      <c r="B142" s="956" t="s">
        <v>351</v>
      </c>
      <c r="C142" s="950"/>
      <c r="D142" s="861"/>
      <c r="E142" s="862"/>
      <c r="F142" s="861"/>
      <c r="G142" s="862"/>
      <c r="H142" s="861"/>
      <c r="I142" s="862"/>
      <c r="J142" s="861"/>
      <c r="K142" s="862"/>
      <c r="L142" s="861"/>
      <c r="M142" s="862"/>
      <c r="N142" s="861"/>
      <c r="O142" s="862"/>
      <c r="P142" s="861"/>
      <c r="Q142" s="862"/>
      <c r="R142" s="861"/>
      <c r="S142" s="862"/>
      <c r="T142" s="861"/>
      <c r="U142" s="862"/>
      <c r="V142" s="861"/>
      <c r="W142" s="862"/>
      <c r="X142" s="861"/>
      <c r="Y142" s="862"/>
      <c r="Z142" s="861"/>
      <c r="AA142" s="862"/>
      <c r="AB142" s="864"/>
      <c r="AC142" s="864"/>
      <c r="AD142" s="864"/>
      <c r="AE142" s="864"/>
      <c r="AF142" s="861"/>
      <c r="AG142" s="865">
        <f>SUM(C142:AA142)</f>
        <v>0</v>
      </c>
      <c r="AH142" s="866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  <c r="AS142" s="198"/>
      <c r="AT142" s="198"/>
      <c r="AU142" s="198"/>
      <c r="AV142" s="198"/>
      <c r="AW142" s="198"/>
      <c r="AX142" s="198"/>
      <c r="AY142" s="198"/>
      <c r="AZ142" s="198"/>
      <c r="BA142" s="198"/>
      <c r="BB142" s="198"/>
      <c r="BC142" s="198"/>
      <c r="BD142" s="198"/>
      <c r="BE142" s="198"/>
      <c r="BF142" s="198"/>
      <c r="BG142" s="198"/>
      <c r="BH142" s="198"/>
      <c r="BI142" s="198"/>
      <c r="BJ142" s="198"/>
      <c r="BK142" s="198"/>
      <c r="BL142" s="198"/>
      <c r="BM142" s="198"/>
      <c r="BN142" s="198"/>
      <c r="BO142" s="198"/>
      <c r="BP142" s="198"/>
      <c r="BQ142" s="198"/>
      <c r="BR142" s="198"/>
      <c r="BS142" s="198"/>
      <c r="BT142" s="198"/>
      <c r="BU142" s="198"/>
      <c r="BV142" s="198"/>
      <c r="BW142" s="198"/>
      <c r="BX142" s="198"/>
      <c r="BY142" s="198"/>
      <c r="BZ142" s="198"/>
      <c r="CA142" s="198"/>
      <c r="CB142" s="198"/>
      <c r="CC142" s="198"/>
      <c r="CD142" s="198"/>
      <c r="CE142" s="198"/>
      <c r="CF142" s="198"/>
      <c r="CG142" s="198"/>
      <c r="CH142" s="198"/>
      <c r="CI142" s="198"/>
      <c r="CJ142" s="198"/>
      <c r="CK142" s="198"/>
      <c r="CL142" s="198"/>
      <c r="CM142" s="198"/>
      <c r="CN142" s="198"/>
      <c r="CO142" s="198"/>
      <c r="CP142" s="198"/>
      <c r="CQ142" s="198"/>
      <c r="CR142" s="198"/>
      <c r="CS142" s="198"/>
      <c r="CT142" s="198"/>
      <c r="CU142" s="198"/>
      <c r="CV142" s="198"/>
      <c r="CW142" s="198"/>
      <c r="CX142" s="198"/>
      <c r="CY142" s="198"/>
      <c r="CZ142" s="198"/>
      <c r="DA142" s="198"/>
      <c r="DB142" s="198"/>
      <c r="DC142" s="198"/>
      <c r="DD142" s="198"/>
      <c r="DE142" s="198"/>
      <c r="DF142" s="198"/>
      <c r="DG142" s="198"/>
      <c r="DH142" s="198"/>
      <c r="DI142" s="198"/>
      <c r="DJ142" s="198"/>
      <c r="DK142" s="198"/>
      <c r="DL142" s="198"/>
      <c r="DM142" s="198"/>
      <c r="DN142" s="198"/>
      <c r="DO142" s="198"/>
      <c r="DP142" s="198"/>
      <c r="DQ142" s="198"/>
      <c r="DR142" s="198"/>
      <c r="DS142" s="198"/>
      <c r="DT142" s="198"/>
      <c r="DU142" s="198"/>
      <c r="DV142" s="198"/>
      <c r="DW142" s="198"/>
      <c r="DX142" s="198"/>
      <c r="DY142" s="198"/>
      <c r="DZ142" s="198"/>
      <c r="EA142" s="198"/>
      <c r="EB142" s="198"/>
      <c r="EC142" s="198"/>
      <c r="ED142" s="198"/>
      <c r="EE142" s="198"/>
      <c r="EF142" s="198"/>
      <c r="EG142" s="198"/>
      <c r="EH142" s="198"/>
      <c r="EI142" s="198"/>
      <c r="EJ142" s="198"/>
      <c r="EK142" s="198"/>
      <c r="EL142" s="198"/>
      <c r="EM142" s="198"/>
      <c r="EN142" s="198"/>
      <c r="EO142" s="198"/>
      <c r="EP142" s="198"/>
      <c r="EQ142" s="198"/>
      <c r="ER142" s="198"/>
      <c r="ES142" s="198"/>
      <c r="ET142" s="198"/>
      <c r="EU142" s="198"/>
      <c r="EV142" s="198"/>
      <c r="EW142" s="198"/>
      <c r="EX142" s="198"/>
      <c r="EY142" s="198"/>
      <c r="EZ142" s="198"/>
      <c r="FA142" s="198"/>
      <c r="FB142" s="198"/>
      <c r="FC142" s="198"/>
      <c r="FD142" s="198"/>
      <c r="FE142" s="198"/>
      <c r="FF142" s="198"/>
      <c r="FG142" s="198"/>
      <c r="FH142" s="198"/>
      <c r="FI142" s="198"/>
      <c r="FJ142" s="198"/>
      <c r="FK142" s="198"/>
      <c r="FL142" s="198"/>
      <c r="FM142" s="198"/>
      <c r="FN142" s="198"/>
      <c r="FO142" s="198"/>
      <c r="FP142" s="198"/>
      <c r="FQ142" s="198"/>
      <c r="FR142" s="198"/>
      <c r="FS142" s="198"/>
      <c r="FT142" s="198"/>
      <c r="FU142" s="198"/>
      <c r="FV142" s="198"/>
      <c r="FW142" s="198"/>
      <c r="FX142" s="198"/>
      <c r="FY142" s="198"/>
      <c r="FZ142" s="198"/>
      <c r="GA142" s="198"/>
      <c r="GB142" s="198"/>
      <c r="GC142" s="198"/>
      <c r="GD142" s="198"/>
      <c r="GE142" s="198"/>
      <c r="GF142" s="198"/>
      <c r="GG142" s="198"/>
      <c r="GH142" s="198"/>
      <c r="GI142" s="198"/>
      <c r="GJ142" s="198"/>
      <c r="GK142" s="198"/>
      <c r="GL142" s="198"/>
      <c r="GM142" s="198"/>
      <c r="GN142" s="198"/>
      <c r="GO142" s="198"/>
      <c r="GP142" s="198"/>
      <c r="GQ142" s="198"/>
      <c r="GR142" s="198"/>
      <c r="GS142" s="198"/>
      <c r="GT142" s="198"/>
      <c r="GU142" s="198"/>
      <c r="GV142" s="198"/>
      <c r="GW142" s="198"/>
      <c r="GX142" s="198"/>
      <c r="GY142" s="198"/>
      <c r="GZ142" s="198"/>
      <c r="HA142" s="198"/>
      <c r="HB142" s="198"/>
      <c r="HC142" s="198"/>
      <c r="HD142" s="198"/>
      <c r="HE142" s="198"/>
      <c r="HF142" s="198"/>
      <c r="HG142" s="198"/>
      <c r="HH142" s="198"/>
      <c r="HI142" s="198"/>
      <c r="HJ142" s="198"/>
      <c r="HK142" s="198"/>
      <c r="HL142" s="198"/>
      <c r="HM142" s="198"/>
      <c r="HN142" s="198"/>
      <c r="HO142" s="198"/>
      <c r="HP142" s="198"/>
      <c r="HQ142" s="198"/>
      <c r="HR142" s="198"/>
      <c r="HS142" s="198"/>
      <c r="HT142" s="198"/>
      <c r="HU142" s="198"/>
      <c r="HV142" s="198"/>
      <c r="HW142" s="198"/>
      <c r="HX142" s="198"/>
      <c r="HY142" s="198"/>
      <c r="HZ142" s="198"/>
      <c r="IA142" s="198"/>
      <c r="IB142" s="198"/>
      <c r="IC142" s="198"/>
      <c r="ID142" s="198"/>
      <c r="IE142" s="198"/>
      <c r="IF142" s="198"/>
      <c r="IG142" s="198"/>
      <c r="IH142" s="198"/>
      <c r="II142" s="198"/>
      <c r="IJ142" s="198"/>
      <c r="IK142" s="198"/>
      <c r="IL142" s="198"/>
      <c r="IM142" s="198"/>
      <c r="IN142" s="198"/>
      <c r="IO142" s="198"/>
      <c r="IP142" s="198"/>
      <c r="IQ142" s="198"/>
      <c r="IR142" s="198"/>
      <c r="IS142" s="198"/>
      <c r="IT142" s="198"/>
      <c r="IU142" s="198"/>
      <c r="IV142" s="198"/>
      <c r="IW142" s="198"/>
      <c r="IX142" s="198"/>
      <c r="IY142" s="198"/>
      <c r="IZ142" s="198"/>
      <c r="JA142" s="198"/>
      <c r="JB142" s="198"/>
      <c r="JC142" s="198"/>
      <c r="JD142" s="198"/>
      <c r="JE142" s="198"/>
      <c r="JF142" s="198"/>
      <c r="JG142" s="198"/>
      <c r="JH142" s="198"/>
      <c r="JI142" s="198"/>
      <c r="JJ142" s="198"/>
      <c r="JK142" s="198"/>
      <c r="JL142" s="198"/>
      <c r="JM142" s="198"/>
      <c r="JN142" s="198"/>
      <c r="JO142" s="198"/>
      <c r="JP142" s="198"/>
      <c r="JQ142" s="198"/>
      <c r="JR142" s="198"/>
      <c r="JS142" s="198"/>
      <c r="JT142" s="198"/>
      <c r="JU142" s="198"/>
      <c r="JV142" s="198"/>
      <c r="JW142" s="198"/>
      <c r="JX142" s="198"/>
      <c r="JY142" s="198"/>
      <c r="JZ142" s="198"/>
      <c r="KA142" s="198"/>
      <c r="KB142" s="198"/>
      <c r="KC142" s="198"/>
      <c r="KD142" s="198"/>
      <c r="KE142" s="198"/>
      <c r="KF142" s="198"/>
      <c r="KG142" s="198"/>
      <c r="KH142" s="198"/>
      <c r="KI142" s="198"/>
      <c r="KJ142" s="198"/>
      <c r="KK142" s="198"/>
      <c r="KL142" s="198"/>
      <c r="KM142" s="198"/>
      <c r="KN142" s="198"/>
      <c r="KO142" s="198"/>
      <c r="KP142" s="198"/>
      <c r="KQ142" s="198"/>
      <c r="KR142" s="198"/>
      <c r="KS142" s="198"/>
      <c r="KT142" s="198"/>
      <c r="KU142" s="198"/>
      <c r="KV142" s="198"/>
      <c r="KW142" s="198"/>
      <c r="KX142" s="198"/>
      <c r="KY142" s="198"/>
      <c r="KZ142" s="198"/>
      <c r="LA142" s="198"/>
      <c r="LB142" s="198"/>
      <c r="LC142" s="198"/>
      <c r="LD142" s="198"/>
      <c r="LE142" s="198"/>
      <c r="LF142" s="198"/>
      <c r="LG142" s="198"/>
      <c r="LH142" s="198"/>
      <c r="LI142" s="198"/>
      <c r="LJ142" s="198"/>
      <c r="LK142" s="198"/>
      <c r="LL142" s="198"/>
      <c r="LM142" s="198"/>
      <c r="LN142" s="198"/>
      <c r="LO142" s="198"/>
      <c r="LP142" s="198"/>
      <c r="LQ142" s="198"/>
      <c r="LR142" s="198"/>
      <c r="LS142" s="198"/>
      <c r="LT142" s="198"/>
      <c r="LU142" s="198"/>
      <c r="LV142" s="198"/>
      <c r="LW142" s="198"/>
      <c r="LX142" s="198"/>
      <c r="LY142" s="198"/>
      <c r="LZ142" s="198"/>
      <c r="MA142" s="198"/>
      <c r="MB142" s="198"/>
      <c r="MC142" s="198"/>
      <c r="MD142" s="198"/>
      <c r="ME142" s="198"/>
      <c r="MF142" s="198"/>
      <c r="MG142" s="198"/>
      <c r="MH142" s="198"/>
      <c r="MI142" s="198"/>
      <c r="MJ142" s="198"/>
      <c r="MK142" s="198"/>
      <c r="ML142" s="198"/>
      <c r="MM142" s="198"/>
      <c r="MN142" s="198"/>
      <c r="MO142" s="198"/>
      <c r="MP142" s="198"/>
      <c r="MQ142" s="198"/>
      <c r="MR142" s="198"/>
      <c r="MS142" s="198"/>
      <c r="MT142" s="198"/>
      <c r="MU142" s="198"/>
      <c r="MV142" s="198"/>
      <c r="MW142" s="198"/>
      <c r="MX142" s="198"/>
      <c r="MY142" s="198"/>
      <c r="MZ142" s="198"/>
      <c r="NA142" s="198"/>
      <c r="NB142" s="198"/>
      <c r="NC142" s="198"/>
      <c r="ND142" s="198"/>
      <c r="NE142" s="198"/>
      <c r="NF142" s="198"/>
      <c r="NG142" s="198"/>
      <c r="NH142" s="198"/>
      <c r="NI142" s="198"/>
      <c r="NJ142" s="198"/>
      <c r="NK142" s="198"/>
      <c r="NL142" s="198"/>
      <c r="NM142" s="198"/>
      <c r="NN142" s="198"/>
      <c r="NO142" s="198"/>
      <c r="NP142" s="198"/>
      <c r="NQ142" s="198"/>
      <c r="NR142" s="198"/>
      <c r="NS142" s="198"/>
      <c r="NT142" s="198"/>
      <c r="NU142" s="198"/>
      <c r="NV142" s="198"/>
      <c r="NW142" s="198"/>
      <c r="NX142" s="198"/>
      <c r="NY142" s="198"/>
      <c r="NZ142" s="198"/>
      <c r="OA142" s="198"/>
      <c r="OB142" s="198"/>
      <c r="OC142" s="198"/>
      <c r="OD142" s="198"/>
      <c r="OE142" s="198"/>
      <c r="OF142" s="198"/>
      <c r="OG142" s="198"/>
      <c r="OH142" s="198"/>
      <c r="OI142" s="198"/>
      <c r="OJ142" s="198"/>
      <c r="OK142" s="198"/>
      <c r="OL142" s="198"/>
      <c r="OM142" s="198"/>
      <c r="ON142" s="198"/>
      <c r="OO142" s="198"/>
      <c r="OP142" s="198"/>
      <c r="OQ142" s="198"/>
      <c r="OR142" s="198"/>
      <c r="OS142" s="198"/>
      <c r="OT142" s="198"/>
      <c r="OU142" s="198"/>
      <c r="OV142" s="198"/>
      <c r="OW142" s="198"/>
      <c r="OX142" s="198"/>
      <c r="OY142" s="198"/>
      <c r="OZ142" s="198"/>
      <c r="PA142" s="198"/>
      <c r="PB142" s="198"/>
      <c r="PC142" s="198"/>
      <c r="PD142" s="198"/>
      <c r="PE142" s="198"/>
      <c r="PF142" s="198"/>
      <c r="PG142" s="198"/>
      <c r="PH142" s="198"/>
      <c r="PI142" s="198"/>
      <c r="PJ142" s="198"/>
      <c r="PK142" s="198"/>
      <c r="PL142" s="198"/>
      <c r="PM142" s="198"/>
      <c r="PN142" s="198"/>
      <c r="PO142" s="198"/>
      <c r="PP142" s="198"/>
      <c r="PQ142" s="198"/>
      <c r="PR142" s="198"/>
      <c r="PS142" s="198"/>
      <c r="PT142" s="198"/>
      <c r="PU142" s="198"/>
      <c r="PV142" s="198"/>
      <c r="PW142" s="198"/>
      <c r="PX142" s="198"/>
      <c r="PY142" s="198"/>
      <c r="PZ142" s="198"/>
      <c r="QA142" s="198"/>
      <c r="QB142" s="198"/>
      <c r="QC142" s="198"/>
      <c r="QD142" s="198"/>
      <c r="QE142" s="198"/>
      <c r="QF142" s="198"/>
      <c r="QG142" s="198"/>
      <c r="QH142" s="198"/>
      <c r="QI142" s="198"/>
      <c r="QJ142" s="198"/>
      <c r="QK142" s="198"/>
      <c r="QL142" s="198"/>
      <c r="QM142" s="198"/>
      <c r="QN142" s="198"/>
      <c r="QO142" s="198"/>
      <c r="QP142" s="198"/>
      <c r="QQ142" s="198"/>
      <c r="QR142" s="198"/>
      <c r="QS142" s="198"/>
      <c r="QT142" s="198"/>
      <c r="QU142" s="198"/>
      <c r="QV142" s="198"/>
      <c r="QW142" s="198"/>
      <c r="QX142" s="198"/>
      <c r="QY142" s="198"/>
      <c r="QZ142" s="198"/>
      <c r="RA142" s="198"/>
      <c r="RB142" s="198"/>
      <c r="RC142" s="198"/>
      <c r="RD142" s="198"/>
      <c r="RE142" s="198"/>
      <c r="RF142" s="198"/>
      <c r="RG142" s="198"/>
      <c r="RH142" s="198"/>
      <c r="RI142" s="198"/>
      <c r="RJ142" s="198"/>
      <c r="RK142" s="198"/>
      <c r="RL142" s="198"/>
      <c r="RM142" s="198"/>
      <c r="RN142" s="198"/>
      <c r="RO142" s="198"/>
      <c r="RP142" s="198"/>
      <c r="RQ142" s="198"/>
      <c r="RR142" s="198"/>
      <c r="RS142" s="198"/>
      <c r="RT142" s="198"/>
      <c r="RU142" s="198"/>
      <c r="RV142" s="198"/>
      <c r="RW142" s="198"/>
      <c r="RX142" s="198"/>
      <c r="RY142" s="198"/>
      <c r="RZ142" s="198"/>
      <c r="SA142" s="198"/>
      <c r="SB142" s="198"/>
      <c r="SC142" s="198"/>
      <c r="SD142" s="198"/>
      <c r="SE142" s="198"/>
      <c r="SF142" s="198"/>
      <c r="SG142" s="198"/>
    </row>
    <row r="143" spans="1:501" ht="40.049999999999997" customHeight="1" x14ac:dyDescent="0.3">
      <c r="A143" s="543" t="s">
        <v>352</v>
      </c>
      <c r="B143" s="956" t="s">
        <v>353</v>
      </c>
      <c r="C143" s="950"/>
      <c r="D143" s="861"/>
      <c r="E143" s="862"/>
      <c r="F143" s="861"/>
      <c r="G143" s="863">
        <f>MANZ.C!AL145</f>
        <v>17</v>
      </c>
      <c r="H143" s="861"/>
      <c r="I143" s="862">
        <f>MANZ.D!Z145</f>
        <v>11</v>
      </c>
      <c r="J143" s="861"/>
      <c r="K143" s="862">
        <f>MANZ.E!AK146</f>
        <v>17</v>
      </c>
      <c r="L143" s="861"/>
      <c r="M143" s="862">
        <f>MANZ.F!AA145</f>
        <v>12</v>
      </c>
      <c r="N143" s="861"/>
      <c r="O143" s="862">
        <f>MANZ.G!AS141</f>
        <v>0</v>
      </c>
      <c r="P143" s="861"/>
      <c r="Q143" s="863">
        <f>MANZ.H!V146</f>
        <v>9</v>
      </c>
      <c r="R143" s="861"/>
      <c r="S143" s="862">
        <f>MANZ.I!AA144</f>
        <v>0</v>
      </c>
      <c r="T143" s="861"/>
      <c r="U143" s="862">
        <f>MANZ.J!AT149</f>
        <v>21</v>
      </c>
      <c r="V143" s="861"/>
      <c r="W143" s="862">
        <f>MANZ.K!AB147</f>
        <v>12</v>
      </c>
      <c r="X143" s="861"/>
      <c r="Y143" s="862">
        <f>MANZ.L!Z146</f>
        <v>11</v>
      </c>
      <c r="Z143" s="861"/>
      <c r="AA143" s="862"/>
      <c r="AB143" s="864"/>
      <c r="AC143" s="864"/>
      <c r="AD143" s="864"/>
      <c r="AE143" s="864"/>
      <c r="AF143" s="861"/>
      <c r="AG143" s="865">
        <f>SUM(C143:AA143)</f>
        <v>110</v>
      </c>
      <c r="AH143" s="866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  <c r="AS143" s="198"/>
      <c r="AT143" s="198"/>
      <c r="AU143" s="198"/>
      <c r="AV143" s="198"/>
      <c r="AW143" s="198"/>
      <c r="AX143" s="198"/>
      <c r="AY143" s="198"/>
      <c r="AZ143" s="198"/>
      <c r="BA143" s="198"/>
      <c r="BB143" s="198"/>
      <c r="BC143" s="198"/>
      <c r="BD143" s="198"/>
      <c r="BE143" s="198"/>
      <c r="BF143" s="198"/>
      <c r="BG143" s="198"/>
      <c r="BH143" s="198"/>
      <c r="BI143" s="198"/>
      <c r="BJ143" s="198"/>
      <c r="BK143" s="198"/>
      <c r="BL143" s="198"/>
      <c r="BM143" s="198"/>
      <c r="BN143" s="198"/>
      <c r="BO143" s="198"/>
      <c r="BP143" s="198"/>
      <c r="BQ143" s="198"/>
      <c r="BR143" s="198"/>
      <c r="BS143" s="198"/>
      <c r="BT143" s="198"/>
      <c r="BU143" s="198"/>
      <c r="BV143" s="198"/>
      <c r="BW143" s="198"/>
      <c r="BX143" s="198"/>
      <c r="BY143" s="198"/>
      <c r="BZ143" s="198"/>
      <c r="CA143" s="198"/>
      <c r="CB143" s="198"/>
      <c r="CC143" s="198"/>
      <c r="CD143" s="198"/>
      <c r="CE143" s="198"/>
      <c r="CF143" s="198"/>
      <c r="CG143" s="198"/>
      <c r="CH143" s="198"/>
      <c r="CI143" s="198"/>
      <c r="CJ143" s="198"/>
      <c r="CK143" s="198"/>
      <c r="CL143" s="198"/>
      <c r="CM143" s="198"/>
      <c r="CN143" s="198"/>
      <c r="CO143" s="198"/>
      <c r="CP143" s="198"/>
      <c r="CQ143" s="198"/>
      <c r="CR143" s="198"/>
      <c r="CS143" s="198"/>
      <c r="CT143" s="198"/>
      <c r="CU143" s="198"/>
      <c r="CV143" s="198"/>
      <c r="CW143" s="198"/>
      <c r="CX143" s="198"/>
      <c r="CY143" s="198"/>
      <c r="CZ143" s="198"/>
      <c r="DA143" s="198"/>
      <c r="DB143" s="198"/>
      <c r="DC143" s="198"/>
      <c r="DD143" s="198"/>
      <c r="DE143" s="198"/>
      <c r="DF143" s="198"/>
      <c r="DG143" s="198"/>
      <c r="DH143" s="198"/>
      <c r="DI143" s="198"/>
      <c r="DJ143" s="198"/>
      <c r="DK143" s="198"/>
      <c r="DL143" s="198"/>
      <c r="DM143" s="198"/>
      <c r="DN143" s="198"/>
      <c r="DO143" s="198"/>
      <c r="DP143" s="198"/>
      <c r="DQ143" s="198"/>
      <c r="DR143" s="198"/>
      <c r="DS143" s="198"/>
      <c r="DT143" s="198"/>
      <c r="DU143" s="198"/>
      <c r="DV143" s="198"/>
      <c r="DW143" s="198"/>
      <c r="DX143" s="198"/>
      <c r="DY143" s="198"/>
      <c r="DZ143" s="198"/>
      <c r="EA143" s="198"/>
      <c r="EB143" s="198"/>
      <c r="EC143" s="198"/>
      <c r="ED143" s="198"/>
      <c r="EE143" s="198"/>
      <c r="EF143" s="198"/>
      <c r="EG143" s="198"/>
      <c r="EH143" s="198"/>
      <c r="EI143" s="198"/>
      <c r="EJ143" s="198"/>
      <c r="EK143" s="198"/>
      <c r="EL143" s="198"/>
      <c r="EM143" s="198"/>
      <c r="EN143" s="198"/>
      <c r="EO143" s="198"/>
      <c r="EP143" s="198"/>
      <c r="EQ143" s="198"/>
      <c r="ER143" s="198"/>
      <c r="ES143" s="198"/>
      <c r="ET143" s="198"/>
      <c r="EU143" s="198"/>
      <c r="EV143" s="198"/>
      <c r="EW143" s="198"/>
      <c r="EX143" s="198"/>
      <c r="EY143" s="198"/>
      <c r="EZ143" s="198"/>
      <c r="FA143" s="198"/>
      <c r="FB143" s="198"/>
      <c r="FC143" s="198"/>
      <c r="FD143" s="198"/>
      <c r="FE143" s="198"/>
      <c r="FF143" s="198"/>
      <c r="FG143" s="198"/>
      <c r="FH143" s="198"/>
      <c r="FI143" s="198"/>
      <c r="FJ143" s="198"/>
      <c r="FK143" s="198"/>
      <c r="FL143" s="198"/>
      <c r="FM143" s="198"/>
      <c r="FN143" s="198"/>
      <c r="FO143" s="198"/>
      <c r="FP143" s="198"/>
      <c r="FQ143" s="198"/>
      <c r="FR143" s="198"/>
      <c r="FS143" s="198"/>
      <c r="FT143" s="198"/>
      <c r="FU143" s="198"/>
      <c r="FV143" s="198"/>
      <c r="FW143" s="198"/>
      <c r="FX143" s="198"/>
      <c r="FY143" s="198"/>
      <c r="FZ143" s="198"/>
      <c r="GA143" s="198"/>
      <c r="GB143" s="198"/>
      <c r="GC143" s="198"/>
      <c r="GD143" s="198"/>
      <c r="GE143" s="198"/>
      <c r="GF143" s="198"/>
      <c r="GG143" s="198"/>
      <c r="GH143" s="198"/>
      <c r="GI143" s="198"/>
      <c r="GJ143" s="198"/>
      <c r="GK143" s="198"/>
      <c r="GL143" s="198"/>
      <c r="GM143" s="198"/>
      <c r="GN143" s="198"/>
      <c r="GO143" s="198"/>
      <c r="GP143" s="198"/>
      <c r="GQ143" s="198"/>
      <c r="GR143" s="198"/>
      <c r="GS143" s="198"/>
      <c r="GT143" s="198"/>
      <c r="GU143" s="198"/>
      <c r="GV143" s="198"/>
      <c r="GW143" s="198"/>
      <c r="GX143" s="198"/>
      <c r="GY143" s="198"/>
      <c r="GZ143" s="198"/>
      <c r="HA143" s="198"/>
      <c r="HB143" s="198"/>
      <c r="HC143" s="198"/>
      <c r="HD143" s="198"/>
      <c r="HE143" s="198"/>
      <c r="HF143" s="198"/>
      <c r="HG143" s="198"/>
      <c r="HH143" s="198"/>
      <c r="HI143" s="198"/>
      <c r="HJ143" s="198"/>
      <c r="HK143" s="198"/>
      <c r="HL143" s="198"/>
      <c r="HM143" s="198"/>
      <c r="HN143" s="198"/>
      <c r="HO143" s="198"/>
      <c r="HP143" s="198"/>
      <c r="HQ143" s="198"/>
      <c r="HR143" s="198"/>
      <c r="HS143" s="198"/>
      <c r="HT143" s="198"/>
      <c r="HU143" s="198"/>
      <c r="HV143" s="198"/>
      <c r="HW143" s="198"/>
      <c r="HX143" s="198"/>
      <c r="HY143" s="198"/>
      <c r="HZ143" s="198"/>
      <c r="IA143" s="198"/>
      <c r="IB143" s="198"/>
      <c r="IC143" s="198"/>
      <c r="ID143" s="198"/>
      <c r="IE143" s="198"/>
      <c r="IF143" s="198"/>
      <c r="IG143" s="198"/>
      <c r="IH143" s="198"/>
      <c r="II143" s="198"/>
      <c r="IJ143" s="198"/>
      <c r="IK143" s="198"/>
      <c r="IL143" s="198"/>
      <c r="IM143" s="198"/>
      <c r="IN143" s="198"/>
      <c r="IO143" s="198"/>
      <c r="IP143" s="198"/>
      <c r="IQ143" s="198"/>
      <c r="IR143" s="198"/>
      <c r="IS143" s="198"/>
      <c r="IT143" s="198"/>
      <c r="IU143" s="198"/>
      <c r="IV143" s="198"/>
      <c r="IW143" s="198"/>
      <c r="IX143" s="198"/>
      <c r="IY143" s="198"/>
      <c r="IZ143" s="198"/>
      <c r="JA143" s="198"/>
      <c r="JB143" s="198"/>
      <c r="JC143" s="198"/>
      <c r="JD143" s="198"/>
      <c r="JE143" s="198"/>
      <c r="JF143" s="198"/>
      <c r="JG143" s="198"/>
      <c r="JH143" s="198"/>
      <c r="JI143" s="198"/>
      <c r="JJ143" s="198"/>
      <c r="JK143" s="198"/>
      <c r="JL143" s="198"/>
      <c r="JM143" s="198"/>
      <c r="JN143" s="198"/>
      <c r="JO143" s="198"/>
      <c r="JP143" s="198"/>
      <c r="JQ143" s="198"/>
      <c r="JR143" s="198"/>
      <c r="JS143" s="198"/>
      <c r="JT143" s="198"/>
      <c r="JU143" s="198"/>
      <c r="JV143" s="198"/>
      <c r="JW143" s="198"/>
      <c r="JX143" s="198"/>
      <c r="JY143" s="198"/>
      <c r="JZ143" s="198"/>
      <c r="KA143" s="198"/>
      <c r="KB143" s="198"/>
      <c r="KC143" s="198"/>
      <c r="KD143" s="198"/>
      <c r="KE143" s="198"/>
      <c r="KF143" s="198"/>
      <c r="KG143" s="198"/>
      <c r="KH143" s="198"/>
      <c r="KI143" s="198"/>
      <c r="KJ143" s="198"/>
      <c r="KK143" s="198"/>
      <c r="KL143" s="198"/>
      <c r="KM143" s="198"/>
      <c r="KN143" s="198"/>
      <c r="KO143" s="198"/>
      <c r="KP143" s="198"/>
      <c r="KQ143" s="198"/>
      <c r="KR143" s="198"/>
      <c r="KS143" s="198"/>
      <c r="KT143" s="198"/>
      <c r="KU143" s="198"/>
      <c r="KV143" s="198"/>
      <c r="KW143" s="198"/>
      <c r="KX143" s="198"/>
      <c r="KY143" s="198"/>
      <c r="KZ143" s="198"/>
      <c r="LA143" s="198"/>
      <c r="LB143" s="198"/>
      <c r="LC143" s="198"/>
      <c r="LD143" s="198"/>
      <c r="LE143" s="198"/>
      <c r="LF143" s="198"/>
      <c r="LG143" s="198"/>
      <c r="LH143" s="198"/>
      <c r="LI143" s="198"/>
      <c r="LJ143" s="198"/>
      <c r="LK143" s="198"/>
      <c r="LL143" s="198"/>
      <c r="LM143" s="198"/>
      <c r="LN143" s="198"/>
      <c r="LO143" s="198"/>
      <c r="LP143" s="198"/>
      <c r="LQ143" s="198"/>
      <c r="LR143" s="198"/>
      <c r="LS143" s="198"/>
      <c r="LT143" s="198"/>
      <c r="LU143" s="198"/>
      <c r="LV143" s="198"/>
      <c r="LW143" s="198"/>
      <c r="LX143" s="198"/>
      <c r="LY143" s="198"/>
      <c r="LZ143" s="198"/>
      <c r="MA143" s="198"/>
      <c r="MB143" s="198"/>
      <c r="MC143" s="198"/>
      <c r="MD143" s="198"/>
      <c r="ME143" s="198"/>
      <c r="MF143" s="198"/>
      <c r="MG143" s="198"/>
      <c r="MH143" s="198"/>
      <c r="MI143" s="198"/>
      <c r="MJ143" s="198"/>
      <c r="MK143" s="198"/>
      <c r="ML143" s="198"/>
      <c r="MM143" s="198"/>
      <c r="MN143" s="198"/>
      <c r="MO143" s="198"/>
      <c r="MP143" s="198"/>
      <c r="MQ143" s="198"/>
      <c r="MR143" s="198"/>
      <c r="MS143" s="198"/>
      <c r="MT143" s="198"/>
      <c r="MU143" s="198"/>
      <c r="MV143" s="198"/>
      <c r="MW143" s="198"/>
      <c r="MX143" s="198"/>
      <c r="MY143" s="198"/>
      <c r="MZ143" s="198"/>
      <c r="NA143" s="198"/>
      <c r="NB143" s="198"/>
      <c r="NC143" s="198"/>
      <c r="ND143" s="198"/>
      <c r="NE143" s="198"/>
      <c r="NF143" s="198"/>
      <c r="NG143" s="198"/>
      <c r="NH143" s="198"/>
      <c r="NI143" s="198"/>
      <c r="NJ143" s="198"/>
      <c r="NK143" s="198"/>
      <c r="NL143" s="198"/>
      <c r="NM143" s="198"/>
      <c r="NN143" s="198"/>
      <c r="NO143" s="198"/>
      <c r="NP143" s="198"/>
      <c r="NQ143" s="198"/>
      <c r="NR143" s="198"/>
      <c r="NS143" s="198"/>
      <c r="NT143" s="198"/>
      <c r="NU143" s="198"/>
      <c r="NV143" s="198"/>
      <c r="NW143" s="198"/>
      <c r="NX143" s="198"/>
      <c r="NY143" s="198"/>
      <c r="NZ143" s="198"/>
      <c r="OA143" s="198"/>
      <c r="OB143" s="198"/>
      <c r="OC143" s="198"/>
      <c r="OD143" s="198"/>
      <c r="OE143" s="198"/>
      <c r="OF143" s="198"/>
      <c r="OG143" s="198"/>
      <c r="OH143" s="198"/>
      <c r="OI143" s="198"/>
      <c r="OJ143" s="198"/>
      <c r="OK143" s="198"/>
      <c r="OL143" s="198"/>
      <c r="OM143" s="198"/>
      <c r="ON143" s="198"/>
      <c r="OO143" s="198"/>
      <c r="OP143" s="198"/>
      <c r="OQ143" s="198"/>
      <c r="OR143" s="198"/>
      <c r="OS143" s="198"/>
      <c r="OT143" s="198"/>
      <c r="OU143" s="198"/>
      <c r="OV143" s="198"/>
      <c r="OW143" s="198"/>
      <c r="OX143" s="198"/>
      <c r="OY143" s="198"/>
      <c r="OZ143" s="198"/>
      <c r="PA143" s="198"/>
      <c r="PB143" s="198"/>
      <c r="PC143" s="198"/>
      <c r="PD143" s="198"/>
      <c r="PE143" s="198"/>
      <c r="PF143" s="198"/>
      <c r="PG143" s="198"/>
      <c r="PH143" s="198"/>
      <c r="PI143" s="198"/>
      <c r="PJ143" s="198"/>
      <c r="PK143" s="198"/>
      <c r="PL143" s="198"/>
      <c r="PM143" s="198"/>
      <c r="PN143" s="198"/>
      <c r="PO143" s="198"/>
      <c r="PP143" s="198"/>
      <c r="PQ143" s="198"/>
      <c r="PR143" s="198"/>
      <c r="PS143" s="198"/>
      <c r="PT143" s="198"/>
      <c r="PU143" s="198"/>
      <c r="PV143" s="198"/>
      <c r="PW143" s="198"/>
      <c r="PX143" s="198"/>
      <c r="PY143" s="198"/>
      <c r="PZ143" s="198"/>
      <c r="QA143" s="198"/>
      <c r="QB143" s="198"/>
      <c r="QC143" s="198"/>
      <c r="QD143" s="198"/>
      <c r="QE143" s="198"/>
      <c r="QF143" s="198"/>
      <c r="QG143" s="198"/>
      <c r="QH143" s="198"/>
      <c r="QI143" s="198"/>
      <c r="QJ143" s="198"/>
      <c r="QK143" s="198"/>
      <c r="QL143" s="198"/>
      <c r="QM143" s="198"/>
      <c r="QN143" s="198"/>
      <c r="QO143" s="198"/>
      <c r="QP143" s="198"/>
      <c r="QQ143" s="198"/>
      <c r="QR143" s="198"/>
      <c r="QS143" s="198"/>
      <c r="QT143" s="198"/>
      <c r="QU143" s="198"/>
      <c r="QV143" s="198"/>
      <c r="QW143" s="198"/>
      <c r="QX143" s="198"/>
      <c r="QY143" s="198"/>
      <c r="QZ143" s="198"/>
      <c r="RA143" s="198"/>
      <c r="RB143" s="198"/>
      <c r="RC143" s="198"/>
      <c r="RD143" s="198"/>
      <c r="RE143" s="198"/>
      <c r="RF143" s="198"/>
      <c r="RG143" s="198"/>
      <c r="RH143" s="198"/>
      <c r="RI143" s="198"/>
      <c r="RJ143" s="198"/>
      <c r="RK143" s="198"/>
      <c r="RL143" s="198"/>
      <c r="RM143" s="198"/>
      <c r="RN143" s="198"/>
      <c r="RO143" s="198"/>
      <c r="RP143" s="198"/>
      <c r="RQ143" s="198"/>
      <c r="RR143" s="198"/>
      <c r="RS143" s="198"/>
      <c r="RT143" s="198"/>
      <c r="RU143" s="198"/>
      <c r="RV143" s="198"/>
      <c r="RW143" s="198"/>
      <c r="RX143" s="198"/>
      <c r="RY143" s="198"/>
      <c r="RZ143" s="198"/>
      <c r="SA143" s="198"/>
      <c r="SB143" s="198"/>
      <c r="SC143" s="198"/>
      <c r="SD143" s="198"/>
      <c r="SE143" s="198"/>
      <c r="SF143" s="198"/>
      <c r="SG143" s="198"/>
    </row>
    <row r="144" spans="1:501" ht="40.049999999999997" customHeight="1" thickBot="1" x14ac:dyDescent="0.35">
      <c r="A144" s="543" t="s">
        <v>354</v>
      </c>
      <c r="B144" s="956" t="s">
        <v>355</v>
      </c>
      <c r="C144" s="950"/>
      <c r="D144" s="861"/>
      <c r="E144" s="862"/>
      <c r="F144" s="861"/>
      <c r="G144" s="863">
        <f>MANZ.C!AL146</f>
        <v>17</v>
      </c>
      <c r="H144" s="861"/>
      <c r="I144" s="862">
        <f>MANZ.D!Z146</f>
        <v>11</v>
      </c>
      <c r="J144" s="861"/>
      <c r="K144" s="862">
        <f>MANZ.E!AK147</f>
        <v>0</v>
      </c>
      <c r="L144" s="861"/>
      <c r="M144" s="862">
        <f>MANZ.F!AA146</f>
        <v>12</v>
      </c>
      <c r="N144" s="861"/>
      <c r="O144" s="862">
        <f>MANZ.G!AS142</f>
        <v>0</v>
      </c>
      <c r="P144" s="861"/>
      <c r="Q144" s="863">
        <f>MANZ.H!V147</f>
        <v>9</v>
      </c>
      <c r="R144" s="861"/>
      <c r="S144" s="862">
        <f>MANZ.I!AA145</f>
        <v>12</v>
      </c>
      <c r="T144" s="861"/>
      <c r="U144" s="862">
        <f>MANZ.J!AT150</f>
        <v>0</v>
      </c>
      <c r="V144" s="861"/>
      <c r="W144" s="862">
        <f>MANZ.K!AB147</f>
        <v>12</v>
      </c>
      <c r="X144" s="861"/>
      <c r="Y144" s="862">
        <f>MANZ.L!Z147</f>
        <v>0</v>
      </c>
      <c r="Z144" s="861"/>
      <c r="AA144" s="862"/>
      <c r="AB144" s="864"/>
      <c r="AC144" s="864"/>
      <c r="AD144" s="864"/>
      <c r="AE144" s="864"/>
      <c r="AF144" s="861"/>
      <c r="AG144" s="865">
        <f>SUM(C144:AA144)</f>
        <v>73</v>
      </c>
      <c r="AH144" s="866"/>
      <c r="AI144" s="198"/>
      <c r="AJ144" s="198"/>
      <c r="AK144" s="198"/>
      <c r="AL144" s="198"/>
      <c r="AM144" s="198"/>
      <c r="AN144" s="198"/>
      <c r="AO144" s="198"/>
      <c r="AP144" s="198"/>
      <c r="AQ144" s="198"/>
      <c r="AR144" s="198"/>
      <c r="AS144" s="198"/>
      <c r="AT144" s="198"/>
      <c r="AU144" s="198"/>
      <c r="AV144" s="198"/>
      <c r="AW144" s="198"/>
      <c r="AX144" s="198"/>
      <c r="AY144" s="198"/>
      <c r="AZ144" s="198"/>
      <c r="BA144" s="198"/>
      <c r="BB144" s="198"/>
      <c r="BC144" s="198"/>
      <c r="BD144" s="198"/>
      <c r="BE144" s="198"/>
      <c r="BF144" s="198"/>
      <c r="BG144" s="198"/>
      <c r="BH144" s="198"/>
      <c r="BI144" s="198"/>
      <c r="BJ144" s="198"/>
      <c r="BK144" s="198"/>
      <c r="BL144" s="198"/>
      <c r="BM144" s="198"/>
      <c r="BN144" s="198"/>
      <c r="BO144" s="198"/>
      <c r="BP144" s="198"/>
      <c r="BQ144" s="198"/>
      <c r="BR144" s="198"/>
      <c r="BS144" s="198"/>
      <c r="BT144" s="198"/>
      <c r="BU144" s="198"/>
      <c r="BV144" s="198"/>
      <c r="BW144" s="198"/>
      <c r="BX144" s="198"/>
      <c r="BY144" s="198"/>
      <c r="BZ144" s="198"/>
      <c r="CA144" s="198"/>
      <c r="CB144" s="198"/>
      <c r="CC144" s="198"/>
      <c r="CD144" s="198"/>
      <c r="CE144" s="198"/>
      <c r="CF144" s="198"/>
      <c r="CG144" s="198"/>
      <c r="CH144" s="198"/>
      <c r="CI144" s="198"/>
      <c r="CJ144" s="198"/>
      <c r="CK144" s="198"/>
      <c r="CL144" s="198"/>
      <c r="CM144" s="198"/>
      <c r="CN144" s="198"/>
      <c r="CO144" s="198"/>
      <c r="CP144" s="198"/>
      <c r="CQ144" s="198"/>
      <c r="CR144" s="198"/>
      <c r="CS144" s="198"/>
      <c r="CT144" s="198"/>
      <c r="CU144" s="198"/>
      <c r="CV144" s="198"/>
      <c r="CW144" s="198"/>
      <c r="CX144" s="198"/>
      <c r="CY144" s="198"/>
      <c r="CZ144" s="198"/>
      <c r="DA144" s="198"/>
      <c r="DB144" s="198"/>
      <c r="DC144" s="198"/>
      <c r="DD144" s="198"/>
      <c r="DE144" s="198"/>
      <c r="DF144" s="198"/>
      <c r="DG144" s="198"/>
      <c r="DH144" s="198"/>
      <c r="DI144" s="198"/>
      <c r="DJ144" s="198"/>
      <c r="DK144" s="198"/>
      <c r="DL144" s="198"/>
      <c r="DM144" s="198"/>
      <c r="DN144" s="198"/>
      <c r="DO144" s="198"/>
      <c r="DP144" s="198"/>
      <c r="DQ144" s="198"/>
      <c r="DR144" s="198"/>
      <c r="DS144" s="198"/>
      <c r="DT144" s="198"/>
      <c r="DU144" s="198"/>
      <c r="DV144" s="198"/>
      <c r="DW144" s="198"/>
      <c r="DX144" s="198"/>
      <c r="DY144" s="198"/>
      <c r="DZ144" s="198"/>
      <c r="EA144" s="198"/>
      <c r="EB144" s="198"/>
      <c r="EC144" s="198"/>
      <c r="ED144" s="198"/>
      <c r="EE144" s="198"/>
      <c r="EF144" s="198"/>
      <c r="EG144" s="198"/>
      <c r="EH144" s="198"/>
      <c r="EI144" s="198"/>
      <c r="EJ144" s="198"/>
      <c r="EK144" s="198"/>
      <c r="EL144" s="198"/>
      <c r="EM144" s="198"/>
      <c r="EN144" s="198"/>
      <c r="EO144" s="198"/>
      <c r="EP144" s="198"/>
      <c r="EQ144" s="198"/>
      <c r="ER144" s="198"/>
      <c r="ES144" s="198"/>
      <c r="ET144" s="198"/>
      <c r="EU144" s="198"/>
      <c r="EV144" s="198"/>
      <c r="EW144" s="198"/>
      <c r="EX144" s="198"/>
      <c r="EY144" s="198"/>
      <c r="EZ144" s="198"/>
      <c r="FA144" s="198"/>
      <c r="FB144" s="198"/>
      <c r="FC144" s="198"/>
      <c r="FD144" s="198"/>
      <c r="FE144" s="198"/>
      <c r="FF144" s="198"/>
      <c r="FG144" s="198"/>
      <c r="FH144" s="198"/>
      <c r="FI144" s="198"/>
      <c r="FJ144" s="198"/>
      <c r="FK144" s="198"/>
      <c r="FL144" s="198"/>
      <c r="FM144" s="198"/>
      <c r="FN144" s="198"/>
      <c r="FO144" s="198"/>
      <c r="FP144" s="198"/>
      <c r="FQ144" s="198"/>
      <c r="FR144" s="198"/>
      <c r="FS144" s="198"/>
      <c r="FT144" s="198"/>
      <c r="FU144" s="198"/>
      <c r="FV144" s="198"/>
      <c r="FW144" s="198"/>
      <c r="FX144" s="198"/>
      <c r="FY144" s="198"/>
      <c r="FZ144" s="198"/>
      <c r="GA144" s="198"/>
      <c r="GB144" s="198"/>
      <c r="GC144" s="198"/>
      <c r="GD144" s="198"/>
      <c r="GE144" s="198"/>
      <c r="GF144" s="198"/>
      <c r="GG144" s="198"/>
      <c r="GH144" s="198"/>
      <c r="GI144" s="198"/>
      <c r="GJ144" s="198"/>
      <c r="GK144" s="198"/>
      <c r="GL144" s="198"/>
      <c r="GM144" s="198"/>
      <c r="GN144" s="198"/>
      <c r="GO144" s="198"/>
      <c r="GP144" s="198"/>
      <c r="GQ144" s="198"/>
      <c r="GR144" s="198"/>
      <c r="GS144" s="198"/>
      <c r="GT144" s="198"/>
      <c r="GU144" s="198"/>
      <c r="GV144" s="198"/>
      <c r="GW144" s="198"/>
      <c r="GX144" s="198"/>
      <c r="GY144" s="198"/>
      <c r="GZ144" s="198"/>
      <c r="HA144" s="198"/>
      <c r="HB144" s="198"/>
      <c r="HC144" s="198"/>
      <c r="HD144" s="198"/>
      <c r="HE144" s="198"/>
      <c r="HF144" s="198"/>
      <c r="HG144" s="198"/>
      <c r="HH144" s="198"/>
      <c r="HI144" s="198"/>
      <c r="HJ144" s="198"/>
      <c r="HK144" s="198"/>
      <c r="HL144" s="198"/>
      <c r="HM144" s="198"/>
      <c r="HN144" s="198"/>
      <c r="HO144" s="198"/>
      <c r="HP144" s="198"/>
      <c r="HQ144" s="198"/>
      <c r="HR144" s="198"/>
      <c r="HS144" s="198"/>
      <c r="HT144" s="198"/>
      <c r="HU144" s="198"/>
      <c r="HV144" s="198"/>
      <c r="HW144" s="198"/>
      <c r="HX144" s="198"/>
      <c r="HY144" s="198"/>
      <c r="HZ144" s="198"/>
      <c r="IA144" s="198"/>
      <c r="IB144" s="198"/>
      <c r="IC144" s="198"/>
      <c r="ID144" s="198"/>
      <c r="IE144" s="198"/>
      <c r="IF144" s="198"/>
      <c r="IG144" s="198"/>
      <c r="IH144" s="198"/>
      <c r="II144" s="198"/>
      <c r="IJ144" s="198"/>
      <c r="IK144" s="198"/>
      <c r="IL144" s="198"/>
      <c r="IM144" s="198"/>
      <c r="IN144" s="198"/>
      <c r="IO144" s="198"/>
      <c r="IP144" s="198"/>
      <c r="IQ144" s="198"/>
      <c r="IR144" s="198"/>
      <c r="IS144" s="198"/>
      <c r="IT144" s="198"/>
      <c r="IU144" s="198"/>
      <c r="IV144" s="198"/>
      <c r="IW144" s="198"/>
      <c r="IX144" s="198"/>
      <c r="IY144" s="198"/>
      <c r="IZ144" s="198"/>
      <c r="JA144" s="198"/>
      <c r="JB144" s="198"/>
      <c r="JC144" s="198"/>
      <c r="JD144" s="198"/>
      <c r="JE144" s="198"/>
      <c r="JF144" s="198"/>
      <c r="JG144" s="198"/>
      <c r="JH144" s="198"/>
      <c r="JI144" s="198"/>
      <c r="JJ144" s="198"/>
      <c r="JK144" s="198"/>
      <c r="JL144" s="198"/>
      <c r="JM144" s="198"/>
      <c r="JN144" s="198"/>
      <c r="JO144" s="198"/>
      <c r="JP144" s="198"/>
      <c r="JQ144" s="198"/>
      <c r="JR144" s="198"/>
      <c r="JS144" s="198"/>
      <c r="JT144" s="198"/>
      <c r="JU144" s="198"/>
      <c r="JV144" s="198"/>
      <c r="JW144" s="198"/>
      <c r="JX144" s="198"/>
      <c r="JY144" s="198"/>
      <c r="JZ144" s="198"/>
      <c r="KA144" s="198"/>
      <c r="KB144" s="198"/>
      <c r="KC144" s="198"/>
      <c r="KD144" s="198"/>
      <c r="KE144" s="198"/>
      <c r="KF144" s="198"/>
      <c r="KG144" s="198"/>
      <c r="KH144" s="198"/>
      <c r="KI144" s="198"/>
      <c r="KJ144" s="198"/>
      <c r="KK144" s="198"/>
      <c r="KL144" s="198"/>
      <c r="KM144" s="198"/>
      <c r="KN144" s="198"/>
      <c r="KO144" s="198"/>
      <c r="KP144" s="198"/>
      <c r="KQ144" s="198"/>
      <c r="KR144" s="198"/>
      <c r="KS144" s="198"/>
      <c r="KT144" s="198"/>
      <c r="KU144" s="198"/>
      <c r="KV144" s="198"/>
      <c r="KW144" s="198"/>
      <c r="KX144" s="198"/>
      <c r="KY144" s="198"/>
      <c r="KZ144" s="198"/>
      <c r="LA144" s="198"/>
      <c r="LB144" s="198"/>
      <c r="LC144" s="198"/>
      <c r="LD144" s="198"/>
      <c r="LE144" s="198"/>
      <c r="LF144" s="198"/>
      <c r="LG144" s="198"/>
      <c r="LH144" s="198"/>
      <c r="LI144" s="198"/>
      <c r="LJ144" s="198"/>
      <c r="LK144" s="198"/>
      <c r="LL144" s="198"/>
      <c r="LM144" s="198"/>
      <c r="LN144" s="198"/>
      <c r="LO144" s="198"/>
      <c r="LP144" s="198"/>
      <c r="LQ144" s="198"/>
      <c r="LR144" s="198"/>
      <c r="LS144" s="198"/>
      <c r="LT144" s="198"/>
      <c r="LU144" s="198"/>
      <c r="LV144" s="198"/>
      <c r="LW144" s="198"/>
      <c r="LX144" s="198"/>
      <c r="LY144" s="198"/>
      <c r="LZ144" s="198"/>
      <c r="MA144" s="198"/>
      <c r="MB144" s="198"/>
      <c r="MC144" s="198"/>
      <c r="MD144" s="198"/>
      <c r="ME144" s="198"/>
      <c r="MF144" s="198"/>
      <c r="MG144" s="198"/>
      <c r="MH144" s="198"/>
      <c r="MI144" s="198"/>
      <c r="MJ144" s="198"/>
      <c r="MK144" s="198"/>
      <c r="ML144" s="198"/>
      <c r="MM144" s="198"/>
      <c r="MN144" s="198"/>
      <c r="MO144" s="198"/>
      <c r="MP144" s="198"/>
      <c r="MQ144" s="198"/>
      <c r="MR144" s="198"/>
      <c r="MS144" s="198"/>
      <c r="MT144" s="198"/>
      <c r="MU144" s="198"/>
      <c r="MV144" s="198"/>
      <c r="MW144" s="198"/>
      <c r="MX144" s="198"/>
      <c r="MY144" s="198"/>
      <c r="MZ144" s="198"/>
      <c r="NA144" s="198"/>
      <c r="NB144" s="198"/>
      <c r="NC144" s="198"/>
      <c r="ND144" s="198"/>
      <c r="NE144" s="198"/>
      <c r="NF144" s="198"/>
      <c r="NG144" s="198"/>
      <c r="NH144" s="198"/>
      <c r="NI144" s="198"/>
      <c r="NJ144" s="198"/>
      <c r="NK144" s="198"/>
      <c r="NL144" s="198"/>
      <c r="NM144" s="198"/>
      <c r="NN144" s="198"/>
      <c r="NO144" s="198"/>
      <c r="NP144" s="198"/>
      <c r="NQ144" s="198"/>
      <c r="NR144" s="198"/>
      <c r="NS144" s="198"/>
      <c r="NT144" s="198"/>
      <c r="NU144" s="198"/>
      <c r="NV144" s="198"/>
      <c r="NW144" s="198"/>
      <c r="NX144" s="198"/>
      <c r="NY144" s="198"/>
      <c r="NZ144" s="198"/>
      <c r="OA144" s="198"/>
      <c r="OB144" s="198"/>
      <c r="OC144" s="198"/>
      <c r="OD144" s="198"/>
      <c r="OE144" s="198"/>
      <c r="OF144" s="198"/>
      <c r="OG144" s="198"/>
      <c r="OH144" s="198"/>
      <c r="OI144" s="198"/>
      <c r="OJ144" s="198"/>
      <c r="OK144" s="198"/>
      <c r="OL144" s="198"/>
      <c r="OM144" s="198"/>
      <c r="ON144" s="198"/>
      <c r="OO144" s="198"/>
      <c r="OP144" s="198"/>
      <c r="OQ144" s="198"/>
      <c r="OR144" s="198"/>
      <c r="OS144" s="198"/>
      <c r="OT144" s="198"/>
      <c r="OU144" s="198"/>
      <c r="OV144" s="198"/>
      <c r="OW144" s="198"/>
      <c r="OX144" s="198"/>
      <c r="OY144" s="198"/>
      <c r="OZ144" s="198"/>
      <c r="PA144" s="198"/>
      <c r="PB144" s="198"/>
      <c r="PC144" s="198"/>
      <c r="PD144" s="198"/>
      <c r="PE144" s="198"/>
      <c r="PF144" s="198"/>
      <c r="PG144" s="198"/>
      <c r="PH144" s="198"/>
      <c r="PI144" s="198"/>
      <c r="PJ144" s="198"/>
      <c r="PK144" s="198"/>
      <c r="PL144" s="198"/>
      <c r="PM144" s="198"/>
      <c r="PN144" s="198"/>
      <c r="PO144" s="198"/>
      <c r="PP144" s="198"/>
      <c r="PQ144" s="198"/>
      <c r="PR144" s="198"/>
      <c r="PS144" s="198"/>
      <c r="PT144" s="198"/>
      <c r="PU144" s="198"/>
      <c r="PV144" s="198"/>
      <c r="PW144" s="198"/>
      <c r="PX144" s="198"/>
      <c r="PY144" s="198"/>
      <c r="PZ144" s="198"/>
      <c r="QA144" s="198"/>
      <c r="QB144" s="198"/>
      <c r="QC144" s="198"/>
      <c r="QD144" s="198"/>
      <c r="QE144" s="198"/>
      <c r="QF144" s="198"/>
      <c r="QG144" s="198"/>
      <c r="QH144" s="198"/>
      <c r="QI144" s="198"/>
      <c r="QJ144" s="198"/>
      <c r="QK144" s="198"/>
      <c r="QL144" s="198"/>
      <c r="QM144" s="198"/>
      <c r="QN144" s="198"/>
      <c r="QO144" s="198"/>
      <c r="QP144" s="198"/>
      <c r="QQ144" s="198"/>
      <c r="QR144" s="198"/>
      <c r="QS144" s="198"/>
      <c r="QT144" s="198"/>
      <c r="QU144" s="198"/>
      <c r="QV144" s="198"/>
      <c r="QW144" s="198"/>
      <c r="QX144" s="198"/>
      <c r="QY144" s="198"/>
      <c r="QZ144" s="198"/>
      <c r="RA144" s="198"/>
      <c r="RB144" s="198"/>
      <c r="RC144" s="198"/>
      <c r="RD144" s="198"/>
      <c r="RE144" s="198"/>
      <c r="RF144" s="198"/>
      <c r="RG144" s="198"/>
      <c r="RH144" s="198"/>
      <c r="RI144" s="198"/>
      <c r="RJ144" s="198"/>
      <c r="RK144" s="198"/>
      <c r="RL144" s="198"/>
      <c r="RM144" s="198"/>
      <c r="RN144" s="198"/>
      <c r="RO144" s="198"/>
      <c r="RP144" s="198"/>
      <c r="RQ144" s="198"/>
      <c r="RR144" s="198"/>
      <c r="RS144" s="198"/>
      <c r="RT144" s="198"/>
      <c r="RU144" s="198"/>
      <c r="RV144" s="198"/>
      <c r="RW144" s="198"/>
      <c r="RX144" s="198"/>
      <c r="RY144" s="198"/>
      <c r="RZ144" s="198"/>
      <c r="SA144" s="198"/>
      <c r="SB144" s="198"/>
      <c r="SC144" s="198"/>
      <c r="SD144" s="198"/>
      <c r="SE144" s="198"/>
      <c r="SF144" s="198"/>
      <c r="SG144" s="198"/>
    </row>
    <row r="145" spans="1:501" ht="40.049999999999997" customHeight="1" x14ac:dyDescent="0.3">
      <c r="A145" s="542" t="s">
        <v>356</v>
      </c>
      <c r="B145" s="953" t="s">
        <v>357</v>
      </c>
      <c r="C145" s="944"/>
      <c r="D145" s="944"/>
      <c r="E145" s="944"/>
      <c r="F145" s="944"/>
      <c r="G145" s="944"/>
      <c r="H145" s="944"/>
      <c r="I145" s="944"/>
      <c r="J145" s="944"/>
      <c r="K145" s="944"/>
      <c r="L145" s="944"/>
      <c r="M145" s="944"/>
      <c r="N145" s="944"/>
      <c r="O145" s="944"/>
      <c r="P145" s="944"/>
      <c r="Q145" s="944"/>
      <c r="R145" s="944"/>
      <c r="S145" s="944"/>
      <c r="T145" s="944"/>
      <c r="U145" s="944"/>
      <c r="V145" s="944"/>
      <c r="W145" s="944"/>
      <c r="X145" s="944"/>
      <c r="Y145" s="944"/>
      <c r="Z145" s="944"/>
      <c r="AA145" s="944"/>
      <c r="AB145" s="944"/>
      <c r="AC145" s="944"/>
      <c r="AD145" s="944"/>
      <c r="AE145" s="944"/>
      <c r="AF145" s="944"/>
      <c r="AG145" s="944"/>
      <c r="AH145" s="945"/>
      <c r="AI145" s="198"/>
      <c r="AJ145" s="198"/>
      <c r="AK145" s="198"/>
      <c r="AL145" s="198"/>
      <c r="AM145" s="198"/>
      <c r="AN145" s="198"/>
      <c r="AO145" s="198"/>
      <c r="AP145" s="198"/>
      <c r="AQ145" s="198"/>
      <c r="AR145" s="198"/>
      <c r="AS145" s="198"/>
      <c r="AT145" s="198"/>
      <c r="AU145" s="198"/>
      <c r="AV145" s="198"/>
      <c r="AW145" s="198"/>
      <c r="AX145" s="198"/>
      <c r="AY145" s="198"/>
      <c r="AZ145" s="198"/>
      <c r="BA145" s="198"/>
      <c r="BB145" s="198"/>
      <c r="BC145" s="198"/>
      <c r="BD145" s="198"/>
      <c r="BE145" s="198"/>
      <c r="BF145" s="198"/>
      <c r="BG145" s="198"/>
      <c r="BH145" s="198"/>
      <c r="BI145" s="198"/>
      <c r="BJ145" s="198"/>
      <c r="BK145" s="198"/>
      <c r="BL145" s="198"/>
      <c r="BM145" s="198"/>
      <c r="BN145" s="198"/>
      <c r="BO145" s="198"/>
      <c r="BP145" s="198"/>
      <c r="BQ145" s="198"/>
      <c r="BR145" s="198"/>
      <c r="BS145" s="198"/>
      <c r="BT145" s="198"/>
      <c r="BU145" s="198"/>
      <c r="BV145" s="198"/>
      <c r="BW145" s="198"/>
      <c r="BX145" s="198"/>
      <c r="BY145" s="198"/>
      <c r="BZ145" s="198"/>
      <c r="CA145" s="198"/>
      <c r="CB145" s="198"/>
      <c r="CC145" s="198"/>
      <c r="CD145" s="198"/>
      <c r="CE145" s="198"/>
      <c r="CF145" s="198"/>
      <c r="CG145" s="198"/>
      <c r="CH145" s="198"/>
      <c r="CI145" s="198"/>
      <c r="CJ145" s="198"/>
      <c r="CK145" s="198"/>
      <c r="CL145" s="198"/>
      <c r="CM145" s="198"/>
      <c r="CN145" s="198"/>
      <c r="CO145" s="198"/>
      <c r="CP145" s="198"/>
      <c r="CQ145" s="198"/>
      <c r="CR145" s="198"/>
      <c r="CS145" s="198"/>
      <c r="CT145" s="198"/>
      <c r="CU145" s="198"/>
      <c r="CV145" s="198"/>
      <c r="CW145" s="198"/>
      <c r="CX145" s="198"/>
      <c r="CY145" s="198"/>
      <c r="CZ145" s="198"/>
      <c r="DA145" s="198"/>
      <c r="DB145" s="198"/>
      <c r="DC145" s="198"/>
      <c r="DD145" s="198"/>
      <c r="DE145" s="198"/>
      <c r="DF145" s="198"/>
      <c r="DG145" s="198"/>
      <c r="DH145" s="198"/>
      <c r="DI145" s="198"/>
      <c r="DJ145" s="198"/>
      <c r="DK145" s="198"/>
      <c r="DL145" s="198"/>
      <c r="DM145" s="198"/>
      <c r="DN145" s="198"/>
      <c r="DO145" s="198"/>
      <c r="DP145" s="198"/>
      <c r="DQ145" s="198"/>
      <c r="DR145" s="198"/>
      <c r="DS145" s="198"/>
      <c r="DT145" s="198"/>
      <c r="DU145" s="198"/>
      <c r="DV145" s="198"/>
      <c r="DW145" s="198"/>
      <c r="DX145" s="198"/>
      <c r="DY145" s="198"/>
      <c r="DZ145" s="198"/>
      <c r="EA145" s="198"/>
      <c r="EB145" s="198"/>
      <c r="EC145" s="198"/>
      <c r="ED145" s="198"/>
      <c r="EE145" s="198"/>
      <c r="EF145" s="198"/>
      <c r="EG145" s="198"/>
      <c r="EH145" s="198"/>
      <c r="EI145" s="198"/>
      <c r="EJ145" s="198"/>
      <c r="EK145" s="198"/>
      <c r="EL145" s="198"/>
      <c r="EM145" s="198"/>
      <c r="EN145" s="198"/>
      <c r="EO145" s="198"/>
      <c r="EP145" s="198"/>
      <c r="EQ145" s="198"/>
      <c r="ER145" s="198"/>
      <c r="ES145" s="198"/>
      <c r="ET145" s="198"/>
      <c r="EU145" s="198"/>
      <c r="EV145" s="198"/>
      <c r="EW145" s="198"/>
      <c r="EX145" s="198"/>
      <c r="EY145" s="198"/>
      <c r="EZ145" s="198"/>
      <c r="FA145" s="198"/>
      <c r="FB145" s="198"/>
      <c r="FC145" s="198"/>
      <c r="FD145" s="198"/>
      <c r="FE145" s="198"/>
      <c r="FF145" s="198"/>
      <c r="FG145" s="198"/>
      <c r="FH145" s="198"/>
      <c r="FI145" s="198"/>
      <c r="FJ145" s="198"/>
      <c r="FK145" s="198"/>
      <c r="FL145" s="198"/>
      <c r="FM145" s="198"/>
      <c r="FN145" s="198"/>
      <c r="FO145" s="198"/>
      <c r="FP145" s="198"/>
      <c r="FQ145" s="198"/>
      <c r="FR145" s="198"/>
      <c r="FS145" s="198"/>
      <c r="FT145" s="198"/>
      <c r="FU145" s="198"/>
      <c r="FV145" s="198"/>
      <c r="FW145" s="198"/>
      <c r="FX145" s="198"/>
      <c r="FY145" s="198"/>
      <c r="FZ145" s="198"/>
      <c r="GA145" s="198"/>
      <c r="GB145" s="198"/>
      <c r="GC145" s="198"/>
      <c r="GD145" s="198"/>
      <c r="GE145" s="198"/>
      <c r="GF145" s="198"/>
      <c r="GG145" s="198"/>
      <c r="GH145" s="198"/>
      <c r="GI145" s="198"/>
      <c r="GJ145" s="198"/>
      <c r="GK145" s="198"/>
      <c r="GL145" s="198"/>
      <c r="GM145" s="198"/>
      <c r="GN145" s="198"/>
      <c r="GO145" s="198"/>
      <c r="GP145" s="198"/>
      <c r="GQ145" s="198"/>
      <c r="GR145" s="198"/>
      <c r="GS145" s="198"/>
      <c r="GT145" s="198"/>
      <c r="GU145" s="198"/>
      <c r="GV145" s="198"/>
      <c r="GW145" s="198"/>
      <c r="GX145" s="198"/>
      <c r="GY145" s="198"/>
      <c r="GZ145" s="198"/>
      <c r="HA145" s="198"/>
      <c r="HB145" s="198"/>
      <c r="HC145" s="198"/>
      <c r="HD145" s="198"/>
      <c r="HE145" s="198"/>
      <c r="HF145" s="198"/>
      <c r="HG145" s="198"/>
      <c r="HH145" s="198"/>
      <c r="HI145" s="198"/>
      <c r="HJ145" s="198"/>
      <c r="HK145" s="198"/>
      <c r="HL145" s="198"/>
      <c r="HM145" s="198"/>
      <c r="HN145" s="198"/>
      <c r="HO145" s="198"/>
      <c r="HP145" s="198"/>
      <c r="HQ145" s="198"/>
      <c r="HR145" s="198"/>
      <c r="HS145" s="198"/>
      <c r="HT145" s="198"/>
      <c r="HU145" s="198"/>
      <c r="HV145" s="198"/>
      <c r="HW145" s="198"/>
      <c r="HX145" s="198"/>
      <c r="HY145" s="198"/>
      <c r="HZ145" s="198"/>
      <c r="IA145" s="198"/>
      <c r="IB145" s="198"/>
      <c r="IC145" s="198"/>
      <c r="ID145" s="198"/>
      <c r="IE145" s="198"/>
      <c r="IF145" s="198"/>
      <c r="IG145" s="198"/>
      <c r="IH145" s="198"/>
      <c r="II145" s="198"/>
      <c r="IJ145" s="198"/>
      <c r="IK145" s="198"/>
      <c r="IL145" s="198"/>
      <c r="IM145" s="198"/>
      <c r="IN145" s="198"/>
      <c r="IO145" s="198"/>
      <c r="IP145" s="198"/>
      <c r="IQ145" s="198"/>
      <c r="IR145" s="198"/>
      <c r="IS145" s="198"/>
      <c r="IT145" s="198"/>
      <c r="IU145" s="198"/>
      <c r="IV145" s="198"/>
      <c r="IW145" s="198"/>
      <c r="IX145" s="198"/>
      <c r="IY145" s="198"/>
      <c r="IZ145" s="198"/>
      <c r="JA145" s="198"/>
      <c r="JB145" s="198"/>
      <c r="JC145" s="198"/>
      <c r="JD145" s="198"/>
      <c r="JE145" s="198"/>
      <c r="JF145" s="198"/>
      <c r="JG145" s="198"/>
      <c r="JH145" s="198"/>
      <c r="JI145" s="198"/>
      <c r="JJ145" s="198"/>
      <c r="JK145" s="198"/>
      <c r="JL145" s="198"/>
      <c r="JM145" s="198"/>
      <c r="JN145" s="198"/>
      <c r="JO145" s="198"/>
      <c r="JP145" s="198"/>
      <c r="JQ145" s="198"/>
      <c r="JR145" s="198"/>
      <c r="JS145" s="198"/>
      <c r="JT145" s="198"/>
      <c r="JU145" s="198"/>
      <c r="JV145" s="198"/>
      <c r="JW145" s="198"/>
      <c r="JX145" s="198"/>
      <c r="JY145" s="198"/>
      <c r="JZ145" s="198"/>
      <c r="KA145" s="198"/>
      <c r="KB145" s="198"/>
      <c r="KC145" s="198"/>
      <c r="KD145" s="198"/>
      <c r="KE145" s="198"/>
      <c r="KF145" s="198"/>
      <c r="KG145" s="198"/>
      <c r="KH145" s="198"/>
      <c r="KI145" s="198"/>
      <c r="KJ145" s="198"/>
      <c r="KK145" s="198"/>
      <c r="KL145" s="198"/>
      <c r="KM145" s="198"/>
      <c r="KN145" s="198"/>
      <c r="KO145" s="198"/>
      <c r="KP145" s="198"/>
      <c r="KQ145" s="198"/>
      <c r="KR145" s="198"/>
      <c r="KS145" s="198"/>
      <c r="KT145" s="198"/>
      <c r="KU145" s="198"/>
      <c r="KV145" s="198"/>
      <c r="KW145" s="198"/>
      <c r="KX145" s="198"/>
      <c r="KY145" s="198"/>
      <c r="KZ145" s="198"/>
      <c r="LA145" s="198"/>
      <c r="LB145" s="198"/>
      <c r="LC145" s="198"/>
      <c r="LD145" s="198"/>
      <c r="LE145" s="198"/>
      <c r="LF145" s="198"/>
      <c r="LG145" s="198"/>
      <c r="LH145" s="198"/>
      <c r="LI145" s="198"/>
      <c r="LJ145" s="198"/>
      <c r="LK145" s="198"/>
      <c r="LL145" s="198"/>
      <c r="LM145" s="198"/>
      <c r="LN145" s="198"/>
      <c r="LO145" s="198"/>
      <c r="LP145" s="198"/>
      <c r="LQ145" s="198"/>
      <c r="LR145" s="198"/>
      <c r="LS145" s="198"/>
      <c r="LT145" s="198"/>
      <c r="LU145" s="198"/>
      <c r="LV145" s="198"/>
      <c r="LW145" s="198"/>
      <c r="LX145" s="198"/>
      <c r="LY145" s="198"/>
      <c r="LZ145" s="198"/>
      <c r="MA145" s="198"/>
      <c r="MB145" s="198"/>
      <c r="MC145" s="198"/>
      <c r="MD145" s="198"/>
      <c r="ME145" s="198"/>
      <c r="MF145" s="198"/>
      <c r="MG145" s="198"/>
      <c r="MH145" s="198"/>
      <c r="MI145" s="198"/>
      <c r="MJ145" s="198"/>
      <c r="MK145" s="198"/>
      <c r="ML145" s="198"/>
      <c r="MM145" s="198"/>
      <c r="MN145" s="198"/>
      <c r="MO145" s="198"/>
      <c r="MP145" s="198"/>
      <c r="MQ145" s="198"/>
      <c r="MR145" s="198"/>
      <c r="MS145" s="198"/>
      <c r="MT145" s="198"/>
      <c r="MU145" s="198"/>
      <c r="MV145" s="198"/>
      <c r="MW145" s="198"/>
      <c r="MX145" s="198"/>
      <c r="MY145" s="198"/>
      <c r="MZ145" s="198"/>
      <c r="NA145" s="198"/>
      <c r="NB145" s="198"/>
      <c r="NC145" s="198"/>
      <c r="ND145" s="198"/>
      <c r="NE145" s="198"/>
      <c r="NF145" s="198"/>
      <c r="NG145" s="198"/>
      <c r="NH145" s="198"/>
      <c r="NI145" s="198"/>
      <c r="NJ145" s="198"/>
      <c r="NK145" s="198"/>
      <c r="NL145" s="198"/>
      <c r="NM145" s="198"/>
      <c r="NN145" s="198"/>
      <c r="NO145" s="198"/>
      <c r="NP145" s="198"/>
      <c r="NQ145" s="198"/>
      <c r="NR145" s="198"/>
      <c r="NS145" s="198"/>
      <c r="NT145" s="198"/>
      <c r="NU145" s="198"/>
      <c r="NV145" s="198"/>
      <c r="NW145" s="198"/>
      <c r="NX145" s="198"/>
      <c r="NY145" s="198"/>
      <c r="NZ145" s="198"/>
      <c r="OA145" s="198"/>
      <c r="OB145" s="198"/>
      <c r="OC145" s="198"/>
      <c r="OD145" s="198"/>
      <c r="OE145" s="198"/>
      <c r="OF145" s="198"/>
      <c r="OG145" s="198"/>
      <c r="OH145" s="198"/>
      <c r="OI145" s="198"/>
      <c r="OJ145" s="198"/>
      <c r="OK145" s="198"/>
      <c r="OL145" s="198"/>
      <c r="OM145" s="198"/>
      <c r="ON145" s="198"/>
      <c r="OO145" s="198"/>
      <c r="OP145" s="198"/>
      <c r="OQ145" s="198"/>
      <c r="OR145" s="198"/>
      <c r="OS145" s="198"/>
      <c r="OT145" s="198"/>
      <c r="OU145" s="198"/>
      <c r="OV145" s="198"/>
      <c r="OW145" s="198"/>
      <c r="OX145" s="198"/>
      <c r="OY145" s="198"/>
      <c r="OZ145" s="198"/>
      <c r="PA145" s="198"/>
      <c r="PB145" s="198"/>
      <c r="PC145" s="198"/>
      <c r="PD145" s="198"/>
      <c r="PE145" s="198"/>
      <c r="PF145" s="198"/>
      <c r="PG145" s="198"/>
      <c r="PH145" s="198"/>
      <c r="PI145" s="198"/>
      <c r="PJ145" s="198"/>
      <c r="PK145" s="198"/>
      <c r="PL145" s="198"/>
      <c r="PM145" s="198"/>
      <c r="PN145" s="198"/>
      <c r="PO145" s="198"/>
      <c r="PP145" s="198"/>
      <c r="PQ145" s="198"/>
      <c r="PR145" s="198"/>
      <c r="PS145" s="198"/>
      <c r="PT145" s="198"/>
      <c r="PU145" s="198"/>
      <c r="PV145" s="198"/>
      <c r="PW145" s="198"/>
      <c r="PX145" s="198"/>
      <c r="PY145" s="198"/>
      <c r="PZ145" s="198"/>
      <c r="QA145" s="198"/>
      <c r="QB145" s="198"/>
      <c r="QC145" s="198"/>
      <c r="QD145" s="198"/>
      <c r="QE145" s="198"/>
      <c r="QF145" s="198"/>
      <c r="QG145" s="198"/>
      <c r="QH145" s="198"/>
      <c r="QI145" s="198"/>
      <c r="QJ145" s="198"/>
      <c r="QK145" s="198"/>
      <c r="QL145" s="198"/>
      <c r="QM145" s="198"/>
      <c r="QN145" s="198"/>
      <c r="QO145" s="198"/>
      <c r="QP145" s="198"/>
      <c r="QQ145" s="198"/>
      <c r="QR145" s="198"/>
      <c r="QS145" s="198"/>
      <c r="QT145" s="198"/>
      <c r="QU145" s="198"/>
      <c r="QV145" s="198"/>
      <c r="QW145" s="198"/>
      <c r="QX145" s="198"/>
      <c r="QY145" s="198"/>
      <c r="QZ145" s="198"/>
      <c r="RA145" s="198"/>
      <c r="RB145" s="198"/>
      <c r="RC145" s="198"/>
      <c r="RD145" s="198"/>
      <c r="RE145" s="198"/>
      <c r="RF145" s="198"/>
      <c r="RG145" s="198"/>
      <c r="RH145" s="198"/>
      <c r="RI145" s="198"/>
      <c r="RJ145" s="198"/>
      <c r="RK145" s="198"/>
      <c r="RL145" s="198"/>
      <c r="RM145" s="198"/>
      <c r="RN145" s="198"/>
      <c r="RO145" s="198"/>
      <c r="RP145" s="198"/>
      <c r="RQ145" s="198"/>
      <c r="RR145" s="198"/>
      <c r="RS145" s="198"/>
      <c r="RT145" s="198"/>
      <c r="RU145" s="198"/>
      <c r="RV145" s="198"/>
      <c r="RW145" s="198"/>
      <c r="RX145" s="198"/>
      <c r="RY145" s="198"/>
      <c r="RZ145" s="198"/>
      <c r="SA145" s="198"/>
      <c r="SB145" s="198"/>
      <c r="SC145" s="198"/>
      <c r="SD145" s="198"/>
      <c r="SE145" s="198"/>
      <c r="SF145" s="198"/>
      <c r="SG145" s="198"/>
    </row>
    <row r="146" spans="1:501" ht="40.049999999999997" customHeight="1" x14ac:dyDescent="0.3">
      <c r="A146" s="543" t="s">
        <v>358</v>
      </c>
      <c r="B146" s="956" t="s">
        <v>359</v>
      </c>
      <c r="C146" s="950"/>
      <c r="D146" s="861"/>
      <c r="E146" s="862"/>
      <c r="F146" s="861"/>
      <c r="G146" s="863">
        <f>MANZ.C!AK148</f>
        <v>0</v>
      </c>
      <c r="H146" s="861"/>
      <c r="I146" s="862">
        <f>MANZ.D!Y148</f>
        <v>0</v>
      </c>
      <c r="J146" s="861"/>
      <c r="K146" s="862">
        <f>MANZ.E!AK149</f>
        <v>0</v>
      </c>
      <c r="L146" s="861"/>
      <c r="M146" s="863">
        <f>MANZ.F!AA148</f>
        <v>0</v>
      </c>
      <c r="N146" s="861"/>
      <c r="O146" s="862">
        <f>MANZ.G!AT144</f>
        <v>18</v>
      </c>
      <c r="P146" s="861"/>
      <c r="Q146" s="863">
        <f>MANZ.H!V149</f>
        <v>0</v>
      </c>
      <c r="R146" s="861"/>
      <c r="S146" s="863">
        <f>MANZ.I!AB147</f>
        <v>4</v>
      </c>
      <c r="T146" s="861"/>
      <c r="U146" s="863">
        <f>MANZ.J!AT152</f>
        <v>0</v>
      </c>
      <c r="V146" s="861"/>
      <c r="W146" s="862">
        <f>MANZ.K!AA149</f>
        <v>0</v>
      </c>
      <c r="X146" s="861"/>
      <c r="Y146" s="862">
        <f>MANZ.L!Z149</f>
        <v>0</v>
      </c>
      <c r="Z146" s="861"/>
      <c r="AA146" s="862"/>
      <c r="AB146" s="864"/>
      <c r="AC146" s="864"/>
      <c r="AD146" s="864"/>
      <c r="AE146" s="864"/>
      <c r="AF146" s="861"/>
      <c r="AG146" s="865">
        <f>SUM(C146:AA146)</f>
        <v>22</v>
      </c>
      <c r="AH146" s="866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  <c r="AS146" s="198"/>
      <c r="AT146" s="198"/>
      <c r="AU146" s="198"/>
      <c r="AV146" s="198"/>
      <c r="AW146" s="198"/>
      <c r="AX146" s="198"/>
      <c r="AY146" s="198"/>
      <c r="AZ146" s="198"/>
      <c r="BA146" s="198"/>
      <c r="BB146" s="198"/>
      <c r="BC146" s="198"/>
      <c r="BD146" s="198"/>
      <c r="BE146" s="198"/>
      <c r="BF146" s="198"/>
      <c r="BG146" s="198"/>
      <c r="BH146" s="198"/>
      <c r="BI146" s="198"/>
      <c r="BJ146" s="198"/>
      <c r="BK146" s="198"/>
      <c r="BL146" s="198"/>
      <c r="BM146" s="198"/>
      <c r="BN146" s="198"/>
      <c r="BO146" s="198"/>
      <c r="BP146" s="198"/>
      <c r="BQ146" s="198"/>
      <c r="BR146" s="198"/>
      <c r="BS146" s="198"/>
      <c r="BT146" s="198"/>
      <c r="BU146" s="198"/>
      <c r="BV146" s="198"/>
      <c r="BW146" s="198"/>
      <c r="BX146" s="198"/>
      <c r="BY146" s="198"/>
      <c r="BZ146" s="198"/>
      <c r="CA146" s="198"/>
      <c r="CB146" s="198"/>
      <c r="CC146" s="198"/>
      <c r="CD146" s="198"/>
      <c r="CE146" s="198"/>
      <c r="CF146" s="198"/>
      <c r="CG146" s="198"/>
      <c r="CH146" s="198"/>
      <c r="CI146" s="198"/>
      <c r="CJ146" s="198"/>
      <c r="CK146" s="198"/>
      <c r="CL146" s="198"/>
      <c r="CM146" s="198"/>
      <c r="CN146" s="198"/>
      <c r="CO146" s="198"/>
      <c r="CP146" s="198"/>
      <c r="CQ146" s="198"/>
      <c r="CR146" s="198"/>
      <c r="CS146" s="198"/>
      <c r="CT146" s="198"/>
      <c r="CU146" s="198"/>
      <c r="CV146" s="198"/>
      <c r="CW146" s="198"/>
      <c r="CX146" s="198"/>
      <c r="CY146" s="198"/>
      <c r="CZ146" s="198"/>
      <c r="DA146" s="198"/>
      <c r="DB146" s="198"/>
      <c r="DC146" s="198"/>
      <c r="DD146" s="198"/>
      <c r="DE146" s="198"/>
      <c r="DF146" s="198"/>
      <c r="DG146" s="198"/>
      <c r="DH146" s="198"/>
      <c r="DI146" s="198"/>
      <c r="DJ146" s="198"/>
      <c r="DK146" s="198"/>
      <c r="DL146" s="198"/>
      <c r="DM146" s="198"/>
      <c r="DN146" s="198"/>
      <c r="DO146" s="198"/>
      <c r="DP146" s="198"/>
      <c r="DQ146" s="198"/>
      <c r="DR146" s="198"/>
      <c r="DS146" s="198"/>
      <c r="DT146" s="198"/>
      <c r="DU146" s="198"/>
      <c r="DV146" s="198"/>
      <c r="DW146" s="198"/>
      <c r="DX146" s="198"/>
      <c r="DY146" s="198"/>
      <c r="DZ146" s="198"/>
      <c r="EA146" s="198"/>
      <c r="EB146" s="198"/>
      <c r="EC146" s="198"/>
      <c r="ED146" s="198"/>
      <c r="EE146" s="198"/>
      <c r="EF146" s="198"/>
      <c r="EG146" s="198"/>
      <c r="EH146" s="198"/>
      <c r="EI146" s="198"/>
      <c r="EJ146" s="198"/>
      <c r="EK146" s="198"/>
      <c r="EL146" s="198"/>
      <c r="EM146" s="198"/>
      <c r="EN146" s="198"/>
      <c r="EO146" s="198"/>
      <c r="EP146" s="198"/>
      <c r="EQ146" s="198"/>
      <c r="ER146" s="198"/>
      <c r="ES146" s="198"/>
      <c r="ET146" s="198"/>
      <c r="EU146" s="198"/>
      <c r="EV146" s="198"/>
      <c r="EW146" s="198"/>
      <c r="EX146" s="198"/>
      <c r="EY146" s="198"/>
      <c r="EZ146" s="198"/>
      <c r="FA146" s="198"/>
      <c r="FB146" s="198"/>
      <c r="FC146" s="198"/>
      <c r="FD146" s="198"/>
      <c r="FE146" s="198"/>
      <c r="FF146" s="198"/>
      <c r="FG146" s="198"/>
      <c r="FH146" s="198"/>
      <c r="FI146" s="198"/>
      <c r="FJ146" s="198"/>
      <c r="FK146" s="198"/>
      <c r="FL146" s="198"/>
      <c r="FM146" s="198"/>
      <c r="FN146" s="198"/>
      <c r="FO146" s="198"/>
      <c r="FP146" s="198"/>
      <c r="FQ146" s="198"/>
      <c r="FR146" s="198"/>
      <c r="FS146" s="198"/>
      <c r="FT146" s="198"/>
      <c r="FU146" s="198"/>
      <c r="FV146" s="198"/>
      <c r="FW146" s="198"/>
      <c r="FX146" s="198"/>
      <c r="FY146" s="198"/>
      <c r="FZ146" s="198"/>
      <c r="GA146" s="198"/>
      <c r="GB146" s="198"/>
      <c r="GC146" s="198"/>
      <c r="GD146" s="198"/>
      <c r="GE146" s="198"/>
      <c r="GF146" s="198"/>
      <c r="GG146" s="198"/>
      <c r="GH146" s="198"/>
      <c r="GI146" s="198"/>
      <c r="GJ146" s="198"/>
      <c r="GK146" s="198"/>
      <c r="GL146" s="198"/>
      <c r="GM146" s="198"/>
      <c r="GN146" s="198"/>
      <c r="GO146" s="198"/>
      <c r="GP146" s="198"/>
      <c r="GQ146" s="198"/>
      <c r="GR146" s="198"/>
      <c r="GS146" s="198"/>
      <c r="GT146" s="198"/>
      <c r="GU146" s="198"/>
      <c r="GV146" s="198"/>
      <c r="GW146" s="198"/>
      <c r="GX146" s="198"/>
      <c r="GY146" s="198"/>
      <c r="GZ146" s="198"/>
      <c r="HA146" s="198"/>
      <c r="HB146" s="198"/>
      <c r="HC146" s="198"/>
      <c r="HD146" s="198"/>
      <c r="HE146" s="198"/>
      <c r="HF146" s="198"/>
      <c r="HG146" s="198"/>
      <c r="HH146" s="198"/>
      <c r="HI146" s="198"/>
      <c r="HJ146" s="198"/>
      <c r="HK146" s="198"/>
      <c r="HL146" s="198"/>
      <c r="HM146" s="198"/>
      <c r="HN146" s="198"/>
      <c r="HO146" s="198"/>
      <c r="HP146" s="198"/>
      <c r="HQ146" s="198"/>
      <c r="HR146" s="198"/>
      <c r="HS146" s="198"/>
      <c r="HT146" s="198"/>
      <c r="HU146" s="198"/>
      <c r="HV146" s="198"/>
      <c r="HW146" s="198"/>
      <c r="HX146" s="198"/>
      <c r="HY146" s="198"/>
      <c r="HZ146" s="198"/>
      <c r="IA146" s="198"/>
      <c r="IB146" s="198"/>
      <c r="IC146" s="198"/>
      <c r="ID146" s="198"/>
      <c r="IE146" s="198"/>
      <c r="IF146" s="198"/>
      <c r="IG146" s="198"/>
      <c r="IH146" s="198"/>
      <c r="II146" s="198"/>
      <c r="IJ146" s="198"/>
      <c r="IK146" s="198"/>
      <c r="IL146" s="198"/>
      <c r="IM146" s="198"/>
      <c r="IN146" s="198"/>
      <c r="IO146" s="198"/>
      <c r="IP146" s="198"/>
      <c r="IQ146" s="198"/>
      <c r="IR146" s="198"/>
      <c r="IS146" s="198"/>
      <c r="IT146" s="198"/>
      <c r="IU146" s="198"/>
      <c r="IV146" s="198"/>
      <c r="IW146" s="198"/>
      <c r="IX146" s="198"/>
      <c r="IY146" s="198"/>
      <c r="IZ146" s="198"/>
      <c r="JA146" s="198"/>
      <c r="JB146" s="198"/>
      <c r="JC146" s="198"/>
      <c r="JD146" s="198"/>
      <c r="JE146" s="198"/>
      <c r="JF146" s="198"/>
      <c r="JG146" s="198"/>
      <c r="JH146" s="198"/>
      <c r="JI146" s="198"/>
      <c r="JJ146" s="198"/>
      <c r="JK146" s="198"/>
      <c r="JL146" s="198"/>
      <c r="JM146" s="198"/>
      <c r="JN146" s="198"/>
      <c r="JO146" s="198"/>
      <c r="JP146" s="198"/>
      <c r="JQ146" s="198"/>
      <c r="JR146" s="198"/>
      <c r="JS146" s="198"/>
      <c r="JT146" s="198"/>
      <c r="JU146" s="198"/>
      <c r="JV146" s="198"/>
      <c r="JW146" s="198"/>
      <c r="JX146" s="198"/>
      <c r="JY146" s="198"/>
      <c r="JZ146" s="198"/>
      <c r="KA146" s="198"/>
      <c r="KB146" s="198"/>
      <c r="KC146" s="198"/>
      <c r="KD146" s="198"/>
      <c r="KE146" s="198"/>
      <c r="KF146" s="198"/>
      <c r="KG146" s="198"/>
      <c r="KH146" s="198"/>
      <c r="KI146" s="198"/>
      <c r="KJ146" s="198"/>
      <c r="KK146" s="198"/>
      <c r="KL146" s="198"/>
      <c r="KM146" s="198"/>
      <c r="KN146" s="198"/>
      <c r="KO146" s="198"/>
      <c r="KP146" s="198"/>
      <c r="KQ146" s="198"/>
      <c r="KR146" s="198"/>
      <c r="KS146" s="198"/>
      <c r="KT146" s="198"/>
      <c r="KU146" s="198"/>
      <c r="KV146" s="198"/>
      <c r="KW146" s="198"/>
      <c r="KX146" s="198"/>
      <c r="KY146" s="198"/>
      <c r="KZ146" s="198"/>
      <c r="LA146" s="198"/>
      <c r="LB146" s="198"/>
      <c r="LC146" s="198"/>
      <c r="LD146" s="198"/>
      <c r="LE146" s="198"/>
      <c r="LF146" s="198"/>
      <c r="LG146" s="198"/>
      <c r="LH146" s="198"/>
      <c r="LI146" s="198"/>
      <c r="LJ146" s="198"/>
      <c r="LK146" s="198"/>
      <c r="LL146" s="198"/>
      <c r="LM146" s="198"/>
      <c r="LN146" s="198"/>
      <c r="LO146" s="198"/>
      <c r="LP146" s="198"/>
      <c r="LQ146" s="198"/>
      <c r="LR146" s="198"/>
      <c r="LS146" s="198"/>
      <c r="LT146" s="198"/>
      <c r="LU146" s="198"/>
      <c r="LV146" s="198"/>
      <c r="LW146" s="198"/>
      <c r="LX146" s="198"/>
      <c r="LY146" s="198"/>
      <c r="LZ146" s="198"/>
      <c r="MA146" s="198"/>
      <c r="MB146" s="198"/>
      <c r="MC146" s="198"/>
      <c r="MD146" s="198"/>
      <c r="ME146" s="198"/>
      <c r="MF146" s="198"/>
      <c r="MG146" s="198"/>
      <c r="MH146" s="198"/>
      <c r="MI146" s="198"/>
      <c r="MJ146" s="198"/>
      <c r="MK146" s="198"/>
      <c r="ML146" s="198"/>
      <c r="MM146" s="198"/>
      <c r="MN146" s="198"/>
      <c r="MO146" s="198"/>
      <c r="MP146" s="198"/>
      <c r="MQ146" s="198"/>
      <c r="MR146" s="198"/>
      <c r="MS146" s="198"/>
      <c r="MT146" s="198"/>
      <c r="MU146" s="198"/>
      <c r="MV146" s="198"/>
      <c r="MW146" s="198"/>
      <c r="MX146" s="198"/>
      <c r="MY146" s="198"/>
      <c r="MZ146" s="198"/>
      <c r="NA146" s="198"/>
      <c r="NB146" s="198"/>
      <c r="NC146" s="198"/>
      <c r="ND146" s="198"/>
      <c r="NE146" s="198"/>
      <c r="NF146" s="198"/>
      <c r="NG146" s="198"/>
      <c r="NH146" s="198"/>
      <c r="NI146" s="198"/>
      <c r="NJ146" s="198"/>
      <c r="NK146" s="198"/>
      <c r="NL146" s="198"/>
      <c r="NM146" s="198"/>
      <c r="NN146" s="198"/>
      <c r="NO146" s="198"/>
      <c r="NP146" s="198"/>
      <c r="NQ146" s="198"/>
      <c r="NR146" s="198"/>
      <c r="NS146" s="198"/>
      <c r="NT146" s="198"/>
      <c r="NU146" s="198"/>
      <c r="NV146" s="198"/>
      <c r="NW146" s="198"/>
      <c r="NX146" s="198"/>
      <c r="NY146" s="198"/>
      <c r="NZ146" s="198"/>
      <c r="OA146" s="198"/>
      <c r="OB146" s="198"/>
      <c r="OC146" s="198"/>
      <c r="OD146" s="198"/>
      <c r="OE146" s="198"/>
      <c r="OF146" s="198"/>
      <c r="OG146" s="198"/>
      <c r="OH146" s="198"/>
      <c r="OI146" s="198"/>
      <c r="OJ146" s="198"/>
      <c r="OK146" s="198"/>
      <c r="OL146" s="198"/>
      <c r="OM146" s="198"/>
      <c r="ON146" s="198"/>
      <c r="OO146" s="198"/>
      <c r="OP146" s="198"/>
      <c r="OQ146" s="198"/>
      <c r="OR146" s="198"/>
      <c r="OS146" s="198"/>
      <c r="OT146" s="198"/>
      <c r="OU146" s="198"/>
      <c r="OV146" s="198"/>
      <c r="OW146" s="198"/>
      <c r="OX146" s="198"/>
      <c r="OY146" s="198"/>
      <c r="OZ146" s="198"/>
      <c r="PA146" s="198"/>
      <c r="PB146" s="198"/>
      <c r="PC146" s="198"/>
      <c r="PD146" s="198"/>
      <c r="PE146" s="198"/>
      <c r="PF146" s="198"/>
      <c r="PG146" s="198"/>
      <c r="PH146" s="198"/>
      <c r="PI146" s="198"/>
      <c r="PJ146" s="198"/>
      <c r="PK146" s="198"/>
      <c r="PL146" s="198"/>
      <c r="PM146" s="198"/>
      <c r="PN146" s="198"/>
      <c r="PO146" s="198"/>
      <c r="PP146" s="198"/>
      <c r="PQ146" s="198"/>
      <c r="PR146" s="198"/>
      <c r="PS146" s="198"/>
      <c r="PT146" s="198"/>
      <c r="PU146" s="198"/>
      <c r="PV146" s="198"/>
      <c r="PW146" s="198"/>
      <c r="PX146" s="198"/>
      <c r="PY146" s="198"/>
      <c r="PZ146" s="198"/>
      <c r="QA146" s="198"/>
      <c r="QB146" s="198"/>
      <c r="QC146" s="198"/>
      <c r="QD146" s="198"/>
      <c r="QE146" s="198"/>
      <c r="QF146" s="198"/>
      <c r="QG146" s="198"/>
      <c r="QH146" s="198"/>
      <c r="QI146" s="198"/>
      <c r="QJ146" s="198"/>
      <c r="QK146" s="198"/>
      <c r="QL146" s="198"/>
      <c r="QM146" s="198"/>
      <c r="QN146" s="198"/>
      <c r="QO146" s="198"/>
      <c r="QP146" s="198"/>
      <c r="QQ146" s="198"/>
      <c r="QR146" s="198"/>
      <c r="QS146" s="198"/>
      <c r="QT146" s="198"/>
      <c r="QU146" s="198"/>
      <c r="QV146" s="198"/>
      <c r="QW146" s="198"/>
      <c r="QX146" s="198"/>
      <c r="QY146" s="198"/>
      <c r="QZ146" s="198"/>
      <c r="RA146" s="198"/>
      <c r="RB146" s="198"/>
      <c r="RC146" s="198"/>
      <c r="RD146" s="198"/>
      <c r="RE146" s="198"/>
      <c r="RF146" s="198"/>
      <c r="RG146" s="198"/>
      <c r="RH146" s="198"/>
      <c r="RI146" s="198"/>
      <c r="RJ146" s="198"/>
      <c r="RK146" s="198"/>
      <c r="RL146" s="198"/>
      <c r="RM146" s="198"/>
      <c r="RN146" s="198"/>
      <c r="RO146" s="198"/>
      <c r="RP146" s="198"/>
      <c r="RQ146" s="198"/>
      <c r="RR146" s="198"/>
      <c r="RS146" s="198"/>
      <c r="RT146" s="198"/>
      <c r="RU146" s="198"/>
      <c r="RV146" s="198"/>
      <c r="RW146" s="198"/>
      <c r="RX146" s="198"/>
      <c r="RY146" s="198"/>
      <c r="RZ146" s="198"/>
      <c r="SA146" s="198"/>
      <c r="SB146" s="198"/>
      <c r="SC146" s="198"/>
      <c r="SD146" s="198"/>
      <c r="SE146" s="198"/>
      <c r="SF146" s="198"/>
      <c r="SG146" s="198"/>
    </row>
    <row r="147" spans="1:501" ht="40.049999999999997" customHeight="1" x14ac:dyDescent="0.3">
      <c r="A147" s="543" t="s">
        <v>360</v>
      </c>
      <c r="B147" s="956" t="s">
        <v>361</v>
      </c>
      <c r="C147" s="950"/>
      <c r="D147" s="861"/>
      <c r="E147" s="862">
        <f>'MANZ. B'!R152</f>
        <v>0</v>
      </c>
      <c r="F147" s="861"/>
      <c r="G147" s="863">
        <f>MANZ.C!AK149</f>
        <v>0</v>
      </c>
      <c r="H147" s="861"/>
      <c r="I147" s="863">
        <f>MANZ.D!Y149</f>
        <v>0</v>
      </c>
      <c r="J147" s="861"/>
      <c r="K147" s="863">
        <f>MANZ.E!AK150</f>
        <v>0</v>
      </c>
      <c r="L147" s="861"/>
      <c r="M147" s="863">
        <f>MANZ.F!AA149</f>
        <v>0</v>
      </c>
      <c r="N147" s="861"/>
      <c r="O147" s="862">
        <f>MANZ.G!AS145</f>
        <v>18</v>
      </c>
      <c r="P147" s="861"/>
      <c r="Q147" s="863">
        <f>MANZ.H!U150</f>
        <v>0</v>
      </c>
      <c r="R147" s="861"/>
      <c r="S147" s="863">
        <f>MANZ.I!AA148</f>
        <v>0</v>
      </c>
      <c r="T147" s="861"/>
      <c r="U147" s="863">
        <f>MANZ.J!AT153</f>
        <v>0</v>
      </c>
      <c r="V147" s="861"/>
      <c r="W147" s="863">
        <f>MANZ.K!AA150</f>
        <v>0</v>
      </c>
      <c r="X147" s="861"/>
      <c r="Y147" s="863">
        <f>MANZ.L!Y150</f>
        <v>0</v>
      </c>
      <c r="Z147" s="861"/>
      <c r="AA147" s="862"/>
      <c r="AB147" s="864"/>
      <c r="AC147" s="864"/>
      <c r="AD147" s="864"/>
      <c r="AE147" s="864"/>
      <c r="AF147" s="861"/>
      <c r="AG147" s="865">
        <f>SUM(C147:AA147)</f>
        <v>18</v>
      </c>
      <c r="AH147" s="866"/>
      <c r="AI147" s="198"/>
      <c r="AJ147" s="198"/>
      <c r="AK147" s="198"/>
      <c r="AL147" s="198"/>
      <c r="AM147" s="198"/>
      <c r="AN147" s="198"/>
      <c r="AO147" s="198"/>
      <c r="AP147" s="198"/>
      <c r="AQ147" s="198"/>
      <c r="AR147" s="198"/>
      <c r="AS147" s="198"/>
      <c r="AT147" s="198"/>
      <c r="AU147" s="198"/>
      <c r="AV147" s="198"/>
      <c r="AW147" s="198"/>
      <c r="AX147" s="198"/>
      <c r="AY147" s="198"/>
      <c r="AZ147" s="198"/>
      <c r="BA147" s="198"/>
      <c r="BB147" s="198"/>
      <c r="BC147" s="198"/>
      <c r="BD147" s="198"/>
      <c r="BE147" s="198"/>
      <c r="BF147" s="198"/>
      <c r="BG147" s="198"/>
      <c r="BH147" s="198"/>
      <c r="BI147" s="198"/>
      <c r="BJ147" s="198"/>
      <c r="BK147" s="198"/>
      <c r="BL147" s="198"/>
      <c r="BM147" s="198"/>
      <c r="BN147" s="198"/>
      <c r="BO147" s="198"/>
      <c r="BP147" s="198"/>
      <c r="BQ147" s="198"/>
      <c r="BR147" s="198"/>
      <c r="BS147" s="198"/>
      <c r="BT147" s="198"/>
      <c r="BU147" s="198"/>
      <c r="BV147" s="198"/>
      <c r="BW147" s="198"/>
      <c r="BX147" s="198"/>
      <c r="BY147" s="198"/>
      <c r="BZ147" s="198"/>
      <c r="CA147" s="198"/>
      <c r="CB147" s="198"/>
      <c r="CC147" s="198"/>
      <c r="CD147" s="198"/>
      <c r="CE147" s="198"/>
      <c r="CF147" s="198"/>
      <c r="CG147" s="198"/>
      <c r="CH147" s="198"/>
      <c r="CI147" s="198"/>
      <c r="CJ147" s="198"/>
      <c r="CK147" s="198"/>
      <c r="CL147" s="198"/>
      <c r="CM147" s="198"/>
      <c r="CN147" s="198"/>
      <c r="CO147" s="198"/>
      <c r="CP147" s="198"/>
      <c r="CQ147" s="198"/>
      <c r="CR147" s="198"/>
      <c r="CS147" s="198"/>
      <c r="CT147" s="198"/>
      <c r="CU147" s="198"/>
      <c r="CV147" s="198"/>
      <c r="CW147" s="198"/>
      <c r="CX147" s="198"/>
      <c r="CY147" s="198"/>
      <c r="CZ147" s="198"/>
      <c r="DA147" s="198"/>
      <c r="DB147" s="198"/>
      <c r="DC147" s="198"/>
      <c r="DD147" s="198"/>
      <c r="DE147" s="198"/>
      <c r="DF147" s="198"/>
      <c r="DG147" s="198"/>
      <c r="DH147" s="198"/>
      <c r="DI147" s="198"/>
      <c r="DJ147" s="198"/>
      <c r="DK147" s="198"/>
      <c r="DL147" s="198"/>
      <c r="DM147" s="198"/>
      <c r="DN147" s="198"/>
      <c r="DO147" s="198"/>
      <c r="DP147" s="198"/>
      <c r="DQ147" s="198"/>
      <c r="DR147" s="198"/>
      <c r="DS147" s="198"/>
      <c r="DT147" s="198"/>
      <c r="DU147" s="198"/>
      <c r="DV147" s="198"/>
      <c r="DW147" s="198"/>
      <c r="DX147" s="198"/>
      <c r="DY147" s="198"/>
      <c r="DZ147" s="198"/>
      <c r="EA147" s="198"/>
      <c r="EB147" s="198"/>
      <c r="EC147" s="198"/>
      <c r="ED147" s="198"/>
      <c r="EE147" s="198"/>
      <c r="EF147" s="198"/>
      <c r="EG147" s="198"/>
      <c r="EH147" s="198"/>
      <c r="EI147" s="198"/>
      <c r="EJ147" s="198"/>
      <c r="EK147" s="198"/>
      <c r="EL147" s="198"/>
      <c r="EM147" s="198"/>
      <c r="EN147" s="198"/>
      <c r="EO147" s="198"/>
      <c r="EP147" s="198"/>
      <c r="EQ147" s="198"/>
      <c r="ER147" s="198"/>
      <c r="ES147" s="198"/>
      <c r="ET147" s="198"/>
      <c r="EU147" s="198"/>
      <c r="EV147" s="198"/>
      <c r="EW147" s="198"/>
      <c r="EX147" s="198"/>
      <c r="EY147" s="198"/>
      <c r="EZ147" s="198"/>
      <c r="FA147" s="198"/>
      <c r="FB147" s="198"/>
      <c r="FC147" s="198"/>
      <c r="FD147" s="198"/>
      <c r="FE147" s="198"/>
      <c r="FF147" s="198"/>
      <c r="FG147" s="198"/>
      <c r="FH147" s="198"/>
      <c r="FI147" s="198"/>
      <c r="FJ147" s="198"/>
      <c r="FK147" s="198"/>
      <c r="FL147" s="198"/>
      <c r="FM147" s="198"/>
      <c r="FN147" s="198"/>
      <c r="FO147" s="198"/>
      <c r="FP147" s="198"/>
      <c r="FQ147" s="198"/>
      <c r="FR147" s="198"/>
      <c r="FS147" s="198"/>
      <c r="FT147" s="198"/>
      <c r="FU147" s="198"/>
      <c r="FV147" s="198"/>
      <c r="FW147" s="198"/>
      <c r="FX147" s="198"/>
      <c r="FY147" s="198"/>
      <c r="FZ147" s="198"/>
      <c r="GA147" s="198"/>
      <c r="GB147" s="198"/>
      <c r="GC147" s="198"/>
      <c r="GD147" s="198"/>
      <c r="GE147" s="198"/>
      <c r="GF147" s="198"/>
      <c r="GG147" s="198"/>
      <c r="GH147" s="198"/>
      <c r="GI147" s="198"/>
      <c r="GJ147" s="198"/>
      <c r="GK147" s="198"/>
      <c r="GL147" s="198"/>
      <c r="GM147" s="198"/>
      <c r="GN147" s="198"/>
      <c r="GO147" s="198"/>
      <c r="GP147" s="198"/>
      <c r="GQ147" s="198"/>
      <c r="GR147" s="198"/>
      <c r="GS147" s="198"/>
      <c r="GT147" s="198"/>
      <c r="GU147" s="198"/>
      <c r="GV147" s="198"/>
      <c r="GW147" s="198"/>
      <c r="GX147" s="198"/>
      <c r="GY147" s="198"/>
      <c r="GZ147" s="198"/>
      <c r="HA147" s="198"/>
      <c r="HB147" s="198"/>
      <c r="HC147" s="198"/>
      <c r="HD147" s="198"/>
      <c r="HE147" s="198"/>
      <c r="HF147" s="198"/>
      <c r="HG147" s="198"/>
      <c r="HH147" s="198"/>
      <c r="HI147" s="198"/>
      <c r="HJ147" s="198"/>
      <c r="HK147" s="198"/>
      <c r="HL147" s="198"/>
      <c r="HM147" s="198"/>
      <c r="HN147" s="198"/>
      <c r="HO147" s="198"/>
      <c r="HP147" s="198"/>
      <c r="HQ147" s="198"/>
      <c r="HR147" s="198"/>
      <c r="HS147" s="198"/>
      <c r="HT147" s="198"/>
      <c r="HU147" s="198"/>
      <c r="HV147" s="198"/>
      <c r="HW147" s="198"/>
      <c r="HX147" s="198"/>
      <c r="HY147" s="198"/>
      <c r="HZ147" s="198"/>
      <c r="IA147" s="198"/>
      <c r="IB147" s="198"/>
      <c r="IC147" s="198"/>
      <c r="ID147" s="198"/>
      <c r="IE147" s="198"/>
      <c r="IF147" s="198"/>
      <c r="IG147" s="198"/>
      <c r="IH147" s="198"/>
      <c r="II147" s="198"/>
      <c r="IJ147" s="198"/>
      <c r="IK147" s="198"/>
      <c r="IL147" s="198"/>
      <c r="IM147" s="198"/>
      <c r="IN147" s="198"/>
      <c r="IO147" s="198"/>
      <c r="IP147" s="198"/>
      <c r="IQ147" s="198"/>
      <c r="IR147" s="198"/>
      <c r="IS147" s="198"/>
      <c r="IT147" s="198"/>
      <c r="IU147" s="198"/>
      <c r="IV147" s="198"/>
      <c r="IW147" s="198"/>
      <c r="IX147" s="198"/>
      <c r="IY147" s="198"/>
      <c r="IZ147" s="198"/>
      <c r="JA147" s="198"/>
      <c r="JB147" s="198"/>
      <c r="JC147" s="198"/>
      <c r="JD147" s="198"/>
      <c r="JE147" s="198"/>
      <c r="JF147" s="198"/>
      <c r="JG147" s="198"/>
      <c r="JH147" s="198"/>
      <c r="JI147" s="198"/>
      <c r="JJ147" s="198"/>
      <c r="JK147" s="198"/>
      <c r="JL147" s="198"/>
      <c r="JM147" s="198"/>
      <c r="JN147" s="198"/>
      <c r="JO147" s="198"/>
      <c r="JP147" s="198"/>
      <c r="JQ147" s="198"/>
      <c r="JR147" s="198"/>
      <c r="JS147" s="198"/>
      <c r="JT147" s="198"/>
      <c r="JU147" s="198"/>
      <c r="JV147" s="198"/>
      <c r="JW147" s="198"/>
      <c r="JX147" s="198"/>
      <c r="JY147" s="198"/>
      <c r="JZ147" s="198"/>
      <c r="KA147" s="198"/>
      <c r="KB147" s="198"/>
      <c r="KC147" s="198"/>
      <c r="KD147" s="198"/>
      <c r="KE147" s="198"/>
      <c r="KF147" s="198"/>
      <c r="KG147" s="198"/>
      <c r="KH147" s="198"/>
      <c r="KI147" s="198"/>
      <c r="KJ147" s="198"/>
      <c r="KK147" s="198"/>
      <c r="KL147" s="198"/>
      <c r="KM147" s="198"/>
      <c r="KN147" s="198"/>
      <c r="KO147" s="198"/>
      <c r="KP147" s="198"/>
      <c r="KQ147" s="198"/>
      <c r="KR147" s="198"/>
      <c r="KS147" s="198"/>
      <c r="KT147" s="198"/>
      <c r="KU147" s="198"/>
      <c r="KV147" s="198"/>
      <c r="KW147" s="198"/>
      <c r="KX147" s="198"/>
      <c r="KY147" s="198"/>
      <c r="KZ147" s="198"/>
      <c r="LA147" s="198"/>
      <c r="LB147" s="198"/>
      <c r="LC147" s="198"/>
      <c r="LD147" s="198"/>
      <c r="LE147" s="198"/>
      <c r="LF147" s="198"/>
      <c r="LG147" s="198"/>
      <c r="LH147" s="198"/>
      <c r="LI147" s="198"/>
      <c r="LJ147" s="198"/>
      <c r="LK147" s="198"/>
      <c r="LL147" s="198"/>
      <c r="LM147" s="198"/>
      <c r="LN147" s="198"/>
      <c r="LO147" s="198"/>
      <c r="LP147" s="198"/>
      <c r="LQ147" s="198"/>
      <c r="LR147" s="198"/>
      <c r="LS147" s="198"/>
      <c r="LT147" s="198"/>
      <c r="LU147" s="198"/>
      <c r="LV147" s="198"/>
      <c r="LW147" s="198"/>
      <c r="LX147" s="198"/>
      <c r="LY147" s="198"/>
      <c r="LZ147" s="198"/>
      <c r="MA147" s="198"/>
      <c r="MB147" s="198"/>
      <c r="MC147" s="198"/>
      <c r="MD147" s="198"/>
      <c r="ME147" s="198"/>
      <c r="MF147" s="198"/>
      <c r="MG147" s="198"/>
      <c r="MH147" s="198"/>
      <c r="MI147" s="198"/>
      <c r="MJ147" s="198"/>
      <c r="MK147" s="198"/>
      <c r="ML147" s="198"/>
      <c r="MM147" s="198"/>
      <c r="MN147" s="198"/>
      <c r="MO147" s="198"/>
      <c r="MP147" s="198"/>
      <c r="MQ147" s="198"/>
      <c r="MR147" s="198"/>
      <c r="MS147" s="198"/>
      <c r="MT147" s="198"/>
      <c r="MU147" s="198"/>
      <c r="MV147" s="198"/>
      <c r="MW147" s="198"/>
      <c r="MX147" s="198"/>
      <c r="MY147" s="198"/>
      <c r="MZ147" s="198"/>
      <c r="NA147" s="198"/>
      <c r="NB147" s="198"/>
      <c r="NC147" s="198"/>
      <c r="ND147" s="198"/>
      <c r="NE147" s="198"/>
      <c r="NF147" s="198"/>
      <c r="NG147" s="198"/>
      <c r="NH147" s="198"/>
      <c r="NI147" s="198"/>
      <c r="NJ147" s="198"/>
      <c r="NK147" s="198"/>
      <c r="NL147" s="198"/>
      <c r="NM147" s="198"/>
      <c r="NN147" s="198"/>
      <c r="NO147" s="198"/>
      <c r="NP147" s="198"/>
      <c r="NQ147" s="198"/>
      <c r="NR147" s="198"/>
      <c r="NS147" s="198"/>
      <c r="NT147" s="198"/>
      <c r="NU147" s="198"/>
      <c r="NV147" s="198"/>
      <c r="NW147" s="198"/>
      <c r="NX147" s="198"/>
      <c r="NY147" s="198"/>
      <c r="NZ147" s="198"/>
      <c r="OA147" s="198"/>
      <c r="OB147" s="198"/>
      <c r="OC147" s="198"/>
      <c r="OD147" s="198"/>
      <c r="OE147" s="198"/>
      <c r="OF147" s="198"/>
      <c r="OG147" s="198"/>
      <c r="OH147" s="198"/>
      <c r="OI147" s="198"/>
      <c r="OJ147" s="198"/>
      <c r="OK147" s="198"/>
      <c r="OL147" s="198"/>
      <c r="OM147" s="198"/>
      <c r="ON147" s="198"/>
      <c r="OO147" s="198"/>
      <c r="OP147" s="198"/>
      <c r="OQ147" s="198"/>
      <c r="OR147" s="198"/>
      <c r="OS147" s="198"/>
      <c r="OT147" s="198"/>
      <c r="OU147" s="198"/>
      <c r="OV147" s="198"/>
      <c r="OW147" s="198"/>
      <c r="OX147" s="198"/>
      <c r="OY147" s="198"/>
      <c r="OZ147" s="198"/>
      <c r="PA147" s="198"/>
      <c r="PB147" s="198"/>
      <c r="PC147" s="198"/>
      <c r="PD147" s="198"/>
      <c r="PE147" s="198"/>
      <c r="PF147" s="198"/>
      <c r="PG147" s="198"/>
      <c r="PH147" s="198"/>
      <c r="PI147" s="198"/>
      <c r="PJ147" s="198"/>
      <c r="PK147" s="198"/>
      <c r="PL147" s="198"/>
      <c r="PM147" s="198"/>
      <c r="PN147" s="198"/>
      <c r="PO147" s="198"/>
      <c r="PP147" s="198"/>
      <c r="PQ147" s="198"/>
      <c r="PR147" s="198"/>
      <c r="PS147" s="198"/>
      <c r="PT147" s="198"/>
      <c r="PU147" s="198"/>
      <c r="PV147" s="198"/>
      <c r="PW147" s="198"/>
      <c r="PX147" s="198"/>
      <c r="PY147" s="198"/>
      <c r="PZ147" s="198"/>
      <c r="QA147" s="198"/>
      <c r="QB147" s="198"/>
      <c r="QC147" s="198"/>
      <c r="QD147" s="198"/>
      <c r="QE147" s="198"/>
      <c r="QF147" s="198"/>
      <c r="QG147" s="198"/>
      <c r="QH147" s="198"/>
      <c r="QI147" s="198"/>
      <c r="QJ147" s="198"/>
      <c r="QK147" s="198"/>
      <c r="QL147" s="198"/>
      <c r="QM147" s="198"/>
      <c r="QN147" s="198"/>
      <c r="QO147" s="198"/>
      <c r="QP147" s="198"/>
      <c r="QQ147" s="198"/>
      <c r="QR147" s="198"/>
      <c r="QS147" s="198"/>
      <c r="QT147" s="198"/>
      <c r="QU147" s="198"/>
      <c r="QV147" s="198"/>
      <c r="QW147" s="198"/>
      <c r="QX147" s="198"/>
      <c r="QY147" s="198"/>
      <c r="QZ147" s="198"/>
      <c r="RA147" s="198"/>
      <c r="RB147" s="198"/>
      <c r="RC147" s="198"/>
      <c r="RD147" s="198"/>
      <c r="RE147" s="198"/>
      <c r="RF147" s="198"/>
      <c r="RG147" s="198"/>
      <c r="RH147" s="198"/>
      <c r="RI147" s="198"/>
      <c r="RJ147" s="198"/>
      <c r="RK147" s="198"/>
      <c r="RL147" s="198"/>
      <c r="RM147" s="198"/>
      <c r="RN147" s="198"/>
      <c r="RO147" s="198"/>
      <c r="RP147" s="198"/>
      <c r="RQ147" s="198"/>
      <c r="RR147" s="198"/>
      <c r="RS147" s="198"/>
      <c r="RT147" s="198"/>
      <c r="RU147" s="198"/>
      <c r="RV147" s="198"/>
      <c r="RW147" s="198"/>
      <c r="RX147" s="198"/>
      <c r="RY147" s="198"/>
      <c r="RZ147" s="198"/>
      <c r="SA147" s="198"/>
      <c r="SB147" s="198"/>
      <c r="SC147" s="198"/>
      <c r="SD147" s="198"/>
      <c r="SE147" s="198"/>
      <c r="SF147" s="198"/>
      <c r="SG147" s="198"/>
    </row>
    <row r="148" spans="1:501" ht="40.049999999999997" customHeight="1" thickBot="1" x14ac:dyDescent="0.35">
      <c r="A148" s="543" t="s">
        <v>362</v>
      </c>
      <c r="B148" s="956" t="s">
        <v>363</v>
      </c>
      <c r="C148" s="950"/>
      <c r="D148" s="861"/>
      <c r="E148" s="862">
        <f>'MANZ. B'!Q153</f>
        <v>0</v>
      </c>
      <c r="F148" s="861"/>
      <c r="G148" s="863">
        <f>MANZ.C!AK150</f>
        <v>0</v>
      </c>
      <c r="H148" s="861"/>
      <c r="I148" s="863">
        <f>MANZ.D!Y150</f>
        <v>0</v>
      </c>
      <c r="J148" s="861"/>
      <c r="K148" s="862">
        <f>MANZ.E!AK151</f>
        <v>0</v>
      </c>
      <c r="L148" s="861"/>
      <c r="M148" s="862">
        <f>MANZ.F!AA150</f>
        <v>0</v>
      </c>
      <c r="N148" s="861"/>
      <c r="O148" s="862">
        <f>MANZ.G!AS146</f>
        <v>0</v>
      </c>
      <c r="P148" s="861"/>
      <c r="Q148" s="862">
        <f>MANZ.H!U151</f>
        <v>0</v>
      </c>
      <c r="R148" s="861"/>
      <c r="S148" s="862">
        <f>MANZ.I!AA149</f>
        <v>0</v>
      </c>
      <c r="T148" s="861"/>
      <c r="U148" s="862"/>
      <c r="V148" s="861"/>
      <c r="W148" s="862">
        <f>MANZ.K!AA151</f>
        <v>0</v>
      </c>
      <c r="X148" s="861"/>
      <c r="Y148" s="862">
        <f>MANZ.L!Y151</f>
        <v>0</v>
      </c>
      <c r="Z148" s="861"/>
      <c r="AA148" s="862"/>
      <c r="AB148" s="864"/>
      <c r="AC148" s="864"/>
      <c r="AD148" s="864"/>
      <c r="AE148" s="864"/>
      <c r="AF148" s="861"/>
      <c r="AG148" s="865">
        <f>SUM(C148:AA148)</f>
        <v>0</v>
      </c>
      <c r="AH148" s="866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  <c r="AS148" s="198"/>
      <c r="AT148" s="198"/>
      <c r="AU148" s="198"/>
      <c r="AV148" s="198"/>
      <c r="AW148" s="198"/>
      <c r="AX148" s="198"/>
      <c r="AY148" s="198"/>
      <c r="AZ148" s="198"/>
      <c r="BA148" s="198"/>
      <c r="BB148" s="198"/>
      <c r="BC148" s="198"/>
      <c r="BD148" s="198"/>
      <c r="BE148" s="198"/>
      <c r="BF148" s="198"/>
      <c r="BG148" s="198"/>
      <c r="BH148" s="198"/>
      <c r="BI148" s="198"/>
      <c r="BJ148" s="198"/>
      <c r="BK148" s="198"/>
      <c r="BL148" s="198"/>
      <c r="BM148" s="198"/>
      <c r="BN148" s="198"/>
      <c r="BO148" s="198"/>
      <c r="BP148" s="198"/>
      <c r="BQ148" s="198"/>
      <c r="BR148" s="198"/>
      <c r="BS148" s="198"/>
      <c r="BT148" s="198"/>
      <c r="BU148" s="198"/>
      <c r="BV148" s="198"/>
      <c r="BW148" s="198"/>
      <c r="BX148" s="198"/>
      <c r="BY148" s="198"/>
      <c r="BZ148" s="198"/>
      <c r="CA148" s="198"/>
      <c r="CB148" s="198"/>
      <c r="CC148" s="198"/>
      <c r="CD148" s="198"/>
      <c r="CE148" s="198"/>
      <c r="CF148" s="198"/>
      <c r="CG148" s="198"/>
      <c r="CH148" s="198"/>
      <c r="CI148" s="198"/>
      <c r="CJ148" s="198"/>
      <c r="CK148" s="198"/>
      <c r="CL148" s="198"/>
      <c r="CM148" s="198"/>
      <c r="CN148" s="198"/>
      <c r="CO148" s="198"/>
      <c r="CP148" s="198"/>
      <c r="CQ148" s="198"/>
      <c r="CR148" s="198"/>
      <c r="CS148" s="198"/>
      <c r="CT148" s="198"/>
      <c r="CU148" s="198"/>
      <c r="CV148" s="198"/>
      <c r="CW148" s="198"/>
      <c r="CX148" s="198"/>
      <c r="CY148" s="198"/>
      <c r="CZ148" s="198"/>
      <c r="DA148" s="198"/>
      <c r="DB148" s="198"/>
      <c r="DC148" s="198"/>
      <c r="DD148" s="198"/>
      <c r="DE148" s="198"/>
      <c r="DF148" s="198"/>
      <c r="DG148" s="198"/>
      <c r="DH148" s="198"/>
      <c r="DI148" s="198"/>
      <c r="DJ148" s="198"/>
      <c r="DK148" s="198"/>
      <c r="DL148" s="198"/>
      <c r="DM148" s="198"/>
      <c r="DN148" s="198"/>
      <c r="DO148" s="198"/>
      <c r="DP148" s="198"/>
      <c r="DQ148" s="198"/>
      <c r="DR148" s="198"/>
      <c r="DS148" s="198"/>
      <c r="DT148" s="198"/>
      <c r="DU148" s="198"/>
      <c r="DV148" s="198"/>
      <c r="DW148" s="198"/>
      <c r="DX148" s="198"/>
      <c r="DY148" s="198"/>
      <c r="DZ148" s="198"/>
      <c r="EA148" s="198"/>
      <c r="EB148" s="198"/>
      <c r="EC148" s="198"/>
      <c r="ED148" s="198"/>
      <c r="EE148" s="198"/>
      <c r="EF148" s="198"/>
      <c r="EG148" s="198"/>
      <c r="EH148" s="198"/>
      <c r="EI148" s="198"/>
      <c r="EJ148" s="198"/>
      <c r="EK148" s="198"/>
      <c r="EL148" s="198"/>
      <c r="EM148" s="198"/>
      <c r="EN148" s="198"/>
      <c r="EO148" s="198"/>
      <c r="EP148" s="198"/>
      <c r="EQ148" s="198"/>
      <c r="ER148" s="198"/>
      <c r="ES148" s="198"/>
      <c r="ET148" s="198"/>
      <c r="EU148" s="198"/>
      <c r="EV148" s="198"/>
      <c r="EW148" s="198"/>
      <c r="EX148" s="198"/>
      <c r="EY148" s="198"/>
      <c r="EZ148" s="198"/>
      <c r="FA148" s="198"/>
      <c r="FB148" s="198"/>
      <c r="FC148" s="198"/>
      <c r="FD148" s="198"/>
      <c r="FE148" s="198"/>
      <c r="FF148" s="198"/>
      <c r="FG148" s="198"/>
      <c r="FH148" s="198"/>
      <c r="FI148" s="198"/>
      <c r="FJ148" s="198"/>
      <c r="FK148" s="198"/>
      <c r="FL148" s="198"/>
      <c r="FM148" s="198"/>
      <c r="FN148" s="198"/>
      <c r="FO148" s="198"/>
      <c r="FP148" s="198"/>
      <c r="FQ148" s="198"/>
      <c r="FR148" s="198"/>
      <c r="FS148" s="198"/>
      <c r="FT148" s="198"/>
      <c r="FU148" s="198"/>
      <c r="FV148" s="198"/>
      <c r="FW148" s="198"/>
      <c r="FX148" s="198"/>
      <c r="FY148" s="198"/>
      <c r="FZ148" s="198"/>
      <c r="GA148" s="198"/>
      <c r="GB148" s="198"/>
      <c r="GC148" s="198"/>
      <c r="GD148" s="198"/>
      <c r="GE148" s="198"/>
      <c r="GF148" s="198"/>
      <c r="GG148" s="198"/>
      <c r="GH148" s="198"/>
      <c r="GI148" s="198"/>
      <c r="GJ148" s="198"/>
      <c r="GK148" s="198"/>
      <c r="GL148" s="198"/>
      <c r="GM148" s="198"/>
      <c r="GN148" s="198"/>
      <c r="GO148" s="198"/>
      <c r="GP148" s="198"/>
      <c r="GQ148" s="198"/>
      <c r="GR148" s="198"/>
      <c r="GS148" s="198"/>
      <c r="GT148" s="198"/>
      <c r="GU148" s="198"/>
      <c r="GV148" s="198"/>
      <c r="GW148" s="198"/>
      <c r="GX148" s="198"/>
      <c r="GY148" s="198"/>
      <c r="GZ148" s="198"/>
      <c r="HA148" s="198"/>
      <c r="HB148" s="198"/>
      <c r="HC148" s="198"/>
      <c r="HD148" s="198"/>
      <c r="HE148" s="198"/>
      <c r="HF148" s="198"/>
      <c r="HG148" s="198"/>
      <c r="HH148" s="198"/>
      <c r="HI148" s="198"/>
      <c r="HJ148" s="198"/>
      <c r="HK148" s="198"/>
      <c r="HL148" s="198"/>
      <c r="HM148" s="198"/>
      <c r="HN148" s="198"/>
      <c r="HO148" s="198"/>
      <c r="HP148" s="198"/>
      <c r="HQ148" s="198"/>
      <c r="HR148" s="198"/>
      <c r="HS148" s="198"/>
      <c r="HT148" s="198"/>
      <c r="HU148" s="198"/>
      <c r="HV148" s="198"/>
      <c r="HW148" s="198"/>
      <c r="HX148" s="198"/>
      <c r="HY148" s="198"/>
      <c r="HZ148" s="198"/>
      <c r="IA148" s="198"/>
      <c r="IB148" s="198"/>
      <c r="IC148" s="198"/>
      <c r="ID148" s="198"/>
      <c r="IE148" s="198"/>
      <c r="IF148" s="198"/>
      <c r="IG148" s="198"/>
      <c r="IH148" s="198"/>
      <c r="II148" s="198"/>
      <c r="IJ148" s="198"/>
      <c r="IK148" s="198"/>
      <c r="IL148" s="198"/>
      <c r="IM148" s="198"/>
      <c r="IN148" s="198"/>
      <c r="IO148" s="198"/>
      <c r="IP148" s="198"/>
      <c r="IQ148" s="198"/>
      <c r="IR148" s="198"/>
      <c r="IS148" s="198"/>
      <c r="IT148" s="198"/>
      <c r="IU148" s="198"/>
      <c r="IV148" s="198"/>
      <c r="IW148" s="198"/>
      <c r="IX148" s="198"/>
      <c r="IY148" s="198"/>
      <c r="IZ148" s="198"/>
      <c r="JA148" s="198"/>
      <c r="JB148" s="198"/>
      <c r="JC148" s="198"/>
      <c r="JD148" s="198"/>
      <c r="JE148" s="198"/>
      <c r="JF148" s="198"/>
      <c r="JG148" s="198"/>
      <c r="JH148" s="198"/>
      <c r="JI148" s="198"/>
      <c r="JJ148" s="198"/>
      <c r="JK148" s="198"/>
      <c r="JL148" s="198"/>
      <c r="JM148" s="198"/>
      <c r="JN148" s="198"/>
      <c r="JO148" s="198"/>
      <c r="JP148" s="198"/>
      <c r="JQ148" s="198"/>
      <c r="JR148" s="198"/>
      <c r="JS148" s="198"/>
      <c r="JT148" s="198"/>
      <c r="JU148" s="198"/>
      <c r="JV148" s="198"/>
      <c r="JW148" s="198"/>
      <c r="JX148" s="198"/>
      <c r="JY148" s="198"/>
      <c r="JZ148" s="198"/>
      <c r="KA148" s="198"/>
      <c r="KB148" s="198"/>
      <c r="KC148" s="198"/>
      <c r="KD148" s="198"/>
      <c r="KE148" s="198"/>
      <c r="KF148" s="198"/>
      <c r="KG148" s="198"/>
      <c r="KH148" s="198"/>
      <c r="KI148" s="198"/>
      <c r="KJ148" s="198"/>
      <c r="KK148" s="198"/>
      <c r="KL148" s="198"/>
      <c r="KM148" s="198"/>
      <c r="KN148" s="198"/>
      <c r="KO148" s="198"/>
      <c r="KP148" s="198"/>
      <c r="KQ148" s="198"/>
      <c r="KR148" s="198"/>
      <c r="KS148" s="198"/>
      <c r="KT148" s="198"/>
      <c r="KU148" s="198"/>
      <c r="KV148" s="198"/>
      <c r="KW148" s="198"/>
      <c r="KX148" s="198"/>
      <c r="KY148" s="198"/>
      <c r="KZ148" s="198"/>
      <c r="LA148" s="198"/>
      <c r="LB148" s="198"/>
      <c r="LC148" s="198"/>
      <c r="LD148" s="198"/>
      <c r="LE148" s="198"/>
      <c r="LF148" s="198"/>
      <c r="LG148" s="198"/>
      <c r="LH148" s="198"/>
      <c r="LI148" s="198"/>
      <c r="LJ148" s="198"/>
      <c r="LK148" s="198"/>
      <c r="LL148" s="198"/>
      <c r="LM148" s="198"/>
      <c r="LN148" s="198"/>
      <c r="LO148" s="198"/>
      <c r="LP148" s="198"/>
      <c r="LQ148" s="198"/>
      <c r="LR148" s="198"/>
      <c r="LS148" s="198"/>
      <c r="LT148" s="198"/>
      <c r="LU148" s="198"/>
      <c r="LV148" s="198"/>
      <c r="LW148" s="198"/>
      <c r="LX148" s="198"/>
      <c r="LY148" s="198"/>
      <c r="LZ148" s="198"/>
      <c r="MA148" s="198"/>
      <c r="MB148" s="198"/>
      <c r="MC148" s="198"/>
      <c r="MD148" s="198"/>
      <c r="ME148" s="198"/>
      <c r="MF148" s="198"/>
      <c r="MG148" s="198"/>
      <c r="MH148" s="198"/>
      <c r="MI148" s="198"/>
      <c r="MJ148" s="198"/>
      <c r="MK148" s="198"/>
      <c r="ML148" s="198"/>
      <c r="MM148" s="198"/>
      <c r="MN148" s="198"/>
      <c r="MO148" s="198"/>
      <c r="MP148" s="198"/>
      <c r="MQ148" s="198"/>
      <c r="MR148" s="198"/>
      <c r="MS148" s="198"/>
      <c r="MT148" s="198"/>
      <c r="MU148" s="198"/>
      <c r="MV148" s="198"/>
      <c r="MW148" s="198"/>
      <c r="MX148" s="198"/>
      <c r="MY148" s="198"/>
      <c r="MZ148" s="198"/>
      <c r="NA148" s="198"/>
      <c r="NB148" s="198"/>
      <c r="NC148" s="198"/>
      <c r="ND148" s="198"/>
      <c r="NE148" s="198"/>
      <c r="NF148" s="198"/>
      <c r="NG148" s="198"/>
      <c r="NH148" s="198"/>
      <c r="NI148" s="198"/>
      <c r="NJ148" s="198"/>
      <c r="NK148" s="198"/>
      <c r="NL148" s="198"/>
      <c r="NM148" s="198"/>
      <c r="NN148" s="198"/>
      <c r="NO148" s="198"/>
      <c r="NP148" s="198"/>
      <c r="NQ148" s="198"/>
      <c r="NR148" s="198"/>
      <c r="NS148" s="198"/>
      <c r="NT148" s="198"/>
      <c r="NU148" s="198"/>
      <c r="NV148" s="198"/>
      <c r="NW148" s="198"/>
      <c r="NX148" s="198"/>
      <c r="NY148" s="198"/>
      <c r="NZ148" s="198"/>
      <c r="OA148" s="198"/>
      <c r="OB148" s="198"/>
      <c r="OC148" s="198"/>
      <c r="OD148" s="198"/>
      <c r="OE148" s="198"/>
      <c r="OF148" s="198"/>
      <c r="OG148" s="198"/>
      <c r="OH148" s="198"/>
      <c r="OI148" s="198"/>
      <c r="OJ148" s="198"/>
      <c r="OK148" s="198"/>
      <c r="OL148" s="198"/>
      <c r="OM148" s="198"/>
      <c r="ON148" s="198"/>
      <c r="OO148" s="198"/>
      <c r="OP148" s="198"/>
      <c r="OQ148" s="198"/>
      <c r="OR148" s="198"/>
      <c r="OS148" s="198"/>
      <c r="OT148" s="198"/>
      <c r="OU148" s="198"/>
      <c r="OV148" s="198"/>
      <c r="OW148" s="198"/>
      <c r="OX148" s="198"/>
      <c r="OY148" s="198"/>
      <c r="OZ148" s="198"/>
      <c r="PA148" s="198"/>
      <c r="PB148" s="198"/>
      <c r="PC148" s="198"/>
      <c r="PD148" s="198"/>
      <c r="PE148" s="198"/>
      <c r="PF148" s="198"/>
      <c r="PG148" s="198"/>
      <c r="PH148" s="198"/>
      <c r="PI148" s="198"/>
      <c r="PJ148" s="198"/>
      <c r="PK148" s="198"/>
      <c r="PL148" s="198"/>
      <c r="PM148" s="198"/>
      <c r="PN148" s="198"/>
      <c r="PO148" s="198"/>
      <c r="PP148" s="198"/>
      <c r="PQ148" s="198"/>
      <c r="PR148" s="198"/>
      <c r="PS148" s="198"/>
      <c r="PT148" s="198"/>
      <c r="PU148" s="198"/>
      <c r="PV148" s="198"/>
      <c r="PW148" s="198"/>
      <c r="PX148" s="198"/>
      <c r="PY148" s="198"/>
      <c r="PZ148" s="198"/>
      <c r="QA148" s="198"/>
      <c r="QB148" s="198"/>
      <c r="QC148" s="198"/>
      <c r="QD148" s="198"/>
      <c r="QE148" s="198"/>
      <c r="QF148" s="198"/>
      <c r="QG148" s="198"/>
      <c r="QH148" s="198"/>
      <c r="QI148" s="198"/>
      <c r="QJ148" s="198"/>
      <c r="QK148" s="198"/>
      <c r="QL148" s="198"/>
      <c r="QM148" s="198"/>
      <c r="QN148" s="198"/>
      <c r="QO148" s="198"/>
      <c r="QP148" s="198"/>
      <c r="QQ148" s="198"/>
      <c r="QR148" s="198"/>
      <c r="QS148" s="198"/>
      <c r="QT148" s="198"/>
      <c r="QU148" s="198"/>
      <c r="QV148" s="198"/>
      <c r="QW148" s="198"/>
      <c r="QX148" s="198"/>
      <c r="QY148" s="198"/>
      <c r="QZ148" s="198"/>
      <c r="RA148" s="198"/>
      <c r="RB148" s="198"/>
      <c r="RC148" s="198"/>
      <c r="RD148" s="198"/>
      <c r="RE148" s="198"/>
      <c r="RF148" s="198"/>
      <c r="RG148" s="198"/>
      <c r="RH148" s="198"/>
      <c r="RI148" s="198"/>
      <c r="RJ148" s="198"/>
      <c r="RK148" s="198"/>
      <c r="RL148" s="198"/>
      <c r="RM148" s="198"/>
      <c r="RN148" s="198"/>
      <c r="RO148" s="198"/>
      <c r="RP148" s="198"/>
      <c r="RQ148" s="198"/>
      <c r="RR148" s="198"/>
      <c r="RS148" s="198"/>
      <c r="RT148" s="198"/>
      <c r="RU148" s="198"/>
      <c r="RV148" s="198"/>
      <c r="RW148" s="198"/>
      <c r="RX148" s="198"/>
      <c r="RY148" s="198"/>
      <c r="RZ148" s="198"/>
      <c r="SA148" s="198"/>
      <c r="SB148" s="198"/>
      <c r="SC148" s="198"/>
      <c r="SD148" s="198"/>
      <c r="SE148" s="198"/>
      <c r="SF148" s="198"/>
      <c r="SG148" s="198"/>
    </row>
    <row r="149" spans="1:501" ht="40.049999999999997" customHeight="1" x14ac:dyDescent="0.3">
      <c r="A149" s="542" t="s">
        <v>364</v>
      </c>
      <c r="B149" s="953" t="s">
        <v>365</v>
      </c>
      <c r="C149" s="944"/>
      <c r="D149" s="944"/>
      <c r="E149" s="944"/>
      <c r="F149" s="944"/>
      <c r="G149" s="944"/>
      <c r="H149" s="944"/>
      <c r="I149" s="944"/>
      <c r="J149" s="944"/>
      <c r="K149" s="944"/>
      <c r="L149" s="944"/>
      <c r="M149" s="944"/>
      <c r="N149" s="944"/>
      <c r="O149" s="944"/>
      <c r="P149" s="944"/>
      <c r="Q149" s="944"/>
      <c r="R149" s="944"/>
      <c r="S149" s="944"/>
      <c r="T149" s="944"/>
      <c r="U149" s="944"/>
      <c r="V149" s="944"/>
      <c r="W149" s="944"/>
      <c r="X149" s="944"/>
      <c r="Y149" s="944"/>
      <c r="Z149" s="944"/>
      <c r="AA149" s="944"/>
      <c r="AB149" s="944"/>
      <c r="AC149" s="944"/>
      <c r="AD149" s="944"/>
      <c r="AE149" s="944"/>
      <c r="AF149" s="944"/>
      <c r="AG149" s="944"/>
      <c r="AH149" s="945"/>
      <c r="AI149" s="198"/>
      <c r="AJ149" s="198"/>
      <c r="AK149" s="198"/>
      <c r="AL149" s="198"/>
      <c r="AM149" s="198"/>
      <c r="AN149" s="198"/>
      <c r="AO149" s="198"/>
      <c r="AP149" s="198"/>
      <c r="AQ149" s="198"/>
      <c r="AR149" s="198"/>
      <c r="AS149" s="198"/>
      <c r="AT149" s="198"/>
      <c r="AU149" s="198"/>
      <c r="AV149" s="198"/>
      <c r="AW149" s="198"/>
      <c r="AX149" s="198"/>
      <c r="AY149" s="198"/>
      <c r="AZ149" s="198"/>
      <c r="BA149" s="198"/>
      <c r="BB149" s="198"/>
      <c r="BC149" s="198"/>
      <c r="BD149" s="198"/>
      <c r="BE149" s="198"/>
      <c r="BF149" s="198"/>
      <c r="BG149" s="198"/>
      <c r="BH149" s="198"/>
      <c r="BI149" s="198"/>
      <c r="BJ149" s="198"/>
      <c r="BK149" s="198"/>
      <c r="BL149" s="198"/>
      <c r="BM149" s="198"/>
      <c r="BN149" s="198"/>
      <c r="BO149" s="198"/>
      <c r="BP149" s="198"/>
      <c r="BQ149" s="198"/>
      <c r="BR149" s="198"/>
      <c r="BS149" s="198"/>
      <c r="BT149" s="198"/>
      <c r="BU149" s="198"/>
      <c r="BV149" s="198"/>
      <c r="BW149" s="198"/>
      <c r="BX149" s="198"/>
      <c r="BY149" s="198"/>
      <c r="BZ149" s="198"/>
      <c r="CA149" s="198"/>
      <c r="CB149" s="198"/>
      <c r="CC149" s="198"/>
      <c r="CD149" s="198"/>
      <c r="CE149" s="198"/>
      <c r="CF149" s="198"/>
      <c r="CG149" s="198"/>
      <c r="CH149" s="198"/>
      <c r="CI149" s="198"/>
      <c r="CJ149" s="198"/>
      <c r="CK149" s="198"/>
      <c r="CL149" s="198"/>
      <c r="CM149" s="198"/>
      <c r="CN149" s="198"/>
      <c r="CO149" s="198"/>
      <c r="CP149" s="198"/>
      <c r="CQ149" s="198"/>
      <c r="CR149" s="198"/>
      <c r="CS149" s="198"/>
      <c r="CT149" s="198"/>
      <c r="CU149" s="198"/>
      <c r="CV149" s="198"/>
      <c r="CW149" s="198"/>
      <c r="CX149" s="198"/>
      <c r="CY149" s="198"/>
      <c r="CZ149" s="198"/>
      <c r="DA149" s="198"/>
      <c r="DB149" s="198"/>
      <c r="DC149" s="198"/>
      <c r="DD149" s="198"/>
      <c r="DE149" s="198"/>
      <c r="DF149" s="198"/>
      <c r="DG149" s="198"/>
      <c r="DH149" s="198"/>
      <c r="DI149" s="198"/>
      <c r="DJ149" s="198"/>
      <c r="DK149" s="198"/>
      <c r="DL149" s="198"/>
      <c r="DM149" s="198"/>
      <c r="DN149" s="198"/>
      <c r="DO149" s="198"/>
      <c r="DP149" s="198"/>
      <c r="DQ149" s="198"/>
      <c r="DR149" s="198"/>
      <c r="DS149" s="198"/>
      <c r="DT149" s="198"/>
      <c r="DU149" s="198"/>
      <c r="DV149" s="198"/>
      <c r="DW149" s="198"/>
      <c r="DX149" s="198"/>
      <c r="DY149" s="198"/>
      <c r="DZ149" s="198"/>
      <c r="EA149" s="198"/>
      <c r="EB149" s="198"/>
      <c r="EC149" s="198"/>
      <c r="ED149" s="198"/>
      <c r="EE149" s="198"/>
      <c r="EF149" s="198"/>
      <c r="EG149" s="198"/>
      <c r="EH149" s="198"/>
      <c r="EI149" s="198"/>
      <c r="EJ149" s="198"/>
      <c r="EK149" s="198"/>
      <c r="EL149" s="198"/>
      <c r="EM149" s="198"/>
      <c r="EN149" s="198"/>
      <c r="EO149" s="198"/>
      <c r="EP149" s="198"/>
      <c r="EQ149" s="198"/>
      <c r="ER149" s="198"/>
      <c r="ES149" s="198"/>
      <c r="ET149" s="198"/>
      <c r="EU149" s="198"/>
      <c r="EV149" s="198"/>
      <c r="EW149" s="198"/>
      <c r="EX149" s="198"/>
      <c r="EY149" s="198"/>
      <c r="EZ149" s="198"/>
      <c r="FA149" s="198"/>
      <c r="FB149" s="198"/>
      <c r="FC149" s="198"/>
      <c r="FD149" s="198"/>
      <c r="FE149" s="198"/>
      <c r="FF149" s="198"/>
      <c r="FG149" s="198"/>
      <c r="FH149" s="198"/>
      <c r="FI149" s="198"/>
      <c r="FJ149" s="198"/>
      <c r="FK149" s="198"/>
      <c r="FL149" s="198"/>
      <c r="FM149" s="198"/>
      <c r="FN149" s="198"/>
      <c r="FO149" s="198"/>
      <c r="FP149" s="198"/>
      <c r="FQ149" s="198"/>
      <c r="FR149" s="198"/>
      <c r="FS149" s="198"/>
      <c r="FT149" s="198"/>
      <c r="FU149" s="198"/>
      <c r="FV149" s="198"/>
      <c r="FW149" s="198"/>
      <c r="FX149" s="198"/>
      <c r="FY149" s="198"/>
      <c r="FZ149" s="198"/>
      <c r="GA149" s="198"/>
      <c r="GB149" s="198"/>
      <c r="GC149" s="198"/>
      <c r="GD149" s="198"/>
      <c r="GE149" s="198"/>
      <c r="GF149" s="198"/>
      <c r="GG149" s="198"/>
      <c r="GH149" s="198"/>
      <c r="GI149" s="198"/>
      <c r="GJ149" s="198"/>
      <c r="GK149" s="198"/>
      <c r="GL149" s="198"/>
      <c r="GM149" s="198"/>
      <c r="GN149" s="198"/>
      <c r="GO149" s="198"/>
      <c r="GP149" s="198"/>
      <c r="GQ149" s="198"/>
      <c r="GR149" s="198"/>
      <c r="GS149" s="198"/>
      <c r="GT149" s="198"/>
      <c r="GU149" s="198"/>
      <c r="GV149" s="198"/>
      <c r="GW149" s="198"/>
      <c r="GX149" s="198"/>
      <c r="GY149" s="198"/>
      <c r="GZ149" s="198"/>
      <c r="HA149" s="198"/>
      <c r="HB149" s="198"/>
      <c r="HC149" s="198"/>
      <c r="HD149" s="198"/>
      <c r="HE149" s="198"/>
      <c r="HF149" s="198"/>
      <c r="HG149" s="198"/>
      <c r="HH149" s="198"/>
      <c r="HI149" s="198"/>
      <c r="HJ149" s="198"/>
      <c r="HK149" s="198"/>
      <c r="HL149" s="198"/>
      <c r="HM149" s="198"/>
      <c r="HN149" s="198"/>
      <c r="HO149" s="198"/>
      <c r="HP149" s="198"/>
      <c r="HQ149" s="198"/>
      <c r="HR149" s="198"/>
      <c r="HS149" s="198"/>
      <c r="HT149" s="198"/>
      <c r="HU149" s="198"/>
      <c r="HV149" s="198"/>
      <c r="HW149" s="198"/>
      <c r="HX149" s="198"/>
      <c r="HY149" s="198"/>
      <c r="HZ149" s="198"/>
      <c r="IA149" s="198"/>
      <c r="IB149" s="198"/>
      <c r="IC149" s="198"/>
      <c r="ID149" s="198"/>
      <c r="IE149" s="198"/>
      <c r="IF149" s="198"/>
      <c r="IG149" s="198"/>
      <c r="IH149" s="198"/>
      <c r="II149" s="198"/>
      <c r="IJ149" s="198"/>
      <c r="IK149" s="198"/>
      <c r="IL149" s="198"/>
      <c r="IM149" s="198"/>
      <c r="IN149" s="198"/>
      <c r="IO149" s="198"/>
      <c r="IP149" s="198"/>
      <c r="IQ149" s="198"/>
      <c r="IR149" s="198"/>
      <c r="IS149" s="198"/>
      <c r="IT149" s="198"/>
      <c r="IU149" s="198"/>
      <c r="IV149" s="198"/>
      <c r="IW149" s="198"/>
      <c r="IX149" s="198"/>
      <c r="IY149" s="198"/>
      <c r="IZ149" s="198"/>
      <c r="JA149" s="198"/>
      <c r="JB149" s="198"/>
      <c r="JC149" s="198"/>
      <c r="JD149" s="198"/>
      <c r="JE149" s="198"/>
      <c r="JF149" s="198"/>
      <c r="JG149" s="198"/>
      <c r="JH149" s="198"/>
      <c r="JI149" s="198"/>
      <c r="JJ149" s="198"/>
      <c r="JK149" s="198"/>
      <c r="JL149" s="198"/>
      <c r="JM149" s="198"/>
      <c r="JN149" s="198"/>
      <c r="JO149" s="198"/>
      <c r="JP149" s="198"/>
      <c r="JQ149" s="198"/>
      <c r="JR149" s="198"/>
      <c r="JS149" s="198"/>
      <c r="JT149" s="198"/>
      <c r="JU149" s="198"/>
      <c r="JV149" s="198"/>
      <c r="JW149" s="198"/>
      <c r="JX149" s="198"/>
      <c r="JY149" s="198"/>
      <c r="JZ149" s="198"/>
      <c r="KA149" s="198"/>
      <c r="KB149" s="198"/>
      <c r="KC149" s="198"/>
      <c r="KD149" s="198"/>
      <c r="KE149" s="198"/>
      <c r="KF149" s="198"/>
      <c r="KG149" s="198"/>
      <c r="KH149" s="198"/>
      <c r="KI149" s="198"/>
      <c r="KJ149" s="198"/>
      <c r="KK149" s="198"/>
      <c r="KL149" s="198"/>
      <c r="KM149" s="198"/>
      <c r="KN149" s="198"/>
      <c r="KO149" s="198"/>
      <c r="KP149" s="198"/>
      <c r="KQ149" s="198"/>
      <c r="KR149" s="198"/>
      <c r="KS149" s="198"/>
      <c r="KT149" s="198"/>
      <c r="KU149" s="198"/>
      <c r="KV149" s="198"/>
      <c r="KW149" s="198"/>
      <c r="KX149" s="198"/>
      <c r="KY149" s="198"/>
      <c r="KZ149" s="198"/>
      <c r="LA149" s="198"/>
      <c r="LB149" s="198"/>
      <c r="LC149" s="198"/>
      <c r="LD149" s="198"/>
      <c r="LE149" s="198"/>
      <c r="LF149" s="198"/>
      <c r="LG149" s="198"/>
      <c r="LH149" s="198"/>
      <c r="LI149" s="198"/>
      <c r="LJ149" s="198"/>
      <c r="LK149" s="198"/>
      <c r="LL149" s="198"/>
      <c r="LM149" s="198"/>
      <c r="LN149" s="198"/>
      <c r="LO149" s="198"/>
      <c r="LP149" s="198"/>
      <c r="LQ149" s="198"/>
      <c r="LR149" s="198"/>
      <c r="LS149" s="198"/>
      <c r="LT149" s="198"/>
      <c r="LU149" s="198"/>
      <c r="LV149" s="198"/>
      <c r="LW149" s="198"/>
      <c r="LX149" s="198"/>
      <c r="LY149" s="198"/>
      <c r="LZ149" s="198"/>
      <c r="MA149" s="198"/>
      <c r="MB149" s="198"/>
      <c r="MC149" s="198"/>
      <c r="MD149" s="198"/>
      <c r="ME149" s="198"/>
      <c r="MF149" s="198"/>
      <c r="MG149" s="198"/>
      <c r="MH149" s="198"/>
      <c r="MI149" s="198"/>
      <c r="MJ149" s="198"/>
      <c r="MK149" s="198"/>
      <c r="ML149" s="198"/>
      <c r="MM149" s="198"/>
      <c r="MN149" s="198"/>
      <c r="MO149" s="198"/>
      <c r="MP149" s="198"/>
      <c r="MQ149" s="198"/>
      <c r="MR149" s="198"/>
      <c r="MS149" s="198"/>
      <c r="MT149" s="198"/>
      <c r="MU149" s="198"/>
      <c r="MV149" s="198"/>
      <c r="MW149" s="198"/>
      <c r="MX149" s="198"/>
      <c r="MY149" s="198"/>
      <c r="MZ149" s="198"/>
      <c r="NA149" s="198"/>
      <c r="NB149" s="198"/>
      <c r="NC149" s="198"/>
      <c r="ND149" s="198"/>
      <c r="NE149" s="198"/>
      <c r="NF149" s="198"/>
      <c r="NG149" s="198"/>
      <c r="NH149" s="198"/>
      <c r="NI149" s="198"/>
      <c r="NJ149" s="198"/>
      <c r="NK149" s="198"/>
      <c r="NL149" s="198"/>
      <c r="NM149" s="198"/>
      <c r="NN149" s="198"/>
      <c r="NO149" s="198"/>
      <c r="NP149" s="198"/>
      <c r="NQ149" s="198"/>
      <c r="NR149" s="198"/>
      <c r="NS149" s="198"/>
      <c r="NT149" s="198"/>
      <c r="NU149" s="198"/>
      <c r="NV149" s="198"/>
      <c r="NW149" s="198"/>
      <c r="NX149" s="198"/>
      <c r="NY149" s="198"/>
      <c r="NZ149" s="198"/>
      <c r="OA149" s="198"/>
      <c r="OB149" s="198"/>
      <c r="OC149" s="198"/>
      <c r="OD149" s="198"/>
      <c r="OE149" s="198"/>
      <c r="OF149" s="198"/>
      <c r="OG149" s="198"/>
      <c r="OH149" s="198"/>
      <c r="OI149" s="198"/>
      <c r="OJ149" s="198"/>
      <c r="OK149" s="198"/>
      <c r="OL149" s="198"/>
      <c r="OM149" s="198"/>
      <c r="ON149" s="198"/>
      <c r="OO149" s="198"/>
      <c r="OP149" s="198"/>
      <c r="OQ149" s="198"/>
      <c r="OR149" s="198"/>
      <c r="OS149" s="198"/>
      <c r="OT149" s="198"/>
      <c r="OU149" s="198"/>
      <c r="OV149" s="198"/>
      <c r="OW149" s="198"/>
      <c r="OX149" s="198"/>
      <c r="OY149" s="198"/>
      <c r="OZ149" s="198"/>
      <c r="PA149" s="198"/>
      <c r="PB149" s="198"/>
      <c r="PC149" s="198"/>
      <c r="PD149" s="198"/>
      <c r="PE149" s="198"/>
      <c r="PF149" s="198"/>
      <c r="PG149" s="198"/>
      <c r="PH149" s="198"/>
      <c r="PI149" s="198"/>
      <c r="PJ149" s="198"/>
      <c r="PK149" s="198"/>
      <c r="PL149" s="198"/>
      <c r="PM149" s="198"/>
      <c r="PN149" s="198"/>
      <c r="PO149" s="198"/>
      <c r="PP149" s="198"/>
      <c r="PQ149" s="198"/>
      <c r="PR149" s="198"/>
      <c r="PS149" s="198"/>
      <c r="PT149" s="198"/>
      <c r="PU149" s="198"/>
      <c r="PV149" s="198"/>
      <c r="PW149" s="198"/>
      <c r="PX149" s="198"/>
      <c r="PY149" s="198"/>
      <c r="PZ149" s="198"/>
      <c r="QA149" s="198"/>
      <c r="QB149" s="198"/>
      <c r="QC149" s="198"/>
      <c r="QD149" s="198"/>
      <c r="QE149" s="198"/>
      <c r="QF149" s="198"/>
      <c r="QG149" s="198"/>
      <c r="QH149" s="198"/>
      <c r="QI149" s="198"/>
      <c r="QJ149" s="198"/>
      <c r="QK149" s="198"/>
      <c r="QL149" s="198"/>
      <c r="QM149" s="198"/>
      <c r="QN149" s="198"/>
      <c r="QO149" s="198"/>
      <c r="QP149" s="198"/>
      <c r="QQ149" s="198"/>
      <c r="QR149" s="198"/>
      <c r="QS149" s="198"/>
      <c r="QT149" s="198"/>
      <c r="QU149" s="198"/>
      <c r="QV149" s="198"/>
      <c r="QW149" s="198"/>
      <c r="QX149" s="198"/>
      <c r="QY149" s="198"/>
      <c r="QZ149" s="198"/>
      <c r="RA149" s="198"/>
      <c r="RB149" s="198"/>
      <c r="RC149" s="198"/>
      <c r="RD149" s="198"/>
      <c r="RE149" s="198"/>
      <c r="RF149" s="198"/>
      <c r="RG149" s="198"/>
      <c r="RH149" s="198"/>
      <c r="RI149" s="198"/>
      <c r="RJ149" s="198"/>
      <c r="RK149" s="198"/>
      <c r="RL149" s="198"/>
      <c r="RM149" s="198"/>
      <c r="RN149" s="198"/>
      <c r="RO149" s="198"/>
      <c r="RP149" s="198"/>
      <c r="RQ149" s="198"/>
      <c r="RR149" s="198"/>
      <c r="RS149" s="198"/>
      <c r="RT149" s="198"/>
      <c r="RU149" s="198"/>
      <c r="RV149" s="198"/>
      <c r="RW149" s="198"/>
      <c r="RX149" s="198"/>
      <c r="RY149" s="198"/>
      <c r="RZ149" s="198"/>
      <c r="SA149" s="198"/>
      <c r="SB149" s="198"/>
      <c r="SC149" s="198"/>
      <c r="SD149" s="198"/>
      <c r="SE149" s="198"/>
      <c r="SF149" s="198"/>
      <c r="SG149" s="198"/>
    </row>
    <row r="150" spans="1:501" ht="40.049999999999997" customHeight="1" x14ac:dyDescent="0.3">
      <c r="A150" s="948" t="s">
        <v>366</v>
      </c>
      <c r="B150" s="961" t="s">
        <v>367</v>
      </c>
      <c r="C150" s="950"/>
      <c r="D150" s="861"/>
      <c r="E150" s="862"/>
      <c r="F150" s="861"/>
      <c r="G150" s="862"/>
      <c r="H150" s="861"/>
      <c r="I150" s="862"/>
      <c r="J150" s="861"/>
      <c r="K150" s="862"/>
      <c r="L150" s="861"/>
      <c r="M150" s="862"/>
      <c r="N150" s="861"/>
      <c r="O150" s="862"/>
      <c r="P150" s="861"/>
      <c r="Q150" s="862"/>
      <c r="R150" s="861"/>
      <c r="S150" s="862"/>
      <c r="T150" s="861"/>
      <c r="U150" s="862"/>
      <c r="V150" s="861"/>
      <c r="W150" s="862"/>
      <c r="X150" s="861"/>
      <c r="Y150" s="862"/>
      <c r="Z150" s="861"/>
      <c r="AA150" s="862"/>
      <c r="AB150" s="864"/>
      <c r="AC150" s="864"/>
      <c r="AD150" s="864"/>
      <c r="AE150" s="864"/>
      <c r="AF150" s="861"/>
      <c r="AG150" s="865">
        <f>SUM(C150:AA150)</f>
        <v>0</v>
      </c>
      <c r="AH150" s="866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  <c r="AS150" s="198"/>
      <c r="AT150" s="198"/>
      <c r="AU150" s="198"/>
      <c r="AV150" s="198"/>
      <c r="AW150" s="198"/>
      <c r="AX150" s="198"/>
      <c r="AY150" s="198"/>
      <c r="AZ150" s="198"/>
      <c r="BA150" s="198"/>
      <c r="BB150" s="198"/>
      <c r="BC150" s="198"/>
      <c r="BD150" s="198"/>
      <c r="BE150" s="198"/>
      <c r="BF150" s="198"/>
      <c r="BG150" s="198"/>
      <c r="BH150" s="198"/>
      <c r="BI150" s="198"/>
      <c r="BJ150" s="198"/>
      <c r="BK150" s="198"/>
      <c r="BL150" s="198"/>
      <c r="BM150" s="198"/>
      <c r="BN150" s="198"/>
      <c r="BO150" s="198"/>
      <c r="BP150" s="198"/>
      <c r="BQ150" s="198"/>
      <c r="BR150" s="198"/>
      <c r="BS150" s="198"/>
      <c r="BT150" s="198"/>
      <c r="BU150" s="198"/>
      <c r="BV150" s="198"/>
      <c r="BW150" s="198"/>
      <c r="BX150" s="198"/>
      <c r="BY150" s="198"/>
      <c r="BZ150" s="198"/>
      <c r="CA150" s="198"/>
      <c r="CB150" s="198"/>
      <c r="CC150" s="198"/>
      <c r="CD150" s="198"/>
      <c r="CE150" s="198"/>
      <c r="CF150" s="198"/>
      <c r="CG150" s="198"/>
      <c r="CH150" s="198"/>
      <c r="CI150" s="198"/>
      <c r="CJ150" s="198"/>
      <c r="CK150" s="198"/>
      <c r="CL150" s="198"/>
      <c r="CM150" s="198"/>
      <c r="CN150" s="198"/>
      <c r="CO150" s="198"/>
      <c r="CP150" s="198"/>
      <c r="CQ150" s="198"/>
      <c r="CR150" s="198"/>
      <c r="CS150" s="198"/>
      <c r="CT150" s="198"/>
      <c r="CU150" s="198"/>
      <c r="CV150" s="198"/>
      <c r="CW150" s="198"/>
      <c r="CX150" s="198"/>
      <c r="CY150" s="198"/>
      <c r="CZ150" s="198"/>
      <c r="DA150" s="198"/>
      <c r="DB150" s="198"/>
      <c r="DC150" s="198"/>
      <c r="DD150" s="198"/>
      <c r="DE150" s="198"/>
      <c r="DF150" s="198"/>
      <c r="DG150" s="198"/>
      <c r="DH150" s="198"/>
      <c r="DI150" s="198"/>
      <c r="DJ150" s="198"/>
      <c r="DK150" s="198"/>
      <c r="DL150" s="198"/>
      <c r="DM150" s="198"/>
      <c r="DN150" s="198"/>
      <c r="DO150" s="198"/>
      <c r="DP150" s="198"/>
      <c r="DQ150" s="198"/>
      <c r="DR150" s="198"/>
      <c r="DS150" s="198"/>
      <c r="DT150" s="198"/>
      <c r="DU150" s="198"/>
      <c r="DV150" s="198"/>
      <c r="DW150" s="198"/>
      <c r="DX150" s="198"/>
      <c r="DY150" s="198"/>
      <c r="DZ150" s="198"/>
      <c r="EA150" s="198"/>
      <c r="EB150" s="198"/>
      <c r="EC150" s="198"/>
      <c r="ED150" s="198"/>
      <c r="EE150" s="198"/>
      <c r="EF150" s="198"/>
      <c r="EG150" s="198"/>
      <c r="EH150" s="198"/>
      <c r="EI150" s="198"/>
      <c r="EJ150" s="198"/>
      <c r="EK150" s="198"/>
      <c r="EL150" s="198"/>
      <c r="EM150" s="198"/>
      <c r="EN150" s="198"/>
      <c r="EO150" s="198"/>
      <c r="EP150" s="198"/>
      <c r="EQ150" s="198"/>
      <c r="ER150" s="198"/>
      <c r="ES150" s="198"/>
      <c r="ET150" s="198"/>
      <c r="EU150" s="198"/>
      <c r="EV150" s="198"/>
      <c r="EW150" s="198"/>
      <c r="EX150" s="198"/>
      <c r="EY150" s="198"/>
      <c r="EZ150" s="198"/>
      <c r="FA150" s="198"/>
      <c r="FB150" s="198"/>
      <c r="FC150" s="198"/>
      <c r="FD150" s="198"/>
      <c r="FE150" s="198"/>
      <c r="FF150" s="198"/>
      <c r="FG150" s="198"/>
      <c r="FH150" s="198"/>
      <c r="FI150" s="198"/>
      <c r="FJ150" s="198"/>
      <c r="FK150" s="198"/>
      <c r="FL150" s="198"/>
      <c r="FM150" s="198"/>
      <c r="FN150" s="198"/>
      <c r="FO150" s="198"/>
      <c r="FP150" s="198"/>
      <c r="FQ150" s="198"/>
      <c r="FR150" s="198"/>
      <c r="FS150" s="198"/>
      <c r="FT150" s="198"/>
      <c r="FU150" s="198"/>
      <c r="FV150" s="198"/>
      <c r="FW150" s="198"/>
      <c r="FX150" s="198"/>
      <c r="FY150" s="198"/>
      <c r="FZ150" s="198"/>
      <c r="GA150" s="198"/>
      <c r="GB150" s="198"/>
      <c r="GC150" s="198"/>
      <c r="GD150" s="198"/>
      <c r="GE150" s="198"/>
      <c r="GF150" s="198"/>
      <c r="GG150" s="198"/>
      <c r="GH150" s="198"/>
      <c r="GI150" s="198"/>
      <c r="GJ150" s="198"/>
      <c r="GK150" s="198"/>
      <c r="GL150" s="198"/>
      <c r="GM150" s="198"/>
      <c r="GN150" s="198"/>
      <c r="GO150" s="198"/>
      <c r="GP150" s="198"/>
      <c r="GQ150" s="198"/>
      <c r="GR150" s="198"/>
      <c r="GS150" s="198"/>
      <c r="GT150" s="198"/>
      <c r="GU150" s="198"/>
      <c r="GV150" s="198"/>
      <c r="GW150" s="198"/>
      <c r="GX150" s="198"/>
      <c r="GY150" s="198"/>
      <c r="GZ150" s="198"/>
      <c r="HA150" s="198"/>
      <c r="HB150" s="198"/>
      <c r="HC150" s="198"/>
      <c r="HD150" s="198"/>
      <c r="HE150" s="198"/>
      <c r="HF150" s="198"/>
      <c r="HG150" s="198"/>
      <c r="HH150" s="198"/>
      <c r="HI150" s="198"/>
      <c r="HJ150" s="198"/>
      <c r="HK150" s="198"/>
      <c r="HL150" s="198"/>
      <c r="HM150" s="198"/>
      <c r="HN150" s="198"/>
      <c r="HO150" s="198"/>
      <c r="HP150" s="198"/>
      <c r="HQ150" s="198"/>
      <c r="HR150" s="198"/>
      <c r="HS150" s="198"/>
      <c r="HT150" s="198"/>
      <c r="HU150" s="198"/>
      <c r="HV150" s="198"/>
      <c r="HW150" s="198"/>
      <c r="HX150" s="198"/>
      <c r="HY150" s="198"/>
      <c r="HZ150" s="198"/>
      <c r="IA150" s="198"/>
      <c r="IB150" s="198"/>
      <c r="IC150" s="198"/>
      <c r="ID150" s="198"/>
      <c r="IE150" s="198"/>
      <c r="IF150" s="198"/>
      <c r="IG150" s="198"/>
      <c r="IH150" s="198"/>
      <c r="II150" s="198"/>
      <c r="IJ150" s="198"/>
      <c r="IK150" s="198"/>
      <c r="IL150" s="198"/>
      <c r="IM150" s="198"/>
      <c r="IN150" s="198"/>
      <c r="IO150" s="198"/>
      <c r="IP150" s="198"/>
      <c r="IQ150" s="198"/>
      <c r="IR150" s="198"/>
      <c r="IS150" s="198"/>
      <c r="IT150" s="198"/>
      <c r="IU150" s="198"/>
      <c r="IV150" s="198"/>
      <c r="IW150" s="198"/>
      <c r="IX150" s="198"/>
      <c r="IY150" s="198"/>
      <c r="IZ150" s="198"/>
      <c r="JA150" s="198"/>
      <c r="JB150" s="198"/>
      <c r="JC150" s="198"/>
      <c r="JD150" s="198"/>
      <c r="JE150" s="198"/>
      <c r="JF150" s="198"/>
      <c r="JG150" s="198"/>
      <c r="JH150" s="198"/>
      <c r="JI150" s="198"/>
      <c r="JJ150" s="198"/>
      <c r="JK150" s="198"/>
      <c r="JL150" s="198"/>
      <c r="JM150" s="198"/>
      <c r="JN150" s="198"/>
      <c r="JO150" s="198"/>
      <c r="JP150" s="198"/>
      <c r="JQ150" s="198"/>
      <c r="JR150" s="198"/>
      <c r="JS150" s="198"/>
      <c r="JT150" s="198"/>
      <c r="JU150" s="198"/>
      <c r="JV150" s="198"/>
      <c r="JW150" s="198"/>
      <c r="JX150" s="198"/>
      <c r="JY150" s="198"/>
      <c r="JZ150" s="198"/>
      <c r="KA150" s="198"/>
      <c r="KB150" s="198"/>
      <c r="KC150" s="198"/>
      <c r="KD150" s="198"/>
      <c r="KE150" s="198"/>
      <c r="KF150" s="198"/>
      <c r="KG150" s="198"/>
      <c r="KH150" s="198"/>
      <c r="KI150" s="198"/>
      <c r="KJ150" s="198"/>
      <c r="KK150" s="198"/>
      <c r="KL150" s="198"/>
      <c r="KM150" s="198"/>
      <c r="KN150" s="198"/>
      <c r="KO150" s="198"/>
      <c r="KP150" s="198"/>
      <c r="KQ150" s="198"/>
      <c r="KR150" s="198"/>
      <c r="KS150" s="198"/>
      <c r="KT150" s="198"/>
      <c r="KU150" s="198"/>
      <c r="KV150" s="198"/>
      <c r="KW150" s="198"/>
      <c r="KX150" s="198"/>
      <c r="KY150" s="198"/>
      <c r="KZ150" s="198"/>
      <c r="LA150" s="198"/>
      <c r="LB150" s="198"/>
      <c r="LC150" s="198"/>
      <c r="LD150" s="198"/>
      <c r="LE150" s="198"/>
      <c r="LF150" s="198"/>
      <c r="LG150" s="198"/>
      <c r="LH150" s="198"/>
      <c r="LI150" s="198"/>
      <c r="LJ150" s="198"/>
      <c r="LK150" s="198"/>
      <c r="LL150" s="198"/>
      <c r="LM150" s="198"/>
      <c r="LN150" s="198"/>
      <c r="LO150" s="198"/>
      <c r="LP150" s="198"/>
      <c r="LQ150" s="198"/>
      <c r="LR150" s="198"/>
      <c r="LS150" s="198"/>
      <c r="LT150" s="198"/>
      <c r="LU150" s="198"/>
      <c r="LV150" s="198"/>
      <c r="LW150" s="198"/>
      <c r="LX150" s="198"/>
      <c r="LY150" s="198"/>
      <c r="LZ150" s="198"/>
      <c r="MA150" s="198"/>
      <c r="MB150" s="198"/>
      <c r="MC150" s="198"/>
      <c r="MD150" s="198"/>
      <c r="ME150" s="198"/>
      <c r="MF150" s="198"/>
      <c r="MG150" s="198"/>
      <c r="MH150" s="198"/>
      <c r="MI150" s="198"/>
      <c r="MJ150" s="198"/>
      <c r="MK150" s="198"/>
      <c r="ML150" s="198"/>
      <c r="MM150" s="198"/>
      <c r="MN150" s="198"/>
      <c r="MO150" s="198"/>
      <c r="MP150" s="198"/>
      <c r="MQ150" s="198"/>
      <c r="MR150" s="198"/>
      <c r="MS150" s="198"/>
      <c r="MT150" s="198"/>
      <c r="MU150" s="198"/>
      <c r="MV150" s="198"/>
      <c r="MW150" s="198"/>
      <c r="MX150" s="198"/>
      <c r="MY150" s="198"/>
      <c r="MZ150" s="198"/>
      <c r="NA150" s="198"/>
      <c r="NB150" s="198"/>
      <c r="NC150" s="198"/>
      <c r="ND150" s="198"/>
      <c r="NE150" s="198"/>
      <c r="NF150" s="198"/>
      <c r="NG150" s="198"/>
      <c r="NH150" s="198"/>
      <c r="NI150" s="198"/>
      <c r="NJ150" s="198"/>
      <c r="NK150" s="198"/>
      <c r="NL150" s="198"/>
      <c r="NM150" s="198"/>
      <c r="NN150" s="198"/>
      <c r="NO150" s="198"/>
      <c r="NP150" s="198"/>
      <c r="NQ150" s="198"/>
      <c r="NR150" s="198"/>
      <c r="NS150" s="198"/>
      <c r="NT150" s="198"/>
      <c r="NU150" s="198"/>
      <c r="NV150" s="198"/>
      <c r="NW150" s="198"/>
      <c r="NX150" s="198"/>
      <c r="NY150" s="198"/>
      <c r="NZ150" s="198"/>
      <c r="OA150" s="198"/>
      <c r="OB150" s="198"/>
      <c r="OC150" s="198"/>
      <c r="OD150" s="198"/>
      <c r="OE150" s="198"/>
      <c r="OF150" s="198"/>
      <c r="OG150" s="198"/>
      <c r="OH150" s="198"/>
      <c r="OI150" s="198"/>
      <c r="OJ150" s="198"/>
      <c r="OK150" s="198"/>
      <c r="OL150" s="198"/>
      <c r="OM150" s="198"/>
      <c r="ON150" s="198"/>
      <c r="OO150" s="198"/>
      <c r="OP150" s="198"/>
      <c r="OQ150" s="198"/>
      <c r="OR150" s="198"/>
      <c r="OS150" s="198"/>
      <c r="OT150" s="198"/>
      <c r="OU150" s="198"/>
      <c r="OV150" s="198"/>
      <c r="OW150" s="198"/>
      <c r="OX150" s="198"/>
      <c r="OY150" s="198"/>
      <c r="OZ150" s="198"/>
      <c r="PA150" s="198"/>
      <c r="PB150" s="198"/>
      <c r="PC150" s="198"/>
      <c r="PD150" s="198"/>
      <c r="PE150" s="198"/>
      <c r="PF150" s="198"/>
      <c r="PG150" s="198"/>
      <c r="PH150" s="198"/>
      <c r="PI150" s="198"/>
      <c r="PJ150" s="198"/>
      <c r="PK150" s="198"/>
      <c r="PL150" s="198"/>
      <c r="PM150" s="198"/>
      <c r="PN150" s="198"/>
      <c r="PO150" s="198"/>
      <c r="PP150" s="198"/>
      <c r="PQ150" s="198"/>
      <c r="PR150" s="198"/>
      <c r="PS150" s="198"/>
      <c r="PT150" s="198"/>
      <c r="PU150" s="198"/>
      <c r="PV150" s="198"/>
      <c r="PW150" s="198"/>
      <c r="PX150" s="198"/>
      <c r="PY150" s="198"/>
      <c r="PZ150" s="198"/>
      <c r="QA150" s="198"/>
      <c r="QB150" s="198"/>
      <c r="QC150" s="198"/>
      <c r="QD150" s="198"/>
      <c r="QE150" s="198"/>
      <c r="QF150" s="198"/>
      <c r="QG150" s="198"/>
      <c r="QH150" s="198"/>
      <c r="QI150" s="198"/>
      <c r="QJ150" s="198"/>
      <c r="QK150" s="198"/>
      <c r="QL150" s="198"/>
      <c r="QM150" s="198"/>
      <c r="QN150" s="198"/>
      <c r="QO150" s="198"/>
      <c r="QP150" s="198"/>
      <c r="QQ150" s="198"/>
      <c r="QR150" s="198"/>
      <c r="QS150" s="198"/>
      <c r="QT150" s="198"/>
      <c r="QU150" s="198"/>
      <c r="QV150" s="198"/>
      <c r="QW150" s="198"/>
      <c r="QX150" s="198"/>
      <c r="QY150" s="198"/>
      <c r="QZ150" s="198"/>
      <c r="RA150" s="198"/>
      <c r="RB150" s="198"/>
      <c r="RC150" s="198"/>
      <c r="RD150" s="198"/>
      <c r="RE150" s="198"/>
      <c r="RF150" s="198"/>
      <c r="RG150" s="198"/>
      <c r="RH150" s="198"/>
      <c r="RI150" s="198"/>
      <c r="RJ150" s="198"/>
      <c r="RK150" s="198"/>
      <c r="RL150" s="198"/>
      <c r="RM150" s="198"/>
      <c r="RN150" s="198"/>
      <c r="RO150" s="198"/>
      <c r="RP150" s="198"/>
      <c r="RQ150" s="198"/>
      <c r="RR150" s="198"/>
      <c r="RS150" s="198"/>
      <c r="RT150" s="198"/>
      <c r="RU150" s="198"/>
      <c r="RV150" s="198"/>
      <c r="RW150" s="198"/>
      <c r="RX150" s="198"/>
      <c r="RY150" s="198"/>
      <c r="RZ150" s="198"/>
      <c r="SA150" s="198"/>
      <c r="SB150" s="198"/>
      <c r="SC150" s="198"/>
      <c r="SD150" s="198"/>
      <c r="SE150" s="198"/>
      <c r="SF150" s="198"/>
      <c r="SG150" s="198"/>
    </row>
    <row r="151" spans="1:501" ht="40.049999999999997" customHeight="1" x14ac:dyDescent="0.3">
      <c r="A151" s="546" t="s">
        <v>368</v>
      </c>
      <c r="B151" s="959" t="s">
        <v>369</v>
      </c>
      <c r="C151" s="950"/>
      <c r="D151" s="861"/>
      <c r="E151" s="862"/>
      <c r="F151" s="861"/>
      <c r="G151" s="862"/>
      <c r="H151" s="861"/>
      <c r="I151" s="862"/>
      <c r="J151" s="861"/>
      <c r="K151" s="862"/>
      <c r="L151" s="861"/>
      <c r="M151" s="862"/>
      <c r="N151" s="861"/>
      <c r="O151" s="862"/>
      <c r="P151" s="861"/>
      <c r="Q151" s="862"/>
      <c r="R151" s="861"/>
      <c r="S151" s="862"/>
      <c r="T151" s="861"/>
      <c r="U151" s="862"/>
      <c r="V151" s="861"/>
      <c r="W151" s="862"/>
      <c r="X151" s="861"/>
      <c r="Y151" s="862"/>
      <c r="Z151" s="861"/>
      <c r="AA151" s="862"/>
      <c r="AB151" s="864"/>
      <c r="AC151" s="864"/>
      <c r="AD151" s="864"/>
      <c r="AE151" s="864"/>
      <c r="AF151" s="861"/>
      <c r="AG151" s="865">
        <f>SUM(C151:AA151)</f>
        <v>0</v>
      </c>
      <c r="AH151" s="866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  <c r="AS151" s="198"/>
      <c r="AT151" s="198"/>
      <c r="AU151" s="198"/>
      <c r="AV151" s="198"/>
      <c r="AW151" s="198"/>
      <c r="AX151" s="198"/>
      <c r="AY151" s="198"/>
      <c r="AZ151" s="198"/>
      <c r="BA151" s="198"/>
      <c r="BB151" s="198"/>
      <c r="BC151" s="198"/>
      <c r="BD151" s="198"/>
      <c r="BE151" s="198"/>
      <c r="BF151" s="198"/>
      <c r="BG151" s="198"/>
      <c r="BH151" s="198"/>
      <c r="BI151" s="198"/>
      <c r="BJ151" s="198"/>
      <c r="BK151" s="198"/>
      <c r="BL151" s="198"/>
      <c r="BM151" s="198"/>
      <c r="BN151" s="198"/>
      <c r="BO151" s="198"/>
      <c r="BP151" s="198"/>
      <c r="BQ151" s="198"/>
      <c r="BR151" s="198"/>
      <c r="BS151" s="198"/>
      <c r="BT151" s="198"/>
      <c r="BU151" s="198"/>
      <c r="BV151" s="198"/>
      <c r="BW151" s="198"/>
      <c r="BX151" s="198"/>
      <c r="BY151" s="198"/>
      <c r="BZ151" s="198"/>
      <c r="CA151" s="198"/>
      <c r="CB151" s="198"/>
      <c r="CC151" s="198"/>
      <c r="CD151" s="198"/>
      <c r="CE151" s="198"/>
      <c r="CF151" s="198"/>
      <c r="CG151" s="198"/>
      <c r="CH151" s="198"/>
      <c r="CI151" s="198"/>
      <c r="CJ151" s="198"/>
      <c r="CK151" s="198"/>
      <c r="CL151" s="198"/>
      <c r="CM151" s="198"/>
      <c r="CN151" s="198"/>
      <c r="CO151" s="198"/>
      <c r="CP151" s="198"/>
      <c r="CQ151" s="198"/>
      <c r="CR151" s="198"/>
      <c r="CS151" s="198"/>
      <c r="CT151" s="198"/>
      <c r="CU151" s="198"/>
      <c r="CV151" s="198"/>
      <c r="CW151" s="198"/>
      <c r="CX151" s="198"/>
      <c r="CY151" s="198"/>
      <c r="CZ151" s="198"/>
      <c r="DA151" s="198"/>
      <c r="DB151" s="198"/>
      <c r="DC151" s="198"/>
      <c r="DD151" s="198"/>
      <c r="DE151" s="198"/>
      <c r="DF151" s="198"/>
      <c r="DG151" s="198"/>
      <c r="DH151" s="198"/>
      <c r="DI151" s="198"/>
      <c r="DJ151" s="198"/>
      <c r="DK151" s="198"/>
      <c r="DL151" s="198"/>
      <c r="DM151" s="198"/>
      <c r="DN151" s="198"/>
      <c r="DO151" s="198"/>
      <c r="DP151" s="198"/>
      <c r="DQ151" s="198"/>
      <c r="DR151" s="198"/>
      <c r="DS151" s="198"/>
      <c r="DT151" s="198"/>
      <c r="DU151" s="198"/>
      <c r="DV151" s="198"/>
      <c r="DW151" s="198"/>
      <c r="DX151" s="198"/>
      <c r="DY151" s="198"/>
      <c r="DZ151" s="198"/>
      <c r="EA151" s="198"/>
      <c r="EB151" s="198"/>
      <c r="EC151" s="198"/>
      <c r="ED151" s="198"/>
      <c r="EE151" s="198"/>
      <c r="EF151" s="198"/>
      <c r="EG151" s="198"/>
      <c r="EH151" s="198"/>
      <c r="EI151" s="198"/>
      <c r="EJ151" s="198"/>
      <c r="EK151" s="198"/>
      <c r="EL151" s="198"/>
      <c r="EM151" s="198"/>
      <c r="EN151" s="198"/>
      <c r="EO151" s="198"/>
      <c r="EP151" s="198"/>
      <c r="EQ151" s="198"/>
      <c r="ER151" s="198"/>
      <c r="ES151" s="198"/>
      <c r="ET151" s="198"/>
      <c r="EU151" s="198"/>
      <c r="EV151" s="198"/>
      <c r="EW151" s="198"/>
      <c r="EX151" s="198"/>
      <c r="EY151" s="198"/>
      <c r="EZ151" s="198"/>
      <c r="FA151" s="198"/>
      <c r="FB151" s="198"/>
      <c r="FC151" s="198"/>
      <c r="FD151" s="198"/>
      <c r="FE151" s="198"/>
      <c r="FF151" s="198"/>
      <c r="FG151" s="198"/>
      <c r="FH151" s="198"/>
      <c r="FI151" s="198"/>
      <c r="FJ151" s="198"/>
      <c r="FK151" s="198"/>
      <c r="FL151" s="198"/>
      <c r="FM151" s="198"/>
      <c r="FN151" s="198"/>
      <c r="FO151" s="198"/>
      <c r="FP151" s="198"/>
      <c r="FQ151" s="198"/>
      <c r="FR151" s="198"/>
      <c r="FS151" s="198"/>
      <c r="FT151" s="198"/>
      <c r="FU151" s="198"/>
      <c r="FV151" s="198"/>
      <c r="FW151" s="198"/>
      <c r="FX151" s="198"/>
      <c r="FY151" s="198"/>
      <c r="FZ151" s="198"/>
      <c r="GA151" s="198"/>
      <c r="GB151" s="198"/>
      <c r="GC151" s="198"/>
      <c r="GD151" s="198"/>
      <c r="GE151" s="198"/>
      <c r="GF151" s="198"/>
      <c r="GG151" s="198"/>
      <c r="GH151" s="198"/>
      <c r="GI151" s="198"/>
      <c r="GJ151" s="198"/>
      <c r="GK151" s="198"/>
      <c r="GL151" s="198"/>
      <c r="GM151" s="198"/>
      <c r="GN151" s="198"/>
      <c r="GO151" s="198"/>
      <c r="GP151" s="198"/>
      <c r="GQ151" s="198"/>
      <c r="GR151" s="198"/>
      <c r="GS151" s="198"/>
      <c r="GT151" s="198"/>
      <c r="GU151" s="198"/>
      <c r="GV151" s="198"/>
      <c r="GW151" s="198"/>
      <c r="GX151" s="198"/>
      <c r="GY151" s="198"/>
      <c r="GZ151" s="198"/>
      <c r="HA151" s="198"/>
      <c r="HB151" s="198"/>
      <c r="HC151" s="198"/>
      <c r="HD151" s="198"/>
      <c r="HE151" s="198"/>
      <c r="HF151" s="198"/>
      <c r="HG151" s="198"/>
      <c r="HH151" s="198"/>
      <c r="HI151" s="198"/>
      <c r="HJ151" s="198"/>
      <c r="HK151" s="198"/>
      <c r="HL151" s="198"/>
      <c r="HM151" s="198"/>
      <c r="HN151" s="198"/>
      <c r="HO151" s="198"/>
      <c r="HP151" s="198"/>
      <c r="HQ151" s="198"/>
      <c r="HR151" s="198"/>
      <c r="HS151" s="198"/>
      <c r="HT151" s="198"/>
      <c r="HU151" s="198"/>
      <c r="HV151" s="198"/>
      <c r="HW151" s="198"/>
      <c r="HX151" s="198"/>
      <c r="HY151" s="198"/>
      <c r="HZ151" s="198"/>
      <c r="IA151" s="198"/>
      <c r="IB151" s="198"/>
      <c r="IC151" s="198"/>
      <c r="ID151" s="198"/>
      <c r="IE151" s="198"/>
      <c r="IF151" s="198"/>
      <c r="IG151" s="198"/>
      <c r="IH151" s="198"/>
      <c r="II151" s="198"/>
      <c r="IJ151" s="198"/>
      <c r="IK151" s="198"/>
      <c r="IL151" s="198"/>
      <c r="IM151" s="198"/>
      <c r="IN151" s="198"/>
      <c r="IO151" s="198"/>
      <c r="IP151" s="198"/>
      <c r="IQ151" s="198"/>
      <c r="IR151" s="198"/>
      <c r="IS151" s="198"/>
      <c r="IT151" s="198"/>
      <c r="IU151" s="198"/>
      <c r="IV151" s="198"/>
      <c r="IW151" s="198"/>
      <c r="IX151" s="198"/>
      <c r="IY151" s="198"/>
      <c r="IZ151" s="198"/>
      <c r="JA151" s="198"/>
      <c r="JB151" s="198"/>
      <c r="JC151" s="198"/>
      <c r="JD151" s="198"/>
      <c r="JE151" s="198"/>
      <c r="JF151" s="198"/>
      <c r="JG151" s="198"/>
      <c r="JH151" s="198"/>
      <c r="JI151" s="198"/>
      <c r="JJ151" s="198"/>
      <c r="JK151" s="198"/>
      <c r="JL151" s="198"/>
      <c r="JM151" s="198"/>
      <c r="JN151" s="198"/>
      <c r="JO151" s="198"/>
      <c r="JP151" s="198"/>
      <c r="JQ151" s="198"/>
      <c r="JR151" s="198"/>
      <c r="JS151" s="198"/>
      <c r="JT151" s="198"/>
      <c r="JU151" s="198"/>
      <c r="JV151" s="198"/>
      <c r="JW151" s="198"/>
      <c r="JX151" s="198"/>
      <c r="JY151" s="198"/>
      <c r="JZ151" s="198"/>
      <c r="KA151" s="198"/>
      <c r="KB151" s="198"/>
      <c r="KC151" s="198"/>
      <c r="KD151" s="198"/>
      <c r="KE151" s="198"/>
      <c r="KF151" s="198"/>
      <c r="KG151" s="198"/>
      <c r="KH151" s="198"/>
      <c r="KI151" s="198"/>
      <c r="KJ151" s="198"/>
      <c r="KK151" s="198"/>
      <c r="KL151" s="198"/>
      <c r="KM151" s="198"/>
      <c r="KN151" s="198"/>
      <c r="KO151" s="198"/>
      <c r="KP151" s="198"/>
      <c r="KQ151" s="198"/>
      <c r="KR151" s="198"/>
      <c r="KS151" s="198"/>
      <c r="KT151" s="198"/>
      <c r="KU151" s="198"/>
      <c r="KV151" s="198"/>
      <c r="KW151" s="198"/>
      <c r="KX151" s="198"/>
      <c r="KY151" s="198"/>
      <c r="KZ151" s="198"/>
      <c r="LA151" s="198"/>
      <c r="LB151" s="198"/>
      <c r="LC151" s="198"/>
      <c r="LD151" s="198"/>
      <c r="LE151" s="198"/>
      <c r="LF151" s="198"/>
      <c r="LG151" s="198"/>
      <c r="LH151" s="198"/>
      <c r="LI151" s="198"/>
      <c r="LJ151" s="198"/>
      <c r="LK151" s="198"/>
      <c r="LL151" s="198"/>
      <c r="LM151" s="198"/>
      <c r="LN151" s="198"/>
      <c r="LO151" s="198"/>
      <c r="LP151" s="198"/>
      <c r="LQ151" s="198"/>
      <c r="LR151" s="198"/>
      <c r="LS151" s="198"/>
      <c r="LT151" s="198"/>
      <c r="LU151" s="198"/>
      <c r="LV151" s="198"/>
      <c r="LW151" s="198"/>
      <c r="LX151" s="198"/>
      <c r="LY151" s="198"/>
      <c r="LZ151" s="198"/>
      <c r="MA151" s="198"/>
      <c r="MB151" s="198"/>
      <c r="MC151" s="198"/>
      <c r="MD151" s="198"/>
      <c r="ME151" s="198"/>
      <c r="MF151" s="198"/>
      <c r="MG151" s="198"/>
      <c r="MH151" s="198"/>
      <c r="MI151" s="198"/>
      <c r="MJ151" s="198"/>
      <c r="MK151" s="198"/>
      <c r="ML151" s="198"/>
      <c r="MM151" s="198"/>
      <c r="MN151" s="198"/>
      <c r="MO151" s="198"/>
      <c r="MP151" s="198"/>
      <c r="MQ151" s="198"/>
      <c r="MR151" s="198"/>
      <c r="MS151" s="198"/>
      <c r="MT151" s="198"/>
      <c r="MU151" s="198"/>
      <c r="MV151" s="198"/>
      <c r="MW151" s="198"/>
      <c r="MX151" s="198"/>
      <c r="MY151" s="198"/>
      <c r="MZ151" s="198"/>
      <c r="NA151" s="198"/>
      <c r="NB151" s="198"/>
      <c r="NC151" s="198"/>
      <c r="ND151" s="198"/>
      <c r="NE151" s="198"/>
      <c r="NF151" s="198"/>
      <c r="NG151" s="198"/>
      <c r="NH151" s="198"/>
      <c r="NI151" s="198"/>
      <c r="NJ151" s="198"/>
      <c r="NK151" s="198"/>
      <c r="NL151" s="198"/>
      <c r="NM151" s="198"/>
      <c r="NN151" s="198"/>
      <c r="NO151" s="198"/>
      <c r="NP151" s="198"/>
      <c r="NQ151" s="198"/>
      <c r="NR151" s="198"/>
      <c r="NS151" s="198"/>
      <c r="NT151" s="198"/>
      <c r="NU151" s="198"/>
      <c r="NV151" s="198"/>
      <c r="NW151" s="198"/>
      <c r="NX151" s="198"/>
      <c r="NY151" s="198"/>
      <c r="NZ151" s="198"/>
      <c r="OA151" s="198"/>
      <c r="OB151" s="198"/>
      <c r="OC151" s="198"/>
      <c r="OD151" s="198"/>
      <c r="OE151" s="198"/>
      <c r="OF151" s="198"/>
      <c r="OG151" s="198"/>
      <c r="OH151" s="198"/>
      <c r="OI151" s="198"/>
      <c r="OJ151" s="198"/>
      <c r="OK151" s="198"/>
      <c r="OL151" s="198"/>
      <c r="OM151" s="198"/>
      <c r="ON151" s="198"/>
      <c r="OO151" s="198"/>
      <c r="OP151" s="198"/>
      <c r="OQ151" s="198"/>
      <c r="OR151" s="198"/>
      <c r="OS151" s="198"/>
      <c r="OT151" s="198"/>
      <c r="OU151" s="198"/>
      <c r="OV151" s="198"/>
      <c r="OW151" s="198"/>
      <c r="OX151" s="198"/>
      <c r="OY151" s="198"/>
      <c r="OZ151" s="198"/>
      <c r="PA151" s="198"/>
      <c r="PB151" s="198"/>
      <c r="PC151" s="198"/>
      <c r="PD151" s="198"/>
      <c r="PE151" s="198"/>
      <c r="PF151" s="198"/>
      <c r="PG151" s="198"/>
      <c r="PH151" s="198"/>
      <c r="PI151" s="198"/>
      <c r="PJ151" s="198"/>
      <c r="PK151" s="198"/>
      <c r="PL151" s="198"/>
      <c r="PM151" s="198"/>
      <c r="PN151" s="198"/>
      <c r="PO151" s="198"/>
      <c r="PP151" s="198"/>
      <c r="PQ151" s="198"/>
      <c r="PR151" s="198"/>
      <c r="PS151" s="198"/>
      <c r="PT151" s="198"/>
      <c r="PU151" s="198"/>
      <c r="PV151" s="198"/>
      <c r="PW151" s="198"/>
      <c r="PX151" s="198"/>
      <c r="PY151" s="198"/>
      <c r="PZ151" s="198"/>
      <c r="QA151" s="198"/>
      <c r="QB151" s="198"/>
      <c r="QC151" s="198"/>
      <c r="QD151" s="198"/>
      <c r="QE151" s="198"/>
      <c r="QF151" s="198"/>
      <c r="QG151" s="198"/>
      <c r="QH151" s="198"/>
      <c r="QI151" s="198"/>
      <c r="QJ151" s="198"/>
      <c r="QK151" s="198"/>
      <c r="QL151" s="198"/>
      <c r="QM151" s="198"/>
      <c r="QN151" s="198"/>
      <c r="QO151" s="198"/>
      <c r="QP151" s="198"/>
      <c r="QQ151" s="198"/>
      <c r="QR151" s="198"/>
      <c r="QS151" s="198"/>
      <c r="QT151" s="198"/>
      <c r="QU151" s="198"/>
      <c r="QV151" s="198"/>
      <c r="QW151" s="198"/>
      <c r="QX151" s="198"/>
      <c r="QY151" s="198"/>
      <c r="QZ151" s="198"/>
      <c r="RA151" s="198"/>
      <c r="RB151" s="198"/>
      <c r="RC151" s="198"/>
      <c r="RD151" s="198"/>
      <c r="RE151" s="198"/>
      <c r="RF151" s="198"/>
      <c r="RG151" s="198"/>
      <c r="RH151" s="198"/>
      <c r="RI151" s="198"/>
      <c r="RJ151" s="198"/>
      <c r="RK151" s="198"/>
      <c r="RL151" s="198"/>
      <c r="RM151" s="198"/>
      <c r="RN151" s="198"/>
      <c r="RO151" s="198"/>
      <c r="RP151" s="198"/>
      <c r="RQ151" s="198"/>
      <c r="RR151" s="198"/>
      <c r="RS151" s="198"/>
      <c r="RT151" s="198"/>
      <c r="RU151" s="198"/>
      <c r="RV151" s="198"/>
      <c r="RW151" s="198"/>
      <c r="RX151" s="198"/>
      <c r="RY151" s="198"/>
      <c r="RZ151" s="198"/>
      <c r="SA151" s="198"/>
      <c r="SB151" s="198"/>
      <c r="SC151" s="198"/>
      <c r="SD151" s="198"/>
      <c r="SE151" s="198"/>
      <c r="SF151" s="198"/>
      <c r="SG151" s="198"/>
    </row>
    <row r="152" spans="1:501" ht="40.049999999999997" customHeight="1" x14ac:dyDescent="0.3">
      <c r="A152" s="546" t="s">
        <v>370</v>
      </c>
      <c r="B152" s="959" t="s">
        <v>371</v>
      </c>
      <c r="C152" s="950"/>
      <c r="D152" s="861"/>
      <c r="E152" s="862"/>
      <c r="F152" s="861"/>
      <c r="G152" s="862"/>
      <c r="H152" s="861"/>
      <c r="I152" s="862"/>
      <c r="J152" s="861"/>
      <c r="K152" s="862"/>
      <c r="L152" s="861"/>
      <c r="M152" s="862"/>
      <c r="N152" s="861"/>
      <c r="O152" s="862"/>
      <c r="P152" s="861"/>
      <c r="Q152" s="862"/>
      <c r="R152" s="861"/>
      <c r="S152" s="862"/>
      <c r="T152" s="861"/>
      <c r="U152" s="862"/>
      <c r="V152" s="861"/>
      <c r="W152" s="862"/>
      <c r="X152" s="861"/>
      <c r="Y152" s="862"/>
      <c r="Z152" s="861"/>
      <c r="AA152" s="862"/>
      <c r="AB152" s="864"/>
      <c r="AC152" s="864"/>
      <c r="AD152" s="864"/>
      <c r="AE152" s="864"/>
      <c r="AF152" s="861"/>
      <c r="AG152" s="865">
        <f>SUM(C152:AA152)</f>
        <v>0</v>
      </c>
      <c r="AH152" s="866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  <c r="AS152" s="198"/>
      <c r="AT152" s="198"/>
      <c r="AU152" s="198"/>
      <c r="AV152" s="198"/>
      <c r="AW152" s="198"/>
      <c r="AX152" s="198"/>
      <c r="AY152" s="198"/>
      <c r="AZ152" s="198"/>
      <c r="BA152" s="198"/>
      <c r="BB152" s="198"/>
      <c r="BC152" s="198"/>
      <c r="BD152" s="198"/>
      <c r="BE152" s="198"/>
      <c r="BF152" s="198"/>
      <c r="BG152" s="198"/>
      <c r="BH152" s="198"/>
      <c r="BI152" s="198"/>
      <c r="BJ152" s="198"/>
      <c r="BK152" s="198"/>
      <c r="BL152" s="198"/>
      <c r="BM152" s="198"/>
      <c r="BN152" s="198"/>
      <c r="BO152" s="198"/>
      <c r="BP152" s="198"/>
      <c r="BQ152" s="198"/>
      <c r="BR152" s="198"/>
      <c r="BS152" s="198"/>
      <c r="BT152" s="198"/>
      <c r="BU152" s="198"/>
      <c r="BV152" s="198"/>
      <c r="BW152" s="198"/>
      <c r="BX152" s="198"/>
      <c r="BY152" s="198"/>
      <c r="BZ152" s="198"/>
      <c r="CA152" s="198"/>
      <c r="CB152" s="198"/>
      <c r="CC152" s="198"/>
      <c r="CD152" s="198"/>
      <c r="CE152" s="198"/>
      <c r="CF152" s="198"/>
      <c r="CG152" s="198"/>
      <c r="CH152" s="198"/>
      <c r="CI152" s="198"/>
      <c r="CJ152" s="198"/>
      <c r="CK152" s="198"/>
      <c r="CL152" s="198"/>
      <c r="CM152" s="198"/>
      <c r="CN152" s="198"/>
      <c r="CO152" s="198"/>
      <c r="CP152" s="198"/>
      <c r="CQ152" s="198"/>
      <c r="CR152" s="198"/>
      <c r="CS152" s="198"/>
      <c r="CT152" s="198"/>
      <c r="CU152" s="198"/>
      <c r="CV152" s="198"/>
      <c r="CW152" s="198"/>
      <c r="CX152" s="198"/>
      <c r="CY152" s="198"/>
      <c r="CZ152" s="198"/>
      <c r="DA152" s="198"/>
      <c r="DB152" s="198"/>
      <c r="DC152" s="198"/>
      <c r="DD152" s="198"/>
      <c r="DE152" s="198"/>
      <c r="DF152" s="198"/>
      <c r="DG152" s="198"/>
      <c r="DH152" s="198"/>
      <c r="DI152" s="198"/>
      <c r="DJ152" s="198"/>
      <c r="DK152" s="198"/>
      <c r="DL152" s="198"/>
      <c r="DM152" s="198"/>
      <c r="DN152" s="198"/>
      <c r="DO152" s="198"/>
      <c r="DP152" s="198"/>
      <c r="DQ152" s="198"/>
      <c r="DR152" s="198"/>
      <c r="DS152" s="198"/>
      <c r="DT152" s="198"/>
      <c r="DU152" s="198"/>
      <c r="DV152" s="198"/>
      <c r="DW152" s="198"/>
      <c r="DX152" s="198"/>
      <c r="DY152" s="198"/>
      <c r="DZ152" s="198"/>
      <c r="EA152" s="198"/>
      <c r="EB152" s="198"/>
      <c r="EC152" s="198"/>
      <c r="ED152" s="198"/>
      <c r="EE152" s="198"/>
      <c r="EF152" s="198"/>
      <c r="EG152" s="198"/>
      <c r="EH152" s="198"/>
      <c r="EI152" s="198"/>
      <c r="EJ152" s="198"/>
      <c r="EK152" s="198"/>
      <c r="EL152" s="198"/>
      <c r="EM152" s="198"/>
      <c r="EN152" s="198"/>
      <c r="EO152" s="198"/>
      <c r="EP152" s="198"/>
      <c r="EQ152" s="198"/>
      <c r="ER152" s="198"/>
      <c r="ES152" s="198"/>
      <c r="ET152" s="198"/>
      <c r="EU152" s="198"/>
      <c r="EV152" s="198"/>
      <c r="EW152" s="198"/>
      <c r="EX152" s="198"/>
      <c r="EY152" s="198"/>
      <c r="EZ152" s="198"/>
      <c r="FA152" s="198"/>
      <c r="FB152" s="198"/>
      <c r="FC152" s="198"/>
      <c r="FD152" s="198"/>
      <c r="FE152" s="198"/>
      <c r="FF152" s="198"/>
      <c r="FG152" s="198"/>
      <c r="FH152" s="198"/>
      <c r="FI152" s="198"/>
      <c r="FJ152" s="198"/>
      <c r="FK152" s="198"/>
      <c r="FL152" s="198"/>
      <c r="FM152" s="198"/>
      <c r="FN152" s="198"/>
      <c r="FO152" s="198"/>
      <c r="FP152" s="198"/>
      <c r="FQ152" s="198"/>
      <c r="FR152" s="198"/>
      <c r="FS152" s="198"/>
      <c r="FT152" s="198"/>
      <c r="FU152" s="198"/>
      <c r="FV152" s="198"/>
      <c r="FW152" s="198"/>
      <c r="FX152" s="198"/>
      <c r="FY152" s="198"/>
      <c r="FZ152" s="198"/>
      <c r="GA152" s="198"/>
      <c r="GB152" s="198"/>
      <c r="GC152" s="198"/>
      <c r="GD152" s="198"/>
      <c r="GE152" s="198"/>
      <c r="GF152" s="198"/>
      <c r="GG152" s="198"/>
      <c r="GH152" s="198"/>
      <c r="GI152" s="198"/>
      <c r="GJ152" s="198"/>
      <c r="GK152" s="198"/>
      <c r="GL152" s="198"/>
      <c r="GM152" s="198"/>
      <c r="GN152" s="198"/>
      <c r="GO152" s="198"/>
      <c r="GP152" s="198"/>
      <c r="GQ152" s="198"/>
      <c r="GR152" s="198"/>
      <c r="GS152" s="198"/>
      <c r="GT152" s="198"/>
      <c r="GU152" s="198"/>
      <c r="GV152" s="198"/>
      <c r="GW152" s="198"/>
      <c r="GX152" s="198"/>
      <c r="GY152" s="198"/>
      <c r="GZ152" s="198"/>
      <c r="HA152" s="198"/>
      <c r="HB152" s="198"/>
      <c r="HC152" s="198"/>
      <c r="HD152" s="198"/>
      <c r="HE152" s="198"/>
      <c r="HF152" s="198"/>
      <c r="HG152" s="198"/>
      <c r="HH152" s="198"/>
      <c r="HI152" s="198"/>
      <c r="HJ152" s="198"/>
      <c r="HK152" s="198"/>
      <c r="HL152" s="198"/>
      <c r="HM152" s="198"/>
      <c r="HN152" s="198"/>
      <c r="HO152" s="198"/>
      <c r="HP152" s="198"/>
      <c r="HQ152" s="198"/>
      <c r="HR152" s="198"/>
      <c r="HS152" s="198"/>
      <c r="HT152" s="198"/>
      <c r="HU152" s="198"/>
      <c r="HV152" s="198"/>
      <c r="HW152" s="198"/>
      <c r="HX152" s="198"/>
      <c r="HY152" s="198"/>
      <c r="HZ152" s="198"/>
      <c r="IA152" s="198"/>
      <c r="IB152" s="198"/>
      <c r="IC152" s="198"/>
      <c r="ID152" s="198"/>
      <c r="IE152" s="198"/>
      <c r="IF152" s="198"/>
      <c r="IG152" s="198"/>
      <c r="IH152" s="198"/>
      <c r="II152" s="198"/>
      <c r="IJ152" s="198"/>
      <c r="IK152" s="198"/>
      <c r="IL152" s="198"/>
      <c r="IM152" s="198"/>
      <c r="IN152" s="198"/>
      <c r="IO152" s="198"/>
      <c r="IP152" s="198"/>
      <c r="IQ152" s="198"/>
      <c r="IR152" s="198"/>
      <c r="IS152" s="198"/>
      <c r="IT152" s="198"/>
      <c r="IU152" s="198"/>
      <c r="IV152" s="198"/>
      <c r="IW152" s="198"/>
      <c r="IX152" s="198"/>
      <c r="IY152" s="198"/>
      <c r="IZ152" s="198"/>
      <c r="JA152" s="198"/>
      <c r="JB152" s="198"/>
      <c r="JC152" s="198"/>
      <c r="JD152" s="198"/>
      <c r="JE152" s="198"/>
      <c r="JF152" s="198"/>
      <c r="JG152" s="198"/>
      <c r="JH152" s="198"/>
      <c r="JI152" s="198"/>
      <c r="JJ152" s="198"/>
      <c r="JK152" s="198"/>
      <c r="JL152" s="198"/>
      <c r="JM152" s="198"/>
      <c r="JN152" s="198"/>
      <c r="JO152" s="198"/>
      <c r="JP152" s="198"/>
      <c r="JQ152" s="198"/>
      <c r="JR152" s="198"/>
      <c r="JS152" s="198"/>
      <c r="JT152" s="198"/>
      <c r="JU152" s="198"/>
      <c r="JV152" s="198"/>
      <c r="JW152" s="198"/>
      <c r="JX152" s="198"/>
      <c r="JY152" s="198"/>
      <c r="JZ152" s="198"/>
      <c r="KA152" s="198"/>
      <c r="KB152" s="198"/>
      <c r="KC152" s="198"/>
      <c r="KD152" s="198"/>
      <c r="KE152" s="198"/>
      <c r="KF152" s="198"/>
      <c r="KG152" s="198"/>
      <c r="KH152" s="198"/>
      <c r="KI152" s="198"/>
      <c r="KJ152" s="198"/>
      <c r="KK152" s="198"/>
      <c r="KL152" s="198"/>
      <c r="KM152" s="198"/>
      <c r="KN152" s="198"/>
      <c r="KO152" s="198"/>
      <c r="KP152" s="198"/>
      <c r="KQ152" s="198"/>
      <c r="KR152" s="198"/>
      <c r="KS152" s="198"/>
      <c r="KT152" s="198"/>
      <c r="KU152" s="198"/>
      <c r="KV152" s="198"/>
      <c r="KW152" s="198"/>
      <c r="KX152" s="198"/>
      <c r="KY152" s="198"/>
      <c r="KZ152" s="198"/>
      <c r="LA152" s="198"/>
      <c r="LB152" s="198"/>
      <c r="LC152" s="198"/>
      <c r="LD152" s="198"/>
      <c r="LE152" s="198"/>
      <c r="LF152" s="198"/>
      <c r="LG152" s="198"/>
      <c r="LH152" s="198"/>
      <c r="LI152" s="198"/>
      <c r="LJ152" s="198"/>
      <c r="LK152" s="198"/>
      <c r="LL152" s="198"/>
      <c r="LM152" s="198"/>
      <c r="LN152" s="198"/>
      <c r="LO152" s="198"/>
      <c r="LP152" s="198"/>
      <c r="LQ152" s="198"/>
      <c r="LR152" s="198"/>
      <c r="LS152" s="198"/>
      <c r="LT152" s="198"/>
      <c r="LU152" s="198"/>
      <c r="LV152" s="198"/>
      <c r="LW152" s="198"/>
      <c r="LX152" s="198"/>
      <c r="LY152" s="198"/>
      <c r="LZ152" s="198"/>
      <c r="MA152" s="198"/>
      <c r="MB152" s="198"/>
      <c r="MC152" s="198"/>
      <c r="MD152" s="198"/>
      <c r="ME152" s="198"/>
      <c r="MF152" s="198"/>
      <c r="MG152" s="198"/>
      <c r="MH152" s="198"/>
      <c r="MI152" s="198"/>
      <c r="MJ152" s="198"/>
      <c r="MK152" s="198"/>
      <c r="ML152" s="198"/>
      <c r="MM152" s="198"/>
      <c r="MN152" s="198"/>
      <c r="MO152" s="198"/>
      <c r="MP152" s="198"/>
      <c r="MQ152" s="198"/>
      <c r="MR152" s="198"/>
      <c r="MS152" s="198"/>
      <c r="MT152" s="198"/>
      <c r="MU152" s="198"/>
      <c r="MV152" s="198"/>
      <c r="MW152" s="198"/>
      <c r="MX152" s="198"/>
      <c r="MY152" s="198"/>
      <c r="MZ152" s="198"/>
      <c r="NA152" s="198"/>
      <c r="NB152" s="198"/>
      <c r="NC152" s="198"/>
      <c r="ND152" s="198"/>
      <c r="NE152" s="198"/>
      <c r="NF152" s="198"/>
      <c r="NG152" s="198"/>
      <c r="NH152" s="198"/>
      <c r="NI152" s="198"/>
      <c r="NJ152" s="198"/>
      <c r="NK152" s="198"/>
      <c r="NL152" s="198"/>
      <c r="NM152" s="198"/>
      <c r="NN152" s="198"/>
      <c r="NO152" s="198"/>
      <c r="NP152" s="198"/>
      <c r="NQ152" s="198"/>
      <c r="NR152" s="198"/>
      <c r="NS152" s="198"/>
      <c r="NT152" s="198"/>
      <c r="NU152" s="198"/>
      <c r="NV152" s="198"/>
      <c r="NW152" s="198"/>
      <c r="NX152" s="198"/>
      <c r="NY152" s="198"/>
      <c r="NZ152" s="198"/>
      <c r="OA152" s="198"/>
      <c r="OB152" s="198"/>
      <c r="OC152" s="198"/>
      <c r="OD152" s="198"/>
      <c r="OE152" s="198"/>
      <c r="OF152" s="198"/>
      <c r="OG152" s="198"/>
      <c r="OH152" s="198"/>
      <c r="OI152" s="198"/>
      <c r="OJ152" s="198"/>
      <c r="OK152" s="198"/>
      <c r="OL152" s="198"/>
      <c r="OM152" s="198"/>
      <c r="ON152" s="198"/>
      <c r="OO152" s="198"/>
      <c r="OP152" s="198"/>
      <c r="OQ152" s="198"/>
      <c r="OR152" s="198"/>
      <c r="OS152" s="198"/>
      <c r="OT152" s="198"/>
      <c r="OU152" s="198"/>
      <c r="OV152" s="198"/>
      <c r="OW152" s="198"/>
      <c r="OX152" s="198"/>
      <c r="OY152" s="198"/>
      <c r="OZ152" s="198"/>
      <c r="PA152" s="198"/>
      <c r="PB152" s="198"/>
      <c r="PC152" s="198"/>
      <c r="PD152" s="198"/>
      <c r="PE152" s="198"/>
      <c r="PF152" s="198"/>
      <c r="PG152" s="198"/>
      <c r="PH152" s="198"/>
      <c r="PI152" s="198"/>
      <c r="PJ152" s="198"/>
      <c r="PK152" s="198"/>
      <c r="PL152" s="198"/>
      <c r="PM152" s="198"/>
      <c r="PN152" s="198"/>
      <c r="PO152" s="198"/>
      <c r="PP152" s="198"/>
      <c r="PQ152" s="198"/>
      <c r="PR152" s="198"/>
      <c r="PS152" s="198"/>
      <c r="PT152" s="198"/>
      <c r="PU152" s="198"/>
      <c r="PV152" s="198"/>
      <c r="PW152" s="198"/>
      <c r="PX152" s="198"/>
      <c r="PY152" s="198"/>
      <c r="PZ152" s="198"/>
      <c r="QA152" s="198"/>
      <c r="QB152" s="198"/>
      <c r="QC152" s="198"/>
      <c r="QD152" s="198"/>
      <c r="QE152" s="198"/>
      <c r="QF152" s="198"/>
      <c r="QG152" s="198"/>
      <c r="QH152" s="198"/>
      <c r="QI152" s="198"/>
      <c r="QJ152" s="198"/>
      <c r="QK152" s="198"/>
      <c r="QL152" s="198"/>
      <c r="QM152" s="198"/>
      <c r="QN152" s="198"/>
      <c r="QO152" s="198"/>
      <c r="QP152" s="198"/>
      <c r="QQ152" s="198"/>
      <c r="QR152" s="198"/>
      <c r="QS152" s="198"/>
      <c r="QT152" s="198"/>
      <c r="QU152" s="198"/>
      <c r="QV152" s="198"/>
      <c r="QW152" s="198"/>
      <c r="QX152" s="198"/>
      <c r="QY152" s="198"/>
      <c r="QZ152" s="198"/>
      <c r="RA152" s="198"/>
      <c r="RB152" s="198"/>
      <c r="RC152" s="198"/>
      <c r="RD152" s="198"/>
      <c r="RE152" s="198"/>
      <c r="RF152" s="198"/>
      <c r="RG152" s="198"/>
      <c r="RH152" s="198"/>
      <c r="RI152" s="198"/>
      <c r="RJ152" s="198"/>
      <c r="RK152" s="198"/>
      <c r="RL152" s="198"/>
      <c r="RM152" s="198"/>
      <c r="RN152" s="198"/>
      <c r="RO152" s="198"/>
      <c r="RP152" s="198"/>
      <c r="RQ152" s="198"/>
      <c r="RR152" s="198"/>
      <c r="RS152" s="198"/>
      <c r="RT152" s="198"/>
      <c r="RU152" s="198"/>
      <c r="RV152" s="198"/>
      <c r="RW152" s="198"/>
      <c r="RX152" s="198"/>
      <c r="RY152" s="198"/>
      <c r="RZ152" s="198"/>
      <c r="SA152" s="198"/>
      <c r="SB152" s="198"/>
      <c r="SC152" s="198"/>
      <c r="SD152" s="198"/>
      <c r="SE152" s="198"/>
      <c r="SF152" s="198"/>
      <c r="SG152" s="198"/>
    </row>
    <row r="153" spans="1:501" ht="40.049999999999997" customHeight="1" x14ac:dyDescent="0.3">
      <c r="A153" s="546" t="s">
        <v>372</v>
      </c>
      <c r="B153" s="962" t="s">
        <v>373</v>
      </c>
      <c r="C153" s="950"/>
      <c r="D153" s="861"/>
      <c r="E153" s="862"/>
      <c r="F153" s="861"/>
      <c r="G153" s="863">
        <f>MANZ.C!AL156</f>
        <v>0</v>
      </c>
      <c r="H153" s="861"/>
      <c r="I153" s="862">
        <f>MANZ.D!Z156</f>
        <v>0</v>
      </c>
      <c r="J153" s="861"/>
      <c r="K153" s="862">
        <f>MANZ.E!AL157</f>
        <v>0</v>
      </c>
      <c r="L153" s="861"/>
      <c r="M153" s="862">
        <f>MANZ.F!AA156</f>
        <v>0</v>
      </c>
      <c r="N153" s="861"/>
      <c r="O153" s="862">
        <f>MANZ.G!AS152</f>
        <v>1</v>
      </c>
      <c r="P153" s="861"/>
      <c r="Q153" s="863">
        <f>MANZ.H!V157</f>
        <v>0</v>
      </c>
      <c r="R153" s="861"/>
      <c r="S153" s="862">
        <f>MANZ.I!AB155</f>
        <v>0</v>
      </c>
      <c r="T153" s="861"/>
      <c r="U153" s="862">
        <f>MANZ.J!AT160</f>
        <v>0</v>
      </c>
      <c r="V153" s="861"/>
      <c r="W153" s="862">
        <f>MANZ.K!AA157</f>
        <v>0</v>
      </c>
      <c r="X153" s="861"/>
      <c r="Y153" s="862">
        <f>MANZ.L!Y157</f>
        <v>0</v>
      </c>
      <c r="Z153" s="861"/>
      <c r="AA153" s="862"/>
      <c r="AB153" s="864"/>
      <c r="AC153" s="864"/>
      <c r="AD153" s="864"/>
      <c r="AE153" s="864"/>
      <c r="AF153" s="861"/>
      <c r="AG153" s="865">
        <f>SUM(C154:AA154)</f>
        <v>17</v>
      </c>
      <c r="AH153" s="866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  <c r="AS153" s="198"/>
      <c r="AT153" s="198"/>
      <c r="AU153" s="198"/>
      <c r="AV153" s="198"/>
      <c r="AW153" s="198"/>
      <c r="AX153" s="198"/>
      <c r="AY153" s="198"/>
      <c r="AZ153" s="198"/>
      <c r="BA153" s="198"/>
      <c r="BB153" s="198"/>
      <c r="BC153" s="198"/>
      <c r="BD153" s="198"/>
      <c r="BE153" s="198"/>
      <c r="BF153" s="198"/>
      <c r="BG153" s="198"/>
      <c r="BH153" s="198"/>
      <c r="BI153" s="198"/>
      <c r="BJ153" s="198"/>
      <c r="BK153" s="198"/>
      <c r="BL153" s="198"/>
      <c r="BM153" s="198"/>
      <c r="BN153" s="198"/>
      <c r="BO153" s="198"/>
      <c r="BP153" s="198"/>
      <c r="BQ153" s="198"/>
      <c r="BR153" s="198"/>
      <c r="BS153" s="198"/>
      <c r="BT153" s="198"/>
      <c r="BU153" s="198"/>
      <c r="BV153" s="198"/>
      <c r="BW153" s="198"/>
      <c r="BX153" s="198"/>
      <c r="BY153" s="198"/>
      <c r="BZ153" s="198"/>
      <c r="CA153" s="198"/>
      <c r="CB153" s="198"/>
      <c r="CC153" s="198"/>
      <c r="CD153" s="198"/>
      <c r="CE153" s="198"/>
      <c r="CF153" s="198"/>
      <c r="CG153" s="198"/>
      <c r="CH153" s="198"/>
      <c r="CI153" s="198"/>
      <c r="CJ153" s="198"/>
      <c r="CK153" s="198"/>
      <c r="CL153" s="198"/>
      <c r="CM153" s="198"/>
      <c r="CN153" s="198"/>
      <c r="CO153" s="198"/>
      <c r="CP153" s="198"/>
      <c r="CQ153" s="198"/>
      <c r="CR153" s="198"/>
      <c r="CS153" s="198"/>
      <c r="CT153" s="198"/>
      <c r="CU153" s="198"/>
      <c r="CV153" s="198"/>
      <c r="CW153" s="198"/>
      <c r="CX153" s="198"/>
      <c r="CY153" s="198"/>
      <c r="CZ153" s="198"/>
      <c r="DA153" s="198"/>
      <c r="DB153" s="198"/>
      <c r="DC153" s="198"/>
      <c r="DD153" s="198"/>
      <c r="DE153" s="198"/>
      <c r="DF153" s="198"/>
      <c r="DG153" s="198"/>
      <c r="DH153" s="198"/>
      <c r="DI153" s="198"/>
      <c r="DJ153" s="198"/>
      <c r="DK153" s="198"/>
      <c r="DL153" s="198"/>
      <c r="DM153" s="198"/>
      <c r="DN153" s="198"/>
      <c r="DO153" s="198"/>
      <c r="DP153" s="198"/>
      <c r="DQ153" s="198"/>
      <c r="DR153" s="198"/>
      <c r="DS153" s="198"/>
      <c r="DT153" s="198"/>
      <c r="DU153" s="198"/>
      <c r="DV153" s="198"/>
      <c r="DW153" s="198"/>
      <c r="DX153" s="198"/>
      <c r="DY153" s="198"/>
      <c r="DZ153" s="198"/>
      <c r="EA153" s="198"/>
      <c r="EB153" s="198"/>
      <c r="EC153" s="198"/>
      <c r="ED153" s="198"/>
      <c r="EE153" s="198"/>
      <c r="EF153" s="198"/>
      <c r="EG153" s="198"/>
      <c r="EH153" s="198"/>
      <c r="EI153" s="198"/>
      <c r="EJ153" s="198"/>
      <c r="EK153" s="198"/>
      <c r="EL153" s="198"/>
      <c r="EM153" s="198"/>
      <c r="EN153" s="198"/>
      <c r="EO153" s="198"/>
      <c r="EP153" s="198"/>
      <c r="EQ153" s="198"/>
      <c r="ER153" s="198"/>
      <c r="ES153" s="198"/>
      <c r="ET153" s="198"/>
      <c r="EU153" s="198"/>
      <c r="EV153" s="198"/>
      <c r="EW153" s="198"/>
      <c r="EX153" s="198"/>
      <c r="EY153" s="198"/>
      <c r="EZ153" s="198"/>
      <c r="FA153" s="198"/>
      <c r="FB153" s="198"/>
      <c r="FC153" s="198"/>
      <c r="FD153" s="198"/>
      <c r="FE153" s="198"/>
      <c r="FF153" s="198"/>
      <c r="FG153" s="198"/>
      <c r="FH153" s="198"/>
      <c r="FI153" s="198"/>
      <c r="FJ153" s="198"/>
      <c r="FK153" s="198"/>
      <c r="FL153" s="198"/>
      <c r="FM153" s="198"/>
      <c r="FN153" s="198"/>
      <c r="FO153" s="198"/>
      <c r="FP153" s="198"/>
      <c r="FQ153" s="198"/>
      <c r="FR153" s="198"/>
      <c r="FS153" s="198"/>
      <c r="FT153" s="198"/>
      <c r="FU153" s="198"/>
      <c r="FV153" s="198"/>
      <c r="FW153" s="198"/>
      <c r="FX153" s="198"/>
      <c r="FY153" s="198"/>
      <c r="FZ153" s="198"/>
      <c r="GA153" s="198"/>
      <c r="GB153" s="198"/>
      <c r="GC153" s="198"/>
      <c r="GD153" s="198"/>
      <c r="GE153" s="198"/>
      <c r="GF153" s="198"/>
      <c r="GG153" s="198"/>
      <c r="GH153" s="198"/>
      <c r="GI153" s="198"/>
      <c r="GJ153" s="198"/>
      <c r="GK153" s="198"/>
      <c r="GL153" s="198"/>
      <c r="GM153" s="198"/>
      <c r="GN153" s="198"/>
      <c r="GO153" s="198"/>
      <c r="GP153" s="198"/>
      <c r="GQ153" s="198"/>
      <c r="GR153" s="198"/>
      <c r="GS153" s="198"/>
      <c r="GT153" s="198"/>
      <c r="GU153" s="198"/>
      <c r="GV153" s="198"/>
      <c r="GW153" s="198"/>
      <c r="GX153" s="198"/>
      <c r="GY153" s="198"/>
      <c r="GZ153" s="198"/>
      <c r="HA153" s="198"/>
      <c r="HB153" s="198"/>
      <c r="HC153" s="198"/>
      <c r="HD153" s="198"/>
      <c r="HE153" s="198"/>
      <c r="HF153" s="198"/>
      <c r="HG153" s="198"/>
      <c r="HH153" s="198"/>
      <c r="HI153" s="198"/>
      <c r="HJ153" s="198"/>
      <c r="HK153" s="198"/>
      <c r="HL153" s="198"/>
      <c r="HM153" s="198"/>
      <c r="HN153" s="198"/>
      <c r="HO153" s="198"/>
      <c r="HP153" s="198"/>
      <c r="HQ153" s="198"/>
      <c r="HR153" s="198"/>
      <c r="HS153" s="198"/>
      <c r="HT153" s="198"/>
      <c r="HU153" s="198"/>
      <c r="HV153" s="198"/>
      <c r="HW153" s="198"/>
      <c r="HX153" s="198"/>
      <c r="HY153" s="198"/>
      <c r="HZ153" s="198"/>
      <c r="IA153" s="198"/>
      <c r="IB153" s="198"/>
      <c r="IC153" s="198"/>
      <c r="ID153" s="198"/>
      <c r="IE153" s="198"/>
      <c r="IF153" s="198"/>
      <c r="IG153" s="198"/>
      <c r="IH153" s="198"/>
      <c r="II153" s="198"/>
      <c r="IJ153" s="198"/>
      <c r="IK153" s="198"/>
      <c r="IL153" s="198"/>
      <c r="IM153" s="198"/>
      <c r="IN153" s="198"/>
      <c r="IO153" s="198"/>
      <c r="IP153" s="198"/>
      <c r="IQ153" s="198"/>
      <c r="IR153" s="198"/>
      <c r="IS153" s="198"/>
      <c r="IT153" s="198"/>
      <c r="IU153" s="198"/>
      <c r="IV153" s="198"/>
      <c r="IW153" s="198"/>
      <c r="IX153" s="198"/>
      <c r="IY153" s="198"/>
      <c r="IZ153" s="198"/>
      <c r="JA153" s="198"/>
      <c r="JB153" s="198"/>
      <c r="JC153" s="198"/>
      <c r="JD153" s="198"/>
      <c r="JE153" s="198"/>
      <c r="JF153" s="198"/>
      <c r="JG153" s="198"/>
      <c r="JH153" s="198"/>
      <c r="JI153" s="198"/>
      <c r="JJ153" s="198"/>
      <c r="JK153" s="198"/>
      <c r="JL153" s="198"/>
      <c r="JM153" s="198"/>
      <c r="JN153" s="198"/>
      <c r="JO153" s="198"/>
      <c r="JP153" s="198"/>
      <c r="JQ153" s="198"/>
      <c r="JR153" s="198"/>
      <c r="JS153" s="198"/>
      <c r="JT153" s="198"/>
      <c r="JU153" s="198"/>
      <c r="JV153" s="198"/>
      <c r="JW153" s="198"/>
      <c r="JX153" s="198"/>
      <c r="JY153" s="198"/>
      <c r="JZ153" s="198"/>
      <c r="KA153" s="198"/>
      <c r="KB153" s="198"/>
      <c r="KC153" s="198"/>
      <c r="KD153" s="198"/>
      <c r="KE153" s="198"/>
      <c r="KF153" s="198"/>
      <c r="KG153" s="198"/>
      <c r="KH153" s="198"/>
      <c r="KI153" s="198"/>
      <c r="KJ153" s="198"/>
      <c r="KK153" s="198"/>
      <c r="KL153" s="198"/>
      <c r="KM153" s="198"/>
      <c r="KN153" s="198"/>
      <c r="KO153" s="198"/>
      <c r="KP153" s="198"/>
      <c r="KQ153" s="198"/>
      <c r="KR153" s="198"/>
      <c r="KS153" s="198"/>
      <c r="KT153" s="198"/>
      <c r="KU153" s="198"/>
      <c r="KV153" s="198"/>
      <c r="KW153" s="198"/>
      <c r="KX153" s="198"/>
      <c r="KY153" s="198"/>
      <c r="KZ153" s="198"/>
      <c r="LA153" s="198"/>
      <c r="LB153" s="198"/>
      <c r="LC153" s="198"/>
      <c r="LD153" s="198"/>
      <c r="LE153" s="198"/>
      <c r="LF153" s="198"/>
      <c r="LG153" s="198"/>
      <c r="LH153" s="198"/>
      <c r="LI153" s="198"/>
      <c r="LJ153" s="198"/>
      <c r="LK153" s="198"/>
      <c r="LL153" s="198"/>
      <c r="LM153" s="198"/>
      <c r="LN153" s="198"/>
      <c r="LO153" s="198"/>
      <c r="LP153" s="198"/>
      <c r="LQ153" s="198"/>
      <c r="LR153" s="198"/>
      <c r="LS153" s="198"/>
      <c r="LT153" s="198"/>
      <c r="LU153" s="198"/>
      <c r="LV153" s="198"/>
      <c r="LW153" s="198"/>
      <c r="LX153" s="198"/>
      <c r="LY153" s="198"/>
      <c r="LZ153" s="198"/>
      <c r="MA153" s="198"/>
      <c r="MB153" s="198"/>
      <c r="MC153" s="198"/>
      <c r="MD153" s="198"/>
      <c r="ME153" s="198"/>
      <c r="MF153" s="198"/>
      <c r="MG153" s="198"/>
      <c r="MH153" s="198"/>
      <c r="MI153" s="198"/>
      <c r="MJ153" s="198"/>
      <c r="MK153" s="198"/>
      <c r="ML153" s="198"/>
      <c r="MM153" s="198"/>
      <c r="MN153" s="198"/>
      <c r="MO153" s="198"/>
      <c r="MP153" s="198"/>
      <c r="MQ153" s="198"/>
      <c r="MR153" s="198"/>
      <c r="MS153" s="198"/>
      <c r="MT153" s="198"/>
      <c r="MU153" s="198"/>
      <c r="MV153" s="198"/>
      <c r="MW153" s="198"/>
      <c r="MX153" s="198"/>
      <c r="MY153" s="198"/>
      <c r="MZ153" s="198"/>
      <c r="NA153" s="198"/>
      <c r="NB153" s="198"/>
      <c r="NC153" s="198"/>
      <c r="ND153" s="198"/>
      <c r="NE153" s="198"/>
      <c r="NF153" s="198"/>
      <c r="NG153" s="198"/>
      <c r="NH153" s="198"/>
      <c r="NI153" s="198"/>
      <c r="NJ153" s="198"/>
      <c r="NK153" s="198"/>
      <c r="NL153" s="198"/>
      <c r="NM153" s="198"/>
      <c r="NN153" s="198"/>
      <c r="NO153" s="198"/>
      <c r="NP153" s="198"/>
      <c r="NQ153" s="198"/>
      <c r="NR153" s="198"/>
      <c r="NS153" s="198"/>
      <c r="NT153" s="198"/>
      <c r="NU153" s="198"/>
      <c r="NV153" s="198"/>
      <c r="NW153" s="198"/>
      <c r="NX153" s="198"/>
      <c r="NY153" s="198"/>
      <c r="NZ153" s="198"/>
      <c r="OA153" s="198"/>
      <c r="OB153" s="198"/>
      <c r="OC153" s="198"/>
      <c r="OD153" s="198"/>
      <c r="OE153" s="198"/>
      <c r="OF153" s="198"/>
      <c r="OG153" s="198"/>
      <c r="OH153" s="198"/>
      <c r="OI153" s="198"/>
      <c r="OJ153" s="198"/>
      <c r="OK153" s="198"/>
      <c r="OL153" s="198"/>
      <c r="OM153" s="198"/>
      <c r="ON153" s="198"/>
      <c r="OO153" s="198"/>
      <c r="OP153" s="198"/>
      <c r="OQ153" s="198"/>
      <c r="OR153" s="198"/>
      <c r="OS153" s="198"/>
      <c r="OT153" s="198"/>
      <c r="OU153" s="198"/>
      <c r="OV153" s="198"/>
      <c r="OW153" s="198"/>
      <c r="OX153" s="198"/>
      <c r="OY153" s="198"/>
      <c r="OZ153" s="198"/>
      <c r="PA153" s="198"/>
      <c r="PB153" s="198"/>
      <c r="PC153" s="198"/>
      <c r="PD153" s="198"/>
      <c r="PE153" s="198"/>
      <c r="PF153" s="198"/>
      <c r="PG153" s="198"/>
      <c r="PH153" s="198"/>
      <c r="PI153" s="198"/>
      <c r="PJ153" s="198"/>
      <c r="PK153" s="198"/>
      <c r="PL153" s="198"/>
      <c r="PM153" s="198"/>
      <c r="PN153" s="198"/>
      <c r="PO153" s="198"/>
      <c r="PP153" s="198"/>
      <c r="PQ153" s="198"/>
      <c r="PR153" s="198"/>
      <c r="PS153" s="198"/>
      <c r="PT153" s="198"/>
      <c r="PU153" s="198"/>
      <c r="PV153" s="198"/>
      <c r="PW153" s="198"/>
      <c r="PX153" s="198"/>
      <c r="PY153" s="198"/>
      <c r="PZ153" s="198"/>
      <c r="QA153" s="198"/>
      <c r="QB153" s="198"/>
      <c r="QC153" s="198"/>
      <c r="QD153" s="198"/>
      <c r="QE153" s="198"/>
      <c r="QF153" s="198"/>
      <c r="QG153" s="198"/>
      <c r="QH153" s="198"/>
      <c r="QI153" s="198"/>
      <c r="QJ153" s="198"/>
      <c r="QK153" s="198"/>
      <c r="QL153" s="198"/>
      <c r="QM153" s="198"/>
      <c r="QN153" s="198"/>
      <c r="QO153" s="198"/>
      <c r="QP153" s="198"/>
      <c r="QQ153" s="198"/>
      <c r="QR153" s="198"/>
      <c r="QS153" s="198"/>
      <c r="QT153" s="198"/>
      <c r="QU153" s="198"/>
      <c r="QV153" s="198"/>
      <c r="QW153" s="198"/>
      <c r="QX153" s="198"/>
      <c r="QY153" s="198"/>
      <c r="QZ153" s="198"/>
      <c r="RA153" s="198"/>
      <c r="RB153" s="198"/>
      <c r="RC153" s="198"/>
      <c r="RD153" s="198"/>
      <c r="RE153" s="198"/>
      <c r="RF153" s="198"/>
      <c r="RG153" s="198"/>
      <c r="RH153" s="198"/>
      <c r="RI153" s="198"/>
      <c r="RJ153" s="198"/>
      <c r="RK153" s="198"/>
      <c r="RL153" s="198"/>
      <c r="RM153" s="198"/>
      <c r="RN153" s="198"/>
      <c r="RO153" s="198"/>
      <c r="RP153" s="198"/>
      <c r="RQ153" s="198"/>
      <c r="RR153" s="198"/>
      <c r="RS153" s="198"/>
      <c r="RT153" s="198"/>
      <c r="RU153" s="198"/>
      <c r="RV153" s="198"/>
      <c r="RW153" s="198"/>
      <c r="RX153" s="198"/>
      <c r="RY153" s="198"/>
      <c r="RZ153" s="198"/>
      <c r="SA153" s="198"/>
      <c r="SB153" s="198"/>
      <c r="SC153" s="198"/>
      <c r="SD153" s="198"/>
      <c r="SE153" s="198"/>
      <c r="SF153" s="198"/>
      <c r="SG153" s="198"/>
    </row>
    <row r="154" spans="1:501" ht="40.049999999999997" customHeight="1" x14ac:dyDescent="0.3">
      <c r="A154" s="546" t="s">
        <v>374</v>
      </c>
      <c r="B154" s="962" t="s">
        <v>375</v>
      </c>
      <c r="C154" s="950"/>
      <c r="D154" s="861"/>
      <c r="E154" s="862"/>
      <c r="F154" s="861"/>
      <c r="G154" s="863">
        <f>MANZ.C!AL157</f>
        <v>17</v>
      </c>
      <c r="H154" s="861"/>
      <c r="I154" s="862"/>
      <c r="J154" s="861"/>
      <c r="K154" s="862"/>
      <c r="L154" s="861"/>
      <c r="M154" s="862"/>
      <c r="N154" s="861"/>
      <c r="O154" s="862">
        <f>MANZ.G!AS153</f>
        <v>0</v>
      </c>
      <c r="P154" s="861"/>
      <c r="Q154" s="862"/>
      <c r="R154" s="861"/>
      <c r="S154" s="862"/>
      <c r="T154" s="861"/>
      <c r="U154" s="862"/>
      <c r="V154" s="861"/>
      <c r="W154" s="862"/>
      <c r="X154" s="861"/>
      <c r="Y154" s="862"/>
      <c r="Z154" s="861"/>
      <c r="AA154" s="862"/>
      <c r="AB154" s="864"/>
      <c r="AC154" s="864"/>
      <c r="AD154" s="864"/>
      <c r="AE154" s="864"/>
      <c r="AF154" s="861"/>
      <c r="AG154" s="865">
        <f>SUM(C155:AA155)</f>
        <v>18</v>
      </c>
      <c r="AH154" s="866"/>
      <c r="AI154" s="198"/>
      <c r="AJ154" s="198"/>
      <c r="AK154" s="198"/>
      <c r="AL154" s="198"/>
      <c r="AM154" s="198"/>
      <c r="AN154" s="198"/>
      <c r="AO154" s="198"/>
      <c r="AP154" s="198"/>
      <c r="AQ154" s="198"/>
      <c r="AR154" s="198"/>
      <c r="AS154" s="198"/>
      <c r="AT154" s="198"/>
      <c r="AU154" s="198"/>
      <c r="AV154" s="198"/>
      <c r="AW154" s="198"/>
      <c r="AX154" s="198"/>
      <c r="AY154" s="198"/>
      <c r="AZ154" s="198"/>
      <c r="BA154" s="198"/>
      <c r="BB154" s="198"/>
      <c r="BC154" s="198"/>
      <c r="BD154" s="198"/>
      <c r="BE154" s="198"/>
      <c r="BF154" s="198"/>
      <c r="BG154" s="198"/>
      <c r="BH154" s="198"/>
      <c r="BI154" s="198"/>
      <c r="BJ154" s="198"/>
      <c r="BK154" s="198"/>
      <c r="BL154" s="198"/>
      <c r="BM154" s="198"/>
      <c r="BN154" s="198"/>
      <c r="BO154" s="198"/>
      <c r="BP154" s="198"/>
      <c r="BQ154" s="198"/>
      <c r="BR154" s="198"/>
      <c r="BS154" s="198"/>
      <c r="BT154" s="198"/>
      <c r="BU154" s="198"/>
      <c r="BV154" s="198"/>
      <c r="BW154" s="198"/>
      <c r="BX154" s="198"/>
      <c r="BY154" s="198"/>
      <c r="BZ154" s="198"/>
      <c r="CA154" s="198"/>
      <c r="CB154" s="198"/>
      <c r="CC154" s="198"/>
      <c r="CD154" s="198"/>
      <c r="CE154" s="198"/>
      <c r="CF154" s="198"/>
      <c r="CG154" s="198"/>
      <c r="CH154" s="198"/>
      <c r="CI154" s="198"/>
      <c r="CJ154" s="198"/>
      <c r="CK154" s="198"/>
      <c r="CL154" s="198"/>
      <c r="CM154" s="198"/>
      <c r="CN154" s="198"/>
      <c r="CO154" s="198"/>
      <c r="CP154" s="198"/>
      <c r="CQ154" s="198"/>
      <c r="CR154" s="198"/>
      <c r="CS154" s="198"/>
      <c r="CT154" s="198"/>
      <c r="CU154" s="198"/>
      <c r="CV154" s="198"/>
      <c r="CW154" s="198"/>
      <c r="CX154" s="198"/>
      <c r="CY154" s="198"/>
      <c r="CZ154" s="198"/>
      <c r="DA154" s="198"/>
      <c r="DB154" s="198"/>
      <c r="DC154" s="198"/>
      <c r="DD154" s="198"/>
      <c r="DE154" s="198"/>
      <c r="DF154" s="198"/>
      <c r="DG154" s="198"/>
      <c r="DH154" s="198"/>
      <c r="DI154" s="198"/>
      <c r="DJ154" s="198"/>
      <c r="DK154" s="198"/>
      <c r="DL154" s="198"/>
      <c r="DM154" s="198"/>
      <c r="DN154" s="198"/>
      <c r="DO154" s="198"/>
      <c r="DP154" s="198"/>
      <c r="DQ154" s="198"/>
      <c r="DR154" s="198"/>
      <c r="DS154" s="198"/>
      <c r="DT154" s="198"/>
      <c r="DU154" s="198"/>
      <c r="DV154" s="198"/>
      <c r="DW154" s="198"/>
      <c r="DX154" s="198"/>
      <c r="DY154" s="198"/>
      <c r="DZ154" s="198"/>
      <c r="EA154" s="198"/>
      <c r="EB154" s="198"/>
      <c r="EC154" s="198"/>
      <c r="ED154" s="198"/>
      <c r="EE154" s="198"/>
      <c r="EF154" s="198"/>
      <c r="EG154" s="198"/>
      <c r="EH154" s="198"/>
      <c r="EI154" s="198"/>
      <c r="EJ154" s="198"/>
      <c r="EK154" s="198"/>
      <c r="EL154" s="198"/>
      <c r="EM154" s="198"/>
      <c r="EN154" s="198"/>
      <c r="EO154" s="198"/>
      <c r="EP154" s="198"/>
      <c r="EQ154" s="198"/>
      <c r="ER154" s="198"/>
      <c r="ES154" s="198"/>
      <c r="ET154" s="198"/>
      <c r="EU154" s="198"/>
      <c r="EV154" s="198"/>
      <c r="EW154" s="198"/>
      <c r="EX154" s="198"/>
      <c r="EY154" s="198"/>
      <c r="EZ154" s="198"/>
      <c r="FA154" s="198"/>
      <c r="FB154" s="198"/>
      <c r="FC154" s="198"/>
      <c r="FD154" s="198"/>
      <c r="FE154" s="198"/>
      <c r="FF154" s="198"/>
      <c r="FG154" s="198"/>
      <c r="FH154" s="198"/>
      <c r="FI154" s="198"/>
      <c r="FJ154" s="198"/>
      <c r="FK154" s="198"/>
      <c r="FL154" s="198"/>
      <c r="FM154" s="198"/>
      <c r="FN154" s="198"/>
      <c r="FO154" s="198"/>
      <c r="FP154" s="198"/>
      <c r="FQ154" s="198"/>
      <c r="FR154" s="198"/>
      <c r="FS154" s="198"/>
      <c r="FT154" s="198"/>
      <c r="FU154" s="198"/>
      <c r="FV154" s="198"/>
      <c r="FW154" s="198"/>
      <c r="FX154" s="198"/>
      <c r="FY154" s="198"/>
      <c r="FZ154" s="198"/>
      <c r="GA154" s="198"/>
      <c r="GB154" s="198"/>
      <c r="GC154" s="198"/>
      <c r="GD154" s="198"/>
      <c r="GE154" s="198"/>
      <c r="GF154" s="198"/>
      <c r="GG154" s="198"/>
      <c r="GH154" s="198"/>
      <c r="GI154" s="198"/>
      <c r="GJ154" s="198"/>
      <c r="GK154" s="198"/>
      <c r="GL154" s="198"/>
      <c r="GM154" s="198"/>
      <c r="GN154" s="198"/>
      <c r="GO154" s="198"/>
      <c r="GP154" s="198"/>
      <c r="GQ154" s="198"/>
      <c r="GR154" s="198"/>
      <c r="GS154" s="198"/>
      <c r="GT154" s="198"/>
      <c r="GU154" s="198"/>
      <c r="GV154" s="198"/>
      <c r="GW154" s="198"/>
      <c r="GX154" s="198"/>
      <c r="GY154" s="198"/>
      <c r="GZ154" s="198"/>
      <c r="HA154" s="198"/>
      <c r="HB154" s="198"/>
      <c r="HC154" s="198"/>
      <c r="HD154" s="198"/>
      <c r="HE154" s="198"/>
      <c r="HF154" s="198"/>
      <c r="HG154" s="198"/>
      <c r="HH154" s="198"/>
      <c r="HI154" s="198"/>
      <c r="HJ154" s="198"/>
      <c r="HK154" s="198"/>
      <c r="HL154" s="198"/>
      <c r="HM154" s="198"/>
      <c r="HN154" s="198"/>
      <c r="HO154" s="198"/>
      <c r="HP154" s="198"/>
      <c r="HQ154" s="198"/>
      <c r="HR154" s="198"/>
      <c r="HS154" s="198"/>
      <c r="HT154" s="198"/>
      <c r="HU154" s="198"/>
      <c r="HV154" s="198"/>
      <c r="HW154" s="198"/>
      <c r="HX154" s="198"/>
      <c r="HY154" s="198"/>
      <c r="HZ154" s="198"/>
      <c r="IA154" s="198"/>
      <c r="IB154" s="198"/>
      <c r="IC154" s="198"/>
      <c r="ID154" s="198"/>
      <c r="IE154" s="198"/>
      <c r="IF154" s="198"/>
      <c r="IG154" s="198"/>
      <c r="IH154" s="198"/>
      <c r="II154" s="198"/>
      <c r="IJ154" s="198"/>
      <c r="IK154" s="198"/>
      <c r="IL154" s="198"/>
      <c r="IM154" s="198"/>
      <c r="IN154" s="198"/>
      <c r="IO154" s="198"/>
      <c r="IP154" s="198"/>
      <c r="IQ154" s="198"/>
      <c r="IR154" s="198"/>
      <c r="IS154" s="198"/>
      <c r="IT154" s="198"/>
      <c r="IU154" s="198"/>
      <c r="IV154" s="198"/>
      <c r="IW154" s="198"/>
      <c r="IX154" s="198"/>
      <c r="IY154" s="198"/>
      <c r="IZ154" s="198"/>
      <c r="JA154" s="198"/>
      <c r="JB154" s="198"/>
      <c r="JC154" s="198"/>
      <c r="JD154" s="198"/>
      <c r="JE154" s="198"/>
      <c r="JF154" s="198"/>
      <c r="JG154" s="198"/>
      <c r="JH154" s="198"/>
      <c r="JI154" s="198"/>
      <c r="JJ154" s="198"/>
      <c r="JK154" s="198"/>
      <c r="JL154" s="198"/>
      <c r="JM154" s="198"/>
      <c r="JN154" s="198"/>
      <c r="JO154" s="198"/>
      <c r="JP154" s="198"/>
      <c r="JQ154" s="198"/>
      <c r="JR154" s="198"/>
      <c r="JS154" s="198"/>
      <c r="JT154" s="198"/>
      <c r="JU154" s="198"/>
      <c r="JV154" s="198"/>
      <c r="JW154" s="198"/>
      <c r="JX154" s="198"/>
      <c r="JY154" s="198"/>
      <c r="JZ154" s="198"/>
      <c r="KA154" s="198"/>
      <c r="KB154" s="198"/>
      <c r="KC154" s="198"/>
      <c r="KD154" s="198"/>
      <c r="KE154" s="198"/>
      <c r="KF154" s="198"/>
      <c r="KG154" s="198"/>
      <c r="KH154" s="198"/>
      <c r="KI154" s="198"/>
      <c r="KJ154" s="198"/>
      <c r="KK154" s="198"/>
      <c r="KL154" s="198"/>
      <c r="KM154" s="198"/>
      <c r="KN154" s="198"/>
      <c r="KO154" s="198"/>
      <c r="KP154" s="198"/>
      <c r="KQ154" s="198"/>
      <c r="KR154" s="198"/>
      <c r="KS154" s="198"/>
      <c r="KT154" s="198"/>
      <c r="KU154" s="198"/>
      <c r="KV154" s="198"/>
      <c r="KW154" s="198"/>
      <c r="KX154" s="198"/>
      <c r="KY154" s="198"/>
      <c r="KZ154" s="198"/>
      <c r="LA154" s="198"/>
      <c r="LB154" s="198"/>
      <c r="LC154" s="198"/>
      <c r="LD154" s="198"/>
      <c r="LE154" s="198"/>
      <c r="LF154" s="198"/>
      <c r="LG154" s="198"/>
      <c r="LH154" s="198"/>
      <c r="LI154" s="198"/>
      <c r="LJ154" s="198"/>
      <c r="LK154" s="198"/>
      <c r="LL154" s="198"/>
      <c r="LM154" s="198"/>
      <c r="LN154" s="198"/>
      <c r="LO154" s="198"/>
      <c r="LP154" s="198"/>
      <c r="LQ154" s="198"/>
      <c r="LR154" s="198"/>
      <c r="LS154" s="198"/>
      <c r="LT154" s="198"/>
      <c r="LU154" s="198"/>
      <c r="LV154" s="198"/>
      <c r="LW154" s="198"/>
      <c r="LX154" s="198"/>
      <c r="LY154" s="198"/>
      <c r="LZ154" s="198"/>
      <c r="MA154" s="198"/>
      <c r="MB154" s="198"/>
      <c r="MC154" s="198"/>
      <c r="MD154" s="198"/>
      <c r="ME154" s="198"/>
      <c r="MF154" s="198"/>
      <c r="MG154" s="198"/>
      <c r="MH154" s="198"/>
      <c r="MI154" s="198"/>
      <c r="MJ154" s="198"/>
      <c r="MK154" s="198"/>
      <c r="ML154" s="198"/>
      <c r="MM154" s="198"/>
      <c r="MN154" s="198"/>
      <c r="MO154" s="198"/>
      <c r="MP154" s="198"/>
      <c r="MQ154" s="198"/>
      <c r="MR154" s="198"/>
      <c r="MS154" s="198"/>
      <c r="MT154" s="198"/>
      <c r="MU154" s="198"/>
      <c r="MV154" s="198"/>
      <c r="MW154" s="198"/>
      <c r="MX154" s="198"/>
      <c r="MY154" s="198"/>
      <c r="MZ154" s="198"/>
      <c r="NA154" s="198"/>
      <c r="NB154" s="198"/>
      <c r="NC154" s="198"/>
      <c r="ND154" s="198"/>
      <c r="NE154" s="198"/>
      <c r="NF154" s="198"/>
      <c r="NG154" s="198"/>
      <c r="NH154" s="198"/>
      <c r="NI154" s="198"/>
      <c r="NJ154" s="198"/>
      <c r="NK154" s="198"/>
      <c r="NL154" s="198"/>
      <c r="NM154" s="198"/>
      <c r="NN154" s="198"/>
      <c r="NO154" s="198"/>
      <c r="NP154" s="198"/>
      <c r="NQ154" s="198"/>
      <c r="NR154" s="198"/>
      <c r="NS154" s="198"/>
      <c r="NT154" s="198"/>
      <c r="NU154" s="198"/>
      <c r="NV154" s="198"/>
      <c r="NW154" s="198"/>
      <c r="NX154" s="198"/>
      <c r="NY154" s="198"/>
      <c r="NZ154" s="198"/>
      <c r="OA154" s="198"/>
      <c r="OB154" s="198"/>
      <c r="OC154" s="198"/>
      <c r="OD154" s="198"/>
      <c r="OE154" s="198"/>
      <c r="OF154" s="198"/>
      <c r="OG154" s="198"/>
      <c r="OH154" s="198"/>
      <c r="OI154" s="198"/>
      <c r="OJ154" s="198"/>
      <c r="OK154" s="198"/>
      <c r="OL154" s="198"/>
      <c r="OM154" s="198"/>
      <c r="ON154" s="198"/>
      <c r="OO154" s="198"/>
      <c r="OP154" s="198"/>
      <c r="OQ154" s="198"/>
      <c r="OR154" s="198"/>
      <c r="OS154" s="198"/>
      <c r="OT154" s="198"/>
      <c r="OU154" s="198"/>
      <c r="OV154" s="198"/>
      <c r="OW154" s="198"/>
      <c r="OX154" s="198"/>
      <c r="OY154" s="198"/>
      <c r="OZ154" s="198"/>
      <c r="PA154" s="198"/>
      <c r="PB154" s="198"/>
      <c r="PC154" s="198"/>
      <c r="PD154" s="198"/>
      <c r="PE154" s="198"/>
      <c r="PF154" s="198"/>
      <c r="PG154" s="198"/>
      <c r="PH154" s="198"/>
      <c r="PI154" s="198"/>
      <c r="PJ154" s="198"/>
      <c r="PK154" s="198"/>
      <c r="PL154" s="198"/>
      <c r="PM154" s="198"/>
      <c r="PN154" s="198"/>
      <c r="PO154" s="198"/>
      <c r="PP154" s="198"/>
      <c r="PQ154" s="198"/>
      <c r="PR154" s="198"/>
      <c r="PS154" s="198"/>
      <c r="PT154" s="198"/>
      <c r="PU154" s="198"/>
      <c r="PV154" s="198"/>
      <c r="PW154" s="198"/>
      <c r="PX154" s="198"/>
      <c r="PY154" s="198"/>
      <c r="PZ154" s="198"/>
      <c r="QA154" s="198"/>
      <c r="QB154" s="198"/>
      <c r="QC154" s="198"/>
      <c r="QD154" s="198"/>
      <c r="QE154" s="198"/>
      <c r="QF154" s="198"/>
      <c r="QG154" s="198"/>
      <c r="QH154" s="198"/>
      <c r="QI154" s="198"/>
      <c r="QJ154" s="198"/>
      <c r="QK154" s="198"/>
      <c r="QL154" s="198"/>
      <c r="QM154" s="198"/>
      <c r="QN154" s="198"/>
      <c r="QO154" s="198"/>
      <c r="QP154" s="198"/>
      <c r="QQ154" s="198"/>
      <c r="QR154" s="198"/>
      <c r="QS154" s="198"/>
      <c r="QT154" s="198"/>
      <c r="QU154" s="198"/>
      <c r="QV154" s="198"/>
      <c r="QW154" s="198"/>
      <c r="QX154" s="198"/>
      <c r="QY154" s="198"/>
      <c r="QZ154" s="198"/>
      <c r="RA154" s="198"/>
      <c r="RB154" s="198"/>
      <c r="RC154" s="198"/>
      <c r="RD154" s="198"/>
      <c r="RE154" s="198"/>
      <c r="RF154" s="198"/>
      <c r="RG154" s="198"/>
      <c r="RH154" s="198"/>
      <c r="RI154" s="198"/>
      <c r="RJ154" s="198"/>
      <c r="RK154" s="198"/>
      <c r="RL154" s="198"/>
      <c r="RM154" s="198"/>
      <c r="RN154" s="198"/>
      <c r="RO154" s="198"/>
      <c r="RP154" s="198"/>
      <c r="RQ154" s="198"/>
      <c r="RR154" s="198"/>
      <c r="RS154" s="198"/>
      <c r="RT154" s="198"/>
      <c r="RU154" s="198"/>
      <c r="RV154" s="198"/>
      <c r="RW154" s="198"/>
      <c r="RX154" s="198"/>
      <c r="RY154" s="198"/>
      <c r="RZ154" s="198"/>
      <c r="SA154" s="198"/>
      <c r="SB154" s="198"/>
      <c r="SC154" s="198"/>
      <c r="SD154" s="198"/>
      <c r="SE154" s="198"/>
      <c r="SF154" s="198"/>
      <c r="SG154" s="198"/>
    </row>
    <row r="155" spans="1:501" ht="40.049999999999997" customHeight="1" x14ac:dyDescent="0.3">
      <c r="A155" s="546" t="s">
        <v>376</v>
      </c>
      <c r="B155" s="962" t="s">
        <v>377</v>
      </c>
      <c r="C155" s="950"/>
      <c r="D155" s="861"/>
      <c r="E155" s="862"/>
      <c r="F155" s="861"/>
      <c r="G155" s="862">
        <f>MANZ.C!AL158</f>
        <v>0</v>
      </c>
      <c r="H155" s="861"/>
      <c r="I155" s="862"/>
      <c r="J155" s="861"/>
      <c r="K155" s="862"/>
      <c r="L155" s="861"/>
      <c r="M155" s="862"/>
      <c r="N155" s="861"/>
      <c r="O155" s="862">
        <f>MANZ.G!AS154</f>
        <v>18</v>
      </c>
      <c r="P155" s="861"/>
      <c r="Q155" s="862"/>
      <c r="R155" s="861"/>
      <c r="S155" s="862"/>
      <c r="T155" s="861"/>
      <c r="U155" s="862"/>
      <c r="V155" s="861"/>
      <c r="W155" s="862"/>
      <c r="X155" s="861"/>
      <c r="Y155" s="862"/>
      <c r="Z155" s="861"/>
      <c r="AA155" s="862"/>
      <c r="AB155" s="864"/>
      <c r="AC155" s="864"/>
      <c r="AD155" s="864"/>
      <c r="AE155" s="864"/>
      <c r="AF155" s="861"/>
      <c r="AG155" s="865">
        <f>SUM(C156:AA156)</f>
        <v>17</v>
      </c>
      <c r="AH155" s="866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  <c r="AS155" s="198"/>
      <c r="AT155" s="198"/>
      <c r="AU155" s="198"/>
      <c r="AV155" s="198"/>
      <c r="AW155" s="198"/>
      <c r="AX155" s="198"/>
      <c r="AY155" s="198"/>
      <c r="AZ155" s="198"/>
      <c r="BA155" s="198"/>
      <c r="BB155" s="198"/>
      <c r="BC155" s="198"/>
      <c r="BD155" s="198"/>
      <c r="BE155" s="198"/>
      <c r="BF155" s="198"/>
      <c r="BG155" s="198"/>
      <c r="BH155" s="198"/>
      <c r="BI155" s="198"/>
      <c r="BJ155" s="198"/>
      <c r="BK155" s="198"/>
      <c r="BL155" s="198"/>
      <c r="BM155" s="198"/>
      <c r="BN155" s="198"/>
      <c r="BO155" s="198"/>
      <c r="BP155" s="198"/>
      <c r="BQ155" s="198"/>
      <c r="BR155" s="198"/>
      <c r="BS155" s="198"/>
      <c r="BT155" s="198"/>
      <c r="BU155" s="198"/>
      <c r="BV155" s="198"/>
      <c r="BW155" s="198"/>
      <c r="BX155" s="198"/>
      <c r="BY155" s="198"/>
      <c r="BZ155" s="198"/>
      <c r="CA155" s="198"/>
      <c r="CB155" s="198"/>
      <c r="CC155" s="198"/>
      <c r="CD155" s="198"/>
      <c r="CE155" s="198"/>
      <c r="CF155" s="198"/>
      <c r="CG155" s="198"/>
      <c r="CH155" s="198"/>
      <c r="CI155" s="198"/>
      <c r="CJ155" s="198"/>
      <c r="CK155" s="198"/>
      <c r="CL155" s="198"/>
      <c r="CM155" s="198"/>
      <c r="CN155" s="198"/>
      <c r="CO155" s="198"/>
      <c r="CP155" s="198"/>
      <c r="CQ155" s="198"/>
      <c r="CR155" s="198"/>
      <c r="CS155" s="198"/>
      <c r="CT155" s="198"/>
      <c r="CU155" s="198"/>
      <c r="CV155" s="198"/>
      <c r="CW155" s="198"/>
      <c r="CX155" s="198"/>
      <c r="CY155" s="198"/>
      <c r="CZ155" s="198"/>
      <c r="DA155" s="198"/>
      <c r="DB155" s="198"/>
      <c r="DC155" s="198"/>
      <c r="DD155" s="198"/>
      <c r="DE155" s="198"/>
      <c r="DF155" s="198"/>
      <c r="DG155" s="198"/>
      <c r="DH155" s="198"/>
      <c r="DI155" s="198"/>
      <c r="DJ155" s="198"/>
      <c r="DK155" s="198"/>
      <c r="DL155" s="198"/>
      <c r="DM155" s="198"/>
      <c r="DN155" s="198"/>
      <c r="DO155" s="198"/>
      <c r="DP155" s="198"/>
      <c r="DQ155" s="198"/>
      <c r="DR155" s="198"/>
      <c r="DS155" s="198"/>
      <c r="DT155" s="198"/>
      <c r="DU155" s="198"/>
      <c r="DV155" s="198"/>
      <c r="DW155" s="198"/>
      <c r="DX155" s="198"/>
      <c r="DY155" s="198"/>
      <c r="DZ155" s="198"/>
      <c r="EA155" s="198"/>
      <c r="EB155" s="198"/>
      <c r="EC155" s="198"/>
      <c r="ED155" s="198"/>
      <c r="EE155" s="198"/>
      <c r="EF155" s="198"/>
      <c r="EG155" s="198"/>
      <c r="EH155" s="198"/>
      <c r="EI155" s="198"/>
      <c r="EJ155" s="198"/>
      <c r="EK155" s="198"/>
      <c r="EL155" s="198"/>
      <c r="EM155" s="198"/>
      <c r="EN155" s="198"/>
      <c r="EO155" s="198"/>
      <c r="EP155" s="198"/>
      <c r="EQ155" s="198"/>
      <c r="ER155" s="198"/>
      <c r="ES155" s="198"/>
      <c r="ET155" s="198"/>
      <c r="EU155" s="198"/>
      <c r="EV155" s="198"/>
      <c r="EW155" s="198"/>
      <c r="EX155" s="198"/>
      <c r="EY155" s="198"/>
      <c r="EZ155" s="198"/>
      <c r="FA155" s="198"/>
      <c r="FB155" s="198"/>
      <c r="FC155" s="198"/>
      <c r="FD155" s="198"/>
      <c r="FE155" s="198"/>
      <c r="FF155" s="198"/>
      <c r="FG155" s="198"/>
      <c r="FH155" s="198"/>
      <c r="FI155" s="198"/>
      <c r="FJ155" s="198"/>
      <c r="FK155" s="198"/>
      <c r="FL155" s="198"/>
      <c r="FM155" s="198"/>
      <c r="FN155" s="198"/>
      <c r="FO155" s="198"/>
      <c r="FP155" s="198"/>
      <c r="FQ155" s="198"/>
      <c r="FR155" s="198"/>
      <c r="FS155" s="198"/>
      <c r="FT155" s="198"/>
      <c r="FU155" s="198"/>
      <c r="FV155" s="198"/>
      <c r="FW155" s="198"/>
      <c r="FX155" s="198"/>
      <c r="FY155" s="198"/>
      <c r="FZ155" s="198"/>
      <c r="GA155" s="198"/>
      <c r="GB155" s="198"/>
      <c r="GC155" s="198"/>
      <c r="GD155" s="198"/>
      <c r="GE155" s="198"/>
      <c r="GF155" s="198"/>
      <c r="GG155" s="198"/>
      <c r="GH155" s="198"/>
      <c r="GI155" s="198"/>
      <c r="GJ155" s="198"/>
      <c r="GK155" s="198"/>
      <c r="GL155" s="198"/>
      <c r="GM155" s="198"/>
      <c r="GN155" s="198"/>
      <c r="GO155" s="198"/>
      <c r="GP155" s="198"/>
      <c r="GQ155" s="198"/>
      <c r="GR155" s="198"/>
      <c r="GS155" s="198"/>
      <c r="GT155" s="198"/>
      <c r="GU155" s="198"/>
      <c r="GV155" s="198"/>
      <c r="GW155" s="198"/>
      <c r="GX155" s="198"/>
      <c r="GY155" s="198"/>
      <c r="GZ155" s="198"/>
      <c r="HA155" s="198"/>
      <c r="HB155" s="198"/>
      <c r="HC155" s="198"/>
      <c r="HD155" s="198"/>
      <c r="HE155" s="198"/>
      <c r="HF155" s="198"/>
      <c r="HG155" s="198"/>
      <c r="HH155" s="198"/>
      <c r="HI155" s="198"/>
      <c r="HJ155" s="198"/>
      <c r="HK155" s="198"/>
      <c r="HL155" s="198"/>
      <c r="HM155" s="198"/>
      <c r="HN155" s="198"/>
      <c r="HO155" s="198"/>
      <c r="HP155" s="198"/>
      <c r="HQ155" s="198"/>
      <c r="HR155" s="198"/>
      <c r="HS155" s="198"/>
      <c r="HT155" s="198"/>
      <c r="HU155" s="198"/>
      <c r="HV155" s="198"/>
      <c r="HW155" s="198"/>
      <c r="HX155" s="198"/>
      <c r="HY155" s="198"/>
      <c r="HZ155" s="198"/>
      <c r="IA155" s="198"/>
      <c r="IB155" s="198"/>
      <c r="IC155" s="198"/>
      <c r="ID155" s="198"/>
      <c r="IE155" s="198"/>
      <c r="IF155" s="198"/>
      <c r="IG155" s="198"/>
      <c r="IH155" s="198"/>
      <c r="II155" s="198"/>
      <c r="IJ155" s="198"/>
      <c r="IK155" s="198"/>
      <c r="IL155" s="198"/>
      <c r="IM155" s="198"/>
      <c r="IN155" s="198"/>
      <c r="IO155" s="198"/>
      <c r="IP155" s="198"/>
      <c r="IQ155" s="198"/>
      <c r="IR155" s="198"/>
      <c r="IS155" s="198"/>
      <c r="IT155" s="198"/>
      <c r="IU155" s="198"/>
      <c r="IV155" s="198"/>
      <c r="IW155" s="198"/>
      <c r="IX155" s="198"/>
      <c r="IY155" s="198"/>
      <c r="IZ155" s="198"/>
      <c r="JA155" s="198"/>
      <c r="JB155" s="198"/>
      <c r="JC155" s="198"/>
      <c r="JD155" s="198"/>
      <c r="JE155" s="198"/>
      <c r="JF155" s="198"/>
      <c r="JG155" s="198"/>
      <c r="JH155" s="198"/>
      <c r="JI155" s="198"/>
      <c r="JJ155" s="198"/>
      <c r="JK155" s="198"/>
      <c r="JL155" s="198"/>
      <c r="JM155" s="198"/>
      <c r="JN155" s="198"/>
      <c r="JO155" s="198"/>
      <c r="JP155" s="198"/>
      <c r="JQ155" s="198"/>
      <c r="JR155" s="198"/>
      <c r="JS155" s="198"/>
      <c r="JT155" s="198"/>
      <c r="JU155" s="198"/>
      <c r="JV155" s="198"/>
      <c r="JW155" s="198"/>
      <c r="JX155" s="198"/>
      <c r="JY155" s="198"/>
      <c r="JZ155" s="198"/>
      <c r="KA155" s="198"/>
      <c r="KB155" s="198"/>
      <c r="KC155" s="198"/>
      <c r="KD155" s="198"/>
      <c r="KE155" s="198"/>
      <c r="KF155" s="198"/>
      <c r="KG155" s="198"/>
      <c r="KH155" s="198"/>
      <c r="KI155" s="198"/>
      <c r="KJ155" s="198"/>
      <c r="KK155" s="198"/>
      <c r="KL155" s="198"/>
      <c r="KM155" s="198"/>
      <c r="KN155" s="198"/>
      <c r="KO155" s="198"/>
      <c r="KP155" s="198"/>
      <c r="KQ155" s="198"/>
      <c r="KR155" s="198"/>
      <c r="KS155" s="198"/>
      <c r="KT155" s="198"/>
      <c r="KU155" s="198"/>
      <c r="KV155" s="198"/>
      <c r="KW155" s="198"/>
      <c r="KX155" s="198"/>
      <c r="KY155" s="198"/>
      <c r="KZ155" s="198"/>
      <c r="LA155" s="198"/>
      <c r="LB155" s="198"/>
      <c r="LC155" s="198"/>
      <c r="LD155" s="198"/>
      <c r="LE155" s="198"/>
      <c r="LF155" s="198"/>
      <c r="LG155" s="198"/>
      <c r="LH155" s="198"/>
      <c r="LI155" s="198"/>
      <c r="LJ155" s="198"/>
      <c r="LK155" s="198"/>
      <c r="LL155" s="198"/>
      <c r="LM155" s="198"/>
      <c r="LN155" s="198"/>
      <c r="LO155" s="198"/>
      <c r="LP155" s="198"/>
      <c r="LQ155" s="198"/>
      <c r="LR155" s="198"/>
      <c r="LS155" s="198"/>
      <c r="LT155" s="198"/>
      <c r="LU155" s="198"/>
      <c r="LV155" s="198"/>
      <c r="LW155" s="198"/>
      <c r="LX155" s="198"/>
      <c r="LY155" s="198"/>
      <c r="LZ155" s="198"/>
      <c r="MA155" s="198"/>
      <c r="MB155" s="198"/>
      <c r="MC155" s="198"/>
      <c r="MD155" s="198"/>
      <c r="ME155" s="198"/>
      <c r="MF155" s="198"/>
      <c r="MG155" s="198"/>
      <c r="MH155" s="198"/>
      <c r="MI155" s="198"/>
      <c r="MJ155" s="198"/>
      <c r="MK155" s="198"/>
      <c r="ML155" s="198"/>
      <c r="MM155" s="198"/>
      <c r="MN155" s="198"/>
      <c r="MO155" s="198"/>
      <c r="MP155" s="198"/>
      <c r="MQ155" s="198"/>
      <c r="MR155" s="198"/>
      <c r="MS155" s="198"/>
      <c r="MT155" s="198"/>
      <c r="MU155" s="198"/>
      <c r="MV155" s="198"/>
      <c r="MW155" s="198"/>
      <c r="MX155" s="198"/>
      <c r="MY155" s="198"/>
      <c r="MZ155" s="198"/>
      <c r="NA155" s="198"/>
      <c r="NB155" s="198"/>
      <c r="NC155" s="198"/>
      <c r="ND155" s="198"/>
      <c r="NE155" s="198"/>
      <c r="NF155" s="198"/>
      <c r="NG155" s="198"/>
      <c r="NH155" s="198"/>
      <c r="NI155" s="198"/>
      <c r="NJ155" s="198"/>
      <c r="NK155" s="198"/>
      <c r="NL155" s="198"/>
      <c r="NM155" s="198"/>
      <c r="NN155" s="198"/>
      <c r="NO155" s="198"/>
      <c r="NP155" s="198"/>
      <c r="NQ155" s="198"/>
      <c r="NR155" s="198"/>
      <c r="NS155" s="198"/>
      <c r="NT155" s="198"/>
      <c r="NU155" s="198"/>
      <c r="NV155" s="198"/>
      <c r="NW155" s="198"/>
      <c r="NX155" s="198"/>
      <c r="NY155" s="198"/>
      <c r="NZ155" s="198"/>
      <c r="OA155" s="198"/>
      <c r="OB155" s="198"/>
      <c r="OC155" s="198"/>
      <c r="OD155" s="198"/>
      <c r="OE155" s="198"/>
      <c r="OF155" s="198"/>
      <c r="OG155" s="198"/>
      <c r="OH155" s="198"/>
      <c r="OI155" s="198"/>
      <c r="OJ155" s="198"/>
      <c r="OK155" s="198"/>
      <c r="OL155" s="198"/>
      <c r="OM155" s="198"/>
      <c r="ON155" s="198"/>
      <c r="OO155" s="198"/>
      <c r="OP155" s="198"/>
      <c r="OQ155" s="198"/>
      <c r="OR155" s="198"/>
      <c r="OS155" s="198"/>
      <c r="OT155" s="198"/>
      <c r="OU155" s="198"/>
      <c r="OV155" s="198"/>
      <c r="OW155" s="198"/>
      <c r="OX155" s="198"/>
      <c r="OY155" s="198"/>
      <c r="OZ155" s="198"/>
      <c r="PA155" s="198"/>
      <c r="PB155" s="198"/>
      <c r="PC155" s="198"/>
      <c r="PD155" s="198"/>
      <c r="PE155" s="198"/>
      <c r="PF155" s="198"/>
      <c r="PG155" s="198"/>
      <c r="PH155" s="198"/>
      <c r="PI155" s="198"/>
      <c r="PJ155" s="198"/>
      <c r="PK155" s="198"/>
      <c r="PL155" s="198"/>
      <c r="PM155" s="198"/>
      <c r="PN155" s="198"/>
      <c r="PO155" s="198"/>
      <c r="PP155" s="198"/>
      <c r="PQ155" s="198"/>
      <c r="PR155" s="198"/>
      <c r="PS155" s="198"/>
      <c r="PT155" s="198"/>
      <c r="PU155" s="198"/>
      <c r="PV155" s="198"/>
      <c r="PW155" s="198"/>
      <c r="PX155" s="198"/>
      <c r="PY155" s="198"/>
      <c r="PZ155" s="198"/>
      <c r="QA155" s="198"/>
      <c r="QB155" s="198"/>
      <c r="QC155" s="198"/>
      <c r="QD155" s="198"/>
      <c r="QE155" s="198"/>
      <c r="QF155" s="198"/>
      <c r="QG155" s="198"/>
      <c r="QH155" s="198"/>
      <c r="QI155" s="198"/>
      <c r="QJ155" s="198"/>
      <c r="QK155" s="198"/>
      <c r="QL155" s="198"/>
      <c r="QM155" s="198"/>
      <c r="QN155" s="198"/>
      <c r="QO155" s="198"/>
      <c r="QP155" s="198"/>
      <c r="QQ155" s="198"/>
      <c r="QR155" s="198"/>
      <c r="QS155" s="198"/>
      <c r="QT155" s="198"/>
      <c r="QU155" s="198"/>
      <c r="QV155" s="198"/>
      <c r="QW155" s="198"/>
      <c r="QX155" s="198"/>
      <c r="QY155" s="198"/>
      <c r="QZ155" s="198"/>
      <c r="RA155" s="198"/>
      <c r="RB155" s="198"/>
      <c r="RC155" s="198"/>
      <c r="RD155" s="198"/>
      <c r="RE155" s="198"/>
      <c r="RF155" s="198"/>
      <c r="RG155" s="198"/>
      <c r="RH155" s="198"/>
      <c r="RI155" s="198"/>
      <c r="RJ155" s="198"/>
      <c r="RK155" s="198"/>
      <c r="RL155" s="198"/>
      <c r="RM155" s="198"/>
      <c r="RN155" s="198"/>
      <c r="RO155" s="198"/>
      <c r="RP155" s="198"/>
      <c r="RQ155" s="198"/>
      <c r="RR155" s="198"/>
      <c r="RS155" s="198"/>
      <c r="RT155" s="198"/>
      <c r="RU155" s="198"/>
      <c r="RV155" s="198"/>
      <c r="RW155" s="198"/>
      <c r="RX155" s="198"/>
      <c r="RY155" s="198"/>
      <c r="RZ155" s="198"/>
      <c r="SA155" s="198"/>
      <c r="SB155" s="198"/>
      <c r="SC155" s="198"/>
      <c r="SD155" s="198"/>
      <c r="SE155" s="198"/>
      <c r="SF155" s="198"/>
      <c r="SG155" s="198"/>
    </row>
    <row r="156" spans="1:501" ht="40.049999999999997" customHeight="1" x14ac:dyDescent="0.3">
      <c r="A156" s="546" t="s">
        <v>374</v>
      </c>
      <c r="B156" s="959" t="s">
        <v>375</v>
      </c>
      <c r="C156" s="950"/>
      <c r="D156" s="861"/>
      <c r="E156" s="862"/>
      <c r="F156" s="861"/>
      <c r="G156" s="862"/>
      <c r="H156" s="861"/>
      <c r="I156" s="862"/>
      <c r="J156" s="861"/>
      <c r="K156" s="862"/>
      <c r="L156" s="861"/>
      <c r="M156" s="862"/>
      <c r="N156" s="861"/>
      <c r="O156" s="862">
        <f>MANZ.G!AS155</f>
        <v>17</v>
      </c>
      <c r="P156" s="861"/>
      <c r="Q156" s="862"/>
      <c r="R156" s="861"/>
      <c r="S156" s="862"/>
      <c r="T156" s="861"/>
      <c r="U156" s="862"/>
      <c r="V156" s="861"/>
      <c r="W156" s="862"/>
      <c r="X156" s="861"/>
      <c r="Y156" s="862"/>
      <c r="Z156" s="861"/>
      <c r="AA156" s="862"/>
      <c r="AB156" s="864"/>
      <c r="AC156" s="864"/>
      <c r="AD156" s="864"/>
      <c r="AE156" s="864"/>
      <c r="AF156" s="861"/>
      <c r="AG156" s="865">
        <f>SUM(C157:AA157)</f>
        <v>4</v>
      </c>
      <c r="AH156" s="866"/>
      <c r="AI156" s="198"/>
      <c r="AJ156" s="198"/>
      <c r="AK156" s="198"/>
      <c r="AL156" s="198"/>
      <c r="AM156" s="198"/>
      <c r="AN156" s="198"/>
      <c r="AO156" s="198"/>
      <c r="AP156" s="198"/>
      <c r="AQ156" s="198"/>
      <c r="AR156" s="198"/>
      <c r="AS156" s="198"/>
      <c r="AT156" s="198"/>
      <c r="AU156" s="198"/>
      <c r="AV156" s="198"/>
      <c r="AW156" s="198"/>
      <c r="AX156" s="198"/>
      <c r="AY156" s="198"/>
      <c r="AZ156" s="198"/>
      <c r="BA156" s="198"/>
      <c r="BB156" s="198"/>
      <c r="BC156" s="198"/>
      <c r="BD156" s="198"/>
      <c r="BE156" s="198"/>
      <c r="BF156" s="198"/>
      <c r="BG156" s="198"/>
      <c r="BH156" s="198"/>
      <c r="BI156" s="198"/>
      <c r="BJ156" s="198"/>
      <c r="BK156" s="198"/>
      <c r="BL156" s="198"/>
      <c r="BM156" s="198"/>
      <c r="BN156" s="198"/>
      <c r="BO156" s="198"/>
      <c r="BP156" s="198"/>
      <c r="BQ156" s="198"/>
      <c r="BR156" s="198"/>
      <c r="BS156" s="198"/>
      <c r="BT156" s="198"/>
      <c r="BU156" s="198"/>
      <c r="BV156" s="198"/>
      <c r="BW156" s="198"/>
      <c r="BX156" s="198"/>
      <c r="BY156" s="198"/>
      <c r="BZ156" s="198"/>
      <c r="CA156" s="198"/>
      <c r="CB156" s="198"/>
      <c r="CC156" s="198"/>
      <c r="CD156" s="198"/>
      <c r="CE156" s="198"/>
      <c r="CF156" s="198"/>
      <c r="CG156" s="198"/>
      <c r="CH156" s="198"/>
      <c r="CI156" s="198"/>
      <c r="CJ156" s="198"/>
      <c r="CK156" s="198"/>
      <c r="CL156" s="198"/>
      <c r="CM156" s="198"/>
      <c r="CN156" s="198"/>
      <c r="CO156" s="198"/>
      <c r="CP156" s="198"/>
      <c r="CQ156" s="198"/>
      <c r="CR156" s="198"/>
      <c r="CS156" s="198"/>
      <c r="CT156" s="198"/>
      <c r="CU156" s="198"/>
      <c r="CV156" s="198"/>
      <c r="CW156" s="198"/>
      <c r="CX156" s="198"/>
      <c r="CY156" s="198"/>
      <c r="CZ156" s="198"/>
      <c r="DA156" s="198"/>
      <c r="DB156" s="198"/>
      <c r="DC156" s="198"/>
      <c r="DD156" s="198"/>
      <c r="DE156" s="198"/>
      <c r="DF156" s="198"/>
      <c r="DG156" s="198"/>
      <c r="DH156" s="198"/>
      <c r="DI156" s="198"/>
      <c r="DJ156" s="198"/>
      <c r="DK156" s="198"/>
      <c r="DL156" s="198"/>
      <c r="DM156" s="198"/>
      <c r="DN156" s="198"/>
      <c r="DO156" s="198"/>
      <c r="DP156" s="198"/>
      <c r="DQ156" s="198"/>
      <c r="DR156" s="198"/>
      <c r="DS156" s="198"/>
      <c r="DT156" s="198"/>
      <c r="DU156" s="198"/>
      <c r="DV156" s="198"/>
      <c r="DW156" s="198"/>
      <c r="DX156" s="198"/>
      <c r="DY156" s="198"/>
      <c r="DZ156" s="198"/>
      <c r="EA156" s="198"/>
      <c r="EB156" s="198"/>
      <c r="EC156" s="198"/>
      <c r="ED156" s="198"/>
      <c r="EE156" s="198"/>
      <c r="EF156" s="198"/>
      <c r="EG156" s="198"/>
      <c r="EH156" s="198"/>
      <c r="EI156" s="198"/>
      <c r="EJ156" s="198"/>
      <c r="EK156" s="198"/>
      <c r="EL156" s="198"/>
      <c r="EM156" s="198"/>
      <c r="EN156" s="198"/>
      <c r="EO156" s="198"/>
      <c r="EP156" s="198"/>
      <c r="EQ156" s="198"/>
      <c r="ER156" s="198"/>
      <c r="ES156" s="198"/>
      <c r="ET156" s="198"/>
      <c r="EU156" s="198"/>
      <c r="EV156" s="198"/>
      <c r="EW156" s="198"/>
      <c r="EX156" s="198"/>
      <c r="EY156" s="198"/>
      <c r="EZ156" s="198"/>
      <c r="FA156" s="198"/>
      <c r="FB156" s="198"/>
      <c r="FC156" s="198"/>
      <c r="FD156" s="198"/>
      <c r="FE156" s="198"/>
      <c r="FF156" s="198"/>
      <c r="FG156" s="198"/>
      <c r="FH156" s="198"/>
      <c r="FI156" s="198"/>
      <c r="FJ156" s="198"/>
      <c r="FK156" s="198"/>
      <c r="FL156" s="198"/>
      <c r="FM156" s="198"/>
      <c r="FN156" s="198"/>
      <c r="FO156" s="198"/>
      <c r="FP156" s="198"/>
      <c r="FQ156" s="198"/>
      <c r="FR156" s="198"/>
      <c r="FS156" s="198"/>
      <c r="FT156" s="198"/>
      <c r="FU156" s="198"/>
      <c r="FV156" s="198"/>
      <c r="FW156" s="198"/>
      <c r="FX156" s="198"/>
      <c r="FY156" s="198"/>
      <c r="FZ156" s="198"/>
      <c r="GA156" s="198"/>
      <c r="GB156" s="198"/>
      <c r="GC156" s="198"/>
      <c r="GD156" s="198"/>
      <c r="GE156" s="198"/>
      <c r="GF156" s="198"/>
      <c r="GG156" s="198"/>
      <c r="GH156" s="198"/>
      <c r="GI156" s="198"/>
      <c r="GJ156" s="198"/>
      <c r="GK156" s="198"/>
      <c r="GL156" s="198"/>
      <c r="GM156" s="198"/>
      <c r="GN156" s="198"/>
      <c r="GO156" s="198"/>
      <c r="GP156" s="198"/>
      <c r="GQ156" s="198"/>
      <c r="GR156" s="198"/>
      <c r="GS156" s="198"/>
      <c r="GT156" s="198"/>
      <c r="GU156" s="198"/>
      <c r="GV156" s="198"/>
      <c r="GW156" s="198"/>
      <c r="GX156" s="198"/>
      <c r="GY156" s="198"/>
      <c r="GZ156" s="198"/>
      <c r="HA156" s="198"/>
      <c r="HB156" s="198"/>
      <c r="HC156" s="198"/>
      <c r="HD156" s="198"/>
      <c r="HE156" s="198"/>
      <c r="HF156" s="198"/>
      <c r="HG156" s="198"/>
      <c r="HH156" s="198"/>
      <c r="HI156" s="198"/>
      <c r="HJ156" s="198"/>
      <c r="HK156" s="198"/>
      <c r="HL156" s="198"/>
      <c r="HM156" s="198"/>
      <c r="HN156" s="198"/>
      <c r="HO156" s="198"/>
      <c r="HP156" s="198"/>
      <c r="HQ156" s="198"/>
      <c r="HR156" s="198"/>
      <c r="HS156" s="198"/>
      <c r="HT156" s="198"/>
      <c r="HU156" s="198"/>
      <c r="HV156" s="198"/>
      <c r="HW156" s="198"/>
      <c r="HX156" s="198"/>
      <c r="HY156" s="198"/>
      <c r="HZ156" s="198"/>
      <c r="IA156" s="198"/>
      <c r="IB156" s="198"/>
      <c r="IC156" s="198"/>
      <c r="ID156" s="198"/>
      <c r="IE156" s="198"/>
      <c r="IF156" s="198"/>
      <c r="IG156" s="198"/>
      <c r="IH156" s="198"/>
      <c r="II156" s="198"/>
      <c r="IJ156" s="198"/>
      <c r="IK156" s="198"/>
      <c r="IL156" s="198"/>
      <c r="IM156" s="198"/>
      <c r="IN156" s="198"/>
      <c r="IO156" s="198"/>
      <c r="IP156" s="198"/>
      <c r="IQ156" s="198"/>
      <c r="IR156" s="198"/>
      <c r="IS156" s="198"/>
      <c r="IT156" s="198"/>
      <c r="IU156" s="198"/>
      <c r="IV156" s="198"/>
      <c r="IW156" s="198"/>
      <c r="IX156" s="198"/>
      <c r="IY156" s="198"/>
      <c r="IZ156" s="198"/>
      <c r="JA156" s="198"/>
      <c r="JB156" s="198"/>
      <c r="JC156" s="198"/>
      <c r="JD156" s="198"/>
      <c r="JE156" s="198"/>
      <c r="JF156" s="198"/>
      <c r="JG156" s="198"/>
      <c r="JH156" s="198"/>
      <c r="JI156" s="198"/>
      <c r="JJ156" s="198"/>
      <c r="JK156" s="198"/>
      <c r="JL156" s="198"/>
      <c r="JM156" s="198"/>
      <c r="JN156" s="198"/>
      <c r="JO156" s="198"/>
      <c r="JP156" s="198"/>
      <c r="JQ156" s="198"/>
      <c r="JR156" s="198"/>
      <c r="JS156" s="198"/>
      <c r="JT156" s="198"/>
      <c r="JU156" s="198"/>
      <c r="JV156" s="198"/>
      <c r="JW156" s="198"/>
      <c r="JX156" s="198"/>
      <c r="JY156" s="198"/>
      <c r="JZ156" s="198"/>
      <c r="KA156" s="198"/>
      <c r="KB156" s="198"/>
      <c r="KC156" s="198"/>
      <c r="KD156" s="198"/>
      <c r="KE156" s="198"/>
      <c r="KF156" s="198"/>
      <c r="KG156" s="198"/>
      <c r="KH156" s="198"/>
      <c r="KI156" s="198"/>
      <c r="KJ156" s="198"/>
      <c r="KK156" s="198"/>
      <c r="KL156" s="198"/>
      <c r="KM156" s="198"/>
      <c r="KN156" s="198"/>
      <c r="KO156" s="198"/>
      <c r="KP156" s="198"/>
      <c r="KQ156" s="198"/>
      <c r="KR156" s="198"/>
      <c r="KS156" s="198"/>
      <c r="KT156" s="198"/>
      <c r="KU156" s="198"/>
      <c r="KV156" s="198"/>
      <c r="KW156" s="198"/>
      <c r="KX156" s="198"/>
      <c r="KY156" s="198"/>
      <c r="KZ156" s="198"/>
      <c r="LA156" s="198"/>
      <c r="LB156" s="198"/>
      <c r="LC156" s="198"/>
      <c r="LD156" s="198"/>
      <c r="LE156" s="198"/>
      <c r="LF156" s="198"/>
      <c r="LG156" s="198"/>
      <c r="LH156" s="198"/>
      <c r="LI156" s="198"/>
      <c r="LJ156" s="198"/>
      <c r="LK156" s="198"/>
      <c r="LL156" s="198"/>
      <c r="LM156" s="198"/>
      <c r="LN156" s="198"/>
      <c r="LO156" s="198"/>
      <c r="LP156" s="198"/>
      <c r="LQ156" s="198"/>
      <c r="LR156" s="198"/>
      <c r="LS156" s="198"/>
      <c r="LT156" s="198"/>
      <c r="LU156" s="198"/>
      <c r="LV156" s="198"/>
      <c r="LW156" s="198"/>
      <c r="LX156" s="198"/>
      <c r="LY156" s="198"/>
      <c r="LZ156" s="198"/>
      <c r="MA156" s="198"/>
      <c r="MB156" s="198"/>
      <c r="MC156" s="198"/>
      <c r="MD156" s="198"/>
      <c r="ME156" s="198"/>
      <c r="MF156" s="198"/>
      <c r="MG156" s="198"/>
      <c r="MH156" s="198"/>
      <c r="MI156" s="198"/>
      <c r="MJ156" s="198"/>
      <c r="MK156" s="198"/>
      <c r="ML156" s="198"/>
      <c r="MM156" s="198"/>
      <c r="MN156" s="198"/>
      <c r="MO156" s="198"/>
      <c r="MP156" s="198"/>
      <c r="MQ156" s="198"/>
      <c r="MR156" s="198"/>
      <c r="MS156" s="198"/>
      <c r="MT156" s="198"/>
      <c r="MU156" s="198"/>
      <c r="MV156" s="198"/>
      <c r="MW156" s="198"/>
      <c r="MX156" s="198"/>
      <c r="MY156" s="198"/>
      <c r="MZ156" s="198"/>
      <c r="NA156" s="198"/>
      <c r="NB156" s="198"/>
      <c r="NC156" s="198"/>
      <c r="ND156" s="198"/>
      <c r="NE156" s="198"/>
      <c r="NF156" s="198"/>
      <c r="NG156" s="198"/>
      <c r="NH156" s="198"/>
      <c r="NI156" s="198"/>
      <c r="NJ156" s="198"/>
      <c r="NK156" s="198"/>
      <c r="NL156" s="198"/>
      <c r="NM156" s="198"/>
      <c r="NN156" s="198"/>
      <c r="NO156" s="198"/>
      <c r="NP156" s="198"/>
      <c r="NQ156" s="198"/>
      <c r="NR156" s="198"/>
      <c r="NS156" s="198"/>
      <c r="NT156" s="198"/>
      <c r="NU156" s="198"/>
      <c r="NV156" s="198"/>
      <c r="NW156" s="198"/>
      <c r="NX156" s="198"/>
      <c r="NY156" s="198"/>
      <c r="NZ156" s="198"/>
      <c r="OA156" s="198"/>
      <c r="OB156" s="198"/>
      <c r="OC156" s="198"/>
      <c r="OD156" s="198"/>
      <c r="OE156" s="198"/>
      <c r="OF156" s="198"/>
      <c r="OG156" s="198"/>
      <c r="OH156" s="198"/>
      <c r="OI156" s="198"/>
      <c r="OJ156" s="198"/>
      <c r="OK156" s="198"/>
      <c r="OL156" s="198"/>
      <c r="OM156" s="198"/>
      <c r="ON156" s="198"/>
      <c r="OO156" s="198"/>
      <c r="OP156" s="198"/>
      <c r="OQ156" s="198"/>
      <c r="OR156" s="198"/>
      <c r="OS156" s="198"/>
      <c r="OT156" s="198"/>
      <c r="OU156" s="198"/>
      <c r="OV156" s="198"/>
      <c r="OW156" s="198"/>
      <c r="OX156" s="198"/>
      <c r="OY156" s="198"/>
      <c r="OZ156" s="198"/>
      <c r="PA156" s="198"/>
      <c r="PB156" s="198"/>
      <c r="PC156" s="198"/>
      <c r="PD156" s="198"/>
      <c r="PE156" s="198"/>
      <c r="PF156" s="198"/>
      <c r="PG156" s="198"/>
      <c r="PH156" s="198"/>
      <c r="PI156" s="198"/>
      <c r="PJ156" s="198"/>
      <c r="PK156" s="198"/>
      <c r="PL156" s="198"/>
      <c r="PM156" s="198"/>
      <c r="PN156" s="198"/>
      <c r="PO156" s="198"/>
      <c r="PP156" s="198"/>
      <c r="PQ156" s="198"/>
      <c r="PR156" s="198"/>
      <c r="PS156" s="198"/>
      <c r="PT156" s="198"/>
      <c r="PU156" s="198"/>
      <c r="PV156" s="198"/>
      <c r="PW156" s="198"/>
      <c r="PX156" s="198"/>
      <c r="PY156" s="198"/>
      <c r="PZ156" s="198"/>
      <c r="QA156" s="198"/>
      <c r="QB156" s="198"/>
      <c r="QC156" s="198"/>
      <c r="QD156" s="198"/>
      <c r="QE156" s="198"/>
      <c r="QF156" s="198"/>
      <c r="QG156" s="198"/>
      <c r="QH156" s="198"/>
      <c r="QI156" s="198"/>
      <c r="QJ156" s="198"/>
      <c r="QK156" s="198"/>
      <c r="QL156" s="198"/>
      <c r="QM156" s="198"/>
      <c r="QN156" s="198"/>
      <c r="QO156" s="198"/>
      <c r="QP156" s="198"/>
      <c r="QQ156" s="198"/>
      <c r="QR156" s="198"/>
      <c r="QS156" s="198"/>
      <c r="QT156" s="198"/>
      <c r="QU156" s="198"/>
      <c r="QV156" s="198"/>
      <c r="QW156" s="198"/>
      <c r="QX156" s="198"/>
      <c r="QY156" s="198"/>
      <c r="QZ156" s="198"/>
      <c r="RA156" s="198"/>
      <c r="RB156" s="198"/>
      <c r="RC156" s="198"/>
      <c r="RD156" s="198"/>
      <c r="RE156" s="198"/>
      <c r="RF156" s="198"/>
      <c r="RG156" s="198"/>
      <c r="RH156" s="198"/>
      <c r="RI156" s="198"/>
      <c r="RJ156" s="198"/>
      <c r="RK156" s="198"/>
      <c r="RL156" s="198"/>
      <c r="RM156" s="198"/>
      <c r="RN156" s="198"/>
      <c r="RO156" s="198"/>
      <c r="RP156" s="198"/>
      <c r="RQ156" s="198"/>
      <c r="RR156" s="198"/>
      <c r="RS156" s="198"/>
      <c r="RT156" s="198"/>
      <c r="RU156" s="198"/>
      <c r="RV156" s="198"/>
      <c r="RW156" s="198"/>
      <c r="RX156" s="198"/>
      <c r="RY156" s="198"/>
      <c r="RZ156" s="198"/>
      <c r="SA156" s="198"/>
      <c r="SB156" s="198"/>
      <c r="SC156" s="198"/>
      <c r="SD156" s="198"/>
      <c r="SE156" s="198"/>
      <c r="SF156" s="198"/>
      <c r="SG156" s="198"/>
    </row>
    <row r="157" spans="1:501" ht="40.049999999999997" customHeight="1" thickBot="1" x14ac:dyDescent="0.55000000000000004">
      <c r="A157" s="943" t="s">
        <v>378</v>
      </c>
      <c r="B157" s="954" t="s">
        <v>379</v>
      </c>
      <c r="C157" s="950"/>
      <c r="D157" s="861"/>
      <c r="E157" s="862"/>
      <c r="F157" s="861"/>
      <c r="G157" s="862"/>
      <c r="H157" s="861"/>
      <c r="I157" s="862"/>
      <c r="J157" s="861"/>
      <c r="K157" s="862"/>
      <c r="L157" s="861"/>
      <c r="M157" s="862"/>
      <c r="N157" s="861"/>
      <c r="O157" s="862">
        <f>MANZ.G!AS156</f>
        <v>4</v>
      </c>
      <c r="P157" s="861"/>
      <c r="Q157" s="862"/>
      <c r="R157" s="861"/>
      <c r="S157" s="862"/>
      <c r="T157" s="861"/>
      <c r="U157" s="862"/>
      <c r="V157" s="861"/>
      <c r="W157" s="862"/>
      <c r="X157" s="861"/>
      <c r="Y157" s="862"/>
      <c r="Z157" s="861"/>
      <c r="AA157" s="862"/>
      <c r="AB157" s="864"/>
      <c r="AC157" s="864"/>
      <c r="AD157" s="864"/>
      <c r="AE157" s="864"/>
      <c r="AF157" s="861"/>
      <c r="AG157" s="865">
        <f>SUM(C158:AA158)</f>
        <v>0</v>
      </c>
      <c r="AH157" s="866"/>
    </row>
    <row r="158" spans="1:501" ht="40.049999999999997" customHeight="1" x14ac:dyDescent="0.3">
      <c r="A158" s="542" t="s">
        <v>380</v>
      </c>
      <c r="B158" s="953" t="s">
        <v>381</v>
      </c>
      <c r="C158" s="944"/>
      <c r="D158" s="944"/>
      <c r="E158" s="944"/>
      <c r="F158" s="944"/>
      <c r="G158" s="944"/>
      <c r="H158" s="944"/>
      <c r="I158" s="944"/>
      <c r="J158" s="944"/>
      <c r="K158" s="944"/>
      <c r="L158" s="944"/>
      <c r="M158" s="944"/>
      <c r="N158" s="944"/>
      <c r="O158" s="944"/>
      <c r="P158" s="944"/>
      <c r="Q158" s="944"/>
      <c r="R158" s="944"/>
      <c r="S158" s="944"/>
      <c r="T158" s="944"/>
      <c r="U158" s="944"/>
      <c r="V158" s="944"/>
      <c r="W158" s="944"/>
      <c r="X158" s="944"/>
      <c r="Y158" s="944"/>
      <c r="Z158" s="944"/>
      <c r="AA158" s="944"/>
      <c r="AB158" s="944"/>
      <c r="AC158" s="944"/>
      <c r="AD158" s="944"/>
      <c r="AE158" s="944"/>
      <c r="AF158" s="944"/>
      <c r="AG158" s="944"/>
      <c r="AH158" s="945"/>
      <c r="AK158" s="198"/>
      <c r="AL158" s="198"/>
      <c r="AM158" s="198"/>
      <c r="AN158" s="198"/>
      <c r="AO158" s="198"/>
      <c r="AP158" s="198"/>
      <c r="AQ158" s="198"/>
      <c r="AR158" s="198"/>
      <c r="AS158" s="198"/>
      <c r="AT158" s="198"/>
      <c r="AU158" s="198"/>
      <c r="AV158" s="198"/>
      <c r="AW158" s="198"/>
      <c r="AX158" s="198"/>
      <c r="AY158" s="198"/>
      <c r="AZ158" s="198"/>
      <c r="BA158" s="198"/>
      <c r="BB158" s="198"/>
      <c r="BC158" s="198"/>
      <c r="BD158" s="198"/>
      <c r="BE158" s="198"/>
      <c r="BF158" s="198"/>
      <c r="BG158" s="198"/>
      <c r="BH158" s="198"/>
      <c r="BI158" s="198"/>
      <c r="BJ158" s="198"/>
      <c r="BK158" s="198"/>
      <c r="BL158" s="198"/>
      <c r="BM158" s="198"/>
      <c r="BN158" s="198"/>
      <c r="BO158" s="198"/>
      <c r="BP158" s="198"/>
      <c r="BQ158" s="198"/>
      <c r="BR158" s="198"/>
      <c r="BS158" s="198"/>
      <c r="BT158" s="198"/>
      <c r="BU158" s="198"/>
      <c r="BV158" s="198"/>
      <c r="BW158" s="198"/>
      <c r="BX158" s="198"/>
      <c r="BY158" s="198"/>
      <c r="BZ158" s="198"/>
      <c r="CA158" s="198"/>
      <c r="CB158" s="198"/>
      <c r="CC158" s="198"/>
      <c r="CD158" s="198"/>
      <c r="CE158" s="198"/>
      <c r="CF158" s="198"/>
      <c r="CG158" s="198"/>
      <c r="CH158" s="198"/>
      <c r="CI158" s="198"/>
      <c r="CJ158" s="198"/>
      <c r="CK158" s="198"/>
      <c r="CL158" s="198"/>
      <c r="CM158" s="198"/>
      <c r="CN158" s="198"/>
      <c r="CO158" s="198"/>
      <c r="CP158" s="198"/>
      <c r="CQ158" s="198"/>
      <c r="CR158" s="198"/>
      <c r="CS158" s="198"/>
      <c r="CT158" s="198"/>
      <c r="CU158" s="198"/>
      <c r="CV158" s="198"/>
      <c r="CW158" s="198"/>
      <c r="CX158" s="198"/>
      <c r="CY158" s="198"/>
      <c r="CZ158" s="198"/>
      <c r="DA158" s="198"/>
      <c r="DB158" s="198"/>
      <c r="DC158" s="198"/>
      <c r="DD158" s="198"/>
      <c r="DE158" s="198"/>
      <c r="DF158" s="198"/>
      <c r="DG158" s="198"/>
      <c r="DH158" s="198"/>
      <c r="DI158" s="198"/>
      <c r="DJ158" s="198"/>
      <c r="DK158" s="198"/>
      <c r="DL158" s="198"/>
      <c r="DM158" s="198"/>
      <c r="DN158" s="198"/>
      <c r="DO158" s="198"/>
      <c r="DP158" s="198"/>
      <c r="DQ158" s="198"/>
      <c r="DR158" s="198"/>
      <c r="DS158" s="198"/>
      <c r="DT158" s="198"/>
      <c r="DU158" s="198"/>
      <c r="DV158" s="198"/>
      <c r="DW158" s="198"/>
      <c r="DX158" s="198"/>
      <c r="DY158" s="198"/>
      <c r="DZ158" s="198"/>
      <c r="EA158" s="198"/>
      <c r="EB158" s="198"/>
      <c r="EC158" s="198"/>
      <c r="ED158" s="198"/>
      <c r="EE158" s="198"/>
      <c r="EF158" s="198"/>
      <c r="EG158" s="198"/>
      <c r="EH158" s="198"/>
      <c r="EI158" s="198"/>
      <c r="EJ158" s="198"/>
      <c r="EK158" s="198"/>
      <c r="EL158" s="198"/>
      <c r="EM158" s="198"/>
      <c r="EN158" s="198"/>
      <c r="EO158" s="198"/>
      <c r="EP158" s="198"/>
      <c r="EQ158" s="198"/>
      <c r="ER158" s="198"/>
      <c r="ES158" s="198"/>
      <c r="ET158" s="198"/>
      <c r="EU158" s="198"/>
      <c r="EV158" s="198"/>
      <c r="EW158" s="198"/>
      <c r="EX158" s="198"/>
      <c r="EY158" s="198"/>
      <c r="EZ158" s="198"/>
      <c r="FA158" s="198"/>
      <c r="FB158" s="198"/>
      <c r="FC158" s="198"/>
      <c r="FD158" s="198"/>
      <c r="FE158" s="198"/>
      <c r="FF158" s="198"/>
      <c r="FG158" s="198"/>
      <c r="FH158" s="198"/>
      <c r="FI158" s="198"/>
      <c r="FJ158" s="198"/>
      <c r="FK158" s="198"/>
      <c r="FL158" s="198"/>
      <c r="FM158" s="198"/>
      <c r="FN158" s="198"/>
      <c r="FO158" s="198"/>
      <c r="FP158" s="198"/>
      <c r="FQ158" s="198"/>
      <c r="FR158" s="198"/>
      <c r="FS158" s="198"/>
      <c r="FT158" s="198"/>
      <c r="FU158" s="198"/>
      <c r="FV158" s="198"/>
      <c r="FW158" s="198"/>
      <c r="FX158" s="198"/>
      <c r="FY158" s="198"/>
      <c r="FZ158" s="198"/>
      <c r="GA158" s="198"/>
      <c r="GB158" s="198"/>
      <c r="GC158" s="198"/>
      <c r="GD158" s="198"/>
      <c r="GE158" s="198"/>
      <c r="GF158" s="198"/>
      <c r="GG158" s="198"/>
      <c r="GH158" s="198"/>
      <c r="GI158" s="198"/>
      <c r="GJ158" s="198"/>
      <c r="GK158" s="198"/>
      <c r="GL158" s="198"/>
      <c r="GM158" s="198"/>
      <c r="GN158" s="198"/>
      <c r="GO158" s="198"/>
      <c r="GP158" s="198"/>
      <c r="GQ158" s="198"/>
      <c r="GR158" s="198"/>
      <c r="GS158" s="198"/>
      <c r="GT158" s="198"/>
      <c r="GU158" s="198"/>
      <c r="GV158" s="198"/>
      <c r="GW158" s="198"/>
      <c r="GX158" s="198"/>
      <c r="GY158" s="198"/>
      <c r="GZ158" s="198"/>
      <c r="HA158" s="198"/>
      <c r="HB158" s="198"/>
      <c r="HC158" s="198"/>
      <c r="HD158" s="198"/>
      <c r="HE158" s="198"/>
      <c r="HF158" s="198"/>
      <c r="HG158" s="198"/>
      <c r="HH158" s="198"/>
      <c r="HI158" s="198"/>
      <c r="HJ158" s="198"/>
      <c r="HK158" s="198"/>
      <c r="HL158" s="198"/>
      <c r="HM158" s="198"/>
      <c r="HN158" s="198"/>
      <c r="HO158" s="198"/>
      <c r="HP158" s="198"/>
      <c r="HQ158" s="198"/>
      <c r="HR158" s="198"/>
      <c r="HS158" s="198"/>
      <c r="HT158" s="198"/>
      <c r="HU158" s="198"/>
      <c r="HV158" s="198"/>
      <c r="HW158" s="198"/>
      <c r="HX158" s="198"/>
      <c r="HY158" s="198"/>
      <c r="HZ158" s="198"/>
      <c r="IA158" s="198"/>
      <c r="IB158" s="198"/>
      <c r="IC158" s="198"/>
      <c r="ID158" s="198"/>
      <c r="IE158" s="198"/>
      <c r="IF158" s="198"/>
      <c r="IG158" s="198"/>
      <c r="IH158" s="198"/>
      <c r="II158" s="198"/>
      <c r="IJ158" s="198"/>
      <c r="IK158" s="198"/>
      <c r="IL158" s="198"/>
      <c r="IM158" s="198"/>
      <c r="IN158" s="198"/>
      <c r="IO158" s="198"/>
      <c r="IP158" s="198"/>
      <c r="IQ158" s="198"/>
      <c r="IR158" s="198"/>
      <c r="IS158" s="198"/>
      <c r="IT158" s="198"/>
      <c r="IU158" s="198"/>
      <c r="IV158" s="198"/>
      <c r="IW158" s="198"/>
      <c r="IX158" s="198"/>
      <c r="IY158" s="198"/>
      <c r="IZ158" s="198"/>
      <c r="JA158" s="198"/>
      <c r="JB158" s="198"/>
      <c r="JC158" s="198"/>
      <c r="JD158" s="198"/>
      <c r="JE158" s="198"/>
      <c r="JF158" s="198"/>
      <c r="JG158" s="198"/>
      <c r="JH158" s="198"/>
      <c r="JI158" s="198"/>
      <c r="JJ158" s="198"/>
      <c r="JK158" s="198"/>
      <c r="JL158" s="198"/>
      <c r="JM158" s="198"/>
      <c r="JN158" s="198"/>
      <c r="JO158" s="198"/>
      <c r="JP158" s="198"/>
      <c r="JQ158" s="198"/>
      <c r="JR158" s="198"/>
      <c r="JS158" s="198"/>
      <c r="JT158" s="198"/>
      <c r="JU158" s="198"/>
      <c r="JV158" s="198"/>
      <c r="JW158" s="198"/>
      <c r="JX158" s="198"/>
      <c r="JY158" s="198"/>
      <c r="JZ158" s="198"/>
      <c r="KA158" s="198"/>
      <c r="KB158" s="198"/>
      <c r="KC158" s="198"/>
      <c r="KD158" s="198"/>
      <c r="KE158" s="198"/>
      <c r="KF158" s="198"/>
      <c r="KG158" s="198"/>
      <c r="KH158" s="198"/>
      <c r="KI158" s="198"/>
      <c r="KJ158" s="198"/>
      <c r="KK158" s="198"/>
      <c r="KL158" s="198"/>
      <c r="KM158" s="198"/>
      <c r="KN158" s="198"/>
      <c r="KO158" s="198"/>
      <c r="KP158" s="198"/>
      <c r="KQ158" s="198"/>
      <c r="KR158" s="198"/>
      <c r="KS158" s="198"/>
      <c r="KT158" s="198"/>
      <c r="KU158" s="198"/>
      <c r="KV158" s="198"/>
      <c r="KW158" s="198"/>
      <c r="KX158" s="198"/>
      <c r="KY158" s="198"/>
      <c r="KZ158" s="198"/>
      <c r="LA158" s="198"/>
      <c r="LB158" s="198"/>
      <c r="LC158" s="198"/>
      <c r="LD158" s="198"/>
      <c r="LE158" s="198"/>
      <c r="LF158" s="198"/>
      <c r="LG158" s="198"/>
      <c r="LH158" s="198"/>
      <c r="LI158" s="198"/>
      <c r="LJ158" s="198"/>
      <c r="LK158" s="198"/>
      <c r="LL158" s="198"/>
      <c r="LM158" s="198"/>
      <c r="LN158" s="198"/>
      <c r="LO158" s="198"/>
      <c r="LP158" s="198"/>
      <c r="LQ158" s="198"/>
      <c r="LR158" s="198"/>
      <c r="LS158" s="198"/>
      <c r="LT158" s="198"/>
      <c r="LU158" s="198"/>
      <c r="LV158" s="198"/>
      <c r="LW158" s="198"/>
      <c r="LX158" s="198"/>
      <c r="LY158" s="198"/>
      <c r="LZ158" s="198"/>
      <c r="MA158" s="198"/>
      <c r="MB158" s="198"/>
      <c r="MC158" s="198"/>
      <c r="MD158" s="198"/>
      <c r="ME158" s="198"/>
      <c r="MF158" s="198"/>
      <c r="MG158" s="198"/>
      <c r="MH158" s="198"/>
      <c r="MI158" s="198"/>
      <c r="MJ158" s="198"/>
      <c r="MK158" s="198"/>
      <c r="ML158" s="198"/>
      <c r="MM158" s="198"/>
      <c r="MN158" s="198"/>
      <c r="MO158" s="198"/>
      <c r="MP158" s="198"/>
      <c r="MQ158" s="198"/>
      <c r="MR158" s="198"/>
      <c r="MS158" s="198"/>
      <c r="MT158" s="198"/>
      <c r="MU158" s="198"/>
      <c r="MV158" s="198"/>
      <c r="MW158" s="198"/>
      <c r="MX158" s="198"/>
      <c r="MY158" s="198"/>
      <c r="MZ158" s="198"/>
      <c r="NA158" s="198"/>
      <c r="NB158" s="198"/>
      <c r="NC158" s="198"/>
      <c r="ND158" s="198"/>
      <c r="NE158" s="198"/>
      <c r="NF158" s="198"/>
      <c r="NG158" s="198"/>
      <c r="NH158" s="198"/>
      <c r="NI158" s="198"/>
      <c r="NJ158" s="198"/>
      <c r="NK158" s="198"/>
      <c r="NL158" s="198"/>
      <c r="NM158" s="198"/>
      <c r="NN158" s="198"/>
      <c r="NO158" s="198"/>
      <c r="NP158" s="198"/>
      <c r="NQ158" s="198"/>
      <c r="NR158" s="198"/>
      <c r="NS158" s="198"/>
      <c r="NT158" s="198"/>
      <c r="NU158" s="198"/>
      <c r="NV158" s="198"/>
      <c r="NW158" s="198"/>
      <c r="NX158" s="198"/>
      <c r="NY158" s="198"/>
      <c r="NZ158" s="198"/>
      <c r="OA158" s="198"/>
      <c r="OB158" s="198"/>
      <c r="OC158" s="198"/>
      <c r="OD158" s="198"/>
      <c r="OE158" s="198"/>
      <c r="OF158" s="198"/>
      <c r="OG158" s="198"/>
      <c r="OH158" s="198"/>
      <c r="OI158" s="198"/>
      <c r="OJ158" s="198"/>
      <c r="OK158" s="198"/>
      <c r="OL158" s="198"/>
      <c r="OM158" s="198"/>
      <c r="ON158" s="198"/>
      <c r="OO158" s="198"/>
      <c r="OP158" s="198"/>
      <c r="OQ158" s="198"/>
      <c r="OR158" s="198"/>
      <c r="OS158" s="198"/>
      <c r="OT158" s="198"/>
      <c r="OU158" s="198"/>
      <c r="OV158" s="198"/>
      <c r="OW158" s="198"/>
      <c r="OX158" s="198"/>
      <c r="OY158" s="198"/>
      <c r="OZ158" s="198"/>
      <c r="PA158" s="198"/>
      <c r="PB158" s="198"/>
      <c r="PC158" s="198"/>
      <c r="PD158" s="198"/>
      <c r="PE158" s="198"/>
      <c r="PF158" s="198"/>
      <c r="PG158" s="198"/>
      <c r="PH158" s="198"/>
      <c r="PI158" s="198"/>
      <c r="PJ158" s="198"/>
      <c r="PK158" s="198"/>
      <c r="PL158" s="198"/>
      <c r="PM158" s="198"/>
      <c r="PN158" s="198"/>
      <c r="PO158" s="198"/>
      <c r="PP158" s="198"/>
      <c r="PQ158" s="198"/>
      <c r="PR158" s="198"/>
      <c r="PS158" s="198"/>
      <c r="PT158" s="198"/>
      <c r="PU158" s="198"/>
      <c r="PV158" s="198"/>
      <c r="PW158" s="198"/>
      <c r="PX158" s="198"/>
      <c r="PY158" s="198"/>
      <c r="PZ158" s="198"/>
      <c r="QA158" s="198"/>
      <c r="QB158" s="198"/>
      <c r="QC158" s="198"/>
      <c r="QD158" s="198"/>
      <c r="QE158" s="198"/>
      <c r="QF158" s="198"/>
      <c r="QG158" s="198"/>
      <c r="QH158" s="198"/>
      <c r="QI158" s="198"/>
      <c r="QJ158" s="198"/>
      <c r="QK158" s="198"/>
      <c r="QL158" s="198"/>
      <c r="QM158" s="198"/>
      <c r="QN158" s="198"/>
      <c r="QO158" s="198"/>
      <c r="QP158" s="198"/>
      <c r="QQ158" s="198"/>
      <c r="QR158" s="198"/>
      <c r="QS158" s="198"/>
      <c r="QT158" s="198"/>
      <c r="QU158" s="198"/>
      <c r="QV158" s="198"/>
      <c r="QW158" s="198"/>
      <c r="QX158" s="198"/>
      <c r="QY158" s="198"/>
      <c r="QZ158" s="198"/>
      <c r="RA158" s="198"/>
      <c r="RB158" s="198"/>
      <c r="RC158" s="198"/>
      <c r="RD158" s="198"/>
      <c r="RE158" s="198"/>
      <c r="RF158" s="198"/>
      <c r="RG158" s="198"/>
      <c r="RH158" s="198"/>
      <c r="RI158" s="198"/>
      <c r="RJ158" s="198"/>
      <c r="RK158" s="198"/>
      <c r="RL158" s="198"/>
      <c r="RM158" s="198"/>
      <c r="RN158" s="198"/>
      <c r="RO158" s="198"/>
      <c r="RP158" s="198"/>
      <c r="RQ158" s="198"/>
      <c r="RR158" s="198"/>
      <c r="RS158" s="198"/>
      <c r="RT158" s="198"/>
      <c r="RU158" s="198"/>
      <c r="RV158" s="198"/>
      <c r="RW158" s="198"/>
      <c r="RX158" s="198"/>
      <c r="RY158" s="198"/>
      <c r="RZ158" s="198"/>
      <c r="SA158" s="198"/>
      <c r="SB158" s="198"/>
      <c r="SC158" s="198"/>
      <c r="SD158" s="198"/>
      <c r="SE158" s="198"/>
      <c r="SF158" s="198"/>
      <c r="SG158" s="198"/>
    </row>
    <row r="159" spans="1:501" ht="40.049999999999997" customHeight="1" x14ac:dyDescent="0.3">
      <c r="A159" s="543" t="s">
        <v>382</v>
      </c>
      <c r="B159" s="956" t="s">
        <v>383</v>
      </c>
      <c r="C159" s="950"/>
      <c r="D159" s="861"/>
      <c r="E159" s="862"/>
      <c r="F159" s="861"/>
      <c r="G159" s="862"/>
      <c r="H159" s="861"/>
      <c r="I159" s="862"/>
      <c r="J159" s="861"/>
      <c r="K159" s="862"/>
      <c r="L159" s="861"/>
      <c r="M159" s="862"/>
      <c r="N159" s="861"/>
      <c r="O159" s="862">
        <f>MANZ.G!AS157</f>
        <v>17</v>
      </c>
      <c r="P159" s="861"/>
      <c r="Q159" s="862"/>
      <c r="R159" s="861"/>
      <c r="S159" s="862"/>
      <c r="T159" s="861"/>
      <c r="U159" s="862"/>
      <c r="V159" s="861"/>
      <c r="W159" s="862"/>
      <c r="X159" s="861"/>
      <c r="Y159" s="862"/>
      <c r="Z159" s="861"/>
      <c r="AA159" s="862"/>
      <c r="AB159" s="864"/>
      <c r="AC159" s="864"/>
      <c r="AD159" s="864"/>
      <c r="AE159" s="864"/>
      <c r="AF159" s="861"/>
      <c r="AG159" s="865">
        <f>SUM(C159:AA159)</f>
        <v>17</v>
      </c>
      <c r="AH159" s="866"/>
      <c r="AK159" s="198"/>
      <c r="AL159" s="198"/>
      <c r="AM159" s="198"/>
      <c r="AN159" s="198"/>
      <c r="AO159" s="198"/>
      <c r="AP159" s="198"/>
      <c r="AQ159" s="198"/>
      <c r="AR159" s="198"/>
      <c r="AS159" s="198"/>
      <c r="AT159" s="198"/>
      <c r="AU159" s="198"/>
      <c r="AV159" s="198"/>
      <c r="AW159" s="198"/>
      <c r="AX159" s="198"/>
      <c r="AY159" s="198"/>
      <c r="AZ159" s="198"/>
      <c r="BA159" s="198"/>
      <c r="BB159" s="198"/>
      <c r="BC159" s="198"/>
      <c r="BD159" s="198"/>
      <c r="BE159" s="198"/>
      <c r="BF159" s="198"/>
      <c r="BG159" s="198"/>
      <c r="BH159" s="198"/>
      <c r="BI159" s="198"/>
      <c r="BJ159" s="198"/>
      <c r="BK159" s="198"/>
      <c r="BL159" s="198"/>
      <c r="BM159" s="198"/>
      <c r="BN159" s="198"/>
      <c r="BO159" s="198"/>
      <c r="BP159" s="198"/>
      <c r="BQ159" s="198"/>
      <c r="BR159" s="198"/>
      <c r="BS159" s="198"/>
      <c r="BT159" s="198"/>
      <c r="BU159" s="198"/>
      <c r="BV159" s="198"/>
      <c r="BW159" s="198"/>
      <c r="BX159" s="198"/>
      <c r="BY159" s="198"/>
      <c r="BZ159" s="198"/>
      <c r="CA159" s="198"/>
      <c r="CB159" s="198"/>
      <c r="CC159" s="198"/>
      <c r="CD159" s="198"/>
      <c r="CE159" s="198"/>
      <c r="CF159" s="198"/>
      <c r="CG159" s="198"/>
      <c r="CH159" s="198"/>
      <c r="CI159" s="198"/>
      <c r="CJ159" s="198"/>
      <c r="CK159" s="198"/>
      <c r="CL159" s="198"/>
      <c r="CM159" s="198"/>
      <c r="CN159" s="198"/>
      <c r="CO159" s="198"/>
      <c r="CP159" s="198"/>
      <c r="CQ159" s="198"/>
      <c r="CR159" s="198"/>
      <c r="CS159" s="198"/>
      <c r="CT159" s="198"/>
      <c r="CU159" s="198"/>
      <c r="CV159" s="198"/>
      <c r="CW159" s="198"/>
      <c r="CX159" s="198"/>
      <c r="CY159" s="198"/>
      <c r="CZ159" s="198"/>
      <c r="DA159" s="198"/>
      <c r="DB159" s="198"/>
      <c r="DC159" s="198"/>
      <c r="DD159" s="198"/>
      <c r="DE159" s="198"/>
      <c r="DF159" s="198"/>
      <c r="DG159" s="198"/>
      <c r="DH159" s="198"/>
      <c r="DI159" s="198"/>
      <c r="DJ159" s="198"/>
      <c r="DK159" s="198"/>
      <c r="DL159" s="198"/>
      <c r="DM159" s="198"/>
      <c r="DN159" s="198"/>
      <c r="DO159" s="198"/>
      <c r="DP159" s="198"/>
      <c r="DQ159" s="198"/>
      <c r="DR159" s="198"/>
      <c r="DS159" s="198"/>
      <c r="DT159" s="198"/>
      <c r="DU159" s="198"/>
      <c r="DV159" s="198"/>
      <c r="DW159" s="198"/>
      <c r="DX159" s="198"/>
      <c r="DY159" s="198"/>
      <c r="DZ159" s="198"/>
      <c r="EA159" s="198"/>
      <c r="EB159" s="198"/>
      <c r="EC159" s="198"/>
      <c r="ED159" s="198"/>
      <c r="EE159" s="198"/>
      <c r="EF159" s="198"/>
      <c r="EG159" s="198"/>
      <c r="EH159" s="198"/>
      <c r="EI159" s="198"/>
      <c r="EJ159" s="198"/>
      <c r="EK159" s="198"/>
      <c r="EL159" s="198"/>
      <c r="EM159" s="198"/>
      <c r="EN159" s="198"/>
      <c r="EO159" s="198"/>
      <c r="EP159" s="198"/>
      <c r="EQ159" s="198"/>
      <c r="ER159" s="198"/>
      <c r="ES159" s="198"/>
      <c r="ET159" s="198"/>
      <c r="EU159" s="198"/>
      <c r="EV159" s="198"/>
      <c r="EW159" s="198"/>
      <c r="EX159" s="198"/>
      <c r="EY159" s="198"/>
      <c r="EZ159" s="198"/>
      <c r="FA159" s="198"/>
      <c r="FB159" s="198"/>
      <c r="FC159" s="198"/>
      <c r="FD159" s="198"/>
      <c r="FE159" s="198"/>
      <c r="FF159" s="198"/>
      <c r="FG159" s="198"/>
      <c r="FH159" s="198"/>
      <c r="FI159" s="198"/>
      <c r="FJ159" s="198"/>
      <c r="FK159" s="198"/>
      <c r="FL159" s="198"/>
      <c r="FM159" s="198"/>
      <c r="FN159" s="198"/>
      <c r="FO159" s="198"/>
      <c r="FP159" s="198"/>
      <c r="FQ159" s="198"/>
      <c r="FR159" s="198"/>
      <c r="FS159" s="198"/>
      <c r="FT159" s="198"/>
      <c r="FU159" s="198"/>
      <c r="FV159" s="198"/>
      <c r="FW159" s="198"/>
      <c r="FX159" s="198"/>
      <c r="FY159" s="198"/>
      <c r="FZ159" s="198"/>
      <c r="GA159" s="198"/>
      <c r="GB159" s="198"/>
      <c r="GC159" s="198"/>
      <c r="GD159" s="198"/>
      <c r="GE159" s="198"/>
      <c r="GF159" s="198"/>
      <c r="GG159" s="198"/>
      <c r="GH159" s="198"/>
      <c r="GI159" s="198"/>
      <c r="GJ159" s="198"/>
      <c r="GK159" s="198"/>
      <c r="GL159" s="198"/>
      <c r="GM159" s="198"/>
      <c r="GN159" s="198"/>
      <c r="GO159" s="198"/>
      <c r="GP159" s="198"/>
      <c r="GQ159" s="198"/>
      <c r="GR159" s="198"/>
      <c r="GS159" s="198"/>
      <c r="GT159" s="198"/>
      <c r="GU159" s="198"/>
      <c r="GV159" s="198"/>
      <c r="GW159" s="198"/>
      <c r="GX159" s="198"/>
      <c r="GY159" s="198"/>
      <c r="GZ159" s="198"/>
      <c r="HA159" s="198"/>
      <c r="HB159" s="198"/>
      <c r="HC159" s="198"/>
      <c r="HD159" s="198"/>
      <c r="HE159" s="198"/>
      <c r="HF159" s="198"/>
      <c r="HG159" s="198"/>
      <c r="HH159" s="198"/>
      <c r="HI159" s="198"/>
      <c r="HJ159" s="198"/>
      <c r="HK159" s="198"/>
      <c r="HL159" s="198"/>
      <c r="HM159" s="198"/>
      <c r="HN159" s="198"/>
      <c r="HO159" s="198"/>
      <c r="HP159" s="198"/>
      <c r="HQ159" s="198"/>
      <c r="HR159" s="198"/>
      <c r="HS159" s="198"/>
      <c r="HT159" s="198"/>
      <c r="HU159" s="198"/>
      <c r="HV159" s="198"/>
      <c r="HW159" s="198"/>
      <c r="HX159" s="198"/>
      <c r="HY159" s="198"/>
      <c r="HZ159" s="198"/>
      <c r="IA159" s="198"/>
      <c r="IB159" s="198"/>
      <c r="IC159" s="198"/>
      <c r="ID159" s="198"/>
      <c r="IE159" s="198"/>
      <c r="IF159" s="198"/>
      <c r="IG159" s="198"/>
      <c r="IH159" s="198"/>
      <c r="II159" s="198"/>
      <c r="IJ159" s="198"/>
      <c r="IK159" s="198"/>
      <c r="IL159" s="198"/>
      <c r="IM159" s="198"/>
      <c r="IN159" s="198"/>
      <c r="IO159" s="198"/>
      <c r="IP159" s="198"/>
      <c r="IQ159" s="198"/>
      <c r="IR159" s="198"/>
      <c r="IS159" s="198"/>
      <c r="IT159" s="198"/>
      <c r="IU159" s="198"/>
      <c r="IV159" s="198"/>
      <c r="IW159" s="198"/>
      <c r="IX159" s="198"/>
      <c r="IY159" s="198"/>
      <c r="IZ159" s="198"/>
      <c r="JA159" s="198"/>
      <c r="JB159" s="198"/>
      <c r="JC159" s="198"/>
      <c r="JD159" s="198"/>
      <c r="JE159" s="198"/>
      <c r="JF159" s="198"/>
      <c r="JG159" s="198"/>
      <c r="JH159" s="198"/>
      <c r="JI159" s="198"/>
      <c r="JJ159" s="198"/>
      <c r="JK159" s="198"/>
      <c r="JL159" s="198"/>
      <c r="JM159" s="198"/>
      <c r="JN159" s="198"/>
      <c r="JO159" s="198"/>
      <c r="JP159" s="198"/>
      <c r="JQ159" s="198"/>
      <c r="JR159" s="198"/>
      <c r="JS159" s="198"/>
      <c r="JT159" s="198"/>
      <c r="JU159" s="198"/>
      <c r="JV159" s="198"/>
      <c r="JW159" s="198"/>
      <c r="JX159" s="198"/>
      <c r="JY159" s="198"/>
      <c r="JZ159" s="198"/>
      <c r="KA159" s="198"/>
      <c r="KB159" s="198"/>
      <c r="KC159" s="198"/>
      <c r="KD159" s="198"/>
      <c r="KE159" s="198"/>
      <c r="KF159" s="198"/>
      <c r="KG159" s="198"/>
      <c r="KH159" s="198"/>
      <c r="KI159" s="198"/>
      <c r="KJ159" s="198"/>
      <c r="KK159" s="198"/>
      <c r="KL159" s="198"/>
      <c r="KM159" s="198"/>
      <c r="KN159" s="198"/>
      <c r="KO159" s="198"/>
      <c r="KP159" s="198"/>
      <c r="KQ159" s="198"/>
      <c r="KR159" s="198"/>
      <c r="KS159" s="198"/>
      <c r="KT159" s="198"/>
      <c r="KU159" s="198"/>
      <c r="KV159" s="198"/>
      <c r="KW159" s="198"/>
      <c r="KX159" s="198"/>
      <c r="KY159" s="198"/>
      <c r="KZ159" s="198"/>
      <c r="LA159" s="198"/>
      <c r="LB159" s="198"/>
      <c r="LC159" s="198"/>
      <c r="LD159" s="198"/>
      <c r="LE159" s="198"/>
      <c r="LF159" s="198"/>
      <c r="LG159" s="198"/>
      <c r="LH159" s="198"/>
      <c r="LI159" s="198"/>
      <c r="LJ159" s="198"/>
      <c r="LK159" s="198"/>
      <c r="LL159" s="198"/>
      <c r="LM159" s="198"/>
      <c r="LN159" s="198"/>
      <c r="LO159" s="198"/>
      <c r="LP159" s="198"/>
      <c r="LQ159" s="198"/>
      <c r="LR159" s="198"/>
      <c r="LS159" s="198"/>
      <c r="LT159" s="198"/>
      <c r="LU159" s="198"/>
      <c r="LV159" s="198"/>
      <c r="LW159" s="198"/>
      <c r="LX159" s="198"/>
      <c r="LY159" s="198"/>
      <c r="LZ159" s="198"/>
      <c r="MA159" s="198"/>
      <c r="MB159" s="198"/>
      <c r="MC159" s="198"/>
      <c r="MD159" s="198"/>
      <c r="ME159" s="198"/>
      <c r="MF159" s="198"/>
      <c r="MG159" s="198"/>
      <c r="MH159" s="198"/>
      <c r="MI159" s="198"/>
      <c r="MJ159" s="198"/>
      <c r="MK159" s="198"/>
      <c r="ML159" s="198"/>
      <c r="MM159" s="198"/>
      <c r="MN159" s="198"/>
      <c r="MO159" s="198"/>
      <c r="MP159" s="198"/>
      <c r="MQ159" s="198"/>
      <c r="MR159" s="198"/>
      <c r="MS159" s="198"/>
      <c r="MT159" s="198"/>
      <c r="MU159" s="198"/>
      <c r="MV159" s="198"/>
      <c r="MW159" s="198"/>
      <c r="MX159" s="198"/>
      <c r="MY159" s="198"/>
      <c r="MZ159" s="198"/>
      <c r="NA159" s="198"/>
      <c r="NB159" s="198"/>
      <c r="NC159" s="198"/>
      <c r="ND159" s="198"/>
      <c r="NE159" s="198"/>
      <c r="NF159" s="198"/>
      <c r="NG159" s="198"/>
      <c r="NH159" s="198"/>
      <c r="NI159" s="198"/>
      <c r="NJ159" s="198"/>
      <c r="NK159" s="198"/>
      <c r="NL159" s="198"/>
      <c r="NM159" s="198"/>
      <c r="NN159" s="198"/>
      <c r="NO159" s="198"/>
      <c r="NP159" s="198"/>
      <c r="NQ159" s="198"/>
      <c r="NR159" s="198"/>
      <c r="NS159" s="198"/>
      <c r="NT159" s="198"/>
      <c r="NU159" s="198"/>
      <c r="NV159" s="198"/>
      <c r="NW159" s="198"/>
      <c r="NX159" s="198"/>
      <c r="NY159" s="198"/>
      <c r="NZ159" s="198"/>
      <c r="OA159" s="198"/>
      <c r="OB159" s="198"/>
      <c r="OC159" s="198"/>
      <c r="OD159" s="198"/>
      <c r="OE159" s="198"/>
      <c r="OF159" s="198"/>
      <c r="OG159" s="198"/>
      <c r="OH159" s="198"/>
      <c r="OI159" s="198"/>
      <c r="OJ159" s="198"/>
      <c r="OK159" s="198"/>
      <c r="OL159" s="198"/>
      <c r="OM159" s="198"/>
      <c r="ON159" s="198"/>
      <c r="OO159" s="198"/>
      <c r="OP159" s="198"/>
      <c r="OQ159" s="198"/>
      <c r="OR159" s="198"/>
      <c r="OS159" s="198"/>
      <c r="OT159" s="198"/>
      <c r="OU159" s="198"/>
      <c r="OV159" s="198"/>
      <c r="OW159" s="198"/>
      <c r="OX159" s="198"/>
      <c r="OY159" s="198"/>
      <c r="OZ159" s="198"/>
      <c r="PA159" s="198"/>
      <c r="PB159" s="198"/>
      <c r="PC159" s="198"/>
      <c r="PD159" s="198"/>
      <c r="PE159" s="198"/>
      <c r="PF159" s="198"/>
      <c r="PG159" s="198"/>
      <c r="PH159" s="198"/>
      <c r="PI159" s="198"/>
      <c r="PJ159" s="198"/>
      <c r="PK159" s="198"/>
      <c r="PL159" s="198"/>
      <c r="PM159" s="198"/>
      <c r="PN159" s="198"/>
      <c r="PO159" s="198"/>
      <c r="PP159" s="198"/>
      <c r="PQ159" s="198"/>
      <c r="PR159" s="198"/>
      <c r="PS159" s="198"/>
      <c r="PT159" s="198"/>
      <c r="PU159" s="198"/>
      <c r="PV159" s="198"/>
      <c r="PW159" s="198"/>
      <c r="PX159" s="198"/>
      <c r="PY159" s="198"/>
      <c r="PZ159" s="198"/>
      <c r="QA159" s="198"/>
      <c r="QB159" s="198"/>
      <c r="QC159" s="198"/>
      <c r="QD159" s="198"/>
      <c r="QE159" s="198"/>
      <c r="QF159" s="198"/>
      <c r="QG159" s="198"/>
      <c r="QH159" s="198"/>
      <c r="QI159" s="198"/>
      <c r="QJ159" s="198"/>
      <c r="QK159" s="198"/>
      <c r="QL159" s="198"/>
      <c r="QM159" s="198"/>
      <c r="QN159" s="198"/>
      <c r="QO159" s="198"/>
      <c r="QP159" s="198"/>
      <c r="QQ159" s="198"/>
      <c r="QR159" s="198"/>
      <c r="QS159" s="198"/>
      <c r="QT159" s="198"/>
      <c r="QU159" s="198"/>
      <c r="QV159" s="198"/>
      <c r="QW159" s="198"/>
      <c r="QX159" s="198"/>
      <c r="QY159" s="198"/>
      <c r="QZ159" s="198"/>
      <c r="RA159" s="198"/>
      <c r="RB159" s="198"/>
      <c r="RC159" s="198"/>
      <c r="RD159" s="198"/>
      <c r="RE159" s="198"/>
      <c r="RF159" s="198"/>
      <c r="RG159" s="198"/>
      <c r="RH159" s="198"/>
      <c r="RI159" s="198"/>
      <c r="RJ159" s="198"/>
      <c r="RK159" s="198"/>
      <c r="RL159" s="198"/>
      <c r="RM159" s="198"/>
      <c r="RN159" s="198"/>
      <c r="RO159" s="198"/>
      <c r="RP159" s="198"/>
      <c r="RQ159" s="198"/>
      <c r="RR159" s="198"/>
      <c r="RS159" s="198"/>
      <c r="RT159" s="198"/>
      <c r="RU159" s="198"/>
      <c r="RV159" s="198"/>
      <c r="RW159" s="198"/>
      <c r="RX159" s="198"/>
      <c r="RY159" s="198"/>
      <c r="RZ159" s="198"/>
      <c r="SA159" s="198"/>
      <c r="SB159" s="198"/>
      <c r="SC159" s="198"/>
      <c r="SD159" s="198"/>
      <c r="SE159" s="198"/>
      <c r="SF159" s="198"/>
      <c r="SG159" s="198"/>
    </row>
    <row r="160" spans="1:501" ht="40.049999999999997" customHeight="1" x14ac:dyDescent="0.3">
      <c r="A160" s="543" t="s">
        <v>384</v>
      </c>
      <c r="B160" s="956" t="s">
        <v>385</v>
      </c>
      <c r="C160" s="950"/>
      <c r="D160" s="861"/>
      <c r="E160" s="862"/>
      <c r="F160" s="861"/>
      <c r="G160" s="862"/>
      <c r="H160" s="861"/>
      <c r="I160" s="862"/>
      <c r="J160" s="861"/>
      <c r="K160" s="862"/>
      <c r="L160" s="861"/>
      <c r="M160" s="862"/>
      <c r="N160" s="861"/>
      <c r="O160" s="862">
        <f>MANZ.G!AS158</f>
        <v>0</v>
      </c>
      <c r="P160" s="861"/>
      <c r="Q160" s="862"/>
      <c r="R160" s="861"/>
      <c r="S160" s="862"/>
      <c r="T160" s="861"/>
      <c r="U160" s="862"/>
      <c r="V160" s="861"/>
      <c r="W160" s="862"/>
      <c r="X160" s="861"/>
      <c r="Y160" s="862"/>
      <c r="Z160" s="861"/>
      <c r="AA160" s="862"/>
      <c r="AB160" s="864"/>
      <c r="AC160" s="864"/>
      <c r="AD160" s="864"/>
      <c r="AE160" s="864"/>
      <c r="AF160" s="861"/>
      <c r="AG160" s="865">
        <f>SUM(C160:AA160)</f>
        <v>0</v>
      </c>
      <c r="AH160" s="866"/>
      <c r="AK160" s="200"/>
      <c r="AL160" s="200"/>
      <c r="AM160" s="200"/>
      <c r="AN160" s="200"/>
      <c r="AO160" s="200"/>
      <c r="AP160" s="200"/>
      <c r="AQ160" s="200"/>
      <c r="AR160" s="200"/>
      <c r="AS160" s="200"/>
      <c r="AT160" s="200"/>
      <c r="AU160" s="200"/>
      <c r="AV160" s="200"/>
      <c r="AW160" s="200"/>
      <c r="AX160" s="200"/>
      <c r="AY160" s="200"/>
      <c r="AZ160" s="200"/>
      <c r="BA160" s="200"/>
      <c r="BB160" s="200"/>
      <c r="BC160" s="200"/>
      <c r="BD160" s="200"/>
      <c r="BE160" s="200"/>
      <c r="BF160" s="200"/>
      <c r="BG160" s="200"/>
      <c r="BH160" s="200"/>
      <c r="BI160" s="200"/>
      <c r="BJ160" s="200"/>
      <c r="BK160" s="200"/>
      <c r="BL160" s="200"/>
      <c r="BM160" s="200"/>
      <c r="BN160" s="200"/>
      <c r="BO160" s="200"/>
      <c r="BP160" s="200"/>
      <c r="BQ160" s="200"/>
      <c r="BR160" s="200"/>
      <c r="BS160" s="200"/>
      <c r="BT160" s="200"/>
      <c r="BU160" s="200"/>
      <c r="BV160" s="200"/>
      <c r="BW160" s="200"/>
      <c r="BX160" s="200"/>
      <c r="BY160" s="200"/>
      <c r="BZ160" s="200"/>
      <c r="CA160" s="200"/>
      <c r="CB160" s="200"/>
      <c r="CC160" s="200"/>
      <c r="CD160" s="200"/>
      <c r="CE160" s="200"/>
      <c r="CF160" s="200"/>
      <c r="CG160" s="200"/>
      <c r="CH160" s="200"/>
      <c r="CI160" s="200"/>
      <c r="CJ160" s="200"/>
      <c r="CK160" s="200"/>
      <c r="CL160" s="200"/>
      <c r="CM160" s="200"/>
      <c r="CN160" s="200"/>
      <c r="CO160" s="200"/>
      <c r="CP160" s="200"/>
      <c r="CQ160" s="200"/>
      <c r="CR160" s="200"/>
      <c r="CS160" s="200"/>
      <c r="CT160" s="200"/>
      <c r="CU160" s="200"/>
      <c r="CV160" s="200"/>
      <c r="CW160" s="200"/>
      <c r="CX160" s="200"/>
      <c r="CY160" s="200"/>
      <c r="CZ160" s="200"/>
      <c r="DA160" s="200"/>
      <c r="DB160" s="200"/>
      <c r="DC160" s="200"/>
      <c r="DD160" s="200"/>
      <c r="DE160" s="200"/>
      <c r="DF160" s="200"/>
      <c r="DG160" s="200"/>
      <c r="DH160" s="200"/>
      <c r="DI160" s="200"/>
      <c r="DJ160" s="200"/>
      <c r="DK160" s="200"/>
      <c r="DL160" s="200"/>
      <c r="DM160" s="200"/>
      <c r="DN160" s="200"/>
      <c r="DO160" s="200"/>
      <c r="DP160" s="200"/>
      <c r="DQ160" s="200"/>
      <c r="DR160" s="200"/>
      <c r="DS160" s="200"/>
      <c r="DT160" s="200"/>
      <c r="DU160" s="200"/>
      <c r="DV160" s="200"/>
      <c r="DW160" s="200"/>
      <c r="DX160" s="200"/>
      <c r="DY160" s="200"/>
      <c r="DZ160" s="200"/>
      <c r="EA160" s="200"/>
      <c r="EB160" s="200"/>
      <c r="EC160" s="200"/>
      <c r="ED160" s="200"/>
      <c r="EE160" s="200"/>
      <c r="EF160" s="200"/>
      <c r="EG160" s="200"/>
      <c r="EH160" s="200"/>
      <c r="EI160" s="200"/>
      <c r="EJ160" s="200"/>
      <c r="EK160" s="200"/>
      <c r="EL160" s="200"/>
      <c r="EM160" s="200"/>
      <c r="EN160" s="200"/>
      <c r="EO160" s="200"/>
      <c r="EP160" s="200"/>
      <c r="EQ160" s="200"/>
      <c r="ER160" s="200"/>
      <c r="ES160" s="200"/>
      <c r="ET160" s="200"/>
      <c r="EU160" s="200"/>
      <c r="EV160" s="200"/>
      <c r="EW160" s="200"/>
      <c r="EX160" s="200"/>
      <c r="EY160" s="200"/>
      <c r="EZ160" s="200"/>
      <c r="FA160" s="200"/>
      <c r="FB160" s="200"/>
      <c r="FC160" s="200"/>
      <c r="FD160" s="200"/>
      <c r="FE160" s="200"/>
      <c r="FF160" s="200"/>
      <c r="FG160" s="200"/>
      <c r="FH160" s="200"/>
      <c r="FI160" s="200"/>
      <c r="FJ160" s="200"/>
      <c r="FK160" s="200"/>
      <c r="FL160" s="200"/>
      <c r="FM160" s="200"/>
      <c r="FN160" s="200"/>
      <c r="FO160" s="200"/>
      <c r="FP160" s="200"/>
      <c r="FQ160" s="200"/>
      <c r="FR160" s="200"/>
      <c r="FS160" s="200"/>
      <c r="FT160" s="200"/>
      <c r="FU160" s="200"/>
      <c r="FV160" s="200"/>
      <c r="FW160" s="200"/>
      <c r="FX160" s="200"/>
      <c r="FY160" s="200"/>
      <c r="FZ160" s="200"/>
      <c r="GA160" s="200"/>
      <c r="GB160" s="200"/>
      <c r="GC160" s="200"/>
      <c r="GD160" s="200"/>
      <c r="GE160" s="200"/>
      <c r="GF160" s="200"/>
      <c r="GG160" s="200"/>
      <c r="GH160" s="200"/>
      <c r="GI160" s="200"/>
      <c r="GJ160" s="200"/>
      <c r="GK160" s="200"/>
      <c r="GL160" s="200"/>
      <c r="GM160" s="200"/>
      <c r="GN160" s="200"/>
      <c r="GO160" s="200"/>
      <c r="GP160" s="200"/>
      <c r="GQ160" s="200"/>
      <c r="GR160" s="200"/>
      <c r="GS160" s="200"/>
      <c r="GT160" s="200"/>
      <c r="GU160" s="200"/>
      <c r="GV160" s="200"/>
      <c r="GW160" s="200"/>
      <c r="GX160" s="200"/>
      <c r="GY160" s="200"/>
      <c r="GZ160" s="200"/>
      <c r="HA160" s="200"/>
      <c r="HB160" s="200"/>
      <c r="HC160" s="200"/>
      <c r="HD160" s="200"/>
      <c r="HE160" s="200"/>
      <c r="HF160" s="200"/>
      <c r="HG160" s="200"/>
      <c r="HH160" s="200"/>
      <c r="HI160" s="200"/>
      <c r="HJ160" s="200"/>
      <c r="HK160" s="200"/>
      <c r="HL160" s="200"/>
      <c r="HM160" s="200"/>
      <c r="HN160" s="200"/>
      <c r="HO160" s="200"/>
      <c r="HP160" s="200"/>
      <c r="HQ160" s="200"/>
      <c r="HR160" s="200"/>
      <c r="HS160" s="200"/>
      <c r="HT160" s="200"/>
      <c r="HU160" s="200"/>
      <c r="HV160" s="200"/>
      <c r="HW160" s="200"/>
      <c r="HX160" s="200"/>
      <c r="HY160" s="200"/>
      <c r="HZ160" s="200"/>
      <c r="IA160" s="200"/>
      <c r="IB160" s="200"/>
      <c r="IC160" s="200"/>
      <c r="ID160" s="200"/>
      <c r="IE160" s="200"/>
      <c r="IF160" s="200"/>
      <c r="IG160" s="200"/>
      <c r="IH160" s="200"/>
      <c r="II160" s="200"/>
      <c r="IJ160" s="200"/>
      <c r="IK160" s="200"/>
      <c r="IL160" s="200"/>
      <c r="IM160" s="200"/>
      <c r="IN160" s="200"/>
      <c r="IO160" s="200"/>
      <c r="IP160" s="200"/>
      <c r="IQ160" s="200"/>
      <c r="IR160" s="200"/>
      <c r="IS160" s="200"/>
      <c r="IT160" s="200"/>
      <c r="IU160" s="200"/>
      <c r="IV160" s="200"/>
      <c r="IW160" s="200"/>
      <c r="IX160" s="200"/>
      <c r="IY160" s="200"/>
      <c r="IZ160" s="200"/>
      <c r="JA160" s="200"/>
      <c r="JB160" s="200"/>
      <c r="JC160" s="200"/>
      <c r="JD160" s="200"/>
      <c r="JE160" s="200"/>
      <c r="JF160" s="200"/>
      <c r="JG160" s="200"/>
      <c r="JH160" s="200"/>
      <c r="JI160" s="200"/>
      <c r="JJ160" s="200"/>
      <c r="JK160" s="200"/>
      <c r="JL160" s="200"/>
      <c r="JM160" s="200"/>
      <c r="JN160" s="200"/>
      <c r="JO160" s="200"/>
      <c r="JP160" s="200"/>
      <c r="JQ160" s="200"/>
      <c r="JR160" s="200"/>
      <c r="JS160" s="200"/>
      <c r="JT160" s="200"/>
      <c r="JU160" s="200"/>
      <c r="JV160" s="200"/>
      <c r="JW160" s="200"/>
      <c r="JX160" s="200"/>
      <c r="JY160" s="200"/>
      <c r="JZ160" s="200"/>
      <c r="KA160" s="200"/>
      <c r="KB160" s="200"/>
      <c r="KC160" s="200"/>
      <c r="KD160" s="200"/>
      <c r="KE160" s="200"/>
      <c r="KF160" s="200"/>
      <c r="KG160" s="200"/>
      <c r="KH160" s="200"/>
      <c r="KI160" s="200"/>
      <c r="KJ160" s="200"/>
      <c r="KK160" s="200"/>
      <c r="KL160" s="200"/>
      <c r="KM160" s="200"/>
      <c r="KN160" s="200"/>
      <c r="KO160" s="200"/>
      <c r="KP160" s="200"/>
      <c r="KQ160" s="200"/>
      <c r="KR160" s="200"/>
      <c r="KS160" s="200"/>
      <c r="KT160" s="200"/>
      <c r="KU160" s="200"/>
      <c r="KV160" s="200"/>
      <c r="KW160" s="200"/>
      <c r="KX160" s="200"/>
      <c r="KY160" s="200"/>
      <c r="KZ160" s="200"/>
      <c r="LA160" s="200"/>
      <c r="LB160" s="200"/>
      <c r="LC160" s="200"/>
      <c r="LD160" s="200"/>
      <c r="LE160" s="200"/>
      <c r="LF160" s="200"/>
      <c r="LG160" s="200"/>
      <c r="LH160" s="200"/>
      <c r="LI160" s="200"/>
      <c r="LJ160" s="200"/>
      <c r="LK160" s="200"/>
      <c r="LL160" s="200"/>
      <c r="LM160" s="200"/>
      <c r="LN160" s="200"/>
      <c r="LO160" s="200"/>
      <c r="LP160" s="200"/>
      <c r="LQ160" s="200"/>
      <c r="LR160" s="200"/>
      <c r="LS160" s="200"/>
      <c r="LT160" s="200"/>
      <c r="LU160" s="200"/>
      <c r="LV160" s="200"/>
      <c r="LW160" s="200"/>
      <c r="LX160" s="200"/>
      <c r="LY160" s="200"/>
      <c r="LZ160" s="200"/>
      <c r="MA160" s="200"/>
      <c r="MB160" s="200"/>
      <c r="MC160" s="200"/>
      <c r="MD160" s="200"/>
      <c r="ME160" s="200"/>
      <c r="MF160" s="200"/>
      <c r="MG160" s="200"/>
      <c r="MH160" s="200"/>
      <c r="MI160" s="200"/>
      <c r="MJ160" s="200"/>
      <c r="MK160" s="200"/>
      <c r="ML160" s="200"/>
      <c r="MM160" s="200"/>
      <c r="MN160" s="200"/>
      <c r="MO160" s="200"/>
      <c r="MP160" s="200"/>
      <c r="MQ160" s="200"/>
      <c r="MR160" s="200"/>
      <c r="MS160" s="200"/>
      <c r="MT160" s="200"/>
      <c r="MU160" s="200"/>
      <c r="MV160" s="200"/>
      <c r="MW160" s="200"/>
      <c r="MX160" s="200"/>
      <c r="MY160" s="200"/>
      <c r="MZ160" s="200"/>
      <c r="NA160" s="200"/>
      <c r="NB160" s="200"/>
      <c r="NC160" s="200"/>
      <c r="ND160" s="200"/>
      <c r="NE160" s="200"/>
      <c r="NF160" s="200"/>
      <c r="NG160" s="200"/>
      <c r="NH160" s="200"/>
      <c r="NI160" s="200"/>
      <c r="NJ160" s="200"/>
      <c r="NK160" s="200"/>
      <c r="NL160" s="200"/>
      <c r="NM160" s="200"/>
      <c r="NN160" s="200"/>
      <c r="NO160" s="200"/>
      <c r="NP160" s="200"/>
      <c r="NQ160" s="200"/>
      <c r="NR160" s="200"/>
      <c r="NS160" s="200"/>
      <c r="NT160" s="200"/>
      <c r="NU160" s="200"/>
      <c r="NV160" s="200"/>
      <c r="NW160" s="200"/>
      <c r="NX160" s="200"/>
      <c r="NY160" s="200"/>
      <c r="NZ160" s="200"/>
      <c r="OA160" s="200"/>
      <c r="OB160" s="200"/>
      <c r="OC160" s="200"/>
      <c r="OD160" s="200"/>
      <c r="OE160" s="200"/>
      <c r="OF160" s="200"/>
      <c r="OG160" s="200"/>
      <c r="OH160" s="200"/>
      <c r="OI160" s="200"/>
      <c r="OJ160" s="200"/>
      <c r="OK160" s="200"/>
      <c r="OL160" s="200"/>
      <c r="OM160" s="200"/>
      <c r="ON160" s="200"/>
      <c r="OO160" s="200"/>
      <c r="OP160" s="200"/>
      <c r="OQ160" s="200"/>
      <c r="OR160" s="200"/>
      <c r="OS160" s="200"/>
      <c r="OT160" s="200"/>
      <c r="OU160" s="200"/>
      <c r="OV160" s="200"/>
      <c r="OW160" s="200"/>
      <c r="OX160" s="200"/>
      <c r="OY160" s="200"/>
      <c r="OZ160" s="200"/>
      <c r="PA160" s="200"/>
      <c r="PB160" s="200"/>
      <c r="PC160" s="200"/>
      <c r="PD160" s="200"/>
      <c r="PE160" s="200"/>
      <c r="PF160" s="200"/>
      <c r="PG160" s="200"/>
      <c r="PH160" s="200"/>
      <c r="PI160" s="200"/>
      <c r="PJ160" s="200"/>
      <c r="PK160" s="200"/>
      <c r="PL160" s="200"/>
      <c r="PM160" s="200"/>
      <c r="PN160" s="200"/>
      <c r="PO160" s="200"/>
      <c r="PP160" s="200"/>
      <c r="PQ160" s="200"/>
      <c r="PR160" s="200"/>
      <c r="PS160" s="200"/>
      <c r="PT160" s="200"/>
      <c r="PU160" s="200"/>
      <c r="PV160" s="200"/>
      <c r="PW160" s="200"/>
      <c r="PX160" s="200"/>
      <c r="PY160" s="200"/>
      <c r="PZ160" s="200"/>
      <c r="QA160" s="200"/>
      <c r="QB160" s="200"/>
      <c r="QC160" s="200"/>
      <c r="QD160" s="200"/>
      <c r="QE160" s="200"/>
      <c r="QF160" s="200"/>
      <c r="QG160" s="200"/>
      <c r="QH160" s="200"/>
      <c r="QI160" s="200"/>
      <c r="QJ160" s="200"/>
      <c r="QK160" s="200"/>
      <c r="QL160" s="200"/>
      <c r="QM160" s="200"/>
      <c r="QN160" s="200"/>
      <c r="QO160" s="200"/>
      <c r="QP160" s="200"/>
      <c r="QQ160" s="200"/>
      <c r="QR160" s="200"/>
      <c r="QS160" s="200"/>
      <c r="QT160" s="200"/>
      <c r="QU160" s="200"/>
      <c r="QV160" s="200"/>
      <c r="QW160" s="200"/>
      <c r="QX160" s="200"/>
      <c r="QY160" s="200"/>
      <c r="QZ160" s="200"/>
      <c r="RA160" s="200"/>
      <c r="RB160" s="200"/>
      <c r="RC160" s="200"/>
      <c r="RD160" s="200"/>
      <c r="RE160" s="200"/>
      <c r="RF160" s="200"/>
      <c r="RG160" s="200"/>
      <c r="RH160" s="200"/>
      <c r="RI160" s="200"/>
      <c r="RJ160" s="200"/>
      <c r="RK160" s="200"/>
      <c r="RL160" s="200"/>
      <c r="RM160" s="200"/>
      <c r="RN160" s="200"/>
      <c r="RO160" s="200"/>
      <c r="RP160" s="200"/>
      <c r="RQ160" s="200"/>
      <c r="RR160" s="200"/>
      <c r="RS160" s="200"/>
      <c r="RT160" s="200"/>
      <c r="RU160" s="200"/>
      <c r="RV160" s="200"/>
      <c r="RW160" s="200"/>
      <c r="RX160" s="200"/>
      <c r="RY160" s="200"/>
      <c r="RZ160" s="200"/>
      <c r="SA160" s="200"/>
      <c r="SB160" s="200"/>
      <c r="SC160" s="200"/>
      <c r="SD160" s="200"/>
      <c r="SE160" s="200"/>
      <c r="SF160" s="200"/>
      <c r="SG160" s="200"/>
    </row>
    <row r="161" spans="1:501" ht="40.049999999999997" customHeight="1" x14ac:dyDescent="0.3">
      <c r="A161" s="543" t="s">
        <v>386</v>
      </c>
      <c r="B161" s="956" t="s">
        <v>387</v>
      </c>
      <c r="C161" s="950"/>
      <c r="D161" s="861"/>
      <c r="E161" s="862"/>
      <c r="F161" s="861"/>
      <c r="G161" s="862"/>
      <c r="H161" s="861"/>
      <c r="I161" s="862"/>
      <c r="J161" s="861"/>
      <c r="K161" s="862"/>
      <c r="L161" s="861"/>
      <c r="M161" s="862"/>
      <c r="N161" s="861"/>
      <c r="O161" s="862"/>
      <c r="P161" s="861"/>
      <c r="Q161" s="862"/>
      <c r="R161" s="861"/>
      <c r="S161" s="862"/>
      <c r="T161" s="861"/>
      <c r="U161" s="862"/>
      <c r="V161" s="861"/>
      <c r="W161" s="862"/>
      <c r="X161" s="861"/>
      <c r="Y161" s="862"/>
      <c r="Z161" s="861"/>
      <c r="AA161" s="862"/>
      <c r="AB161" s="864"/>
      <c r="AC161" s="864"/>
      <c r="AD161" s="864"/>
      <c r="AE161" s="864"/>
      <c r="AF161" s="861"/>
      <c r="AG161" s="865">
        <f>SUM(C161:AA161)</f>
        <v>0</v>
      </c>
      <c r="AH161" s="866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  <c r="AU161" s="201"/>
      <c r="AV161" s="201"/>
      <c r="AW161" s="201"/>
      <c r="AX161" s="201"/>
      <c r="AY161" s="201"/>
      <c r="AZ161" s="201"/>
      <c r="BA161" s="201"/>
      <c r="BB161" s="201"/>
      <c r="BC161" s="201"/>
      <c r="BD161" s="201"/>
      <c r="BE161" s="201"/>
      <c r="BF161" s="201"/>
      <c r="BG161" s="201"/>
      <c r="BH161" s="201"/>
      <c r="BI161" s="201"/>
      <c r="BJ161" s="201"/>
      <c r="BK161" s="201"/>
      <c r="BL161" s="201"/>
      <c r="BM161" s="201"/>
      <c r="BN161" s="201"/>
      <c r="BO161" s="201"/>
      <c r="BP161" s="201"/>
      <c r="BQ161" s="201"/>
      <c r="BR161" s="201"/>
      <c r="BS161" s="201"/>
      <c r="BT161" s="201"/>
      <c r="BU161" s="201"/>
      <c r="BV161" s="201"/>
      <c r="BW161" s="201"/>
      <c r="BX161" s="201"/>
      <c r="BY161" s="201"/>
      <c r="BZ161" s="201"/>
      <c r="CA161" s="201"/>
      <c r="CB161" s="201"/>
      <c r="CC161" s="201"/>
      <c r="CD161" s="201"/>
      <c r="CE161" s="201"/>
      <c r="CF161" s="201"/>
      <c r="CG161" s="201"/>
      <c r="CH161" s="201"/>
      <c r="CI161" s="201"/>
      <c r="CJ161" s="201"/>
      <c r="CK161" s="201"/>
      <c r="CL161" s="201"/>
      <c r="CM161" s="201"/>
      <c r="CN161" s="201"/>
      <c r="CO161" s="201"/>
      <c r="CP161" s="201"/>
      <c r="CQ161" s="201"/>
      <c r="CR161" s="201"/>
      <c r="CS161" s="201"/>
      <c r="CT161" s="201"/>
      <c r="CU161" s="201"/>
      <c r="CV161" s="201"/>
      <c r="CW161" s="201"/>
      <c r="CX161" s="201"/>
      <c r="CY161" s="201"/>
      <c r="CZ161" s="201"/>
      <c r="DA161" s="201"/>
      <c r="DB161" s="201"/>
      <c r="DC161" s="201"/>
      <c r="DD161" s="201"/>
      <c r="DE161" s="201"/>
      <c r="DF161" s="201"/>
      <c r="DG161" s="201"/>
      <c r="DH161" s="201"/>
      <c r="DI161" s="201"/>
      <c r="DJ161" s="201"/>
      <c r="DK161" s="201"/>
      <c r="DL161" s="201"/>
      <c r="DM161" s="201"/>
      <c r="DN161" s="201"/>
      <c r="DO161" s="201"/>
      <c r="DP161" s="201"/>
      <c r="DQ161" s="201"/>
      <c r="DR161" s="201"/>
      <c r="DS161" s="201"/>
      <c r="DT161" s="201"/>
      <c r="DU161" s="201"/>
      <c r="DV161" s="201"/>
      <c r="DW161" s="201"/>
      <c r="DX161" s="201"/>
      <c r="DY161" s="201"/>
      <c r="DZ161" s="201"/>
      <c r="EA161" s="201"/>
      <c r="EB161" s="201"/>
      <c r="EC161" s="201"/>
      <c r="ED161" s="201"/>
      <c r="EE161" s="201"/>
      <c r="EF161" s="201"/>
      <c r="EG161" s="201"/>
      <c r="EH161" s="201"/>
      <c r="EI161" s="201"/>
      <c r="EJ161" s="201"/>
      <c r="EK161" s="201"/>
      <c r="EL161" s="201"/>
      <c r="EM161" s="201"/>
      <c r="EN161" s="201"/>
      <c r="EO161" s="201"/>
      <c r="EP161" s="201"/>
      <c r="EQ161" s="201"/>
      <c r="ER161" s="201"/>
      <c r="ES161" s="201"/>
      <c r="ET161" s="201"/>
      <c r="EU161" s="201"/>
      <c r="EV161" s="201"/>
      <c r="EW161" s="201"/>
      <c r="EX161" s="201"/>
      <c r="EY161" s="201"/>
      <c r="EZ161" s="201"/>
      <c r="FA161" s="201"/>
      <c r="FB161" s="201"/>
      <c r="FC161" s="201"/>
      <c r="FD161" s="201"/>
      <c r="FE161" s="201"/>
      <c r="FF161" s="201"/>
      <c r="FG161" s="201"/>
      <c r="FH161" s="201"/>
      <c r="FI161" s="201"/>
      <c r="FJ161" s="201"/>
      <c r="FK161" s="201"/>
      <c r="FL161" s="201"/>
      <c r="FM161" s="201"/>
      <c r="FN161" s="201"/>
      <c r="FO161" s="201"/>
      <c r="FP161" s="201"/>
      <c r="FQ161" s="201"/>
      <c r="FR161" s="201"/>
      <c r="FS161" s="201"/>
      <c r="FT161" s="201"/>
      <c r="FU161" s="201"/>
      <c r="FV161" s="201"/>
      <c r="FW161" s="201"/>
      <c r="FX161" s="201"/>
      <c r="FY161" s="201"/>
      <c r="FZ161" s="201"/>
      <c r="GA161" s="201"/>
      <c r="GB161" s="201"/>
      <c r="GC161" s="201"/>
      <c r="GD161" s="201"/>
      <c r="GE161" s="201"/>
      <c r="GF161" s="201"/>
      <c r="GG161" s="201"/>
      <c r="GH161" s="201"/>
      <c r="GI161" s="201"/>
      <c r="GJ161" s="201"/>
      <c r="GK161" s="201"/>
      <c r="GL161" s="201"/>
      <c r="GM161" s="201"/>
      <c r="GN161" s="201"/>
      <c r="GO161" s="201"/>
      <c r="GP161" s="201"/>
      <c r="GQ161" s="201"/>
      <c r="GR161" s="201"/>
      <c r="GS161" s="201"/>
      <c r="GT161" s="201"/>
      <c r="GU161" s="201"/>
      <c r="GV161" s="201"/>
      <c r="GW161" s="201"/>
      <c r="GX161" s="201"/>
      <c r="GY161" s="201"/>
      <c r="GZ161" s="201"/>
      <c r="HA161" s="201"/>
      <c r="HB161" s="201"/>
      <c r="HC161" s="201"/>
      <c r="HD161" s="201"/>
      <c r="HE161" s="201"/>
      <c r="HF161" s="201"/>
      <c r="HG161" s="201"/>
      <c r="HH161" s="201"/>
      <c r="HI161" s="201"/>
      <c r="HJ161" s="201"/>
      <c r="HK161" s="201"/>
      <c r="HL161" s="201"/>
      <c r="HM161" s="201"/>
      <c r="HN161" s="201"/>
      <c r="HO161" s="201"/>
      <c r="HP161" s="201"/>
      <c r="HQ161" s="201"/>
      <c r="HR161" s="201"/>
      <c r="HS161" s="201"/>
      <c r="HT161" s="201"/>
      <c r="HU161" s="201"/>
      <c r="HV161" s="201"/>
      <c r="HW161" s="201"/>
      <c r="HX161" s="201"/>
      <c r="HY161" s="201"/>
      <c r="HZ161" s="201"/>
      <c r="IA161" s="201"/>
      <c r="IB161" s="201"/>
      <c r="IC161" s="201"/>
      <c r="ID161" s="201"/>
      <c r="IE161" s="201"/>
      <c r="IF161" s="201"/>
      <c r="IG161" s="201"/>
      <c r="IH161" s="201"/>
      <c r="II161" s="201"/>
      <c r="IJ161" s="201"/>
      <c r="IK161" s="201"/>
      <c r="IL161" s="201"/>
      <c r="IM161" s="201"/>
      <c r="IN161" s="201"/>
      <c r="IO161" s="201"/>
      <c r="IP161" s="201"/>
      <c r="IQ161" s="201"/>
      <c r="IR161" s="201"/>
      <c r="IS161" s="201"/>
      <c r="IT161" s="201"/>
      <c r="IU161" s="201"/>
      <c r="IV161" s="201"/>
      <c r="IW161" s="201"/>
      <c r="IX161" s="201"/>
      <c r="IY161" s="201"/>
      <c r="IZ161" s="201"/>
      <c r="JA161" s="201"/>
      <c r="JB161" s="201"/>
      <c r="JC161" s="201"/>
      <c r="JD161" s="201"/>
      <c r="JE161" s="201"/>
      <c r="JF161" s="201"/>
      <c r="JG161" s="201"/>
      <c r="JH161" s="201"/>
      <c r="JI161" s="201"/>
      <c r="JJ161" s="201"/>
      <c r="JK161" s="201"/>
      <c r="JL161" s="201"/>
      <c r="JM161" s="201"/>
      <c r="JN161" s="201"/>
      <c r="JO161" s="201"/>
      <c r="JP161" s="201"/>
      <c r="JQ161" s="201"/>
      <c r="JR161" s="201"/>
      <c r="JS161" s="201"/>
      <c r="JT161" s="201"/>
      <c r="JU161" s="201"/>
      <c r="JV161" s="201"/>
      <c r="JW161" s="201"/>
      <c r="JX161" s="201"/>
      <c r="JY161" s="201"/>
      <c r="JZ161" s="201"/>
      <c r="KA161" s="201"/>
      <c r="KB161" s="201"/>
      <c r="KC161" s="201"/>
      <c r="KD161" s="201"/>
      <c r="KE161" s="201"/>
      <c r="KF161" s="201"/>
      <c r="KG161" s="201"/>
      <c r="KH161" s="201"/>
      <c r="KI161" s="201"/>
      <c r="KJ161" s="201"/>
      <c r="KK161" s="201"/>
      <c r="KL161" s="201"/>
      <c r="KM161" s="201"/>
      <c r="KN161" s="201"/>
      <c r="KO161" s="201"/>
      <c r="KP161" s="201"/>
      <c r="KQ161" s="201"/>
      <c r="KR161" s="201"/>
      <c r="KS161" s="201"/>
      <c r="KT161" s="201"/>
      <c r="KU161" s="201"/>
      <c r="KV161" s="201"/>
      <c r="KW161" s="201"/>
      <c r="KX161" s="201"/>
      <c r="KY161" s="201"/>
      <c r="KZ161" s="201"/>
      <c r="LA161" s="201"/>
      <c r="LB161" s="201"/>
      <c r="LC161" s="201"/>
      <c r="LD161" s="201"/>
      <c r="LE161" s="201"/>
      <c r="LF161" s="201"/>
      <c r="LG161" s="201"/>
      <c r="LH161" s="201"/>
      <c r="LI161" s="201"/>
      <c r="LJ161" s="201"/>
      <c r="LK161" s="201"/>
      <c r="LL161" s="201"/>
      <c r="LM161" s="201"/>
      <c r="LN161" s="201"/>
      <c r="LO161" s="201"/>
      <c r="LP161" s="201"/>
      <c r="LQ161" s="201"/>
      <c r="LR161" s="201"/>
      <c r="LS161" s="201"/>
      <c r="LT161" s="201"/>
      <c r="LU161" s="201"/>
      <c r="LV161" s="201"/>
      <c r="LW161" s="201"/>
      <c r="LX161" s="201"/>
      <c r="LY161" s="201"/>
      <c r="LZ161" s="201"/>
      <c r="MA161" s="201"/>
      <c r="MB161" s="201"/>
      <c r="MC161" s="201"/>
      <c r="MD161" s="201"/>
      <c r="ME161" s="201"/>
      <c r="MF161" s="201"/>
      <c r="MG161" s="201"/>
      <c r="MH161" s="201"/>
      <c r="MI161" s="201"/>
      <c r="MJ161" s="201"/>
      <c r="MK161" s="201"/>
      <c r="ML161" s="201"/>
      <c r="MM161" s="201"/>
      <c r="MN161" s="201"/>
      <c r="MO161" s="201"/>
      <c r="MP161" s="201"/>
      <c r="MQ161" s="201"/>
      <c r="MR161" s="201"/>
      <c r="MS161" s="201"/>
      <c r="MT161" s="201"/>
      <c r="MU161" s="201"/>
      <c r="MV161" s="201"/>
      <c r="MW161" s="201"/>
      <c r="MX161" s="201"/>
      <c r="MY161" s="201"/>
      <c r="MZ161" s="201"/>
      <c r="NA161" s="201"/>
      <c r="NB161" s="201"/>
      <c r="NC161" s="201"/>
      <c r="ND161" s="201"/>
      <c r="NE161" s="201"/>
      <c r="NF161" s="201"/>
      <c r="NG161" s="201"/>
      <c r="NH161" s="201"/>
      <c r="NI161" s="201"/>
      <c r="NJ161" s="201"/>
      <c r="NK161" s="201"/>
      <c r="NL161" s="201"/>
      <c r="NM161" s="201"/>
      <c r="NN161" s="201"/>
      <c r="NO161" s="201"/>
      <c r="NP161" s="201"/>
      <c r="NQ161" s="201"/>
      <c r="NR161" s="201"/>
      <c r="NS161" s="201"/>
      <c r="NT161" s="201"/>
      <c r="NU161" s="201"/>
      <c r="NV161" s="201"/>
      <c r="NW161" s="201"/>
      <c r="NX161" s="201"/>
      <c r="NY161" s="201"/>
      <c r="NZ161" s="201"/>
      <c r="OA161" s="201"/>
      <c r="OB161" s="201"/>
      <c r="OC161" s="201"/>
      <c r="OD161" s="201"/>
      <c r="OE161" s="201"/>
      <c r="OF161" s="201"/>
      <c r="OG161" s="201"/>
      <c r="OH161" s="201"/>
      <c r="OI161" s="201"/>
      <c r="OJ161" s="201"/>
      <c r="OK161" s="201"/>
      <c r="OL161" s="201"/>
      <c r="OM161" s="201"/>
      <c r="ON161" s="201"/>
      <c r="OO161" s="201"/>
      <c r="OP161" s="201"/>
      <c r="OQ161" s="201"/>
      <c r="OR161" s="201"/>
      <c r="OS161" s="201"/>
      <c r="OT161" s="201"/>
      <c r="OU161" s="201"/>
      <c r="OV161" s="201"/>
      <c r="OW161" s="201"/>
      <c r="OX161" s="201"/>
      <c r="OY161" s="201"/>
      <c r="OZ161" s="201"/>
      <c r="PA161" s="201"/>
      <c r="PB161" s="201"/>
      <c r="PC161" s="201"/>
      <c r="PD161" s="201"/>
      <c r="PE161" s="201"/>
      <c r="PF161" s="201"/>
      <c r="PG161" s="201"/>
      <c r="PH161" s="201"/>
      <c r="PI161" s="201"/>
      <c r="PJ161" s="201"/>
      <c r="PK161" s="201"/>
      <c r="PL161" s="201"/>
      <c r="PM161" s="201"/>
      <c r="PN161" s="201"/>
      <c r="PO161" s="201"/>
      <c r="PP161" s="201"/>
      <c r="PQ161" s="201"/>
      <c r="PR161" s="201"/>
      <c r="PS161" s="201"/>
      <c r="PT161" s="201"/>
      <c r="PU161" s="201"/>
      <c r="PV161" s="201"/>
      <c r="PW161" s="201"/>
      <c r="PX161" s="201"/>
      <c r="PY161" s="201"/>
      <c r="PZ161" s="201"/>
      <c r="QA161" s="201"/>
      <c r="QB161" s="201"/>
      <c r="QC161" s="201"/>
      <c r="QD161" s="201"/>
      <c r="QE161" s="201"/>
      <c r="QF161" s="201"/>
      <c r="QG161" s="201"/>
      <c r="QH161" s="201"/>
      <c r="QI161" s="201"/>
      <c r="QJ161" s="201"/>
      <c r="QK161" s="201"/>
      <c r="QL161" s="201"/>
      <c r="QM161" s="201"/>
      <c r="QN161" s="201"/>
      <c r="QO161" s="201"/>
      <c r="QP161" s="201"/>
      <c r="QQ161" s="201"/>
      <c r="QR161" s="201"/>
      <c r="QS161" s="201"/>
      <c r="QT161" s="201"/>
      <c r="QU161" s="201"/>
      <c r="QV161" s="201"/>
      <c r="QW161" s="201"/>
      <c r="QX161" s="201"/>
      <c r="QY161" s="201"/>
      <c r="QZ161" s="201"/>
      <c r="RA161" s="201"/>
      <c r="RB161" s="201"/>
      <c r="RC161" s="201"/>
      <c r="RD161" s="201"/>
      <c r="RE161" s="201"/>
      <c r="RF161" s="201"/>
      <c r="RG161" s="201"/>
      <c r="RH161" s="201"/>
      <c r="RI161" s="201"/>
      <c r="RJ161" s="201"/>
      <c r="RK161" s="201"/>
      <c r="RL161" s="201"/>
      <c r="RM161" s="201"/>
      <c r="RN161" s="201"/>
      <c r="RO161" s="201"/>
      <c r="RP161" s="201"/>
      <c r="RQ161" s="201"/>
      <c r="RR161" s="201"/>
      <c r="RS161" s="201"/>
      <c r="RT161" s="201"/>
      <c r="RU161" s="201"/>
      <c r="RV161" s="201"/>
      <c r="RW161" s="201"/>
      <c r="RX161" s="201"/>
      <c r="RY161" s="201"/>
      <c r="RZ161" s="201"/>
      <c r="SA161" s="201"/>
      <c r="SB161" s="201"/>
      <c r="SC161" s="201"/>
      <c r="SD161" s="201"/>
      <c r="SE161" s="201"/>
      <c r="SF161" s="201"/>
      <c r="SG161" s="201"/>
    </row>
    <row r="162" spans="1:501" ht="40.049999999999997" customHeight="1" thickBot="1" x14ac:dyDescent="0.35">
      <c r="A162" s="543" t="s">
        <v>388</v>
      </c>
      <c r="B162" s="956" t="s">
        <v>389</v>
      </c>
      <c r="C162" s="950"/>
      <c r="D162" s="861"/>
      <c r="E162" s="862"/>
      <c r="F162" s="861"/>
      <c r="G162" s="862"/>
      <c r="H162" s="861"/>
      <c r="I162" s="862"/>
      <c r="J162" s="861"/>
      <c r="K162" s="862"/>
      <c r="L162" s="861"/>
      <c r="M162" s="862"/>
      <c r="N162" s="861"/>
      <c r="O162" s="862">
        <f>MANZ.G!AS160</f>
        <v>17</v>
      </c>
      <c r="P162" s="861"/>
      <c r="Q162" s="862"/>
      <c r="R162" s="861"/>
      <c r="S162" s="862"/>
      <c r="T162" s="861"/>
      <c r="U162" s="862"/>
      <c r="V162" s="861"/>
      <c r="W162" s="862"/>
      <c r="X162" s="861"/>
      <c r="Y162" s="862"/>
      <c r="Z162" s="861"/>
      <c r="AA162" s="862"/>
      <c r="AB162" s="864"/>
      <c r="AC162" s="864"/>
      <c r="AD162" s="864"/>
      <c r="AE162" s="864"/>
      <c r="AF162" s="861"/>
      <c r="AG162" s="865">
        <f>SUM(C162:AA162)</f>
        <v>17</v>
      </c>
      <c r="AH162" s="866"/>
      <c r="AK162" s="198"/>
      <c r="AL162" s="198"/>
      <c r="AM162" s="198"/>
      <c r="AN162" s="198"/>
      <c r="AO162" s="198"/>
      <c r="AP162" s="198"/>
      <c r="AQ162" s="198"/>
      <c r="AR162" s="198"/>
      <c r="AS162" s="198"/>
      <c r="AT162" s="198"/>
      <c r="AU162" s="198"/>
      <c r="AV162" s="198"/>
      <c r="AW162" s="198"/>
      <c r="AX162" s="198"/>
      <c r="AY162" s="198"/>
      <c r="AZ162" s="198"/>
      <c r="BA162" s="198"/>
      <c r="BB162" s="198"/>
      <c r="BC162" s="198"/>
      <c r="BD162" s="198"/>
      <c r="BE162" s="198"/>
      <c r="BF162" s="198"/>
      <c r="BG162" s="198"/>
      <c r="BH162" s="198"/>
      <c r="BI162" s="198"/>
      <c r="BJ162" s="198"/>
      <c r="BK162" s="198"/>
      <c r="BL162" s="198"/>
      <c r="BM162" s="198"/>
      <c r="BN162" s="198"/>
      <c r="BO162" s="198"/>
      <c r="BP162" s="198"/>
      <c r="BQ162" s="198"/>
      <c r="BR162" s="198"/>
      <c r="BS162" s="198"/>
      <c r="BT162" s="198"/>
      <c r="BU162" s="198"/>
      <c r="BV162" s="198"/>
      <c r="BW162" s="198"/>
      <c r="BX162" s="198"/>
      <c r="BY162" s="198"/>
      <c r="BZ162" s="198"/>
      <c r="CA162" s="198"/>
      <c r="CB162" s="198"/>
      <c r="CC162" s="198"/>
      <c r="CD162" s="198"/>
      <c r="CE162" s="198"/>
      <c r="CF162" s="198"/>
      <c r="CG162" s="198"/>
      <c r="CH162" s="198"/>
      <c r="CI162" s="198"/>
      <c r="CJ162" s="198"/>
      <c r="CK162" s="198"/>
      <c r="CL162" s="198"/>
      <c r="CM162" s="198"/>
      <c r="CN162" s="198"/>
      <c r="CO162" s="198"/>
      <c r="CP162" s="198"/>
      <c r="CQ162" s="198"/>
      <c r="CR162" s="198"/>
      <c r="CS162" s="198"/>
      <c r="CT162" s="198"/>
      <c r="CU162" s="198"/>
      <c r="CV162" s="198"/>
      <c r="CW162" s="198"/>
      <c r="CX162" s="198"/>
      <c r="CY162" s="198"/>
      <c r="CZ162" s="198"/>
      <c r="DA162" s="198"/>
      <c r="DB162" s="198"/>
      <c r="DC162" s="198"/>
      <c r="DD162" s="198"/>
      <c r="DE162" s="198"/>
      <c r="DF162" s="198"/>
      <c r="DG162" s="198"/>
      <c r="DH162" s="198"/>
      <c r="DI162" s="198"/>
      <c r="DJ162" s="198"/>
      <c r="DK162" s="198"/>
      <c r="DL162" s="198"/>
      <c r="DM162" s="198"/>
      <c r="DN162" s="198"/>
      <c r="DO162" s="198"/>
      <c r="DP162" s="198"/>
      <c r="DQ162" s="198"/>
      <c r="DR162" s="198"/>
      <c r="DS162" s="198"/>
      <c r="DT162" s="198"/>
      <c r="DU162" s="198"/>
      <c r="DV162" s="198"/>
      <c r="DW162" s="198"/>
      <c r="DX162" s="198"/>
      <c r="DY162" s="198"/>
      <c r="DZ162" s="198"/>
      <c r="EA162" s="198"/>
      <c r="EB162" s="198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8"/>
      <c r="FC162" s="198"/>
      <c r="FD162" s="198"/>
      <c r="FE162" s="198"/>
      <c r="FF162" s="198"/>
      <c r="FG162" s="198"/>
      <c r="FH162" s="198"/>
      <c r="FI162" s="198"/>
      <c r="FJ162" s="198"/>
      <c r="FK162" s="198"/>
      <c r="FL162" s="198"/>
      <c r="FM162" s="198"/>
      <c r="FN162" s="198"/>
      <c r="FO162" s="198"/>
      <c r="FP162" s="198"/>
      <c r="FQ162" s="198"/>
      <c r="FR162" s="198"/>
      <c r="FS162" s="198"/>
      <c r="FT162" s="198"/>
      <c r="FU162" s="198"/>
      <c r="FV162" s="198"/>
      <c r="FW162" s="198"/>
      <c r="FX162" s="198"/>
      <c r="FY162" s="198"/>
      <c r="FZ162" s="198"/>
      <c r="GA162" s="198"/>
      <c r="GB162" s="198"/>
      <c r="GC162" s="198"/>
      <c r="GD162" s="198"/>
      <c r="GE162" s="198"/>
      <c r="GF162" s="198"/>
      <c r="GG162" s="198"/>
      <c r="GH162" s="198"/>
      <c r="GI162" s="198"/>
      <c r="GJ162" s="198"/>
      <c r="GK162" s="198"/>
      <c r="GL162" s="198"/>
      <c r="GM162" s="198"/>
      <c r="GN162" s="198"/>
      <c r="GO162" s="198"/>
      <c r="GP162" s="198"/>
      <c r="GQ162" s="198"/>
      <c r="GR162" s="198"/>
      <c r="GS162" s="198"/>
      <c r="GT162" s="198"/>
      <c r="GU162" s="198"/>
      <c r="GV162" s="198"/>
      <c r="GW162" s="198"/>
      <c r="GX162" s="198"/>
      <c r="GY162" s="198"/>
      <c r="GZ162" s="198"/>
      <c r="HA162" s="198"/>
      <c r="HB162" s="198"/>
      <c r="HC162" s="198"/>
      <c r="HD162" s="198"/>
      <c r="HE162" s="198"/>
      <c r="HF162" s="198"/>
      <c r="HG162" s="198"/>
      <c r="HH162" s="198"/>
      <c r="HI162" s="198"/>
      <c r="HJ162" s="198"/>
      <c r="HK162" s="198"/>
      <c r="HL162" s="198"/>
      <c r="HM162" s="198"/>
      <c r="HN162" s="198"/>
      <c r="HO162" s="198"/>
      <c r="HP162" s="198"/>
      <c r="HQ162" s="198"/>
      <c r="HR162" s="198"/>
      <c r="HS162" s="198"/>
      <c r="HT162" s="198"/>
      <c r="HU162" s="198"/>
      <c r="HV162" s="198"/>
      <c r="HW162" s="198"/>
      <c r="HX162" s="198"/>
      <c r="HY162" s="198"/>
      <c r="HZ162" s="198"/>
      <c r="IA162" s="198"/>
      <c r="IB162" s="198"/>
      <c r="IC162" s="198"/>
      <c r="ID162" s="198"/>
      <c r="IE162" s="198"/>
      <c r="IF162" s="198"/>
      <c r="IG162" s="198"/>
      <c r="IH162" s="198"/>
      <c r="II162" s="198"/>
      <c r="IJ162" s="198"/>
      <c r="IK162" s="198"/>
      <c r="IL162" s="198"/>
      <c r="IM162" s="198"/>
      <c r="IN162" s="198"/>
      <c r="IO162" s="198"/>
      <c r="IP162" s="198"/>
      <c r="IQ162" s="198"/>
      <c r="IR162" s="198"/>
      <c r="IS162" s="198"/>
      <c r="IT162" s="198"/>
      <c r="IU162" s="198"/>
      <c r="IV162" s="198"/>
      <c r="IW162" s="198"/>
      <c r="IX162" s="198"/>
      <c r="IY162" s="198"/>
      <c r="IZ162" s="198"/>
      <c r="JA162" s="198"/>
      <c r="JB162" s="198"/>
      <c r="JC162" s="198"/>
      <c r="JD162" s="198"/>
      <c r="JE162" s="198"/>
      <c r="JF162" s="198"/>
      <c r="JG162" s="198"/>
      <c r="JH162" s="198"/>
      <c r="JI162" s="198"/>
      <c r="JJ162" s="198"/>
      <c r="JK162" s="198"/>
      <c r="JL162" s="198"/>
      <c r="JM162" s="198"/>
      <c r="JN162" s="198"/>
      <c r="JO162" s="198"/>
      <c r="JP162" s="198"/>
      <c r="JQ162" s="198"/>
      <c r="JR162" s="198"/>
      <c r="JS162" s="198"/>
      <c r="JT162" s="198"/>
      <c r="JU162" s="198"/>
      <c r="JV162" s="198"/>
      <c r="JW162" s="198"/>
      <c r="JX162" s="198"/>
      <c r="JY162" s="198"/>
      <c r="JZ162" s="198"/>
      <c r="KA162" s="198"/>
      <c r="KB162" s="198"/>
      <c r="KC162" s="198"/>
      <c r="KD162" s="198"/>
      <c r="KE162" s="198"/>
      <c r="KF162" s="198"/>
      <c r="KG162" s="198"/>
      <c r="KH162" s="198"/>
      <c r="KI162" s="198"/>
      <c r="KJ162" s="198"/>
      <c r="KK162" s="198"/>
      <c r="KL162" s="198"/>
      <c r="KM162" s="198"/>
      <c r="KN162" s="198"/>
      <c r="KO162" s="198"/>
      <c r="KP162" s="198"/>
      <c r="KQ162" s="198"/>
      <c r="KR162" s="198"/>
      <c r="KS162" s="198"/>
      <c r="KT162" s="198"/>
      <c r="KU162" s="198"/>
      <c r="KV162" s="198"/>
      <c r="KW162" s="198"/>
      <c r="KX162" s="198"/>
      <c r="KY162" s="198"/>
      <c r="KZ162" s="198"/>
      <c r="LA162" s="198"/>
      <c r="LB162" s="198"/>
      <c r="LC162" s="198"/>
      <c r="LD162" s="198"/>
      <c r="LE162" s="198"/>
      <c r="LF162" s="198"/>
      <c r="LG162" s="198"/>
      <c r="LH162" s="198"/>
      <c r="LI162" s="198"/>
      <c r="LJ162" s="198"/>
      <c r="LK162" s="198"/>
      <c r="LL162" s="198"/>
      <c r="LM162" s="198"/>
      <c r="LN162" s="198"/>
      <c r="LO162" s="198"/>
      <c r="LP162" s="198"/>
      <c r="LQ162" s="198"/>
      <c r="LR162" s="198"/>
      <c r="LS162" s="198"/>
      <c r="LT162" s="198"/>
      <c r="LU162" s="198"/>
      <c r="LV162" s="198"/>
      <c r="LW162" s="198"/>
      <c r="LX162" s="198"/>
      <c r="LY162" s="198"/>
      <c r="LZ162" s="198"/>
      <c r="MA162" s="198"/>
      <c r="MB162" s="198"/>
      <c r="MC162" s="198"/>
      <c r="MD162" s="198"/>
      <c r="ME162" s="198"/>
      <c r="MF162" s="198"/>
      <c r="MG162" s="198"/>
      <c r="MH162" s="198"/>
      <c r="MI162" s="198"/>
      <c r="MJ162" s="198"/>
      <c r="MK162" s="198"/>
      <c r="ML162" s="198"/>
      <c r="MM162" s="198"/>
      <c r="MN162" s="198"/>
      <c r="MO162" s="198"/>
      <c r="MP162" s="198"/>
      <c r="MQ162" s="198"/>
      <c r="MR162" s="198"/>
      <c r="MS162" s="198"/>
      <c r="MT162" s="198"/>
      <c r="MU162" s="198"/>
      <c r="MV162" s="198"/>
      <c r="MW162" s="198"/>
      <c r="MX162" s="198"/>
      <c r="MY162" s="198"/>
      <c r="MZ162" s="198"/>
      <c r="NA162" s="198"/>
      <c r="NB162" s="198"/>
      <c r="NC162" s="198"/>
      <c r="ND162" s="198"/>
      <c r="NE162" s="198"/>
      <c r="NF162" s="198"/>
      <c r="NG162" s="198"/>
      <c r="NH162" s="198"/>
      <c r="NI162" s="198"/>
      <c r="NJ162" s="198"/>
      <c r="NK162" s="198"/>
      <c r="NL162" s="198"/>
      <c r="NM162" s="198"/>
      <c r="NN162" s="198"/>
      <c r="NO162" s="198"/>
      <c r="NP162" s="198"/>
      <c r="NQ162" s="198"/>
      <c r="NR162" s="198"/>
      <c r="NS162" s="198"/>
      <c r="NT162" s="198"/>
      <c r="NU162" s="198"/>
      <c r="NV162" s="198"/>
      <c r="NW162" s="198"/>
      <c r="NX162" s="198"/>
      <c r="NY162" s="198"/>
      <c r="NZ162" s="198"/>
      <c r="OA162" s="198"/>
      <c r="OB162" s="198"/>
      <c r="OC162" s="198"/>
      <c r="OD162" s="198"/>
      <c r="OE162" s="198"/>
      <c r="OF162" s="198"/>
      <c r="OG162" s="198"/>
      <c r="OH162" s="198"/>
      <c r="OI162" s="198"/>
      <c r="OJ162" s="198"/>
      <c r="OK162" s="198"/>
      <c r="OL162" s="198"/>
      <c r="OM162" s="198"/>
      <c r="ON162" s="198"/>
      <c r="OO162" s="198"/>
      <c r="OP162" s="198"/>
      <c r="OQ162" s="198"/>
      <c r="OR162" s="198"/>
      <c r="OS162" s="198"/>
      <c r="OT162" s="198"/>
      <c r="OU162" s="198"/>
      <c r="OV162" s="198"/>
      <c r="OW162" s="198"/>
      <c r="OX162" s="198"/>
      <c r="OY162" s="198"/>
      <c r="OZ162" s="198"/>
      <c r="PA162" s="198"/>
      <c r="PB162" s="198"/>
      <c r="PC162" s="198"/>
      <c r="PD162" s="198"/>
      <c r="PE162" s="198"/>
      <c r="PF162" s="198"/>
      <c r="PG162" s="198"/>
      <c r="PH162" s="198"/>
      <c r="PI162" s="198"/>
      <c r="PJ162" s="198"/>
      <c r="PK162" s="198"/>
      <c r="PL162" s="198"/>
      <c r="PM162" s="198"/>
      <c r="PN162" s="198"/>
      <c r="PO162" s="198"/>
      <c r="PP162" s="198"/>
      <c r="PQ162" s="198"/>
      <c r="PR162" s="198"/>
      <c r="PS162" s="198"/>
      <c r="PT162" s="198"/>
      <c r="PU162" s="198"/>
      <c r="PV162" s="198"/>
      <c r="PW162" s="198"/>
      <c r="PX162" s="198"/>
      <c r="PY162" s="198"/>
      <c r="PZ162" s="198"/>
      <c r="QA162" s="198"/>
      <c r="QB162" s="198"/>
      <c r="QC162" s="198"/>
      <c r="QD162" s="198"/>
      <c r="QE162" s="198"/>
      <c r="QF162" s="198"/>
      <c r="QG162" s="198"/>
      <c r="QH162" s="198"/>
      <c r="QI162" s="198"/>
      <c r="QJ162" s="198"/>
      <c r="QK162" s="198"/>
      <c r="QL162" s="198"/>
      <c r="QM162" s="198"/>
      <c r="QN162" s="198"/>
      <c r="QO162" s="198"/>
      <c r="QP162" s="198"/>
      <c r="QQ162" s="198"/>
      <c r="QR162" s="198"/>
      <c r="QS162" s="198"/>
      <c r="QT162" s="198"/>
      <c r="QU162" s="198"/>
      <c r="QV162" s="198"/>
      <c r="QW162" s="198"/>
      <c r="QX162" s="198"/>
      <c r="QY162" s="198"/>
      <c r="QZ162" s="198"/>
      <c r="RA162" s="198"/>
      <c r="RB162" s="198"/>
      <c r="RC162" s="198"/>
      <c r="RD162" s="198"/>
      <c r="RE162" s="198"/>
      <c r="RF162" s="198"/>
      <c r="RG162" s="198"/>
      <c r="RH162" s="198"/>
      <c r="RI162" s="198"/>
      <c r="RJ162" s="198"/>
      <c r="RK162" s="198"/>
      <c r="RL162" s="198"/>
      <c r="RM162" s="198"/>
      <c r="RN162" s="198"/>
      <c r="RO162" s="198"/>
      <c r="RP162" s="198"/>
      <c r="RQ162" s="198"/>
      <c r="RR162" s="198"/>
      <c r="RS162" s="198"/>
      <c r="RT162" s="198"/>
      <c r="RU162" s="198"/>
      <c r="RV162" s="198"/>
      <c r="RW162" s="198"/>
      <c r="RX162" s="198"/>
      <c r="RY162" s="198"/>
      <c r="RZ162" s="198"/>
      <c r="SA162" s="198"/>
      <c r="SB162" s="198"/>
      <c r="SC162" s="198"/>
      <c r="SD162" s="198"/>
      <c r="SE162" s="198"/>
      <c r="SF162" s="198"/>
      <c r="SG162" s="198"/>
    </row>
    <row r="163" spans="1:501" ht="40.049999999999997" customHeight="1" x14ac:dyDescent="0.3">
      <c r="A163" s="542" t="s">
        <v>390</v>
      </c>
      <c r="B163" s="953" t="s">
        <v>391</v>
      </c>
      <c r="C163" s="944"/>
      <c r="D163" s="944"/>
      <c r="E163" s="944"/>
      <c r="F163" s="944"/>
      <c r="G163" s="944"/>
      <c r="H163" s="944"/>
      <c r="I163" s="944"/>
      <c r="J163" s="944"/>
      <c r="K163" s="944"/>
      <c r="L163" s="944"/>
      <c r="M163" s="944"/>
      <c r="N163" s="944"/>
      <c r="O163" s="944"/>
      <c r="P163" s="944"/>
      <c r="Q163" s="944"/>
      <c r="R163" s="944"/>
      <c r="S163" s="944"/>
      <c r="T163" s="944"/>
      <c r="U163" s="944"/>
      <c r="V163" s="944"/>
      <c r="W163" s="944"/>
      <c r="X163" s="944"/>
      <c r="Y163" s="944"/>
      <c r="Z163" s="944"/>
      <c r="AA163" s="944"/>
      <c r="AB163" s="944"/>
      <c r="AC163" s="944"/>
      <c r="AD163" s="944"/>
      <c r="AE163" s="944"/>
      <c r="AF163" s="944"/>
      <c r="AG163" s="944"/>
      <c r="AH163" s="945"/>
      <c r="AI163" s="198"/>
      <c r="AJ163" s="198"/>
      <c r="AK163" s="198"/>
      <c r="AL163" s="198"/>
      <c r="AM163" s="198"/>
      <c r="AN163" s="198"/>
      <c r="AO163" s="198"/>
      <c r="AP163" s="198"/>
      <c r="AQ163" s="198"/>
      <c r="AR163" s="198"/>
      <c r="AS163" s="198"/>
      <c r="AT163" s="198"/>
      <c r="AU163" s="198"/>
      <c r="AV163" s="198"/>
      <c r="AW163" s="198"/>
      <c r="AX163" s="198"/>
      <c r="AY163" s="198"/>
      <c r="AZ163" s="198"/>
      <c r="BA163" s="198"/>
      <c r="BB163" s="198"/>
      <c r="BC163" s="198"/>
      <c r="BD163" s="198"/>
      <c r="BE163" s="198"/>
      <c r="BF163" s="198"/>
      <c r="BG163" s="198"/>
      <c r="BH163" s="198"/>
      <c r="BI163" s="198"/>
      <c r="BJ163" s="198"/>
      <c r="BK163" s="198"/>
      <c r="BL163" s="198"/>
      <c r="BM163" s="198"/>
      <c r="BN163" s="198"/>
      <c r="BO163" s="198"/>
      <c r="BP163" s="198"/>
      <c r="BQ163" s="198"/>
      <c r="BR163" s="198"/>
      <c r="BS163" s="198"/>
      <c r="BT163" s="198"/>
      <c r="BU163" s="198"/>
      <c r="BV163" s="198"/>
      <c r="BW163" s="198"/>
      <c r="BX163" s="198"/>
      <c r="BY163" s="198"/>
      <c r="BZ163" s="198"/>
      <c r="CA163" s="198"/>
      <c r="CB163" s="198"/>
      <c r="CC163" s="198"/>
      <c r="CD163" s="198"/>
      <c r="CE163" s="198"/>
      <c r="CF163" s="198"/>
      <c r="CG163" s="198"/>
      <c r="CH163" s="198"/>
      <c r="CI163" s="198"/>
      <c r="CJ163" s="198"/>
      <c r="CK163" s="198"/>
      <c r="CL163" s="198"/>
      <c r="CM163" s="198"/>
      <c r="CN163" s="198"/>
      <c r="CO163" s="198"/>
      <c r="CP163" s="198"/>
      <c r="CQ163" s="198"/>
      <c r="CR163" s="198"/>
      <c r="CS163" s="198"/>
      <c r="CT163" s="198"/>
      <c r="CU163" s="198"/>
      <c r="CV163" s="198"/>
      <c r="CW163" s="198"/>
      <c r="CX163" s="198"/>
      <c r="CY163" s="198"/>
      <c r="CZ163" s="198"/>
      <c r="DA163" s="198"/>
      <c r="DB163" s="198"/>
      <c r="DC163" s="198"/>
      <c r="DD163" s="198"/>
      <c r="DE163" s="198"/>
      <c r="DF163" s="198"/>
      <c r="DG163" s="198"/>
      <c r="DH163" s="198"/>
      <c r="DI163" s="198"/>
      <c r="DJ163" s="198"/>
      <c r="DK163" s="198"/>
      <c r="DL163" s="198"/>
      <c r="DM163" s="198"/>
      <c r="DN163" s="198"/>
      <c r="DO163" s="198"/>
      <c r="DP163" s="198"/>
      <c r="DQ163" s="198"/>
      <c r="DR163" s="198"/>
      <c r="DS163" s="198"/>
      <c r="DT163" s="198"/>
      <c r="DU163" s="198"/>
      <c r="DV163" s="198"/>
      <c r="DW163" s="198"/>
      <c r="DX163" s="198"/>
      <c r="DY163" s="198"/>
      <c r="DZ163" s="198"/>
      <c r="EA163" s="198"/>
      <c r="EB163" s="198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8"/>
      <c r="FC163" s="198"/>
      <c r="FD163" s="198"/>
      <c r="FE163" s="198"/>
      <c r="FF163" s="198"/>
      <c r="FG163" s="198"/>
      <c r="FH163" s="198"/>
      <c r="FI163" s="198"/>
      <c r="FJ163" s="198"/>
      <c r="FK163" s="198"/>
      <c r="FL163" s="198"/>
      <c r="FM163" s="198"/>
      <c r="FN163" s="198"/>
      <c r="FO163" s="198"/>
      <c r="FP163" s="198"/>
      <c r="FQ163" s="198"/>
      <c r="FR163" s="198"/>
      <c r="FS163" s="198"/>
      <c r="FT163" s="198"/>
      <c r="FU163" s="198"/>
      <c r="FV163" s="198"/>
      <c r="FW163" s="198"/>
      <c r="FX163" s="198"/>
      <c r="FY163" s="198"/>
      <c r="FZ163" s="198"/>
      <c r="GA163" s="198"/>
      <c r="GB163" s="198"/>
      <c r="GC163" s="198"/>
      <c r="GD163" s="198"/>
      <c r="GE163" s="198"/>
      <c r="GF163" s="198"/>
      <c r="GG163" s="198"/>
      <c r="GH163" s="198"/>
      <c r="GI163" s="198"/>
      <c r="GJ163" s="198"/>
      <c r="GK163" s="198"/>
      <c r="GL163" s="198"/>
      <c r="GM163" s="198"/>
      <c r="GN163" s="198"/>
      <c r="GO163" s="198"/>
      <c r="GP163" s="198"/>
      <c r="GQ163" s="198"/>
      <c r="GR163" s="198"/>
      <c r="GS163" s="198"/>
      <c r="GT163" s="198"/>
      <c r="GU163" s="198"/>
      <c r="GV163" s="198"/>
      <c r="GW163" s="198"/>
      <c r="GX163" s="198"/>
      <c r="GY163" s="198"/>
      <c r="GZ163" s="198"/>
      <c r="HA163" s="198"/>
      <c r="HB163" s="198"/>
      <c r="HC163" s="198"/>
      <c r="HD163" s="198"/>
      <c r="HE163" s="198"/>
      <c r="HF163" s="198"/>
      <c r="HG163" s="198"/>
      <c r="HH163" s="198"/>
      <c r="HI163" s="198"/>
      <c r="HJ163" s="198"/>
      <c r="HK163" s="198"/>
      <c r="HL163" s="198"/>
      <c r="HM163" s="198"/>
      <c r="HN163" s="198"/>
      <c r="HO163" s="198"/>
      <c r="HP163" s="198"/>
      <c r="HQ163" s="198"/>
      <c r="HR163" s="198"/>
      <c r="HS163" s="198"/>
      <c r="HT163" s="198"/>
      <c r="HU163" s="198"/>
      <c r="HV163" s="198"/>
      <c r="HW163" s="198"/>
      <c r="HX163" s="198"/>
      <c r="HY163" s="198"/>
      <c r="HZ163" s="198"/>
      <c r="IA163" s="198"/>
      <c r="IB163" s="198"/>
      <c r="IC163" s="198"/>
      <c r="ID163" s="198"/>
      <c r="IE163" s="198"/>
      <c r="IF163" s="198"/>
      <c r="IG163" s="198"/>
      <c r="IH163" s="198"/>
      <c r="II163" s="198"/>
      <c r="IJ163" s="198"/>
      <c r="IK163" s="198"/>
      <c r="IL163" s="198"/>
      <c r="IM163" s="198"/>
      <c r="IN163" s="198"/>
      <c r="IO163" s="198"/>
      <c r="IP163" s="198"/>
      <c r="IQ163" s="198"/>
      <c r="IR163" s="198"/>
      <c r="IS163" s="198"/>
      <c r="IT163" s="198"/>
      <c r="IU163" s="198"/>
      <c r="IV163" s="198"/>
      <c r="IW163" s="198"/>
      <c r="IX163" s="198"/>
      <c r="IY163" s="198"/>
      <c r="IZ163" s="198"/>
      <c r="JA163" s="198"/>
      <c r="JB163" s="198"/>
      <c r="JC163" s="198"/>
      <c r="JD163" s="198"/>
      <c r="JE163" s="198"/>
      <c r="JF163" s="198"/>
      <c r="JG163" s="198"/>
      <c r="JH163" s="198"/>
      <c r="JI163" s="198"/>
      <c r="JJ163" s="198"/>
      <c r="JK163" s="198"/>
      <c r="JL163" s="198"/>
      <c r="JM163" s="198"/>
      <c r="JN163" s="198"/>
      <c r="JO163" s="198"/>
      <c r="JP163" s="198"/>
      <c r="JQ163" s="198"/>
      <c r="JR163" s="198"/>
      <c r="JS163" s="198"/>
      <c r="JT163" s="198"/>
      <c r="JU163" s="198"/>
      <c r="JV163" s="198"/>
      <c r="JW163" s="198"/>
      <c r="JX163" s="198"/>
      <c r="JY163" s="198"/>
      <c r="JZ163" s="198"/>
      <c r="KA163" s="198"/>
      <c r="KB163" s="198"/>
      <c r="KC163" s="198"/>
      <c r="KD163" s="198"/>
      <c r="KE163" s="198"/>
      <c r="KF163" s="198"/>
      <c r="KG163" s="198"/>
      <c r="KH163" s="198"/>
      <c r="KI163" s="198"/>
      <c r="KJ163" s="198"/>
      <c r="KK163" s="198"/>
      <c r="KL163" s="198"/>
      <c r="KM163" s="198"/>
      <c r="KN163" s="198"/>
      <c r="KO163" s="198"/>
      <c r="KP163" s="198"/>
      <c r="KQ163" s="198"/>
      <c r="KR163" s="198"/>
      <c r="KS163" s="198"/>
      <c r="KT163" s="198"/>
      <c r="KU163" s="198"/>
      <c r="KV163" s="198"/>
      <c r="KW163" s="198"/>
      <c r="KX163" s="198"/>
      <c r="KY163" s="198"/>
      <c r="KZ163" s="198"/>
      <c r="LA163" s="198"/>
      <c r="LB163" s="198"/>
      <c r="LC163" s="198"/>
      <c r="LD163" s="198"/>
      <c r="LE163" s="198"/>
      <c r="LF163" s="198"/>
      <c r="LG163" s="198"/>
      <c r="LH163" s="198"/>
      <c r="LI163" s="198"/>
      <c r="LJ163" s="198"/>
      <c r="LK163" s="198"/>
      <c r="LL163" s="198"/>
      <c r="LM163" s="198"/>
      <c r="LN163" s="198"/>
      <c r="LO163" s="198"/>
      <c r="LP163" s="198"/>
      <c r="LQ163" s="198"/>
      <c r="LR163" s="198"/>
      <c r="LS163" s="198"/>
      <c r="LT163" s="198"/>
      <c r="LU163" s="198"/>
      <c r="LV163" s="198"/>
      <c r="LW163" s="198"/>
      <c r="LX163" s="198"/>
      <c r="LY163" s="198"/>
      <c r="LZ163" s="198"/>
      <c r="MA163" s="198"/>
      <c r="MB163" s="198"/>
      <c r="MC163" s="198"/>
      <c r="MD163" s="198"/>
      <c r="ME163" s="198"/>
      <c r="MF163" s="198"/>
      <c r="MG163" s="198"/>
      <c r="MH163" s="198"/>
      <c r="MI163" s="198"/>
      <c r="MJ163" s="198"/>
      <c r="MK163" s="198"/>
      <c r="ML163" s="198"/>
      <c r="MM163" s="198"/>
      <c r="MN163" s="198"/>
      <c r="MO163" s="198"/>
      <c r="MP163" s="198"/>
      <c r="MQ163" s="198"/>
      <c r="MR163" s="198"/>
      <c r="MS163" s="198"/>
      <c r="MT163" s="198"/>
      <c r="MU163" s="198"/>
      <c r="MV163" s="198"/>
      <c r="MW163" s="198"/>
      <c r="MX163" s="198"/>
      <c r="MY163" s="198"/>
      <c r="MZ163" s="198"/>
      <c r="NA163" s="198"/>
      <c r="NB163" s="198"/>
      <c r="NC163" s="198"/>
      <c r="ND163" s="198"/>
      <c r="NE163" s="198"/>
      <c r="NF163" s="198"/>
      <c r="NG163" s="198"/>
      <c r="NH163" s="198"/>
      <c r="NI163" s="198"/>
      <c r="NJ163" s="198"/>
      <c r="NK163" s="198"/>
      <c r="NL163" s="198"/>
      <c r="NM163" s="198"/>
      <c r="NN163" s="198"/>
      <c r="NO163" s="198"/>
      <c r="NP163" s="198"/>
      <c r="NQ163" s="198"/>
      <c r="NR163" s="198"/>
      <c r="NS163" s="198"/>
      <c r="NT163" s="198"/>
      <c r="NU163" s="198"/>
      <c r="NV163" s="198"/>
      <c r="NW163" s="198"/>
      <c r="NX163" s="198"/>
      <c r="NY163" s="198"/>
      <c r="NZ163" s="198"/>
      <c r="OA163" s="198"/>
      <c r="OB163" s="198"/>
      <c r="OC163" s="198"/>
      <c r="OD163" s="198"/>
      <c r="OE163" s="198"/>
      <c r="OF163" s="198"/>
      <c r="OG163" s="198"/>
      <c r="OH163" s="198"/>
      <c r="OI163" s="198"/>
      <c r="OJ163" s="198"/>
      <c r="OK163" s="198"/>
      <c r="OL163" s="198"/>
      <c r="OM163" s="198"/>
      <c r="ON163" s="198"/>
      <c r="OO163" s="198"/>
      <c r="OP163" s="198"/>
      <c r="OQ163" s="198"/>
      <c r="OR163" s="198"/>
      <c r="OS163" s="198"/>
      <c r="OT163" s="198"/>
      <c r="OU163" s="198"/>
      <c r="OV163" s="198"/>
      <c r="OW163" s="198"/>
      <c r="OX163" s="198"/>
      <c r="OY163" s="198"/>
      <c r="OZ163" s="198"/>
      <c r="PA163" s="198"/>
      <c r="PB163" s="198"/>
      <c r="PC163" s="198"/>
      <c r="PD163" s="198"/>
      <c r="PE163" s="198"/>
      <c r="PF163" s="198"/>
      <c r="PG163" s="198"/>
      <c r="PH163" s="198"/>
      <c r="PI163" s="198"/>
      <c r="PJ163" s="198"/>
      <c r="PK163" s="198"/>
      <c r="PL163" s="198"/>
      <c r="PM163" s="198"/>
      <c r="PN163" s="198"/>
      <c r="PO163" s="198"/>
      <c r="PP163" s="198"/>
      <c r="PQ163" s="198"/>
      <c r="PR163" s="198"/>
      <c r="PS163" s="198"/>
      <c r="PT163" s="198"/>
      <c r="PU163" s="198"/>
      <c r="PV163" s="198"/>
      <c r="PW163" s="198"/>
      <c r="PX163" s="198"/>
      <c r="PY163" s="198"/>
      <c r="PZ163" s="198"/>
      <c r="QA163" s="198"/>
      <c r="QB163" s="198"/>
      <c r="QC163" s="198"/>
      <c r="QD163" s="198"/>
      <c r="QE163" s="198"/>
      <c r="QF163" s="198"/>
      <c r="QG163" s="198"/>
      <c r="QH163" s="198"/>
      <c r="QI163" s="198"/>
      <c r="QJ163" s="198"/>
      <c r="QK163" s="198"/>
      <c r="QL163" s="198"/>
      <c r="QM163" s="198"/>
      <c r="QN163" s="198"/>
      <c r="QO163" s="198"/>
      <c r="QP163" s="198"/>
      <c r="QQ163" s="198"/>
      <c r="QR163" s="198"/>
      <c r="QS163" s="198"/>
      <c r="QT163" s="198"/>
      <c r="QU163" s="198"/>
      <c r="QV163" s="198"/>
      <c r="QW163" s="198"/>
      <c r="QX163" s="198"/>
      <c r="QY163" s="198"/>
      <c r="QZ163" s="198"/>
      <c r="RA163" s="198"/>
      <c r="RB163" s="198"/>
      <c r="RC163" s="198"/>
      <c r="RD163" s="198"/>
      <c r="RE163" s="198"/>
      <c r="RF163" s="198"/>
      <c r="RG163" s="198"/>
      <c r="RH163" s="198"/>
      <c r="RI163" s="198"/>
      <c r="RJ163" s="198"/>
      <c r="RK163" s="198"/>
      <c r="RL163" s="198"/>
      <c r="RM163" s="198"/>
      <c r="RN163" s="198"/>
      <c r="RO163" s="198"/>
      <c r="RP163" s="198"/>
      <c r="RQ163" s="198"/>
      <c r="RR163" s="198"/>
      <c r="RS163" s="198"/>
      <c r="RT163" s="198"/>
      <c r="RU163" s="198"/>
      <c r="RV163" s="198"/>
      <c r="RW163" s="198"/>
      <c r="RX163" s="198"/>
      <c r="RY163" s="198"/>
      <c r="RZ163" s="198"/>
      <c r="SA163" s="198"/>
      <c r="SB163" s="198"/>
      <c r="SC163" s="198"/>
      <c r="SD163" s="198"/>
      <c r="SE163" s="198"/>
      <c r="SF163" s="198"/>
      <c r="SG163" s="198"/>
    </row>
    <row r="164" spans="1:501" ht="40.049999999999997" customHeight="1" x14ac:dyDescent="0.3">
      <c r="A164" s="546" t="s">
        <v>392</v>
      </c>
      <c r="B164" s="959" t="s">
        <v>393</v>
      </c>
      <c r="C164" s="950"/>
      <c r="D164" s="861"/>
      <c r="E164" s="862"/>
      <c r="F164" s="861"/>
      <c r="G164" s="862"/>
      <c r="H164" s="861"/>
      <c r="I164" s="862"/>
      <c r="J164" s="861"/>
      <c r="K164" s="862"/>
      <c r="L164" s="861"/>
      <c r="M164" s="862"/>
      <c r="N164" s="861"/>
      <c r="O164" s="862"/>
      <c r="P164" s="861"/>
      <c r="Q164" s="862"/>
      <c r="R164" s="861"/>
      <c r="S164" s="862"/>
      <c r="T164" s="861"/>
      <c r="U164" s="862"/>
      <c r="V164" s="861"/>
      <c r="W164" s="862"/>
      <c r="X164" s="861"/>
      <c r="Y164" s="862"/>
      <c r="Z164" s="861"/>
      <c r="AA164" s="862"/>
      <c r="AB164" s="864"/>
      <c r="AC164" s="864"/>
      <c r="AD164" s="864"/>
      <c r="AE164" s="864"/>
      <c r="AF164" s="861"/>
      <c r="AG164" s="865">
        <f>SUM(C164:AA164)</f>
        <v>0</v>
      </c>
      <c r="AH164" s="866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  <c r="AS164" s="198"/>
      <c r="AT164" s="198"/>
      <c r="AU164" s="198"/>
      <c r="AV164" s="198"/>
      <c r="AW164" s="198"/>
      <c r="AX164" s="198"/>
      <c r="AY164" s="198"/>
      <c r="AZ164" s="198"/>
      <c r="BA164" s="198"/>
      <c r="BB164" s="198"/>
      <c r="BC164" s="198"/>
      <c r="BD164" s="198"/>
      <c r="BE164" s="198"/>
      <c r="BF164" s="198"/>
      <c r="BG164" s="198"/>
      <c r="BH164" s="198"/>
      <c r="BI164" s="198"/>
      <c r="BJ164" s="198"/>
      <c r="BK164" s="198"/>
      <c r="BL164" s="198"/>
      <c r="BM164" s="198"/>
      <c r="BN164" s="198"/>
      <c r="BO164" s="198"/>
      <c r="BP164" s="198"/>
      <c r="BQ164" s="198"/>
      <c r="BR164" s="198"/>
      <c r="BS164" s="198"/>
      <c r="BT164" s="198"/>
      <c r="BU164" s="198"/>
      <c r="BV164" s="198"/>
      <c r="BW164" s="198"/>
      <c r="BX164" s="198"/>
      <c r="BY164" s="198"/>
      <c r="BZ164" s="198"/>
      <c r="CA164" s="198"/>
      <c r="CB164" s="198"/>
      <c r="CC164" s="198"/>
      <c r="CD164" s="198"/>
      <c r="CE164" s="198"/>
      <c r="CF164" s="198"/>
      <c r="CG164" s="198"/>
      <c r="CH164" s="198"/>
      <c r="CI164" s="198"/>
      <c r="CJ164" s="198"/>
      <c r="CK164" s="198"/>
      <c r="CL164" s="198"/>
      <c r="CM164" s="198"/>
      <c r="CN164" s="198"/>
      <c r="CO164" s="198"/>
      <c r="CP164" s="198"/>
      <c r="CQ164" s="198"/>
      <c r="CR164" s="198"/>
      <c r="CS164" s="198"/>
      <c r="CT164" s="198"/>
      <c r="CU164" s="198"/>
      <c r="CV164" s="198"/>
      <c r="CW164" s="198"/>
      <c r="CX164" s="198"/>
      <c r="CY164" s="198"/>
      <c r="CZ164" s="198"/>
      <c r="DA164" s="198"/>
      <c r="DB164" s="198"/>
      <c r="DC164" s="198"/>
      <c r="DD164" s="198"/>
      <c r="DE164" s="198"/>
      <c r="DF164" s="198"/>
      <c r="DG164" s="198"/>
      <c r="DH164" s="198"/>
      <c r="DI164" s="198"/>
      <c r="DJ164" s="198"/>
      <c r="DK164" s="198"/>
      <c r="DL164" s="198"/>
      <c r="DM164" s="198"/>
      <c r="DN164" s="198"/>
      <c r="DO164" s="198"/>
      <c r="DP164" s="198"/>
      <c r="DQ164" s="198"/>
      <c r="DR164" s="198"/>
      <c r="DS164" s="198"/>
      <c r="DT164" s="198"/>
      <c r="DU164" s="198"/>
      <c r="DV164" s="198"/>
      <c r="DW164" s="198"/>
      <c r="DX164" s="198"/>
      <c r="DY164" s="198"/>
      <c r="DZ164" s="198"/>
      <c r="EA164" s="198"/>
      <c r="EB164" s="198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8"/>
      <c r="FC164" s="198"/>
      <c r="FD164" s="198"/>
      <c r="FE164" s="198"/>
      <c r="FF164" s="198"/>
      <c r="FG164" s="198"/>
      <c r="FH164" s="198"/>
      <c r="FI164" s="198"/>
      <c r="FJ164" s="198"/>
      <c r="FK164" s="198"/>
      <c r="FL164" s="198"/>
      <c r="FM164" s="198"/>
      <c r="FN164" s="198"/>
      <c r="FO164" s="198"/>
      <c r="FP164" s="198"/>
      <c r="FQ164" s="198"/>
      <c r="FR164" s="198"/>
      <c r="FS164" s="198"/>
      <c r="FT164" s="198"/>
      <c r="FU164" s="198"/>
      <c r="FV164" s="198"/>
      <c r="FW164" s="198"/>
      <c r="FX164" s="198"/>
      <c r="FY164" s="198"/>
      <c r="FZ164" s="198"/>
      <c r="GA164" s="198"/>
      <c r="GB164" s="198"/>
      <c r="GC164" s="198"/>
      <c r="GD164" s="198"/>
      <c r="GE164" s="198"/>
      <c r="GF164" s="198"/>
      <c r="GG164" s="198"/>
      <c r="GH164" s="198"/>
      <c r="GI164" s="198"/>
      <c r="GJ164" s="198"/>
      <c r="GK164" s="198"/>
      <c r="GL164" s="198"/>
      <c r="GM164" s="198"/>
      <c r="GN164" s="198"/>
      <c r="GO164" s="198"/>
      <c r="GP164" s="198"/>
      <c r="GQ164" s="198"/>
      <c r="GR164" s="198"/>
      <c r="GS164" s="198"/>
      <c r="GT164" s="198"/>
      <c r="GU164" s="198"/>
      <c r="GV164" s="198"/>
      <c r="GW164" s="198"/>
      <c r="GX164" s="198"/>
      <c r="GY164" s="198"/>
      <c r="GZ164" s="198"/>
      <c r="HA164" s="198"/>
      <c r="HB164" s="198"/>
      <c r="HC164" s="198"/>
      <c r="HD164" s="198"/>
      <c r="HE164" s="198"/>
      <c r="HF164" s="198"/>
      <c r="HG164" s="198"/>
      <c r="HH164" s="198"/>
      <c r="HI164" s="198"/>
      <c r="HJ164" s="198"/>
      <c r="HK164" s="198"/>
      <c r="HL164" s="198"/>
      <c r="HM164" s="198"/>
      <c r="HN164" s="198"/>
      <c r="HO164" s="198"/>
      <c r="HP164" s="198"/>
      <c r="HQ164" s="198"/>
      <c r="HR164" s="198"/>
      <c r="HS164" s="198"/>
      <c r="HT164" s="198"/>
      <c r="HU164" s="198"/>
      <c r="HV164" s="198"/>
      <c r="HW164" s="198"/>
      <c r="HX164" s="198"/>
      <c r="HY164" s="198"/>
      <c r="HZ164" s="198"/>
      <c r="IA164" s="198"/>
      <c r="IB164" s="198"/>
      <c r="IC164" s="198"/>
      <c r="ID164" s="198"/>
      <c r="IE164" s="198"/>
      <c r="IF164" s="198"/>
      <c r="IG164" s="198"/>
      <c r="IH164" s="198"/>
      <c r="II164" s="198"/>
      <c r="IJ164" s="198"/>
      <c r="IK164" s="198"/>
      <c r="IL164" s="198"/>
      <c r="IM164" s="198"/>
      <c r="IN164" s="198"/>
      <c r="IO164" s="198"/>
      <c r="IP164" s="198"/>
      <c r="IQ164" s="198"/>
      <c r="IR164" s="198"/>
      <c r="IS164" s="198"/>
      <c r="IT164" s="198"/>
      <c r="IU164" s="198"/>
      <c r="IV164" s="198"/>
      <c r="IW164" s="198"/>
      <c r="IX164" s="198"/>
      <c r="IY164" s="198"/>
      <c r="IZ164" s="198"/>
      <c r="JA164" s="198"/>
      <c r="JB164" s="198"/>
      <c r="JC164" s="198"/>
      <c r="JD164" s="198"/>
      <c r="JE164" s="198"/>
      <c r="JF164" s="198"/>
      <c r="JG164" s="198"/>
      <c r="JH164" s="198"/>
      <c r="JI164" s="198"/>
      <c r="JJ164" s="198"/>
      <c r="JK164" s="198"/>
      <c r="JL164" s="198"/>
      <c r="JM164" s="198"/>
      <c r="JN164" s="198"/>
      <c r="JO164" s="198"/>
      <c r="JP164" s="198"/>
      <c r="JQ164" s="198"/>
      <c r="JR164" s="198"/>
      <c r="JS164" s="198"/>
      <c r="JT164" s="198"/>
      <c r="JU164" s="198"/>
      <c r="JV164" s="198"/>
      <c r="JW164" s="198"/>
      <c r="JX164" s="198"/>
      <c r="JY164" s="198"/>
      <c r="JZ164" s="198"/>
      <c r="KA164" s="198"/>
      <c r="KB164" s="198"/>
      <c r="KC164" s="198"/>
      <c r="KD164" s="198"/>
      <c r="KE164" s="198"/>
      <c r="KF164" s="198"/>
      <c r="KG164" s="198"/>
      <c r="KH164" s="198"/>
      <c r="KI164" s="198"/>
      <c r="KJ164" s="198"/>
      <c r="KK164" s="198"/>
      <c r="KL164" s="198"/>
      <c r="KM164" s="198"/>
      <c r="KN164" s="198"/>
      <c r="KO164" s="198"/>
      <c r="KP164" s="198"/>
      <c r="KQ164" s="198"/>
      <c r="KR164" s="198"/>
      <c r="KS164" s="198"/>
      <c r="KT164" s="198"/>
      <c r="KU164" s="198"/>
      <c r="KV164" s="198"/>
      <c r="KW164" s="198"/>
      <c r="KX164" s="198"/>
      <c r="KY164" s="198"/>
      <c r="KZ164" s="198"/>
      <c r="LA164" s="198"/>
      <c r="LB164" s="198"/>
      <c r="LC164" s="198"/>
      <c r="LD164" s="198"/>
      <c r="LE164" s="198"/>
      <c r="LF164" s="198"/>
      <c r="LG164" s="198"/>
      <c r="LH164" s="198"/>
      <c r="LI164" s="198"/>
      <c r="LJ164" s="198"/>
      <c r="LK164" s="198"/>
      <c r="LL164" s="198"/>
      <c r="LM164" s="198"/>
      <c r="LN164" s="198"/>
      <c r="LO164" s="198"/>
      <c r="LP164" s="198"/>
      <c r="LQ164" s="198"/>
      <c r="LR164" s="198"/>
      <c r="LS164" s="198"/>
      <c r="LT164" s="198"/>
      <c r="LU164" s="198"/>
      <c r="LV164" s="198"/>
      <c r="LW164" s="198"/>
      <c r="LX164" s="198"/>
      <c r="LY164" s="198"/>
      <c r="LZ164" s="198"/>
      <c r="MA164" s="198"/>
      <c r="MB164" s="198"/>
      <c r="MC164" s="198"/>
      <c r="MD164" s="198"/>
      <c r="ME164" s="198"/>
      <c r="MF164" s="198"/>
      <c r="MG164" s="198"/>
      <c r="MH164" s="198"/>
      <c r="MI164" s="198"/>
      <c r="MJ164" s="198"/>
      <c r="MK164" s="198"/>
      <c r="ML164" s="198"/>
      <c r="MM164" s="198"/>
      <c r="MN164" s="198"/>
      <c r="MO164" s="198"/>
      <c r="MP164" s="198"/>
      <c r="MQ164" s="198"/>
      <c r="MR164" s="198"/>
      <c r="MS164" s="198"/>
      <c r="MT164" s="198"/>
      <c r="MU164" s="198"/>
      <c r="MV164" s="198"/>
      <c r="MW164" s="198"/>
      <c r="MX164" s="198"/>
      <c r="MY164" s="198"/>
      <c r="MZ164" s="198"/>
      <c r="NA164" s="198"/>
      <c r="NB164" s="198"/>
      <c r="NC164" s="198"/>
      <c r="ND164" s="198"/>
      <c r="NE164" s="198"/>
      <c r="NF164" s="198"/>
      <c r="NG164" s="198"/>
      <c r="NH164" s="198"/>
      <c r="NI164" s="198"/>
      <c r="NJ164" s="198"/>
      <c r="NK164" s="198"/>
      <c r="NL164" s="198"/>
      <c r="NM164" s="198"/>
      <c r="NN164" s="198"/>
      <c r="NO164" s="198"/>
      <c r="NP164" s="198"/>
      <c r="NQ164" s="198"/>
      <c r="NR164" s="198"/>
      <c r="NS164" s="198"/>
      <c r="NT164" s="198"/>
      <c r="NU164" s="198"/>
      <c r="NV164" s="198"/>
      <c r="NW164" s="198"/>
      <c r="NX164" s="198"/>
      <c r="NY164" s="198"/>
      <c r="NZ164" s="198"/>
      <c r="OA164" s="198"/>
      <c r="OB164" s="198"/>
      <c r="OC164" s="198"/>
      <c r="OD164" s="198"/>
      <c r="OE164" s="198"/>
      <c r="OF164" s="198"/>
      <c r="OG164" s="198"/>
      <c r="OH164" s="198"/>
      <c r="OI164" s="198"/>
      <c r="OJ164" s="198"/>
      <c r="OK164" s="198"/>
      <c r="OL164" s="198"/>
      <c r="OM164" s="198"/>
      <c r="ON164" s="198"/>
      <c r="OO164" s="198"/>
      <c r="OP164" s="198"/>
      <c r="OQ164" s="198"/>
      <c r="OR164" s="198"/>
      <c r="OS164" s="198"/>
      <c r="OT164" s="198"/>
      <c r="OU164" s="198"/>
      <c r="OV164" s="198"/>
      <c r="OW164" s="198"/>
      <c r="OX164" s="198"/>
      <c r="OY164" s="198"/>
      <c r="OZ164" s="198"/>
      <c r="PA164" s="198"/>
      <c r="PB164" s="198"/>
      <c r="PC164" s="198"/>
      <c r="PD164" s="198"/>
      <c r="PE164" s="198"/>
      <c r="PF164" s="198"/>
      <c r="PG164" s="198"/>
      <c r="PH164" s="198"/>
      <c r="PI164" s="198"/>
      <c r="PJ164" s="198"/>
      <c r="PK164" s="198"/>
      <c r="PL164" s="198"/>
      <c r="PM164" s="198"/>
      <c r="PN164" s="198"/>
      <c r="PO164" s="198"/>
      <c r="PP164" s="198"/>
      <c r="PQ164" s="198"/>
      <c r="PR164" s="198"/>
      <c r="PS164" s="198"/>
      <c r="PT164" s="198"/>
      <c r="PU164" s="198"/>
      <c r="PV164" s="198"/>
      <c r="PW164" s="198"/>
      <c r="PX164" s="198"/>
      <c r="PY164" s="198"/>
      <c r="PZ164" s="198"/>
      <c r="QA164" s="198"/>
      <c r="QB164" s="198"/>
      <c r="QC164" s="198"/>
      <c r="QD164" s="198"/>
      <c r="QE164" s="198"/>
      <c r="QF164" s="198"/>
      <c r="QG164" s="198"/>
      <c r="QH164" s="198"/>
      <c r="QI164" s="198"/>
      <c r="QJ164" s="198"/>
      <c r="QK164" s="198"/>
      <c r="QL164" s="198"/>
      <c r="QM164" s="198"/>
      <c r="QN164" s="198"/>
      <c r="QO164" s="198"/>
      <c r="QP164" s="198"/>
      <c r="QQ164" s="198"/>
      <c r="QR164" s="198"/>
      <c r="QS164" s="198"/>
      <c r="QT164" s="198"/>
      <c r="QU164" s="198"/>
      <c r="QV164" s="198"/>
      <c r="QW164" s="198"/>
      <c r="QX164" s="198"/>
      <c r="QY164" s="198"/>
      <c r="QZ164" s="198"/>
      <c r="RA164" s="198"/>
      <c r="RB164" s="198"/>
      <c r="RC164" s="198"/>
      <c r="RD164" s="198"/>
      <c r="RE164" s="198"/>
      <c r="RF164" s="198"/>
      <c r="RG164" s="198"/>
      <c r="RH164" s="198"/>
      <c r="RI164" s="198"/>
      <c r="RJ164" s="198"/>
      <c r="RK164" s="198"/>
      <c r="RL164" s="198"/>
      <c r="RM164" s="198"/>
      <c r="RN164" s="198"/>
      <c r="RO164" s="198"/>
      <c r="RP164" s="198"/>
      <c r="RQ164" s="198"/>
      <c r="RR164" s="198"/>
      <c r="RS164" s="198"/>
      <c r="RT164" s="198"/>
      <c r="RU164" s="198"/>
      <c r="RV164" s="198"/>
      <c r="RW164" s="198"/>
      <c r="RX164" s="198"/>
      <c r="RY164" s="198"/>
      <c r="RZ164" s="198"/>
      <c r="SA164" s="198"/>
      <c r="SB164" s="198"/>
      <c r="SC164" s="198"/>
      <c r="SD164" s="198"/>
      <c r="SE164" s="198"/>
      <c r="SF164" s="198"/>
      <c r="SG164" s="198"/>
    </row>
    <row r="165" spans="1:501" ht="40.049999999999997" customHeight="1" x14ac:dyDescent="0.3">
      <c r="A165" s="546" t="s">
        <v>394</v>
      </c>
      <c r="B165" s="959" t="s">
        <v>395</v>
      </c>
      <c r="C165" s="950"/>
      <c r="D165" s="861"/>
      <c r="E165" s="862"/>
      <c r="F165" s="861"/>
      <c r="G165" s="862"/>
      <c r="H165" s="861"/>
      <c r="I165" s="862"/>
      <c r="J165" s="861"/>
      <c r="K165" s="862"/>
      <c r="L165" s="861"/>
      <c r="M165" s="862"/>
      <c r="N165" s="861"/>
      <c r="O165" s="862"/>
      <c r="P165" s="861"/>
      <c r="Q165" s="862"/>
      <c r="R165" s="861"/>
      <c r="S165" s="862"/>
      <c r="T165" s="861"/>
      <c r="U165" s="862"/>
      <c r="V165" s="861"/>
      <c r="W165" s="862"/>
      <c r="X165" s="861"/>
      <c r="Y165" s="862"/>
      <c r="Z165" s="861"/>
      <c r="AA165" s="862"/>
      <c r="AB165" s="864"/>
      <c r="AC165" s="864"/>
      <c r="AD165" s="864"/>
      <c r="AE165" s="864"/>
      <c r="AF165" s="861"/>
      <c r="AG165" s="865">
        <f>SUM(C165:AA165)</f>
        <v>0</v>
      </c>
      <c r="AH165" s="866"/>
      <c r="AI165" s="198"/>
      <c r="AJ165" s="198"/>
      <c r="AK165" s="198"/>
      <c r="AL165" s="198"/>
      <c r="AM165" s="198"/>
      <c r="AN165" s="198"/>
      <c r="AO165" s="198"/>
      <c r="AP165" s="198"/>
      <c r="AQ165" s="198"/>
      <c r="AR165" s="198"/>
      <c r="AS165" s="198"/>
      <c r="AT165" s="198"/>
      <c r="AU165" s="198"/>
      <c r="AV165" s="198"/>
      <c r="AW165" s="198"/>
      <c r="AX165" s="198"/>
      <c r="AY165" s="198"/>
      <c r="AZ165" s="198"/>
      <c r="BA165" s="198"/>
      <c r="BB165" s="198"/>
      <c r="BC165" s="198"/>
      <c r="BD165" s="198"/>
      <c r="BE165" s="198"/>
      <c r="BF165" s="198"/>
      <c r="BG165" s="198"/>
      <c r="BH165" s="198"/>
      <c r="BI165" s="198"/>
      <c r="BJ165" s="198"/>
      <c r="BK165" s="198"/>
      <c r="BL165" s="198"/>
      <c r="BM165" s="198"/>
      <c r="BN165" s="198"/>
      <c r="BO165" s="198"/>
      <c r="BP165" s="198"/>
      <c r="BQ165" s="198"/>
      <c r="BR165" s="198"/>
      <c r="BS165" s="198"/>
      <c r="BT165" s="198"/>
      <c r="BU165" s="198"/>
      <c r="BV165" s="198"/>
      <c r="BW165" s="198"/>
      <c r="BX165" s="198"/>
      <c r="BY165" s="198"/>
      <c r="BZ165" s="198"/>
      <c r="CA165" s="198"/>
      <c r="CB165" s="198"/>
      <c r="CC165" s="198"/>
      <c r="CD165" s="198"/>
      <c r="CE165" s="198"/>
      <c r="CF165" s="198"/>
      <c r="CG165" s="198"/>
      <c r="CH165" s="198"/>
      <c r="CI165" s="198"/>
      <c r="CJ165" s="198"/>
      <c r="CK165" s="198"/>
      <c r="CL165" s="198"/>
      <c r="CM165" s="198"/>
      <c r="CN165" s="198"/>
      <c r="CO165" s="198"/>
      <c r="CP165" s="198"/>
      <c r="CQ165" s="198"/>
      <c r="CR165" s="198"/>
      <c r="CS165" s="198"/>
      <c r="CT165" s="198"/>
      <c r="CU165" s="198"/>
      <c r="CV165" s="198"/>
      <c r="CW165" s="198"/>
      <c r="CX165" s="198"/>
      <c r="CY165" s="198"/>
      <c r="CZ165" s="198"/>
      <c r="DA165" s="198"/>
      <c r="DB165" s="198"/>
      <c r="DC165" s="198"/>
      <c r="DD165" s="198"/>
      <c r="DE165" s="198"/>
      <c r="DF165" s="198"/>
      <c r="DG165" s="198"/>
      <c r="DH165" s="198"/>
      <c r="DI165" s="198"/>
      <c r="DJ165" s="198"/>
      <c r="DK165" s="198"/>
      <c r="DL165" s="198"/>
      <c r="DM165" s="198"/>
      <c r="DN165" s="198"/>
      <c r="DO165" s="198"/>
      <c r="DP165" s="198"/>
      <c r="DQ165" s="198"/>
      <c r="DR165" s="198"/>
      <c r="DS165" s="198"/>
      <c r="DT165" s="198"/>
      <c r="DU165" s="198"/>
      <c r="DV165" s="198"/>
      <c r="DW165" s="198"/>
      <c r="DX165" s="198"/>
      <c r="DY165" s="198"/>
      <c r="DZ165" s="198"/>
      <c r="EA165" s="198"/>
      <c r="EB165" s="198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8"/>
      <c r="FC165" s="198"/>
      <c r="FD165" s="198"/>
      <c r="FE165" s="198"/>
      <c r="FF165" s="198"/>
      <c r="FG165" s="198"/>
      <c r="FH165" s="198"/>
      <c r="FI165" s="198"/>
      <c r="FJ165" s="198"/>
      <c r="FK165" s="198"/>
      <c r="FL165" s="198"/>
      <c r="FM165" s="198"/>
      <c r="FN165" s="198"/>
      <c r="FO165" s="198"/>
      <c r="FP165" s="198"/>
      <c r="FQ165" s="198"/>
      <c r="FR165" s="198"/>
      <c r="FS165" s="198"/>
      <c r="FT165" s="198"/>
      <c r="FU165" s="198"/>
      <c r="FV165" s="198"/>
      <c r="FW165" s="198"/>
      <c r="FX165" s="198"/>
      <c r="FY165" s="198"/>
      <c r="FZ165" s="198"/>
      <c r="GA165" s="198"/>
      <c r="GB165" s="198"/>
      <c r="GC165" s="198"/>
      <c r="GD165" s="198"/>
      <c r="GE165" s="198"/>
      <c r="GF165" s="198"/>
      <c r="GG165" s="198"/>
      <c r="GH165" s="198"/>
      <c r="GI165" s="198"/>
      <c r="GJ165" s="198"/>
      <c r="GK165" s="198"/>
      <c r="GL165" s="198"/>
      <c r="GM165" s="198"/>
      <c r="GN165" s="198"/>
      <c r="GO165" s="198"/>
      <c r="GP165" s="198"/>
      <c r="GQ165" s="198"/>
      <c r="GR165" s="198"/>
      <c r="GS165" s="198"/>
      <c r="GT165" s="198"/>
      <c r="GU165" s="198"/>
      <c r="GV165" s="198"/>
      <c r="GW165" s="198"/>
      <c r="GX165" s="198"/>
      <c r="GY165" s="198"/>
      <c r="GZ165" s="198"/>
      <c r="HA165" s="198"/>
      <c r="HB165" s="198"/>
      <c r="HC165" s="198"/>
      <c r="HD165" s="198"/>
      <c r="HE165" s="198"/>
      <c r="HF165" s="198"/>
      <c r="HG165" s="198"/>
      <c r="HH165" s="198"/>
      <c r="HI165" s="198"/>
      <c r="HJ165" s="198"/>
      <c r="HK165" s="198"/>
      <c r="HL165" s="198"/>
      <c r="HM165" s="198"/>
      <c r="HN165" s="198"/>
      <c r="HO165" s="198"/>
      <c r="HP165" s="198"/>
      <c r="HQ165" s="198"/>
      <c r="HR165" s="198"/>
      <c r="HS165" s="198"/>
      <c r="HT165" s="198"/>
      <c r="HU165" s="198"/>
      <c r="HV165" s="198"/>
      <c r="HW165" s="198"/>
      <c r="HX165" s="198"/>
      <c r="HY165" s="198"/>
      <c r="HZ165" s="198"/>
      <c r="IA165" s="198"/>
      <c r="IB165" s="198"/>
      <c r="IC165" s="198"/>
      <c r="ID165" s="198"/>
      <c r="IE165" s="198"/>
      <c r="IF165" s="198"/>
      <c r="IG165" s="198"/>
      <c r="IH165" s="198"/>
      <c r="II165" s="198"/>
      <c r="IJ165" s="198"/>
      <c r="IK165" s="198"/>
      <c r="IL165" s="198"/>
      <c r="IM165" s="198"/>
      <c r="IN165" s="198"/>
      <c r="IO165" s="198"/>
      <c r="IP165" s="198"/>
      <c r="IQ165" s="198"/>
      <c r="IR165" s="198"/>
      <c r="IS165" s="198"/>
      <c r="IT165" s="198"/>
      <c r="IU165" s="198"/>
      <c r="IV165" s="198"/>
      <c r="IW165" s="198"/>
      <c r="IX165" s="198"/>
      <c r="IY165" s="198"/>
      <c r="IZ165" s="198"/>
      <c r="JA165" s="198"/>
      <c r="JB165" s="198"/>
      <c r="JC165" s="198"/>
      <c r="JD165" s="198"/>
      <c r="JE165" s="198"/>
      <c r="JF165" s="198"/>
      <c r="JG165" s="198"/>
      <c r="JH165" s="198"/>
      <c r="JI165" s="198"/>
      <c r="JJ165" s="198"/>
      <c r="JK165" s="198"/>
      <c r="JL165" s="198"/>
      <c r="JM165" s="198"/>
      <c r="JN165" s="198"/>
      <c r="JO165" s="198"/>
      <c r="JP165" s="198"/>
      <c r="JQ165" s="198"/>
      <c r="JR165" s="198"/>
      <c r="JS165" s="198"/>
      <c r="JT165" s="198"/>
      <c r="JU165" s="198"/>
      <c r="JV165" s="198"/>
      <c r="JW165" s="198"/>
      <c r="JX165" s="198"/>
      <c r="JY165" s="198"/>
      <c r="JZ165" s="198"/>
      <c r="KA165" s="198"/>
      <c r="KB165" s="198"/>
      <c r="KC165" s="198"/>
      <c r="KD165" s="198"/>
      <c r="KE165" s="198"/>
      <c r="KF165" s="198"/>
      <c r="KG165" s="198"/>
      <c r="KH165" s="198"/>
      <c r="KI165" s="198"/>
      <c r="KJ165" s="198"/>
      <c r="KK165" s="198"/>
      <c r="KL165" s="198"/>
      <c r="KM165" s="198"/>
      <c r="KN165" s="198"/>
      <c r="KO165" s="198"/>
      <c r="KP165" s="198"/>
      <c r="KQ165" s="198"/>
      <c r="KR165" s="198"/>
      <c r="KS165" s="198"/>
      <c r="KT165" s="198"/>
      <c r="KU165" s="198"/>
      <c r="KV165" s="198"/>
      <c r="KW165" s="198"/>
      <c r="KX165" s="198"/>
      <c r="KY165" s="198"/>
      <c r="KZ165" s="198"/>
      <c r="LA165" s="198"/>
      <c r="LB165" s="198"/>
      <c r="LC165" s="198"/>
      <c r="LD165" s="198"/>
      <c r="LE165" s="198"/>
      <c r="LF165" s="198"/>
      <c r="LG165" s="198"/>
      <c r="LH165" s="198"/>
      <c r="LI165" s="198"/>
      <c r="LJ165" s="198"/>
      <c r="LK165" s="198"/>
      <c r="LL165" s="198"/>
      <c r="LM165" s="198"/>
      <c r="LN165" s="198"/>
      <c r="LO165" s="198"/>
      <c r="LP165" s="198"/>
      <c r="LQ165" s="198"/>
      <c r="LR165" s="198"/>
      <c r="LS165" s="198"/>
      <c r="LT165" s="198"/>
      <c r="LU165" s="198"/>
      <c r="LV165" s="198"/>
      <c r="LW165" s="198"/>
      <c r="LX165" s="198"/>
      <c r="LY165" s="198"/>
      <c r="LZ165" s="198"/>
      <c r="MA165" s="198"/>
      <c r="MB165" s="198"/>
      <c r="MC165" s="198"/>
      <c r="MD165" s="198"/>
      <c r="ME165" s="198"/>
      <c r="MF165" s="198"/>
      <c r="MG165" s="198"/>
      <c r="MH165" s="198"/>
      <c r="MI165" s="198"/>
      <c r="MJ165" s="198"/>
      <c r="MK165" s="198"/>
      <c r="ML165" s="198"/>
      <c r="MM165" s="198"/>
      <c r="MN165" s="198"/>
      <c r="MO165" s="198"/>
      <c r="MP165" s="198"/>
      <c r="MQ165" s="198"/>
      <c r="MR165" s="198"/>
      <c r="MS165" s="198"/>
      <c r="MT165" s="198"/>
      <c r="MU165" s="198"/>
      <c r="MV165" s="198"/>
      <c r="MW165" s="198"/>
      <c r="MX165" s="198"/>
      <c r="MY165" s="198"/>
      <c r="MZ165" s="198"/>
      <c r="NA165" s="198"/>
      <c r="NB165" s="198"/>
      <c r="NC165" s="198"/>
      <c r="ND165" s="198"/>
      <c r="NE165" s="198"/>
      <c r="NF165" s="198"/>
      <c r="NG165" s="198"/>
      <c r="NH165" s="198"/>
      <c r="NI165" s="198"/>
      <c r="NJ165" s="198"/>
      <c r="NK165" s="198"/>
      <c r="NL165" s="198"/>
      <c r="NM165" s="198"/>
      <c r="NN165" s="198"/>
      <c r="NO165" s="198"/>
      <c r="NP165" s="198"/>
      <c r="NQ165" s="198"/>
      <c r="NR165" s="198"/>
      <c r="NS165" s="198"/>
      <c r="NT165" s="198"/>
      <c r="NU165" s="198"/>
      <c r="NV165" s="198"/>
      <c r="NW165" s="198"/>
      <c r="NX165" s="198"/>
      <c r="NY165" s="198"/>
      <c r="NZ165" s="198"/>
      <c r="OA165" s="198"/>
      <c r="OB165" s="198"/>
      <c r="OC165" s="198"/>
      <c r="OD165" s="198"/>
      <c r="OE165" s="198"/>
      <c r="OF165" s="198"/>
      <c r="OG165" s="198"/>
      <c r="OH165" s="198"/>
      <c r="OI165" s="198"/>
      <c r="OJ165" s="198"/>
      <c r="OK165" s="198"/>
      <c r="OL165" s="198"/>
      <c r="OM165" s="198"/>
      <c r="ON165" s="198"/>
      <c r="OO165" s="198"/>
      <c r="OP165" s="198"/>
      <c r="OQ165" s="198"/>
      <c r="OR165" s="198"/>
      <c r="OS165" s="198"/>
      <c r="OT165" s="198"/>
      <c r="OU165" s="198"/>
      <c r="OV165" s="198"/>
      <c r="OW165" s="198"/>
      <c r="OX165" s="198"/>
      <c r="OY165" s="198"/>
      <c r="OZ165" s="198"/>
      <c r="PA165" s="198"/>
      <c r="PB165" s="198"/>
      <c r="PC165" s="198"/>
      <c r="PD165" s="198"/>
      <c r="PE165" s="198"/>
      <c r="PF165" s="198"/>
      <c r="PG165" s="198"/>
      <c r="PH165" s="198"/>
      <c r="PI165" s="198"/>
      <c r="PJ165" s="198"/>
      <c r="PK165" s="198"/>
      <c r="PL165" s="198"/>
      <c r="PM165" s="198"/>
      <c r="PN165" s="198"/>
      <c r="PO165" s="198"/>
      <c r="PP165" s="198"/>
      <c r="PQ165" s="198"/>
      <c r="PR165" s="198"/>
      <c r="PS165" s="198"/>
      <c r="PT165" s="198"/>
      <c r="PU165" s="198"/>
      <c r="PV165" s="198"/>
      <c r="PW165" s="198"/>
      <c r="PX165" s="198"/>
      <c r="PY165" s="198"/>
      <c r="PZ165" s="198"/>
      <c r="QA165" s="198"/>
      <c r="QB165" s="198"/>
      <c r="QC165" s="198"/>
      <c r="QD165" s="198"/>
      <c r="QE165" s="198"/>
      <c r="QF165" s="198"/>
      <c r="QG165" s="198"/>
      <c r="QH165" s="198"/>
      <c r="QI165" s="198"/>
      <c r="QJ165" s="198"/>
      <c r="QK165" s="198"/>
      <c r="QL165" s="198"/>
      <c r="QM165" s="198"/>
      <c r="QN165" s="198"/>
      <c r="QO165" s="198"/>
      <c r="QP165" s="198"/>
      <c r="QQ165" s="198"/>
      <c r="QR165" s="198"/>
      <c r="QS165" s="198"/>
      <c r="QT165" s="198"/>
      <c r="QU165" s="198"/>
      <c r="QV165" s="198"/>
      <c r="QW165" s="198"/>
      <c r="QX165" s="198"/>
      <c r="QY165" s="198"/>
      <c r="QZ165" s="198"/>
      <c r="RA165" s="198"/>
      <c r="RB165" s="198"/>
      <c r="RC165" s="198"/>
      <c r="RD165" s="198"/>
      <c r="RE165" s="198"/>
      <c r="RF165" s="198"/>
      <c r="RG165" s="198"/>
      <c r="RH165" s="198"/>
      <c r="RI165" s="198"/>
      <c r="RJ165" s="198"/>
      <c r="RK165" s="198"/>
      <c r="RL165" s="198"/>
      <c r="RM165" s="198"/>
      <c r="RN165" s="198"/>
      <c r="RO165" s="198"/>
      <c r="RP165" s="198"/>
      <c r="RQ165" s="198"/>
      <c r="RR165" s="198"/>
      <c r="RS165" s="198"/>
      <c r="RT165" s="198"/>
      <c r="RU165" s="198"/>
      <c r="RV165" s="198"/>
      <c r="RW165" s="198"/>
      <c r="RX165" s="198"/>
      <c r="RY165" s="198"/>
      <c r="RZ165" s="198"/>
      <c r="SA165" s="198"/>
      <c r="SB165" s="198"/>
      <c r="SC165" s="198"/>
      <c r="SD165" s="198"/>
      <c r="SE165" s="198"/>
      <c r="SF165" s="198"/>
      <c r="SG165" s="198"/>
    </row>
    <row r="166" spans="1:501" ht="40.049999999999997" customHeight="1" thickBot="1" x14ac:dyDescent="0.35">
      <c r="A166" s="949" t="s">
        <v>396</v>
      </c>
      <c r="B166" s="963" t="s">
        <v>397</v>
      </c>
      <c r="C166" s="950"/>
      <c r="D166" s="861"/>
      <c r="E166" s="862"/>
      <c r="F166" s="861"/>
      <c r="G166" s="862"/>
      <c r="H166" s="861"/>
      <c r="I166" s="862"/>
      <c r="J166" s="861"/>
      <c r="K166" s="862"/>
      <c r="L166" s="861"/>
      <c r="M166" s="862"/>
      <c r="N166" s="861"/>
      <c r="O166" s="862"/>
      <c r="P166" s="861"/>
      <c r="Q166" s="862"/>
      <c r="R166" s="861"/>
      <c r="S166" s="862"/>
      <c r="T166" s="861"/>
      <c r="U166" s="862"/>
      <c r="V166" s="861"/>
      <c r="W166" s="862"/>
      <c r="X166" s="861"/>
      <c r="Y166" s="862"/>
      <c r="Z166" s="861"/>
      <c r="AA166" s="862"/>
      <c r="AB166" s="864"/>
      <c r="AC166" s="864"/>
      <c r="AD166" s="864"/>
      <c r="AE166" s="864"/>
      <c r="AF166" s="861"/>
      <c r="AG166" s="865">
        <f>SUM(C166:AA166)</f>
        <v>0</v>
      </c>
      <c r="AH166" s="866"/>
      <c r="AI166" s="198"/>
      <c r="AJ166" s="198"/>
      <c r="AK166" s="198"/>
      <c r="AL166" s="198"/>
      <c r="AM166" s="198"/>
      <c r="AN166" s="198"/>
      <c r="AO166" s="198"/>
      <c r="AP166" s="198"/>
      <c r="AQ166" s="198"/>
      <c r="AR166" s="198"/>
      <c r="AS166" s="198"/>
      <c r="AT166" s="198"/>
      <c r="AU166" s="198"/>
      <c r="AV166" s="198"/>
      <c r="AW166" s="198"/>
      <c r="AX166" s="198"/>
      <c r="AY166" s="198"/>
      <c r="AZ166" s="198"/>
      <c r="BA166" s="198"/>
      <c r="BB166" s="198"/>
      <c r="BC166" s="198"/>
      <c r="BD166" s="198"/>
      <c r="BE166" s="198"/>
      <c r="BF166" s="198"/>
      <c r="BG166" s="198"/>
      <c r="BH166" s="198"/>
      <c r="BI166" s="198"/>
      <c r="BJ166" s="198"/>
      <c r="BK166" s="198"/>
      <c r="BL166" s="198"/>
      <c r="BM166" s="198"/>
      <c r="BN166" s="198"/>
      <c r="BO166" s="198"/>
      <c r="BP166" s="198"/>
      <c r="BQ166" s="198"/>
      <c r="BR166" s="198"/>
      <c r="BS166" s="198"/>
      <c r="BT166" s="198"/>
      <c r="BU166" s="198"/>
      <c r="BV166" s="198"/>
      <c r="BW166" s="198"/>
      <c r="BX166" s="198"/>
      <c r="BY166" s="198"/>
      <c r="BZ166" s="198"/>
      <c r="CA166" s="198"/>
      <c r="CB166" s="198"/>
      <c r="CC166" s="198"/>
      <c r="CD166" s="198"/>
      <c r="CE166" s="198"/>
      <c r="CF166" s="198"/>
      <c r="CG166" s="198"/>
      <c r="CH166" s="198"/>
      <c r="CI166" s="198"/>
      <c r="CJ166" s="198"/>
      <c r="CK166" s="198"/>
      <c r="CL166" s="198"/>
      <c r="CM166" s="198"/>
      <c r="CN166" s="198"/>
      <c r="CO166" s="198"/>
      <c r="CP166" s="198"/>
      <c r="CQ166" s="198"/>
      <c r="CR166" s="198"/>
      <c r="CS166" s="198"/>
      <c r="CT166" s="198"/>
      <c r="CU166" s="198"/>
      <c r="CV166" s="198"/>
      <c r="CW166" s="198"/>
      <c r="CX166" s="198"/>
      <c r="CY166" s="198"/>
      <c r="CZ166" s="198"/>
      <c r="DA166" s="198"/>
      <c r="DB166" s="198"/>
      <c r="DC166" s="198"/>
      <c r="DD166" s="198"/>
      <c r="DE166" s="198"/>
      <c r="DF166" s="198"/>
      <c r="DG166" s="198"/>
      <c r="DH166" s="198"/>
      <c r="DI166" s="198"/>
      <c r="DJ166" s="198"/>
      <c r="DK166" s="198"/>
      <c r="DL166" s="198"/>
      <c r="DM166" s="198"/>
      <c r="DN166" s="198"/>
      <c r="DO166" s="198"/>
      <c r="DP166" s="198"/>
      <c r="DQ166" s="198"/>
      <c r="DR166" s="198"/>
      <c r="DS166" s="198"/>
      <c r="DT166" s="198"/>
      <c r="DU166" s="198"/>
      <c r="DV166" s="198"/>
      <c r="DW166" s="198"/>
      <c r="DX166" s="198"/>
      <c r="DY166" s="198"/>
      <c r="DZ166" s="198"/>
      <c r="EA166" s="198"/>
      <c r="EB166" s="198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8"/>
      <c r="FC166" s="198"/>
      <c r="FD166" s="198"/>
      <c r="FE166" s="198"/>
      <c r="FF166" s="198"/>
      <c r="FG166" s="198"/>
      <c r="FH166" s="198"/>
      <c r="FI166" s="198"/>
      <c r="FJ166" s="198"/>
      <c r="FK166" s="198"/>
      <c r="FL166" s="198"/>
      <c r="FM166" s="198"/>
      <c r="FN166" s="198"/>
      <c r="FO166" s="198"/>
      <c r="FP166" s="198"/>
      <c r="FQ166" s="198"/>
      <c r="FR166" s="198"/>
      <c r="FS166" s="198"/>
      <c r="FT166" s="198"/>
      <c r="FU166" s="198"/>
      <c r="FV166" s="198"/>
      <c r="FW166" s="198"/>
      <c r="FX166" s="198"/>
      <c r="FY166" s="198"/>
      <c r="FZ166" s="198"/>
      <c r="GA166" s="198"/>
      <c r="GB166" s="198"/>
      <c r="GC166" s="198"/>
      <c r="GD166" s="198"/>
      <c r="GE166" s="198"/>
      <c r="GF166" s="198"/>
      <c r="GG166" s="198"/>
      <c r="GH166" s="198"/>
      <c r="GI166" s="198"/>
      <c r="GJ166" s="198"/>
      <c r="GK166" s="198"/>
      <c r="GL166" s="198"/>
      <c r="GM166" s="198"/>
      <c r="GN166" s="198"/>
      <c r="GO166" s="198"/>
      <c r="GP166" s="198"/>
      <c r="GQ166" s="198"/>
      <c r="GR166" s="198"/>
      <c r="GS166" s="198"/>
      <c r="GT166" s="198"/>
      <c r="GU166" s="198"/>
      <c r="GV166" s="198"/>
      <c r="GW166" s="198"/>
      <c r="GX166" s="198"/>
      <c r="GY166" s="198"/>
      <c r="GZ166" s="198"/>
      <c r="HA166" s="198"/>
      <c r="HB166" s="198"/>
      <c r="HC166" s="198"/>
      <c r="HD166" s="198"/>
      <c r="HE166" s="198"/>
      <c r="HF166" s="198"/>
      <c r="HG166" s="198"/>
      <c r="HH166" s="198"/>
      <c r="HI166" s="198"/>
      <c r="HJ166" s="198"/>
      <c r="HK166" s="198"/>
      <c r="HL166" s="198"/>
      <c r="HM166" s="198"/>
      <c r="HN166" s="198"/>
      <c r="HO166" s="198"/>
      <c r="HP166" s="198"/>
      <c r="HQ166" s="198"/>
      <c r="HR166" s="198"/>
      <c r="HS166" s="198"/>
      <c r="HT166" s="198"/>
      <c r="HU166" s="198"/>
      <c r="HV166" s="198"/>
      <c r="HW166" s="198"/>
      <c r="HX166" s="198"/>
      <c r="HY166" s="198"/>
      <c r="HZ166" s="198"/>
      <c r="IA166" s="198"/>
      <c r="IB166" s="198"/>
      <c r="IC166" s="198"/>
      <c r="ID166" s="198"/>
      <c r="IE166" s="198"/>
      <c r="IF166" s="198"/>
      <c r="IG166" s="198"/>
      <c r="IH166" s="198"/>
      <c r="II166" s="198"/>
      <c r="IJ166" s="198"/>
      <c r="IK166" s="198"/>
      <c r="IL166" s="198"/>
      <c r="IM166" s="198"/>
      <c r="IN166" s="198"/>
      <c r="IO166" s="198"/>
      <c r="IP166" s="198"/>
      <c r="IQ166" s="198"/>
      <c r="IR166" s="198"/>
      <c r="IS166" s="198"/>
      <c r="IT166" s="198"/>
      <c r="IU166" s="198"/>
      <c r="IV166" s="198"/>
      <c r="IW166" s="198"/>
      <c r="IX166" s="198"/>
      <c r="IY166" s="198"/>
      <c r="IZ166" s="198"/>
      <c r="JA166" s="198"/>
      <c r="JB166" s="198"/>
      <c r="JC166" s="198"/>
      <c r="JD166" s="198"/>
      <c r="JE166" s="198"/>
      <c r="JF166" s="198"/>
      <c r="JG166" s="198"/>
      <c r="JH166" s="198"/>
      <c r="JI166" s="198"/>
      <c r="JJ166" s="198"/>
      <c r="JK166" s="198"/>
      <c r="JL166" s="198"/>
      <c r="JM166" s="198"/>
      <c r="JN166" s="198"/>
      <c r="JO166" s="198"/>
      <c r="JP166" s="198"/>
      <c r="JQ166" s="198"/>
      <c r="JR166" s="198"/>
      <c r="JS166" s="198"/>
      <c r="JT166" s="198"/>
      <c r="JU166" s="198"/>
      <c r="JV166" s="198"/>
      <c r="JW166" s="198"/>
      <c r="JX166" s="198"/>
      <c r="JY166" s="198"/>
      <c r="JZ166" s="198"/>
      <c r="KA166" s="198"/>
      <c r="KB166" s="198"/>
      <c r="KC166" s="198"/>
      <c r="KD166" s="198"/>
      <c r="KE166" s="198"/>
      <c r="KF166" s="198"/>
      <c r="KG166" s="198"/>
      <c r="KH166" s="198"/>
      <c r="KI166" s="198"/>
      <c r="KJ166" s="198"/>
      <c r="KK166" s="198"/>
      <c r="KL166" s="198"/>
      <c r="KM166" s="198"/>
      <c r="KN166" s="198"/>
      <c r="KO166" s="198"/>
      <c r="KP166" s="198"/>
      <c r="KQ166" s="198"/>
      <c r="KR166" s="198"/>
      <c r="KS166" s="198"/>
      <c r="KT166" s="198"/>
      <c r="KU166" s="198"/>
      <c r="KV166" s="198"/>
      <c r="KW166" s="198"/>
      <c r="KX166" s="198"/>
      <c r="KY166" s="198"/>
      <c r="KZ166" s="198"/>
      <c r="LA166" s="198"/>
      <c r="LB166" s="198"/>
      <c r="LC166" s="198"/>
      <c r="LD166" s="198"/>
      <c r="LE166" s="198"/>
      <c r="LF166" s="198"/>
      <c r="LG166" s="198"/>
      <c r="LH166" s="198"/>
      <c r="LI166" s="198"/>
      <c r="LJ166" s="198"/>
      <c r="LK166" s="198"/>
      <c r="LL166" s="198"/>
      <c r="LM166" s="198"/>
      <c r="LN166" s="198"/>
      <c r="LO166" s="198"/>
      <c r="LP166" s="198"/>
      <c r="LQ166" s="198"/>
      <c r="LR166" s="198"/>
      <c r="LS166" s="198"/>
      <c r="LT166" s="198"/>
      <c r="LU166" s="198"/>
      <c r="LV166" s="198"/>
      <c r="LW166" s="198"/>
      <c r="LX166" s="198"/>
      <c r="LY166" s="198"/>
      <c r="LZ166" s="198"/>
      <c r="MA166" s="198"/>
      <c r="MB166" s="198"/>
      <c r="MC166" s="198"/>
      <c r="MD166" s="198"/>
      <c r="ME166" s="198"/>
      <c r="MF166" s="198"/>
      <c r="MG166" s="198"/>
      <c r="MH166" s="198"/>
      <c r="MI166" s="198"/>
      <c r="MJ166" s="198"/>
      <c r="MK166" s="198"/>
      <c r="ML166" s="198"/>
      <c r="MM166" s="198"/>
      <c r="MN166" s="198"/>
      <c r="MO166" s="198"/>
      <c r="MP166" s="198"/>
      <c r="MQ166" s="198"/>
      <c r="MR166" s="198"/>
      <c r="MS166" s="198"/>
      <c r="MT166" s="198"/>
      <c r="MU166" s="198"/>
      <c r="MV166" s="198"/>
      <c r="MW166" s="198"/>
      <c r="MX166" s="198"/>
      <c r="MY166" s="198"/>
      <c r="MZ166" s="198"/>
      <c r="NA166" s="198"/>
      <c r="NB166" s="198"/>
      <c r="NC166" s="198"/>
      <c r="ND166" s="198"/>
      <c r="NE166" s="198"/>
      <c r="NF166" s="198"/>
      <c r="NG166" s="198"/>
      <c r="NH166" s="198"/>
      <c r="NI166" s="198"/>
      <c r="NJ166" s="198"/>
      <c r="NK166" s="198"/>
      <c r="NL166" s="198"/>
      <c r="NM166" s="198"/>
      <c r="NN166" s="198"/>
      <c r="NO166" s="198"/>
      <c r="NP166" s="198"/>
      <c r="NQ166" s="198"/>
      <c r="NR166" s="198"/>
      <c r="NS166" s="198"/>
      <c r="NT166" s="198"/>
      <c r="NU166" s="198"/>
      <c r="NV166" s="198"/>
      <c r="NW166" s="198"/>
      <c r="NX166" s="198"/>
      <c r="NY166" s="198"/>
      <c r="NZ166" s="198"/>
      <c r="OA166" s="198"/>
      <c r="OB166" s="198"/>
      <c r="OC166" s="198"/>
      <c r="OD166" s="198"/>
      <c r="OE166" s="198"/>
      <c r="OF166" s="198"/>
      <c r="OG166" s="198"/>
      <c r="OH166" s="198"/>
      <c r="OI166" s="198"/>
      <c r="OJ166" s="198"/>
      <c r="OK166" s="198"/>
      <c r="OL166" s="198"/>
      <c r="OM166" s="198"/>
      <c r="ON166" s="198"/>
      <c r="OO166" s="198"/>
      <c r="OP166" s="198"/>
      <c r="OQ166" s="198"/>
      <c r="OR166" s="198"/>
      <c r="OS166" s="198"/>
      <c r="OT166" s="198"/>
      <c r="OU166" s="198"/>
      <c r="OV166" s="198"/>
      <c r="OW166" s="198"/>
      <c r="OX166" s="198"/>
      <c r="OY166" s="198"/>
      <c r="OZ166" s="198"/>
      <c r="PA166" s="198"/>
      <c r="PB166" s="198"/>
      <c r="PC166" s="198"/>
      <c r="PD166" s="198"/>
      <c r="PE166" s="198"/>
      <c r="PF166" s="198"/>
      <c r="PG166" s="198"/>
      <c r="PH166" s="198"/>
      <c r="PI166" s="198"/>
      <c r="PJ166" s="198"/>
      <c r="PK166" s="198"/>
      <c r="PL166" s="198"/>
      <c r="PM166" s="198"/>
      <c r="PN166" s="198"/>
      <c r="PO166" s="198"/>
      <c r="PP166" s="198"/>
      <c r="PQ166" s="198"/>
      <c r="PR166" s="198"/>
      <c r="PS166" s="198"/>
      <c r="PT166" s="198"/>
      <c r="PU166" s="198"/>
      <c r="PV166" s="198"/>
      <c r="PW166" s="198"/>
      <c r="PX166" s="198"/>
      <c r="PY166" s="198"/>
      <c r="PZ166" s="198"/>
      <c r="QA166" s="198"/>
      <c r="QB166" s="198"/>
      <c r="QC166" s="198"/>
      <c r="QD166" s="198"/>
      <c r="QE166" s="198"/>
      <c r="QF166" s="198"/>
      <c r="QG166" s="198"/>
      <c r="QH166" s="198"/>
      <c r="QI166" s="198"/>
      <c r="QJ166" s="198"/>
      <c r="QK166" s="198"/>
      <c r="QL166" s="198"/>
      <c r="QM166" s="198"/>
      <c r="QN166" s="198"/>
      <c r="QO166" s="198"/>
      <c r="QP166" s="198"/>
      <c r="QQ166" s="198"/>
      <c r="QR166" s="198"/>
      <c r="QS166" s="198"/>
      <c r="QT166" s="198"/>
      <c r="QU166" s="198"/>
      <c r="QV166" s="198"/>
      <c r="QW166" s="198"/>
      <c r="QX166" s="198"/>
      <c r="QY166" s="198"/>
      <c r="QZ166" s="198"/>
      <c r="RA166" s="198"/>
      <c r="RB166" s="198"/>
      <c r="RC166" s="198"/>
      <c r="RD166" s="198"/>
      <c r="RE166" s="198"/>
      <c r="RF166" s="198"/>
      <c r="RG166" s="198"/>
      <c r="RH166" s="198"/>
      <c r="RI166" s="198"/>
      <c r="RJ166" s="198"/>
      <c r="RK166" s="198"/>
      <c r="RL166" s="198"/>
      <c r="RM166" s="198"/>
      <c r="RN166" s="198"/>
      <c r="RO166" s="198"/>
      <c r="RP166" s="198"/>
      <c r="RQ166" s="198"/>
      <c r="RR166" s="198"/>
      <c r="RS166" s="198"/>
      <c r="RT166" s="198"/>
      <c r="RU166" s="198"/>
      <c r="RV166" s="198"/>
      <c r="RW166" s="198"/>
      <c r="RX166" s="198"/>
      <c r="RY166" s="198"/>
      <c r="RZ166" s="198"/>
      <c r="SA166" s="198"/>
      <c r="SB166" s="198"/>
      <c r="SC166" s="198"/>
      <c r="SD166" s="198"/>
      <c r="SE166" s="198"/>
      <c r="SF166" s="198"/>
      <c r="SG166" s="198"/>
    </row>
    <row r="167" spans="1:501" ht="25.8" customHeight="1" x14ac:dyDescent="0.5">
      <c r="A167" s="547"/>
      <c r="B167" s="547"/>
      <c r="C167" s="548"/>
      <c r="D167" s="548"/>
      <c r="E167" s="548"/>
      <c r="F167" s="548"/>
      <c r="G167" s="548"/>
      <c r="H167" s="548"/>
      <c r="I167" s="548"/>
      <c r="J167" s="548"/>
      <c r="K167" s="548"/>
      <c r="L167" s="548"/>
      <c r="M167" s="548"/>
      <c r="N167" s="548"/>
      <c r="O167" s="548"/>
      <c r="P167" s="548"/>
      <c r="Q167" s="548"/>
      <c r="R167" s="548"/>
      <c r="S167" s="548"/>
      <c r="T167" s="548"/>
      <c r="U167" s="548"/>
      <c r="V167" s="548"/>
      <c r="W167" s="548"/>
      <c r="X167" s="548"/>
      <c r="Y167" s="548"/>
      <c r="Z167" s="548"/>
      <c r="AA167" s="548"/>
      <c r="AB167" s="548"/>
      <c r="AC167" s="548"/>
      <c r="AD167" s="548"/>
      <c r="AE167" s="548"/>
      <c r="AF167" s="548"/>
      <c r="AG167" s="548"/>
      <c r="AH167" s="548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1" ht="25.8" customHeight="1" x14ac:dyDescent="0.5">
      <c r="A168" s="547"/>
      <c r="B168" s="547"/>
      <c r="C168" s="548"/>
      <c r="D168" s="548"/>
      <c r="E168" s="548"/>
      <c r="F168" s="548"/>
      <c r="G168" s="548"/>
      <c r="H168" s="548"/>
      <c r="I168" s="548"/>
      <c r="J168" s="548"/>
      <c r="K168" s="548"/>
      <c r="L168" s="548"/>
      <c r="M168" s="548"/>
      <c r="N168" s="548"/>
      <c r="O168" s="548"/>
      <c r="P168" s="548"/>
      <c r="Q168" s="548"/>
      <c r="R168" s="548"/>
      <c r="S168" s="548"/>
      <c r="T168" s="548"/>
      <c r="U168" s="548"/>
      <c r="V168" s="548"/>
      <c r="W168" s="548"/>
      <c r="X168" s="548"/>
      <c r="Y168" s="548"/>
      <c r="Z168" s="548"/>
      <c r="AA168" s="548"/>
      <c r="AB168" s="548"/>
      <c r="AC168" s="548"/>
      <c r="AD168" s="548"/>
      <c r="AE168" s="548"/>
      <c r="AF168" s="548"/>
      <c r="AG168" s="548"/>
      <c r="AH168" s="548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1" ht="25.8" customHeight="1" x14ac:dyDescent="0.5">
      <c r="A169" s="547"/>
      <c r="B169" s="547"/>
      <c r="C169" s="548"/>
      <c r="D169" s="548"/>
      <c r="E169" s="548"/>
      <c r="F169" s="548"/>
      <c r="G169" s="548"/>
      <c r="H169" s="548"/>
      <c r="I169" s="548"/>
      <c r="J169" s="548"/>
      <c r="K169" s="548"/>
      <c r="L169" s="548"/>
      <c r="M169" s="548"/>
      <c r="N169" s="548"/>
      <c r="O169" s="548"/>
      <c r="P169" s="548"/>
      <c r="Q169" s="548"/>
      <c r="R169" s="548"/>
      <c r="S169" s="548"/>
      <c r="T169" s="548"/>
      <c r="U169" s="548"/>
      <c r="V169" s="548"/>
      <c r="W169" s="548"/>
      <c r="X169" s="548"/>
      <c r="Y169" s="548"/>
      <c r="Z169" s="548"/>
      <c r="AA169" s="548"/>
      <c r="AB169" s="548"/>
      <c r="AC169" s="548"/>
      <c r="AD169" s="548"/>
      <c r="AE169" s="548"/>
      <c r="AF169" s="548"/>
      <c r="AG169" s="548"/>
      <c r="AH169" s="548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1" ht="25.8" customHeight="1" x14ac:dyDescent="0.5">
      <c r="A170" s="547"/>
      <c r="B170" s="547"/>
      <c r="C170" s="548"/>
      <c r="D170" s="548"/>
      <c r="E170" s="548"/>
      <c r="F170" s="548"/>
      <c r="G170" s="548"/>
      <c r="H170" s="548"/>
      <c r="I170" s="548"/>
      <c r="J170" s="548"/>
      <c r="K170" s="548"/>
      <c r="L170" s="548"/>
      <c r="M170" s="548"/>
      <c r="N170" s="548"/>
      <c r="O170" s="548"/>
      <c r="P170" s="548"/>
      <c r="Q170" s="548"/>
      <c r="R170" s="548"/>
      <c r="S170" s="548"/>
      <c r="T170" s="548"/>
      <c r="U170" s="548"/>
      <c r="V170" s="548"/>
      <c r="W170" s="548"/>
      <c r="X170" s="548"/>
      <c r="Y170" s="548"/>
      <c r="Z170" s="548"/>
      <c r="AA170" s="548"/>
      <c r="AB170" s="548"/>
      <c r="AC170" s="548"/>
      <c r="AD170" s="548"/>
      <c r="AE170" s="548"/>
      <c r="AF170" s="548"/>
      <c r="AG170" s="548"/>
      <c r="AH170" s="548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1" ht="25.8" customHeight="1" x14ac:dyDescent="0.5">
      <c r="A171" s="547"/>
      <c r="B171" s="547"/>
      <c r="C171" s="548"/>
      <c r="D171" s="548"/>
      <c r="E171" s="548"/>
      <c r="F171" s="548"/>
      <c r="G171" s="548"/>
      <c r="H171" s="548"/>
      <c r="I171" s="548"/>
      <c r="J171" s="548"/>
      <c r="K171" s="548"/>
      <c r="L171" s="548"/>
      <c r="M171" s="548"/>
      <c r="N171" s="548"/>
      <c r="O171" s="548"/>
      <c r="P171" s="548"/>
      <c r="Q171" s="548"/>
      <c r="R171" s="548"/>
      <c r="S171" s="548"/>
      <c r="T171" s="548"/>
      <c r="U171" s="548"/>
      <c r="V171" s="548"/>
      <c r="W171" s="548"/>
      <c r="X171" s="548"/>
      <c r="Y171" s="548"/>
      <c r="Z171" s="548"/>
      <c r="AA171" s="548"/>
      <c r="AB171" s="548"/>
      <c r="AC171" s="548"/>
      <c r="AD171" s="548"/>
      <c r="AE171" s="548"/>
      <c r="AF171" s="548"/>
      <c r="AG171" s="548"/>
      <c r="AH171" s="548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1" ht="25.8" customHeight="1" x14ac:dyDescent="0.5">
      <c r="A172" s="547"/>
      <c r="B172" s="547"/>
      <c r="C172" s="548"/>
      <c r="D172" s="548"/>
      <c r="E172" s="548"/>
      <c r="F172" s="548"/>
      <c r="G172" s="548"/>
      <c r="H172" s="548"/>
      <c r="I172" s="548"/>
      <c r="J172" s="548"/>
      <c r="K172" s="548"/>
      <c r="L172" s="548"/>
      <c r="M172" s="548"/>
      <c r="N172" s="548"/>
      <c r="O172" s="548"/>
      <c r="P172" s="548"/>
      <c r="Q172" s="548"/>
      <c r="R172" s="548"/>
      <c r="S172" s="548"/>
      <c r="T172" s="548"/>
      <c r="U172" s="548"/>
      <c r="V172" s="548"/>
      <c r="W172" s="548"/>
      <c r="X172" s="548"/>
      <c r="Y172" s="548"/>
      <c r="Z172" s="548"/>
      <c r="AA172" s="548"/>
      <c r="AB172" s="548"/>
      <c r="AC172" s="548"/>
      <c r="AD172" s="548"/>
      <c r="AE172" s="548"/>
      <c r="AF172" s="548"/>
      <c r="AG172" s="548"/>
      <c r="AH172" s="548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1" ht="25.8" customHeight="1" x14ac:dyDescent="0.5">
      <c r="A173" s="547"/>
      <c r="B173" s="547"/>
      <c r="C173" s="548"/>
      <c r="D173" s="548"/>
      <c r="E173" s="548"/>
      <c r="F173" s="548"/>
      <c r="G173" s="548"/>
      <c r="H173" s="548"/>
      <c r="I173" s="548"/>
      <c r="J173" s="548"/>
      <c r="K173" s="548"/>
      <c r="L173" s="548"/>
      <c r="M173" s="548"/>
      <c r="N173" s="548"/>
      <c r="O173" s="548"/>
      <c r="P173" s="548"/>
      <c r="Q173" s="548"/>
      <c r="R173" s="548"/>
      <c r="S173" s="548"/>
      <c r="T173" s="548"/>
      <c r="U173" s="548"/>
      <c r="V173" s="548"/>
      <c r="W173" s="548"/>
      <c r="X173" s="548"/>
      <c r="Y173" s="548"/>
      <c r="Z173" s="548"/>
      <c r="AA173" s="548"/>
      <c r="AB173" s="548"/>
      <c r="AC173" s="548"/>
      <c r="AD173" s="548"/>
      <c r="AE173" s="548"/>
      <c r="AF173" s="548"/>
      <c r="AG173" s="548"/>
      <c r="AH173" s="548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1" ht="25.8" customHeight="1" x14ac:dyDescent="0.5">
      <c r="A174" s="547"/>
      <c r="B174" s="547"/>
      <c r="C174" s="548"/>
      <c r="D174" s="548"/>
      <c r="E174" s="548"/>
      <c r="F174" s="548"/>
      <c r="G174" s="548"/>
      <c r="H174" s="548"/>
      <c r="I174" s="548"/>
      <c r="J174" s="548"/>
      <c r="K174" s="548"/>
      <c r="L174" s="548"/>
      <c r="M174" s="548"/>
      <c r="N174" s="548"/>
      <c r="O174" s="548"/>
      <c r="P174" s="548"/>
      <c r="Q174" s="548"/>
      <c r="R174" s="548"/>
      <c r="S174" s="548"/>
      <c r="T174" s="548"/>
      <c r="U174" s="548"/>
      <c r="V174" s="548"/>
      <c r="W174" s="548"/>
      <c r="X174" s="548"/>
      <c r="Y174" s="548"/>
      <c r="Z174" s="548"/>
      <c r="AA174" s="548"/>
      <c r="AB174" s="548"/>
      <c r="AC174" s="548"/>
      <c r="AD174" s="548"/>
      <c r="AE174" s="548"/>
      <c r="AF174" s="548"/>
      <c r="AG174" s="548"/>
      <c r="AH174" s="548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1" ht="25.8" customHeight="1" x14ac:dyDescent="0.5">
      <c r="A175" s="547"/>
      <c r="B175" s="547"/>
      <c r="C175" s="548"/>
      <c r="D175" s="548"/>
      <c r="E175" s="548"/>
      <c r="F175" s="548"/>
      <c r="G175" s="548"/>
      <c r="H175" s="548"/>
      <c r="I175" s="548"/>
      <c r="J175" s="548"/>
      <c r="K175" s="548"/>
      <c r="L175" s="548"/>
      <c r="M175" s="548"/>
      <c r="N175" s="548"/>
      <c r="O175" s="548"/>
      <c r="P175" s="548"/>
      <c r="Q175" s="548"/>
      <c r="R175" s="548"/>
      <c r="S175" s="548"/>
      <c r="T175" s="548"/>
      <c r="U175" s="548"/>
      <c r="V175" s="548"/>
      <c r="W175" s="548"/>
      <c r="X175" s="548"/>
      <c r="Y175" s="548"/>
      <c r="Z175" s="548"/>
      <c r="AA175" s="548"/>
      <c r="AB175" s="548"/>
      <c r="AC175" s="548"/>
      <c r="AD175" s="548"/>
      <c r="AE175" s="548"/>
      <c r="AF175" s="548"/>
      <c r="AG175" s="548"/>
      <c r="AH175" s="548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1" ht="25.8" customHeight="1" x14ac:dyDescent="0.5">
      <c r="A176" s="547"/>
      <c r="B176" s="547"/>
      <c r="C176" s="548"/>
      <c r="D176" s="548"/>
      <c r="E176" s="548"/>
      <c r="F176" s="548"/>
      <c r="G176" s="548"/>
      <c r="H176" s="548"/>
      <c r="I176" s="548"/>
      <c r="J176" s="548"/>
      <c r="K176" s="548"/>
      <c r="L176" s="548"/>
      <c r="M176" s="548"/>
      <c r="N176" s="548"/>
      <c r="O176" s="548"/>
      <c r="P176" s="548"/>
      <c r="Q176" s="548"/>
      <c r="R176" s="548"/>
      <c r="S176" s="548"/>
      <c r="T176" s="548"/>
      <c r="U176" s="548"/>
      <c r="V176" s="548"/>
      <c r="W176" s="548"/>
      <c r="X176" s="548"/>
      <c r="Y176" s="548"/>
      <c r="Z176" s="548"/>
      <c r="AA176" s="548"/>
      <c r="AB176" s="548"/>
      <c r="AC176" s="548"/>
      <c r="AD176" s="548"/>
      <c r="AE176" s="548"/>
      <c r="AF176" s="548"/>
      <c r="AG176" s="548"/>
      <c r="AH176" s="548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ht="25.8" customHeight="1" x14ac:dyDescent="0.5">
      <c r="A177" s="547"/>
      <c r="B177" s="547"/>
      <c r="C177" s="548"/>
      <c r="D177" s="548"/>
      <c r="E177" s="548"/>
      <c r="F177" s="548"/>
      <c r="G177" s="548"/>
      <c r="H177" s="548"/>
      <c r="I177" s="548"/>
      <c r="J177" s="548"/>
      <c r="K177" s="548"/>
      <c r="L177" s="548"/>
      <c r="M177" s="548"/>
      <c r="N177" s="548"/>
      <c r="O177" s="548"/>
      <c r="P177" s="548"/>
      <c r="Q177" s="548"/>
      <c r="R177" s="548"/>
      <c r="S177" s="548"/>
      <c r="T177" s="548"/>
      <c r="U177" s="548"/>
      <c r="V177" s="548"/>
      <c r="W177" s="548"/>
      <c r="X177" s="548"/>
      <c r="Y177" s="548"/>
      <c r="Z177" s="548"/>
      <c r="AA177" s="548"/>
      <c r="AB177" s="548"/>
      <c r="AC177" s="548"/>
      <c r="AD177" s="548"/>
      <c r="AE177" s="548"/>
      <c r="AF177" s="548"/>
      <c r="AG177" s="548"/>
      <c r="AH177" s="548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ht="25.8" customHeight="1" x14ac:dyDescent="0.5">
      <c r="A178" s="549"/>
      <c r="B178" s="550"/>
      <c r="C178" s="525"/>
      <c r="D178" s="525"/>
      <c r="E178" s="525"/>
      <c r="F178" s="525"/>
      <c r="G178" s="525"/>
      <c r="H178" s="525"/>
      <c r="I178" s="550"/>
      <c r="J178" s="550"/>
      <c r="K178" s="551"/>
      <c r="L178" s="551"/>
      <c r="M178" s="551"/>
      <c r="N178" s="551"/>
      <c r="O178" s="551"/>
      <c r="P178" s="548"/>
      <c r="Q178" s="548"/>
      <c r="R178" s="550"/>
      <c r="S178" s="550"/>
      <c r="T178" s="550"/>
      <c r="U178" s="550"/>
      <c r="V178" s="552"/>
      <c r="W178" s="552"/>
      <c r="X178" s="552"/>
      <c r="Y178" s="525"/>
      <c r="Z178" s="525"/>
      <c r="AA178" s="525"/>
      <c r="AL178" s="524"/>
      <c r="AM178" s="524"/>
      <c r="AN178" s="1"/>
      <c r="AO178" s="1"/>
      <c r="AP178" s="8"/>
      <c r="AQ178" s="8"/>
      <c r="AR178" s="8"/>
      <c r="AS178" s="8"/>
      <c r="AT178" s="8"/>
      <c r="AU178" s="8"/>
      <c r="AV178" s="8"/>
      <c r="AW178" s="1"/>
      <c r="AX178" s="1"/>
    </row>
    <row r="179" spans="1:50" ht="25.8" customHeight="1" x14ac:dyDescent="0.5">
      <c r="A179" s="553"/>
      <c r="B179" s="525" t="s">
        <v>398</v>
      </c>
      <c r="C179" s="554"/>
      <c r="D179" s="554"/>
      <c r="E179" s="554"/>
      <c r="F179" s="554"/>
      <c r="G179" s="554"/>
      <c r="H179" s="554"/>
      <c r="I179" s="848" t="s">
        <v>44</v>
      </c>
      <c r="J179" s="858"/>
      <c r="K179" s="858"/>
      <c r="L179" s="858"/>
      <c r="M179" s="858"/>
      <c r="N179" s="858"/>
      <c r="O179" s="858"/>
      <c r="P179" s="548"/>
      <c r="Q179" s="548"/>
      <c r="R179" s="848" t="s">
        <v>399</v>
      </c>
      <c r="S179" s="858"/>
      <c r="T179" s="858"/>
      <c r="U179" s="858"/>
      <c r="V179" s="858"/>
      <c r="W179" s="858"/>
      <c r="X179" s="858"/>
      <c r="Y179" s="554"/>
      <c r="Z179" s="554"/>
      <c r="AA179" s="554"/>
      <c r="AB179" s="848" t="s">
        <v>406</v>
      </c>
      <c r="AC179" s="858"/>
      <c r="AD179" s="858"/>
      <c r="AE179" s="858"/>
      <c r="AF179" s="858"/>
      <c r="AG179" s="858"/>
      <c r="AH179" s="858"/>
      <c r="AL179" s="525"/>
      <c r="AM179" s="1"/>
      <c r="AP179" s="848"/>
      <c r="AQ179" s="858"/>
      <c r="AR179" s="858"/>
      <c r="AS179" s="858"/>
      <c r="AT179" s="858"/>
      <c r="AU179" s="858"/>
      <c r="AV179" s="858"/>
      <c r="AX179" s="1"/>
    </row>
    <row r="180" spans="1:50" ht="180.6" customHeight="1" x14ac:dyDescent="0.5">
      <c r="A180" s="553"/>
      <c r="B180" s="555" t="s">
        <v>35</v>
      </c>
      <c r="C180" s="556"/>
      <c r="D180" s="556"/>
      <c r="E180" s="556"/>
      <c r="G180" s="556"/>
      <c r="H180" s="556"/>
      <c r="I180" s="555" t="s">
        <v>54</v>
      </c>
      <c r="P180" s="556"/>
      <c r="Q180" s="556"/>
      <c r="R180" s="525" t="s">
        <v>400</v>
      </c>
      <c r="Y180" s="556"/>
      <c r="Z180" s="556"/>
      <c r="AA180" s="556"/>
      <c r="AB180" s="555" t="s">
        <v>74</v>
      </c>
      <c r="AI180" s="42"/>
      <c r="AJ180" s="42"/>
      <c r="AK180" s="42"/>
      <c r="AL180" s="42"/>
      <c r="AM180" s="1"/>
      <c r="AP180" s="41"/>
      <c r="AX180" s="1"/>
    </row>
    <row r="181" spans="1:50" ht="25.8" customHeight="1" x14ac:dyDescent="0.5">
      <c r="B181" s="556"/>
      <c r="C181" s="556"/>
      <c r="D181" s="556"/>
      <c r="E181" s="556"/>
      <c r="F181" s="556"/>
      <c r="G181" s="556"/>
      <c r="H181" s="556"/>
      <c r="I181" s="557"/>
      <c r="J181" s="557"/>
      <c r="K181" s="548"/>
      <c r="L181" s="548"/>
      <c r="M181" s="556"/>
      <c r="N181" s="556"/>
      <c r="O181" s="556"/>
      <c r="P181" s="556"/>
      <c r="Q181" s="556"/>
      <c r="R181" s="556"/>
      <c r="S181" s="556"/>
      <c r="T181" s="556"/>
      <c r="U181" s="556"/>
      <c r="V181" s="556"/>
      <c r="W181" s="556"/>
      <c r="X181" s="556"/>
      <c r="Y181" s="556"/>
      <c r="Z181" s="556"/>
      <c r="AA181" s="556"/>
      <c r="AB181" s="556"/>
      <c r="AC181" s="556"/>
      <c r="AD181" s="556"/>
      <c r="AE181" s="556"/>
      <c r="AF181" s="556"/>
      <c r="AG181" s="556"/>
      <c r="AH181" s="556"/>
      <c r="AI181" s="42"/>
      <c r="AJ181" s="42"/>
      <c r="AK181" s="1"/>
      <c r="AL181" s="45"/>
      <c r="AM181" s="1"/>
      <c r="AR181" s="42"/>
      <c r="AS181" s="42"/>
      <c r="AT181" s="42"/>
      <c r="AU181" s="42"/>
      <c r="AX181" s="1"/>
    </row>
    <row r="182" spans="1:50" ht="25.8" customHeight="1" x14ac:dyDescent="0.5">
      <c r="A182" s="547"/>
      <c r="B182" s="555"/>
      <c r="C182" s="555"/>
      <c r="D182" s="555"/>
      <c r="E182" s="555"/>
      <c r="F182" s="555"/>
      <c r="G182" s="555"/>
      <c r="H182" s="555"/>
      <c r="I182" s="555"/>
      <c r="J182" s="555"/>
      <c r="K182" s="548"/>
      <c r="L182" s="548"/>
      <c r="M182" s="555"/>
      <c r="N182" s="555"/>
      <c r="O182" s="548"/>
      <c r="P182" s="555"/>
      <c r="Q182" s="555"/>
      <c r="R182" s="555"/>
      <c r="S182" s="555"/>
      <c r="T182" s="555"/>
      <c r="U182" s="555"/>
      <c r="V182" s="555"/>
      <c r="W182" s="555"/>
      <c r="X182" s="555"/>
      <c r="Y182" s="555"/>
      <c r="Z182" s="555"/>
      <c r="AA182" s="555"/>
      <c r="AB182" s="555"/>
      <c r="AC182" s="555"/>
      <c r="AD182" s="555"/>
      <c r="AE182" s="555"/>
      <c r="AF182" s="556"/>
      <c r="AG182" s="556"/>
      <c r="AH182" s="556"/>
      <c r="AI182" s="42"/>
      <c r="AJ182" s="42"/>
      <c r="AK182" s="1"/>
      <c r="AL182" s="46"/>
      <c r="AM182" s="46"/>
      <c r="AR182" s="42"/>
      <c r="AS182" s="42"/>
      <c r="AT182" s="42"/>
      <c r="AU182" s="42"/>
      <c r="AX182" s="1"/>
    </row>
    <row r="183" spans="1:50" ht="25.8" customHeight="1" x14ac:dyDescent="0.5">
      <c r="A183" s="547"/>
      <c r="B183" s="547"/>
      <c r="C183" s="557"/>
      <c r="D183" s="548"/>
      <c r="E183" s="548"/>
      <c r="F183" s="548"/>
      <c r="G183" s="548"/>
      <c r="H183" s="548"/>
      <c r="I183" s="548"/>
      <c r="J183" s="548"/>
      <c r="K183" s="548"/>
      <c r="L183" s="548"/>
      <c r="M183" s="548"/>
      <c r="N183" s="548"/>
      <c r="O183" s="548"/>
      <c r="P183" s="548"/>
      <c r="Q183" s="548"/>
      <c r="R183" s="548"/>
      <c r="S183" s="548"/>
      <c r="T183" s="548"/>
      <c r="U183" s="548"/>
      <c r="V183" s="548"/>
      <c r="W183" s="548"/>
      <c r="X183" s="548"/>
      <c r="Y183" s="548"/>
      <c r="Z183" s="548"/>
      <c r="AA183" s="548"/>
      <c r="AB183" s="548"/>
      <c r="AC183" s="548"/>
      <c r="AD183" s="548"/>
      <c r="AE183" s="548"/>
      <c r="AF183" s="548"/>
      <c r="AG183" s="548"/>
      <c r="AH183" s="548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ht="25.8" customHeight="1" x14ac:dyDescent="0.5">
      <c r="A184" s="547"/>
      <c r="B184" s="547"/>
      <c r="C184" s="557"/>
      <c r="D184" s="548"/>
      <c r="E184" s="548"/>
      <c r="F184" s="548"/>
      <c r="G184" s="548"/>
      <c r="H184" s="548"/>
      <c r="I184" s="548"/>
      <c r="J184" s="548"/>
      <c r="K184" s="548"/>
      <c r="L184" s="548"/>
      <c r="M184" s="548"/>
      <c r="N184" s="548"/>
      <c r="O184" s="548"/>
      <c r="P184" s="548"/>
      <c r="Q184" s="548"/>
      <c r="R184" s="548"/>
      <c r="S184" s="548"/>
      <c r="T184" s="548"/>
      <c r="U184" s="548"/>
      <c r="V184" s="548"/>
      <c r="W184" s="548"/>
      <c r="X184" s="548"/>
      <c r="Y184" s="548"/>
      <c r="Z184" s="548"/>
      <c r="AA184" s="548"/>
      <c r="AB184" s="548"/>
      <c r="AC184" s="548"/>
      <c r="AD184" s="548"/>
      <c r="AE184" s="548"/>
      <c r="AF184" s="548"/>
      <c r="AG184" s="548"/>
      <c r="AH184" s="548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ht="25.8" customHeight="1" x14ac:dyDescent="0.5">
      <c r="A185" s="547"/>
      <c r="B185" s="547"/>
      <c r="C185" s="557"/>
      <c r="D185" s="548"/>
      <c r="E185" s="548"/>
      <c r="F185" s="548"/>
      <c r="G185" s="548"/>
      <c r="H185" s="548"/>
      <c r="I185" s="548"/>
      <c r="J185" s="548"/>
      <c r="K185" s="548"/>
      <c r="L185" s="548"/>
      <c r="M185" s="548"/>
      <c r="N185" s="548"/>
      <c r="O185" s="548"/>
      <c r="P185" s="548"/>
      <c r="Q185" s="548"/>
      <c r="R185" s="548"/>
      <c r="S185" s="548"/>
      <c r="T185" s="548"/>
      <c r="U185" s="548"/>
      <c r="V185" s="548"/>
      <c r="W185" s="548"/>
      <c r="X185" s="548"/>
      <c r="Y185" s="548"/>
      <c r="Z185" s="548"/>
      <c r="AA185" s="548"/>
      <c r="AB185" s="548"/>
      <c r="AC185" s="548"/>
      <c r="AD185" s="548"/>
      <c r="AE185" s="548"/>
      <c r="AF185" s="548"/>
      <c r="AG185" s="548"/>
      <c r="AH185" s="548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ht="25.8" customHeight="1" x14ac:dyDescent="0.5">
      <c r="A186" s="547"/>
      <c r="B186" s="547"/>
      <c r="C186" s="548"/>
      <c r="D186" s="548"/>
      <c r="E186" s="548"/>
      <c r="F186" s="548"/>
      <c r="G186" s="548"/>
      <c r="H186" s="548"/>
      <c r="I186" s="548"/>
      <c r="J186" s="548"/>
      <c r="K186" s="548"/>
      <c r="L186" s="548"/>
      <c r="M186" s="548"/>
      <c r="N186" s="548"/>
      <c r="O186" s="548"/>
      <c r="P186" s="548"/>
      <c r="Q186" s="548"/>
      <c r="R186" s="548"/>
      <c r="S186" s="548"/>
      <c r="T186" s="548"/>
      <c r="U186" s="548"/>
      <c r="V186" s="548"/>
      <c r="W186" s="548"/>
      <c r="X186" s="548"/>
      <c r="Y186" s="548"/>
      <c r="Z186" s="548"/>
      <c r="AA186" s="548"/>
      <c r="AB186" s="548"/>
      <c r="AC186" s="548"/>
      <c r="AD186" s="548"/>
      <c r="AE186" s="548"/>
      <c r="AF186" s="548"/>
      <c r="AG186" s="548"/>
      <c r="AH186" s="548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ht="25.8" customHeight="1" x14ac:dyDescent="0.5">
      <c r="A187" s="547"/>
      <c r="B187" s="547"/>
      <c r="C187" s="548"/>
      <c r="D187" s="548"/>
      <c r="E187" s="548"/>
      <c r="F187" s="548"/>
      <c r="G187" s="548"/>
      <c r="H187" s="548"/>
      <c r="I187" s="548"/>
      <c r="J187" s="548"/>
      <c r="K187" s="548"/>
      <c r="L187" s="548"/>
      <c r="M187" s="548"/>
      <c r="N187" s="548"/>
      <c r="O187" s="548"/>
      <c r="P187" s="548"/>
      <c r="Q187" s="548"/>
      <c r="R187" s="548"/>
      <c r="S187" s="548"/>
      <c r="T187" s="548"/>
      <c r="U187" s="548"/>
      <c r="V187" s="548"/>
      <c r="W187" s="548"/>
      <c r="X187" s="548"/>
      <c r="Y187" s="548"/>
      <c r="Z187" s="548"/>
      <c r="AA187" s="548"/>
      <c r="AB187" s="548"/>
      <c r="AC187" s="548"/>
      <c r="AD187" s="548"/>
      <c r="AE187" s="548"/>
      <c r="AF187" s="548"/>
      <c r="AG187" s="548"/>
      <c r="AH187" s="548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ht="25.8" customHeight="1" x14ac:dyDescent="0.5">
      <c r="A188" s="547"/>
      <c r="B188" s="547"/>
      <c r="C188" s="548"/>
      <c r="D188" s="548"/>
      <c r="E188" s="548"/>
      <c r="F188" s="548"/>
      <c r="G188" s="548"/>
      <c r="H188" s="548"/>
      <c r="I188" s="548"/>
      <c r="J188" s="548"/>
      <c r="K188" s="548"/>
      <c r="L188" s="548"/>
      <c r="M188" s="548"/>
      <c r="N188" s="548"/>
      <c r="O188" s="548"/>
      <c r="P188" s="548"/>
      <c r="Q188" s="548"/>
      <c r="R188" s="548"/>
      <c r="S188" s="548"/>
      <c r="T188" s="548"/>
      <c r="U188" s="548"/>
      <c r="V188" s="548"/>
      <c r="W188" s="548"/>
      <c r="X188" s="548"/>
      <c r="Y188" s="548"/>
      <c r="Z188" s="548"/>
      <c r="AA188" s="548"/>
      <c r="AB188" s="548"/>
      <c r="AC188" s="548"/>
      <c r="AD188" s="548"/>
      <c r="AE188" s="548"/>
      <c r="AF188" s="548"/>
      <c r="AG188" s="548"/>
      <c r="AH188" s="548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</sheetData>
  <mergeCells count="137">
    <mergeCell ref="AY6:AZ6"/>
    <mergeCell ref="G10:K13"/>
    <mergeCell ref="AS5:AT5"/>
    <mergeCell ref="M4:N4"/>
    <mergeCell ref="AV12:AW12"/>
    <mergeCell ref="S17:T17"/>
    <mergeCell ref="U17:V17"/>
    <mergeCell ref="C4:F9"/>
    <mergeCell ref="P8:Q8"/>
    <mergeCell ref="AD6:AE6"/>
    <mergeCell ref="AJ13:AK13"/>
    <mergeCell ref="AM9:AN9"/>
    <mergeCell ref="AM5:AN5"/>
    <mergeCell ref="G4:K9"/>
    <mergeCell ref="Y17:Z17"/>
    <mergeCell ref="AV13:AW13"/>
    <mergeCell ref="AS11:AT11"/>
    <mergeCell ref="P7:Q7"/>
    <mergeCell ref="M6:N6"/>
    <mergeCell ref="AM11:AN11"/>
    <mergeCell ref="AG12:AH12"/>
    <mergeCell ref="AA12:AB12"/>
    <mergeCell ref="AM6:AN6"/>
    <mergeCell ref="A1:A3"/>
    <mergeCell ref="M12:N12"/>
    <mergeCell ref="AY11:AZ11"/>
    <mergeCell ref="AV10:AW10"/>
    <mergeCell ref="AD11:AE11"/>
    <mergeCell ref="AA17:AF17"/>
    <mergeCell ref="AG13:AH13"/>
    <mergeCell ref="AM4:AN4"/>
    <mergeCell ref="C16:R16"/>
    <mergeCell ref="AS13:AT13"/>
    <mergeCell ref="P12:Q12"/>
    <mergeCell ref="AM12:AN12"/>
    <mergeCell ref="AV5:AW5"/>
    <mergeCell ref="P5:Q5"/>
    <mergeCell ref="AJ9:AK9"/>
    <mergeCell ref="AG8:AH8"/>
    <mergeCell ref="AD12:AE12"/>
    <mergeCell ref="AD9:AE9"/>
    <mergeCell ref="C1:AM3"/>
    <mergeCell ref="AP12:AQ12"/>
    <mergeCell ref="AJ11:AK11"/>
    <mergeCell ref="AG10:AH10"/>
    <mergeCell ref="AS10:AT10"/>
    <mergeCell ref="E17:F17"/>
    <mergeCell ref="P4:Q4"/>
    <mergeCell ref="AM8:AN8"/>
    <mergeCell ref="AJ12:AK12"/>
    <mergeCell ref="AA10:AB10"/>
    <mergeCell ref="B15:B17"/>
    <mergeCell ref="M9:N9"/>
    <mergeCell ref="M5:N5"/>
    <mergeCell ref="AA9:AB9"/>
    <mergeCell ref="C10:F13"/>
    <mergeCell ref="M11:N11"/>
    <mergeCell ref="AJ7:AK7"/>
    <mergeCell ref="AG6:AH6"/>
    <mergeCell ref="AG11:AH11"/>
    <mergeCell ref="AD10:AE10"/>
    <mergeCell ref="AA5:AB5"/>
    <mergeCell ref="G17:H17"/>
    <mergeCell ref="AD13:AE13"/>
    <mergeCell ref="AG9:AH9"/>
    <mergeCell ref="B1:B3"/>
    <mergeCell ref="Q17:R17"/>
    <mergeCell ref="AD7:AE7"/>
    <mergeCell ref="AP7:AQ7"/>
    <mergeCell ref="AA11:AB11"/>
    <mergeCell ref="AG5:AH5"/>
    <mergeCell ref="AP4:AQ4"/>
    <mergeCell ref="AD8:AE8"/>
    <mergeCell ref="AV7:AW7"/>
    <mergeCell ref="P10:Q10"/>
    <mergeCell ref="AS4:AT4"/>
    <mergeCell ref="P9:Q9"/>
    <mergeCell ref="AA16:AF16"/>
    <mergeCell ref="AJ8:AK8"/>
    <mergeCell ref="AA6:AB6"/>
    <mergeCell ref="AV8:AW8"/>
    <mergeCell ref="AS6:AT6"/>
    <mergeCell ref="AS12:AT12"/>
    <mergeCell ref="P11:Q11"/>
    <mergeCell ref="AJ10:AK10"/>
    <mergeCell ref="AA4:AB4"/>
    <mergeCell ref="M13:N13"/>
    <mergeCell ref="M7:N7"/>
    <mergeCell ref="AG7:AH7"/>
    <mergeCell ref="P6:Q6"/>
    <mergeCell ref="M10:N10"/>
    <mergeCell ref="A15:A17"/>
    <mergeCell ref="AA7:AB7"/>
    <mergeCell ref="AS8:AT8"/>
    <mergeCell ref="AP6:AQ6"/>
    <mergeCell ref="AJ6:AK6"/>
    <mergeCell ref="AY10:AZ10"/>
    <mergeCell ref="P13:Q13"/>
    <mergeCell ref="C17:D17"/>
    <mergeCell ref="M8:N8"/>
    <mergeCell ref="M17:N17"/>
    <mergeCell ref="O17:P17"/>
    <mergeCell ref="AY15:BA15"/>
    <mergeCell ref="AS7:AT7"/>
    <mergeCell ref="AP11:AQ11"/>
    <mergeCell ref="AM10:AN10"/>
    <mergeCell ref="AV9:AW9"/>
    <mergeCell ref="I17:J17"/>
    <mergeCell ref="K17:L17"/>
    <mergeCell ref="AM7:AN7"/>
    <mergeCell ref="W17:X17"/>
    <mergeCell ref="AY7:AZ7"/>
    <mergeCell ref="AV6:AW6"/>
    <mergeCell ref="AG4:AH4"/>
    <mergeCell ref="AY12:AZ12"/>
    <mergeCell ref="AG16:AH17"/>
    <mergeCell ref="AA13:AB13"/>
    <mergeCell ref="AY14:BA14"/>
    <mergeCell ref="AD5:AE5"/>
    <mergeCell ref="AM13:AN13"/>
    <mergeCell ref="AP9:AQ9"/>
    <mergeCell ref="AP5:AQ5"/>
    <mergeCell ref="AY13:AZ13"/>
    <mergeCell ref="AY4:AZ4"/>
    <mergeCell ref="AV11:AW11"/>
    <mergeCell ref="AY5:AZ5"/>
    <mergeCell ref="AJ4:AK4"/>
    <mergeCell ref="AJ5:AK5"/>
    <mergeCell ref="AA8:AB8"/>
    <mergeCell ref="AD4:AE4"/>
    <mergeCell ref="AV4:AW4"/>
    <mergeCell ref="AP13:AQ13"/>
    <mergeCell ref="AS9:AT9"/>
    <mergeCell ref="AP8:AQ8"/>
    <mergeCell ref="AP10:AQ10"/>
    <mergeCell ref="AY9:AZ9"/>
    <mergeCell ref="AY8:AZ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MANZ. A</vt:lpstr>
      <vt:lpstr>MANZ. B</vt:lpstr>
      <vt:lpstr>MANZ.C</vt:lpstr>
      <vt:lpstr>MANZ.D</vt:lpstr>
      <vt:lpstr>MANZ.E</vt:lpstr>
      <vt:lpstr>MANZ.F</vt:lpstr>
      <vt:lpstr>MANZ.G</vt:lpstr>
      <vt:lpstr>MANZ.H</vt:lpstr>
      <vt:lpstr>MANZ.I</vt:lpstr>
      <vt:lpstr>MANZ.J</vt:lpstr>
      <vt:lpstr>MANZ.K</vt:lpstr>
      <vt:lpstr>MANZ.L</vt:lpstr>
      <vt:lpstr>SALA MULTIUSO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Braulio Müller Cofré</dc:creator>
  <cp:lastModifiedBy>Maximiliano Azar millar</cp:lastModifiedBy>
  <cp:lastPrinted>2026-01-19T13:29:39Z</cp:lastPrinted>
  <dcterms:created xsi:type="dcterms:W3CDTF">2023-04-11T21:18:08Z</dcterms:created>
  <dcterms:modified xsi:type="dcterms:W3CDTF">2026-02-02T22:04:25Z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0x01010061EFD7502E7E2B4FAC0E68959BFB409B</vt:lpwstr>
  </property>
</Properties>
</file>