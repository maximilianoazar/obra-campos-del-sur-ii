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Z. A" sheetId="1" r:id="rId4"/>
    <sheet state="visible" name="MANZ. B" sheetId="2" r:id="rId5"/>
    <sheet state="visible" name="MANZ.C" sheetId="3" r:id="rId6"/>
    <sheet state="visible" name="MANZ.D" sheetId="4" r:id="rId7"/>
    <sheet state="visible" name="MANZ.E" sheetId="5" r:id="rId8"/>
    <sheet state="visible" name="MANZ.F" sheetId="6" r:id="rId9"/>
    <sheet state="visible" name="MANZ.G" sheetId="7" r:id="rId10"/>
    <sheet state="visible" name="MANZ.H" sheetId="8" r:id="rId11"/>
    <sheet state="visible" name="MANZ.I" sheetId="9" r:id="rId12"/>
    <sheet state="visible" name="MANZ.J" sheetId="10" r:id="rId13"/>
    <sheet state="visible" name="MANZ.K" sheetId="11" r:id="rId14"/>
    <sheet state="visible" name="MANZ.L" sheetId="12" r:id="rId15"/>
    <sheet state="visible" name="SALA MULTIUSO" sheetId="13" r:id="rId16"/>
    <sheet state="visible" name="RESUMEN" sheetId="14" r:id="rId17"/>
  </sheets>
  <definedNames/>
  <calcPr/>
  <extLst>
    <ext uri="GoogleSheetsCustomDataVersion2">
      <go:sheetsCustomData xmlns:go="http://customooxmlschemas.google.com/" r:id="rId18" roundtripDataChecksum="XJcYnnaLdIcBXWOuDDiWopuFP8iETSJfQv5vTJ7qe90="/>
    </ext>
  </extLst>
</workbook>
</file>

<file path=xl/sharedStrings.xml><?xml version="1.0" encoding="utf-8"?>
<sst xmlns="http://schemas.openxmlformats.org/spreadsheetml/2006/main" count="12400" uniqueCount="490">
  <si>
    <t>SERVIU REGION DE LA ARAUCANIA</t>
  </si>
  <si>
    <t>CUADRO RESUMEN DE CONTROL RECEPCIONADO</t>
  </si>
  <si>
    <t>OBRA</t>
  </si>
  <si>
    <t>CAMPOS DEL SUR II</t>
  </si>
  <si>
    <t>FECHA</t>
  </si>
  <si>
    <t>12.02.2025</t>
  </si>
  <si>
    <t>R3</t>
  </si>
  <si>
    <t>R18</t>
  </si>
  <si>
    <t>R28</t>
  </si>
  <si>
    <t>R38</t>
  </si>
  <si>
    <t>R55</t>
  </si>
  <si>
    <t>R74</t>
  </si>
  <si>
    <t>R98</t>
  </si>
  <si>
    <t>R112</t>
  </si>
  <si>
    <t>COMUNA</t>
  </si>
  <si>
    <t>RENAICO</t>
  </si>
  <si>
    <t>R7</t>
  </si>
  <si>
    <t>R19</t>
  </si>
  <si>
    <t>R29</t>
  </si>
  <si>
    <t>R39</t>
  </si>
  <si>
    <t>R58</t>
  </si>
  <si>
    <t>R81</t>
  </si>
  <si>
    <t>R99</t>
  </si>
  <si>
    <t>R113</t>
  </si>
  <si>
    <t>CONTRATISTA</t>
  </si>
  <si>
    <t>CONSTRUCTORA CIMOL S.P.A</t>
  </si>
  <si>
    <t>R9</t>
  </si>
  <si>
    <t>R20</t>
  </si>
  <si>
    <t>R30</t>
  </si>
  <si>
    <t>R41</t>
  </si>
  <si>
    <t>R60</t>
  </si>
  <si>
    <t>R83</t>
  </si>
  <si>
    <t>R100</t>
  </si>
  <si>
    <t>R114</t>
  </si>
  <si>
    <t>RESIDENTE DE OBRA</t>
  </si>
  <si>
    <t>EDGAR MORALES ALARCON</t>
  </si>
  <si>
    <t>R10</t>
  </si>
  <si>
    <t>R21</t>
  </si>
  <si>
    <t>R31</t>
  </si>
  <si>
    <t>R42</t>
  </si>
  <si>
    <t>R61</t>
  </si>
  <si>
    <t>R84</t>
  </si>
  <si>
    <t>R101</t>
  </si>
  <si>
    <t>R116</t>
  </si>
  <si>
    <t>AUTOCONTROL</t>
  </si>
  <si>
    <t>IGNACIO MEDINA MEDINA</t>
  </si>
  <si>
    <t>R11</t>
  </si>
  <si>
    <t>R22</t>
  </si>
  <si>
    <t>R32</t>
  </si>
  <si>
    <t>R44</t>
  </si>
  <si>
    <t>R63</t>
  </si>
  <si>
    <t>R85</t>
  </si>
  <si>
    <t>R104</t>
  </si>
  <si>
    <t>R117</t>
  </si>
  <si>
    <t>MICHEL BERGER HUICHANAO</t>
  </si>
  <si>
    <t>R12</t>
  </si>
  <si>
    <t>R23</t>
  </si>
  <si>
    <t>R33</t>
  </si>
  <si>
    <t>R45</t>
  </si>
  <si>
    <t>R64</t>
  </si>
  <si>
    <t>R86</t>
  </si>
  <si>
    <t>R105</t>
  </si>
  <si>
    <t>E.P.</t>
  </si>
  <si>
    <t>PLAN SOCIAL</t>
  </si>
  <si>
    <t>VERSION</t>
  </si>
  <si>
    <t>1.0</t>
  </si>
  <si>
    <t>R13</t>
  </si>
  <si>
    <t>R24</t>
  </si>
  <si>
    <t>R34</t>
  </si>
  <si>
    <t>R46</t>
  </si>
  <si>
    <t>R65</t>
  </si>
  <si>
    <t>R87</t>
  </si>
  <si>
    <t>R106</t>
  </si>
  <si>
    <t>S.A.T.</t>
  </si>
  <si>
    <t>OBED CEA LONCONADO</t>
  </si>
  <si>
    <t>R14</t>
  </si>
  <si>
    <t>R25</t>
  </si>
  <si>
    <t>R35</t>
  </si>
  <si>
    <t>R47</t>
  </si>
  <si>
    <t>R67</t>
  </si>
  <si>
    <t>R88</t>
  </si>
  <si>
    <t>R107</t>
  </si>
  <si>
    <t>F.T.O.</t>
  </si>
  <si>
    <t>R15</t>
  </si>
  <si>
    <t>R26</t>
  </si>
  <si>
    <t>R36</t>
  </si>
  <si>
    <t>R51</t>
  </si>
  <si>
    <t>R68</t>
  </si>
  <si>
    <t>R90</t>
  </si>
  <si>
    <t>R109</t>
  </si>
  <si>
    <t>CODIGO</t>
  </si>
  <si>
    <t>R16</t>
  </si>
  <si>
    <t>R27</t>
  </si>
  <si>
    <t>R37</t>
  </si>
  <si>
    <t>R52</t>
  </si>
  <si>
    <t>R69</t>
  </si>
  <si>
    <t>R95</t>
  </si>
  <si>
    <t>R110</t>
  </si>
  <si>
    <t>ITEM</t>
  </si>
  <si>
    <t>DESIGNACIÓN</t>
  </si>
  <si>
    <t>UBICACIÓN</t>
  </si>
  <si>
    <t>VIVIENDA LOTE Nº</t>
  </si>
  <si>
    <t xml:space="preserve">MANZANA  : </t>
  </si>
  <si>
    <t>A</t>
  </si>
  <si>
    <t>T. REV</t>
  </si>
  <si>
    <t>TOTAL</t>
  </si>
  <si>
    <t xml:space="preserve">B </t>
  </si>
  <si>
    <t xml:space="preserve"> OBRA GRUESA</t>
  </si>
  <si>
    <t>AT</t>
  </si>
  <si>
    <t>RV</t>
  </si>
  <si>
    <t>B.1</t>
  </si>
  <si>
    <t>FUNDACIONES</t>
  </si>
  <si>
    <t>B.1.1</t>
  </si>
  <si>
    <t>Replanteo, trazado y niveles</t>
  </si>
  <si>
    <t>B.1.2</t>
  </si>
  <si>
    <t>Excavación</t>
  </si>
  <si>
    <t>B.1.3</t>
  </si>
  <si>
    <t>Emplantillado (G5)</t>
  </si>
  <si>
    <t>B.1.4</t>
  </si>
  <si>
    <t>Hormigón cimientos (G10)</t>
  </si>
  <si>
    <t>B.1.5</t>
  </si>
  <si>
    <t>Hormigón sobrecimientos (G17)</t>
  </si>
  <si>
    <t>B.1.6</t>
  </si>
  <si>
    <t>Enfierradura</t>
  </si>
  <si>
    <t>B.1.7</t>
  </si>
  <si>
    <t>Moldajes</t>
  </si>
  <si>
    <t>B.2</t>
  </si>
  <si>
    <t>RADIER</t>
  </si>
  <si>
    <t>B.2.1</t>
  </si>
  <si>
    <t>Base (Cama de ripio) e=0,08 mts</t>
  </si>
  <si>
    <t>B.2.2</t>
  </si>
  <si>
    <t>Hormigón (G15)</t>
  </si>
  <si>
    <t>B.3</t>
  </si>
  <si>
    <t xml:space="preserve">MUROS 1 piso </t>
  </si>
  <si>
    <t>B.3.3.1</t>
  </si>
  <si>
    <t>Entramado Estructural</t>
  </si>
  <si>
    <t>B.4</t>
  </si>
  <si>
    <t>ESTRUCTURA HORIZONTAL (ENTREPISO)</t>
  </si>
  <si>
    <t>B.4.4.1</t>
  </si>
  <si>
    <t>Madera</t>
  </si>
  <si>
    <t>B.4.4.2</t>
  </si>
  <si>
    <t>Terciado estructural (15mm)</t>
  </si>
  <si>
    <t>B.5</t>
  </si>
  <si>
    <t xml:space="preserve">MUROS 2 piso </t>
  </si>
  <si>
    <t>B.5.3.1</t>
  </si>
  <si>
    <t>Entramado Estructural (2do P)</t>
  </si>
  <si>
    <t>B.6</t>
  </si>
  <si>
    <t>CUBIERTA</t>
  </si>
  <si>
    <t>B.6.1.1</t>
  </si>
  <si>
    <t>B.6.2.1</t>
  </si>
  <si>
    <t>Acero galvanizado (0.35mm)</t>
  </si>
  <si>
    <t>B.6.3</t>
  </si>
  <si>
    <t>Hojalatería</t>
  </si>
  <si>
    <t>B.6.3.1</t>
  </si>
  <si>
    <t>Canales</t>
  </si>
  <si>
    <t>B.6.3.2</t>
  </si>
  <si>
    <t>Bajadas y Hojalaterias</t>
  </si>
  <si>
    <t>B.6.EX.1</t>
  </si>
  <si>
    <t>Caballete</t>
  </si>
  <si>
    <t>B.6.EX.2</t>
  </si>
  <si>
    <t>Esquineros</t>
  </si>
  <si>
    <t>B.6.EX.3</t>
  </si>
  <si>
    <t>Forro Terminal Alero</t>
  </si>
  <si>
    <t>B.6.EX.4</t>
  </si>
  <si>
    <t>Forro Cortagotera Sobrecimento</t>
  </si>
  <si>
    <t>C.1</t>
  </si>
  <si>
    <t xml:space="preserve">REVESTIMIENTOS MUROS Y TABIQUES </t>
  </si>
  <si>
    <t>C.1.1</t>
  </si>
  <si>
    <t>Exterior</t>
  </si>
  <si>
    <t>C.1.1.2</t>
  </si>
  <si>
    <t>Placas Smart Panel 11,1 mm tipo H</t>
  </si>
  <si>
    <t>C.1.1.3</t>
  </si>
  <si>
    <t>Placas de fibrocemento 4 mm</t>
  </si>
  <si>
    <t>C.1.2</t>
  </si>
  <si>
    <t>Interior zona seca</t>
  </si>
  <si>
    <t>C.1.2.2.1</t>
  </si>
  <si>
    <t>Yeso cartón 10 mm</t>
  </si>
  <si>
    <t>C.1.2.2.2</t>
  </si>
  <si>
    <t>Yeso cartón 15 mm (Adosamiento)</t>
  </si>
  <si>
    <t>C.1.3</t>
  </si>
  <si>
    <t>Interior zona húmeda</t>
  </si>
  <si>
    <t>C.1.3.3</t>
  </si>
  <si>
    <t>Fibrocemento 6 mm (Simplisima)</t>
  </si>
  <si>
    <t>C.2</t>
  </si>
  <si>
    <t>AISLACION TERMICA MUROS (INCLUYE BARRERAS DE HUMEDAD Y VAPOR)</t>
  </si>
  <si>
    <t>C.2.1.2</t>
  </si>
  <si>
    <t>Aislacion sobrecimiento 40 mm 15 kg/m3</t>
  </si>
  <si>
    <t>C.2.1.3</t>
  </si>
  <si>
    <t>Aislacion madera 4x4</t>
  </si>
  <si>
    <t>C.2.3.1</t>
  </si>
  <si>
    <t>Lana de vidrio  Muros Perimetrales 94 mm 11 kg/m3</t>
  </si>
  <si>
    <t>C.2.3.1.B</t>
  </si>
  <si>
    <t>Lana de vidrio 50 mm 11 kg/m3</t>
  </si>
  <si>
    <t>C.3</t>
  </si>
  <si>
    <t>CIELO</t>
  </si>
  <si>
    <t>C.3.2</t>
  </si>
  <si>
    <t>Estructura cielo falso</t>
  </si>
  <si>
    <t>C.3.2.1</t>
  </si>
  <si>
    <t>C.3.3</t>
  </si>
  <si>
    <t>Revestimiento zona seca</t>
  </si>
  <si>
    <t>C.3.3.1</t>
  </si>
  <si>
    <t>C.3.4</t>
  </si>
  <si>
    <t xml:space="preserve">Revestimiento zona húmeda </t>
  </si>
  <si>
    <t>C.3.4.2</t>
  </si>
  <si>
    <t>Yeso cartón 12.5 mm RH</t>
  </si>
  <si>
    <t>C.4</t>
  </si>
  <si>
    <t>AISLACIÓN TÉRMICA CUBIERTA</t>
  </si>
  <si>
    <t>C.4.3.1</t>
  </si>
  <si>
    <t>Lana de vidrio 160 mm 11 kg/m3</t>
  </si>
  <si>
    <t>C.5</t>
  </si>
  <si>
    <t>REVESTIMIENTO PISOS</t>
  </si>
  <si>
    <t>C.5.1.3</t>
  </si>
  <si>
    <t>Cerámica Antideslizante (piso)</t>
  </si>
  <si>
    <t>C.5.4</t>
  </si>
  <si>
    <t>Piso Flotante 6mm</t>
  </si>
  <si>
    <t>C.7</t>
  </si>
  <si>
    <t>ESCALERA INTERIOR</t>
  </si>
  <si>
    <t>C.7.1</t>
  </si>
  <si>
    <t>Escalera (estructura, peldaños, baranda y pasamanos)</t>
  </si>
  <si>
    <t>C.8</t>
  </si>
  <si>
    <t>ALEROS Y FRONTONES</t>
  </si>
  <si>
    <t>C.8.1.1</t>
  </si>
  <si>
    <t>Madera Frontones y Aleros</t>
  </si>
  <si>
    <t>C.8.2</t>
  </si>
  <si>
    <t>Revestimiento</t>
  </si>
  <si>
    <t>C.8.2.3</t>
  </si>
  <si>
    <t>Madera placas frontones smart panel H 11.1mm</t>
  </si>
  <si>
    <t>C.8.3</t>
  </si>
  <si>
    <t>Rejillas de ventilacion</t>
  </si>
  <si>
    <t>C.8.3.1</t>
  </si>
  <si>
    <t>Rejilla de ventilacion adicional (Cocina)</t>
  </si>
  <si>
    <t>C.8.4</t>
  </si>
  <si>
    <t>Tapacan (Smart Panel)</t>
  </si>
  <si>
    <t>C.8.5.1</t>
  </si>
  <si>
    <t>Fibrocemento 4 mm (Rev. Alero)</t>
  </si>
  <si>
    <t>C.9</t>
  </si>
  <si>
    <t>PUERTAS Y VENTANAS</t>
  </si>
  <si>
    <t>C.9.1</t>
  </si>
  <si>
    <t>Marcos</t>
  </si>
  <si>
    <t>C.9.1.1</t>
  </si>
  <si>
    <t>C.9.2</t>
  </si>
  <si>
    <t>Puertas interiores</t>
  </si>
  <si>
    <t>C.9.2.1</t>
  </si>
  <si>
    <t>Puerta ancho 70</t>
  </si>
  <si>
    <t>C.9.2.4</t>
  </si>
  <si>
    <t>Puerta ancho 85</t>
  </si>
  <si>
    <t>C.9.3</t>
  </si>
  <si>
    <t>Puerta exteriores</t>
  </si>
  <si>
    <t>C.9.3.1</t>
  </si>
  <si>
    <t>Puerta ancho 80 (Metalica)</t>
  </si>
  <si>
    <t>C.9.3.2</t>
  </si>
  <si>
    <t>Puerta ancho 85 (Metalica)</t>
  </si>
  <si>
    <t>C.9.4</t>
  </si>
  <si>
    <t>Quincallería (incluye chapas, perillas, bisagras y topes)</t>
  </si>
  <si>
    <t>C.9.4.1</t>
  </si>
  <si>
    <t>Puerta principal</t>
  </si>
  <si>
    <t>C.9.4.2</t>
  </si>
  <si>
    <t>Baño</t>
  </si>
  <si>
    <t>C.9.4.3</t>
  </si>
  <si>
    <t>Interior</t>
  </si>
  <si>
    <t>C.9.4.4</t>
  </si>
  <si>
    <t>Exterior cocina</t>
  </si>
  <si>
    <t>C.9.5</t>
  </si>
  <si>
    <t>Ventanas (incluye quincallería)</t>
  </si>
  <si>
    <t>C.9.5.2</t>
  </si>
  <si>
    <t>PVC TERMOPANEL</t>
  </si>
  <si>
    <t>C.10</t>
  </si>
  <si>
    <t>MOLDURAS</t>
  </si>
  <si>
    <t>C.10.1</t>
  </si>
  <si>
    <t>Guardapolvos</t>
  </si>
  <si>
    <t>C.10.2</t>
  </si>
  <si>
    <t>Cornisas</t>
  </si>
  <si>
    <t>C.11</t>
  </si>
  <si>
    <t>PINTURAS</t>
  </si>
  <si>
    <t>C.11.1</t>
  </si>
  <si>
    <t>Óleo</t>
  </si>
  <si>
    <t>C.11.2.2</t>
  </si>
  <si>
    <t>Esmalte (Exterior)</t>
  </si>
  <si>
    <t>C.12</t>
  </si>
  <si>
    <t>OBRAS EXTERIORES</t>
  </si>
  <si>
    <t>C.12.1</t>
  </si>
  <si>
    <t xml:space="preserve">Pavimento de Acceso </t>
  </si>
  <si>
    <t>C.12.1.1</t>
  </si>
  <si>
    <t>Pav. Hormigon</t>
  </si>
  <si>
    <t>C.12.1.4</t>
  </si>
  <si>
    <t>Rampa acceso vivienda</t>
  </si>
  <si>
    <t>C.12.2</t>
  </si>
  <si>
    <t>Cierros</t>
  </si>
  <si>
    <t>C.12.2.3</t>
  </si>
  <si>
    <t>Porton Patio (ancho min. 0.90m.)</t>
  </si>
  <si>
    <t>C.12.2.4</t>
  </si>
  <si>
    <t>Cierro entre propiedades (alt.1.80 m.)</t>
  </si>
  <si>
    <t>C.12.2.5</t>
  </si>
  <si>
    <t>Cierro Semi Opaco</t>
  </si>
  <si>
    <t>C. EXTRAS</t>
  </si>
  <si>
    <t>PARTIDAS DE OBRAS DE TERMINACION  AGREGADAS POR LA EMPRESA</t>
  </si>
  <si>
    <t>C.EX.1</t>
  </si>
  <si>
    <t>Barrera de Vapor - Muros</t>
  </si>
  <si>
    <t>C.EX.2</t>
  </si>
  <si>
    <t>Barrera de humedad</t>
  </si>
  <si>
    <t>C.EX.3</t>
  </si>
  <si>
    <t>Ojo Magico Digiltal</t>
  </si>
  <si>
    <t>C.EX.5</t>
  </si>
  <si>
    <t>Pozos de drenaje</t>
  </si>
  <si>
    <t>C.EX.6</t>
  </si>
  <si>
    <t xml:space="preserve">Molduras Puerta  </t>
  </si>
  <si>
    <t>C.EX.7</t>
  </si>
  <si>
    <t>Molduras Ventana</t>
  </si>
  <si>
    <t>C.EX.10</t>
  </si>
  <si>
    <t>Numeros Municipales</t>
  </si>
  <si>
    <t>C.EX.11</t>
  </si>
  <si>
    <t>Perfilado de Patio</t>
  </si>
  <si>
    <t>C.EX.14.1</t>
  </si>
  <si>
    <t>Cerradura Acceso Especial Seguridad</t>
  </si>
  <si>
    <t>C.EX.15</t>
  </si>
  <si>
    <t>Proteccion Metalica Ventana</t>
  </si>
  <si>
    <t>C.EX.16</t>
  </si>
  <si>
    <t>Closet melamina (vivienda movilidad reducida)</t>
  </si>
  <si>
    <t>C.EX.18</t>
  </si>
  <si>
    <t>Hormigon pavimento estacionamiento</t>
  </si>
  <si>
    <t>D</t>
  </si>
  <si>
    <t xml:space="preserve">INSTALACIONES </t>
  </si>
  <si>
    <t>D.1</t>
  </si>
  <si>
    <t>ARTEFACTOS SANITARIOS (Incl. grifería)</t>
  </si>
  <si>
    <t>D.1.1</t>
  </si>
  <si>
    <t>WC</t>
  </si>
  <si>
    <t>D.1.2</t>
  </si>
  <si>
    <t>Lavamanos con pedestal</t>
  </si>
  <si>
    <t>D.1.3</t>
  </si>
  <si>
    <t>Lavamanos sin pedestal (vivienda movilidad reducida)</t>
  </si>
  <si>
    <t>D.1.4</t>
  </si>
  <si>
    <t xml:space="preserve">Tina </t>
  </si>
  <si>
    <t>D.1.5</t>
  </si>
  <si>
    <t>Base ducha (vivienda movilidad reducida)</t>
  </si>
  <si>
    <t>D.1.6</t>
  </si>
  <si>
    <t>Lavadero</t>
  </si>
  <si>
    <t>D.1.7</t>
  </si>
  <si>
    <t xml:space="preserve">Lavaplatos con mueble </t>
  </si>
  <si>
    <t>D.1.8</t>
  </si>
  <si>
    <t xml:space="preserve">Lavaplatos con atril </t>
  </si>
  <si>
    <t>D.1.9</t>
  </si>
  <si>
    <t>Barras W.C. (viviendas movilidad reducida)</t>
  </si>
  <si>
    <t>D.1.10</t>
  </si>
  <si>
    <t>Barras ducha (viviendas movilidad reducida)</t>
  </si>
  <si>
    <t>D.1.11</t>
  </si>
  <si>
    <t>WC discapacitados</t>
  </si>
  <si>
    <t>D.1.12</t>
  </si>
  <si>
    <t>Base ducha tipo 2 (vivienda discapacidad)</t>
  </si>
  <si>
    <t>D.2</t>
  </si>
  <si>
    <t>RED AGUA POTABLE</t>
  </si>
  <si>
    <t>D.2.1</t>
  </si>
  <si>
    <t>MAP 1/2"</t>
  </si>
  <si>
    <t>D.2.4</t>
  </si>
  <si>
    <t>Red interior agua fría</t>
  </si>
  <si>
    <t>D.2.5</t>
  </si>
  <si>
    <t>Red interior agua caliente</t>
  </si>
  <si>
    <t>D.3</t>
  </si>
  <si>
    <t>RED ALCANTARILLADO</t>
  </si>
  <si>
    <t>D.3.1</t>
  </si>
  <si>
    <t>UD</t>
  </si>
  <si>
    <t>D.3.2</t>
  </si>
  <si>
    <t xml:space="preserve">Red interior </t>
  </si>
  <si>
    <t>D.3.4</t>
  </si>
  <si>
    <t>Cámara de inspeccion</t>
  </si>
  <si>
    <t>D.4</t>
  </si>
  <si>
    <t>INSTALACIONES ELECTRICAS</t>
  </si>
  <si>
    <t>D.4.1</t>
  </si>
  <si>
    <t>Medidor y Empalmes (Viviendas)</t>
  </si>
  <si>
    <t>D.4.2</t>
  </si>
  <si>
    <t>Tablero (automaticos, protecciones, etc)</t>
  </si>
  <si>
    <t>D.4.4</t>
  </si>
  <si>
    <t>Puesta a tierra</t>
  </si>
  <si>
    <t>D.4.5.1</t>
  </si>
  <si>
    <t>Canalizado eléctrico</t>
  </si>
  <si>
    <t>D.4.5.2</t>
  </si>
  <si>
    <t>Cableado eléctrico</t>
  </si>
  <si>
    <t>D.4.5.3</t>
  </si>
  <si>
    <t>Artefactos eléctricos</t>
  </si>
  <si>
    <t>D.4.5.4</t>
  </si>
  <si>
    <t>Red interior - Dimmer</t>
  </si>
  <si>
    <t>D.5</t>
  </si>
  <si>
    <t xml:space="preserve">INSTALACIONES DE GAS </t>
  </si>
  <si>
    <t>D.5.3</t>
  </si>
  <si>
    <t>Red interior</t>
  </si>
  <si>
    <t>D.5.4</t>
  </si>
  <si>
    <t>Calefón</t>
  </si>
  <si>
    <t>D.5.5</t>
  </si>
  <si>
    <t xml:space="preserve">Nicho para cilindros </t>
  </si>
  <si>
    <t>D.5.6</t>
  </si>
  <si>
    <t>Ductos Ventilación y Evacuación gases</t>
  </si>
  <si>
    <t>D.EX</t>
  </si>
  <si>
    <t>PARTIDAS DE OBRAS DE INSTALACIONES  AGREGADAS POR LA EMPRESA</t>
  </si>
  <si>
    <t>D.EX.1</t>
  </si>
  <si>
    <t>Extractor de aire</t>
  </si>
  <si>
    <t>D.EX.3</t>
  </si>
  <si>
    <t>Cortinas Roller Back Out</t>
  </si>
  <si>
    <t>D.EX.4</t>
  </si>
  <si>
    <t>Timbre de luz</t>
  </si>
  <si>
    <t xml:space="preserve">ADMINISTRADOR DE OBRA </t>
  </si>
  <si>
    <t>F.T.O</t>
  </si>
  <si>
    <t>MAURICIO DIAZ BARRA</t>
  </si>
  <si>
    <t>B</t>
  </si>
  <si>
    <t>C.6</t>
  </si>
  <si>
    <t>AISLACIÓN TÉRMICA PISOS</t>
  </si>
  <si>
    <t>C.6.3</t>
  </si>
  <si>
    <t>Lana de vidrio 80 mm 11 kg/m3</t>
  </si>
  <si>
    <t>SAT</t>
  </si>
  <si>
    <t>R4</t>
  </si>
  <si>
    <t>R5</t>
  </si>
  <si>
    <t>R6</t>
  </si>
  <si>
    <t>R17</t>
  </si>
  <si>
    <t>R8</t>
  </si>
  <si>
    <t>C</t>
  </si>
  <si>
    <t>R,3O</t>
  </si>
  <si>
    <t>E</t>
  </si>
  <si>
    <t>R217</t>
  </si>
  <si>
    <t>F</t>
  </si>
  <si>
    <t>R2</t>
  </si>
  <si>
    <t>G</t>
  </si>
  <si>
    <t>R.28</t>
  </si>
  <si>
    <t>H</t>
  </si>
  <si>
    <t>I</t>
  </si>
  <si>
    <t>S.A.T</t>
  </si>
  <si>
    <t>J</t>
  </si>
  <si>
    <t xml:space="preserve"> R24</t>
  </si>
  <si>
    <t>R21+</t>
  </si>
  <si>
    <t>R197</t>
  </si>
  <si>
    <t>K</t>
  </si>
  <si>
    <t>L</t>
  </si>
  <si>
    <t>SALA MULTIUSO</t>
  </si>
  <si>
    <t>Hormigón (G-17)</t>
  </si>
  <si>
    <t>B.3.3</t>
  </si>
  <si>
    <t>B.3.3.2</t>
  </si>
  <si>
    <t>Entramado No Estructural</t>
  </si>
  <si>
    <t>B.6.1</t>
  </si>
  <si>
    <t>Estructura (inc. Costaneras)</t>
  </si>
  <si>
    <t>B.6.2</t>
  </si>
  <si>
    <t>Cubierta (inc. Cumbreras)</t>
  </si>
  <si>
    <t>B. EXTRAS</t>
  </si>
  <si>
    <t xml:space="preserve">PARTIDAS DE OBRA GRUESA AGREGADAS POR LA EMPRESA	</t>
  </si>
  <si>
    <t xml:space="preserve"> OBRAS DE TERMINACION</t>
  </si>
  <si>
    <t>C.1.1.3.2</t>
  </si>
  <si>
    <t>Madera placas Smart Panel 11,1 mm</t>
  </si>
  <si>
    <t>C.1.1.3.3</t>
  </si>
  <si>
    <t>Placa de fibrocemento 4 mm</t>
  </si>
  <si>
    <t>C.1.3.2</t>
  </si>
  <si>
    <t>Fibrocemento 6 mm</t>
  </si>
  <si>
    <t>C.1.3.4</t>
  </si>
  <si>
    <t>Yeso cartón 12,5 mm RH</t>
  </si>
  <si>
    <t>Lana de vidrio 50 mm 14 kg/m3</t>
  </si>
  <si>
    <t>C.4.3.2</t>
  </si>
  <si>
    <t>Lana de vidrio  80 mm  11 kg/m3</t>
  </si>
  <si>
    <t>C.8.1</t>
  </si>
  <si>
    <t>Estructura</t>
  </si>
  <si>
    <t>C.8.1.3</t>
  </si>
  <si>
    <t>Alero acceso vivienda</t>
  </si>
  <si>
    <t>Madera placas frontones smart panel 11.1mm</t>
  </si>
  <si>
    <t>C.8.2.4</t>
  </si>
  <si>
    <t>Tapacan (Smart Panel 11.1mm)</t>
  </si>
  <si>
    <t>C.9.2.3</t>
  </si>
  <si>
    <t>Puerta ancho 80</t>
  </si>
  <si>
    <t>PVC</t>
  </si>
  <si>
    <t>C.11.2</t>
  </si>
  <si>
    <t>Esmalte</t>
  </si>
  <si>
    <t>C.11.2.1</t>
  </si>
  <si>
    <t>Esmalte (Interior)</t>
  </si>
  <si>
    <t>C.12.1.2</t>
  </si>
  <si>
    <t>Pav. Hormigon (A=0,80 mt, e =0,07 mt, G17)</t>
  </si>
  <si>
    <t>Rampa acceso vivienda (incluye baranda doble altura)</t>
  </si>
  <si>
    <t>C.12.2.4.3</t>
  </si>
  <si>
    <t>Barrera de Vapor</t>
  </si>
  <si>
    <t>C.EX.17</t>
  </si>
  <si>
    <t>Placa madera closet</t>
  </si>
  <si>
    <t>Hormigón pavimento estacionamiento</t>
  </si>
  <si>
    <t>D.4.5</t>
  </si>
  <si>
    <t>UBICACIÓN:</t>
  </si>
  <si>
    <t>MANZANA</t>
  </si>
  <si>
    <t>SEDE SOCIAL</t>
  </si>
  <si>
    <t xml:space="preserve">MZ-A </t>
  </si>
  <si>
    <t>MZ-B</t>
  </si>
  <si>
    <t>MZ-C</t>
  </si>
  <si>
    <t>MZ-D</t>
  </si>
  <si>
    <t>MZ-E</t>
  </si>
  <si>
    <t>MZ-F</t>
  </si>
  <si>
    <t>MZ-G</t>
  </si>
  <si>
    <t>MZ-H</t>
  </si>
  <si>
    <t>MZ-I</t>
  </si>
  <si>
    <t>MZ-J</t>
  </si>
  <si>
    <t>MZ-K</t>
  </si>
  <si>
    <t>MZ-L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</si>
</sst>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\-yy"/>
  </numFmts>
  <fonts count="90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ptos Narrow"/>
    </font>
    <font>
      <b/>
      <sz val="20.0"/>
      <color theme="1"/>
      <name val="Aptos Narrow"/>
    </font>
    <font>
      <b/>
      <sz val="28.0"/>
      <color theme="1"/>
      <name val="Aptos Narrow"/>
    </font>
    <font/>
    <font>
      <b/>
      <sz val="28.0"/>
      <color theme="1"/>
      <name val="Tahoma"/>
    </font>
    <font>
      <b/>
      <sz val="16.0"/>
      <color theme="1"/>
      <name val="Aptos Narrow"/>
    </font>
    <font>
      <sz val="16.0"/>
      <color theme="1"/>
      <name val="Aptos Narrow"/>
    </font>
    <font>
      <b/>
      <sz val="16.0"/>
      <color rgb="FF000000"/>
      <name val="Aptos Narrow"/>
    </font>
    <font>
      <b/>
      <sz val="18.0"/>
      <color rgb="FF000000"/>
      <name val="Aptos Narrow"/>
    </font>
    <font>
      <sz val="16.0"/>
      <color rgb="FF000000"/>
      <name val="Aptos Narrow"/>
    </font>
    <font>
      <b/>
      <sz val="16.0"/>
      <color theme="1"/>
      <name val="Arial"/>
    </font>
    <font>
      <sz val="16.0"/>
      <color theme="1"/>
      <name val="Arial"/>
    </font>
    <font>
      <b/>
      <sz val="12.0"/>
      <color rgb="FF000000"/>
      <name val="Aptos Narrow"/>
    </font>
    <font>
      <b/>
      <sz val="10.0"/>
      <color rgb="FF000000"/>
      <name val="Aptos Narrow"/>
    </font>
    <font>
      <sz val="10.0"/>
      <color rgb="FF000000"/>
      <name val="Aptos Narrow"/>
    </font>
    <font>
      <b/>
      <sz val="14.0"/>
      <color rgb="FF000000"/>
      <name val="Aptos Narrow"/>
    </font>
    <font>
      <b/>
      <sz val="22.0"/>
      <color theme="1"/>
      <name val="Aptos Narrow"/>
    </font>
    <font>
      <b/>
      <u/>
      <sz val="16.0"/>
      <color rgb="FF0000FF"/>
      <name val="Aptos Narrow"/>
    </font>
    <font>
      <b/>
      <u/>
      <sz val="16.0"/>
      <color rgb="FF0000FF"/>
      <name val="Aptos Narrow"/>
    </font>
    <font>
      <b/>
      <sz val="18.0"/>
      <color theme="1"/>
      <name val="Aptos Narrow"/>
    </font>
    <font>
      <sz val="12.0"/>
      <color rgb="FF000000"/>
      <name val="Aptos Narrow"/>
    </font>
    <font>
      <sz val="11.0"/>
      <color rgb="FF000000"/>
      <name val="Aptos Narrow"/>
    </font>
    <font>
      <b/>
      <sz val="11.0"/>
      <color theme="1"/>
      <name val="Aptos Narrow"/>
    </font>
    <font>
      <sz val="18.0"/>
      <color rgb="FF000000"/>
      <name val="Aptos Narrow"/>
    </font>
    <font>
      <sz val="18.0"/>
      <color theme="1"/>
      <name val="Aptos Narrow"/>
    </font>
    <font>
      <b/>
      <sz val="18.0"/>
      <color theme="1"/>
      <name val="Arial"/>
    </font>
    <font>
      <sz val="14.0"/>
      <color theme="1"/>
      <name val="Aptos Narrow"/>
    </font>
    <font>
      <sz val="10.0"/>
      <color theme="1"/>
      <name val="Aptos Narrow"/>
    </font>
    <font>
      <b/>
      <sz val="14.0"/>
      <color theme="1"/>
      <name val="Aptos Narrow"/>
    </font>
    <font>
      <b/>
      <sz val="20.0"/>
      <color theme="1"/>
      <name val="Tahoma"/>
    </font>
    <font>
      <sz val="17.0"/>
      <color theme="1"/>
      <name val="Aptos Narrow"/>
    </font>
    <font>
      <sz val="17.0"/>
      <color theme="1"/>
      <name val="Tahoma"/>
    </font>
    <font>
      <b/>
      <sz val="24.0"/>
      <color rgb="FF000000"/>
      <name val="Aptos Narrow"/>
    </font>
    <font>
      <b/>
      <u/>
      <sz val="16.0"/>
      <color rgb="FF0000FF"/>
      <name val="Aptos Narrow"/>
    </font>
    <font>
      <b/>
      <sz val="10.0"/>
      <color theme="1"/>
      <name val="Aptos Narrow"/>
    </font>
    <font>
      <b/>
      <sz val="14.0"/>
      <color theme="1"/>
      <name val="Calibri"/>
    </font>
    <font>
      <b/>
      <sz val="36.0"/>
      <color theme="1"/>
      <name val="Aptos Narrow"/>
    </font>
    <font>
      <b/>
      <sz val="48.0"/>
      <color theme="1"/>
      <name val="Aptos Narrow"/>
    </font>
    <font>
      <b/>
      <sz val="26.0"/>
      <color theme="1"/>
      <name val="Aptos Narrow"/>
    </font>
    <font>
      <sz val="26.0"/>
      <color theme="1"/>
      <name val="Aptos Narrow"/>
    </font>
    <font>
      <b/>
      <sz val="26.0"/>
      <color rgb="FF000000"/>
      <name val="Aptos Narrow"/>
    </font>
    <font>
      <b/>
      <sz val="24.0"/>
      <color theme="1"/>
      <name val="Aptos Narrow"/>
    </font>
    <font>
      <b/>
      <sz val="22.0"/>
      <color rgb="FF000000"/>
      <name val="Aptos Narrow"/>
    </font>
    <font>
      <sz val="26.0"/>
      <color rgb="FF000000"/>
      <name val="Aptos Narrow"/>
    </font>
    <font>
      <b/>
      <u/>
      <sz val="26.0"/>
      <color rgb="FF0000FF"/>
      <name val="Aptos Narrow"/>
    </font>
    <font>
      <b/>
      <u/>
      <sz val="26.0"/>
      <color rgb="FF0000FF"/>
      <name val="Aptos Narrow"/>
    </font>
    <font>
      <b/>
      <sz val="26.0"/>
      <color theme="1"/>
      <name val="Tahoma"/>
    </font>
    <font>
      <sz val="26.0"/>
      <color theme="1"/>
      <name val="Tahoma"/>
    </font>
    <font>
      <b/>
      <sz val="48.0"/>
      <color theme="1"/>
      <name val="Tahoma"/>
    </font>
    <font>
      <b/>
      <sz val="16.0"/>
      <color theme="1"/>
      <name val="Tahoma"/>
    </font>
    <font>
      <b/>
      <sz val="26.0"/>
      <color theme="1"/>
      <name val="Arial"/>
    </font>
    <font>
      <sz val="26.0"/>
      <color theme="1"/>
      <name val="Arial"/>
    </font>
    <font>
      <sz val="16.0"/>
      <color theme="1"/>
      <name val="Tahoma"/>
    </font>
    <font>
      <b/>
      <sz val="26.0"/>
      <color rgb="FF000000"/>
      <name val="Arial"/>
    </font>
    <font>
      <b/>
      <sz val="22.0"/>
      <color theme="1"/>
      <name val="Tahoma"/>
    </font>
    <font>
      <b/>
      <sz val="12.0"/>
      <color theme="1"/>
      <name val="Tahoma"/>
    </font>
    <font>
      <sz val="12.0"/>
      <color theme="1"/>
      <name val="Aptos Narrow"/>
    </font>
    <font>
      <sz val="22.0"/>
      <color rgb="FF000000"/>
      <name val="Aptos Narrow"/>
    </font>
    <font>
      <sz val="22.0"/>
      <color theme="1"/>
      <name val="Aptos Narrow"/>
    </font>
    <font>
      <b/>
      <u/>
      <sz val="22.0"/>
      <color rgb="FF0000FF"/>
      <name val="Aptos Narrow"/>
    </font>
    <font>
      <b/>
      <u/>
      <sz val="22.0"/>
      <color rgb="FF0000FF"/>
      <name val="Aptos Narrow"/>
    </font>
    <font>
      <b/>
      <u/>
      <sz val="22.0"/>
      <color rgb="FF0000FF"/>
      <name val="Aptos Narrow"/>
    </font>
    <font>
      <b/>
      <u/>
      <sz val="22.0"/>
      <color rgb="FF0000FF"/>
      <name val="Aptos Narrow"/>
    </font>
    <font>
      <sz val="22.0"/>
      <color theme="1"/>
      <name val="Tahoma"/>
    </font>
    <font>
      <sz val="12.0"/>
      <color theme="1"/>
      <name val="Tahoma"/>
    </font>
    <font>
      <sz val="18.0"/>
      <color theme="1"/>
      <name val="Tahoma"/>
    </font>
    <font>
      <b/>
      <sz val="18.0"/>
      <color theme="1"/>
      <name val="Tahoma"/>
    </font>
    <font>
      <b/>
      <sz val="22.0"/>
      <color theme="1"/>
      <name val="Arial"/>
    </font>
    <font>
      <sz val="22.0"/>
      <color theme="1"/>
      <name val="Arial"/>
    </font>
    <font>
      <b/>
      <u/>
      <sz val="22.0"/>
      <color rgb="FF0000FF"/>
      <name val="Aptos Narrow"/>
    </font>
    <font>
      <sz val="17.0"/>
      <color theme="1"/>
      <name val="Arial"/>
    </font>
    <font>
      <sz val="24.0"/>
      <color rgb="FF000000"/>
      <name val="Aptos Narrow"/>
    </font>
    <font>
      <b/>
      <u/>
      <sz val="18.0"/>
      <color rgb="FF0000FF"/>
      <name val="Aptos Narrow"/>
    </font>
    <font>
      <sz val="20.0"/>
      <color theme="1"/>
      <name val="Aptos Narrow"/>
    </font>
    <font>
      <sz val="28.0"/>
      <color theme="1"/>
      <name val="Aptos Narrow"/>
    </font>
    <font>
      <sz val="20.0"/>
      <color rgb="FF000000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  <font>
      <u/>
      <sz val="20.0"/>
      <color theme="1"/>
      <name val="Aptos Narrow"/>
    </font>
  </fonts>
  <fills count="6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83CAEB"/>
        <bgColor rgb="FF83CAEB"/>
      </patternFill>
    </fill>
    <fill>
      <patternFill patternType="solid">
        <fgColor rgb="FF2C7FCE"/>
        <bgColor rgb="FF2C7FCE"/>
      </patternFill>
    </fill>
    <fill>
      <patternFill patternType="solid">
        <fgColor rgb="FF99FF33"/>
        <bgColor rgb="FF99FF33"/>
      </patternFill>
    </fill>
    <fill>
      <patternFill patternType="solid">
        <fgColor rgb="FFFFFFCC"/>
        <bgColor rgb="FFFFFFCC"/>
      </patternFill>
    </fill>
    <fill>
      <patternFill patternType="solid">
        <fgColor rgb="FFFF00FF"/>
        <bgColor rgb="FFFF00FF"/>
      </patternFill>
    </fill>
    <fill>
      <patternFill patternType="solid">
        <fgColor rgb="FF336699"/>
        <bgColor rgb="FF336699"/>
      </patternFill>
    </fill>
    <fill>
      <patternFill patternType="solid">
        <fgColor rgb="FF000066"/>
        <bgColor rgb="FF000066"/>
      </patternFill>
    </fill>
    <fill>
      <patternFill patternType="solid">
        <fgColor rgb="FF66FFFF"/>
        <bgColor rgb="FF66FFFF"/>
      </patternFill>
    </fill>
    <fill>
      <patternFill patternType="solid">
        <fgColor rgb="FF7F7F7F"/>
        <bgColor rgb="FF7F7F7F"/>
      </patternFill>
    </fill>
    <fill>
      <patternFill patternType="solid">
        <fgColor theme="5"/>
        <bgColor theme="5"/>
      </patternFill>
    </fill>
    <fill>
      <patternFill patternType="solid">
        <fgColor rgb="FFCCFFFF"/>
        <bgColor rgb="FFCCFFFF"/>
      </patternFill>
    </fill>
    <fill>
      <patternFill patternType="solid">
        <fgColor rgb="FF7030A0"/>
        <bgColor rgb="FF7030A0"/>
      </patternFill>
    </fill>
    <fill>
      <patternFill patternType="solid">
        <fgColor rgb="FF6600FF"/>
        <bgColor rgb="FF6600FF"/>
      </patternFill>
    </fill>
    <fill>
      <patternFill patternType="solid">
        <fgColor rgb="FFFF9999"/>
        <bgColor rgb="FFFF9999"/>
      </patternFill>
    </fill>
    <fill>
      <patternFill patternType="solid">
        <fgColor rgb="FF00B050"/>
        <bgColor rgb="FF00B050"/>
      </patternFill>
    </fill>
    <fill>
      <patternFill patternType="solid">
        <fgColor rgb="FF0A3041"/>
        <bgColor rgb="FF0A3041"/>
      </patternFill>
    </fill>
    <fill>
      <patternFill patternType="solid">
        <fgColor rgb="FF3F3F3F"/>
        <bgColor rgb="FF3F3F3F"/>
      </patternFill>
    </fill>
    <fill>
      <patternFill patternType="solid">
        <fgColor rgb="FFC00000"/>
        <bgColor rgb="FFC00000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  <fill>
      <patternFill patternType="solid">
        <fgColor rgb="FF747474"/>
        <bgColor rgb="FF747474"/>
      </patternFill>
    </fill>
    <fill>
      <patternFill patternType="solid">
        <fgColor rgb="FFBF4F14"/>
        <bgColor rgb="FFBF4F14"/>
      </patternFill>
    </fill>
    <fill>
      <patternFill patternType="solid">
        <fgColor rgb="FFFF66CC"/>
        <bgColor rgb="FFFF66CC"/>
      </patternFill>
    </fill>
    <fill>
      <patternFill patternType="solid">
        <fgColor rgb="FFB3E5A1"/>
        <bgColor rgb="FFB3E5A1"/>
      </patternFill>
    </fill>
    <fill>
      <patternFill patternType="solid">
        <fgColor rgb="FF006600"/>
        <bgColor rgb="FF006600"/>
      </patternFill>
    </fill>
    <fill>
      <patternFill patternType="solid">
        <fgColor rgb="FFCCFF33"/>
        <bgColor rgb="FFCCFF33"/>
      </patternFill>
    </fill>
    <fill>
      <patternFill patternType="solid">
        <fgColor rgb="FF996600"/>
        <bgColor rgb="FF996600"/>
      </patternFill>
    </fill>
    <fill>
      <patternFill patternType="solid">
        <fgColor rgb="FF00FF99"/>
        <bgColor rgb="FF00FF99"/>
      </patternFill>
    </fill>
    <fill>
      <patternFill patternType="solid">
        <fgColor rgb="FF006666"/>
        <bgColor rgb="FF006666"/>
      </patternFill>
    </fill>
    <fill>
      <patternFill patternType="solid">
        <fgColor rgb="FF003300"/>
        <bgColor rgb="FF003300"/>
      </patternFill>
    </fill>
    <fill>
      <patternFill patternType="solid">
        <fgColor rgb="FFCCCC00"/>
        <bgColor rgb="FFCCCC00"/>
      </patternFill>
    </fill>
    <fill>
      <patternFill patternType="solid">
        <fgColor rgb="FF532F3E"/>
        <bgColor rgb="FF532F3E"/>
      </patternFill>
    </fill>
    <fill>
      <patternFill patternType="solid">
        <fgColor rgb="FFFF99FF"/>
        <bgColor rgb="FFFF99FF"/>
      </patternFill>
    </fill>
    <fill>
      <patternFill patternType="solid">
        <fgColor rgb="FFAEAEAE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808000"/>
        <bgColor rgb="FF808000"/>
      </patternFill>
    </fill>
    <fill>
      <patternFill patternType="solid">
        <fgColor rgb="FF7F340D"/>
        <bgColor rgb="FF7F340D"/>
      </patternFill>
    </fill>
    <fill>
      <patternFill patternType="solid">
        <fgColor rgb="FF9966FF"/>
        <bgColor rgb="FF9966FF"/>
      </patternFill>
    </fill>
    <fill>
      <patternFill patternType="solid">
        <fgColor rgb="FF00FFFF"/>
        <bgColor rgb="FF00FFFF"/>
      </patternFill>
    </fill>
    <fill>
      <patternFill patternType="solid">
        <fgColor rgb="FF1E2F13"/>
        <bgColor rgb="FF1E2F13"/>
      </patternFill>
    </fill>
    <fill>
      <patternFill patternType="solid">
        <fgColor rgb="FF666633"/>
        <bgColor rgb="FF666633"/>
      </patternFill>
    </fill>
    <fill>
      <patternFill patternType="solid">
        <fgColor rgb="FFA5A5A5"/>
        <bgColor rgb="FFA5A5A5"/>
      </patternFill>
    </fill>
    <fill>
      <patternFill patternType="solid">
        <fgColor rgb="FF660033"/>
        <bgColor rgb="FF660033"/>
      </patternFill>
    </fill>
    <fill>
      <patternFill patternType="solid">
        <fgColor rgb="FF074F6A"/>
        <bgColor rgb="FF074F6A"/>
      </patternFill>
    </fill>
    <fill>
      <patternFill patternType="solid">
        <fgColor rgb="FFF1CEEE"/>
        <bgColor rgb="FFF1CEEE"/>
      </patternFill>
    </fill>
    <fill>
      <patternFill patternType="solid">
        <fgColor rgb="FFEB67BC"/>
        <bgColor rgb="FFEB67BC"/>
      </patternFill>
    </fill>
    <fill>
      <patternFill patternType="solid">
        <fgColor rgb="FF8ED873"/>
        <bgColor rgb="FF8ED873"/>
      </patternFill>
    </fill>
    <fill>
      <patternFill patternType="solid">
        <fgColor rgb="FFFF7C80"/>
        <bgColor rgb="FFFF7C80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70DEA2"/>
        <bgColor rgb="FF70DEA2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FF66FF"/>
        <bgColor rgb="FFFF66FF"/>
      </patternFill>
    </fill>
  </fills>
  <borders count="134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 style="medium">
        <color rgb="FF000000"/>
      </lef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 style="medium">
        <color rgb="FF000000"/>
      </top>
    </border>
    <border>
      <right/>
    </border>
    <border>
      <right/>
      <bottom/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right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</border>
    <border>
      <left/>
    </border>
    <border>
      <left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1" fillId="2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2" fontId="7" numFmtId="3" xfId="0" applyAlignment="1" applyBorder="1" applyFont="1" applyNumberFormat="1">
      <alignment vertical="center"/>
    </xf>
    <xf borderId="14" fillId="2" fontId="8" numFmtId="0" xfId="0" applyAlignment="1" applyBorder="1" applyFont="1">
      <alignment horizontal="left" vertical="center"/>
    </xf>
    <xf borderId="15" fillId="2" fontId="9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3" fillId="2" fontId="10" numFmtId="164" xfId="0" applyAlignment="1" applyBorder="1" applyFont="1" applyNumberFormat="1">
      <alignment horizontal="center" vertical="center"/>
    </xf>
    <xf borderId="18" fillId="2" fontId="11" numFmtId="0" xfId="0" applyAlignment="1" applyBorder="1" applyFont="1">
      <alignment horizontal="center" vertical="center"/>
    </xf>
    <xf borderId="19" fillId="2" fontId="9" numFmtId="164" xfId="0" applyAlignment="1" applyBorder="1" applyFont="1" applyNumberForma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8" fillId="2" fontId="11" numFmtId="165" xfId="0" applyAlignment="1" applyBorder="1" applyFont="1" applyNumberFormat="1">
      <alignment horizontal="center" vertical="center"/>
    </xf>
    <xf borderId="19" fillId="2" fontId="7" numFmtId="164" xfId="0" applyAlignment="1" applyBorder="1" applyFont="1" applyNumberFormat="1">
      <alignment horizontal="center" vertical="center"/>
    </xf>
    <xf borderId="18" fillId="2" fontId="8" numFmtId="0" xfId="0" applyAlignment="1" applyBorder="1" applyFont="1">
      <alignment horizontal="center" vertical="center"/>
    </xf>
    <xf borderId="23" fillId="2" fontId="7" numFmtId="164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" fillId="2" fontId="12" numFmtId="164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vertical="center"/>
    </xf>
    <xf borderId="24" fillId="2" fontId="7" numFmtId="3" xfId="0" applyAlignment="1" applyBorder="1" applyFont="1" applyNumberFormat="1">
      <alignment vertical="center"/>
    </xf>
    <xf borderId="25" fillId="2" fontId="8" numFmtId="0" xfId="0" applyAlignment="1" applyBorder="1" applyFont="1">
      <alignment horizontal="left" vertical="center"/>
    </xf>
    <xf borderId="26" fillId="2" fontId="11" numFmtId="0" xfId="0" applyAlignment="1" applyBorder="1" applyFont="1">
      <alignment horizontal="center" vertical="center"/>
    </xf>
    <xf borderId="27" fillId="2" fontId="9" numFmtId="164" xfId="0" applyAlignment="1" applyBorder="1" applyFont="1" applyNumberForma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26" fillId="2" fontId="11" numFmtId="165" xfId="0" applyAlignment="1" applyBorder="1" applyFont="1" applyNumberFormat="1">
      <alignment horizontal="center" vertical="center"/>
    </xf>
    <xf borderId="27" fillId="2" fontId="7" numFmtId="164" xfId="0" applyAlignment="1" applyBorder="1" applyFont="1" applyNumberFormat="1">
      <alignment horizontal="center" vertical="center"/>
    </xf>
    <xf borderId="26" fillId="2" fontId="8" numFmtId="0" xfId="0" applyAlignment="1" applyBorder="1" applyFont="1">
      <alignment horizontal="center" vertical="center"/>
    </xf>
    <xf borderId="31" fillId="2" fontId="7" numFmtId="16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" fillId="2" fontId="9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vertical="center"/>
    </xf>
    <xf borderId="35" fillId="2" fontId="7" numFmtId="3" xfId="0" applyAlignment="1" applyBorder="1" applyFont="1" applyNumberFormat="1">
      <alignment vertical="center"/>
    </xf>
    <xf borderId="36" fillId="2" fontId="8" numFmtId="0" xfId="0" applyAlignment="1" applyBorder="1" applyFont="1">
      <alignment horizontal="left" vertical="center"/>
    </xf>
    <xf borderId="37" fillId="2" fontId="11" numFmtId="0" xfId="0" applyAlignment="1" applyBorder="1" applyFont="1">
      <alignment horizontal="center" vertical="center"/>
    </xf>
    <xf borderId="38" fillId="2" fontId="7" numFmtId="164" xfId="0" applyAlignment="1" applyBorder="1" applyFont="1" applyNumberForma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38" fillId="2" fontId="9" numFmtId="164" xfId="0" applyAlignment="1" applyBorder="1" applyFont="1" applyNumberFormat="1">
      <alignment horizontal="center" vertical="center"/>
    </xf>
    <xf borderId="37" fillId="2" fontId="11" numFmtId="165" xfId="0" applyAlignment="1" applyBorder="1" applyFont="1" applyNumberFormat="1">
      <alignment horizontal="center" vertical="center"/>
    </xf>
    <xf borderId="37" fillId="2" fontId="8" numFmtId="0" xfId="0" applyAlignment="1" applyBorder="1" applyFont="1">
      <alignment horizontal="center" vertical="center"/>
    </xf>
    <xf borderId="42" fillId="2" fontId="7" numFmtId="164" xfId="0" applyAlignment="1" applyBorder="1" applyFont="1" applyNumberFormat="1">
      <alignment horizontal="center" vertical="center"/>
    </xf>
    <xf borderId="43" fillId="3" fontId="1" numFmtId="0" xfId="0" applyAlignment="1" applyBorder="1" applyFill="1" applyFont="1">
      <alignment horizontal="center"/>
    </xf>
    <xf borderId="44" fillId="0" fontId="5" numFmtId="0" xfId="0" applyBorder="1" applyFont="1"/>
    <xf borderId="45" fillId="0" fontId="5" numFmtId="0" xfId="0" applyBorder="1" applyFont="1"/>
    <xf borderId="46" fillId="3" fontId="14" numFmtId="0" xfId="0" applyAlignment="1" applyBorder="1" applyFont="1">
      <alignment vertical="center"/>
    </xf>
    <xf borderId="2" fillId="3" fontId="2" numFmtId="0" xfId="0" applyAlignment="1" applyBorder="1" applyFont="1">
      <alignment horizontal="center" vertical="center"/>
    </xf>
    <xf borderId="47" fillId="3" fontId="15" numFmtId="0" xfId="0" applyAlignment="1" applyBorder="1" applyFont="1">
      <alignment horizontal="left" vertical="center"/>
    </xf>
    <xf borderId="47" fillId="3" fontId="16" numFmtId="0" xfId="0" applyBorder="1" applyFont="1"/>
    <xf borderId="47" fillId="2" fontId="16" numFmtId="0" xfId="0" applyBorder="1" applyFont="1"/>
    <xf borderId="1" fillId="2" fontId="16" numFmtId="0" xfId="0" applyBorder="1" applyFont="1"/>
    <xf borderId="1" fillId="2" fontId="16" numFmtId="0" xfId="0" applyAlignment="1" applyBorder="1" applyFont="1">
      <alignment horizontal="center"/>
    </xf>
    <xf borderId="48" fillId="2" fontId="1" numFmtId="0" xfId="0" applyBorder="1" applyFont="1"/>
    <xf borderId="49" fillId="0" fontId="5" numFmtId="0" xfId="0" applyBorder="1" applyFont="1"/>
    <xf borderId="50" fillId="3" fontId="15" numFmtId="0" xfId="0" applyAlignment="1" applyBorder="1" applyFont="1">
      <alignment horizontal="left" vertical="center"/>
    </xf>
    <xf borderId="50" fillId="3" fontId="16" numFmtId="0" xfId="0" applyAlignment="1" applyBorder="1" applyFont="1">
      <alignment horizontal="center"/>
    </xf>
    <xf borderId="50" fillId="3" fontId="16" numFmtId="0" xfId="0" applyBorder="1" applyFont="1"/>
    <xf borderId="51" fillId="0" fontId="16" numFmtId="0" xfId="0" applyBorder="1" applyFont="1"/>
    <xf borderId="52" fillId="3" fontId="14" numFmtId="0" xfId="0" applyAlignment="1" applyBorder="1" applyFont="1">
      <alignment vertical="center"/>
    </xf>
    <xf borderId="52" fillId="2" fontId="14" numFmtId="0" xfId="0" applyAlignment="1" applyBorder="1" applyFont="1">
      <alignment vertical="center"/>
    </xf>
    <xf borderId="43" fillId="2" fontId="17" numFmtId="0" xfId="0" applyAlignment="1" applyBorder="1" applyFont="1">
      <alignment horizontal="center" vertical="center"/>
    </xf>
    <xf borderId="43" fillId="2" fontId="18" numFmtId="0" xfId="0" applyAlignment="1" applyBorder="1" applyFont="1">
      <alignment horizontal="center"/>
    </xf>
    <xf borderId="53" fillId="0" fontId="5" numFmtId="0" xfId="0" applyBorder="1" applyFont="1"/>
    <xf borderId="54" fillId="0" fontId="5" numFmtId="0" xfId="0" applyBorder="1" applyFont="1"/>
    <xf borderId="55" fillId="3" fontId="19" numFmtId="0" xfId="0" applyAlignment="1" applyBorder="1" applyFont="1">
      <alignment horizontal="center" vertical="center"/>
    </xf>
    <xf borderId="56" fillId="0" fontId="5" numFmtId="0" xfId="0" applyBorder="1" applyFont="1"/>
    <xf borderId="57" fillId="3" fontId="20" numFmtId="0" xfId="0" applyAlignment="1" applyBorder="1" applyFont="1">
      <alignment horizontal="center" vertical="center"/>
    </xf>
    <xf borderId="58" fillId="3" fontId="10" numFmtId="0" xfId="0" applyAlignment="1" applyBorder="1" applyFont="1">
      <alignment horizontal="center" shrinkToFit="0" vertical="center" wrapText="1"/>
    </xf>
    <xf borderId="59" fillId="3" fontId="10" numFmtId="0" xfId="0" applyAlignment="1" applyBorder="1" applyFont="1">
      <alignment horizontal="center" shrinkToFit="0" vertical="center" wrapText="1"/>
    </xf>
    <xf borderId="60" fillId="4" fontId="21" numFmtId="0" xfId="0" applyAlignment="1" applyBorder="1" applyFill="1" applyFont="1">
      <alignment shrinkToFit="0" vertical="top" wrapText="1"/>
    </xf>
    <xf borderId="18" fillId="4" fontId="21" numFmtId="0" xfId="0" applyAlignment="1" applyBorder="1" applyFont="1">
      <alignment horizontal="center" shrinkToFit="0" vertical="center" wrapText="1"/>
    </xf>
    <xf borderId="61" fillId="4" fontId="22" numFmtId="0" xfId="0" applyAlignment="1" applyBorder="1" applyFont="1">
      <alignment horizontal="center" vertical="center"/>
    </xf>
    <xf borderId="58" fillId="4" fontId="22" numFmtId="0" xfId="0" applyAlignment="1" applyBorder="1" applyFont="1">
      <alignment horizontal="center" vertical="center"/>
    </xf>
    <xf borderId="62" fillId="4" fontId="22" numFmtId="0" xfId="0" applyAlignment="1" applyBorder="1" applyFont="1">
      <alignment horizontal="center" vertical="center"/>
    </xf>
    <xf borderId="58" fillId="4" fontId="23" numFmtId="0" xfId="0" applyAlignment="1" applyBorder="1" applyFont="1">
      <alignment horizontal="center" vertical="center"/>
    </xf>
    <xf borderId="59" fillId="4" fontId="2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63" fillId="5" fontId="21" numFmtId="0" xfId="0" applyAlignment="1" applyBorder="1" applyFill="1" applyFont="1">
      <alignment shrinkToFit="0" vertical="center" wrapText="1"/>
    </xf>
    <xf borderId="64" fillId="5" fontId="21" numFmtId="0" xfId="0" applyAlignment="1" applyBorder="1" applyFont="1">
      <alignment shrinkToFit="0" vertical="center" wrapText="1"/>
    </xf>
    <xf borderId="65" fillId="5" fontId="21" numFmtId="0" xfId="0" applyAlignment="1" applyBorder="1" applyFont="1">
      <alignment horizontal="center" shrinkToFit="0" vertical="center" wrapText="1"/>
    </xf>
    <xf borderId="65" fillId="5" fontId="25" numFmtId="0" xfId="0" applyAlignment="1" applyBorder="1" applyFont="1">
      <alignment horizontal="center" vertical="center"/>
    </xf>
    <xf borderId="66" fillId="5" fontId="25" numFmtId="0" xfId="0" applyAlignment="1" applyBorder="1" applyFont="1">
      <alignment horizontal="center" vertical="center"/>
    </xf>
    <xf borderId="14" fillId="5" fontId="21" numFmtId="0" xfId="0" applyAlignment="1" applyBorder="1" applyFont="1">
      <alignment horizontal="center" vertical="center"/>
    </xf>
    <xf borderId="67" fillId="2" fontId="26" numFmtId="0" xfId="0" applyAlignment="1" applyBorder="1" applyFont="1">
      <alignment shrinkToFit="0" vertical="center" wrapText="1"/>
    </xf>
    <xf borderId="68" fillId="2" fontId="26" numFmtId="0" xfId="0" applyAlignment="1" applyBorder="1" applyFont="1">
      <alignment shrinkToFit="0" vertical="center" wrapText="1"/>
    </xf>
    <xf borderId="69" fillId="2" fontId="27" numFmtId="0" xfId="0" applyAlignment="1" applyBorder="1" applyFont="1">
      <alignment horizontal="center" readingOrder="0" vertical="center"/>
    </xf>
    <xf borderId="69" fillId="2" fontId="10" numFmtId="0" xfId="0" applyAlignment="1" applyBorder="1" applyFont="1">
      <alignment horizontal="center" vertical="center"/>
    </xf>
    <xf borderId="70" fillId="2" fontId="10" numFmtId="0" xfId="0" applyAlignment="1" applyBorder="1" applyFont="1">
      <alignment horizontal="center" vertical="center"/>
    </xf>
    <xf borderId="70" fillId="2" fontId="25" numFmtId="0" xfId="0" applyAlignment="1" applyBorder="1" applyFont="1">
      <alignment horizontal="center" vertical="center"/>
    </xf>
    <xf borderId="25" fillId="2" fontId="26" numFmtId="0" xfId="0" applyAlignment="1" applyBorder="1" applyFont="1">
      <alignment horizontal="center" vertical="center"/>
    </xf>
    <xf borderId="67" fillId="5" fontId="21" numFmtId="0" xfId="0" applyAlignment="1" applyBorder="1" applyFont="1">
      <alignment shrinkToFit="0" vertical="center" wrapText="1"/>
    </xf>
    <xf borderId="68" fillId="5" fontId="21" numFmtId="0" xfId="0" applyAlignment="1" applyBorder="1" applyFont="1">
      <alignment shrinkToFit="0" vertical="center" wrapText="1"/>
    </xf>
    <xf borderId="69" fillId="5" fontId="21" numFmtId="0" xfId="0" applyAlignment="1" applyBorder="1" applyFont="1">
      <alignment horizontal="center" vertical="center"/>
    </xf>
    <xf borderId="69" fillId="5" fontId="10" numFmtId="0" xfId="0" applyAlignment="1" applyBorder="1" applyFont="1">
      <alignment horizontal="center" vertical="center"/>
    </xf>
    <xf borderId="70" fillId="5" fontId="10" numFmtId="0" xfId="0" applyAlignment="1" applyBorder="1" applyFont="1">
      <alignment horizontal="center" vertical="center"/>
    </xf>
    <xf borderId="70" fillId="5" fontId="25" numFmtId="0" xfId="0" applyAlignment="1" applyBorder="1" applyFont="1">
      <alignment horizontal="center" vertical="center"/>
    </xf>
    <xf borderId="25" fillId="5" fontId="26" numFmtId="0" xfId="0" applyAlignment="1" applyBorder="1" applyFont="1">
      <alignment horizontal="center" vertical="center"/>
    </xf>
    <xf borderId="67" fillId="2" fontId="26" numFmtId="0" xfId="0" applyAlignment="1" applyBorder="1" applyFont="1">
      <alignment vertical="center"/>
    </xf>
    <xf borderId="69" fillId="2" fontId="21" numFmtId="0" xfId="0" applyAlignment="1" applyBorder="1" applyFont="1">
      <alignment horizontal="center" vertical="center"/>
    </xf>
    <xf borderId="25" fillId="2" fontId="21" numFmtId="0" xfId="0" applyAlignment="1" applyBorder="1" applyFont="1">
      <alignment horizontal="center" vertical="center"/>
    </xf>
    <xf borderId="70" fillId="2" fontId="21" numFmtId="0" xfId="0" applyAlignment="1" applyBorder="1" applyFont="1">
      <alignment horizontal="center" vertical="center"/>
    </xf>
    <xf borderId="67" fillId="2" fontId="21" numFmtId="0" xfId="0" applyAlignment="1" applyBorder="1" applyFont="1">
      <alignment shrinkToFit="0" vertical="center" wrapText="1"/>
    </xf>
    <xf borderId="68" fillId="2" fontId="21" numFmtId="0" xfId="0" applyAlignment="1" applyBorder="1" applyFont="1">
      <alignment shrinkToFit="0" vertical="center" wrapText="1"/>
    </xf>
    <xf borderId="71" fillId="0" fontId="21" numFmtId="0" xfId="0" applyAlignment="1" applyBorder="1" applyFont="1">
      <alignment shrinkToFit="0" vertical="center" wrapText="1"/>
    </xf>
    <xf borderId="72" fillId="0" fontId="21" numFmtId="0" xfId="0" applyAlignment="1" applyBorder="1" applyFont="1">
      <alignment shrinkToFit="0" vertical="center" wrapText="1"/>
    </xf>
    <xf borderId="73" fillId="0" fontId="26" numFmtId="0" xfId="0" applyAlignment="1" applyBorder="1" applyFont="1">
      <alignment shrinkToFit="0" vertical="center" wrapText="1"/>
    </xf>
    <xf borderId="68" fillId="0" fontId="26" numFmtId="0" xfId="0" applyAlignment="1" applyBorder="1" applyFont="1">
      <alignment shrinkToFit="0" vertical="center" wrapText="1"/>
    </xf>
    <xf borderId="73" fillId="0" fontId="21" numFmtId="0" xfId="0" applyAlignment="1" applyBorder="1" applyFont="1">
      <alignment shrinkToFit="0" vertical="center" wrapText="1"/>
    </xf>
    <xf borderId="68" fillId="0" fontId="21" numFmtId="0" xfId="0" applyAlignment="1" applyBorder="1" applyFont="1">
      <alignment shrinkToFit="0" vertical="center" wrapText="1"/>
    </xf>
    <xf borderId="67" fillId="5" fontId="21" numFmtId="0" xfId="0" applyAlignment="1" applyBorder="1" applyFont="1">
      <alignment vertical="center"/>
    </xf>
    <xf borderId="68" fillId="5" fontId="21" numFmtId="0" xfId="0" applyAlignment="1" applyBorder="1" applyFont="1">
      <alignment vertical="center"/>
    </xf>
    <xf borderId="74" fillId="5" fontId="21" numFmtId="0" xfId="0" applyAlignment="1" applyBorder="1" applyFont="1">
      <alignment shrinkToFit="0" vertical="center" wrapText="1"/>
    </xf>
    <xf borderId="75" fillId="5" fontId="21" numFmtId="0" xfId="0" applyAlignment="1" applyBorder="1" applyFont="1">
      <alignment shrinkToFit="0" vertical="center" wrapText="1"/>
    </xf>
    <xf borderId="64" fillId="5" fontId="21" numFmtId="0" xfId="0" applyAlignment="1" applyBorder="1" applyFont="1">
      <alignment vertical="center"/>
    </xf>
    <xf borderId="68" fillId="0" fontId="26" numFmtId="0" xfId="0" applyAlignment="1" applyBorder="1" applyFont="1">
      <alignment vertical="center"/>
    </xf>
    <xf borderId="71" fillId="0" fontId="26" numFmtId="0" xfId="0" applyAlignment="1" applyBorder="1" applyFont="1">
      <alignment shrinkToFit="0" vertical="center" wrapText="1"/>
    </xf>
    <xf borderId="72" fillId="0" fontId="26" numFmtId="0" xfId="0" applyAlignment="1" applyBorder="1" applyFont="1">
      <alignment vertical="center"/>
    </xf>
    <xf borderId="24" fillId="2" fontId="26" numFmtId="0" xfId="0" applyAlignment="1" applyBorder="1" applyFont="1">
      <alignment shrinkToFit="0" vertical="center" wrapText="1"/>
    </xf>
    <xf borderId="25" fillId="2" fontId="26" numFmtId="0" xfId="0" applyAlignment="1" applyBorder="1" applyFont="1">
      <alignment shrinkToFit="0" vertical="center" wrapText="1"/>
    </xf>
    <xf borderId="24" fillId="2" fontId="26" numFmtId="0" xfId="0" applyAlignment="1" applyBorder="1" applyFont="1">
      <alignment vertical="center"/>
    </xf>
    <xf quotePrefix="1" borderId="25" fillId="2" fontId="26" numFmtId="0" xfId="0" applyAlignment="1" applyBorder="1" applyFont="1">
      <alignment vertical="center"/>
    </xf>
    <xf borderId="25" fillId="2" fontId="26" numFmtId="0" xfId="0" applyAlignment="1" applyBorder="1" applyFont="1">
      <alignment vertical="center"/>
    </xf>
    <xf borderId="24" fillId="2" fontId="28" numFmtId="0" xfId="0" applyAlignment="1" applyBorder="1" applyFont="1">
      <alignment shrinkToFit="0" vertical="center" wrapText="1"/>
    </xf>
    <xf borderId="25" fillId="2" fontId="28" numFmtId="0" xfId="0" applyAlignment="1" applyBorder="1" applyFont="1">
      <alignment shrinkToFit="0" vertical="center" wrapText="1"/>
    </xf>
    <xf borderId="1" fillId="2" fontId="26" numFmtId="0" xfId="0" applyBorder="1" applyFont="1"/>
    <xf borderId="76" fillId="2" fontId="28" numFmtId="0" xfId="0" applyAlignment="1" applyBorder="1" applyFont="1">
      <alignment shrinkToFit="0" vertical="center" wrapText="1"/>
    </xf>
    <xf borderId="77" fillId="2" fontId="28" numFmtId="0" xfId="0" applyAlignment="1" applyBorder="1" applyFont="1">
      <alignment shrinkToFit="0" vertical="center" wrapText="1"/>
    </xf>
    <xf borderId="78" fillId="2" fontId="21" numFmtId="0" xfId="0" applyAlignment="1" applyBorder="1" applyFont="1">
      <alignment horizontal="center" vertical="center"/>
    </xf>
    <xf borderId="79" fillId="2" fontId="21" numFmtId="0" xfId="0" applyAlignment="1" applyBorder="1" applyFont="1">
      <alignment horizontal="center" vertical="center"/>
    </xf>
    <xf borderId="79" fillId="2" fontId="25" numFmtId="0" xfId="0" applyAlignment="1" applyBorder="1" applyFont="1">
      <alignment horizontal="center" vertical="center"/>
    </xf>
    <xf borderId="77" fillId="2" fontId="21" numFmtId="0" xfId="0" applyAlignment="1" applyBorder="1" applyFont="1">
      <alignment horizontal="center" vertical="center"/>
    </xf>
    <xf borderId="1" fillId="3" fontId="16" numFmtId="0" xfId="0" applyBorder="1" applyFont="1"/>
    <xf borderId="1" fillId="2" fontId="29" numFmtId="0" xfId="0" applyAlignment="1" applyBorder="1" applyFont="1">
      <alignment horizontal="left" vertical="center"/>
    </xf>
    <xf borderId="1" fillId="3" fontId="1" numFmtId="0" xfId="0" applyBorder="1" applyFont="1"/>
    <xf borderId="1" fillId="2" fontId="2" numFmtId="0" xfId="0" applyAlignment="1" applyBorder="1" applyFont="1">
      <alignment vertical="center"/>
    </xf>
    <xf borderId="1" fillId="2" fontId="2" numFmtId="0" xfId="0" applyBorder="1" applyFont="1"/>
    <xf borderId="47" fillId="2" fontId="30" numFmtId="0" xfId="0" applyAlignment="1" applyBorder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47" fillId="2" fontId="1" numFmtId="0" xfId="0" applyBorder="1" applyFont="1"/>
    <xf borderId="1" fillId="2" fontId="30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80" fillId="2" fontId="3" numFmtId="0" xfId="0" applyAlignment="1" applyBorder="1" applyFont="1">
      <alignment horizontal="center" vertical="center"/>
    </xf>
    <xf borderId="81" fillId="0" fontId="5" numFmtId="0" xfId="0" applyBorder="1" applyFont="1"/>
    <xf borderId="82" fillId="0" fontId="5" numFmtId="0" xfId="0" applyBorder="1" applyFont="1"/>
    <xf borderId="1" fillId="2" fontId="3" numFmtId="0" xfId="0" applyAlignment="1" applyBorder="1" applyFont="1">
      <alignment vertical="center"/>
    </xf>
    <xf borderId="27" fillId="2" fontId="3" numFmtId="0" xfId="0" applyAlignment="1" applyBorder="1" applyFont="1">
      <alignment horizontal="center" vertical="center"/>
    </xf>
    <xf borderId="27" fillId="2" fontId="31" numFmtId="0" xfId="0" applyAlignment="1" applyBorder="1" applyFont="1">
      <alignment horizontal="center" vertical="center"/>
    </xf>
    <xf borderId="1" fillId="2" fontId="32" numFmtId="0" xfId="0" applyAlignment="1" applyBorder="1" applyFont="1">
      <alignment horizontal="center" shrinkToFit="0" vertical="center" wrapText="1"/>
    </xf>
    <xf borderId="27" fillId="2" fontId="32" numFmtId="0" xfId="0" applyAlignment="1" applyBorder="1" applyFont="1">
      <alignment horizontal="center" shrinkToFit="0" vertical="center" wrapText="1"/>
    </xf>
    <xf borderId="1" fillId="2" fontId="32" numFmtId="0" xfId="0" applyAlignment="1" applyBorder="1" applyFont="1">
      <alignment shrinkToFit="0" vertical="center" wrapText="1"/>
    </xf>
    <xf borderId="27" fillId="2" fontId="32" numFmtId="0" xfId="0" applyAlignment="1" applyBorder="1" applyFont="1">
      <alignment horizontal="center" vertical="center"/>
    </xf>
    <xf borderId="27" fillId="2" fontId="33" numFmtId="0" xfId="0" applyAlignment="1" applyBorder="1" applyFont="1">
      <alignment horizontal="center" vertical="center"/>
    </xf>
    <xf borderId="1" fillId="2" fontId="33" numFmtId="0" xfId="0" applyAlignment="1" applyBorder="1" applyFont="1">
      <alignment shrinkToFit="0" vertical="center" wrapText="1"/>
    </xf>
    <xf borderId="1" fillId="2" fontId="28" numFmtId="0" xfId="0" applyAlignment="1" applyBorder="1" applyFont="1">
      <alignment shrinkToFit="0" vertical="center" wrapText="1"/>
    </xf>
    <xf borderId="1" fillId="2" fontId="28" numFmtId="0" xfId="0" applyAlignment="1" applyBorder="1" applyFont="1">
      <alignment horizontal="center"/>
    </xf>
    <xf borderId="1" fillId="2" fontId="28" numFmtId="0" xfId="0" applyAlignment="1" applyBorder="1" applyFont="1">
      <alignment horizontal="center" shrinkToFit="0" vertical="center" wrapText="1"/>
    </xf>
    <xf borderId="1" fillId="2" fontId="28" numFmtId="0" xfId="0" applyBorder="1" applyFont="1"/>
    <xf borderId="1" fillId="2" fontId="32" numFmtId="0" xfId="0" applyAlignment="1" applyBorder="1" applyFont="1">
      <alignment horizontal="center" vertical="center"/>
    </xf>
    <xf borderId="83" fillId="0" fontId="5" numFmtId="0" xfId="0" applyBorder="1" applyFont="1"/>
    <xf borderId="84" fillId="0" fontId="5" numFmtId="0" xfId="0" applyBorder="1" applyFont="1"/>
    <xf borderId="85" fillId="0" fontId="5" numFmtId="0" xfId="0" applyBorder="1" applyFont="1"/>
    <xf borderId="3" fillId="2" fontId="17" numFmtId="164" xfId="0" applyAlignment="1" applyBorder="1" applyFont="1" applyNumberFormat="1">
      <alignment horizontal="center" vertical="center"/>
    </xf>
    <xf borderId="60" fillId="6" fontId="11" numFmtId="0" xfId="0" applyAlignment="1" applyBorder="1" applyFill="1" applyFont="1">
      <alignment horizontal="center" vertical="center"/>
    </xf>
    <xf borderId="19" fillId="6" fontId="9" numFmtId="164" xfId="0" applyAlignment="1" applyBorder="1" applyFont="1" applyNumberFormat="1">
      <alignment horizontal="center" vertical="center"/>
    </xf>
    <xf borderId="60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7" fontId="9" numFmtId="0" xfId="0" applyAlignment="1" applyBorder="1" applyFill="1" applyFont="1">
      <alignment horizontal="center" vertical="center"/>
    </xf>
    <xf borderId="27" fillId="7" fontId="9" numFmtId="164" xfId="0" applyAlignment="1" applyBorder="1" applyFont="1" applyNumberFormat="1">
      <alignment horizontal="center" vertical="center"/>
    </xf>
    <xf borderId="86" fillId="2" fontId="11" numFmtId="0" xfId="0" applyAlignment="1" applyBorder="1" applyFont="1">
      <alignment horizontal="center" vertical="center"/>
    </xf>
    <xf borderId="87" fillId="8" fontId="9" numFmtId="0" xfId="0" applyAlignment="1" applyBorder="1" applyFill="1" applyFont="1">
      <alignment horizontal="center" vertical="center"/>
    </xf>
    <xf borderId="19" fillId="8" fontId="9" numFmtId="164" xfId="0" applyAlignment="1" applyBorder="1" applyFont="1" applyNumberFormat="1">
      <alignment horizontal="center" vertical="center"/>
    </xf>
    <xf borderId="1" fillId="2" fontId="11" numFmtId="165" xfId="0" applyAlignment="1" applyBorder="1" applyFont="1" applyNumberFormat="1">
      <alignment horizontal="center" vertical="center"/>
    </xf>
    <xf borderId="86" fillId="9" fontId="9" numFmtId="0" xfId="0" applyAlignment="1" applyBorder="1" applyFill="1" applyFont="1">
      <alignment horizontal="center" vertical="center"/>
    </xf>
    <xf borderId="27" fillId="9" fontId="9" numFmtId="164" xfId="0" applyAlignment="1" applyBorder="1" applyFont="1" applyNumberFormat="1">
      <alignment horizontal="center" vertical="center"/>
    </xf>
    <xf borderId="86" fillId="10" fontId="11" numFmtId="0" xfId="0" applyAlignment="1" applyBorder="1" applyFill="1" applyFont="1">
      <alignment horizontal="center" vertical="center"/>
    </xf>
    <xf borderId="27" fillId="10" fontId="9" numFmtId="164" xfId="0" applyAlignment="1" applyBorder="1" applyFont="1" applyNumberFormat="1">
      <alignment horizontal="center" vertical="center"/>
    </xf>
    <xf borderId="86" fillId="11" fontId="9" numFmtId="0" xfId="0" applyAlignment="1" applyBorder="1" applyFill="1" applyFont="1">
      <alignment horizontal="center" vertical="center"/>
    </xf>
    <xf borderId="27" fillId="11" fontId="9" numFmtId="164" xfId="0" applyAlignment="1" applyBorder="1" applyFont="1" applyNumberFormat="1">
      <alignment horizontal="center" vertical="center"/>
    </xf>
    <xf borderId="1" fillId="12" fontId="34" numFmtId="0" xfId="0" applyAlignment="1" applyBorder="1" applyFill="1" applyFont="1">
      <alignment horizontal="center" vertical="center"/>
    </xf>
    <xf borderId="27" fillId="12" fontId="34" numFmtId="164" xfId="0" applyAlignment="1" applyBorder="1" applyFont="1" applyNumberFormat="1">
      <alignment horizontal="center" vertical="center"/>
    </xf>
    <xf borderId="76" fillId="2" fontId="7" numFmtId="3" xfId="0" applyAlignment="1" applyBorder="1" applyFont="1" applyNumberFormat="1">
      <alignment vertical="center"/>
    </xf>
    <xf borderId="77" fillId="2" fontId="8" numFmtId="0" xfId="0" applyAlignment="1" applyBorder="1" applyFont="1">
      <alignment horizontal="left" vertical="center"/>
    </xf>
    <xf borderId="88" fillId="0" fontId="5" numFmtId="0" xfId="0" applyBorder="1" applyFont="1"/>
    <xf borderId="89" fillId="2" fontId="11" numFmtId="0" xfId="0" applyAlignment="1" applyBorder="1" applyFont="1">
      <alignment horizontal="center" vertical="center"/>
    </xf>
    <xf borderId="60" fillId="3" fontId="15" numFmtId="0" xfId="0" applyAlignment="1" applyBorder="1" applyFont="1">
      <alignment horizontal="left" vertical="center"/>
    </xf>
    <xf borderId="87" fillId="3" fontId="16" numFmtId="0" xfId="0" applyBorder="1" applyFont="1"/>
    <xf borderId="90" fillId="3" fontId="16" numFmtId="0" xfId="0" applyBorder="1" applyFont="1"/>
    <xf borderId="91" fillId="3" fontId="16" numFmtId="0" xfId="0" applyBorder="1" applyFont="1"/>
    <xf borderId="92" fillId="3" fontId="15" numFmtId="0" xfId="0" applyAlignment="1" applyBorder="1" applyFont="1">
      <alignment horizontal="left" vertical="center"/>
    </xf>
    <xf borderId="93" fillId="3" fontId="16" numFmtId="0" xfId="0" applyAlignment="1" applyBorder="1" applyFont="1">
      <alignment horizontal="center"/>
    </xf>
    <xf borderId="93" fillId="3" fontId="16" numFmtId="0" xfId="0" applyBorder="1" applyFont="1"/>
    <xf borderId="44" fillId="0" fontId="16" numFmtId="0" xfId="0" applyBorder="1" applyFont="1"/>
    <xf borderId="93" fillId="3" fontId="14" numFmtId="0" xfId="0" applyAlignment="1" applyBorder="1" applyFont="1">
      <alignment vertical="center"/>
    </xf>
    <xf borderId="43" fillId="3" fontId="17" numFmtId="0" xfId="0" applyAlignment="1" applyBorder="1" applyFont="1">
      <alignment horizontal="center" vertical="center"/>
    </xf>
    <xf borderId="43" fillId="3" fontId="18" numFmtId="0" xfId="0" applyAlignment="1" applyBorder="1" applyFont="1">
      <alignment horizontal="center"/>
    </xf>
    <xf borderId="1" fillId="3" fontId="14" numFmtId="0" xfId="0" applyAlignment="1" applyBorder="1" applyFont="1">
      <alignment vertical="center"/>
    </xf>
    <xf borderId="43" fillId="3" fontId="35" numFmtId="0" xfId="0" applyAlignment="1" applyBorder="1" applyFont="1">
      <alignment horizontal="center" vertical="center"/>
    </xf>
    <xf borderId="94" fillId="0" fontId="5" numFmtId="0" xfId="0" applyBorder="1" applyFont="1"/>
    <xf borderId="95" fillId="3" fontId="14" numFmtId="0" xfId="0" applyAlignment="1" applyBorder="1" applyFont="1">
      <alignment horizontal="center" shrinkToFit="0" vertical="center" wrapText="1"/>
    </xf>
    <xf borderId="96" fillId="3" fontId="14" numFmtId="0" xfId="0" applyAlignment="1" applyBorder="1" applyFont="1">
      <alignment horizontal="center" shrinkToFit="0" vertical="center" wrapText="1"/>
    </xf>
    <xf borderId="60" fillId="13" fontId="21" numFmtId="0" xfId="0" applyAlignment="1" applyBorder="1" applyFill="1" applyFont="1">
      <alignment shrinkToFit="0" vertical="top" wrapText="1"/>
    </xf>
    <xf borderId="18" fillId="13" fontId="21" numFmtId="0" xfId="0" applyAlignment="1" applyBorder="1" applyFont="1">
      <alignment horizontal="center" shrinkToFit="0" vertical="center" wrapText="1"/>
    </xf>
    <xf borderId="62" fillId="13" fontId="22" numFmtId="0" xfId="0" applyAlignment="1" applyBorder="1" applyFont="1">
      <alignment horizontal="center" vertical="center"/>
    </xf>
    <xf borderId="58" fillId="13" fontId="22" numFmtId="0" xfId="0" applyAlignment="1" applyBorder="1" applyFont="1">
      <alignment horizontal="center" vertical="center"/>
    </xf>
    <xf borderId="58" fillId="13" fontId="23" numFmtId="0" xfId="0" applyAlignment="1" applyBorder="1" applyFont="1">
      <alignment horizontal="center" vertical="center"/>
    </xf>
    <xf borderId="59" fillId="13" fontId="24" numFmtId="0" xfId="0" applyAlignment="1" applyBorder="1" applyFont="1">
      <alignment horizontal="center" vertical="center"/>
    </xf>
    <xf borderId="13" fillId="5" fontId="36" numFmtId="0" xfId="0" applyAlignment="1" applyBorder="1" applyFont="1">
      <alignment horizontal="center" shrinkToFit="0" vertical="center" wrapText="1"/>
    </xf>
    <xf borderId="65" fillId="5" fontId="23" numFmtId="0" xfId="0" applyAlignment="1" applyBorder="1" applyFont="1">
      <alignment horizontal="center" vertical="center"/>
    </xf>
    <xf borderId="66" fillId="5" fontId="23" numFmtId="0" xfId="0" applyAlignment="1" applyBorder="1" applyFont="1">
      <alignment horizontal="center" vertical="center"/>
    </xf>
    <xf borderId="66" fillId="5" fontId="9" numFmtId="0" xfId="0" applyAlignment="1" applyBorder="1" applyFont="1">
      <alignment horizontal="center" vertical="center"/>
    </xf>
    <xf borderId="14" fillId="5" fontId="7" numFmtId="0" xfId="0" applyAlignment="1" applyBorder="1" applyFont="1">
      <alignment horizontal="center" vertical="center"/>
    </xf>
    <xf borderId="24" fillId="3" fontId="37" numFmtId="0" xfId="0" applyAlignment="1" applyBorder="1" applyFont="1">
      <alignment horizontal="center" vertical="center"/>
    </xf>
    <xf borderId="69" fillId="2" fontId="17" numFmtId="0" xfId="0" applyAlignment="1" applyBorder="1" applyFont="1">
      <alignment horizontal="center" vertical="center"/>
    </xf>
    <xf borderId="69" fillId="2" fontId="30" numFmtId="0" xfId="0" applyAlignment="1" applyBorder="1" applyFont="1">
      <alignment horizontal="center" vertical="center"/>
    </xf>
    <xf borderId="70" fillId="2" fontId="17" numFmtId="0" xfId="0" applyAlignment="1" applyBorder="1" applyFont="1">
      <alignment horizontal="center" vertical="center"/>
    </xf>
    <xf borderId="70" fillId="2" fontId="9" numFmtId="0" xfId="0" applyAlignment="1" applyBorder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4" fillId="2" fontId="30" numFmtId="0" xfId="0" applyAlignment="1" applyBorder="1" applyFont="1">
      <alignment horizontal="center" vertical="center"/>
    </xf>
    <xf borderId="24" fillId="5" fontId="30" numFmtId="0" xfId="0" applyAlignment="1" applyBorder="1" applyFont="1">
      <alignment horizontal="center" vertical="center"/>
    </xf>
    <xf borderId="69" fillId="5" fontId="17" numFmtId="0" xfId="0" applyAlignment="1" applyBorder="1" applyFont="1">
      <alignment horizontal="center" vertical="center"/>
    </xf>
    <xf borderId="70" fillId="5" fontId="17" numFmtId="0" xfId="0" applyAlignment="1" applyBorder="1" applyFont="1">
      <alignment horizontal="center" vertical="center"/>
    </xf>
    <xf borderId="25" fillId="5" fontId="17" numFmtId="0" xfId="0" applyAlignment="1" applyBorder="1" applyFont="1">
      <alignment horizontal="center" vertical="center"/>
    </xf>
    <xf borderId="24" fillId="2" fontId="17" numFmtId="0" xfId="0" applyAlignment="1" applyBorder="1" applyFont="1">
      <alignment horizontal="center" vertical="center"/>
    </xf>
    <xf borderId="70" fillId="2" fontId="30" numFmtId="0" xfId="0" applyAlignment="1" applyBorder="1" applyFont="1">
      <alignment horizontal="center" vertical="center"/>
    </xf>
    <xf borderId="97" fillId="2" fontId="21" numFmtId="0" xfId="0" applyAlignment="1" applyBorder="1" applyFont="1">
      <alignment horizontal="center" vertical="center"/>
    </xf>
    <xf borderId="70" fillId="0" fontId="1" numFmtId="0" xfId="0" applyAlignment="1" applyBorder="1" applyFont="1">
      <alignment horizontal="center"/>
    </xf>
    <xf borderId="98" fillId="0" fontId="1" numFmtId="0" xfId="0" applyBorder="1" applyFont="1"/>
    <xf borderId="70" fillId="0" fontId="1" numFmtId="0" xfId="0" applyBorder="1" applyFont="1"/>
    <xf borderId="25" fillId="0" fontId="1" numFmtId="0" xfId="0" applyBorder="1" applyFont="1"/>
    <xf borderId="0" fillId="0" fontId="26" numFmtId="0" xfId="0" applyFont="1"/>
    <xf borderId="68" fillId="0" fontId="26" numFmtId="0" xfId="0" applyBorder="1" applyFont="1"/>
    <xf borderId="24" fillId="2" fontId="2" numFmtId="0" xfId="0" applyAlignment="1" applyBorder="1" applyFont="1">
      <alignment horizontal="center" vertical="center"/>
    </xf>
    <xf borderId="69" fillId="2" fontId="2" numFmtId="0" xfId="0" applyAlignment="1" applyBorder="1" applyFont="1">
      <alignment horizontal="center" vertical="center"/>
    </xf>
    <xf borderId="76" fillId="2" fontId="26" numFmtId="0" xfId="0" applyAlignment="1" applyBorder="1" applyFont="1">
      <alignment shrinkToFit="0" vertical="center" wrapText="1"/>
    </xf>
    <xf borderId="77" fillId="2" fontId="26" numFmtId="0" xfId="0" applyAlignment="1" applyBorder="1" applyFont="1">
      <alignment shrinkToFit="0" vertical="center" wrapText="1"/>
    </xf>
    <xf borderId="76" fillId="2" fontId="30" numFmtId="0" xfId="0" applyAlignment="1" applyBorder="1" applyFont="1">
      <alignment horizontal="center" vertical="center"/>
    </xf>
    <xf borderId="78" fillId="2" fontId="30" numFmtId="0" xfId="0" applyAlignment="1" applyBorder="1" applyFont="1">
      <alignment horizontal="center" vertical="center"/>
    </xf>
    <xf borderId="79" fillId="2" fontId="30" numFmtId="0" xfId="0" applyAlignment="1" applyBorder="1" applyFont="1">
      <alignment horizontal="center" vertical="center"/>
    </xf>
    <xf borderId="78" fillId="2" fontId="2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left" vertical="center"/>
    </xf>
    <xf borderId="2" fillId="2" fontId="38" numFmtId="0" xfId="0" applyAlignment="1" applyBorder="1" applyFont="1">
      <alignment horizontal="center" vertical="center"/>
    </xf>
    <xf borderId="3" fillId="2" fontId="39" numFmtId="0" xfId="0" applyAlignment="1" applyBorder="1" applyFont="1">
      <alignment horizontal="center" vertical="center"/>
    </xf>
    <xf borderId="1" fillId="2" fontId="7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3" fillId="2" fontId="40" numFmtId="3" xfId="0" applyAlignment="1" applyBorder="1" applyFont="1" applyNumberFormat="1">
      <alignment horizontal="left" vertical="center"/>
    </xf>
    <xf borderId="14" fillId="2" fontId="41" numFmtId="0" xfId="0" applyAlignment="1" applyBorder="1" applyFont="1">
      <alignment horizontal="left" vertical="center"/>
    </xf>
    <xf borderId="15" fillId="2" fontId="42" numFmtId="0" xfId="0" applyAlignment="1" applyBorder="1" applyFont="1">
      <alignment horizontal="center" vertical="center"/>
    </xf>
    <xf borderId="3" fillId="2" fontId="42" numFmtId="164" xfId="0" applyAlignment="1" applyBorder="1" applyFont="1" applyNumberFormat="1">
      <alignment horizontal="center" vertical="center"/>
    </xf>
    <xf borderId="60" fillId="14" fontId="34" numFmtId="0" xfId="0" applyAlignment="1" applyBorder="1" applyFill="1" applyFont="1">
      <alignment horizontal="center" vertical="center"/>
    </xf>
    <xf borderId="19" fillId="14" fontId="34" numFmtId="164" xfId="0" applyAlignment="1" applyBorder="1" applyFont="1" applyNumberFormat="1">
      <alignment horizontal="center" vertical="center"/>
    </xf>
    <xf borderId="60" fillId="12" fontId="34" numFmtId="0" xfId="0" applyAlignment="1" applyBorder="1" applyFont="1">
      <alignment horizontal="center" vertical="center"/>
    </xf>
    <xf borderId="19" fillId="12" fontId="34" numFmtId="164" xfId="0" applyAlignment="1" applyBorder="1" applyFont="1" applyNumberFormat="1">
      <alignment horizontal="center" vertical="center"/>
    </xf>
    <xf borderId="60" fillId="7" fontId="34" numFmtId="0" xfId="0" applyAlignment="1" applyBorder="1" applyFont="1">
      <alignment horizontal="center" vertical="center"/>
    </xf>
    <xf borderId="19" fillId="7" fontId="34" numFmtId="164" xfId="0" applyAlignment="1" applyBorder="1" applyFont="1" applyNumberFormat="1">
      <alignment horizontal="center" vertical="center"/>
    </xf>
    <xf borderId="1" fillId="15" fontId="42" numFmtId="0" xfId="0" applyAlignment="1" applyBorder="1" applyFill="1" applyFont="1">
      <alignment horizontal="center" vertical="center"/>
    </xf>
    <xf borderId="27" fillId="15" fontId="42" numFmtId="164" xfId="0" applyAlignment="1" applyBorder="1" applyFont="1" applyNumberFormat="1">
      <alignment horizontal="center" vertical="center"/>
    </xf>
    <xf borderId="60" fillId="2" fontId="9" numFmtId="165" xfId="0" applyAlignment="1" applyBorder="1" applyFont="1" applyNumberFormat="1">
      <alignment horizontal="center" vertical="center"/>
    </xf>
    <xf borderId="60" fillId="2" fontId="7" numFmtId="0" xfId="0" applyAlignment="1" applyBorder="1" applyFont="1">
      <alignment horizontal="center" vertical="center"/>
    </xf>
    <xf borderId="87" fillId="2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24" fillId="2" fontId="40" numFmtId="3" xfId="0" applyAlignment="1" applyBorder="1" applyFont="1" applyNumberFormat="1">
      <alignment horizontal="left" vertical="center"/>
    </xf>
    <xf borderId="25" fillId="2" fontId="41" numFmtId="0" xfId="0" applyAlignment="1" applyBorder="1" applyFont="1">
      <alignment horizontal="left" vertical="center"/>
    </xf>
    <xf borderId="86" fillId="16" fontId="34" numFmtId="0" xfId="0" applyAlignment="1" applyBorder="1" applyFill="1" applyFont="1">
      <alignment horizontal="center" vertical="center"/>
    </xf>
    <xf borderId="27" fillId="16" fontId="34" numFmtId="164" xfId="0" applyAlignment="1" applyBorder="1" applyFont="1" applyNumberFormat="1">
      <alignment horizontal="center" vertical="center"/>
    </xf>
    <xf borderId="86" fillId="17" fontId="34" numFmtId="0" xfId="0" applyAlignment="1" applyBorder="1" applyFill="1" applyFont="1">
      <alignment horizontal="center" vertical="center"/>
    </xf>
    <xf borderId="27" fillId="17" fontId="43" numFmtId="164" xfId="0" applyAlignment="1" applyBorder="1" applyFont="1" applyNumberFormat="1">
      <alignment horizontal="center" vertical="center"/>
    </xf>
    <xf borderId="60" fillId="8" fontId="34" numFmtId="0" xfId="0" applyAlignment="1" applyBorder="1" applyFont="1">
      <alignment horizontal="center" vertical="center"/>
    </xf>
    <xf borderId="19" fillId="8" fontId="34" numFmtId="164" xfId="0" applyAlignment="1" applyBorder="1" applyFont="1" applyNumberFormat="1">
      <alignment horizontal="center" vertical="center"/>
    </xf>
    <xf borderId="1" fillId="18" fontId="42" numFmtId="0" xfId="0" applyAlignment="1" applyBorder="1" applyFill="1" applyFont="1">
      <alignment horizontal="center" vertical="center"/>
    </xf>
    <xf borderId="27" fillId="18" fontId="42" numFmtId="164" xfId="0" applyAlignment="1" applyBorder="1" applyFont="1" applyNumberFormat="1">
      <alignment horizontal="center" vertical="center"/>
    </xf>
    <xf borderId="86" fillId="2" fontId="9" numFmtId="165" xfId="0" applyAlignment="1" applyBorder="1" applyFont="1" applyNumberFormat="1">
      <alignment horizontal="center" vertical="center"/>
    </xf>
    <xf borderId="86" fillId="2" fontId="7" numFmtId="0" xfId="0" applyAlignment="1" applyBorder="1" applyFont="1">
      <alignment horizontal="center" vertical="center"/>
    </xf>
    <xf borderId="86" fillId="19" fontId="34" numFmtId="0" xfId="0" applyAlignment="1" applyBorder="1" applyFill="1" applyFont="1">
      <alignment horizontal="center" vertical="center"/>
    </xf>
    <xf borderId="27" fillId="19" fontId="34" numFmtId="164" xfId="0" applyAlignment="1" applyBorder="1" applyFont="1" applyNumberFormat="1">
      <alignment horizontal="center" vertical="center"/>
    </xf>
    <xf borderId="86" fillId="20" fontId="34" numFmtId="0" xfId="0" applyAlignment="1" applyBorder="1" applyFill="1" applyFont="1">
      <alignment horizontal="center" vertical="center"/>
    </xf>
    <xf borderId="27" fillId="20" fontId="43" numFmtId="164" xfId="0" applyAlignment="1" applyBorder="1" applyFont="1" applyNumberFormat="1">
      <alignment horizontal="center" vertical="center"/>
    </xf>
    <xf borderId="86" fillId="9" fontId="34" numFmtId="0" xfId="0" applyAlignment="1" applyBorder="1" applyFont="1">
      <alignment horizontal="center" vertical="center"/>
    </xf>
    <xf borderId="27" fillId="9" fontId="34" numFmtId="164" xfId="0" applyAlignment="1" applyBorder="1" applyFont="1" applyNumberFormat="1">
      <alignment horizontal="center" vertical="center"/>
    </xf>
    <xf borderId="1" fillId="21" fontId="42" numFmtId="0" xfId="0" applyAlignment="1" applyBorder="1" applyFill="1" applyFont="1">
      <alignment horizontal="center" vertical="center"/>
    </xf>
    <xf borderId="27" fillId="21" fontId="42" numFmtId="164" xfId="0" applyAlignment="1" applyBorder="1" applyFont="1" applyNumberFormat="1">
      <alignment horizontal="center" vertical="center"/>
    </xf>
    <xf borderId="86" fillId="22" fontId="34" numFmtId="0" xfId="0" applyAlignment="1" applyBorder="1" applyFill="1" applyFont="1">
      <alignment horizontal="center" vertical="center"/>
    </xf>
    <xf borderId="27" fillId="22" fontId="34" numFmtId="164" xfId="0" applyAlignment="1" applyBorder="1" applyFont="1" applyNumberFormat="1">
      <alignment horizontal="center" vertical="center"/>
    </xf>
    <xf borderId="86" fillId="23" fontId="34" numFmtId="0" xfId="0" applyAlignment="1" applyBorder="1" applyFill="1" applyFont="1">
      <alignment horizontal="center" vertical="center"/>
    </xf>
    <xf borderId="27" fillId="23" fontId="34" numFmtId="164" xfId="0" applyAlignment="1" applyBorder="1" applyFont="1" applyNumberFormat="1">
      <alignment horizontal="center" vertical="center"/>
    </xf>
    <xf borderId="86" fillId="10" fontId="34" numFmtId="0" xfId="0" applyAlignment="1" applyBorder="1" applyFont="1">
      <alignment horizontal="center" vertical="center"/>
    </xf>
    <xf borderId="27" fillId="10" fontId="34" numFmtId="164" xfId="0" applyAlignment="1" applyBorder="1" applyFont="1" applyNumberFormat="1">
      <alignment horizontal="center" vertical="center"/>
    </xf>
    <xf borderId="1" fillId="24" fontId="34" numFmtId="0" xfId="0" applyAlignment="1" applyBorder="1" applyFill="1" applyFont="1">
      <alignment horizontal="center" vertical="center"/>
    </xf>
    <xf borderId="27" fillId="24" fontId="34" numFmtId="164" xfId="0" applyAlignment="1" applyBorder="1" applyFont="1" applyNumberFormat="1">
      <alignment horizontal="center" vertical="center"/>
    </xf>
    <xf borderId="86" fillId="25" fontId="34" numFmtId="0" xfId="0" applyAlignment="1" applyBorder="1" applyFill="1" applyFont="1">
      <alignment horizontal="center" vertical="center"/>
    </xf>
    <xf borderId="27" fillId="25" fontId="34" numFmtId="164" xfId="0" applyAlignment="1" applyBorder="1" applyFont="1" applyNumberFormat="1">
      <alignment horizontal="center" vertical="center"/>
    </xf>
    <xf borderId="86" fillId="26" fontId="34" numFmtId="0" xfId="0" applyAlignment="1" applyBorder="1" applyFill="1" applyFont="1">
      <alignment horizontal="center" vertical="center"/>
    </xf>
    <xf borderId="27" fillId="26" fontId="34" numFmtId="164" xfId="0" applyAlignment="1" applyBorder="1" applyFont="1" applyNumberFormat="1">
      <alignment horizontal="center" vertical="center"/>
    </xf>
    <xf borderId="86" fillId="11" fontId="34" numFmtId="0" xfId="0" applyAlignment="1" applyBorder="1" applyFont="1">
      <alignment horizontal="center" vertical="center"/>
    </xf>
    <xf borderId="27" fillId="11" fontId="34" numFmtId="164" xfId="0" applyAlignment="1" applyBorder="1" applyFont="1" applyNumberFormat="1">
      <alignment horizontal="center" vertical="center"/>
    </xf>
    <xf borderId="3" fillId="2" fontId="42" numFmtId="0" xfId="0" applyAlignment="1" applyBorder="1" applyFont="1">
      <alignment horizontal="center" vertical="center"/>
    </xf>
    <xf borderId="86" fillId="27" fontId="34" numFmtId="0" xfId="0" applyAlignment="1" applyBorder="1" applyFill="1" applyFont="1">
      <alignment horizontal="center" vertical="center"/>
    </xf>
    <xf borderId="27" fillId="27" fontId="34" numFmtId="164" xfId="0" applyAlignment="1" applyBorder="1" applyFont="1" applyNumberFormat="1">
      <alignment horizontal="center" vertical="center"/>
    </xf>
    <xf borderId="86" fillId="28" fontId="34" numFmtId="0" xfId="0" applyAlignment="1" applyBorder="1" applyFill="1" applyFont="1">
      <alignment horizontal="center" vertical="center"/>
    </xf>
    <xf borderId="27" fillId="28" fontId="34" numFmtId="164" xfId="0" applyAlignment="1" applyBorder="1" applyFont="1" applyNumberFormat="1">
      <alignment horizontal="center" vertical="center"/>
    </xf>
    <xf borderId="86" fillId="29" fontId="34" numFmtId="0" xfId="0" applyAlignment="1" applyBorder="1" applyFill="1" applyFont="1">
      <alignment horizontal="center" vertical="center"/>
    </xf>
    <xf borderId="27" fillId="29" fontId="34" numFmtId="164" xfId="0" applyAlignment="1" applyBorder="1" applyFont="1" applyNumberFormat="1">
      <alignment horizontal="center" vertical="center"/>
    </xf>
    <xf borderId="86" fillId="30" fontId="42" numFmtId="0" xfId="0" applyAlignment="1" applyBorder="1" applyFill="1" applyFont="1">
      <alignment horizontal="center" vertical="center"/>
    </xf>
    <xf borderId="27" fillId="30" fontId="42" numFmtId="164" xfId="0" applyAlignment="1" applyBorder="1" applyFont="1" applyNumberFormat="1">
      <alignment horizontal="center" vertical="center"/>
    </xf>
    <xf borderId="86" fillId="31" fontId="34" numFmtId="0" xfId="0" applyAlignment="1" applyBorder="1" applyFill="1" applyFont="1">
      <alignment horizontal="center" vertical="center"/>
    </xf>
    <xf borderId="27" fillId="31" fontId="34" numFmtId="164" xfId="0" applyAlignment="1" applyBorder="1" applyFont="1" applyNumberFormat="1">
      <alignment horizontal="center" vertical="center"/>
    </xf>
    <xf borderId="86" fillId="6" fontId="34" numFmtId="0" xfId="0" applyAlignment="1" applyBorder="1" applyFont="1">
      <alignment horizontal="center" vertical="center"/>
    </xf>
    <xf borderId="27" fillId="6" fontId="34" numFmtId="164" xfId="0" applyAlignment="1" applyBorder="1" applyFont="1" applyNumberFormat="1">
      <alignment horizontal="center" vertical="center"/>
    </xf>
    <xf borderId="86" fillId="32" fontId="34" numFmtId="0" xfId="0" applyAlignment="1" applyBorder="1" applyFill="1" applyFont="1">
      <alignment horizontal="center" vertical="center"/>
    </xf>
    <xf borderId="27" fillId="32" fontId="34" numFmtId="164" xfId="0" applyAlignment="1" applyBorder="1" applyFont="1" applyNumberFormat="1">
      <alignment horizontal="center" vertical="center"/>
    </xf>
    <xf borderId="1" fillId="2" fontId="9" numFmtId="165" xfId="0" applyAlignment="1" applyBorder="1" applyFont="1" applyNumberFormat="1">
      <alignment horizontal="center" vertical="center"/>
    </xf>
    <xf borderId="86" fillId="33" fontId="34" numFmtId="0" xfId="0" applyAlignment="1" applyBorder="1" applyFill="1" applyFont="1">
      <alignment horizontal="center" vertical="center"/>
    </xf>
    <xf borderId="27" fillId="33" fontId="34" numFmtId="164" xfId="0" applyAlignment="1" applyBorder="1" applyFont="1" applyNumberFormat="1">
      <alignment horizontal="center" vertical="center"/>
    </xf>
    <xf borderId="86" fillId="34" fontId="34" numFmtId="0" xfId="0" applyAlignment="1" applyBorder="1" applyFill="1" applyFont="1">
      <alignment horizontal="center" vertical="center"/>
    </xf>
    <xf borderId="27" fillId="34" fontId="34" numFmtId="164" xfId="0" applyAlignment="1" applyBorder="1" applyFont="1" applyNumberFormat="1">
      <alignment horizontal="center" vertical="center"/>
    </xf>
    <xf borderId="89" fillId="31" fontId="34" numFmtId="0" xfId="0" applyAlignment="1" applyBorder="1" applyFont="1">
      <alignment horizontal="center" vertical="center"/>
    </xf>
    <xf borderId="38" fillId="31" fontId="34" numFmtId="164" xfId="0" applyAlignment="1" applyBorder="1" applyFont="1" applyNumberFormat="1">
      <alignment horizontal="center" vertical="center"/>
    </xf>
    <xf borderId="35" fillId="2" fontId="40" numFmtId="3" xfId="0" applyAlignment="1" applyBorder="1" applyFont="1" applyNumberFormat="1">
      <alignment horizontal="left" vertical="center"/>
    </xf>
    <xf borderId="36" fillId="2" fontId="41" numFmtId="0" xfId="0" applyAlignment="1" applyBorder="1" applyFont="1">
      <alignment horizontal="left" vertical="center"/>
    </xf>
    <xf borderId="89" fillId="35" fontId="34" numFmtId="0" xfId="0" applyAlignment="1" applyBorder="1" applyFill="1" applyFont="1">
      <alignment horizontal="center" vertical="center"/>
    </xf>
    <xf borderId="38" fillId="35" fontId="43" numFmtId="164" xfId="0" applyAlignment="1" applyBorder="1" applyFont="1" applyNumberFormat="1">
      <alignment horizontal="center" vertical="center"/>
    </xf>
    <xf borderId="89" fillId="36" fontId="34" numFmtId="0" xfId="0" applyAlignment="1" applyBorder="1" applyFill="1" applyFont="1">
      <alignment horizontal="center" vertical="center"/>
    </xf>
    <xf borderId="38" fillId="36" fontId="43" numFmtId="164" xfId="0" applyAlignment="1" applyBorder="1" applyFont="1" applyNumberFormat="1">
      <alignment horizontal="center" vertical="center"/>
    </xf>
    <xf borderId="92" fillId="37" fontId="44" numFmtId="0" xfId="0" applyAlignment="1" applyBorder="1" applyFill="1" applyFont="1">
      <alignment horizontal="center" vertical="center"/>
    </xf>
    <xf borderId="55" fillId="37" fontId="44" numFmtId="164" xfId="0" applyAlignment="1" applyBorder="1" applyFont="1" applyNumberFormat="1">
      <alignment horizontal="center" vertical="center"/>
    </xf>
    <xf borderId="99" fillId="2" fontId="9" numFmtId="165" xfId="0" applyAlignment="1" applyBorder="1" applyFont="1" applyNumberFormat="1">
      <alignment horizontal="center" vertical="center"/>
    </xf>
    <xf borderId="89" fillId="2" fontId="7" numFmtId="0" xfId="0" applyAlignment="1" applyBorder="1" applyFont="1">
      <alignment horizontal="center" vertical="center"/>
    </xf>
    <xf borderId="99" fillId="2" fontId="7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/>
    </xf>
    <xf borderId="0" fillId="0" fontId="8" numFmtId="0" xfId="0" applyFont="1"/>
    <xf borderId="46" fillId="3" fontId="42" numFmtId="0" xfId="0" applyAlignment="1" applyBorder="1" applyFont="1">
      <alignment horizontal="center" vertical="center"/>
    </xf>
    <xf borderId="2" fillId="3" fontId="40" numFmtId="0" xfId="0" applyAlignment="1" applyBorder="1" applyFont="1">
      <alignment horizontal="center" vertical="center"/>
    </xf>
    <xf borderId="90" fillId="3" fontId="42" numFmtId="0" xfId="0" applyAlignment="1" applyBorder="1" applyFont="1">
      <alignment horizontal="left" vertical="center"/>
    </xf>
    <xf borderId="90" fillId="3" fontId="45" numFmtId="0" xfId="0" applyBorder="1" applyFont="1"/>
    <xf borderId="87" fillId="3" fontId="45" numFmtId="0" xfId="0" applyBorder="1" applyFont="1"/>
    <xf borderId="87" fillId="3" fontId="45" numFmtId="0" xfId="0" applyAlignment="1" applyBorder="1" applyFont="1">
      <alignment horizontal="center"/>
    </xf>
    <xf borderId="87" fillId="3" fontId="41" numFmtId="0" xfId="0" applyBorder="1" applyFont="1"/>
    <xf borderId="100" fillId="3" fontId="41" numFmtId="0" xfId="0" applyBorder="1" applyFont="1"/>
    <xf borderId="5" fillId="0" fontId="41" numFmtId="0" xfId="0" applyBorder="1" applyFont="1"/>
    <xf borderId="50" fillId="3" fontId="42" numFmtId="0" xfId="0" applyAlignment="1" applyBorder="1" applyFont="1">
      <alignment horizontal="left" vertical="center"/>
    </xf>
    <xf borderId="50" fillId="3" fontId="45" numFmtId="0" xfId="0" applyAlignment="1" applyBorder="1" applyFont="1">
      <alignment horizontal="center"/>
    </xf>
    <xf borderId="50" fillId="3" fontId="45" numFmtId="0" xfId="0" applyBorder="1" applyFont="1"/>
    <xf borderId="51" fillId="0" fontId="45" numFmtId="0" xfId="0" applyBorder="1" applyFont="1"/>
    <xf borderId="52" fillId="3" fontId="42" numFmtId="0" xfId="0" applyAlignment="1" applyBorder="1" applyFont="1">
      <alignment vertical="center"/>
    </xf>
    <xf borderId="43" fillId="3" fontId="42" numFmtId="0" xfId="0" applyAlignment="1" applyBorder="1" applyFont="1">
      <alignment horizontal="center" vertical="center"/>
    </xf>
    <xf borderId="43" fillId="3" fontId="40" numFmtId="0" xfId="0" applyAlignment="1" applyBorder="1" applyFont="1">
      <alignment horizontal="center"/>
    </xf>
    <xf borderId="8" fillId="0" fontId="41" numFmtId="0" xfId="0" applyBorder="1" applyFont="1"/>
    <xf borderId="55" fillId="3" fontId="46" numFmtId="0" xfId="0" applyAlignment="1" applyBorder="1" applyFont="1">
      <alignment horizontal="center" vertical="center"/>
    </xf>
    <xf borderId="57" fillId="3" fontId="47" numFmtId="0" xfId="0" applyAlignment="1" applyBorder="1" applyFont="1">
      <alignment horizontal="center" vertical="center"/>
    </xf>
    <xf borderId="58" fillId="3" fontId="42" numFmtId="0" xfId="0" applyAlignment="1" applyBorder="1" applyFont="1">
      <alignment horizontal="center" shrinkToFit="0" vertical="center" wrapText="1"/>
    </xf>
    <xf borderId="59" fillId="3" fontId="42" numFmtId="0" xfId="0" applyAlignment="1" applyBorder="1" applyFont="1">
      <alignment horizontal="center" shrinkToFit="0" vertical="center" wrapText="1"/>
    </xf>
    <xf borderId="60" fillId="38" fontId="40" numFmtId="0" xfId="0" applyAlignment="1" applyBorder="1" applyFill="1" applyFont="1">
      <alignment horizontal="left" shrinkToFit="0" vertical="top" wrapText="1"/>
    </xf>
    <xf borderId="18" fillId="38" fontId="40" numFmtId="0" xfId="0" applyAlignment="1" applyBorder="1" applyFont="1">
      <alignment horizontal="center" shrinkToFit="0" vertical="center" wrapText="1"/>
    </xf>
    <xf borderId="61" fillId="38" fontId="45" numFmtId="0" xfId="0" applyAlignment="1" applyBorder="1" applyFont="1">
      <alignment horizontal="center" vertical="center"/>
    </xf>
    <xf borderId="58" fillId="38" fontId="45" numFmtId="0" xfId="0" applyAlignment="1" applyBorder="1" applyFont="1">
      <alignment horizontal="center" vertical="center"/>
    </xf>
    <xf borderId="62" fillId="38" fontId="45" numFmtId="0" xfId="0" applyAlignment="1" applyBorder="1" applyFont="1">
      <alignment horizontal="center" vertical="center"/>
    </xf>
    <xf borderId="59" fillId="38" fontId="40" numFmtId="0" xfId="0" applyAlignment="1" applyBorder="1" applyFont="1">
      <alignment horizontal="center" vertical="center"/>
    </xf>
    <xf borderId="63" fillId="5" fontId="40" numFmtId="0" xfId="0" applyAlignment="1" applyBorder="1" applyFont="1">
      <alignment horizontal="left" shrinkToFit="0" vertical="center" wrapText="1"/>
    </xf>
    <xf borderId="64" fillId="5" fontId="40" numFmtId="0" xfId="0" applyAlignment="1" applyBorder="1" applyFont="1">
      <alignment shrinkToFit="0" vertical="center" wrapText="1"/>
    </xf>
    <xf borderId="65" fillId="5" fontId="40" numFmtId="0" xfId="0" applyAlignment="1" applyBorder="1" applyFont="1">
      <alignment horizontal="center" shrinkToFit="0" vertical="center" wrapText="1"/>
    </xf>
    <xf borderId="65" fillId="5" fontId="45" numFmtId="0" xfId="0" applyAlignment="1" applyBorder="1" applyFont="1">
      <alignment horizontal="center" vertical="center"/>
    </xf>
    <xf borderId="66" fillId="5" fontId="45" numFmtId="0" xfId="0" applyAlignment="1" applyBorder="1" applyFont="1">
      <alignment horizontal="center" vertical="center"/>
    </xf>
    <xf borderId="66" fillId="5" fontId="41" numFmtId="0" xfId="0" applyAlignment="1" applyBorder="1" applyFont="1">
      <alignment horizontal="center" vertical="center"/>
    </xf>
    <xf borderId="14" fillId="5" fontId="40" numFmtId="0" xfId="0" applyAlignment="1" applyBorder="1" applyFont="1">
      <alignment horizontal="center" vertical="center"/>
    </xf>
    <xf borderId="67" fillId="2" fontId="41" numFmtId="0" xfId="0" applyAlignment="1" applyBorder="1" applyFont="1">
      <alignment horizontal="left" shrinkToFit="0" vertical="center" wrapText="1"/>
    </xf>
    <xf borderId="68" fillId="2" fontId="41" numFmtId="0" xfId="0" applyAlignment="1" applyBorder="1" applyFont="1">
      <alignment shrinkToFit="0" vertical="center" wrapText="1"/>
    </xf>
    <xf borderId="69" fillId="2" fontId="40" numFmtId="0" xfId="0" applyAlignment="1" applyBorder="1" applyFont="1">
      <alignment horizontal="center" vertical="center"/>
    </xf>
    <xf borderId="69" fillId="2" fontId="42" numFmtId="0" xfId="0" applyAlignment="1" applyBorder="1" applyFont="1">
      <alignment horizontal="center" vertical="center"/>
    </xf>
    <xf borderId="70" fillId="2" fontId="42" numFmtId="0" xfId="0" applyAlignment="1" applyBorder="1" applyFont="1">
      <alignment horizontal="center" vertical="center"/>
    </xf>
    <xf borderId="70" fillId="13" fontId="42" numFmtId="0" xfId="0" applyAlignment="1" applyBorder="1" applyFont="1">
      <alignment horizontal="center" vertical="center"/>
    </xf>
    <xf borderId="70" fillId="2" fontId="45" numFmtId="0" xfId="0" applyAlignment="1" applyBorder="1" applyFont="1">
      <alignment horizontal="center" vertical="center"/>
    </xf>
    <xf borderId="25" fillId="2" fontId="41" numFmtId="0" xfId="0" applyAlignment="1" applyBorder="1" applyFont="1">
      <alignment horizontal="center" vertical="center"/>
    </xf>
    <xf borderId="69" fillId="10" fontId="40" numFmtId="0" xfId="0" applyAlignment="1" applyBorder="1" applyFont="1">
      <alignment horizontal="center" vertical="center"/>
    </xf>
    <xf borderId="70" fillId="2" fontId="40" numFmtId="0" xfId="0" applyAlignment="1" applyBorder="1" applyFont="1">
      <alignment horizontal="center" vertical="center"/>
    </xf>
    <xf borderId="67" fillId="5" fontId="40" numFmtId="0" xfId="0" applyAlignment="1" applyBorder="1" applyFont="1">
      <alignment horizontal="left" shrinkToFit="0" vertical="center" wrapText="1"/>
    </xf>
    <xf borderId="68" fillId="5" fontId="40" numFmtId="0" xfId="0" applyAlignment="1" applyBorder="1" applyFont="1">
      <alignment shrinkToFit="0" vertical="center" wrapText="1"/>
    </xf>
    <xf borderId="69" fillId="5" fontId="40" numFmtId="0" xfId="0" applyAlignment="1" applyBorder="1" applyFont="1">
      <alignment horizontal="center" vertical="center"/>
    </xf>
    <xf borderId="69" fillId="5" fontId="42" numFmtId="0" xfId="0" applyAlignment="1" applyBorder="1" applyFont="1">
      <alignment horizontal="center" vertical="center"/>
    </xf>
    <xf borderId="70" fillId="5" fontId="42" numFmtId="0" xfId="0" applyAlignment="1" applyBorder="1" applyFont="1">
      <alignment horizontal="center" vertical="center"/>
    </xf>
    <xf borderId="70" fillId="5" fontId="40" numFmtId="0" xfId="0" applyAlignment="1" applyBorder="1" applyFont="1">
      <alignment horizontal="center" vertical="center"/>
    </xf>
    <xf borderId="25" fillId="5" fontId="42" numFmtId="0" xfId="0" applyAlignment="1" applyBorder="1" applyFont="1">
      <alignment horizontal="center" vertical="center"/>
    </xf>
    <xf borderId="67" fillId="2" fontId="41" numFmtId="0" xfId="0" applyAlignment="1" applyBorder="1" applyFont="1">
      <alignment horizontal="left" vertical="center"/>
    </xf>
    <xf borderId="70" fillId="22" fontId="42" numFmtId="0" xfId="0" applyAlignment="1" applyBorder="1" applyFont="1">
      <alignment horizontal="center" vertical="center"/>
    </xf>
    <xf borderId="0" fillId="0" fontId="41" numFmtId="0" xfId="0" applyFont="1"/>
    <xf borderId="68" fillId="0" fontId="41" numFmtId="0" xfId="0" applyBorder="1" applyFont="1"/>
    <xf borderId="69" fillId="13" fontId="42" numFmtId="0" xfId="0" applyAlignment="1" applyBorder="1" applyFont="1">
      <alignment horizontal="center" vertical="center"/>
    </xf>
    <xf borderId="67" fillId="2" fontId="40" numFmtId="0" xfId="0" applyAlignment="1" applyBorder="1" applyFont="1">
      <alignment horizontal="left" shrinkToFit="0" vertical="center" wrapText="1"/>
    </xf>
    <xf borderId="68" fillId="2" fontId="40" numFmtId="0" xfId="0" applyAlignment="1" applyBorder="1" applyFont="1">
      <alignment shrinkToFit="0" vertical="center" wrapText="1"/>
    </xf>
    <xf borderId="71" fillId="0" fontId="40" numFmtId="0" xfId="0" applyAlignment="1" applyBorder="1" applyFont="1">
      <alignment horizontal="left" shrinkToFit="0" vertical="center" wrapText="1"/>
    </xf>
    <xf borderId="72" fillId="0" fontId="40" numFmtId="0" xfId="0" applyAlignment="1" applyBorder="1" applyFont="1">
      <alignment shrinkToFit="0" vertical="center" wrapText="1"/>
    </xf>
    <xf borderId="73" fillId="0" fontId="41" numFmtId="0" xfId="0" applyAlignment="1" applyBorder="1" applyFont="1">
      <alignment horizontal="left" shrinkToFit="0" vertical="center" wrapText="1"/>
    </xf>
    <xf borderId="68" fillId="0" fontId="41" numFmtId="0" xfId="0" applyAlignment="1" applyBorder="1" applyFont="1">
      <alignment shrinkToFit="0" vertical="center" wrapText="1"/>
    </xf>
    <xf borderId="69" fillId="31" fontId="40" numFmtId="0" xfId="0" applyAlignment="1" applyBorder="1" applyFont="1">
      <alignment horizontal="center" vertical="center"/>
    </xf>
    <xf borderId="73" fillId="0" fontId="40" numFmtId="0" xfId="0" applyAlignment="1" applyBorder="1" applyFont="1">
      <alignment horizontal="left" shrinkToFit="0" vertical="center" wrapText="1"/>
    </xf>
    <xf borderId="68" fillId="0" fontId="40" numFmtId="0" xfId="0" applyAlignment="1" applyBorder="1" applyFont="1">
      <alignment shrinkToFit="0" vertical="center" wrapText="1"/>
    </xf>
    <xf borderId="70" fillId="29" fontId="40" numFmtId="0" xfId="0" applyAlignment="1" applyBorder="1" applyFont="1">
      <alignment horizontal="center" vertical="center"/>
    </xf>
    <xf borderId="70" fillId="29" fontId="42" numFmtId="0" xfId="0" applyAlignment="1" applyBorder="1" applyFont="1">
      <alignment horizontal="center" vertical="center"/>
    </xf>
    <xf borderId="70" fillId="10" fontId="42" numFmtId="0" xfId="0" applyAlignment="1" applyBorder="1" applyFont="1">
      <alignment horizontal="center" vertical="center"/>
    </xf>
    <xf borderId="70" fillId="10" fontId="40" numFmtId="0" xfId="0" applyAlignment="1" applyBorder="1" applyFont="1">
      <alignment horizontal="center" vertical="center"/>
    </xf>
    <xf borderId="69" fillId="29" fontId="40" numFmtId="0" xfId="0" applyAlignment="1" applyBorder="1" applyFont="1">
      <alignment horizontal="center" vertical="center"/>
    </xf>
    <xf borderId="67" fillId="5" fontId="40" numFmtId="0" xfId="0" applyAlignment="1" applyBorder="1" applyFont="1">
      <alignment horizontal="left" vertical="center"/>
    </xf>
    <xf borderId="68" fillId="5" fontId="40" numFmtId="0" xfId="0" applyAlignment="1" applyBorder="1" applyFont="1">
      <alignment vertical="center"/>
    </xf>
    <xf borderId="74" fillId="5" fontId="40" numFmtId="0" xfId="0" applyAlignment="1" applyBorder="1" applyFont="1">
      <alignment horizontal="left" shrinkToFit="0" vertical="center" wrapText="1"/>
    </xf>
    <xf borderId="75" fillId="5" fontId="40" numFmtId="0" xfId="0" applyAlignment="1" applyBorder="1" applyFont="1">
      <alignment shrinkToFit="0" vertical="center" wrapText="1"/>
    </xf>
    <xf borderId="64" fillId="5" fontId="40" numFmtId="0" xfId="0" applyAlignment="1" applyBorder="1" applyFont="1">
      <alignment vertical="center"/>
    </xf>
    <xf borderId="68" fillId="0" fontId="41" numFmtId="0" xfId="0" applyAlignment="1" applyBorder="1" applyFont="1">
      <alignment vertical="center"/>
    </xf>
    <xf borderId="71" fillId="0" fontId="41" numFmtId="0" xfId="0" applyAlignment="1" applyBorder="1" applyFont="1">
      <alignment horizontal="left" shrinkToFit="0" vertical="center" wrapText="1"/>
    </xf>
    <xf borderId="72" fillId="0" fontId="41" numFmtId="0" xfId="0" applyAlignment="1" applyBorder="1" applyFont="1">
      <alignment vertical="center"/>
    </xf>
    <xf borderId="24" fillId="2" fontId="41" numFmtId="0" xfId="0" applyAlignment="1" applyBorder="1" applyFont="1">
      <alignment horizontal="left" shrinkToFit="0" vertical="center" wrapText="1"/>
    </xf>
    <xf borderId="25" fillId="2" fontId="41" numFmtId="0" xfId="0" applyAlignment="1" applyBorder="1" applyFont="1">
      <alignment shrinkToFit="0" vertical="center" wrapText="1"/>
    </xf>
    <xf borderId="24" fillId="2" fontId="41" numFmtId="0" xfId="0" applyAlignment="1" applyBorder="1" applyFont="1">
      <alignment horizontal="left" vertical="center"/>
    </xf>
    <xf quotePrefix="1" borderId="25" fillId="2" fontId="41" numFmtId="0" xfId="0" applyAlignment="1" applyBorder="1" applyFont="1">
      <alignment vertical="center"/>
    </xf>
    <xf borderId="25" fillId="2" fontId="41" numFmtId="0" xfId="0" applyAlignment="1" applyBorder="1" applyFont="1">
      <alignment vertical="center"/>
    </xf>
    <xf borderId="76" fillId="2" fontId="41" numFmtId="0" xfId="0" applyAlignment="1" applyBorder="1" applyFont="1">
      <alignment horizontal="left" shrinkToFit="0" vertical="center" wrapText="1"/>
    </xf>
    <xf borderId="77" fillId="2" fontId="41" numFmtId="0" xfId="0" applyAlignment="1" applyBorder="1" applyFont="1">
      <alignment shrinkToFit="0" vertical="center" wrapText="1"/>
    </xf>
    <xf borderId="78" fillId="2" fontId="40" numFmtId="0" xfId="0" applyAlignment="1" applyBorder="1" applyFont="1">
      <alignment horizontal="center" vertical="center"/>
    </xf>
    <xf borderId="79" fillId="2" fontId="40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left"/>
    </xf>
    <xf borderId="1" fillId="2" fontId="8" numFmtId="0" xfId="0" applyAlignment="1" applyBorder="1" applyFont="1">
      <alignment horizontal="left" vertical="center"/>
    </xf>
    <xf borderId="1" fillId="2" fontId="8" numFmtId="0" xfId="0" applyBorder="1" applyFont="1"/>
    <xf borderId="1" fillId="3" fontId="8" numFmtId="0" xfId="0" applyAlignment="1" applyBorder="1" applyFont="1">
      <alignment horizontal="left"/>
    </xf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/>
    </xf>
    <xf borderId="47" fillId="2" fontId="7" numFmtId="0" xfId="0" applyAlignment="1" applyBorder="1" applyFont="1">
      <alignment horizontal="center" vertical="center"/>
    </xf>
    <xf borderId="47" fillId="2" fontId="8" numFmtId="0" xfId="0" applyBorder="1" applyFont="1"/>
    <xf borderId="1" fillId="3" fontId="41" numFmtId="0" xfId="0" applyAlignment="1" applyBorder="1" applyFont="1">
      <alignment horizontal="left"/>
    </xf>
    <xf borderId="1" fillId="2" fontId="40" numFmtId="0" xfId="0" applyAlignment="1" applyBorder="1" applyFont="1">
      <alignment horizontal="center" vertical="center"/>
    </xf>
    <xf borderId="80" fillId="2" fontId="40" numFmtId="0" xfId="0" applyAlignment="1" applyBorder="1" applyFont="1">
      <alignment horizontal="center" vertical="center"/>
    </xf>
    <xf borderId="1" fillId="2" fontId="41" numFmtId="0" xfId="0" applyBorder="1" applyFont="1"/>
    <xf borderId="1" fillId="2" fontId="40" numFmtId="0" xfId="0" applyAlignment="1" applyBorder="1" applyFont="1">
      <alignment vertical="center"/>
    </xf>
    <xf borderId="80" fillId="2" fontId="48" numFmtId="0" xfId="0" applyAlignment="1" applyBorder="1" applyFont="1">
      <alignment horizontal="center" vertical="center"/>
    </xf>
    <xf borderId="1" fillId="2" fontId="48" numFmtId="0" xfId="0" applyAlignment="1" applyBorder="1" applyFont="1">
      <alignment vertical="center"/>
    </xf>
    <xf borderId="1" fillId="2" fontId="41" numFmtId="0" xfId="0" applyAlignment="1" applyBorder="1" applyFont="1">
      <alignment horizontal="center" shrinkToFit="0" vertical="center" wrapText="1"/>
    </xf>
    <xf borderId="27" fillId="2" fontId="41" numFmtId="0" xfId="0" applyAlignment="1" applyBorder="1" applyFont="1">
      <alignment horizontal="center" shrinkToFit="0" vertical="center" wrapText="1"/>
    </xf>
    <xf borderId="1" fillId="2" fontId="41" numFmtId="0" xfId="0" applyAlignment="1" applyBorder="1" applyFont="1">
      <alignment shrinkToFit="0" vertical="center" wrapText="1"/>
    </xf>
    <xf borderId="27" fillId="2" fontId="41" numFmtId="0" xfId="0" applyAlignment="1" applyBorder="1" applyFont="1">
      <alignment horizontal="center" vertical="center"/>
    </xf>
    <xf borderId="1" fillId="2" fontId="41" numFmtId="0" xfId="0" applyAlignment="1" applyBorder="1" applyFont="1">
      <alignment vertical="center"/>
    </xf>
    <xf borderId="1" fillId="2" fontId="49" numFmtId="0" xfId="0" applyAlignment="1" applyBorder="1" applyFont="1">
      <alignment shrinkToFit="0" vertical="center" wrapText="1"/>
    </xf>
    <xf borderId="0" fillId="0" fontId="8" numFmtId="0" xfId="0" applyAlignment="1" applyFont="1">
      <alignment horizontal="left"/>
    </xf>
    <xf borderId="1" fillId="2" fontId="8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/>
    </xf>
    <xf borderId="27" fillId="2" fontId="8" numFmtId="0" xfId="0" applyAlignment="1" applyBorder="1" applyFont="1">
      <alignment horizontal="center" vertical="center"/>
    </xf>
    <xf borderId="3" fillId="2" fontId="50" numFmtId="0" xfId="0" applyAlignment="1" applyBorder="1" applyFont="1">
      <alignment horizontal="center" vertical="center"/>
    </xf>
    <xf borderId="1" fillId="2" fontId="51" numFmtId="0" xfId="0" applyAlignment="1" applyBorder="1" applyFont="1">
      <alignment horizontal="center" vertical="center"/>
    </xf>
    <xf borderId="60" fillId="33" fontId="42" numFmtId="0" xfId="0" applyAlignment="1" applyBorder="1" applyFont="1">
      <alignment horizontal="center" vertical="center"/>
    </xf>
    <xf borderId="19" fillId="33" fontId="42" numFmtId="164" xfId="0" applyAlignment="1" applyBorder="1" applyFont="1" applyNumberFormat="1">
      <alignment horizontal="center" vertical="center"/>
    </xf>
    <xf borderId="60" fillId="34" fontId="42" numFmtId="0" xfId="0" applyAlignment="1" applyBorder="1" applyFont="1">
      <alignment horizontal="center" vertical="center"/>
    </xf>
    <xf borderId="19" fillId="34" fontId="42" numFmtId="164" xfId="0" applyAlignment="1" applyBorder="1" applyFont="1" applyNumberFormat="1">
      <alignment horizontal="center" vertical="center"/>
    </xf>
    <xf borderId="87" fillId="37" fontId="42" numFmtId="0" xfId="0" applyAlignment="1" applyBorder="1" applyFont="1">
      <alignment horizontal="center" vertical="center"/>
    </xf>
    <xf borderId="19" fillId="37" fontId="42" numFmtId="164" xfId="0" applyAlignment="1" applyBorder="1" applyFont="1" applyNumberFormat="1">
      <alignment horizontal="center" vertical="center"/>
    </xf>
    <xf borderId="60" fillId="2" fontId="45" numFmtId="0" xfId="0" applyAlignment="1" applyBorder="1" applyFont="1">
      <alignment horizontal="center" vertical="center"/>
    </xf>
    <xf borderId="19" fillId="2" fontId="42" numFmtId="164" xfId="0" applyAlignment="1" applyBorder="1" applyFont="1" applyNumberFormat="1">
      <alignment horizontal="center" vertical="center"/>
    </xf>
    <xf borderId="100" fillId="2" fontId="45" numFmtId="0" xfId="0" applyAlignment="1" applyBorder="1" applyFont="1">
      <alignment horizontal="center" vertical="center"/>
    </xf>
    <xf borderId="1" fillId="2" fontId="52" numFmtId="164" xfId="0" applyAlignment="1" applyBorder="1" applyFont="1" applyNumberFormat="1">
      <alignment horizontal="center" vertical="center"/>
    </xf>
    <xf borderId="0" fillId="0" fontId="53" numFmtId="0" xfId="0" applyAlignment="1" applyFont="1">
      <alignment vertical="center"/>
    </xf>
    <xf borderId="86" fillId="39" fontId="40" numFmtId="0" xfId="0" applyAlignment="1" applyBorder="1" applyFill="1" applyFont="1">
      <alignment horizontal="center" vertical="center"/>
    </xf>
    <xf borderId="27" fillId="39" fontId="40" numFmtId="164" xfId="0" applyAlignment="1" applyBorder="1" applyFont="1" applyNumberFormat="1">
      <alignment horizontal="center" vertical="center"/>
    </xf>
    <xf borderId="86" fillId="7" fontId="42" numFmtId="0" xfId="0" applyAlignment="1" applyBorder="1" applyFont="1">
      <alignment horizontal="center" vertical="center"/>
    </xf>
    <xf borderId="27" fillId="7" fontId="42" numFmtId="164" xfId="0" applyAlignment="1" applyBorder="1" applyFont="1" applyNumberFormat="1">
      <alignment horizontal="center" vertical="center"/>
    </xf>
    <xf borderId="86" fillId="2" fontId="45" numFmtId="0" xfId="0" applyAlignment="1" applyBorder="1" applyFont="1">
      <alignment horizontal="center" vertical="center"/>
    </xf>
    <xf borderId="27" fillId="2" fontId="42" numFmtId="164" xfId="0" applyAlignment="1" applyBorder="1" applyFont="1" applyNumberFormat="1">
      <alignment horizontal="center" vertical="center"/>
    </xf>
    <xf borderId="48" fillId="2" fontId="45" numFmtId="0" xfId="0" applyAlignment="1" applyBorder="1" applyFont="1">
      <alignment horizontal="center" vertical="center"/>
    </xf>
    <xf borderId="1" fillId="2" fontId="52" numFmtId="0" xfId="0" applyAlignment="1" applyBorder="1" applyFont="1">
      <alignment horizontal="center" vertical="center"/>
    </xf>
    <xf borderId="86" fillId="12" fontId="42" numFmtId="0" xfId="0" applyAlignment="1" applyBorder="1" applyFont="1">
      <alignment horizontal="center" vertical="center"/>
    </xf>
    <xf borderId="27" fillId="12" fontId="42" numFmtId="164" xfId="0" applyAlignment="1" applyBorder="1" applyFont="1" applyNumberFormat="1">
      <alignment horizontal="center" vertical="center"/>
    </xf>
    <xf borderId="86" fillId="8" fontId="42" numFmtId="0" xfId="0" applyAlignment="1" applyBorder="1" applyFont="1">
      <alignment horizontal="center" vertical="center"/>
    </xf>
    <xf borderId="27" fillId="8" fontId="42" numFmtId="164" xfId="0" applyAlignment="1" applyBorder="1" applyFont="1" applyNumberFormat="1">
      <alignment horizontal="center" vertical="center"/>
    </xf>
    <xf borderId="86" fillId="2" fontId="45" numFmtId="165" xfId="0" applyAlignment="1" applyBorder="1" applyFont="1" applyNumberFormat="1">
      <alignment horizontal="center" vertical="center"/>
    </xf>
    <xf borderId="48" fillId="2" fontId="45" numFmtId="165" xfId="0" applyAlignment="1" applyBorder="1" applyFont="1" applyNumberFormat="1">
      <alignment horizontal="center" vertical="center"/>
    </xf>
    <xf borderId="86" fillId="17" fontId="42" numFmtId="0" xfId="0" applyAlignment="1" applyBorder="1" applyFont="1">
      <alignment horizontal="center" vertical="center"/>
    </xf>
    <xf borderId="27" fillId="17" fontId="40" numFmtId="164" xfId="0" applyAlignment="1" applyBorder="1" applyFont="1" applyNumberFormat="1">
      <alignment horizontal="center" vertical="center"/>
    </xf>
    <xf borderId="86" fillId="9" fontId="42" numFmtId="0" xfId="0" applyAlignment="1" applyBorder="1" applyFont="1">
      <alignment horizontal="center" vertical="center"/>
    </xf>
    <xf borderId="27" fillId="9" fontId="42" numFmtId="164" xfId="0" applyAlignment="1" applyBorder="1" applyFont="1" applyNumberFormat="1">
      <alignment horizontal="center" vertical="center"/>
    </xf>
    <xf borderId="86" fillId="20" fontId="42" numFmtId="0" xfId="0" applyAlignment="1" applyBorder="1" applyFont="1">
      <alignment horizontal="center" vertical="center"/>
    </xf>
    <xf borderId="27" fillId="20" fontId="40" numFmtId="164" xfId="0" applyAlignment="1" applyBorder="1" applyFont="1" applyNumberFormat="1">
      <alignment horizontal="center" vertical="center"/>
    </xf>
    <xf borderId="86" fillId="10" fontId="42" numFmtId="0" xfId="0" applyAlignment="1" applyBorder="1" applyFont="1">
      <alignment horizontal="center" vertical="center"/>
    </xf>
    <xf borderId="27" fillId="10" fontId="42" numFmtId="164" xfId="0" applyAlignment="1" applyBorder="1" applyFont="1" applyNumberFormat="1">
      <alignment horizontal="center" vertical="center"/>
    </xf>
    <xf borderId="86" fillId="40" fontId="42" numFmtId="0" xfId="0" applyAlignment="1" applyBorder="1" applyFill="1" applyFont="1">
      <alignment horizontal="center" vertical="center"/>
    </xf>
    <xf borderId="27" fillId="40" fontId="40" numFmtId="164" xfId="0" applyAlignment="1" applyBorder="1" applyFont="1" applyNumberFormat="1">
      <alignment horizontal="center" vertical="center"/>
    </xf>
    <xf borderId="86" fillId="11" fontId="42" numFmtId="0" xfId="0" applyAlignment="1" applyBorder="1" applyFont="1">
      <alignment horizontal="center" vertical="center"/>
    </xf>
    <xf borderId="27" fillId="11" fontId="42" numFmtId="164" xfId="0" applyAlignment="1" applyBorder="1" applyFont="1" applyNumberFormat="1">
      <alignment horizontal="center" vertical="center"/>
    </xf>
    <xf borderId="86" fillId="26" fontId="42" numFmtId="0" xfId="0" applyAlignment="1" applyBorder="1" applyFont="1">
      <alignment horizontal="center" vertical="center"/>
    </xf>
    <xf borderId="27" fillId="26" fontId="42" numFmtId="164" xfId="0" applyAlignment="1" applyBorder="1" applyFont="1" applyNumberFormat="1">
      <alignment horizontal="center" vertical="center"/>
    </xf>
    <xf borderId="86" fillId="29" fontId="42" numFmtId="0" xfId="0" applyAlignment="1" applyBorder="1" applyFont="1">
      <alignment horizontal="center" vertical="center"/>
    </xf>
    <xf borderId="27" fillId="29" fontId="42" numFmtId="164" xfId="0" applyAlignment="1" applyBorder="1" applyFont="1" applyNumberFormat="1">
      <alignment horizontal="center" vertical="center"/>
    </xf>
    <xf borderId="86" fillId="41" fontId="42" numFmtId="0" xfId="0" applyAlignment="1" applyBorder="1" applyFill="1" applyFont="1">
      <alignment horizontal="center" vertical="center"/>
    </xf>
    <xf borderId="27" fillId="41" fontId="42" numFmtId="164" xfId="0" applyAlignment="1" applyBorder="1" applyFont="1" applyNumberFormat="1">
      <alignment horizontal="center" vertical="center"/>
    </xf>
    <xf borderId="1" fillId="32" fontId="42" numFmtId="0" xfId="0" applyAlignment="1" applyBorder="1" applyFont="1">
      <alignment horizontal="center" vertical="center"/>
    </xf>
    <xf borderId="27" fillId="32" fontId="42" numFmtId="164" xfId="0" applyAlignment="1" applyBorder="1" applyFont="1" applyNumberFormat="1">
      <alignment horizontal="center" vertical="center"/>
    </xf>
    <xf borderId="1" fillId="2" fontId="42" numFmtId="0" xfId="0" applyAlignment="1" applyBorder="1" applyFont="1">
      <alignment horizontal="center" vertical="center"/>
    </xf>
    <xf borderId="27" fillId="2" fontId="40" numFmtId="164" xfId="0" applyAlignment="1" applyBorder="1" applyFont="1" applyNumberFormat="1">
      <alignment horizontal="center" vertical="center"/>
    </xf>
    <xf borderId="89" fillId="6" fontId="42" numFmtId="0" xfId="0" applyAlignment="1" applyBorder="1" applyFont="1">
      <alignment horizontal="center" vertical="center"/>
    </xf>
    <xf borderId="38" fillId="6" fontId="40" numFmtId="164" xfId="0" applyAlignment="1" applyBorder="1" applyFont="1" applyNumberFormat="1">
      <alignment horizontal="center" vertical="center"/>
    </xf>
    <xf borderId="89" fillId="31" fontId="42" numFmtId="0" xfId="0" applyAlignment="1" applyBorder="1" applyFont="1">
      <alignment horizontal="center" vertical="center"/>
    </xf>
    <xf borderId="38" fillId="31" fontId="42" numFmtId="164" xfId="0" applyAlignment="1" applyBorder="1" applyFont="1" applyNumberFormat="1">
      <alignment horizontal="center" vertical="center"/>
    </xf>
    <xf borderId="99" fillId="2" fontId="42" numFmtId="0" xfId="0" applyAlignment="1" applyBorder="1" applyFont="1">
      <alignment horizontal="center" vertical="center"/>
    </xf>
    <xf borderId="38" fillId="2" fontId="42" numFmtId="164" xfId="0" applyAlignment="1" applyBorder="1" applyFont="1" applyNumberFormat="1">
      <alignment horizontal="center" vertical="center"/>
    </xf>
    <xf borderId="89" fillId="2" fontId="45" numFmtId="165" xfId="0" applyAlignment="1" applyBorder="1" applyFont="1" applyNumberFormat="1">
      <alignment horizontal="center" vertical="center"/>
    </xf>
    <xf borderId="38" fillId="2" fontId="40" numFmtId="164" xfId="0" applyAlignment="1" applyBorder="1" applyFont="1" applyNumberFormat="1">
      <alignment horizontal="center" vertical="center"/>
    </xf>
    <xf borderId="101" fillId="2" fontId="45" numFmtId="165" xfId="0" applyAlignment="1" applyBorder="1" applyFont="1" applyNumberFormat="1">
      <alignment horizontal="center" vertical="center"/>
    </xf>
    <xf borderId="43" fillId="3" fontId="8" numFmtId="0" xfId="0" applyAlignment="1" applyBorder="1" applyFont="1">
      <alignment horizontal="center"/>
    </xf>
    <xf borderId="46" fillId="3" fontId="42" numFmtId="0" xfId="0" applyAlignment="1" applyBorder="1" applyFont="1">
      <alignment horizontal="left" vertical="center"/>
    </xf>
    <xf borderId="63" fillId="3" fontId="42" numFmtId="0" xfId="0" applyAlignment="1" applyBorder="1" applyFont="1">
      <alignment horizontal="left" vertical="center"/>
    </xf>
    <xf borderId="91" fillId="3" fontId="45" numFmtId="0" xfId="0" applyBorder="1" applyFont="1"/>
    <xf borderId="102" fillId="3" fontId="42" numFmtId="0" xfId="0" applyAlignment="1" applyBorder="1" applyFont="1">
      <alignment horizontal="left" vertical="center"/>
    </xf>
    <xf borderId="52" fillId="3" fontId="45" numFmtId="0" xfId="0" applyAlignment="1" applyBorder="1" applyFont="1">
      <alignment horizontal="center"/>
    </xf>
    <xf borderId="52" fillId="3" fontId="45" numFmtId="0" xfId="0" applyBorder="1" applyFont="1"/>
    <xf borderId="103" fillId="0" fontId="45" numFmtId="0" xfId="0" applyBorder="1" applyFont="1"/>
    <xf borderId="70" fillId="5" fontId="45" numFmtId="0" xfId="0" applyAlignment="1" applyBorder="1" applyFont="1">
      <alignment horizontal="center" vertical="center"/>
    </xf>
    <xf borderId="25" fillId="5" fontId="41" numFmtId="0" xfId="0" applyAlignment="1" applyBorder="1" applyFont="1">
      <alignment horizontal="center" vertical="center"/>
    </xf>
    <xf borderId="69" fillId="42" fontId="42" numFmtId="0" xfId="0" applyAlignment="1" applyBorder="1" applyFill="1" applyFont="1">
      <alignment horizontal="center" vertical="center"/>
    </xf>
    <xf borderId="70" fillId="42" fontId="42" numFmtId="0" xfId="0" applyAlignment="1" applyBorder="1" applyFont="1">
      <alignment horizontal="center" vertical="center"/>
    </xf>
    <xf borderId="69" fillId="6" fontId="40" numFmtId="0" xfId="0" applyAlignment="1" applyBorder="1" applyFont="1">
      <alignment horizontal="center" vertical="center"/>
    </xf>
    <xf borderId="70" fillId="6" fontId="42" numFmtId="0" xfId="0" applyAlignment="1" applyBorder="1" applyFont="1">
      <alignment horizontal="center" vertical="center"/>
    </xf>
    <xf borderId="69" fillId="11" fontId="42" numFmtId="0" xfId="0" applyAlignment="1" applyBorder="1" applyFont="1">
      <alignment horizontal="center" vertical="center"/>
    </xf>
    <xf borderId="47" fillId="2" fontId="7" numFmtId="0" xfId="0" applyAlignment="1" applyBorder="1" applyFont="1">
      <alignment vertical="center"/>
    </xf>
    <xf borderId="104" fillId="0" fontId="8" numFmtId="0" xfId="0" applyBorder="1" applyFont="1"/>
    <xf borderId="27" fillId="2" fontId="40" numFmtId="0" xfId="0" applyAlignment="1" applyBorder="1" applyFont="1">
      <alignment horizontal="center" vertical="center"/>
    </xf>
    <xf borderId="1" fillId="2" fontId="48" numFmtId="0" xfId="0" applyAlignment="1" applyBorder="1" applyFont="1">
      <alignment horizontal="center" vertical="center"/>
    </xf>
    <xf borderId="1" fillId="2" fontId="49" numFmtId="0" xfId="0" applyAlignment="1" applyBorder="1" applyFont="1">
      <alignment vertical="center"/>
    </xf>
    <xf borderId="1" fillId="2" fontId="53" numFmtId="0" xfId="0" applyAlignment="1" applyBorder="1" applyFont="1">
      <alignment horizontal="center" shrinkToFit="0" vertical="center" wrapText="1"/>
    </xf>
    <xf borderId="1" fillId="2" fontId="54" numFmtId="0" xfId="0" applyAlignment="1" applyBorder="1" applyFont="1">
      <alignment shrinkToFit="0" vertical="center" wrapText="1"/>
    </xf>
    <xf borderId="87" fillId="2" fontId="39" numFmtId="0" xfId="0" applyAlignment="1" applyBorder="1" applyFont="1">
      <alignment vertical="center"/>
    </xf>
    <xf borderId="1" fillId="2" fontId="39" numFmtId="0" xfId="0" applyAlignment="1" applyBorder="1" applyFont="1">
      <alignment vertical="center"/>
    </xf>
    <xf borderId="60" fillId="31" fontId="42" numFmtId="0" xfId="0" applyAlignment="1" applyBorder="1" applyFont="1">
      <alignment horizontal="center" vertical="center"/>
    </xf>
    <xf borderId="19" fillId="31" fontId="42" numFmtId="164" xfId="0" applyAlignment="1" applyBorder="1" applyFont="1" applyNumberFormat="1">
      <alignment horizontal="center" vertical="center"/>
    </xf>
    <xf borderId="60" fillId="36" fontId="42" numFmtId="0" xfId="0" applyAlignment="1" applyBorder="1" applyFont="1">
      <alignment horizontal="center" vertical="center"/>
    </xf>
    <xf borderId="19" fillId="36" fontId="42" numFmtId="164" xfId="0" applyAlignment="1" applyBorder="1" applyFont="1" applyNumberFormat="1">
      <alignment horizontal="center" vertical="center"/>
    </xf>
    <xf borderId="87" fillId="2" fontId="45" numFmtId="0" xfId="0" applyAlignment="1" applyBorder="1" applyFont="1">
      <alignment horizontal="center" vertical="center"/>
    </xf>
    <xf borderId="87" fillId="2" fontId="41" numFmtId="0" xfId="0" applyAlignment="1" applyBorder="1" applyFont="1">
      <alignment horizontal="center" vertical="center"/>
    </xf>
    <xf borderId="19" fillId="2" fontId="40" numFmtId="164" xfId="0" applyAlignment="1" applyBorder="1" applyFont="1" applyNumberFormat="1">
      <alignment horizontal="center" vertical="center"/>
    </xf>
    <xf borderId="1" fillId="2" fontId="41" numFmtId="0" xfId="0" applyAlignment="1" applyBorder="1" applyFont="1">
      <alignment horizontal="center" vertical="center"/>
    </xf>
    <xf borderId="86" fillId="33" fontId="42" numFmtId="0" xfId="0" applyAlignment="1" applyBorder="1" applyFont="1">
      <alignment horizontal="center" vertical="center"/>
    </xf>
    <xf borderId="27" fillId="33" fontId="42" numFmtId="164" xfId="0" applyAlignment="1" applyBorder="1" applyFont="1" applyNumberFormat="1">
      <alignment horizontal="center" vertical="center"/>
    </xf>
    <xf borderId="1" fillId="7" fontId="42" numFmtId="0" xfId="0" applyAlignment="1" applyBorder="1" applyFont="1">
      <alignment horizontal="center" vertical="center"/>
    </xf>
    <xf borderId="1" fillId="2" fontId="45" numFmtId="0" xfId="0" applyAlignment="1" applyBorder="1" applyFont="1">
      <alignment horizontal="center" vertical="center"/>
    </xf>
    <xf borderId="86" fillId="35" fontId="42" numFmtId="0" xfId="0" applyAlignment="1" applyBorder="1" applyFont="1">
      <alignment horizontal="center" vertical="center"/>
    </xf>
    <xf borderId="27" fillId="35" fontId="40" numFmtId="164" xfId="0" applyAlignment="1" applyBorder="1" applyFont="1" applyNumberFormat="1">
      <alignment horizontal="center" vertical="center"/>
    </xf>
    <xf borderId="87" fillId="8" fontId="42" numFmtId="0" xfId="0" applyAlignment="1" applyBorder="1" applyFont="1">
      <alignment horizontal="center" vertical="center"/>
    </xf>
    <xf borderId="19" fillId="8" fontId="42" numFmtId="164" xfId="0" applyAlignment="1" applyBorder="1" applyFont="1" applyNumberFormat="1">
      <alignment horizontal="center" vertical="center"/>
    </xf>
    <xf borderId="1" fillId="2" fontId="45" numFmtId="165" xfId="0" applyAlignment="1" applyBorder="1" applyFont="1" applyNumberFormat="1">
      <alignment horizontal="center" vertical="center"/>
    </xf>
    <xf borderId="86" fillId="43" fontId="42" numFmtId="0" xfId="0" applyAlignment="1" applyBorder="1" applyFill="1" applyFont="1">
      <alignment horizontal="center" vertical="center"/>
    </xf>
    <xf borderId="27" fillId="43" fontId="42" numFmtId="164" xfId="0" applyAlignment="1" applyBorder="1" applyFont="1" applyNumberFormat="1">
      <alignment horizontal="center" vertical="center"/>
    </xf>
    <xf borderId="86" fillId="24" fontId="42" numFmtId="0" xfId="0" applyAlignment="1" applyBorder="1" applyFont="1">
      <alignment horizontal="center" vertical="center"/>
    </xf>
    <xf borderId="27" fillId="24" fontId="42" numFmtId="164" xfId="0" applyAlignment="1" applyBorder="1" applyFont="1" applyNumberFormat="1">
      <alignment horizontal="center" vertical="center"/>
    </xf>
    <xf borderId="86" fillId="28" fontId="42" numFmtId="0" xfId="0" applyAlignment="1" applyBorder="1" applyFont="1">
      <alignment horizontal="center" vertical="center"/>
    </xf>
    <xf borderId="27" fillId="28" fontId="42" numFmtId="164" xfId="0" applyAlignment="1" applyBorder="1" applyFont="1" applyNumberFormat="1">
      <alignment horizontal="center" vertical="center"/>
    </xf>
    <xf borderId="86" fillId="2" fontId="42" numFmtId="0" xfId="0" applyAlignment="1" applyBorder="1" applyFont="1">
      <alignment horizontal="center" vertical="center"/>
    </xf>
    <xf borderId="76" fillId="2" fontId="40" numFmtId="3" xfId="0" applyAlignment="1" applyBorder="1" applyFont="1" applyNumberFormat="1">
      <alignment horizontal="left" vertical="center"/>
    </xf>
    <xf borderId="77" fillId="2" fontId="41" numFmtId="0" xfId="0" applyAlignment="1" applyBorder="1" applyFont="1">
      <alignment horizontal="left" vertical="center"/>
    </xf>
    <xf borderId="86" fillId="6" fontId="42" numFmtId="0" xfId="0" applyAlignment="1" applyBorder="1" applyFont="1">
      <alignment horizontal="center" vertical="center"/>
    </xf>
    <xf borderId="27" fillId="6" fontId="42" numFmtId="164" xfId="0" applyAlignment="1" applyBorder="1" applyFont="1" applyNumberFormat="1">
      <alignment horizontal="center" vertical="center"/>
    </xf>
    <xf borderId="0" fillId="0" fontId="41" numFmtId="0" xfId="0" applyAlignment="1" applyFont="1">
      <alignment horizontal="left"/>
    </xf>
    <xf borderId="89" fillId="44" fontId="42" numFmtId="0" xfId="0" applyAlignment="1" applyBorder="1" applyFill="1" applyFont="1">
      <alignment horizontal="center" vertical="center"/>
    </xf>
    <xf borderId="38" fillId="44" fontId="40" numFmtId="164" xfId="0" applyAlignment="1" applyBorder="1" applyFont="1" applyNumberFormat="1">
      <alignment horizontal="center" vertical="center"/>
    </xf>
    <xf borderId="89" fillId="2" fontId="42" numFmtId="0" xfId="0" applyAlignment="1" applyBorder="1" applyFont="1">
      <alignment horizontal="center" vertical="center"/>
    </xf>
    <xf borderId="99" fillId="2" fontId="45" numFmtId="165" xfId="0" applyAlignment="1" applyBorder="1" applyFont="1" applyNumberFormat="1">
      <alignment horizontal="center" vertical="center"/>
    </xf>
    <xf borderId="89" fillId="2" fontId="45" numFmtId="0" xfId="0" applyAlignment="1" applyBorder="1" applyFont="1">
      <alignment horizontal="center" vertical="center"/>
    </xf>
    <xf borderId="99" fillId="2" fontId="41" numFmtId="0" xfId="0" applyAlignment="1" applyBorder="1" applyFont="1">
      <alignment horizontal="center" vertical="center"/>
    </xf>
    <xf borderId="47" fillId="3" fontId="42" numFmtId="0" xfId="0" applyAlignment="1" applyBorder="1" applyFont="1">
      <alignment horizontal="left" vertical="center"/>
    </xf>
    <xf borderId="47" fillId="3" fontId="45" numFmtId="0" xfId="0" applyBorder="1" applyFont="1"/>
    <xf borderId="1" fillId="3" fontId="45" numFmtId="0" xfId="0" applyBorder="1" applyFont="1"/>
    <xf borderId="1" fillId="3" fontId="45" numFmtId="0" xfId="0" applyAlignment="1" applyBorder="1" applyFont="1">
      <alignment horizontal="center"/>
    </xf>
    <xf borderId="1" fillId="3" fontId="41" numFmtId="0" xfId="0" applyBorder="1" applyFont="1"/>
    <xf borderId="48" fillId="3" fontId="41" numFmtId="0" xfId="0" applyBorder="1" applyFont="1"/>
    <xf borderId="60" fillId="13" fontId="40" numFmtId="0" xfId="0" applyAlignment="1" applyBorder="1" applyFont="1">
      <alignment horizontal="left" shrinkToFit="0" vertical="top" wrapText="1"/>
    </xf>
    <xf borderId="18" fillId="13" fontId="40" numFmtId="0" xfId="0" applyAlignment="1" applyBorder="1" applyFont="1">
      <alignment horizontal="center" shrinkToFit="0" vertical="center" wrapText="1"/>
    </xf>
    <xf borderId="61" fillId="13" fontId="45" numFmtId="0" xfId="0" applyAlignment="1" applyBorder="1" applyFont="1">
      <alignment horizontal="center" vertical="center"/>
    </xf>
    <xf borderId="58" fillId="13" fontId="45" numFmtId="0" xfId="0" applyAlignment="1" applyBorder="1" applyFont="1">
      <alignment horizontal="center" vertical="center"/>
    </xf>
    <xf borderId="62" fillId="13" fontId="45" numFmtId="0" xfId="0" applyAlignment="1" applyBorder="1" applyFont="1">
      <alignment horizontal="center" vertical="center"/>
    </xf>
    <xf borderId="59" fillId="13" fontId="40" numFmtId="0" xfId="0" applyAlignment="1" applyBorder="1" applyFont="1">
      <alignment horizontal="center" vertical="center"/>
    </xf>
    <xf borderId="70" fillId="34" fontId="42" numFmtId="0" xfId="0" applyAlignment="1" applyBorder="1" applyFont="1">
      <alignment horizontal="center" vertical="center"/>
    </xf>
    <xf borderId="70" fillId="2" fontId="55" numFmtId="0" xfId="0" applyAlignment="1" applyBorder="1" applyFont="1">
      <alignment horizontal="center" readingOrder="0" vertical="center"/>
    </xf>
    <xf borderId="70" fillId="29" fontId="45" numFmtId="0" xfId="0" applyAlignment="1" applyBorder="1" applyFont="1">
      <alignment horizontal="center" vertical="center"/>
    </xf>
    <xf borderId="70" fillId="21" fontId="42" numFmtId="0" xfId="0" applyAlignment="1" applyBorder="1" applyFont="1">
      <alignment horizontal="center" vertical="center"/>
    </xf>
    <xf borderId="105" fillId="2" fontId="1" numFmtId="0" xfId="0" applyAlignment="1" applyBorder="1" applyFont="1">
      <alignment horizontal="center"/>
    </xf>
    <xf borderId="106" fillId="0" fontId="5" numFmtId="0" xfId="0" applyBorder="1" applyFont="1"/>
    <xf borderId="107" fillId="0" fontId="5" numFmtId="0" xfId="0" applyBorder="1" applyFont="1"/>
    <xf borderId="27" fillId="2" fontId="48" numFmtId="0" xfId="0" applyAlignment="1" applyBorder="1" applyFont="1">
      <alignment horizontal="center" vertical="center"/>
    </xf>
    <xf borderId="27" fillId="2" fontId="49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left" vertical="center"/>
    </xf>
    <xf borderId="60" fillId="2" fontId="38" numFmtId="0" xfId="0" applyAlignment="1" applyBorder="1" applyFont="1">
      <alignment horizontal="center" vertical="center"/>
    </xf>
    <xf borderId="108" fillId="2" fontId="56" numFmtId="0" xfId="0" applyAlignment="1" applyBorder="1" applyFont="1">
      <alignment horizontal="center" vertical="center"/>
    </xf>
    <xf borderId="4" fillId="0" fontId="1" numFmtId="0" xfId="0" applyBorder="1" applyFont="1"/>
    <xf borderId="5" fillId="0" fontId="1" numFmtId="0" xfId="0" applyBorder="1" applyFont="1"/>
    <xf borderId="1" fillId="2" fontId="57" numFmtId="0" xfId="0" applyAlignment="1" applyBorder="1" applyFont="1">
      <alignment vertical="center"/>
    </xf>
    <xf borderId="1" fillId="2" fontId="57" numFmtId="0" xfId="0" applyAlignment="1" applyBorder="1" applyFont="1">
      <alignment horizontal="center" vertical="center"/>
    </xf>
    <xf borderId="0" fillId="0" fontId="58" numFmtId="0" xfId="0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5" fillId="2" fontId="44" numFmtId="0" xfId="0" applyAlignment="1" applyBorder="1" applyFont="1">
      <alignment horizontal="center" vertical="center"/>
    </xf>
    <xf borderId="3" fillId="2" fontId="44" numFmtId="164" xfId="0" applyAlignment="1" applyBorder="1" applyFont="1" applyNumberFormat="1">
      <alignment horizontal="center" vertical="center"/>
    </xf>
    <xf borderId="60" fillId="25" fontId="42" numFmtId="0" xfId="0" applyAlignment="1" applyBorder="1" applyFont="1">
      <alignment horizontal="center" vertical="center"/>
    </xf>
    <xf borderId="19" fillId="25" fontId="42" numFmtId="164" xfId="0" applyAlignment="1" applyBorder="1" applyFont="1" applyNumberFormat="1">
      <alignment horizontal="center" vertical="center"/>
    </xf>
    <xf borderId="60" fillId="23" fontId="42" numFmtId="0" xfId="0" applyAlignment="1" applyBorder="1" applyFont="1">
      <alignment horizontal="center" vertical="center"/>
    </xf>
    <xf borderId="19" fillId="23" fontId="42" numFmtId="164" xfId="0" applyAlignment="1" applyBorder="1" applyFont="1" applyNumberFormat="1">
      <alignment horizontal="center" vertical="center"/>
    </xf>
    <xf borderId="87" fillId="2" fontId="59" numFmtId="165" xfId="0" applyAlignment="1" applyBorder="1" applyFont="1" applyNumberFormat="1">
      <alignment horizontal="center" vertical="center"/>
    </xf>
    <xf borderId="19" fillId="2" fontId="18" numFmtId="164" xfId="0" applyAlignment="1" applyBorder="1" applyFont="1" applyNumberFormat="1">
      <alignment horizontal="center" vertical="center"/>
    </xf>
    <xf borderId="86" fillId="27" fontId="42" numFmtId="0" xfId="0" applyAlignment="1" applyBorder="1" applyFont="1">
      <alignment horizontal="center" vertical="center"/>
    </xf>
    <xf borderId="27" fillId="27" fontId="42" numFmtId="164" xfId="0" applyAlignment="1" applyBorder="1" applyFont="1" applyNumberFormat="1">
      <alignment horizontal="center" vertical="center"/>
    </xf>
    <xf borderId="86" fillId="2" fontId="59" numFmtId="0" xfId="0" applyAlignment="1" applyBorder="1" applyFont="1">
      <alignment horizontal="center" vertical="center"/>
    </xf>
    <xf borderId="27" fillId="2" fontId="44" numFmtId="164" xfId="0" applyAlignment="1" applyBorder="1" applyFont="1" applyNumberFormat="1">
      <alignment horizontal="center" vertical="center"/>
    </xf>
    <xf borderId="1" fillId="2" fontId="59" numFmtId="165" xfId="0" applyAlignment="1" applyBorder="1" applyFont="1" applyNumberFormat="1">
      <alignment horizontal="center" vertical="center"/>
    </xf>
    <xf borderId="27" fillId="2" fontId="18" numFmtId="164" xfId="0" applyAlignment="1" applyBorder="1" applyFont="1" applyNumberFormat="1">
      <alignment horizontal="center" vertical="center"/>
    </xf>
    <xf borderId="86" fillId="31" fontId="42" numFmtId="0" xfId="0" applyAlignment="1" applyBorder="1" applyFont="1">
      <alignment horizontal="center" vertical="center"/>
    </xf>
    <xf borderId="27" fillId="31" fontId="42" numFmtId="164" xfId="0" applyAlignment="1" applyBorder="1" applyFont="1" applyNumberFormat="1">
      <alignment horizontal="center" vertical="center"/>
    </xf>
    <xf borderId="86" fillId="2" fontId="59" numFmtId="165" xfId="0" applyAlignment="1" applyBorder="1" applyFont="1" applyNumberFormat="1">
      <alignment horizontal="center" vertical="center"/>
    </xf>
    <xf borderId="86" fillId="34" fontId="42" numFmtId="0" xfId="0" applyAlignment="1" applyBorder="1" applyFont="1">
      <alignment horizontal="center" vertical="center"/>
    </xf>
    <xf borderId="27" fillId="34" fontId="42" numFmtId="164" xfId="0" applyAlignment="1" applyBorder="1" applyFont="1" applyNumberFormat="1">
      <alignment horizontal="center" vertical="center"/>
    </xf>
    <xf borderId="1" fillId="2" fontId="60" numFmtId="0" xfId="0" applyAlignment="1" applyBorder="1" applyFont="1">
      <alignment horizontal="center" vertical="center"/>
    </xf>
    <xf borderId="3" fillId="2" fontId="44" numFmtId="0" xfId="0" applyAlignment="1" applyBorder="1" applyFont="1">
      <alignment horizontal="center" vertical="center"/>
    </xf>
    <xf borderId="89" fillId="45" fontId="42" numFmtId="0" xfId="0" applyAlignment="1" applyBorder="1" applyFill="1" applyFont="1">
      <alignment horizontal="center" vertical="center"/>
    </xf>
    <xf borderId="38" fillId="45" fontId="42" numFmtId="164" xfId="0" applyAlignment="1" applyBorder="1" applyFont="1" applyNumberFormat="1">
      <alignment horizontal="center" vertical="center"/>
    </xf>
    <xf borderId="89" fillId="2" fontId="59" numFmtId="165" xfId="0" applyAlignment="1" applyBorder="1" applyFont="1" applyNumberFormat="1">
      <alignment horizontal="center" vertical="center"/>
    </xf>
    <xf borderId="38" fillId="2" fontId="18" numFmtId="164" xfId="0" applyAlignment="1" applyBorder="1" applyFont="1" applyNumberFormat="1">
      <alignment horizontal="center" vertical="center"/>
    </xf>
    <xf borderId="99" fillId="2" fontId="60" numFmtId="0" xfId="0" applyAlignment="1" applyBorder="1" applyFont="1">
      <alignment horizontal="center" vertical="center"/>
    </xf>
    <xf borderId="92" fillId="3" fontId="41" numFmtId="0" xfId="0" applyAlignment="1" applyBorder="1" applyFont="1">
      <alignment horizontal="left"/>
    </xf>
    <xf borderId="93" fillId="3" fontId="41" numFmtId="0" xfId="0" applyBorder="1" applyFont="1"/>
    <xf borderId="92" fillId="3" fontId="60" numFmtId="0" xfId="0" applyBorder="1" applyFont="1"/>
    <xf borderId="93" fillId="3" fontId="60" numFmtId="0" xfId="0" applyBorder="1" applyFont="1"/>
    <xf borderId="99" fillId="3" fontId="60" numFmtId="0" xfId="0" applyBorder="1" applyFont="1"/>
    <xf borderId="101" fillId="3" fontId="60" numFmtId="0" xfId="0" applyBorder="1" applyFont="1"/>
    <xf borderId="47" fillId="3" fontId="44" numFmtId="0" xfId="0" applyAlignment="1" applyBorder="1" applyFont="1">
      <alignment horizontal="left" vertical="center"/>
    </xf>
    <xf borderId="47" fillId="3" fontId="59" numFmtId="0" xfId="0" applyBorder="1" applyFont="1"/>
    <xf borderId="50" fillId="3" fontId="44" numFmtId="0" xfId="0" applyAlignment="1" applyBorder="1" applyFont="1">
      <alignment horizontal="left" vertical="center"/>
    </xf>
    <xf borderId="50" fillId="3" fontId="59" numFmtId="0" xfId="0" applyAlignment="1" applyBorder="1" applyFont="1">
      <alignment horizontal="center"/>
    </xf>
    <xf borderId="50" fillId="3" fontId="59" numFmtId="0" xfId="0" applyBorder="1" applyFont="1"/>
    <xf borderId="51" fillId="0" fontId="59" numFmtId="0" xfId="0" applyBorder="1" applyFont="1"/>
    <xf borderId="52" fillId="3" fontId="44" numFmtId="0" xfId="0" applyAlignment="1" applyBorder="1" applyFont="1">
      <alignment vertical="center"/>
    </xf>
    <xf borderId="43" fillId="3" fontId="44" numFmtId="0" xfId="0" applyAlignment="1" applyBorder="1" applyFont="1">
      <alignment horizontal="center" vertical="center"/>
    </xf>
    <xf borderId="55" fillId="3" fontId="61" numFmtId="0" xfId="0" applyAlignment="1" applyBorder="1" applyFont="1">
      <alignment horizontal="center" vertical="center"/>
    </xf>
    <xf borderId="57" fillId="3" fontId="62" numFmtId="0" xfId="0" applyAlignment="1" applyBorder="1" applyFont="1">
      <alignment horizontal="center" vertical="center"/>
    </xf>
    <xf borderId="58" fillId="3" fontId="44" numFmtId="0" xfId="0" applyAlignment="1" applyBorder="1" applyFont="1">
      <alignment horizontal="center" shrinkToFit="0" vertical="center" wrapText="1"/>
    </xf>
    <xf borderId="59" fillId="3" fontId="44" numFmtId="0" xfId="0" applyAlignment="1" applyBorder="1" applyFont="1">
      <alignment horizontal="center" shrinkToFit="0" vertical="center" wrapText="1"/>
    </xf>
    <xf borderId="32" fillId="0" fontId="1" numFmtId="0" xfId="0" applyBorder="1" applyFont="1"/>
    <xf borderId="54" fillId="0" fontId="1" numFmtId="0" xfId="0" applyBorder="1" applyFont="1"/>
    <xf borderId="109" fillId="3" fontId="63" numFmtId="0" xfId="0" applyAlignment="1" applyBorder="1" applyFont="1">
      <alignment horizontal="center" vertical="center"/>
    </xf>
    <xf borderId="56" fillId="0" fontId="1" numFmtId="0" xfId="0" applyBorder="1" applyFont="1"/>
    <xf borderId="110" fillId="3" fontId="64" numFmtId="0" xfId="0" applyAlignment="1" applyBorder="1" applyFont="1">
      <alignment horizontal="center" vertical="center"/>
    </xf>
    <xf borderId="60" fillId="46" fontId="40" numFmtId="0" xfId="0" applyAlignment="1" applyBorder="1" applyFill="1" applyFont="1">
      <alignment horizontal="left" shrinkToFit="0" vertical="top" wrapText="1"/>
    </xf>
    <xf borderId="18" fillId="46" fontId="40" numFmtId="0" xfId="0" applyAlignment="1" applyBorder="1" applyFont="1">
      <alignment horizontal="center" shrinkToFit="0" vertical="center" wrapText="1"/>
    </xf>
    <xf borderId="62" fillId="46" fontId="59" numFmtId="0" xfId="0" applyAlignment="1" applyBorder="1" applyFont="1">
      <alignment horizontal="center" vertical="center"/>
    </xf>
    <xf borderId="58" fillId="46" fontId="59" numFmtId="0" xfId="0" applyAlignment="1" applyBorder="1" applyFont="1">
      <alignment horizontal="center" vertical="center"/>
    </xf>
    <xf borderId="59" fillId="46" fontId="18" numFmtId="0" xfId="0" applyAlignment="1" applyBorder="1" applyFont="1">
      <alignment horizontal="center" vertical="center"/>
    </xf>
    <xf borderId="13" fillId="5" fontId="18" numFmtId="0" xfId="0" applyAlignment="1" applyBorder="1" applyFont="1">
      <alignment horizontal="center" shrinkToFit="0" vertical="center" wrapText="1"/>
    </xf>
    <xf borderId="65" fillId="5" fontId="59" numFmtId="0" xfId="0" applyAlignment="1" applyBorder="1" applyFont="1">
      <alignment horizontal="center" vertical="center"/>
    </xf>
    <xf borderId="66" fillId="5" fontId="59" numFmtId="0" xfId="0" applyAlignment="1" applyBorder="1" applyFont="1">
      <alignment horizontal="center" vertical="center"/>
    </xf>
    <xf borderId="14" fillId="5" fontId="18" numFmtId="0" xfId="0" applyAlignment="1" applyBorder="1" applyFont="1">
      <alignment horizontal="center" vertical="center"/>
    </xf>
    <xf borderId="24" fillId="2" fontId="18" numFmtId="0" xfId="0" applyAlignment="1" applyBorder="1" applyFont="1">
      <alignment horizontal="center" vertical="center"/>
    </xf>
    <xf borderId="69" fillId="2" fontId="44" numFmtId="0" xfId="0" applyAlignment="1" applyBorder="1" applyFont="1">
      <alignment horizontal="center" vertical="center"/>
    </xf>
    <xf borderId="69" fillId="2" fontId="18" numFmtId="0" xfId="0" applyAlignment="1" applyBorder="1" applyFont="1">
      <alignment horizontal="center" vertical="center"/>
    </xf>
    <xf borderId="70" fillId="2" fontId="44" numFmtId="0" xfId="0" applyAlignment="1" applyBorder="1" applyFont="1">
      <alignment horizontal="center" vertical="center"/>
    </xf>
    <xf borderId="70" fillId="13" fontId="44" numFmtId="0" xfId="0" applyAlignment="1" applyBorder="1" applyFont="1">
      <alignment horizontal="center" vertical="center"/>
    </xf>
    <xf borderId="24" fillId="47" fontId="44" numFmtId="0" xfId="0" applyAlignment="1" applyBorder="1" applyFill="1" applyFont="1">
      <alignment horizontal="center" vertical="center"/>
    </xf>
    <xf borderId="70" fillId="2" fontId="18" numFmtId="0" xfId="0" applyAlignment="1" applyBorder="1" applyFont="1">
      <alignment horizontal="center" vertical="center"/>
    </xf>
    <xf borderId="69" fillId="5" fontId="44" numFmtId="0" xfId="0" applyAlignment="1" applyBorder="1" applyFont="1">
      <alignment horizontal="center" vertical="center"/>
    </xf>
    <xf borderId="24" fillId="5" fontId="18" numFmtId="0" xfId="0" applyAlignment="1" applyBorder="1" applyFont="1">
      <alignment horizontal="center" vertical="center"/>
    </xf>
    <xf borderId="70" fillId="5" fontId="44" numFmtId="0" xfId="0" applyAlignment="1" applyBorder="1" applyFont="1">
      <alignment horizontal="center" vertical="center"/>
    </xf>
    <xf borderId="24" fillId="2" fontId="44" numFmtId="0" xfId="0" applyAlignment="1" applyBorder="1" applyFont="1">
      <alignment horizontal="center" vertical="center"/>
    </xf>
    <xf borderId="69" fillId="29" fontId="18" numFmtId="0" xfId="0" applyAlignment="1" applyBorder="1" applyFont="1">
      <alignment horizontal="center" vertical="center"/>
    </xf>
    <xf borderId="70" fillId="29" fontId="44" numFmtId="0" xfId="0" applyAlignment="1" applyBorder="1" applyFont="1">
      <alignment horizontal="center" vertical="center"/>
    </xf>
    <xf borderId="70" fillId="29" fontId="18" numFmtId="0" xfId="0" applyAlignment="1" applyBorder="1" applyFont="1">
      <alignment horizontal="center" vertical="center"/>
    </xf>
    <xf borderId="0" fillId="0" fontId="60" numFmtId="0" xfId="0" applyFont="1"/>
    <xf borderId="70" fillId="26" fontId="44" numFmtId="0" xfId="0" applyAlignment="1" applyBorder="1" applyFont="1">
      <alignment horizontal="center" vertical="center"/>
    </xf>
    <xf borderId="70" fillId="47" fontId="18" numFmtId="0" xfId="0" applyAlignment="1" applyBorder="1" applyFont="1">
      <alignment horizontal="center" vertical="center"/>
    </xf>
    <xf borderId="70" fillId="47" fontId="44" numFmtId="0" xfId="0" applyAlignment="1" applyBorder="1" applyFont="1">
      <alignment horizontal="center" vertical="center"/>
    </xf>
    <xf borderId="24" fillId="29" fontId="18" numFmtId="0" xfId="0" applyAlignment="1" applyBorder="1" applyFont="1">
      <alignment horizontal="center" vertical="center"/>
    </xf>
    <xf borderId="70" fillId="29" fontId="59" numFmtId="0" xfId="0" applyAlignment="1" applyBorder="1" applyFont="1">
      <alignment horizontal="center" vertical="center"/>
    </xf>
    <xf borderId="76" fillId="2" fontId="18" numFmtId="0" xfId="0" applyAlignment="1" applyBorder="1" applyFont="1">
      <alignment horizontal="center" vertical="center"/>
    </xf>
    <xf borderId="78" fillId="2" fontId="18" numFmtId="0" xfId="0" applyAlignment="1" applyBorder="1" applyFont="1">
      <alignment horizontal="center" vertical="center"/>
    </xf>
    <xf borderId="79" fillId="2" fontId="18" numFmtId="0" xfId="0" applyAlignment="1" applyBorder="1" applyFont="1">
      <alignment horizontal="center" vertical="center"/>
    </xf>
    <xf borderId="1" fillId="2" fontId="60" numFmtId="0" xfId="0" applyBorder="1" applyFont="1"/>
    <xf borderId="1" fillId="2" fontId="58" numFmtId="0" xfId="0" applyBorder="1" applyFont="1"/>
    <xf borderId="1" fillId="2" fontId="18" numFmtId="0" xfId="0" applyAlignment="1" applyBorder="1" applyFont="1">
      <alignment horizontal="center" vertical="center"/>
    </xf>
    <xf borderId="47" fillId="2" fontId="18" numFmtId="0" xfId="0" applyAlignment="1" applyBorder="1" applyFont="1">
      <alignment horizontal="center" vertical="center"/>
    </xf>
    <xf borderId="47" fillId="2" fontId="60" numFmtId="0" xfId="0" applyBorder="1" applyFont="1"/>
    <xf borderId="47" fillId="2" fontId="18" numFmtId="0" xfId="0" applyAlignment="1" applyBorder="1" applyFont="1">
      <alignment vertical="center"/>
    </xf>
    <xf borderId="1" fillId="2" fontId="18" numFmtId="0" xfId="0" applyAlignment="1" applyBorder="1" applyFont="1">
      <alignment vertical="center"/>
    </xf>
    <xf borderId="80" fillId="2" fontId="18" numFmtId="0" xfId="0" applyAlignment="1" applyBorder="1" applyFont="1">
      <alignment horizontal="center" vertical="center"/>
    </xf>
    <xf borderId="80" fillId="2" fontId="56" numFmtId="0" xfId="0" applyAlignment="1" applyBorder="1" applyFont="1">
      <alignment horizontal="center" vertical="center"/>
    </xf>
    <xf borderId="1" fillId="2" fontId="60" numFmtId="0" xfId="0" applyAlignment="1" applyBorder="1" applyFont="1">
      <alignment horizontal="center" shrinkToFit="0" vertical="center" wrapText="1"/>
    </xf>
    <xf borderId="27" fillId="2" fontId="60" numFmtId="0" xfId="0" applyAlignment="1" applyBorder="1" applyFont="1">
      <alignment horizontal="center" shrinkToFit="0" vertical="center" wrapText="1"/>
    </xf>
    <xf borderId="27" fillId="2" fontId="60" numFmtId="0" xfId="0" applyAlignment="1" applyBorder="1" applyFont="1">
      <alignment horizontal="center" vertical="center"/>
    </xf>
    <xf borderId="27" fillId="2" fontId="65" numFmtId="0" xfId="0" applyAlignment="1" applyBorder="1" applyFont="1">
      <alignment horizontal="center" vertical="center"/>
    </xf>
    <xf borderId="1" fillId="2" fontId="60" numFmtId="0" xfId="0" applyAlignment="1" applyBorder="1" applyFont="1">
      <alignment shrinkToFit="0" vertical="center" wrapText="1"/>
    </xf>
    <xf borderId="1" fillId="2" fontId="60" numFmtId="0" xfId="0" applyAlignment="1" applyBorder="1" applyFont="1">
      <alignment horizontal="center"/>
    </xf>
    <xf borderId="1" fillId="2" fontId="58" numFmtId="0" xfId="0" applyAlignment="1" applyBorder="1" applyFont="1">
      <alignment shrinkToFit="0" vertical="center" wrapText="1"/>
    </xf>
    <xf borderId="1" fillId="2" fontId="66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/>
    </xf>
    <xf borderId="13" fillId="2" fontId="40" numFmtId="3" xfId="0" applyAlignment="1" applyBorder="1" applyFont="1" applyNumberFormat="1">
      <alignment vertical="center"/>
    </xf>
    <xf borderId="60" fillId="4" fontId="42" numFmtId="0" xfId="0" applyAlignment="1" applyBorder="1" applyFont="1">
      <alignment horizontal="center" vertical="center"/>
    </xf>
    <xf borderId="19" fillId="4" fontId="42" numFmtId="164" xfId="0" applyAlignment="1" applyBorder="1" applyFont="1" applyNumberFormat="1">
      <alignment horizontal="center" vertical="center"/>
    </xf>
    <xf borderId="60" fillId="35" fontId="42" numFmtId="0" xfId="0" applyAlignment="1" applyBorder="1" applyFont="1">
      <alignment horizontal="center" vertical="center"/>
    </xf>
    <xf borderId="19" fillId="35" fontId="40" numFmtId="164" xfId="0" applyAlignment="1" applyBorder="1" applyFont="1" applyNumberFormat="1">
      <alignment horizontal="center" vertical="center"/>
    </xf>
    <xf borderId="87" fillId="36" fontId="42" numFmtId="0" xfId="0" applyAlignment="1" applyBorder="1" applyFont="1">
      <alignment horizontal="center" vertical="center"/>
    </xf>
    <xf borderId="87" fillId="2" fontId="45" numFmtId="165" xfId="0" applyAlignment="1" applyBorder="1" applyFont="1" applyNumberFormat="1">
      <alignment horizontal="center" vertical="center"/>
    </xf>
    <xf borderId="60" fillId="2" fontId="41" numFmtId="0" xfId="0" applyAlignment="1" applyBorder="1" applyFont="1">
      <alignment horizontal="center" vertical="center"/>
    </xf>
    <xf borderId="87" fillId="2" fontId="40" numFmtId="164" xfId="0" applyAlignment="1" applyBorder="1" applyFont="1" applyNumberFormat="1">
      <alignment horizontal="center" vertical="center"/>
    </xf>
    <xf borderId="4" fillId="0" fontId="41" numFmtId="0" xfId="0" applyAlignment="1" applyBorder="1" applyFont="1">
      <alignment vertical="center"/>
    </xf>
    <xf borderId="24" fillId="2" fontId="40" numFmtId="3" xfId="0" applyAlignment="1" applyBorder="1" applyFont="1" applyNumberFormat="1">
      <alignment vertical="center"/>
    </xf>
    <xf borderId="86" fillId="14" fontId="42" numFmtId="0" xfId="0" applyAlignment="1" applyBorder="1" applyFont="1">
      <alignment horizontal="center" vertical="center"/>
    </xf>
    <xf borderId="27" fillId="14" fontId="42" numFmtId="164" xfId="0" applyAlignment="1" applyBorder="1" applyFont="1" applyNumberFormat="1">
      <alignment horizontal="center" vertical="center"/>
    </xf>
    <xf borderId="86" fillId="2" fontId="41" numFmtId="0" xfId="0" applyAlignment="1" applyBorder="1" applyFont="1">
      <alignment horizontal="center" vertical="center"/>
    </xf>
    <xf borderId="0" fillId="0" fontId="41" numFmtId="0" xfId="0" applyAlignment="1" applyFont="1">
      <alignment vertical="center"/>
    </xf>
    <xf borderId="86" fillId="16" fontId="42" numFmtId="0" xfId="0" applyAlignment="1" applyBorder="1" applyFont="1">
      <alignment horizontal="center" vertical="center"/>
    </xf>
    <xf borderId="27" fillId="16" fontId="42" numFmtId="164" xfId="0" applyAlignment="1" applyBorder="1" applyFont="1" applyNumberFormat="1">
      <alignment horizontal="center" vertical="center"/>
    </xf>
    <xf borderId="86" fillId="19" fontId="42" numFmtId="0" xfId="0" applyAlignment="1" applyBorder="1" applyFont="1">
      <alignment horizontal="center" vertical="center"/>
    </xf>
    <xf borderId="27" fillId="19" fontId="42" numFmtId="164" xfId="0" applyAlignment="1" applyBorder="1" applyFont="1" applyNumberFormat="1">
      <alignment horizontal="center" vertical="center"/>
    </xf>
    <xf borderId="86" fillId="22" fontId="42" numFmtId="0" xfId="0" applyAlignment="1" applyBorder="1" applyFont="1">
      <alignment horizontal="center" vertical="center"/>
    </xf>
    <xf borderId="27" fillId="22" fontId="42" numFmtId="164" xfId="0" applyAlignment="1" applyBorder="1" applyFont="1" applyNumberFormat="1">
      <alignment horizontal="center" vertical="center"/>
    </xf>
    <xf borderId="86" fillId="23" fontId="42" numFmtId="0" xfId="0" applyAlignment="1" applyBorder="1" applyFont="1">
      <alignment horizontal="center" vertical="center"/>
    </xf>
    <xf borderId="27" fillId="23" fontId="42" numFmtId="164" xfId="0" applyAlignment="1" applyBorder="1" applyFont="1" applyNumberFormat="1">
      <alignment horizontal="center" vertical="center"/>
    </xf>
    <xf borderId="86" fillId="25" fontId="42" numFmtId="0" xfId="0" applyAlignment="1" applyBorder="1" applyFont="1">
      <alignment horizontal="center" vertical="center"/>
    </xf>
    <xf borderId="27" fillId="25" fontId="42" numFmtId="164" xfId="0" applyAlignment="1" applyBorder="1" applyFont="1" applyNumberFormat="1">
      <alignment horizontal="center" vertical="center"/>
    </xf>
    <xf borderId="86" fillId="48" fontId="42" numFmtId="0" xfId="0" applyAlignment="1" applyBorder="1" applyFill="1" applyFont="1">
      <alignment horizontal="center" vertical="center"/>
    </xf>
    <xf borderId="27" fillId="48" fontId="42" numFmtId="164" xfId="0" applyAlignment="1" applyBorder="1" applyFont="1" applyNumberFormat="1">
      <alignment horizontal="center" vertical="center"/>
    </xf>
    <xf borderId="86" fillId="2" fontId="42" numFmtId="165" xfId="0" applyAlignment="1" applyBorder="1" applyFont="1" applyNumberFormat="1">
      <alignment horizontal="center" vertical="center"/>
    </xf>
    <xf borderId="35" fillId="2" fontId="40" numFmtId="3" xfId="0" applyAlignment="1" applyBorder="1" applyFont="1" applyNumberFormat="1">
      <alignment vertical="center"/>
    </xf>
    <xf borderId="89" fillId="33" fontId="42" numFmtId="0" xfId="0" applyAlignment="1" applyBorder="1" applyFont="1">
      <alignment horizontal="center" vertical="center"/>
    </xf>
    <xf borderId="38" fillId="33" fontId="40" numFmtId="164" xfId="0" applyAlignment="1" applyBorder="1" applyFont="1" applyNumberFormat="1">
      <alignment horizontal="center" vertical="center"/>
    </xf>
    <xf borderId="89" fillId="34" fontId="42" numFmtId="0" xfId="0" applyAlignment="1" applyBorder="1" applyFont="1">
      <alignment horizontal="center" vertical="center"/>
    </xf>
    <xf borderId="38" fillId="34" fontId="40" numFmtId="164" xfId="0" applyAlignment="1" applyBorder="1" applyFont="1" applyNumberFormat="1">
      <alignment horizontal="center" vertical="center"/>
    </xf>
    <xf borderId="89" fillId="2" fontId="42" numFmtId="165" xfId="0" applyAlignment="1" applyBorder="1" applyFont="1" applyNumberFormat="1">
      <alignment horizontal="center" vertical="center"/>
    </xf>
    <xf borderId="89" fillId="2" fontId="41" numFmtId="0" xfId="0" applyAlignment="1" applyBorder="1" applyFont="1">
      <alignment horizontal="center" vertical="center"/>
    </xf>
    <xf borderId="99" fillId="2" fontId="40" numFmtId="0" xfId="0" applyAlignment="1" applyBorder="1" applyFont="1">
      <alignment horizontal="center" vertical="center"/>
    </xf>
    <xf borderId="33" fillId="0" fontId="41" numFmtId="0" xfId="0" applyAlignment="1" applyBorder="1" applyFont="1">
      <alignment vertical="center"/>
    </xf>
    <xf borderId="34" fillId="0" fontId="41" numFmtId="0" xfId="0" applyBorder="1" applyFont="1"/>
    <xf borderId="43" fillId="3" fontId="41" numFmtId="0" xfId="0" applyAlignment="1" applyBorder="1" applyFont="1">
      <alignment horizontal="center"/>
    </xf>
    <xf borderId="111" fillId="3" fontId="42" numFmtId="0" xfId="0" applyAlignment="1" applyBorder="1" applyFont="1">
      <alignment vertical="center"/>
    </xf>
    <xf borderId="55" fillId="3" fontId="42" numFmtId="0" xfId="0" applyAlignment="1" applyBorder="1" applyFont="1">
      <alignment horizontal="left" vertical="center"/>
    </xf>
    <xf borderId="93" fillId="3" fontId="45" numFmtId="0" xfId="0" applyBorder="1" applyFont="1"/>
    <xf borderId="93" fillId="3" fontId="45" numFmtId="0" xfId="0" applyAlignment="1" applyBorder="1" applyFont="1">
      <alignment horizontal="center"/>
    </xf>
    <xf borderId="44" fillId="0" fontId="41" numFmtId="0" xfId="0" applyBorder="1" applyFont="1"/>
    <xf borderId="45" fillId="0" fontId="41" numFmtId="0" xfId="0" applyBorder="1" applyFont="1"/>
    <xf borderId="99" fillId="3" fontId="42" numFmtId="0" xfId="0" applyAlignment="1" applyBorder="1" applyFont="1">
      <alignment horizontal="left" vertical="center"/>
    </xf>
    <xf borderId="99" fillId="3" fontId="45" numFmtId="0" xfId="0" applyAlignment="1" applyBorder="1" applyFont="1">
      <alignment horizontal="center"/>
    </xf>
    <xf borderId="99" fillId="3" fontId="45" numFmtId="0" xfId="0" applyBorder="1" applyFont="1"/>
    <xf borderId="33" fillId="0" fontId="45" numFmtId="0" xfId="0" applyBorder="1" applyFont="1"/>
    <xf borderId="99" fillId="3" fontId="42" numFmtId="0" xfId="0" applyAlignment="1" applyBorder="1" applyFont="1">
      <alignment vertical="center"/>
    </xf>
    <xf borderId="33" fillId="0" fontId="41" numFmtId="0" xfId="0" applyBorder="1" applyFont="1"/>
    <xf borderId="42" fillId="3" fontId="42" numFmtId="0" xfId="0" applyAlignment="1" applyBorder="1" applyFont="1">
      <alignment horizontal="center" vertical="center"/>
    </xf>
    <xf borderId="42" fillId="3" fontId="40" numFmtId="0" xfId="0" applyAlignment="1" applyBorder="1" applyFont="1">
      <alignment horizontal="center"/>
    </xf>
    <xf borderId="60" fillId="49" fontId="40" numFmtId="0" xfId="0" applyAlignment="1" applyBorder="1" applyFill="1" applyFont="1">
      <alignment shrinkToFit="0" vertical="top" wrapText="1"/>
    </xf>
    <xf borderId="18" fillId="49" fontId="40" numFmtId="0" xfId="0" applyAlignment="1" applyBorder="1" applyFont="1">
      <alignment horizontal="center" shrinkToFit="0" vertical="center" wrapText="1"/>
    </xf>
    <xf borderId="61" fillId="49" fontId="45" numFmtId="0" xfId="0" applyAlignment="1" applyBorder="1" applyFont="1">
      <alignment horizontal="center" vertical="center"/>
    </xf>
    <xf borderId="58" fillId="49" fontId="45" numFmtId="0" xfId="0" applyAlignment="1" applyBorder="1" applyFont="1">
      <alignment horizontal="center" vertical="center"/>
    </xf>
    <xf borderId="62" fillId="49" fontId="45" numFmtId="0" xfId="0" applyAlignment="1" applyBorder="1" applyFont="1">
      <alignment horizontal="center" vertical="center"/>
    </xf>
    <xf borderId="59" fillId="49" fontId="40" numFmtId="0" xfId="0" applyAlignment="1" applyBorder="1" applyFont="1">
      <alignment horizontal="center" vertical="center"/>
    </xf>
    <xf borderId="0" fillId="0" fontId="41" numFmtId="0" xfId="0" applyAlignment="1" applyFont="1">
      <alignment horizontal="center"/>
    </xf>
    <xf borderId="63" fillId="49" fontId="40" numFmtId="0" xfId="0" applyAlignment="1" applyBorder="1" applyFont="1">
      <alignment shrinkToFit="0" vertical="center" wrapText="1"/>
    </xf>
    <xf borderId="64" fillId="49" fontId="40" numFmtId="0" xfId="0" applyAlignment="1" applyBorder="1" applyFont="1">
      <alignment shrinkToFit="0" vertical="center" wrapText="1"/>
    </xf>
    <xf borderId="65" fillId="49" fontId="40" numFmtId="0" xfId="0" applyAlignment="1" applyBorder="1" applyFont="1">
      <alignment horizontal="center" shrinkToFit="0" vertical="center" wrapText="1"/>
    </xf>
    <xf borderId="65" fillId="49" fontId="45" numFmtId="0" xfId="0" applyAlignment="1" applyBorder="1" applyFont="1">
      <alignment horizontal="center" vertical="center"/>
    </xf>
    <xf borderId="66" fillId="49" fontId="45" numFmtId="0" xfId="0" applyAlignment="1" applyBorder="1" applyFont="1">
      <alignment horizontal="center" vertical="center"/>
    </xf>
    <xf borderId="66" fillId="49" fontId="41" numFmtId="0" xfId="0" applyAlignment="1" applyBorder="1" applyFont="1">
      <alignment horizontal="center" vertical="center"/>
    </xf>
    <xf borderId="14" fillId="49" fontId="40" numFmtId="0" xfId="0" applyAlignment="1" applyBorder="1" applyFont="1">
      <alignment horizontal="center" vertical="center"/>
    </xf>
    <xf borderId="67" fillId="2" fontId="41" numFmtId="0" xfId="0" applyAlignment="1" applyBorder="1" applyFont="1">
      <alignment shrinkToFit="0" vertical="center" wrapText="1"/>
    </xf>
    <xf borderId="70" fillId="4" fontId="42" numFmtId="0" xfId="0" applyAlignment="1" applyBorder="1" applyFont="1">
      <alignment horizontal="center" vertical="center"/>
    </xf>
    <xf borderId="69" fillId="14" fontId="40" numFmtId="0" xfId="0" applyAlignment="1" applyBorder="1" applyFont="1">
      <alignment horizontal="center" vertical="center"/>
    </xf>
    <xf borderId="67" fillId="49" fontId="40" numFmtId="0" xfId="0" applyAlignment="1" applyBorder="1" applyFont="1">
      <alignment shrinkToFit="0" vertical="center" wrapText="1"/>
    </xf>
    <xf borderId="68" fillId="49" fontId="40" numFmtId="0" xfId="0" applyAlignment="1" applyBorder="1" applyFont="1">
      <alignment shrinkToFit="0" vertical="center" wrapText="1"/>
    </xf>
    <xf borderId="69" fillId="49" fontId="40" numFmtId="0" xfId="0" applyAlignment="1" applyBorder="1" applyFont="1">
      <alignment horizontal="center" vertical="center"/>
    </xf>
    <xf borderId="69" fillId="49" fontId="42" numFmtId="0" xfId="0" applyAlignment="1" applyBorder="1" applyFont="1">
      <alignment horizontal="center" vertical="center"/>
    </xf>
    <xf borderId="70" fillId="49" fontId="42" numFmtId="0" xfId="0" applyAlignment="1" applyBorder="1" applyFont="1">
      <alignment horizontal="center" vertical="center"/>
    </xf>
    <xf borderId="70" fillId="49" fontId="40" numFmtId="0" xfId="0" applyAlignment="1" applyBorder="1" applyFont="1">
      <alignment horizontal="center" vertical="center"/>
    </xf>
    <xf borderId="25" fillId="49" fontId="40" numFmtId="0" xfId="0" applyAlignment="1" applyBorder="1" applyFont="1">
      <alignment horizontal="center" vertical="center"/>
    </xf>
    <xf borderId="70" fillId="16" fontId="42" numFmtId="0" xfId="0" applyAlignment="1" applyBorder="1" applyFont="1">
      <alignment horizontal="center" vertical="center"/>
    </xf>
    <xf borderId="67" fillId="2" fontId="41" numFmtId="0" xfId="0" applyAlignment="1" applyBorder="1" applyFont="1">
      <alignment vertical="center"/>
    </xf>
    <xf borderId="70" fillId="19" fontId="42" numFmtId="0" xfId="0" applyAlignment="1" applyBorder="1" applyFont="1">
      <alignment horizontal="center" vertical="center"/>
    </xf>
    <xf borderId="112" fillId="49" fontId="40" numFmtId="0" xfId="0" applyAlignment="1" applyBorder="1" applyFont="1">
      <alignment shrinkToFit="0" vertical="center" wrapText="1"/>
    </xf>
    <xf borderId="113" fillId="49" fontId="40" numFmtId="0" xfId="0" applyAlignment="1" applyBorder="1" applyFont="1">
      <alignment shrinkToFit="0" vertical="center" wrapText="1"/>
    </xf>
    <xf borderId="73" fillId="0" fontId="41" numFmtId="0" xfId="0" applyAlignment="1" applyBorder="1" applyFont="1">
      <alignment shrinkToFit="0" vertical="center" wrapText="1"/>
    </xf>
    <xf borderId="6" fillId="0" fontId="41" numFmtId="0" xfId="0" applyBorder="1" applyFont="1"/>
    <xf borderId="70" fillId="26" fontId="42" numFmtId="0" xfId="0" applyAlignment="1" applyBorder="1" applyFont="1">
      <alignment horizontal="center" vertical="center"/>
    </xf>
    <xf borderId="97" fillId="2" fontId="41" numFmtId="0" xfId="0" applyAlignment="1" applyBorder="1" applyFont="1">
      <alignment shrinkToFit="0" vertical="center" wrapText="1"/>
    </xf>
    <xf borderId="97" fillId="49" fontId="40" numFmtId="0" xfId="0" applyAlignment="1" applyBorder="1" applyFont="1">
      <alignment shrinkToFit="0" vertical="center" wrapText="1"/>
    </xf>
    <xf borderId="97" fillId="2" fontId="41" numFmtId="0" xfId="0" applyAlignment="1" applyBorder="1" applyFont="1">
      <alignment horizontal="left" shrinkToFit="0" vertical="center" wrapText="1"/>
    </xf>
    <xf borderId="70" fillId="41" fontId="42" numFmtId="0" xfId="0" applyAlignment="1" applyBorder="1" applyFont="1">
      <alignment horizontal="center" vertical="center"/>
    </xf>
    <xf borderId="67" fillId="49" fontId="40" numFmtId="0" xfId="0" applyAlignment="1" applyBorder="1" applyFont="1">
      <alignment vertical="center"/>
    </xf>
    <xf borderId="68" fillId="49" fontId="40" numFmtId="0" xfId="0" applyAlignment="1" applyBorder="1" applyFont="1">
      <alignment vertical="center"/>
    </xf>
    <xf borderId="74" fillId="49" fontId="40" numFmtId="0" xfId="0" applyAlignment="1" applyBorder="1" applyFont="1">
      <alignment shrinkToFit="0" vertical="center" wrapText="1"/>
    </xf>
    <xf borderId="75" fillId="49" fontId="40" numFmtId="0" xfId="0" applyAlignment="1" applyBorder="1" applyFont="1">
      <alignment shrinkToFit="0" vertical="center" wrapText="1"/>
    </xf>
    <xf borderId="64" fillId="49" fontId="40" numFmtId="0" xfId="0" applyAlignment="1" applyBorder="1" applyFont="1">
      <alignment vertical="center"/>
    </xf>
    <xf borderId="71" fillId="0" fontId="41" numFmtId="0" xfId="0" applyAlignment="1" applyBorder="1" applyFont="1">
      <alignment shrinkToFit="0" vertical="center" wrapText="1"/>
    </xf>
    <xf quotePrefix="1" borderId="68" fillId="2" fontId="41" numFmtId="0" xfId="0" applyAlignment="1" applyBorder="1" applyFont="1">
      <alignment vertical="center"/>
    </xf>
    <xf borderId="68" fillId="2" fontId="41" numFmtId="0" xfId="0" applyAlignment="1" applyBorder="1" applyFont="1">
      <alignment vertical="center"/>
    </xf>
    <xf borderId="102" fillId="2" fontId="41" numFmtId="0" xfId="0" applyAlignment="1" applyBorder="1" applyFont="1">
      <alignment shrinkToFit="0" vertical="center" wrapText="1"/>
    </xf>
    <xf borderId="114" fillId="2" fontId="41" numFmtId="0" xfId="0" applyAlignment="1" applyBorder="1" applyFont="1">
      <alignment shrinkToFit="0" vertical="center" wrapText="1"/>
    </xf>
    <xf borderId="1" fillId="3" fontId="11" numFmtId="0" xfId="0" applyBorder="1" applyFont="1"/>
    <xf borderId="1" fillId="3" fontId="8" numFmtId="0" xfId="0" applyBorder="1" applyFont="1"/>
    <xf borderId="1" fillId="2" fontId="7" numFmtId="0" xfId="0" applyBorder="1" applyFont="1"/>
    <xf borderId="27" fillId="2" fontId="53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shrinkToFit="0" vertical="center" wrapText="1"/>
    </xf>
    <xf borderId="1" fillId="2" fontId="6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horizontal="center" vertical="center"/>
    </xf>
    <xf borderId="1" fillId="2" fontId="51" numFmtId="0" xfId="0" applyAlignment="1" applyBorder="1" applyFont="1">
      <alignment vertical="center"/>
    </xf>
    <xf borderId="1" fillId="2" fontId="68" numFmtId="0" xfId="0" applyAlignment="1" applyBorder="1" applyFont="1">
      <alignment vertical="center"/>
    </xf>
    <xf borderId="60" fillId="16" fontId="42" numFmtId="0" xfId="0" applyAlignment="1" applyBorder="1" applyFont="1">
      <alignment horizontal="center" vertical="center"/>
    </xf>
    <xf borderId="19" fillId="16" fontId="42" numFmtId="164" xfId="0" applyAlignment="1" applyBorder="1" applyFont="1" applyNumberFormat="1">
      <alignment horizontal="center" vertical="center"/>
    </xf>
    <xf borderId="60" fillId="40" fontId="42" numFmtId="0" xfId="0" applyAlignment="1" applyBorder="1" applyFont="1">
      <alignment horizontal="center" vertical="center"/>
    </xf>
    <xf borderId="19" fillId="40" fontId="42" numFmtId="164" xfId="0" applyAlignment="1" applyBorder="1" applyFont="1" applyNumberFormat="1">
      <alignment horizontal="center" vertical="center"/>
    </xf>
    <xf borderId="89" fillId="20" fontId="42" numFmtId="0" xfId="0" applyAlignment="1" applyBorder="1" applyFont="1">
      <alignment horizontal="center" vertical="center"/>
    </xf>
    <xf borderId="38" fillId="20" fontId="40" numFmtId="164" xfId="0" applyAlignment="1" applyBorder="1" applyFont="1" applyNumberFormat="1">
      <alignment horizontal="center" vertical="center"/>
    </xf>
    <xf borderId="92" fillId="3" fontId="41" numFmtId="0" xfId="0" applyBorder="1" applyFont="1"/>
    <xf borderId="99" fillId="3" fontId="41" numFmtId="0" xfId="0" applyBorder="1" applyFont="1"/>
    <xf borderId="1" fillId="3" fontId="42" numFmtId="0" xfId="0" applyAlignment="1" applyBorder="1" applyFont="1">
      <alignment vertical="center"/>
    </xf>
    <xf borderId="60" fillId="38" fontId="40" numFmtId="0" xfId="0" applyAlignment="1" applyBorder="1" applyFont="1">
      <alignment horizontal="center" shrinkToFit="0" vertical="top" wrapText="1"/>
    </xf>
    <xf borderId="63" fillId="5" fontId="40" numFmtId="0" xfId="0" applyAlignment="1" applyBorder="1" applyFont="1">
      <alignment horizontal="center" shrinkToFit="0" vertical="center" wrapText="1"/>
    </xf>
    <xf borderId="67" fillId="2" fontId="41" numFmtId="0" xfId="0" applyAlignment="1" applyBorder="1" applyFont="1">
      <alignment horizontal="center" shrinkToFit="0" vertical="center" wrapText="1"/>
    </xf>
    <xf borderId="67" fillId="5" fontId="40" numFmtId="0" xfId="0" applyAlignment="1" applyBorder="1" applyFont="1">
      <alignment horizontal="center" shrinkToFit="0" vertical="center" wrapText="1"/>
    </xf>
    <xf borderId="67" fillId="2" fontId="41" numFmtId="0" xfId="0" applyAlignment="1" applyBorder="1" applyFont="1">
      <alignment horizontal="center" vertical="center"/>
    </xf>
    <xf borderId="0" fillId="0" fontId="41" numFmtId="0" xfId="0" applyAlignment="1" applyFont="1">
      <alignment horizontal="center" vertical="center"/>
    </xf>
    <xf borderId="67" fillId="2" fontId="40" numFmtId="0" xfId="0" applyAlignment="1" applyBorder="1" applyFont="1">
      <alignment horizontal="center" shrinkToFit="0" vertical="center" wrapText="1"/>
    </xf>
    <xf borderId="71" fillId="0" fontId="40" numFmtId="0" xfId="0" applyAlignment="1" applyBorder="1" applyFont="1">
      <alignment horizontal="center" shrinkToFit="0" vertical="center" wrapText="1"/>
    </xf>
    <xf borderId="73" fillId="0" fontId="41" numFmtId="0" xfId="0" applyAlignment="1" applyBorder="1" applyFont="1">
      <alignment horizontal="center" shrinkToFit="0" vertical="center" wrapText="1"/>
    </xf>
    <xf borderId="70" fillId="31" fontId="42" numFmtId="0" xfId="0" applyAlignment="1" applyBorder="1" applyFont="1">
      <alignment horizontal="center" vertical="center"/>
    </xf>
    <xf borderId="73" fillId="0" fontId="40" numFmtId="0" xfId="0" applyAlignment="1" applyBorder="1" applyFont="1">
      <alignment horizontal="center" shrinkToFit="0" vertical="center" wrapText="1"/>
    </xf>
    <xf borderId="69" fillId="10" fontId="42" numFmtId="0" xfId="0" applyAlignment="1" applyBorder="1" applyFont="1">
      <alignment horizontal="center" vertical="center"/>
    </xf>
    <xf borderId="67" fillId="5" fontId="40" numFmtId="0" xfId="0" applyAlignment="1" applyBorder="1" applyFont="1">
      <alignment horizontal="center" vertical="center"/>
    </xf>
    <xf borderId="74" fillId="5" fontId="40" numFmtId="0" xfId="0" applyAlignment="1" applyBorder="1" applyFont="1">
      <alignment horizontal="center" shrinkToFit="0" vertical="center" wrapText="1"/>
    </xf>
    <xf borderId="71" fillId="0" fontId="41" numFmtId="0" xfId="0" applyAlignment="1" applyBorder="1" applyFont="1">
      <alignment horizontal="center" shrinkToFit="0" vertical="center" wrapText="1"/>
    </xf>
    <xf borderId="69" fillId="22" fontId="42" numFmtId="0" xfId="0" applyAlignment="1" applyBorder="1" applyFont="1">
      <alignment horizontal="center" vertical="center"/>
    </xf>
    <xf borderId="102" fillId="2" fontId="41" numFmtId="0" xfId="0" applyAlignment="1" applyBorder="1" applyFont="1">
      <alignment horizontal="center" shrinkToFit="0" vertical="center" wrapText="1"/>
    </xf>
    <xf borderId="105" fillId="2" fontId="8" numFmtId="0" xfId="0" applyAlignment="1" applyBorder="1" applyFont="1">
      <alignment horizontal="center"/>
    </xf>
    <xf borderId="1" fillId="2" fontId="21" numFmtId="0" xfId="0" applyAlignment="1" applyBorder="1" applyFont="1">
      <alignment vertical="center"/>
    </xf>
    <xf borderId="1" fillId="2" fontId="26" numFmtId="0" xfId="0" applyAlignment="1" applyBorder="1" applyFont="1">
      <alignment vertical="center"/>
    </xf>
    <xf borderId="1" fillId="2" fontId="26" numFmtId="0" xfId="0" applyAlignment="1" applyBorder="1" applyFont="1">
      <alignment horizontal="center"/>
    </xf>
    <xf borderId="60" fillId="20" fontId="42" numFmtId="0" xfId="0" applyAlignment="1" applyBorder="1" applyFont="1">
      <alignment horizontal="center" vertical="center"/>
    </xf>
    <xf borderId="19" fillId="20" fontId="40" numFmtId="164" xfId="0" applyAlignment="1" applyBorder="1" applyFont="1" applyNumberFormat="1">
      <alignment horizontal="center" vertical="center"/>
    </xf>
    <xf borderId="27" fillId="40" fontId="42" numFmtId="164" xfId="0" applyAlignment="1" applyBorder="1" applyFont="1" applyNumberFormat="1">
      <alignment horizontal="center" vertical="center"/>
    </xf>
    <xf borderId="86" fillId="50" fontId="42" numFmtId="0" xfId="0" applyAlignment="1" applyBorder="1" applyFill="1" applyFont="1">
      <alignment horizontal="center" vertical="center"/>
    </xf>
    <xf borderId="27" fillId="50" fontId="42" numFmtId="164" xfId="0" applyAlignment="1" applyBorder="1" applyFont="1" applyNumberFormat="1">
      <alignment horizontal="center" vertical="center"/>
    </xf>
    <xf borderId="86" fillId="36" fontId="42" numFmtId="0" xfId="0" applyAlignment="1" applyBorder="1" applyFont="1">
      <alignment horizontal="center" vertical="center"/>
    </xf>
    <xf borderId="27" fillId="36" fontId="40" numFmtId="164" xfId="0" applyAlignment="1" applyBorder="1" applyFont="1" applyNumberFormat="1">
      <alignment horizontal="center" vertical="center"/>
    </xf>
    <xf borderId="89" fillId="17" fontId="42" numFmtId="0" xfId="0" applyAlignment="1" applyBorder="1" applyFont="1">
      <alignment horizontal="center" vertical="center"/>
    </xf>
    <xf borderId="38" fillId="17" fontId="40" numFmtId="164" xfId="0" applyAlignment="1" applyBorder="1" applyFont="1" applyNumberFormat="1">
      <alignment horizontal="center" vertical="center"/>
    </xf>
    <xf borderId="89" fillId="8" fontId="42" numFmtId="0" xfId="0" applyAlignment="1" applyBorder="1" applyFont="1">
      <alignment horizontal="center" vertical="center"/>
    </xf>
    <xf borderId="38" fillId="8" fontId="42" numFmtId="164" xfId="0" applyAlignment="1" applyBorder="1" applyFont="1" applyNumberFormat="1">
      <alignment horizontal="center" vertical="center"/>
    </xf>
    <xf borderId="70" fillId="23" fontId="42" numFmtId="0" xfId="0" applyAlignment="1" applyBorder="1" applyFont="1">
      <alignment horizontal="center" vertical="center"/>
    </xf>
    <xf borderId="102" fillId="2" fontId="41" numFmtId="0" xfId="0" applyAlignment="1" applyBorder="1" applyFont="1">
      <alignment horizontal="left" shrinkToFit="0" vertical="center" wrapText="1"/>
    </xf>
    <xf borderId="105" fillId="2" fontId="7" numFmtId="0" xfId="0" applyAlignment="1" applyBorder="1" applyFont="1">
      <alignment horizontal="center" vertical="center"/>
    </xf>
    <xf borderId="2" fillId="2" fontId="18" numFmtId="0" xfId="0" applyAlignment="1" applyBorder="1" applyFont="1">
      <alignment horizontal="center" vertical="center"/>
    </xf>
    <xf borderId="3" fillId="2" fontId="18" numFmtId="0" xfId="0" applyAlignment="1" applyBorder="1" applyFont="1">
      <alignment horizontal="center" vertical="center"/>
    </xf>
    <xf borderId="2" fillId="2" fontId="18" numFmtId="0" xfId="0" applyAlignment="1" applyBorder="1" applyFont="1">
      <alignment horizontal="left" vertical="center"/>
    </xf>
    <xf borderId="3" fillId="2" fontId="56" numFmtId="0" xfId="0" applyAlignment="1" applyBorder="1" applyFont="1">
      <alignment horizontal="center" vertical="center"/>
    </xf>
    <xf borderId="1" fillId="2" fontId="56" numFmtId="0" xfId="0" applyAlignment="1" applyBorder="1" applyFont="1">
      <alignment horizontal="center" vertical="center"/>
    </xf>
    <xf borderId="13" fillId="2" fontId="18" numFmtId="3" xfId="0" applyAlignment="1" applyBorder="1" applyFont="1" applyNumberFormat="1">
      <alignment horizontal="left" vertical="center"/>
    </xf>
    <xf borderId="14" fillId="2" fontId="60" numFmtId="0" xfId="0" applyAlignment="1" applyBorder="1" applyFont="1">
      <alignment horizontal="left" vertical="center"/>
    </xf>
    <xf borderId="60" fillId="47" fontId="40" numFmtId="0" xfId="0" applyBorder="1" applyFont="1"/>
    <xf borderId="19" fillId="47" fontId="40" numFmtId="164" xfId="0" applyAlignment="1" applyBorder="1" applyFont="1" applyNumberFormat="1">
      <alignment horizontal="center"/>
    </xf>
    <xf borderId="60" fillId="2" fontId="59" numFmtId="0" xfId="0" applyAlignment="1" applyBorder="1" applyFont="1">
      <alignment horizontal="center" vertical="center"/>
    </xf>
    <xf borderId="19" fillId="2" fontId="44" numFmtId="164" xfId="0" applyAlignment="1" applyBorder="1" applyFont="1" applyNumberFormat="1">
      <alignment horizontal="center" vertical="center"/>
    </xf>
    <xf borderId="1" fillId="2" fontId="69" numFmtId="164" xfId="0" applyAlignment="1" applyBorder="1" applyFont="1" applyNumberFormat="1">
      <alignment horizontal="center" vertical="center"/>
    </xf>
    <xf borderId="0" fillId="0" fontId="70" numFmtId="0" xfId="0" applyAlignment="1" applyFont="1">
      <alignment vertical="center"/>
    </xf>
    <xf borderId="24" fillId="2" fontId="18" numFmtId="3" xfId="0" applyAlignment="1" applyBorder="1" applyFont="1" applyNumberFormat="1">
      <alignment horizontal="left" vertical="center"/>
    </xf>
    <xf borderId="25" fillId="2" fontId="60" numFmtId="0" xfId="0" applyAlignment="1" applyBorder="1" applyFont="1">
      <alignment horizontal="left" vertical="center"/>
    </xf>
    <xf borderId="1" fillId="2" fontId="69" numFmtId="0" xfId="0" applyAlignment="1" applyBorder="1" applyFont="1">
      <alignment horizontal="center" vertical="center"/>
    </xf>
    <xf borderId="86" fillId="51" fontId="42" numFmtId="0" xfId="0" applyAlignment="1" applyBorder="1" applyFill="1" applyFont="1">
      <alignment horizontal="center" vertical="center"/>
    </xf>
    <xf borderId="27" fillId="51" fontId="42" numFmtId="164" xfId="0" applyAlignment="1" applyBorder="1" applyFont="1" applyNumberFormat="1">
      <alignment horizontal="center" vertical="center"/>
    </xf>
    <xf borderId="86" fillId="2" fontId="44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vertical="center"/>
    </xf>
    <xf borderId="48" fillId="2" fontId="44" numFmtId="0" xfId="0" applyAlignment="1" applyBorder="1" applyFont="1">
      <alignment horizontal="center" vertical="center"/>
    </xf>
    <xf borderId="89" fillId="2" fontId="44" numFmtId="0" xfId="0" applyAlignment="1" applyBorder="1" applyFont="1">
      <alignment horizontal="center" vertical="center"/>
    </xf>
    <xf borderId="99" fillId="2" fontId="44" numFmtId="0" xfId="0" applyAlignment="1" applyBorder="1" applyFont="1">
      <alignment horizontal="center" vertical="center"/>
    </xf>
    <xf borderId="101" fillId="2" fontId="44" numFmtId="0" xfId="0" applyAlignment="1" applyBorder="1" applyFont="1">
      <alignment horizontal="center" vertical="center"/>
    </xf>
    <xf borderId="27" fillId="34" fontId="40" numFmtId="164" xfId="0" applyAlignment="1" applyBorder="1" applyFont="1" applyNumberFormat="1">
      <alignment horizontal="center" vertical="center"/>
    </xf>
    <xf borderId="76" fillId="2" fontId="18" numFmtId="3" xfId="0" applyAlignment="1" applyBorder="1" applyFont="1" applyNumberFormat="1">
      <alignment horizontal="left" vertical="center"/>
    </xf>
    <xf borderId="77" fillId="2" fontId="60" numFmtId="0" xfId="0" applyAlignment="1" applyBorder="1" applyFont="1">
      <alignment horizontal="left" vertical="center"/>
    </xf>
    <xf borderId="87" fillId="3" fontId="60" numFmtId="0" xfId="0" applyAlignment="1" applyBorder="1" applyFont="1">
      <alignment horizontal="center"/>
    </xf>
    <xf borderId="2" fillId="3" fontId="44" numFmtId="0" xfId="0" applyAlignment="1" applyBorder="1" applyFont="1">
      <alignment horizontal="center" vertical="center"/>
    </xf>
    <xf borderId="2" fillId="3" fontId="18" numFmtId="0" xfId="0" applyAlignment="1" applyBorder="1" applyFont="1">
      <alignment horizontal="center" vertical="center"/>
    </xf>
    <xf borderId="63" fillId="3" fontId="44" numFmtId="0" xfId="0" applyAlignment="1" applyBorder="1" applyFont="1">
      <alignment horizontal="left" vertical="center"/>
    </xf>
    <xf borderId="90" fillId="3" fontId="59" numFmtId="0" xfId="0" applyBorder="1" applyFont="1"/>
    <xf borderId="87" fillId="3" fontId="59" numFmtId="0" xfId="0" applyBorder="1" applyFont="1"/>
    <xf borderId="87" fillId="3" fontId="59" numFmtId="0" xfId="0" applyAlignment="1" applyBorder="1" applyFont="1">
      <alignment horizontal="center"/>
    </xf>
    <xf borderId="87" fillId="3" fontId="60" numFmtId="0" xfId="0" applyBorder="1" applyFont="1"/>
    <xf borderId="100" fillId="3" fontId="60" numFmtId="0" xfId="0" applyBorder="1" applyFont="1"/>
    <xf borderId="102" fillId="3" fontId="44" numFmtId="0" xfId="0" applyAlignment="1" applyBorder="1" applyFont="1">
      <alignment horizontal="left" vertical="center"/>
    </xf>
    <xf borderId="52" fillId="3" fontId="59" numFmtId="0" xfId="0" applyAlignment="1" applyBorder="1" applyFont="1">
      <alignment horizontal="center"/>
    </xf>
    <xf borderId="52" fillId="3" fontId="59" numFmtId="0" xfId="0" applyBorder="1" applyFont="1"/>
    <xf borderId="103" fillId="0" fontId="59" numFmtId="0" xfId="0" applyBorder="1" applyFont="1"/>
    <xf borderId="43" fillId="3" fontId="71" numFmtId="0" xfId="0" applyAlignment="1" applyBorder="1" applyFont="1">
      <alignment horizontal="center" vertical="center"/>
    </xf>
    <xf borderId="60" fillId="4" fontId="40" numFmtId="0" xfId="0" applyAlignment="1" applyBorder="1" applyFont="1">
      <alignment horizontal="center" shrinkToFit="0" vertical="top" wrapText="1"/>
    </xf>
    <xf borderId="18" fillId="4" fontId="40" numFmtId="0" xfId="0" applyAlignment="1" applyBorder="1" applyFont="1">
      <alignment horizontal="center" shrinkToFit="0" vertical="center" wrapText="1"/>
    </xf>
    <xf borderId="61" fillId="4" fontId="45" numFmtId="0" xfId="0" applyAlignment="1" applyBorder="1" applyFont="1">
      <alignment horizontal="center" vertical="center"/>
    </xf>
    <xf borderId="58" fillId="4" fontId="45" numFmtId="0" xfId="0" applyAlignment="1" applyBorder="1" applyFont="1">
      <alignment horizontal="center" vertical="center"/>
    </xf>
    <xf borderId="62" fillId="4" fontId="45" numFmtId="0" xfId="0" applyAlignment="1" applyBorder="1" applyFont="1">
      <alignment horizontal="center" vertical="center"/>
    </xf>
    <xf borderId="59" fillId="4" fontId="40" numFmtId="0" xfId="0" applyAlignment="1" applyBorder="1" applyFont="1">
      <alignment horizontal="center" vertical="center"/>
    </xf>
    <xf borderId="63" fillId="5" fontId="40" numFmtId="0" xfId="0" applyAlignment="1" applyBorder="1" applyFont="1">
      <alignment shrinkToFit="0" wrapText="1"/>
    </xf>
    <xf borderId="67" fillId="2" fontId="41" numFmtId="0" xfId="0" applyAlignment="1" applyBorder="1" applyFont="1">
      <alignment shrinkToFit="0" wrapText="1"/>
    </xf>
    <xf borderId="67" fillId="5" fontId="40" numFmtId="0" xfId="0" applyAlignment="1" applyBorder="1" applyFont="1">
      <alignment shrinkToFit="0" wrapText="1"/>
    </xf>
    <xf borderId="25" fillId="5" fontId="40" numFmtId="0" xfId="0" applyAlignment="1" applyBorder="1" applyFont="1">
      <alignment horizontal="center" vertical="center"/>
    </xf>
    <xf borderId="67" fillId="2" fontId="41" numFmtId="0" xfId="0" applyBorder="1" applyFont="1"/>
    <xf borderId="70" fillId="8" fontId="42" numFmtId="0" xfId="0" applyAlignment="1" applyBorder="1" applyFont="1">
      <alignment horizontal="center" vertical="center"/>
    </xf>
    <xf borderId="70" fillId="8" fontId="44" numFmtId="0" xfId="0" applyAlignment="1" applyBorder="1" applyFont="1">
      <alignment horizontal="center" vertical="center"/>
    </xf>
    <xf borderId="67" fillId="2" fontId="40" numFmtId="0" xfId="0" applyAlignment="1" applyBorder="1" applyFont="1">
      <alignment shrinkToFit="0" wrapText="1"/>
    </xf>
    <xf borderId="71" fillId="0" fontId="40" numFmtId="0" xfId="0" applyAlignment="1" applyBorder="1" applyFont="1">
      <alignment shrinkToFit="0" wrapText="1"/>
    </xf>
    <xf borderId="73" fillId="0" fontId="41" numFmtId="0" xfId="0" applyAlignment="1" applyBorder="1" applyFont="1">
      <alignment shrinkToFit="0" wrapText="1"/>
    </xf>
    <xf borderId="73" fillId="0" fontId="40" numFmtId="0" xfId="0" applyAlignment="1" applyBorder="1" applyFont="1">
      <alignment shrinkToFit="0" wrapText="1"/>
    </xf>
    <xf borderId="70" fillId="10" fontId="44" numFmtId="0" xfId="0" applyAlignment="1" applyBorder="1" applyFont="1">
      <alignment horizontal="center" vertical="center"/>
    </xf>
    <xf borderId="67" fillId="5" fontId="40" numFmtId="0" xfId="0" applyBorder="1" applyFont="1"/>
    <xf borderId="74" fillId="5" fontId="40" numFmtId="0" xfId="0" applyAlignment="1" applyBorder="1" applyFont="1">
      <alignment shrinkToFit="0" wrapText="1"/>
    </xf>
    <xf borderId="71" fillId="0" fontId="41" numFmtId="0" xfId="0" applyAlignment="1" applyBorder="1" applyFont="1">
      <alignment shrinkToFit="0" wrapText="1"/>
    </xf>
    <xf borderId="102" fillId="2" fontId="41" numFmtId="0" xfId="0" applyAlignment="1" applyBorder="1" applyFont="1">
      <alignment shrinkToFit="0" wrapText="1"/>
    </xf>
    <xf borderId="1" fillId="3" fontId="60" numFmtId="0" xfId="0" applyBorder="1" applyFont="1"/>
    <xf borderId="1" fillId="2" fontId="60" numFmtId="0" xfId="0" applyAlignment="1" applyBorder="1" applyFont="1">
      <alignment horizontal="left" vertical="center"/>
    </xf>
    <xf borderId="1" fillId="2" fontId="18" numFmtId="0" xfId="0" applyAlignment="1" applyBorder="1" applyFont="1">
      <alignment horizontal="left" vertical="center"/>
    </xf>
    <xf borderId="1" fillId="2" fontId="18" numFmtId="0" xfId="0" applyBorder="1" applyFont="1"/>
    <xf borderId="27" fillId="2" fontId="18" numFmtId="0" xfId="0" applyAlignment="1" applyBorder="1" applyFont="1">
      <alignment horizontal="center" vertical="center"/>
    </xf>
    <xf borderId="80" fillId="2" fontId="31" numFmtId="0" xfId="0" applyAlignment="1" applyBorder="1" applyFont="1">
      <alignment horizontal="center" vertical="center"/>
    </xf>
    <xf borderId="1" fillId="2" fontId="31" numFmtId="0" xfId="0" applyAlignment="1" applyBorder="1" applyFont="1">
      <alignment vertical="center"/>
    </xf>
    <xf borderId="1" fillId="2" fontId="60" numFmtId="0" xfId="0" applyAlignment="1" applyBorder="1" applyFont="1">
      <alignment vertical="center"/>
    </xf>
    <xf borderId="27" fillId="2" fontId="72" numFmtId="0" xfId="0" applyAlignment="1" applyBorder="1" applyFont="1">
      <alignment horizontal="center" shrinkToFit="0" vertical="center" wrapText="1"/>
    </xf>
    <xf borderId="60" fillId="8" fontId="42" numFmtId="0" xfId="0" applyAlignment="1" applyBorder="1" applyFont="1">
      <alignment horizontal="center" vertical="center"/>
    </xf>
    <xf borderId="92" fillId="31" fontId="42" numFmtId="0" xfId="0" applyAlignment="1" applyBorder="1" applyFont="1">
      <alignment horizontal="center" vertical="center"/>
    </xf>
    <xf borderId="55" fillId="31" fontId="42" numFmtId="164" xfId="0" applyAlignment="1" applyBorder="1" applyFont="1" applyNumberFormat="1">
      <alignment horizontal="center" vertical="center"/>
    </xf>
    <xf borderId="86" fillId="19" fontId="40" numFmtId="0" xfId="0" applyAlignment="1" applyBorder="1" applyFont="1">
      <alignment horizontal="center"/>
    </xf>
    <xf borderId="27" fillId="19" fontId="40" numFmtId="164" xfId="0" applyAlignment="1" applyBorder="1" applyFont="1" applyNumberFormat="1">
      <alignment horizontal="center"/>
    </xf>
    <xf borderId="60" fillId="37" fontId="42" numFmtId="0" xfId="0" applyAlignment="1" applyBorder="1" applyFont="1">
      <alignment horizontal="center" vertical="center"/>
    </xf>
    <xf borderId="60" fillId="2" fontId="42" numFmtId="0" xfId="0" applyAlignment="1" applyBorder="1" applyFont="1">
      <alignment horizontal="center" vertical="center"/>
    </xf>
    <xf borderId="86" fillId="15" fontId="42" numFmtId="0" xfId="0" applyAlignment="1" applyBorder="1" applyFont="1">
      <alignment horizontal="center" vertical="center"/>
    </xf>
    <xf borderId="86" fillId="18" fontId="42" numFmtId="0" xfId="0" applyAlignment="1" applyBorder="1" applyFont="1">
      <alignment horizontal="center" vertical="center"/>
    </xf>
    <xf borderId="86" fillId="47" fontId="42" numFmtId="0" xfId="0" applyAlignment="1" applyBorder="1" applyFont="1">
      <alignment horizontal="center" vertical="center"/>
    </xf>
    <xf borderId="27" fillId="47" fontId="42" numFmtId="164" xfId="0" applyAlignment="1" applyBorder="1" applyFont="1" applyNumberFormat="1">
      <alignment horizontal="center" vertical="center"/>
    </xf>
    <xf borderId="86" fillId="21" fontId="42" numFmtId="0" xfId="0" applyAlignment="1" applyBorder="1" applyFont="1">
      <alignment horizontal="center" vertical="center"/>
    </xf>
    <xf borderId="89" fillId="40" fontId="42" numFmtId="0" xfId="0" applyAlignment="1" applyBorder="1" applyFont="1">
      <alignment horizontal="center" vertical="center"/>
    </xf>
    <xf borderId="38" fillId="40" fontId="42" numFmtId="164" xfId="0" applyAlignment="1" applyBorder="1" applyFont="1" applyNumberFormat="1">
      <alignment horizontal="center" vertical="center"/>
    </xf>
    <xf borderId="89" fillId="32" fontId="42" numFmtId="0" xfId="0" applyAlignment="1" applyBorder="1" applyFont="1">
      <alignment horizontal="center" vertical="center"/>
    </xf>
    <xf borderId="38" fillId="32" fontId="42" numFmtId="164" xfId="0" applyAlignment="1" applyBorder="1" applyFont="1" applyNumberFormat="1">
      <alignment horizontal="center" vertical="center"/>
    </xf>
    <xf borderId="89" fillId="24" fontId="34" numFmtId="0" xfId="0" applyAlignment="1" applyBorder="1" applyFont="1">
      <alignment horizontal="center" vertical="center"/>
    </xf>
    <xf borderId="38" fillId="24" fontId="34" numFmtId="164" xfId="0" applyAlignment="1" applyBorder="1" applyFont="1" applyNumberFormat="1">
      <alignment horizontal="center" vertical="center"/>
    </xf>
    <xf borderId="89" fillId="2" fontId="34" numFmtId="0" xfId="0" applyAlignment="1" applyBorder="1" applyFont="1">
      <alignment horizontal="center" vertical="center"/>
    </xf>
    <xf borderId="38" fillId="2" fontId="34" numFmtId="164" xfId="0" applyAlignment="1" applyBorder="1" applyFont="1" applyNumberFormat="1">
      <alignment horizontal="center" vertical="center"/>
    </xf>
    <xf borderId="48" fillId="2" fontId="41" numFmtId="0" xfId="0" applyAlignment="1" applyBorder="1" applyFont="1">
      <alignment horizontal="center" vertical="center"/>
    </xf>
    <xf borderId="99" fillId="2" fontId="45" numFmtId="0" xfId="0" applyAlignment="1" applyBorder="1" applyFont="1">
      <alignment horizontal="center" vertical="center"/>
    </xf>
    <xf borderId="101" fillId="2" fontId="41" numFmtId="0" xfId="0" applyAlignment="1" applyBorder="1" applyFont="1">
      <alignment horizontal="center" vertical="center"/>
    </xf>
    <xf borderId="69" fillId="19" fontId="40" numFmtId="0" xfId="0" applyAlignment="1" applyBorder="1" applyFont="1">
      <alignment horizontal="center" vertical="center"/>
    </xf>
    <xf borderId="69" fillId="40" fontId="40" numFmtId="0" xfId="0" applyAlignment="1" applyBorder="1" applyFont="1">
      <alignment horizontal="center" vertical="center"/>
    </xf>
    <xf borderId="70" fillId="40" fontId="42" numFmtId="0" xfId="0" applyAlignment="1" applyBorder="1" applyFont="1">
      <alignment horizontal="center" vertical="center"/>
    </xf>
    <xf borderId="70" fillId="20" fontId="42" numFmtId="0" xfId="0" applyAlignment="1" applyBorder="1" applyFont="1">
      <alignment horizontal="center" vertical="center"/>
    </xf>
    <xf borderId="70" fillId="35" fontId="42" numFmtId="0" xfId="0" applyAlignment="1" applyBorder="1" applyFont="1">
      <alignment horizontal="center" vertical="center"/>
    </xf>
    <xf borderId="1" fillId="2" fontId="41" numFmtId="0" xfId="0" applyAlignment="1" applyBorder="1" applyFont="1">
      <alignment horizontal="left" shrinkToFit="0" vertical="center" wrapText="1"/>
    </xf>
    <xf borderId="1" fillId="2" fontId="21" numFmtId="0" xfId="0" applyAlignment="1" applyBorder="1" applyFont="1">
      <alignment horizontal="center" vertical="center"/>
    </xf>
    <xf borderId="60" fillId="7" fontId="42" numFmtId="0" xfId="0" applyAlignment="1" applyBorder="1" applyFont="1">
      <alignment horizontal="center" vertical="center"/>
    </xf>
    <xf borderId="19" fillId="7" fontId="40" numFmtId="164" xfId="0" applyAlignment="1" applyBorder="1" applyFont="1" applyNumberFormat="1">
      <alignment horizontal="center" vertical="center"/>
    </xf>
    <xf borderId="87" fillId="52" fontId="42" numFmtId="0" xfId="0" applyAlignment="1" applyBorder="1" applyFill="1" applyFont="1">
      <alignment horizontal="center" vertical="center"/>
    </xf>
    <xf borderId="19" fillId="52" fontId="42" numFmtId="164" xfId="0" applyAlignment="1" applyBorder="1" applyFont="1" applyNumberFormat="1">
      <alignment horizontal="center" vertical="center"/>
    </xf>
    <xf borderId="60" fillId="2" fontId="73" numFmtId="0" xfId="0" applyAlignment="1" applyBorder="1" applyFont="1">
      <alignment horizontal="center" vertical="center"/>
    </xf>
    <xf borderId="19" fillId="2" fontId="34" numFmtId="164" xfId="0" applyAlignment="1" applyBorder="1" applyFont="1" applyNumberFormat="1">
      <alignment horizontal="center" vertical="center"/>
    </xf>
    <xf borderId="1" fillId="2" fontId="40" numFmtId="164" xfId="0" applyAlignment="1" applyBorder="1" applyFont="1" applyNumberFormat="1">
      <alignment horizontal="center" vertical="center"/>
    </xf>
    <xf borderId="86" fillId="19" fontId="40" numFmtId="0" xfId="0" applyAlignment="1" applyBorder="1" applyFont="1">
      <alignment horizontal="center" vertical="center"/>
    </xf>
    <xf borderId="27" fillId="19" fontId="40" numFmtId="164" xfId="0" applyAlignment="1" applyBorder="1" applyFont="1" applyNumberFormat="1">
      <alignment horizontal="center" vertical="center"/>
    </xf>
    <xf borderId="86" fillId="2" fontId="73" numFmtId="0" xfId="0" applyAlignment="1" applyBorder="1" applyFont="1">
      <alignment horizontal="center" vertical="center"/>
    </xf>
    <xf borderId="27" fillId="2" fontId="34" numFmtId="164" xfId="0" applyAlignment="1" applyBorder="1" applyFont="1" applyNumberFormat="1">
      <alignment horizontal="center" vertical="center"/>
    </xf>
    <xf borderId="86" fillId="2" fontId="73" numFmtId="165" xfId="0" applyAlignment="1" applyBorder="1" applyFont="1" applyNumberFormat="1">
      <alignment horizontal="center" vertical="center"/>
    </xf>
    <xf borderId="86" fillId="39" fontId="42" numFmtId="0" xfId="0" applyAlignment="1" applyBorder="1" applyFont="1">
      <alignment horizontal="center" vertical="center"/>
    </xf>
    <xf borderId="27" fillId="39" fontId="42" numFmtId="164" xfId="0" applyAlignment="1" applyBorder="1" applyFont="1" applyNumberFormat="1">
      <alignment horizontal="center" vertical="center"/>
    </xf>
    <xf borderId="1" fillId="2" fontId="73" numFmtId="0" xfId="0" applyAlignment="1" applyBorder="1" applyFont="1">
      <alignment horizontal="center" vertical="center"/>
    </xf>
    <xf borderId="86" fillId="44" fontId="42" numFmtId="0" xfId="0" applyAlignment="1" applyBorder="1" applyFont="1">
      <alignment horizontal="center" vertical="center"/>
    </xf>
    <xf borderId="27" fillId="44" fontId="42" numFmtId="164" xfId="0" applyAlignment="1" applyBorder="1" applyFont="1" applyNumberFormat="1">
      <alignment horizontal="center" vertical="center"/>
    </xf>
    <xf borderId="27" fillId="2" fontId="43" numFmtId="164" xfId="0" applyAlignment="1" applyBorder="1" applyFont="1" applyNumberFormat="1">
      <alignment horizontal="center" vertical="center"/>
    </xf>
    <xf borderId="27" fillId="47" fontId="40" numFmtId="164" xfId="0" applyAlignment="1" applyBorder="1" applyFont="1" applyNumberFormat="1">
      <alignment horizontal="center" vertical="center"/>
    </xf>
    <xf borderId="89" fillId="15" fontId="42" numFmtId="0" xfId="0" applyAlignment="1" applyBorder="1" applyFont="1">
      <alignment horizontal="center" vertical="center"/>
    </xf>
    <xf borderId="38" fillId="15" fontId="40" numFmtId="164" xfId="0" applyAlignment="1" applyBorder="1" applyFont="1" applyNumberFormat="1">
      <alignment horizontal="center" vertical="center"/>
    </xf>
    <xf borderId="99" fillId="2" fontId="73" numFmtId="0" xfId="0" applyAlignment="1" applyBorder="1" applyFont="1">
      <alignment horizontal="center" vertical="center"/>
    </xf>
    <xf borderId="89" fillId="2" fontId="73" numFmtId="165" xfId="0" applyAlignment="1" applyBorder="1" applyFont="1" applyNumberFormat="1">
      <alignment horizontal="center" vertical="center"/>
    </xf>
    <xf borderId="38" fillId="2" fontId="43" numFmtId="164" xfId="0" applyAlignment="1" applyBorder="1" applyFont="1" applyNumberFormat="1">
      <alignment horizontal="center" vertical="center"/>
    </xf>
    <xf borderId="70" fillId="24" fontId="42" numFmtId="0" xfId="0" applyAlignment="1" applyBorder="1" applyFont="1">
      <alignment horizontal="center" vertical="center"/>
    </xf>
    <xf borderId="70" fillId="11" fontId="42" numFmtId="0" xfId="0" applyAlignment="1" applyBorder="1" applyFont="1">
      <alignment horizontal="center" vertical="center"/>
    </xf>
    <xf borderId="2" fillId="2" fontId="21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13" fillId="2" fontId="21" numFmtId="3" xfId="0" applyAlignment="1" applyBorder="1" applyFont="1" applyNumberFormat="1">
      <alignment horizontal="left" vertical="center"/>
    </xf>
    <xf borderId="14" fillId="2" fontId="26" numFmtId="0" xfId="0" applyAlignment="1" applyBorder="1" applyFont="1">
      <alignment horizontal="left" vertical="center"/>
    </xf>
    <xf borderId="115" fillId="2" fontId="10" numFmtId="0" xfId="0" applyAlignment="1" applyBorder="1" applyFont="1">
      <alignment horizontal="center" vertical="center"/>
    </xf>
    <xf borderId="18" fillId="53" fontId="25" numFmtId="0" xfId="0" applyAlignment="1" applyBorder="1" applyFill="1" applyFont="1">
      <alignment horizontal="center" vertical="center"/>
    </xf>
    <xf borderId="19" fillId="53" fontId="10" numFmtId="164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24" fillId="2" fontId="21" numFmtId="3" xfId="0" applyAlignment="1" applyBorder="1" applyFont="1" applyNumberFormat="1">
      <alignment horizontal="left" vertical="center"/>
    </xf>
    <xf borderId="25" fillId="2" fontId="26" numFmtId="0" xfId="0" applyAlignment="1" applyBorder="1" applyFont="1">
      <alignment horizontal="left" vertical="center"/>
    </xf>
    <xf borderId="116" fillId="0" fontId="5" numFmtId="0" xfId="0" applyBorder="1" applyFont="1"/>
    <xf borderId="26" fillId="26" fontId="25" numFmtId="0" xfId="0" applyAlignment="1" applyBorder="1" applyFont="1">
      <alignment horizontal="center" vertical="center"/>
    </xf>
    <xf borderId="27" fillId="26" fontId="10" numFmtId="164" xfId="0" applyAlignment="1" applyBorder="1" applyFont="1" applyNumberFormat="1">
      <alignment horizontal="center" vertical="center"/>
    </xf>
    <xf borderId="26" fillId="2" fontId="25" numFmtId="0" xfId="0" applyAlignment="1" applyBorder="1" applyFont="1">
      <alignment horizontal="center" vertical="center"/>
    </xf>
    <xf borderId="27" fillId="2" fontId="10" numFmtId="164" xfId="0" applyAlignment="1" applyBorder="1" applyFont="1" applyNumberFormat="1">
      <alignment horizontal="center" vertical="center"/>
    </xf>
    <xf borderId="117" fillId="0" fontId="5" numFmtId="0" xfId="0" applyBorder="1" applyFont="1"/>
    <xf borderId="26" fillId="2" fontId="25" numFmtId="165" xfId="0" applyAlignment="1" applyBorder="1" applyFont="1" applyNumberFormat="1">
      <alignment horizontal="center" vertical="center"/>
    </xf>
    <xf borderId="27" fillId="2" fontId="21" numFmtId="164" xfId="0" applyAlignment="1" applyBorder="1" applyFont="1" applyNumberFormat="1">
      <alignment horizontal="center" vertical="center"/>
    </xf>
    <xf borderId="76" fillId="2" fontId="21" numFmtId="3" xfId="0" applyAlignment="1" applyBorder="1" applyFont="1" applyNumberFormat="1">
      <alignment horizontal="left" vertical="center"/>
    </xf>
    <xf borderId="77" fillId="2" fontId="26" numFmtId="0" xfId="0" applyAlignment="1" applyBorder="1" applyFont="1">
      <alignment horizontal="left" vertical="center"/>
    </xf>
    <xf borderId="54" fillId="0" fontId="26" numFmtId="0" xfId="0" applyAlignment="1" applyBorder="1" applyFont="1">
      <alignment horizontal="center" vertical="center"/>
    </xf>
    <xf borderId="42" fillId="2" fontId="21" numFmtId="164" xfId="0" applyAlignment="1" applyBorder="1" applyFont="1" applyNumberFormat="1">
      <alignment horizontal="center" vertical="center"/>
    </xf>
    <xf borderId="89" fillId="3" fontId="26" numFmtId="0" xfId="0" applyBorder="1" applyFont="1"/>
    <xf borderId="99" fillId="3" fontId="26" numFmtId="0" xfId="0" applyBorder="1" applyFont="1"/>
    <xf borderId="1" fillId="3" fontId="26" numFmtId="0" xfId="0" applyBorder="1" applyFont="1"/>
    <xf borderId="118" fillId="3" fontId="10" numFmtId="0" xfId="0" applyAlignment="1" applyBorder="1" applyFont="1">
      <alignment horizontal="center" vertical="center"/>
    </xf>
    <xf borderId="119" fillId="3" fontId="21" numFmtId="0" xfId="0" applyAlignment="1" applyBorder="1" applyFont="1">
      <alignment horizontal="center" vertical="center"/>
    </xf>
    <xf borderId="63" fillId="3" fontId="10" numFmtId="0" xfId="0" applyAlignment="1" applyBorder="1" applyFont="1">
      <alignment horizontal="left" vertical="center"/>
    </xf>
    <xf borderId="90" fillId="3" fontId="25" numFmtId="0" xfId="0" applyBorder="1" applyFont="1"/>
    <xf borderId="91" fillId="3" fontId="25" numFmtId="0" xfId="0" applyBorder="1" applyFont="1"/>
    <xf borderId="120" fillId="0" fontId="5" numFmtId="0" xfId="0" applyBorder="1" applyFont="1"/>
    <xf borderId="121" fillId="3" fontId="10" numFmtId="0" xfId="0" applyAlignment="1" applyBorder="1" applyFont="1">
      <alignment horizontal="left" vertical="center"/>
    </xf>
    <xf borderId="103" fillId="0" fontId="5" numFmtId="0" xfId="0" applyBorder="1" applyFont="1"/>
    <xf borderId="122" fillId="0" fontId="5" numFmtId="0" xfId="0" applyBorder="1" applyFont="1"/>
    <xf borderId="123" fillId="0" fontId="5" numFmtId="0" xfId="0" applyBorder="1" applyFont="1"/>
    <xf borderId="43" fillId="3" fontId="74" numFmtId="0" xfId="0" applyAlignment="1" applyBorder="1" applyFont="1">
      <alignment horizontal="center" vertical="center"/>
    </xf>
    <xf borderId="18" fillId="4" fontId="21" numFmtId="0" xfId="0" applyAlignment="1" applyBorder="1" applyFont="1">
      <alignment horizontal="center" shrinkToFit="0" vertical="top" wrapText="1"/>
    </xf>
    <xf borderId="87" fillId="4" fontId="21" numFmtId="0" xfId="0" applyAlignment="1" applyBorder="1" applyFont="1">
      <alignment horizontal="center" shrinkToFit="0" vertical="center" wrapText="1"/>
    </xf>
    <xf borderId="95" fillId="4" fontId="25" numFmtId="0" xfId="0" applyAlignment="1" applyBorder="1" applyFont="1">
      <alignment horizontal="center"/>
    </xf>
    <xf borderId="110" fillId="4" fontId="25" numFmtId="0" xfId="0" applyAlignment="1" applyBorder="1" applyFont="1">
      <alignment horizontal="center"/>
    </xf>
    <xf borderId="110" fillId="4" fontId="25" numFmtId="0" xfId="0" applyAlignment="1" applyBorder="1" applyFont="1">
      <alignment horizontal="center" vertical="center"/>
    </xf>
    <xf borderId="96" fillId="4" fontId="21" numFmtId="0" xfId="0" applyAlignment="1" applyBorder="1" applyFont="1">
      <alignment horizontal="center" vertical="center"/>
    </xf>
    <xf borderId="64" fillId="5" fontId="21" numFmtId="0" xfId="0" applyAlignment="1" applyBorder="1" applyFont="1">
      <alignment horizontal="right" shrinkToFit="0" vertical="center" wrapText="1"/>
    </xf>
    <xf borderId="91" fillId="5" fontId="21" numFmtId="0" xfId="0" applyAlignment="1" applyBorder="1" applyFont="1">
      <alignment shrinkToFit="0" vertical="center" wrapText="1"/>
    </xf>
    <xf borderId="13" fillId="5" fontId="21" numFmtId="0" xfId="0" applyAlignment="1" applyBorder="1" applyFont="1">
      <alignment shrinkToFit="0" vertical="center" wrapText="1"/>
    </xf>
    <xf borderId="90" fillId="5" fontId="25" numFmtId="0" xfId="0" applyAlignment="1" applyBorder="1" applyFont="1">
      <alignment horizontal="center" vertical="center"/>
    </xf>
    <xf borderId="68" fillId="2" fontId="26" numFmtId="0" xfId="0" applyAlignment="1" applyBorder="1" applyFont="1">
      <alignment horizontal="right" shrinkToFit="0" vertical="center" wrapText="1"/>
    </xf>
    <xf borderId="124" fillId="2" fontId="26" numFmtId="0" xfId="0" applyAlignment="1" applyBorder="1" applyFont="1">
      <alignment shrinkToFit="0" vertical="center" wrapText="1"/>
    </xf>
    <xf borderId="24" fillId="2" fontId="21" numFmtId="0" xfId="0" applyAlignment="1" applyBorder="1" applyFont="1">
      <alignment horizontal="center" vertical="center"/>
    </xf>
    <xf borderId="125" fillId="2" fontId="25" numFmtId="0" xfId="0" applyAlignment="1" applyBorder="1" applyFont="1">
      <alignment horizontal="center" vertical="center"/>
    </xf>
    <xf borderId="68" fillId="5" fontId="21" numFmtId="0" xfId="0" applyAlignment="1" applyBorder="1" applyFont="1">
      <alignment horizontal="right" shrinkToFit="0" vertical="center" wrapText="1"/>
    </xf>
    <xf borderId="124" fillId="5" fontId="21" numFmtId="0" xfId="0" applyAlignment="1" applyBorder="1" applyFont="1">
      <alignment shrinkToFit="0" vertical="center" wrapText="1"/>
    </xf>
    <xf borderId="24" fillId="5" fontId="21" numFmtId="0" xfId="0" applyAlignment="1" applyBorder="1" applyFont="1">
      <alignment horizontal="center" vertical="center"/>
    </xf>
    <xf borderId="125" fillId="5" fontId="25" numFmtId="0" xfId="0" applyAlignment="1" applyBorder="1" applyFont="1">
      <alignment horizontal="center" vertical="center"/>
    </xf>
    <xf borderId="124" fillId="5" fontId="25" numFmtId="0" xfId="0" applyAlignment="1" applyBorder="1" applyFont="1">
      <alignment horizontal="center" vertical="center"/>
    </xf>
    <xf borderId="69" fillId="5" fontId="25" numFmtId="0" xfId="0" applyAlignment="1" applyBorder="1" applyFont="1">
      <alignment horizontal="center" vertical="center"/>
    </xf>
    <xf borderId="68" fillId="0" fontId="21" numFmtId="0" xfId="0" applyAlignment="1" applyBorder="1" applyFont="1">
      <alignment horizontal="right" shrinkToFit="0" vertical="center" wrapText="1"/>
    </xf>
    <xf borderId="126" fillId="0" fontId="21" numFmtId="0" xfId="0" applyAlignment="1" applyBorder="1" applyFont="1">
      <alignment shrinkToFit="0" vertical="center" wrapText="1"/>
    </xf>
    <xf borderId="125" fillId="2" fontId="10" numFmtId="0" xfId="0" applyAlignment="1" applyBorder="1" applyFont="1">
      <alignment horizontal="center" vertical="center"/>
    </xf>
    <xf borderId="68" fillId="2" fontId="26" numFmtId="0" xfId="0" applyAlignment="1" applyBorder="1" applyFont="1">
      <alignment horizontal="right" vertical="center"/>
    </xf>
    <xf borderId="24" fillId="5" fontId="21" numFmtId="0" xfId="0" applyAlignment="1" applyBorder="1" applyFont="1">
      <alignment shrinkToFit="0" vertical="center" wrapText="1"/>
    </xf>
    <xf borderId="24" fillId="2" fontId="21" numFmtId="0" xfId="0" applyAlignment="1" applyBorder="1" applyFont="1">
      <alignment shrinkToFit="0" vertical="center" wrapText="1"/>
    </xf>
    <xf borderId="24" fillId="2" fontId="10" numFmtId="0" xfId="0" applyAlignment="1" applyBorder="1" applyFont="1">
      <alignment horizontal="center" vertical="center"/>
    </xf>
    <xf borderId="68" fillId="2" fontId="21" numFmtId="0" xfId="0" applyAlignment="1" applyBorder="1" applyFont="1">
      <alignment horizontal="right" shrinkToFit="0" vertical="center" wrapText="1"/>
    </xf>
    <xf borderId="124" fillId="2" fontId="21" numFmtId="0" xfId="0" applyAlignment="1" applyBorder="1" applyFont="1">
      <alignment shrinkToFit="0" vertical="center" wrapText="1"/>
    </xf>
    <xf borderId="24" fillId="2" fontId="25" numFmtId="0" xfId="0" applyAlignment="1" applyBorder="1" applyFont="1">
      <alignment horizontal="center" vertical="center"/>
    </xf>
    <xf borderId="24" fillId="5" fontId="25" numFmtId="0" xfId="0" applyAlignment="1" applyBorder="1" applyFont="1">
      <alignment horizontal="center" vertical="center"/>
    </xf>
    <xf borderId="25" fillId="5" fontId="21" numFmtId="0" xfId="0" applyAlignment="1" applyBorder="1" applyFont="1">
      <alignment horizontal="center" vertical="center"/>
    </xf>
    <xf borderId="68" fillId="0" fontId="26" numFmtId="0" xfId="0" applyAlignment="1" applyBorder="1" applyFont="1">
      <alignment horizontal="right" shrinkToFit="0" vertical="center" wrapText="1"/>
    </xf>
    <xf borderId="126" fillId="0" fontId="26" numFmtId="0" xfId="0" applyAlignment="1" applyBorder="1" applyFont="1">
      <alignment shrinkToFit="0" vertical="center" wrapText="1"/>
    </xf>
    <xf borderId="113" fillId="5" fontId="21" numFmtId="0" xfId="0" applyAlignment="1" applyBorder="1" applyFont="1">
      <alignment horizontal="right" shrinkToFit="0" vertical="center" wrapText="1"/>
    </xf>
    <xf borderId="127" fillId="5" fontId="21" numFmtId="0" xfId="0" applyAlignment="1" applyBorder="1" applyFont="1">
      <alignment shrinkToFit="0" vertical="center" wrapText="1"/>
    </xf>
    <xf borderId="72" fillId="0" fontId="21" numFmtId="0" xfId="0" applyAlignment="1" applyBorder="1" applyFont="1">
      <alignment horizontal="right" shrinkToFit="0" vertical="center" wrapText="1"/>
    </xf>
    <xf borderId="128" fillId="0" fontId="21" numFmtId="0" xfId="0" applyAlignment="1" applyBorder="1" applyFont="1">
      <alignment shrinkToFit="0" vertical="center" wrapText="1"/>
    </xf>
    <xf borderId="125" fillId="5" fontId="10" numFmtId="0" xfId="0" applyAlignment="1" applyBorder="1" applyFont="1">
      <alignment horizontal="center" vertical="center"/>
    </xf>
    <xf borderId="70" fillId="2" fontId="21" numFmtId="0" xfId="0" applyAlignment="1" applyBorder="1" applyFont="1">
      <alignment horizontal="center"/>
    </xf>
    <xf borderId="125" fillId="5" fontId="25" numFmtId="0" xfId="0" applyAlignment="1" applyBorder="1" applyFont="1">
      <alignment vertical="center"/>
    </xf>
    <xf borderId="125" fillId="2" fontId="25" numFmtId="0" xfId="0" applyAlignment="1" applyBorder="1" applyFont="1">
      <alignment vertical="center"/>
    </xf>
    <xf borderId="125" fillId="2" fontId="10" numFmtId="0" xfId="0" applyAlignment="1" applyBorder="1" applyFont="1">
      <alignment vertical="center"/>
    </xf>
    <xf borderId="125" fillId="5" fontId="26" numFmtId="0" xfId="0" applyAlignment="1" applyBorder="1" applyFont="1">
      <alignment horizontal="left" shrinkToFit="0" vertical="top" wrapText="1"/>
    </xf>
    <xf borderId="125" fillId="2" fontId="26" numFmtId="0" xfId="0" applyAlignment="1" applyBorder="1" applyFont="1">
      <alignment horizontal="left" shrinkToFit="0" vertical="top" wrapText="1"/>
    </xf>
    <xf borderId="125" fillId="2" fontId="21" numFmtId="0" xfId="0" applyAlignment="1" applyBorder="1" applyFont="1">
      <alignment horizontal="left" shrinkToFit="0" vertical="top" wrapText="1"/>
    </xf>
    <xf borderId="68" fillId="5" fontId="21" numFmtId="0" xfId="0" applyAlignment="1" applyBorder="1" applyFont="1">
      <alignment horizontal="right" vertical="center"/>
    </xf>
    <xf borderId="24" fillId="2" fontId="21" numFmtId="0" xfId="0" applyAlignment="1" applyBorder="1" applyFont="1">
      <alignment horizontal="center" shrinkToFit="0" vertical="center" wrapText="1"/>
    </xf>
    <xf borderId="124" fillId="5" fontId="21" numFmtId="0" xfId="0" applyAlignment="1" applyBorder="1" applyFont="1">
      <alignment vertical="center"/>
    </xf>
    <xf borderId="24" fillId="5" fontId="21" numFmtId="0" xfId="0" applyAlignment="1" applyBorder="1" applyFont="1">
      <alignment vertical="center"/>
    </xf>
    <xf borderId="24" fillId="2" fontId="25" numFmtId="0" xfId="0" applyAlignment="1" applyBorder="1" applyFont="1">
      <alignment vertical="center"/>
    </xf>
    <xf borderId="97" fillId="2" fontId="25" numFmtId="0" xfId="0" applyAlignment="1" applyBorder="1" applyFont="1">
      <alignment vertical="center"/>
    </xf>
    <xf borderId="125" fillId="2" fontId="26" numFmtId="0" xfId="0" applyAlignment="1" applyBorder="1" applyFont="1">
      <alignment horizontal="center"/>
    </xf>
    <xf borderId="129" fillId="2" fontId="26" numFmtId="0" xfId="0" applyAlignment="1" applyBorder="1" applyFont="1">
      <alignment shrinkToFit="0" vertical="center" wrapText="1"/>
    </xf>
    <xf borderId="125" fillId="5" fontId="26" numFmtId="0" xfId="0" applyAlignment="1" applyBorder="1" applyFont="1">
      <alignment horizontal="center"/>
    </xf>
    <xf borderId="126" fillId="0" fontId="26" numFmtId="0" xfId="0" applyAlignment="1" applyBorder="1" applyFont="1">
      <alignment vertical="center"/>
    </xf>
    <xf borderId="72" fillId="0" fontId="26" numFmtId="0" xfId="0" applyAlignment="1" applyBorder="1" applyFont="1">
      <alignment horizontal="right" shrinkToFit="0" vertical="center" wrapText="1"/>
    </xf>
    <xf borderId="128" fillId="0" fontId="26" numFmtId="0" xfId="0" applyAlignment="1" applyBorder="1" applyFont="1">
      <alignment vertical="center"/>
    </xf>
    <xf borderId="114" fillId="0" fontId="26" numFmtId="0" xfId="0" applyAlignment="1" applyBorder="1" applyFont="1">
      <alignment horizontal="right" shrinkToFit="0" vertical="center" wrapText="1"/>
    </xf>
    <xf borderId="122" fillId="0" fontId="26" numFmtId="0" xfId="0" applyAlignment="1" applyBorder="1" applyFont="1">
      <alignment shrinkToFit="0" vertical="center" wrapText="1"/>
    </xf>
    <xf borderId="76" fillId="2" fontId="10" numFmtId="0" xfId="0" applyAlignment="1" applyBorder="1" applyFont="1">
      <alignment horizontal="center" vertical="center"/>
    </xf>
    <xf borderId="52" fillId="2" fontId="26" numFmtId="0" xfId="0" applyAlignment="1" applyBorder="1" applyFont="1">
      <alignment horizontal="center"/>
    </xf>
    <xf borderId="1" fillId="2" fontId="26" numFmtId="0" xfId="0" applyAlignment="1" applyBorder="1" applyFont="1">
      <alignment horizontal="left" vertical="center"/>
    </xf>
    <xf borderId="1" fillId="3" fontId="58" numFmtId="0" xfId="0" applyAlignment="1" applyBorder="1" applyFont="1">
      <alignment horizontal="left"/>
    </xf>
    <xf borderId="1" fillId="2" fontId="58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/>
    </xf>
    <xf borderId="47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47" fillId="2" fontId="58" numFmtId="0" xfId="0" applyBorder="1" applyFont="1"/>
    <xf borderId="47" fillId="2" fontId="2" numFmtId="0" xfId="0" applyAlignment="1" applyBorder="1" applyFont="1">
      <alignment vertical="center"/>
    </xf>
    <xf borderId="104" fillId="0" fontId="58" numFmtId="0" xfId="0" applyBorder="1" applyFont="1"/>
    <xf borderId="27" fillId="2" fontId="2" numFmtId="0" xfId="0" applyAlignment="1" applyBorder="1" applyFont="1">
      <alignment horizontal="center" vertical="center"/>
    </xf>
    <xf borderId="80" fillId="2" fontId="2" numFmtId="0" xfId="0" applyAlignment="1" applyBorder="1" applyFont="1">
      <alignment horizontal="center" vertical="center"/>
    </xf>
    <xf borderId="27" fillId="2" fontId="57" numFmtId="0" xfId="0" applyAlignment="1" applyBorder="1" applyFont="1">
      <alignment horizontal="center" vertical="center"/>
    </xf>
    <xf borderId="1" fillId="2" fontId="58" numFmtId="0" xfId="0" applyAlignment="1" applyBorder="1" applyFont="1">
      <alignment horizontal="center" shrinkToFit="0" vertical="center" wrapText="1"/>
    </xf>
    <xf borderId="27" fillId="2" fontId="58" numFmtId="0" xfId="0" applyAlignment="1" applyBorder="1" applyFont="1">
      <alignment horizontal="center" shrinkToFit="0" vertical="center" wrapText="1"/>
    </xf>
    <xf borderId="27" fillId="2" fontId="58" numFmtId="0" xfId="0" applyAlignment="1" applyBorder="1" applyFont="1">
      <alignment horizontal="center" vertical="center"/>
    </xf>
    <xf borderId="27" fillId="2" fontId="66" numFmtId="0" xfId="0" applyAlignment="1" applyBorder="1" applyFont="1">
      <alignment horizontal="center" vertical="center"/>
    </xf>
    <xf borderId="1" fillId="2" fontId="66" numFmtId="0" xfId="0" applyAlignment="1" applyBorder="1" applyFont="1">
      <alignment vertical="center"/>
    </xf>
    <xf borderId="2" fillId="2" fontId="75" numFmtId="0" xfId="0" applyAlignment="1" applyBorder="1" applyFont="1">
      <alignment horizontal="center" vertical="center"/>
    </xf>
    <xf borderId="3" fillId="2" fontId="76" numFmtId="0" xfId="0" applyAlignment="1" applyBorder="1" applyFont="1">
      <alignment horizontal="center" vertical="center"/>
    </xf>
    <xf borderId="13" fillId="2" fontId="75" numFmtId="3" xfId="0" applyAlignment="1" applyBorder="1" applyFont="1" applyNumberFormat="1">
      <alignment horizontal="left" vertical="center"/>
    </xf>
    <xf borderId="14" fillId="2" fontId="75" numFmtId="0" xfId="0" applyAlignment="1" applyBorder="1" applyFont="1">
      <alignment horizontal="left" vertical="center"/>
    </xf>
    <xf borderId="3" fillId="2" fontId="75" numFmtId="0" xfId="0" applyAlignment="1" applyBorder="1" applyFont="1">
      <alignment horizontal="center" vertical="center"/>
    </xf>
    <xf borderId="3" fillId="2" fontId="75" numFmtId="164" xfId="0" applyAlignment="1" applyBorder="1" applyFont="1" applyNumberFormat="1">
      <alignment horizontal="center" vertical="center"/>
    </xf>
    <xf borderId="1" fillId="2" fontId="75" numFmtId="0" xfId="0" applyAlignment="1" applyBorder="1" applyFont="1">
      <alignment horizontal="center" vertical="center"/>
    </xf>
    <xf borderId="27" fillId="2" fontId="75" numFmtId="164" xfId="0" applyAlignment="1" applyBorder="1" applyFont="1" applyNumberFormat="1">
      <alignment horizontal="center" vertical="center"/>
    </xf>
    <xf borderId="1" fillId="2" fontId="22" numFmtId="0" xfId="0" applyAlignment="1" applyBorder="1" applyFont="1">
      <alignment horizontal="center" vertical="center"/>
    </xf>
    <xf borderId="27" fillId="2" fontId="22" numFmtId="164" xfId="0" applyAlignment="1" applyBorder="1" applyFont="1" applyNumberFormat="1">
      <alignment horizontal="center" vertical="center"/>
    </xf>
    <xf borderId="0" fillId="0" fontId="58" numFmtId="0" xfId="0" applyAlignment="1" applyFont="1">
      <alignment horizontal="center" vertical="center"/>
    </xf>
    <xf borderId="0" fillId="0" fontId="58" numFmtId="164" xfId="0" applyAlignment="1" applyFont="1" applyNumberFormat="1">
      <alignment horizontal="center" vertical="center"/>
    </xf>
    <xf borderId="24" fillId="2" fontId="75" numFmtId="3" xfId="0" applyAlignment="1" applyBorder="1" applyFont="1" applyNumberFormat="1">
      <alignment horizontal="left" vertical="center"/>
    </xf>
    <xf borderId="25" fillId="2" fontId="75" numFmtId="0" xfId="0" applyAlignment="1" applyBorder="1" applyFont="1">
      <alignment horizontal="left" vertical="center"/>
    </xf>
    <xf borderId="1" fillId="2" fontId="22" numFmtId="165" xfId="0" applyAlignment="1" applyBorder="1" applyFont="1" applyNumberFormat="1">
      <alignment horizontal="center" vertical="center"/>
    </xf>
    <xf borderId="0" fillId="0" fontId="13" numFmtId="0" xfId="0" applyFont="1"/>
    <xf borderId="35" fillId="2" fontId="75" numFmtId="3" xfId="0" applyAlignment="1" applyBorder="1" applyFont="1" applyNumberFormat="1">
      <alignment horizontal="left" vertical="center"/>
    </xf>
    <xf borderId="36" fillId="2" fontId="75" numFmtId="0" xfId="0" applyAlignment="1" applyBorder="1" applyFont="1">
      <alignment horizontal="left" vertical="center"/>
    </xf>
    <xf borderId="1" fillId="2" fontId="22" numFmtId="16" xfId="0" applyAlignment="1" applyBorder="1" applyFont="1" applyNumberFormat="1">
      <alignment horizontal="center" vertical="center"/>
    </xf>
    <xf borderId="92" fillId="2" fontId="75" numFmtId="0" xfId="0" applyBorder="1" applyFont="1"/>
    <xf borderId="93" fillId="2" fontId="75" numFmtId="0" xfId="0" applyBorder="1" applyFont="1"/>
    <xf borderId="99" fillId="2" fontId="75" numFmtId="0" xfId="0" applyBorder="1" applyFont="1"/>
    <xf borderId="0" fillId="0" fontId="13" numFmtId="164" xfId="0" applyAlignment="1" applyFont="1" applyNumberFormat="1">
      <alignment horizontal="center"/>
    </xf>
    <xf borderId="2" fillId="3" fontId="77" numFmtId="0" xfId="0" applyAlignment="1" applyBorder="1" applyFont="1">
      <alignment horizontal="center" vertical="center"/>
    </xf>
    <xf borderId="46" fillId="3" fontId="75" numFmtId="0" xfId="0" applyAlignment="1" applyBorder="1" applyFont="1">
      <alignment horizontal="center" vertical="center"/>
    </xf>
    <xf borderId="92" fillId="3" fontId="75" numFmtId="0" xfId="0" applyAlignment="1" applyBorder="1" applyFont="1">
      <alignment vertical="center"/>
    </xf>
    <xf borderId="93" fillId="3" fontId="75" numFmtId="0" xfId="0" applyAlignment="1" applyBorder="1" applyFont="1">
      <alignment vertical="center"/>
    </xf>
    <xf borderId="130" fillId="3" fontId="75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3" fillId="39" fontId="75" numFmtId="0" xfId="0" applyAlignment="1" applyBorder="1" applyFont="1">
      <alignment horizontal="center" vertical="center"/>
    </xf>
    <xf borderId="93" fillId="39" fontId="75" numFmtId="0" xfId="0" applyAlignment="1" applyBorder="1" applyFont="1">
      <alignment horizontal="center" vertical="center"/>
    </xf>
    <xf borderId="43" fillId="54" fontId="75" numFmtId="0" xfId="0" applyAlignment="1" applyBorder="1" applyFill="1" applyFont="1">
      <alignment horizontal="center" vertical="center"/>
    </xf>
    <xf borderId="115" fillId="3" fontId="75" numFmtId="0" xfId="0" applyAlignment="1" applyBorder="1" applyFont="1">
      <alignment horizontal="center" vertical="center"/>
    </xf>
    <xf borderId="23" fillId="3" fontId="78" numFmtId="0" xfId="0" applyAlignment="1" applyBorder="1" applyFont="1">
      <alignment horizontal="center" vertical="center"/>
    </xf>
    <xf borderId="23" fillId="55" fontId="79" numFmtId="0" xfId="0" applyAlignment="1" applyBorder="1" applyFill="1" applyFont="1">
      <alignment horizontal="center" vertical="center"/>
    </xf>
    <xf borderId="23" fillId="17" fontId="80" numFmtId="0" xfId="0" applyAlignment="1" applyBorder="1" applyFont="1">
      <alignment horizontal="center" vertical="center"/>
    </xf>
    <xf borderId="23" fillId="43" fontId="81" numFmtId="0" xfId="0" applyAlignment="1" applyBorder="1" applyFont="1">
      <alignment horizontal="center" vertical="center"/>
    </xf>
    <xf borderId="23" fillId="56" fontId="82" numFmtId="0" xfId="0" applyAlignment="1" applyBorder="1" applyFill="1" applyFont="1">
      <alignment horizontal="center" vertical="center"/>
    </xf>
    <xf borderId="23" fillId="39" fontId="83" numFmtId="0" xfId="0" applyAlignment="1" applyBorder="1" applyFont="1">
      <alignment horizontal="center" vertical="center"/>
    </xf>
    <xf borderId="23" fillId="57" fontId="84" numFmtId="0" xfId="0" applyAlignment="1" applyBorder="1" applyFill="1" applyFont="1">
      <alignment horizontal="center" vertical="center"/>
    </xf>
    <xf borderId="23" fillId="58" fontId="85" numFmtId="0" xfId="0" applyAlignment="1" applyBorder="1" applyFill="1" applyFont="1">
      <alignment horizontal="center" vertical="center"/>
    </xf>
    <xf borderId="23" fillId="26" fontId="86" numFmtId="0" xfId="0" applyAlignment="1" applyBorder="1" applyFont="1">
      <alignment horizontal="center" vertical="center"/>
    </xf>
    <xf borderId="23" fillId="59" fontId="87" numFmtId="0" xfId="0" applyAlignment="1" applyBorder="1" applyFill="1" applyFont="1">
      <alignment horizontal="center" vertical="center"/>
    </xf>
    <xf borderId="23" fillId="60" fontId="88" numFmtId="0" xfId="0" applyAlignment="1" applyBorder="1" applyFill="1" applyFont="1">
      <alignment horizontal="center" vertical="center"/>
    </xf>
    <xf borderId="23" fillId="61" fontId="89" numFmtId="0" xfId="0" applyAlignment="1" applyBorder="1" applyFill="1" applyFont="1">
      <alignment horizontal="center" vertical="center"/>
    </xf>
    <xf borderId="131" fillId="0" fontId="5" numFmtId="0" xfId="0" applyBorder="1" applyFont="1"/>
    <xf borderId="60" fillId="46" fontId="3" numFmtId="0" xfId="0" applyAlignment="1" applyBorder="1" applyFont="1">
      <alignment horizontal="left" vertical="center"/>
    </xf>
    <xf borderId="18" fillId="46" fontId="3" numFmtId="0" xfId="0" applyAlignment="1" applyBorder="1" applyFont="1">
      <alignment horizontal="center" vertical="center"/>
    </xf>
    <xf borderId="93" fillId="46" fontId="75" numFmtId="0" xfId="0" applyAlignment="1" applyBorder="1" applyFont="1">
      <alignment horizontal="center" vertical="center"/>
    </xf>
    <xf borderId="44" fillId="0" fontId="1" numFmtId="0" xfId="0" applyBorder="1" applyFont="1"/>
    <xf borderId="130" fillId="46" fontId="75" numFmtId="0" xfId="0" applyAlignment="1" applyBorder="1" applyFont="1">
      <alignment horizontal="center" vertical="center"/>
    </xf>
    <xf borderId="63" fillId="5" fontId="3" numFmtId="0" xfId="0" applyAlignment="1" applyBorder="1" applyFont="1">
      <alignment horizontal="left" vertical="center"/>
    </xf>
    <xf borderId="64" fillId="5" fontId="3" numFmtId="0" xfId="0" applyAlignment="1" applyBorder="1" applyFont="1">
      <alignment vertical="center"/>
    </xf>
    <xf borderId="90" fillId="5" fontId="75" numFmtId="0" xfId="0" applyAlignment="1" applyBorder="1" applyFont="1">
      <alignment vertical="center"/>
    </xf>
    <xf borderId="91" fillId="5" fontId="75" numFmtId="0" xfId="0" applyAlignment="1" applyBorder="1" applyFont="1">
      <alignment vertical="center"/>
    </xf>
    <xf borderId="67" fillId="2" fontId="75" numFmtId="0" xfId="0" applyAlignment="1" applyBorder="1" applyFont="1">
      <alignment horizontal="left" vertical="center"/>
    </xf>
    <xf borderId="68" fillId="2" fontId="75" numFmtId="0" xfId="0" applyAlignment="1" applyBorder="1" applyFont="1">
      <alignment vertical="center"/>
    </xf>
    <xf borderId="69" fillId="2" fontId="75" numFmtId="0" xfId="0" applyAlignment="1" applyBorder="1" applyFont="1">
      <alignment horizontal="center" vertical="center"/>
    </xf>
    <xf borderId="132" fillId="0" fontId="1" numFmtId="0" xfId="0" applyBorder="1" applyFont="1"/>
    <xf borderId="70" fillId="2" fontId="75" numFmtId="0" xfId="0" applyAlignment="1" applyBorder="1" applyFont="1">
      <alignment horizontal="center" vertical="center"/>
    </xf>
    <xf borderId="70" fillId="23" fontId="75" numFmtId="0" xfId="0" applyAlignment="1" applyBorder="1" applyFont="1">
      <alignment horizontal="center" vertical="center"/>
    </xf>
    <xf borderId="133" fillId="0" fontId="1" numFmtId="0" xfId="0" applyBorder="1" applyFont="1"/>
    <xf borderId="25" fillId="2" fontId="75" numFmtId="0" xfId="0" applyAlignment="1" applyBorder="1" applyFont="1">
      <alignment horizontal="center" vertical="center"/>
    </xf>
    <xf borderId="126" fillId="0" fontId="1" numFmtId="0" xfId="0" applyBorder="1" applyFont="1"/>
    <xf borderId="67" fillId="5" fontId="3" numFmtId="0" xfId="0" applyAlignment="1" applyBorder="1" applyFont="1">
      <alignment horizontal="left" vertical="center"/>
    </xf>
    <xf borderId="68" fillId="5" fontId="3" numFmtId="0" xfId="0" applyAlignment="1" applyBorder="1" applyFont="1">
      <alignment vertical="center"/>
    </xf>
    <xf borderId="0" fillId="0" fontId="75" numFmtId="0" xfId="0" applyFont="1"/>
    <xf borderId="6" fillId="0" fontId="75" numFmtId="0" xfId="0" applyBorder="1" applyFont="1"/>
    <xf borderId="67" fillId="2" fontId="3" numFmtId="0" xfId="0" applyAlignment="1" applyBorder="1" applyFont="1">
      <alignment horizontal="left" vertical="center"/>
    </xf>
    <xf borderId="68" fillId="2" fontId="3" numFmtId="0" xfId="0" applyAlignment="1" applyBorder="1" applyFont="1">
      <alignment vertical="center"/>
    </xf>
    <xf borderId="71" fillId="0" fontId="75" numFmtId="0" xfId="0" applyAlignment="1" applyBorder="1" applyFont="1">
      <alignment horizontal="left" vertical="center"/>
    </xf>
    <xf borderId="72" fillId="0" fontId="75" numFmtId="0" xfId="0" applyAlignment="1" applyBorder="1" applyFont="1">
      <alignment vertical="center"/>
    </xf>
    <xf borderId="73" fillId="0" fontId="75" numFmtId="0" xfId="0" applyAlignment="1" applyBorder="1" applyFont="1">
      <alignment horizontal="left" vertical="center"/>
    </xf>
    <xf borderId="68" fillId="0" fontId="75" numFmtId="0" xfId="0" applyAlignment="1" applyBorder="1" applyFont="1">
      <alignment vertical="center"/>
    </xf>
    <xf borderId="67" fillId="5" fontId="75" numFmtId="0" xfId="0" applyAlignment="1" applyBorder="1" applyFont="1">
      <alignment horizontal="left" vertical="center"/>
    </xf>
    <xf borderId="68" fillId="5" fontId="75" numFmtId="0" xfId="0" applyAlignment="1" applyBorder="1" applyFont="1">
      <alignment vertical="center"/>
    </xf>
    <xf borderId="67" fillId="2" fontId="75" numFmtId="0" xfId="0" applyAlignment="1" applyBorder="1" applyFont="1">
      <alignment horizontal="left" shrinkToFit="0" vertical="center" wrapText="1"/>
    </xf>
    <xf borderId="68" fillId="2" fontId="75" numFmtId="0" xfId="0" applyAlignment="1" applyBorder="1" applyFont="1">
      <alignment horizontal="left" shrinkToFit="0" vertical="center" wrapText="1"/>
    </xf>
    <xf borderId="1" fillId="5" fontId="75" numFmtId="0" xfId="0" applyBorder="1" applyFont="1"/>
    <xf borderId="26" fillId="5" fontId="75" numFmtId="0" xfId="0" applyBorder="1" applyFont="1"/>
    <xf borderId="74" fillId="5" fontId="75" numFmtId="0" xfId="0" applyAlignment="1" applyBorder="1" applyFont="1">
      <alignment horizontal="left" vertical="center"/>
    </xf>
    <xf borderId="75" fillId="5" fontId="75" numFmtId="0" xfId="0" applyAlignment="1" applyBorder="1" applyFont="1">
      <alignment vertical="center"/>
    </xf>
    <xf borderId="63" fillId="5" fontId="75" numFmtId="0" xfId="0" applyAlignment="1" applyBorder="1" applyFont="1">
      <alignment horizontal="left" vertical="center"/>
    </xf>
    <xf borderId="64" fillId="5" fontId="75" numFmtId="0" xfId="0" applyAlignment="1" applyBorder="1" applyFont="1">
      <alignment vertical="center"/>
    </xf>
    <xf quotePrefix="1" borderId="68" fillId="2" fontId="75" numFmtId="0" xfId="0" applyAlignment="1" applyBorder="1" applyFont="1">
      <alignment vertical="center"/>
    </xf>
    <xf borderId="1" fillId="2" fontId="75" numFmtId="0" xfId="0" applyAlignment="1" applyBorder="1" applyFont="1">
      <alignment vertical="center"/>
    </xf>
    <xf borderId="102" fillId="2" fontId="75" numFmtId="0" xfId="0" applyAlignment="1" applyBorder="1" applyFont="1">
      <alignment horizontal="left" vertical="center"/>
    </xf>
    <xf borderId="114" fillId="2" fontId="75" numFmtId="0" xfId="0" applyAlignment="1" applyBorder="1" applyFont="1">
      <alignment vertical="center"/>
    </xf>
    <xf borderId="1" fillId="2" fontId="75" numFmtId="0" xfId="0" applyBorder="1" applyFont="1"/>
    <xf borderId="47" fillId="2" fontId="75" numFmtId="0" xfId="0" applyAlignment="1" applyBorder="1" applyFont="1">
      <alignment horizontal="center" vertical="center"/>
    </xf>
    <xf borderId="47" fillId="2" fontId="75" numFmtId="0" xfId="0" applyBorder="1" applyFont="1"/>
    <xf borderId="1" fillId="2" fontId="28" numFmtId="0" xfId="0" applyAlignment="1" applyBorder="1" applyFont="1">
      <alignment horizontal="center" vertical="center"/>
    </xf>
    <xf borderId="1" fillId="3" fontId="75" numFmtId="0" xfId="0" applyBorder="1" applyFont="1"/>
    <xf borderId="50" fillId="2" fontId="75" numFmtId="0" xfId="0" applyAlignment="1" applyBorder="1" applyFont="1">
      <alignment horizontal="center" vertical="center"/>
    </xf>
    <xf borderId="51" fillId="0" fontId="1" numFmtId="0" xfId="0" applyBorder="1" applyFont="1"/>
    <xf borderId="1" fillId="2" fontId="75" numFmtId="0" xfId="0" applyAlignment="1" applyBorder="1" applyFont="1">
      <alignment horizontal="center" shrinkToFit="0" vertical="center" wrapText="1"/>
    </xf>
    <xf borderId="1" fillId="2" fontId="75" numFmtId="0" xfId="0" applyAlignment="1" applyBorder="1" applyFont="1">
      <alignment shrinkToFit="0" vertical="center" wrapText="1"/>
    </xf>
    <xf borderId="1" fillId="2" fontId="75" numFmtId="0" xfId="0" applyAlignment="1" applyBorder="1" applyFont="1">
      <alignment horizontal="center"/>
    </xf>
  </cellXfs>
  <cellStyles count="1">
    <cellStyle xfId="0" name="Normal" builtinId="0"/>
  </cellStyles>
  <dxfs count="51">
    <dxf>
      <font/>
      <fill>
        <patternFill patternType="solid">
          <fgColor rgb="FFCCCCFF"/>
          <bgColor rgb="FFCCCCFF"/>
        </patternFill>
      </fill>
      <border/>
    </dxf>
    <dxf>
      <font/>
      <fill>
        <patternFill patternType="solid">
          <fgColor rgb="FF66FFFF"/>
          <bgColor rgb="FF66FFFF"/>
        </patternFill>
      </fill>
      <border/>
    </dxf>
    <dxf>
      <font/>
      <fill>
        <patternFill patternType="solid">
          <fgColor rgb="FF336699"/>
          <bgColor rgb="FF336699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6FF66"/>
          <bgColor rgb="FF66FF66"/>
        </patternFill>
      </fill>
      <border/>
    </dxf>
    <dxf>
      <font/>
      <fill>
        <patternFill patternType="solid">
          <fgColor rgb="FF8497B0"/>
          <bgColor rgb="FF8497B0"/>
        </patternFill>
      </fill>
      <border/>
    </dxf>
    <dxf>
      <font>
        <b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3300"/>
          <bgColor rgb="FF003300"/>
        </patternFill>
      </fill>
      <border/>
    </dxf>
    <dxf>
      <font/>
      <fill>
        <patternFill patternType="solid">
          <fgColor rgb="FF2C7FCE"/>
          <bgColor rgb="FF2C7FCE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808000"/>
          <bgColor rgb="FF808000"/>
        </patternFill>
      </fill>
      <border/>
    </dxf>
    <dxf>
      <font/>
      <fill>
        <patternFill patternType="solid">
          <fgColor rgb="FF0A3041"/>
          <bgColor rgb="FF0A3041"/>
        </patternFill>
      </fill>
      <border/>
    </dxf>
    <dxf>
      <font/>
      <fill>
        <patternFill patternType="solid">
          <fgColor rgb="FFCCCC00"/>
          <bgColor rgb="FFCCCC00"/>
        </patternFill>
      </fill>
      <border/>
    </dxf>
    <dxf>
      <font/>
      <fill>
        <patternFill patternType="solid">
          <fgColor rgb="FF006666"/>
          <bgColor rgb="FF006666"/>
        </patternFill>
      </fill>
      <border/>
    </dxf>
    <dxf>
      <font/>
      <fill>
        <patternFill patternType="solid">
          <fgColor rgb="FF074F6A"/>
          <bgColor rgb="FF074F6A"/>
        </patternFill>
      </fill>
      <border/>
    </dxf>
    <dxf>
      <font/>
      <fill>
        <patternFill patternType="solid">
          <fgColor rgb="FFFF66CC"/>
          <bgColor rgb="FFFF66CC"/>
        </patternFill>
      </fill>
      <border/>
    </dxf>
    <dxf>
      <font/>
      <fill>
        <patternFill patternType="solid">
          <fgColor rgb="FF747474"/>
          <bgColor rgb="FF747474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CCFF33"/>
          <bgColor rgb="FFCCFF33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  <dxf>
      <font/>
      <fill>
        <patternFill patternType="solid">
          <fgColor rgb="FFFF99FF"/>
          <bgColor rgb="FFFF99FF"/>
        </patternFill>
      </fill>
      <border/>
    </dxf>
    <dxf>
      <font/>
      <fill>
        <patternFill patternType="solid">
          <fgColor rgb="FF996600"/>
          <bgColor rgb="FF9966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FF99"/>
          <bgColor rgb="FF00FF99"/>
        </patternFill>
      </fill>
      <border/>
    </dxf>
    <dxf>
      <font/>
      <fill>
        <patternFill patternType="solid">
          <fgColor rgb="FF000066"/>
          <bgColor rgb="FF000066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solid">
          <fgColor rgb="FF532F3E"/>
          <bgColor rgb="FF532F3E"/>
        </patternFill>
      </fill>
      <border/>
    </dxf>
    <dxf>
      <font/>
      <fill>
        <patternFill patternType="solid">
          <fgColor rgb="FF95DCF7"/>
          <bgColor rgb="FF95DCF7"/>
        </patternFill>
      </fill>
      <border/>
    </dxf>
    <dxf>
      <font/>
      <fill>
        <patternFill patternType="solid">
          <fgColor rgb="FFB3E5A1"/>
          <bgColor rgb="FFB3E5A1"/>
        </patternFill>
      </fill>
      <border/>
    </dxf>
    <dxf>
      <font/>
      <fill>
        <patternFill patternType="solid">
          <fgColor rgb="FFBF4F14"/>
          <bgColor rgb="FFBF4F14"/>
        </patternFill>
      </fill>
      <border/>
    </dxf>
    <dxf>
      <font/>
      <fill>
        <patternFill patternType="solid">
          <fgColor rgb="FF6600FF"/>
          <bgColor rgb="FF66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00FFCC"/>
          <bgColor rgb="FF00FFCC"/>
        </patternFill>
      </fill>
      <border/>
    </dxf>
    <dxf>
      <font/>
      <fill>
        <patternFill patternType="solid">
          <fgColor rgb="FF6666FF"/>
          <bgColor rgb="FF6666FF"/>
        </patternFill>
      </fill>
      <border/>
    </dxf>
    <dxf>
      <font/>
      <fill>
        <patternFill patternType="solid">
          <fgColor rgb="FF7F340D"/>
          <bgColor rgb="FF7F340D"/>
        </patternFill>
      </fill>
      <border/>
    </dxf>
    <dxf>
      <font/>
      <fill>
        <patternFill patternType="solid">
          <fgColor rgb="FF9966FF"/>
          <bgColor rgb="FF9966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0021"/>
          <bgColor rgb="FFA50021"/>
        </patternFill>
      </fill>
      <border/>
    </dxf>
    <dxf>
      <font/>
      <fill>
        <patternFill patternType="solid">
          <fgColor rgb="FF66FF33"/>
          <bgColor rgb="FF66FF33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006600"/>
          <bgColor rgb="FF006600"/>
        </patternFill>
      </fill>
      <border/>
    </dxf>
    <dxf>
      <font/>
      <fill>
        <patternFill patternType="solid">
          <fgColor rgb="FF660033"/>
          <bgColor rgb="FF660033"/>
        </patternFill>
      </fill>
      <border/>
    </dxf>
    <dxf>
      <font/>
      <fill>
        <patternFill patternType="solid">
          <fgColor rgb="FF666633"/>
          <bgColor rgb="FF666633"/>
        </patternFill>
      </fill>
      <border/>
    </dxf>
    <dxf>
      <font/>
      <fill>
        <patternFill patternType="solid">
          <fgColor rgb="FF99FF33"/>
          <bgColor rgb="FF99FF3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2</xdr:row>
      <xdr:rowOff>57150</xdr:rowOff>
    </xdr:from>
    <xdr:ext cx="2409825" cy="438150"/>
    <xdr:pic>
      <xdr:nvPicPr>
        <xdr:cNvPr descr="C:\Users\JorgeAntonio\AppData\Local\Microsoft\Windows\INetCache\Content.Outlook\ERFA72SR\SERVIU_Region_Araucania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85725</xdr:rowOff>
    </xdr:from>
    <xdr:ext cx="2238375" cy="1304925"/>
    <xdr:pic>
      <xdr:nvPicPr>
        <xdr:cNvPr descr="C:\Users\JorgeAntonio\AppData\Local\Microsoft\Windows\INetCache\Content.Outlook\ERFA72SR\SERVIU_Region_Araucania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0" cy="1600200"/>
    <xdr:pic>
      <xdr:nvPicPr>
        <xdr:cNvPr descr="C:\Users\JorgeAntonio\AppData\Local\Microsoft\Windows\INetCache\Content.Outlook\ERFA72SR\SERVIU_Region_Araucania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07.38"/>
    <col customWidth="1" min="3" max="60" width="10.63"/>
  </cols>
  <sheetData>
    <row r="1" ht="14.25" customHeight="1"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0" customHeight="1"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ht="36.0" customHeight="1">
      <c r="A3" s="2"/>
      <c r="B3" s="3" t="s">
        <v>0</v>
      </c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  <c r="AP3" s="7"/>
      <c r="AQ3" s="8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ht="36.0" customHeight="1">
      <c r="A4" s="9"/>
      <c r="B4" s="9"/>
      <c r="C4" s="10"/>
      <c r="AO4" s="11"/>
      <c r="AP4" s="7"/>
      <c r="AQ4" s="8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ht="36.75" customHeight="1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  <c r="AP5" s="7"/>
      <c r="AQ5" s="8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ht="21.0" customHeight="1">
      <c r="A6" s="16" t="s">
        <v>2</v>
      </c>
      <c r="B6" s="17" t="s">
        <v>3</v>
      </c>
      <c r="C6" s="18" t="s">
        <v>4</v>
      </c>
      <c r="D6" s="19"/>
      <c r="E6" s="19"/>
      <c r="F6" s="20"/>
      <c r="G6" s="21" t="s">
        <v>5</v>
      </c>
      <c r="H6" s="5"/>
      <c r="I6" s="6"/>
      <c r="J6" s="22" t="s">
        <v>6</v>
      </c>
      <c r="K6" s="23"/>
      <c r="L6" s="24"/>
      <c r="M6" s="25"/>
      <c r="N6" s="22" t="s">
        <v>7</v>
      </c>
      <c r="O6" s="23"/>
      <c r="P6" s="24"/>
      <c r="Q6" s="26"/>
      <c r="R6" s="22" t="s">
        <v>8</v>
      </c>
      <c r="S6" s="23"/>
      <c r="T6" s="24"/>
      <c r="U6" s="25"/>
      <c r="V6" s="22" t="s">
        <v>9</v>
      </c>
      <c r="W6" s="23"/>
      <c r="X6" s="24"/>
      <c r="Y6" s="26"/>
      <c r="Z6" s="27" t="s">
        <v>10</v>
      </c>
      <c r="AA6" s="28"/>
      <c r="AB6" s="24"/>
      <c r="AC6" s="26"/>
      <c r="AD6" s="29" t="s">
        <v>11</v>
      </c>
      <c r="AE6" s="30"/>
      <c r="AF6" s="24"/>
      <c r="AG6" s="25"/>
      <c r="AH6" s="29" t="s">
        <v>12</v>
      </c>
      <c r="AI6" s="30"/>
      <c r="AJ6" s="24"/>
      <c r="AK6" s="25"/>
      <c r="AL6" s="29" t="s">
        <v>13</v>
      </c>
      <c r="AM6" s="30"/>
      <c r="AN6" s="24"/>
      <c r="AO6" s="25"/>
      <c r="AP6" s="31"/>
      <c r="AQ6" s="32"/>
      <c r="AR6" s="33"/>
      <c r="AS6" s="3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ht="21.0" customHeight="1">
      <c r="A7" s="34" t="s">
        <v>14</v>
      </c>
      <c r="B7" s="35" t="s">
        <v>15</v>
      </c>
      <c r="C7" s="10"/>
      <c r="F7" s="11"/>
      <c r="G7" s="10"/>
      <c r="I7" s="11"/>
      <c r="J7" s="36" t="s">
        <v>16</v>
      </c>
      <c r="K7" s="37"/>
      <c r="L7" s="38"/>
      <c r="M7" s="39"/>
      <c r="N7" s="36" t="s">
        <v>17</v>
      </c>
      <c r="O7" s="37"/>
      <c r="P7" s="38"/>
      <c r="Q7" s="40"/>
      <c r="R7" s="36" t="s">
        <v>18</v>
      </c>
      <c r="S7" s="37"/>
      <c r="T7" s="38"/>
      <c r="U7" s="39"/>
      <c r="V7" s="36" t="s">
        <v>19</v>
      </c>
      <c r="W7" s="37"/>
      <c r="X7" s="38"/>
      <c r="Y7" s="40"/>
      <c r="Z7" s="41" t="s">
        <v>20</v>
      </c>
      <c r="AA7" s="42"/>
      <c r="AB7" s="38"/>
      <c r="AC7" s="40"/>
      <c r="AD7" s="43" t="s">
        <v>21</v>
      </c>
      <c r="AE7" s="44"/>
      <c r="AF7" s="38"/>
      <c r="AG7" s="39"/>
      <c r="AH7" s="43" t="s">
        <v>22</v>
      </c>
      <c r="AI7" s="44"/>
      <c r="AJ7" s="38"/>
      <c r="AK7" s="39"/>
      <c r="AL7" s="43" t="s">
        <v>23</v>
      </c>
      <c r="AM7" s="44"/>
      <c r="AN7" s="38"/>
      <c r="AO7" s="39"/>
      <c r="AP7" s="45"/>
      <c r="AQ7" s="46"/>
      <c r="AR7" s="33"/>
      <c r="AS7" s="3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ht="21.0" customHeight="1">
      <c r="A8" s="34" t="s">
        <v>24</v>
      </c>
      <c r="B8" s="35" t="s">
        <v>25</v>
      </c>
      <c r="C8" s="10"/>
      <c r="F8" s="11"/>
      <c r="G8" s="10"/>
      <c r="I8" s="11"/>
      <c r="J8" s="36" t="s">
        <v>26</v>
      </c>
      <c r="K8" s="37"/>
      <c r="L8" s="38"/>
      <c r="M8" s="39"/>
      <c r="N8" s="36" t="s">
        <v>27</v>
      </c>
      <c r="O8" s="37"/>
      <c r="P8" s="38"/>
      <c r="Q8" s="40"/>
      <c r="R8" s="36" t="s">
        <v>28</v>
      </c>
      <c r="S8" s="37"/>
      <c r="T8" s="38"/>
      <c r="U8" s="39"/>
      <c r="V8" s="41" t="s">
        <v>29</v>
      </c>
      <c r="W8" s="37"/>
      <c r="X8" s="38"/>
      <c r="Y8" s="40"/>
      <c r="Z8" s="41" t="s">
        <v>30</v>
      </c>
      <c r="AA8" s="42"/>
      <c r="AB8" s="38"/>
      <c r="AC8" s="40"/>
      <c r="AD8" s="43" t="s">
        <v>31</v>
      </c>
      <c r="AE8" s="44"/>
      <c r="AF8" s="38"/>
      <c r="AG8" s="39"/>
      <c r="AH8" s="43" t="s">
        <v>32</v>
      </c>
      <c r="AI8" s="44"/>
      <c r="AJ8" s="38"/>
      <c r="AK8" s="39"/>
      <c r="AL8" s="43" t="s">
        <v>33</v>
      </c>
      <c r="AM8" s="44"/>
      <c r="AN8" s="38"/>
      <c r="AO8" s="39"/>
      <c r="AP8" s="45"/>
      <c r="AQ8" s="46"/>
      <c r="AR8" s="33"/>
      <c r="AS8" s="3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ht="21.0" customHeight="1">
      <c r="A9" s="34" t="s">
        <v>34</v>
      </c>
      <c r="B9" s="35" t="s">
        <v>35</v>
      </c>
      <c r="C9" s="10"/>
      <c r="F9" s="11"/>
      <c r="G9" s="10"/>
      <c r="I9" s="11"/>
      <c r="J9" s="36" t="s">
        <v>36</v>
      </c>
      <c r="K9" s="37"/>
      <c r="L9" s="38"/>
      <c r="M9" s="39"/>
      <c r="N9" s="36" t="s">
        <v>37</v>
      </c>
      <c r="O9" s="37"/>
      <c r="P9" s="38"/>
      <c r="Q9" s="40"/>
      <c r="R9" s="36" t="s">
        <v>38</v>
      </c>
      <c r="S9" s="37"/>
      <c r="T9" s="38"/>
      <c r="U9" s="39"/>
      <c r="V9" s="41" t="s">
        <v>39</v>
      </c>
      <c r="W9" s="37"/>
      <c r="X9" s="38"/>
      <c r="Y9" s="40"/>
      <c r="Z9" s="43" t="s">
        <v>40</v>
      </c>
      <c r="AA9" s="42"/>
      <c r="AB9" s="38"/>
      <c r="AC9" s="40"/>
      <c r="AD9" s="43" t="s">
        <v>41</v>
      </c>
      <c r="AE9" s="44"/>
      <c r="AF9" s="38"/>
      <c r="AG9" s="39"/>
      <c r="AH9" s="43" t="s">
        <v>42</v>
      </c>
      <c r="AI9" s="44"/>
      <c r="AJ9" s="38"/>
      <c r="AK9" s="39"/>
      <c r="AL9" s="43" t="s">
        <v>43</v>
      </c>
      <c r="AM9" s="44"/>
      <c r="AN9" s="38"/>
      <c r="AO9" s="39"/>
      <c r="AP9" s="45"/>
      <c r="AQ9" s="46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ht="21.0" customHeight="1">
      <c r="A10" s="34" t="s">
        <v>44</v>
      </c>
      <c r="B10" s="35" t="s">
        <v>45</v>
      </c>
      <c r="C10" s="10"/>
      <c r="F10" s="11"/>
      <c r="G10" s="10"/>
      <c r="I10" s="11"/>
      <c r="J10" s="36" t="s">
        <v>46</v>
      </c>
      <c r="K10" s="37"/>
      <c r="L10" s="38"/>
      <c r="M10" s="39"/>
      <c r="N10" s="36" t="s">
        <v>47</v>
      </c>
      <c r="O10" s="37"/>
      <c r="P10" s="38"/>
      <c r="Q10" s="40"/>
      <c r="R10" s="36" t="s">
        <v>48</v>
      </c>
      <c r="S10" s="37"/>
      <c r="T10" s="38"/>
      <c r="U10" s="39"/>
      <c r="V10" s="41" t="s">
        <v>49</v>
      </c>
      <c r="W10" s="37"/>
      <c r="X10" s="38"/>
      <c r="Y10" s="40"/>
      <c r="Z10" s="43" t="s">
        <v>50</v>
      </c>
      <c r="AA10" s="42"/>
      <c r="AB10" s="38"/>
      <c r="AC10" s="40"/>
      <c r="AD10" s="43" t="s">
        <v>51</v>
      </c>
      <c r="AE10" s="44"/>
      <c r="AF10" s="38"/>
      <c r="AG10" s="39"/>
      <c r="AH10" s="43" t="s">
        <v>52</v>
      </c>
      <c r="AI10" s="44"/>
      <c r="AJ10" s="38"/>
      <c r="AK10" s="39"/>
      <c r="AL10" s="43" t="s">
        <v>53</v>
      </c>
      <c r="AM10" s="44"/>
      <c r="AN10" s="38"/>
      <c r="AO10" s="39"/>
      <c r="AP10" s="45"/>
      <c r="AQ10" s="46"/>
      <c r="AR10" s="33"/>
      <c r="AS10" s="3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ht="21.0" customHeight="1">
      <c r="A11" s="34" t="s">
        <v>44</v>
      </c>
      <c r="B11" s="35" t="s">
        <v>54</v>
      </c>
      <c r="C11" s="47"/>
      <c r="D11" s="48"/>
      <c r="E11" s="48"/>
      <c r="F11" s="49"/>
      <c r="G11" s="47"/>
      <c r="H11" s="48"/>
      <c r="I11" s="49"/>
      <c r="J11" s="36" t="s">
        <v>55</v>
      </c>
      <c r="K11" s="37"/>
      <c r="L11" s="38"/>
      <c r="M11" s="39"/>
      <c r="N11" s="36" t="s">
        <v>56</v>
      </c>
      <c r="O11" s="37"/>
      <c r="P11" s="38"/>
      <c r="Q11" s="40"/>
      <c r="R11" s="36" t="s">
        <v>57</v>
      </c>
      <c r="S11" s="37"/>
      <c r="T11" s="38"/>
      <c r="U11" s="39"/>
      <c r="V11" s="41" t="s">
        <v>58</v>
      </c>
      <c r="W11" s="37"/>
      <c r="X11" s="38"/>
      <c r="Y11" s="40"/>
      <c r="Z11" s="43" t="s">
        <v>59</v>
      </c>
      <c r="AA11" s="42"/>
      <c r="AB11" s="38"/>
      <c r="AC11" s="40"/>
      <c r="AD11" s="43" t="s">
        <v>60</v>
      </c>
      <c r="AE11" s="44"/>
      <c r="AF11" s="38"/>
      <c r="AG11" s="39"/>
      <c r="AH11" s="43" t="s">
        <v>61</v>
      </c>
      <c r="AI11" s="44"/>
      <c r="AJ11" s="38"/>
      <c r="AK11" s="39"/>
      <c r="AL11" s="43"/>
      <c r="AM11" s="44"/>
      <c r="AN11" s="38"/>
      <c r="AO11" s="39"/>
      <c r="AP11" s="45"/>
      <c r="AQ11" s="46"/>
      <c r="AR11" s="33"/>
      <c r="AS11" s="33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ht="21.0" customHeight="1">
      <c r="A12" s="34" t="s">
        <v>62</v>
      </c>
      <c r="B12" s="35" t="s">
        <v>63</v>
      </c>
      <c r="C12" s="50" t="s">
        <v>64</v>
      </c>
      <c r="D12" s="5"/>
      <c r="E12" s="5"/>
      <c r="F12" s="6"/>
      <c r="G12" s="51" t="s">
        <v>65</v>
      </c>
      <c r="H12" s="5"/>
      <c r="I12" s="6"/>
      <c r="J12" s="36" t="s">
        <v>66</v>
      </c>
      <c r="K12" s="37"/>
      <c r="L12" s="38"/>
      <c r="M12" s="39"/>
      <c r="N12" s="36" t="s">
        <v>67</v>
      </c>
      <c r="O12" s="37"/>
      <c r="P12" s="38"/>
      <c r="Q12" s="40"/>
      <c r="R12" s="36" t="s">
        <v>68</v>
      </c>
      <c r="S12" s="37"/>
      <c r="T12" s="38"/>
      <c r="U12" s="39"/>
      <c r="V12" s="41" t="s">
        <v>69</v>
      </c>
      <c r="W12" s="37"/>
      <c r="X12" s="38"/>
      <c r="Y12" s="40"/>
      <c r="Z12" s="43" t="s">
        <v>70</v>
      </c>
      <c r="AA12" s="42"/>
      <c r="AB12" s="38"/>
      <c r="AC12" s="40"/>
      <c r="AD12" s="43" t="s">
        <v>71</v>
      </c>
      <c r="AE12" s="44"/>
      <c r="AF12" s="38"/>
      <c r="AG12" s="39"/>
      <c r="AH12" s="43" t="s">
        <v>72</v>
      </c>
      <c r="AI12" s="44"/>
      <c r="AJ12" s="38"/>
      <c r="AK12" s="39"/>
      <c r="AL12" s="43"/>
      <c r="AM12" s="44"/>
      <c r="AN12" s="38"/>
      <c r="AO12" s="39"/>
      <c r="AP12" s="45"/>
      <c r="AQ12" s="46"/>
      <c r="AR12" s="33"/>
      <c r="AS12" s="33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ht="21.0" customHeight="1">
      <c r="A13" s="34" t="s">
        <v>73</v>
      </c>
      <c r="B13" s="35" t="s">
        <v>74</v>
      </c>
      <c r="C13" s="10"/>
      <c r="F13" s="11"/>
      <c r="G13" s="10"/>
      <c r="I13" s="11"/>
      <c r="J13" s="36" t="s">
        <v>75</v>
      </c>
      <c r="K13" s="37"/>
      <c r="L13" s="38"/>
      <c r="M13" s="39"/>
      <c r="N13" s="36" t="s">
        <v>76</v>
      </c>
      <c r="O13" s="37"/>
      <c r="P13" s="38"/>
      <c r="Q13" s="40"/>
      <c r="R13" s="36" t="s">
        <v>77</v>
      </c>
      <c r="S13" s="37"/>
      <c r="T13" s="38"/>
      <c r="U13" s="39"/>
      <c r="V13" s="41" t="s">
        <v>78</v>
      </c>
      <c r="W13" s="37"/>
      <c r="X13" s="38"/>
      <c r="Y13" s="40"/>
      <c r="Z13" s="43" t="s">
        <v>79</v>
      </c>
      <c r="AA13" s="42"/>
      <c r="AB13" s="38"/>
      <c r="AC13" s="40"/>
      <c r="AD13" s="43" t="s">
        <v>80</v>
      </c>
      <c r="AE13" s="44"/>
      <c r="AF13" s="38"/>
      <c r="AG13" s="39"/>
      <c r="AH13" s="43" t="s">
        <v>81</v>
      </c>
      <c r="AI13" s="44"/>
      <c r="AJ13" s="38"/>
      <c r="AK13" s="39"/>
      <c r="AL13" s="43"/>
      <c r="AM13" s="44"/>
      <c r="AN13" s="38"/>
      <c r="AO13" s="39"/>
      <c r="AP13" s="45"/>
      <c r="AQ13" s="46"/>
      <c r="AR13" s="33"/>
      <c r="AS13" s="33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ht="21.0" customHeight="1">
      <c r="A14" s="34" t="s">
        <v>82</v>
      </c>
      <c r="B14" s="35"/>
      <c r="C14" s="10"/>
      <c r="F14" s="11"/>
      <c r="G14" s="10"/>
      <c r="I14" s="11"/>
      <c r="J14" s="36" t="s">
        <v>83</v>
      </c>
      <c r="K14" s="37"/>
      <c r="L14" s="38"/>
      <c r="M14" s="39"/>
      <c r="N14" s="36" t="s">
        <v>84</v>
      </c>
      <c r="O14" s="37"/>
      <c r="P14" s="38"/>
      <c r="Q14" s="40"/>
      <c r="R14" s="36" t="s">
        <v>85</v>
      </c>
      <c r="S14" s="37"/>
      <c r="T14" s="38"/>
      <c r="U14" s="39"/>
      <c r="V14" s="41" t="s">
        <v>86</v>
      </c>
      <c r="W14" s="42"/>
      <c r="X14" s="38"/>
      <c r="Y14" s="40"/>
      <c r="Z14" s="43" t="s">
        <v>87</v>
      </c>
      <c r="AA14" s="42"/>
      <c r="AB14" s="38"/>
      <c r="AC14" s="40"/>
      <c r="AD14" s="43" t="s">
        <v>88</v>
      </c>
      <c r="AE14" s="44"/>
      <c r="AF14" s="38"/>
      <c r="AG14" s="39"/>
      <c r="AH14" s="43" t="s">
        <v>89</v>
      </c>
      <c r="AI14" s="44"/>
      <c r="AJ14" s="38"/>
      <c r="AK14" s="39"/>
      <c r="AL14" s="43"/>
      <c r="AM14" s="44"/>
      <c r="AN14" s="38"/>
      <c r="AO14" s="39"/>
      <c r="AP14" s="45"/>
      <c r="AQ14" s="46"/>
      <c r="AR14" s="33"/>
      <c r="AS14" s="33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ht="21.0" customHeight="1">
      <c r="A15" s="52" t="s">
        <v>90</v>
      </c>
      <c r="B15" s="53">
        <v>182948.0</v>
      </c>
      <c r="C15" s="47"/>
      <c r="D15" s="48"/>
      <c r="E15" s="48"/>
      <c r="F15" s="49"/>
      <c r="G15" s="47"/>
      <c r="H15" s="48"/>
      <c r="I15" s="49"/>
      <c r="J15" s="54" t="s">
        <v>91</v>
      </c>
      <c r="K15" s="55"/>
      <c r="L15" s="56"/>
      <c r="M15" s="57"/>
      <c r="N15" s="54" t="s">
        <v>92</v>
      </c>
      <c r="O15" s="55"/>
      <c r="P15" s="56"/>
      <c r="Q15" s="58"/>
      <c r="R15" s="54" t="s">
        <v>93</v>
      </c>
      <c r="S15" s="59"/>
      <c r="T15" s="56"/>
      <c r="U15" s="57"/>
      <c r="V15" s="60" t="s">
        <v>94</v>
      </c>
      <c r="W15" s="55"/>
      <c r="X15" s="56"/>
      <c r="Y15" s="58"/>
      <c r="Z15" s="61" t="s">
        <v>95</v>
      </c>
      <c r="AA15" s="55"/>
      <c r="AB15" s="56"/>
      <c r="AC15" s="58"/>
      <c r="AD15" s="61" t="s">
        <v>96</v>
      </c>
      <c r="AE15" s="62"/>
      <c r="AF15" s="56"/>
      <c r="AG15" s="57"/>
      <c r="AH15" s="61" t="s">
        <v>97</v>
      </c>
      <c r="AI15" s="62"/>
      <c r="AJ15" s="56"/>
      <c r="AK15" s="57"/>
      <c r="AL15" s="61"/>
      <c r="AM15" s="62"/>
      <c r="AN15" s="56"/>
      <c r="AO15" s="57"/>
      <c r="AP15" s="45"/>
      <c r="AQ15" s="46"/>
      <c r="AR15" s="33"/>
      <c r="AS15" s="33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ht="15.0" customHeight="1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5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ht="15.75" customHeight="1">
      <c r="A17" s="66" t="s">
        <v>98</v>
      </c>
      <c r="B17" s="67" t="s">
        <v>99</v>
      </c>
      <c r="C17" s="68" t="s">
        <v>100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70"/>
      <c r="AD17" s="71"/>
      <c r="AE17" s="71"/>
      <c r="AF17" s="71"/>
      <c r="AG17" s="71"/>
      <c r="AH17" s="71"/>
      <c r="AI17" s="72"/>
      <c r="AJ17" s="1"/>
      <c r="AK17" s="73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ht="29.25" customHeight="1">
      <c r="A18" s="74"/>
      <c r="B18" s="9"/>
      <c r="C18" s="75" t="s">
        <v>101</v>
      </c>
      <c r="D18" s="76"/>
      <c r="E18" s="77"/>
      <c r="F18" s="77"/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80"/>
      <c r="AD18" s="81" t="s">
        <v>102</v>
      </c>
      <c r="AE18" s="64"/>
      <c r="AF18" s="64"/>
      <c r="AG18" s="64"/>
      <c r="AH18" s="64"/>
      <c r="AI18" s="65"/>
      <c r="AJ18" s="82" t="s">
        <v>103</v>
      </c>
      <c r="AK18" s="65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ht="24.0" customHeight="1">
      <c r="A19" s="83"/>
      <c r="B19" s="84"/>
      <c r="C19" s="85">
        <v>1.0</v>
      </c>
      <c r="D19" s="86"/>
      <c r="E19" s="87">
        <v>2.0</v>
      </c>
      <c r="F19" s="86"/>
      <c r="G19" s="88" t="s">
        <v>104</v>
      </c>
      <c r="H19" s="89" t="s">
        <v>105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ht="39.75" customHeight="1">
      <c r="A20" s="90" t="s">
        <v>106</v>
      </c>
      <c r="B20" s="91" t="s">
        <v>107</v>
      </c>
      <c r="C20" s="92" t="s">
        <v>108</v>
      </c>
      <c r="D20" s="93" t="s">
        <v>109</v>
      </c>
      <c r="E20" s="94" t="s">
        <v>108</v>
      </c>
      <c r="F20" s="93" t="s">
        <v>109</v>
      </c>
      <c r="G20" s="95"/>
      <c r="H20" s="96"/>
      <c r="I20" s="97"/>
    </row>
    <row r="21" ht="39.75" customHeight="1">
      <c r="A21" s="98" t="s">
        <v>110</v>
      </c>
      <c r="B21" s="99" t="s">
        <v>111</v>
      </c>
      <c r="C21" s="100"/>
      <c r="D21" s="101"/>
      <c r="E21" s="102"/>
      <c r="F21" s="102"/>
      <c r="G21" s="102"/>
      <c r="H21" s="103"/>
      <c r="I21" s="97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ht="39.75" customHeight="1">
      <c r="A22" s="104" t="s">
        <v>112</v>
      </c>
      <c r="B22" s="105" t="s">
        <v>113</v>
      </c>
      <c r="C22" s="106" t="s">
        <v>93</v>
      </c>
      <c r="D22" s="107"/>
      <c r="E22" s="106" t="s">
        <v>93</v>
      </c>
      <c r="F22" s="108"/>
      <c r="G22" s="109"/>
      <c r="H22" s="110"/>
      <c r="I22" s="97"/>
    </row>
    <row r="23" ht="39.75" customHeight="1">
      <c r="A23" s="104" t="s">
        <v>114</v>
      </c>
      <c r="B23" s="105" t="s">
        <v>115</v>
      </c>
      <c r="C23" s="106" t="s">
        <v>93</v>
      </c>
      <c r="D23" s="107"/>
      <c r="E23" s="106" t="s">
        <v>93</v>
      </c>
      <c r="F23" s="108"/>
      <c r="G23" s="109"/>
      <c r="H23" s="110"/>
      <c r="I23" s="97"/>
    </row>
    <row r="24" ht="39.75" customHeight="1">
      <c r="A24" s="104" t="s">
        <v>116</v>
      </c>
      <c r="B24" s="105" t="s">
        <v>117</v>
      </c>
      <c r="C24" s="106" t="s">
        <v>93</v>
      </c>
      <c r="D24" s="107"/>
      <c r="E24" s="106" t="s">
        <v>93</v>
      </c>
      <c r="F24" s="108"/>
      <c r="G24" s="109"/>
      <c r="H24" s="110"/>
      <c r="I24" s="97"/>
    </row>
    <row r="25" ht="39.75" customHeight="1">
      <c r="A25" s="104" t="s">
        <v>118</v>
      </c>
      <c r="B25" s="105" t="s">
        <v>119</v>
      </c>
      <c r="C25" s="106" t="s">
        <v>93</v>
      </c>
      <c r="D25" s="107"/>
      <c r="E25" s="106" t="s">
        <v>93</v>
      </c>
      <c r="F25" s="108"/>
      <c r="G25" s="109"/>
      <c r="H25" s="110"/>
      <c r="I25" s="97"/>
    </row>
    <row r="26" ht="39.75" customHeight="1">
      <c r="A26" s="104" t="s">
        <v>120</v>
      </c>
      <c r="B26" s="105" t="s">
        <v>121</v>
      </c>
      <c r="C26" s="106" t="s">
        <v>93</v>
      </c>
      <c r="D26" s="107"/>
      <c r="E26" s="106" t="s">
        <v>93</v>
      </c>
      <c r="F26" s="108"/>
      <c r="G26" s="109"/>
      <c r="H26" s="110"/>
      <c r="I26" s="97"/>
    </row>
    <row r="27" ht="39.75" customHeight="1">
      <c r="A27" s="104" t="s">
        <v>122</v>
      </c>
      <c r="B27" s="105" t="s">
        <v>123</v>
      </c>
      <c r="C27" s="106" t="s">
        <v>93</v>
      </c>
      <c r="D27" s="107"/>
      <c r="E27" s="106" t="s">
        <v>93</v>
      </c>
      <c r="F27" s="108"/>
      <c r="G27" s="109"/>
      <c r="H27" s="110"/>
      <c r="I27" s="97"/>
    </row>
    <row r="28" ht="39.75" customHeight="1">
      <c r="A28" s="104" t="s">
        <v>124</v>
      </c>
      <c r="B28" s="105" t="s">
        <v>125</v>
      </c>
      <c r="C28" s="106" t="s">
        <v>93</v>
      </c>
      <c r="D28" s="107"/>
      <c r="E28" s="106" t="s">
        <v>93</v>
      </c>
      <c r="F28" s="108"/>
      <c r="G28" s="109"/>
      <c r="H28" s="110"/>
      <c r="I28" s="97"/>
    </row>
    <row r="29" ht="39.75" customHeight="1">
      <c r="A29" s="111" t="s">
        <v>126</v>
      </c>
      <c r="B29" s="112" t="s">
        <v>127</v>
      </c>
      <c r="C29" s="113"/>
      <c r="D29" s="114"/>
      <c r="E29" s="115"/>
      <c r="F29" s="115"/>
      <c r="G29" s="116"/>
      <c r="H29" s="117"/>
      <c r="I29" s="97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ht="39.75" customHeight="1">
      <c r="A30" s="104" t="s">
        <v>128</v>
      </c>
      <c r="B30" s="105" t="s">
        <v>129</v>
      </c>
      <c r="C30" s="107"/>
      <c r="D30" s="107"/>
      <c r="E30" s="108"/>
      <c r="F30" s="108"/>
      <c r="G30" s="109"/>
      <c r="H30" s="110"/>
      <c r="I30" s="97"/>
    </row>
    <row r="31" ht="39.75" customHeight="1">
      <c r="A31" s="104" t="s">
        <v>130</v>
      </c>
      <c r="B31" s="105" t="s">
        <v>131</v>
      </c>
      <c r="C31" s="107"/>
      <c r="D31" s="107"/>
      <c r="E31" s="108"/>
      <c r="F31" s="108"/>
      <c r="G31" s="109"/>
      <c r="H31" s="110"/>
      <c r="I31" s="97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ht="39.75" customHeight="1">
      <c r="A32" s="111" t="s">
        <v>132</v>
      </c>
      <c r="B32" s="112" t="s">
        <v>133</v>
      </c>
      <c r="C32" s="113"/>
      <c r="D32" s="114"/>
      <c r="E32" s="115"/>
      <c r="F32" s="115"/>
      <c r="G32" s="116"/>
      <c r="H32" s="117"/>
      <c r="I32" s="97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ht="39.75" customHeight="1">
      <c r="A33" s="118" t="s">
        <v>134</v>
      </c>
      <c r="B33" s="105" t="s">
        <v>135</v>
      </c>
      <c r="C33" s="119"/>
      <c r="D33" s="107"/>
      <c r="E33" s="119"/>
      <c r="F33" s="108"/>
      <c r="G33" s="109"/>
      <c r="H33" s="120"/>
      <c r="I33" s="97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ht="39.75" customHeight="1">
      <c r="A34" s="111" t="s">
        <v>136</v>
      </c>
      <c r="B34" s="112" t="s">
        <v>137</v>
      </c>
      <c r="C34" s="113"/>
      <c r="D34" s="114"/>
      <c r="E34" s="115"/>
      <c r="F34" s="115"/>
      <c r="G34" s="116"/>
      <c r="H34" s="117"/>
      <c r="I34" s="97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ht="39.75" customHeight="1">
      <c r="A35" s="104" t="s">
        <v>138</v>
      </c>
      <c r="B35" s="105" t="s">
        <v>139</v>
      </c>
      <c r="C35" s="119"/>
      <c r="D35" s="107"/>
      <c r="E35" s="121"/>
      <c r="F35" s="108"/>
      <c r="G35" s="109"/>
      <c r="H35" s="120"/>
      <c r="I35" s="97"/>
    </row>
    <row r="36" ht="39.75" customHeight="1">
      <c r="A36" s="104" t="s">
        <v>140</v>
      </c>
      <c r="B36" s="105" t="s">
        <v>141</v>
      </c>
      <c r="C36" s="119"/>
      <c r="D36" s="107"/>
      <c r="E36" s="119"/>
      <c r="F36" s="108"/>
      <c r="G36" s="109"/>
      <c r="H36" s="120"/>
      <c r="I36" s="97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ht="39.75" customHeight="1">
      <c r="A37" s="111" t="s">
        <v>142</v>
      </c>
      <c r="B37" s="112" t="s">
        <v>143</v>
      </c>
      <c r="C37" s="113"/>
      <c r="D37" s="114"/>
      <c r="E37" s="115"/>
      <c r="F37" s="115"/>
      <c r="G37" s="116"/>
      <c r="H37" s="117"/>
      <c r="I37" s="97"/>
    </row>
    <row r="38" ht="39.75" customHeight="1">
      <c r="A38" s="118" t="s">
        <v>144</v>
      </c>
      <c r="B38" s="105" t="s">
        <v>145</v>
      </c>
      <c r="C38" s="107"/>
      <c r="D38" s="107"/>
      <c r="E38" s="108"/>
      <c r="F38" s="108"/>
      <c r="G38" s="109"/>
      <c r="H38" s="120"/>
      <c r="I38" s="97"/>
    </row>
    <row r="39" ht="39.75" customHeight="1">
      <c r="A39" s="111" t="s">
        <v>146</v>
      </c>
      <c r="B39" s="112" t="s">
        <v>147</v>
      </c>
      <c r="C39" s="113"/>
      <c r="D39" s="114"/>
      <c r="E39" s="115"/>
      <c r="F39" s="115"/>
      <c r="G39" s="116"/>
      <c r="H39" s="117"/>
      <c r="I39" s="97"/>
    </row>
    <row r="40" ht="39.75" customHeight="1">
      <c r="A40" s="104" t="s">
        <v>148</v>
      </c>
      <c r="B40" s="105" t="s">
        <v>139</v>
      </c>
      <c r="C40" s="107"/>
      <c r="D40" s="107"/>
      <c r="E40" s="108"/>
      <c r="F40" s="108"/>
      <c r="G40" s="109"/>
      <c r="H40" s="120"/>
      <c r="I40" s="97"/>
    </row>
    <row r="41" ht="39.75" customHeight="1">
      <c r="A41" s="104" t="s">
        <v>149</v>
      </c>
      <c r="B41" s="105" t="s">
        <v>150</v>
      </c>
      <c r="C41" s="107"/>
      <c r="D41" s="107"/>
      <c r="E41" s="108"/>
      <c r="F41" s="108"/>
      <c r="G41" s="109"/>
      <c r="H41" s="120"/>
      <c r="I41" s="97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ht="39.75" customHeight="1">
      <c r="A42" s="122" t="s">
        <v>151</v>
      </c>
      <c r="B42" s="123" t="s">
        <v>152</v>
      </c>
      <c r="C42" s="119"/>
      <c r="D42" s="107"/>
      <c r="E42" s="108"/>
      <c r="F42" s="108"/>
      <c r="G42" s="109"/>
      <c r="H42" s="120"/>
      <c r="I42" s="97"/>
    </row>
    <row r="43" ht="39.75" customHeight="1">
      <c r="A43" s="104" t="s">
        <v>153</v>
      </c>
      <c r="B43" s="105" t="s">
        <v>154</v>
      </c>
      <c r="C43" s="119"/>
      <c r="D43" s="107"/>
      <c r="E43" s="119"/>
      <c r="F43" s="108"/>
      <c r="G43" s="109"/>
      <c r="H43" s="120"/>
      <c r="I43" s="97"/>
    </row>
    <row r="44" ht="39.75" customHeight="1">
      <c r="A44" s="104" t="s">
        <v>155</v>
      </c>
      <c r="B44" s="105" t="s">
        <v>156</v>
      </c>
      <c r="C44" s="119"/>
      <c r="D44" s="107"/>
      <c r="E44" s="121"/>
      <c r="F44" s="108"/>
      <c r="G44" s="109"/>
      <c r="H44" s="120"/>
      <c r="I44" s="97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ht="39.75" customHeight="1">
      <c r="A45" s="104" t="s">
        <v>157</v>
      </c>
      <c r="B45" s="105" t="s">
        <v>158</v>
      </c>
      <c r="C45" s="107"/>
      <c r="D45" s="107"/>
      <c r="E45" s="108"/>
      <c r="F45" s="108"/>
      <c r="G45" s="109"/>
      <c r="H45" s="120"/>
      <c r="I45" s="97"/>
    </row>
    <row r="46" ht="39.75" customHeight="1">
      <c r="A46" s="104" t="s">
        <v>159</v>
      </c>
      <c r="B46" s="105" t="s">
        <v>160</v>
      </c>
      <c r="C46" s="119"/>
      <c r="D46" s="107"/>
      <c r="E46" s="108"/>
      <c r="F46" s="108"/>
      <c r="G46" s="109"/>
      <c r="H46" s="120"/>
      <c r="I46" s="97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ht="39.75" customHeight="1">
      <c r="A47" s="104" t="s">
        <v>161</v>
      </c>
      <c r="B47" s="105" t="s">
        <v>162</v>
      </c>
      <c r="C47" s="119"/>
      <c r="D47" s="107"/>
      <c r="E47" s="108"/>
      <c r="F47" s="108"/>
      <c r="G47" s="109"/>
      <c r="H47" s="120"/>
      <c r="I47" s="97"/>
    </row>
    <row r="48" ht="39.75" customHeight="1">
      <c r="A48" s="104" t="s">
        <v>163</v>
      </c>
      <c r="B48" s="105" t="s">
        <v>164</v>
      </c>
      <c r="C48" s="119"/>
      <c r="D48" s="107"/>
      <c r="E48" s="121"/>
      <c r="F48" s="108"/>
      <c r="G48" s="109"/>
      <c r="H48" s="120"/>
      <c r="I48" s="97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ht="39.75" customHeight="1">
      <c r="A49" s="98" t="s">
        <v>165</v>
      </c>
      <c r="B49" s="99" t="s">
        <v>166</v>
      </c>
      <c r="C49" s="113"/>
      <c r="D49" s="114"/>
      <c r="E49" s="115"/>
      <c r="F49" s="115"/>
      <c r="G49" s="116"/>
      <c r="H49" s="117"/>
      <c r="I49" s="97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ht="39.75" customHeight="1">
      <c r="A50" s="124" t="s">
        <v>167</v>
      </c>
      <c r="B50" s="125" t="s">
        <v>168</v>
      </c>
      <c r="C50" s="119"/>
      <c r="D50" s="107"/>
      <c r="E50" s="108"/>
      <c r="F50" s="108"/>
      <c r="G50" s="109"/>
      <c r="H50" s="120"/>
      <c r="I50" s="97"/>
    </row>
    <row r="51" ht="39.75" customHeight="1">
      <c r="A51" s="126" t="s">
        <v>169</v>
      </c>
      <c r="B51" s="127" t="s">
        <v>170</v>
      </c>
      <c r="C51" s="119"/>
      <c r="D51" s="107"/>
      <c r="E51" s="108"/>
      <c r="F51" s="108"/>
      <c r="G51" s="109"/>
      <c r="H51" s="120"/>
      <c r="I51" s="97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ht="39.75" customHeight="1">
      <c r="A52" s="126" t="s">
        <v>171</v>
      </c>
      <c r="B52" s="127" t="s">
        <v>172</v>
      </c>
      <c r="C52" s="119"/>
      <c r="D52" s="107"/>
      <c r="E52" s="119"/>
      <c r="F52" s="108"/>
      <c r="G52" s="109"/>
      <c r="H52" s="120"/>
      <c r="I52" s="97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ht="39.75" customHeight="1">
      <c r="A53" s="128" t="s">
        <v>173</v>
      </c>
      <c r="B53" s="129" t="s">
        <v>174</v>
      </c>
      <c r="C53" s="119"/>
      <c r="D53" s="107"/>
      <c r="E53" s="108"/>
      <c r="F53" s="108"/>
      <c r="G53" s="109"/>
      <c r="H53" s="120"/>
      <c r="I53" s="97"/>
    </row>
    <row r="54" ht="39.75" customHeight="1">
      <c r="A54" s="126" t="s">
        <v>175</v>
      </c>
      <c r="B54" s="127" t="s">
        <v>176</v>
      </c>
      <c r="C54" s="119"/>
      <c r="D54" s="107"/>
      <c r="E54" s="119"/>
      <c r="F54" s="108"/>
      <c r="G54" s="109"/>
      <c r="H54" s="120"/>
      <c r="I54" s="97"/>
    </row>
    <row r="55" ht="39.75" customHeight="1">
      <c r="A55" s="126" t="s">
        <v>177</v>
      </c>
      <c r="B55" s="127" t="s">
        <v>178</v>
      </c>
      <c r="C55" s="119"/>
      <c r="D55" s="107"/>
      <c r="E55" s="108"/>
      <c r="F55" s="108"/>
      <c r="G55" s="109"/>
      <c r="H55" s="120"/>
      <c r="I55" s="97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ht="39.75" customHeight="1">
      <c r="A56" s="128" t="s">
        <v>179</v>
      </c>
      <c r="B56" s="129" t="s">
        <v>180</v>
      </c>
      <c r="C56" s="119"/>
      <c r="D56" s="107"/>
      <c r="E56" s="108"/>
      <c r="F56" s="108"/>
      <c r="G56" s="109"/>
      <c r="H56" s="120"/>
      <c r="I56" s="97"/>
    </row>
    <row r="57" ht="39.75" customHeight="1">
      <c r="A57" s="126" t="s">
        <v>181</v>
      </c>
      <c r="B57" s="127" t="s">
        <v>182</v>
      </c>
      <c r="C57" s="119"/>
      <c r="D57" s="107"/>
      <c r="E57" s="119"/>
      <c r="F57" s="108"/>
      <c r="G57" s="109"/>
      <c r="H57" s="120"/>
      <c r="I57" s="97"/>
    </row>
    <row r="58" ht="39.75" customHeight="1">
      <c r="A58" s="111" t="s">
        <v>183</v>
      </c>
      <c r="B58" s="112" t="s">
        <v>184</v>
      </c>
      <c r="C58" s="113"/>
      <c r="D58" s="114"/>
      <c r="E58" s="115"/>
      <c r="F58" s="115"/>
      <c r="G58" s="116"/>
      <c r="H58" s="117"/>
      <c r="I58" s="97"/>
    </row>
    <row r="59" ht="39.75" customHeight="1">
      <c r="A59" s="104" t="s">
        <v>185</v>
      </c>
      <c r="B59" s="105" t="s">
        <v>186</v>
      </c>
      <c r="C59" s="119"/>
      <c r="D59" s="107"/>
      <c r="E59" s="108"/>
      <c r="F59" s="108"/>
      <c r="G59" s="109"/>
      <c r="H59" s="120"/>
      <c r="I59" s="97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ht="39.75" customHeight="1">
      <c r="A60" s="104" t="s">
        <v>187</v>
      </c>
      <c r="B60" s="105" t="s">
        <v>188</v>
      </c>
      <c r="C60" s="119"/>
      <c r="D60" s="107"/>
      <c r="E60" s="108"/>
      <c r="F60" s="108"/>
      <c r="G60" s="109"/>
      <c r="H60" s="120"/>
      <c r="I60" s="97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ht="39.75" customHeight="1">
      <c r="A61" s="104" t="s">
        <v>189</v>
      </c>
      <c r="B61" s="105" t="s">
        <v>190</v>
      </c>
      <c r="C61" s="107"/>
      <c r="D61" s="107"/>
      <c r="E61" s="108"/>
      <c r="F61" s="108"/>
      <c r="G61" s="109"/>
      <c r="H61" s="120"/>
      <c r="I61" s="97"/>
    </row>
    <row r="62" ht="39.75" customHeight="1">
      <c r="A62" s="104" t="s">
        <v>191</v>
      </c>
      <c r="B62" s="105" t="s">
        <v>192</v>
      </c>
      <c r="C62" s="107"/>
      <c r="D62" s="107"/>
      <c r="E62" s="108"/>
      <c r="F62" s="108"/>
      <c r="G62" s="109"/>
      <c r="H62" s="120"/>
      <c r="I62" s="97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ht="39.75" customHeight="1">
      <c r="A63" s="111" t="s">
        <v>193</v>
      </c>
      <c r="B63" s="112" t="s">
        <v>194</v>
      </c>
      <c r="C63" s="113"/>
      <c r="D63" s="114"/>
      <c r="E63" s="115"/>
      <c r="F63" s="115"/>
      <c r="G63" s="116"/>
      <c r="H63" s="117"/>
      <c r="I63" s="97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ht="39.75" customHeight="1">
      <c r="A64" s="128" t="s">
        <v>195</v>
      </c>
      <c r="B64" s="129" t="s">
        <v>196</v>
      </c>
      <c r="C64" s="119"/>
      <c r="D64" s="107"/>
      <c r="E64" s="108"/>
      <c r="F64" s="108"/>
      <c r="G64" s="109"/>
      <c r="H64" s="120"/>
      <c r="I64" s="97"/>
    </row>
    <row r="65" ht="39.75" customHeight="1">
      <c r="A65" s="126" t="s">
        <v>197</v>
      </c>
      <c r="B65" s="127" t="s">
        <v>139</v>
      </c>
      <c r="C65" s="119"/>
      <c r="D65" s="107"/>
      <c r="E65" s="108"/>
      <c r="F65" s="108"/>
      <c r="G65" s="109"/>
      <c r="H65" s="120"/>
      <c r="I65" s="97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ht="39.75" customHeight="1">
      <c r="A66" s="128" t="s">
        <v>198</v>
      </c>
      <c r="B66" s="129" t="s">
        <v>199</v>
      </c>
      <c r="C66" s="119"/>
      <c r="D66" s="107"/>
      <c r="E66" s="108"/>
      <c r="F66" s="108"/>
      <c r="G66" s="109"/>
      <c r="H66" s="120"/>
      <c r="I66" s="97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ht="39.75" customHeight="1">
      <c r="A67" s="126" t="s">
        <v>200</v>
      </c>
      <c r="B67" s="127" t="s">
        <v>176</v>
      </c>
      <c r="C67" s="119"/>
      <c r="D67" s="107"/>
      <c r="E67" s="119"/>
      <c r="F67" s="108"/>
      <c r="G67" s="109"/>
      <c r="H67" s="120"/>
      <c r="I67" s="97"/>
    </row>
    <row r="68" ht="39.75" customHeight="1">
      <c r="A68" s="128" t="s">
        <v>201</v>
      </c>
      <c r="B68" s="129" t="s">
        <v>202</v>
      </c>
      <c r="C68" s="119"/>
      <c r="D68" s="107"/>
      <c r="E68" s="108"/>
      <c r="F68" s="108"/>
      <c r="G68" s="109"/>
      <c r="H68" s="120"/>
      <c r="I68" s="97"/>
    </row>
    <row r="69" ht="39.75" customHeight="1">
      <c r="A69" s="126" t="s">
        <v>203</v>
      </c>
      <c r="B69" s="127" t="s">
        <v>204</v>
      </c>
      <c r="C69" s="119"/>
      <c r="D69" s="107"/>
      <c r="E69" s="108"/>
      <c r="F69" s="108"/>
      <c r="G69" s="109"/>
      <c r="H69" s="120"/>
      <c r="I69" s="97"/>
    </row>
    <row r="70" ht="39.75" customHeight="1">
      <c r="A70" s="111" t="s">
        <v>205</v>
      </c>
      <c r="B70" s="112" t="s">
        <v>206</v>
      </c>
      <c r="C70" s="113"/>
      <c r="D70" s="114"/>
      <c r="E70" s="115"/>
      <c r="F70" s="115"/>
      <c r="G70" s="116"/>
      <c r="H70" s="117"/>
      <c r="I70" s="97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ht="39.75" customHeight="1">
      <c r="A71" s="104" t="s">
        <v>207</v>
      </c>
      <c r="B71" s="105" t="s">
        <v>208</v>
      </c>
      <c r="C71" s="107"/>
      <c r="D71" s="107"/>
      <c r="E71" s="108"/>
      <c r="F71" s="108"/>
      <c r="G71" s="109"/>
      <c r="H71" s="120"/>
      <c r="I71" s="97"/>
    </row>
    <row r="72" ht="39.75" customHeight="1">
      <c r="A72" s="111" t="s">
        <v>209</v>
      </c>
      <c r="B72" s="112" t="s">
        <v>210</v>
      </c>
      <c r="C72" s="113"/>
      <c r="D72" s="114"/>
      <c r="E72" s="115"/>
      <c r="F72" s="115"/>
      <c r="G72" s="116"/>
      <c r="H72" s="117"/>
      <c r="I72" s="97"/>
    </row>
    <row r="73" ht="39.75" customHeight="1">
      <c r="A73" s="104" t="s">
        <v>211</v>
      </c>
      <c r="B73" s="105" t="s">
        <v>212</v>
      </c>
      <c r="C73" s="119"/>
      <c r="D73" s="107"/>
      <c r="E73" s="108"/>
      <c r="F73" s="108"/>
      <c r="G73" s="109"/>
      <c r="H73" s="120"/>
      <c r="I73" s="97"/>
    </row>
    <row r="74" ht="39.75" customHeight="1">
      <c r="A74" s="104" t="s">
        <v>213</v>
      </c>
      <c r="B74" s="105" t="s">
        <v>214</v>
      </c>
      <c r="C74" s="119"/>
      <c r="D74" s="107"/>
      <c r="E74" s="121"/>
      <c r="F74" s="108"/>
      <c r="G74" s="109"/>
      <c r="H74" s="120"/>
      <c r="I74" s="97"/>
    </row>
    <row r="75" ht="39.75" customHeight="1">
      <c r="A75" s="111" t="s">
        <v>215</v>
      </c>
      <c r="B75" s="112" t="s">
        <v>216</v>
      </c>
      <c r="C75" s="113"/>
      <c r="D75" s="114"/>
      <c r="E75" s="115"/>
      <c r="F75" s="115"/>
      <c r="G75" s="116"/>
      <c r="H75" s="117"/>
      <c r="I75" s="97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ht="39.75" customHeight="1">
      <c r="A76" s="104" t="s">
        <v>217</v>
      </c>
      <c r="B76" s="105" t="s">
        <v>218</v>
      </c>
      <c r="C76" s="119"/>
      <c r="D76" s="107"/>
      <c r="E76" s="119"/>
      <c r="F76" s="108"/>
      <c r="G76" s="109"/>
      <c r="H76" s="120"/>
      <c r="I76" s="97"/>
    </row>
    <row r="77" ht="39.75" customHeight="1">
      <c r="A77" s="111" t="s">
        <v>219</v>
      </c>
      <c r="B77" s="112" t="s">
        <v>220</v>
      </c>
      <c r="C77" s="113"/>
      <c r="D77" s="114"/>
      <c r="E77" s="115"/>
      <c r="F77" s="115"/>
      <c r="G77" s="116"/>
      <c r="H77" s="117"/>
      <c r="I77" s="97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ht="39.75" customHeight="1">
      <c r="A78" s="104" t="s">
        <v>221</v>
      </c>
      <c r="B78" s="105" t="s">
        <v>222</v>
      </c>
      <c r="C78" s="107"/>
      <c r="D78" s="107"/>
      <c r="E78" s="108"/>
      <c r="F78" s="108"/>
      <c r="G78" s="109"/>
      <c r="H78" s="120"/>
      <c r="I78" s="97"/>
    </row>
    <row r="79" ht="39.75" customHeight="1">
      <c r="A79" s="122" t="s">
        <v>223</v>
      </c>
      <c r="B79" s="123" t="s">
        <v>224</v>
      </c>
      <c r="C79" s="119"/>
      <c r="D79" s="107"/>
      <c r="E79" s="108"/>
      <c r="F79" s="108"/>
      <c r="G79" s="109"/>
      <c r="H79" s="120"/>
      <c r="I79" s="97"/>
    </row>
    <row r="80" ht="39.75" customHeight="1">
      <c r="A80" s="104" t="s">
        <v>225</v>
      </c>
      <c r="B80" s="105" t="s">
        <v>226</v>
      </c>
      <c r="C80" s="119"/>
      <c r="D80" s="107"/>
      <c r="E80" s="108"/>
      <c r="F80" s="108"/>
      <c r="G80" s="109"/>
      <c r="H80" s="120"/>
      <c r="I80" s="97"/>
    </row>
    <row r="81" ht="39.75" customHeight="1">
      <c r="A81" s="104" t="s">
        <v>227</v>
      </c>
      <c r="B81" s="105" t="s">
        <v>228</v>
      </c>
      <c r="C81" s="119"/>
      <c r="D81" s="107"/>
      <c r="E81" s="119"/>
      <c r="F81" s="108"/>
      <c r="G81" s="109"/>
      <c r="H81" s="120"/>
      <c r="I81" s="97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ht="39.75" customHeight="1">
      <c r="A82" s="104" t="s">
        <v>229</v>
      </c>
      <c r="B82" s="105" t="s">
        <v>230</v>
      </c>
      <c r="C82" s="119"/>
      <c r="D82" s="107"/>
      <c r="E82" s="119"/>
      <c r="F82" s="108"/>
      <c r="G82" s="109"/>
      <c r="H82" s="120"/>
      <c r="I82" s="97"/>
    </row>
    <row r="83" ht="39.75" customHeight="1">
      <c r="A83" s="104" t="s">
        <v>231</v>
      </c>
      <c r="B83" s="105" t="s">
        <v>232</v>
      </c>
      <c r="C83" s="119"/>
      <c r="D83" s="119"/>
      <c r="E83" s="121"/>
      <c r="F83" s="108"/>
      <c r="G83" s="109"/>
      <c r="H83" s="120"/>
      <c r="I83" s="97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ht="39.75" customHeight="1">
      <c r="A84" s="104" t="s">
        <v>233</v>
      </c>
      <c r="B84" s="105" t="s">
        <v>234</v>
      </c>
      <c r="C84" s="119"/>
      <c r="D84" s="119"/>
      <c r="E84" s="121"/>
      <c r="F84" s="108"/>
      <c r="G84" s="109"/>
      <c r="H84" s="120"/>
      <c r="I84" s="97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ht="39.75" customHeight="1">
      <c r="A85" s="111" t="s">
        <v>235</v>
      </c>
      <c r="B85" s="112" t="s">
        <v>236</v>
      </c>
      <c r="C85" s="113"/>
      <c r="D85" s="114"/>
      <c r="E85" s="115"/>
      <c r="F85" s="115"/>
      <c r="G85" s="116"/>
      <c r="H85" s="117"/>
      <c r="I85" s="97"/>
    </row>
    <row r="86" ht="39.75" customHeight="1">
      <c r="A86" s="128" t="s">
        <v>237</v>
      </c>
      <c r="B86" s="129" t="s">
        <v>238</v>
      </c>
      <c r="C86" s="119"/>
      <c r="D86" s="119"/>
      <c r="E86" s="121"/>
      <c r="F86" s="108"/>
      <c r="G86" s="109"/>
      <c r="H86" s="120"/>
      <c r="I86" s="97"/>
    </row>
    <row r="87" ht="39.75" customHeight="1">
      <c r="A87" s="104" t="s">
        <v>239</v>
      </c>
      <c r="B87" s="105" t="s">
        <v>139</v>
      </c>
      <c r="C87" s="107"/>
      <c r="D87" s="119"/>
      <c r="E87" s="108"/>
      <c r="F87" s="108"/>
      <c r="G87" s="109"/>
      <c r="H87" s="120"/>
      <c r="I87" s="97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ht="39.75" customHeight="1">
      <c r="A88" s="128" t="s">
        <v>240</v>
      </c>
      <c r="B88" s="129" t="s">
        <v>241</v>
      </c>
      <c r="C88" s="119"/>
      <c r="D88" s="119"/>
      <c r="E88" s="108"/>
      <c r="F88" s="108"/>
      <c r="G88" s="109"/>
      <c r="H88" s="120"/>
      <c r="I88" s="97"/>
    </row>
    <row r="89" ht="39.75" customHeight="1">
      <c r="A89" s="126" t="s">
        <v>242</v>
      </c>
      <c r="B89" s="127" t="s">
        <v>243</v>
      </c>
      <c r="C89" s="107"/>
      <c r="D89" s="119"/>
      <c r="E89" s="108"/>
      <c r="F89" s="108"/>
      <c r="G89" s="109"/>
      <c r="H89" s="120"/>
      <c r="I89" s="97"/>
    </row>
    <row r="90" ht="39.75" customHeight="1">
      <c r="A90" s="126" t="s">
        <v>244</v>
      </c>
      <c r="B90" s="127" t="s">
        <v>245</v>
      </c>
      <c r="C90" s="119"/>
      <c r="D90" s="119"/>
      <c r="E90" s="121"/>
      <c r="F90" s="108"/>
      <c r="G90" s="109"/>
      <c r="H90" s="120"/>
      <c r="I90" s="97"/>
    </row>
    <row r="91" ht="39.75" customHeight="1">
      <c r="A91" s="128" t="s">
        <v>246</v>
      </c>
      <c r="B91" s="129" t="s">
        <v>247</v>
      </c>
      <c r="C91" s="119"/>
      <c r="D91" s="119"/>
      <c r="E91" s="121"/>
      <c r="F91" s="108"/>
      <c r="G91" s="109"/>
      <c r="H91" s="120"/>
      <c r="I91" s="97"/>
    </row>
    <row r="92" ht="39.75" customHeight="1">
      <c r="A92" s="126" t="s">
        <v>248</v>
      </c>
      <c r="B92" s="127" t="s">
        <v>249</v>
      </c>
      <c r="C92" s="107"/>
      <c r="D92" s="119"/>
      <c r="E92" s="108"/>
      <c r="F92" s="108"/>
      <c r="G92" s="109"/>
      <c r="H92" s="120"/>
      <c r="I92" s="97"/>
    </row>
    <row r="93" ht="39.75" customHeight="1">
      <c r="A93" s="126" t="s">
        <v>250</v>
      </c>
      <c r="B93" s="127" t="s">
        <v>251</v>
      </c>
      <c r="C93" s="107"/>
      <c r="D93" s="119"/>
      <c r="E93" s="108"/>
      <c r="F93" s="108"/>
      <c r="G93" s="109"/>
      <c r="H93" s="120"/>
      <c r="I93" s="97"/>
    </row>
    <row r="94" ht="39.75" customHeight="1">
      <c r="A94" s="128" t="s">
        <v>252</v>
      </c>
      <c r="B94" s="129" t="s">
        <v>253</v>
      </c>
      <c r="C94" s="119"/>
      <c r="D94" s="119"/>
      <c r="E94" s="121"/>
      <c r="F94" s="108"/>
      <c r="G94" s="109"/>
      <c r="H94" s="120"/>
      <c r="I94" s="97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ht="39.75" customHeight="1">
      <c r="A95" s="104" t="s">
        <v>254</v>
      </c>
      <c r="B95" s="105" t="s">
        <v>255</v>
      </c>
      <c r="C95" s="119"/>
      <c r="D95" s="119"/>
      <c r="E95" s="119"/>
      <c r="F95" s="108"/>
      <c r="G95" s="109"/>
      <c r="H95" s="120"/>
      <c r="I95" s="97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ht="39.75" customHeight="1">
      <c r="A96" s="104" t="s">
        <v>256</v>
      </c>
      <c r="B96" s="105" t="s">
        <v>257</v>
      </c>
      <c r="C96" s="119"/>
      <c r="D96" s="107"/>
      <c r="E96" s="119"/>
      <c r="F96" s="108"/>
      <c r="G96" s="109"/>
      <c r="H96" s="120"/>
      <c r="I96" s="97"/>
    </row>
    <row r="97" ht="39.75" customHeight="1">
      <c r="A97" s="104" t="s">
        <v>258</v>
      </c>
      <c r="B97" s="105" t="s">
        <v>259</v>
      </c>
      <c r="C97" s="119"/>
      <c r="D97" s="107"/>
      <c r="E97" s="119"/>
      <c r="F97" s="108"/>
      <c r="G97" s="109"/>
      <c r="H97" s="120"/>
      <c r="I97" s="97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ht="39.75" customHeight="1">
      <c r="A98" s="104" t="s">
        <v>260</v>
      </c>
      <c r="B98" s="105" t="s">
        <v>261</v>
      </c>
      <c r="C98" s="119"/>
      <c r="D98" s="107"/>
      <c r="E98" s="119"/>
      <c r="F98" s="108"/>
      <c r="G98" s="109"/>
      <c r="H98" s="120"/>
      <c r="I98" s="97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ht="39.75" customHeight="1">
      <c r="A99" s="128" t="s">
        <v>262</v>
      </c>
      <c r="B99" s="129" t="s">
        <v>263</v>
      </c>
      <c r="C99" s="119"/>
      <c r="D99" s="107"/>
      <c r="E99" s="108"/>
      <c r="F99" s="108"/>
      <c r="G99" s="109"/>
      <c r="H99" s="120"/>
      <c r="I99" s="97"/>
    </row>
    <row r="100" ht="39.75" customHeight="1">
      <c r="A100" s="126" t="s">
        <v>264</v>
      </c>
      <c r="B100" s="127" t="s">
        <v>265</v>
      </c>
      <c r="C100" s="119"/>
      <c r="D100" s="107"/>
      <c r="E100" s="108"/>
      <c r="F100" s="108"/>
      <c r="G100" s="109"/>
      <c r="H100" s="120"/>
      <c r="I100" s="97"/>
    </row>
    <row r="101" ht="39.75" customHeight="1">
      <c r="A101" s="130" t="s">
        <v>266</v>
      </c>
      <c r="B101" s="112" t="s">
        <v>267</v>
      </c>
      <c r="C101" s="113"/>
      <c r="D101" s="114"/>
      <c r="E101" s="115"/>
      <c r="F101" s="115"/>
      <c r="G101" s="116"/>
      <c r="H101" s="117"/>
      <c r="I101" s="97"/>
    </row>
    <row r="102" ht="39.75" customHeight="1">
      <c r="A102" s="104" t="s">
        <v>268</v>
      </c>
      <c r="B102" s="105" t="s">
        <v>269</v>
      </c>
      <c r="C102" s="107"/>
      <c r="D102" s="107"/>
      <c r="E102" s="108"/>
      <c r="F102" s="108"/>
      <c r="G102" s="109"/>
      <c r="H102" s="120"/>
      <c r="I102" s="97"/>
    </row>
    <row r="103" ht="39.75" customHeight="1">
      <c r="A103" s="104" t="s">
        <v>270</v>
      </c>
      <c r="B103" s="105" t="s">
        <v>271</v>
      </c>
      <c r="C103" s="107"/>
      <c r="D103" s="107"/>
      <c r="E103" s="108"/>
      <c r="F103" s="108"/>
      <c r="G103" s="109"/>
      <c r="H103" s="120"/>
      <c r="I103" s="97"/>
    </row>
    <row r="104" ht="39.75" customHeight="1">
      <c r="A104" s="130" t="s">
        <v>272</v>
      </c>
      <c r="B104" s="112" t="s">
        <v>273</v>
      </c>
      <c r="C104" s="113"/>
      <c r="D104" s="114"/>
      <c r="E104" s="115"/>
      <c r="F104" s="115"/>
      <c r="G104" s="116"/>
      <c r="H104" s="117"/>
      <c r="I104" s="97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ht="39.75" customHeight="1">
      <c r="A105" s="104" t="s">
        <v>274</v>
      </c>
      <c r="B105" s="105" t="s">
        <v>275</v>
      </c>
      <c r="C105" s="119"/>
      <c r="D105" s="119"/>
      <c r="E105" s="119"/>
      <c r="F105" s="108"/>
      <c r="G105" s="109"/>
      <c r="H105" s="120"/>
      <c r="I105" s="97"/>
    </row>
    <row r="106" ht="39.75" customHeight="1">
      <c r="A106" s="104" t="s">
        <v>276</v>
      </c>
      <c r="B106" s="105" t="s">
        <v>277</v>
      </c>
      <c r="C106" s="119"/>
      <c r="D106" s="107"/>
      <c r="E106" s="119"/>
      <c r="F106" s="108"/>
      <c r="G106" s="109"/>
      <c r="H106" s="120"/>
      <c r="I106" s="97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ht="39.75" customHeight="1">
      <c r="A107" s="111" t="s">
        <v>278</v>
      </c>
      <c r="B107" s="112" t="s">
        <v>279</v>
      </c>
      <c r="C107" s="113"/>
      <c r="D107" s="114"/>
      <c r="E107" s="115"/>
      <c r="F107" s="115"/>
      <c r="G107" s="116"/>
      <c r="H107" s="117"/>
      <c r="I107" s="97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ht="39.75" customHeight="1">
      <c r="A108" s="128" t="s">
        <v>280</v>
      </c>
      <c r="B108" s="129" t="s">
        <v>281</v>
      </c>
      <c r="C108" s="119"/>
      <c r="D108" s="107"/>
      <c r="E108" s="108"/>
      <c r="F108" s="108"/>
      <c r="G108" s="109"/>
      <c r="H108" s="120"/>
      <c r="I108" s="97"/>
    </row>
    <row r="109" ht="39.75" customHeight="1">
      <c r="A109" s="126" t="s">
        <v>282</v>
      </c>
      <c r="B109" s="127" t="s">
        <v>283</v>
      </c>
      <c r="C109" s="107"/>
      <c r="D109" s="107"/>
      <c r="E109" s="108"/>
      <c r="F109" s="108"/>
      <c r="G109" s="109"/>
      <c r="H109" s="120"/>
      <c r="I109" s="97"/>
    </row>
    <row r="110" ht="39.75" customHeight="1">
      <c r="A110" s="126" t="s">
        <v>284</v>
      </c>
      <c r="B110" s="127" t="s">
        <v>285</v>
      </c>
      <c r="C110" s="119"/>
      <c r="D110" s="107"/>
      <c r="E110" s="108"/>
      <c r="F110" s="108"/>
      <c r="G110" s="109"/>
      <c r="H110" s="120"/>
      <c r="I110" s="97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ht="39.75" customHeight="1">
      <c r="A111" s="128" t="s">
        <v>286</v>
      </c>
      <c r="B111" s="129" t="s">
        <v>287</v>
      </c>
      <c r="C111" s="119"/>
      <c r="D111" s="107"/>
      <c r="E111" s="108"/>
      <c r="F111" s="108"/>
      <c r="G111" s="109"/>
      <c r="H111" s="120"/>
      <c r="I111" s="97"/>
    </row>
    <row r="112" ht="39.75" customHeight="1">
      <c r="A112" s="104" t="s">
        <v>288</v>
      </c>
      <c r="B112" s="105" t="s">
        <v>289</v>
      </c>
      <c r="C112" s="107"/>
      <c r="D112" s="107"/>
      <c r="E112" s="108"/>
      <c r="F112" s="108"/>
      <c r="G112" s="109"/>
      <c r="H112" s="120"/>
      <c r="I112" s="97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ht="39.75" customHeight="1">
      <c r="A113" s="104" t="s">
        <v>290</v>
      </c>
      <c r="B113" s="105" t="s">
        <v>291</v>
      </c>
      <c r="C113" s="119"/>
      <c r="D113" s="107"/>
      <c r="E113" s="119"/>
      <c r="F113" s="108"/>
      <c r="G113" s="109"/>
      <c r="H113" s="120"/>
      <c r="I113" s="97"/>
    </row>
    <row r="114" ht="39.75" customHeight="1">
      <c r="A114" s="104" t="s">
        <v>292</v>
      </c>
      <c r="B114" s="105" t="s">
        <v>293</v>
      </c>
      <c r="C114" s="119"/>
      <c r="D114" s="107"/>
      <c r="E114" s="119"/>
      <c r="F114" s="108"/>
      <c r="G114" s="109"/>
      <c r="H114" s="120"/>
      <c r="I114" s="97"/>
    </row>
    <row r="115" ht="39.75" customHeight="1">
      <c r="A115" s="111" t="s">
        <v>294</v>
      </c>
      <c r="B115" s="131" t="s">
        <v>295</v>
      </c>
      <c r="C115" s="113"/>
      <c r="D115" s="114"/>
      <c r="E115" s="115"/>
      <c r="F115" s="115"/>
      <c r="G115" s="116"/>
      <c r="H115" s="117"/>
      <c r="I115" s="97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ht="39.75" customHeight="1">
      <c r="A116" s="118" t="s">
        <v>296</v>
      </c>
      <c r="B116" s="105" t="s">
        <v>297</v>
      </c>
      <c r="C116" s="119"/>
      <c r="D116" s="107"/>
      <c r="E116" s="108"/>
      <c r="F116" s="108"/>
      <c r="G116" s="109"/>
      <c r="H116" s="120"/>
      <c r="I116" s="97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ht="39.75" customHeight="1">
      <c r="A117" s="118" t="s">
        <v>298</v>
      </c>
      <c r="B117" s="105" t="s">
        <v>299</v>
      </c>
      <c r="C117" s="119"/>
      <c r="D117" s="107"/>
      <c r="E117" s="108"/>
      <c r="F117" s="108"/>
      <c r="G117" s="109"/>
      <c r="H117" s="120"/>
      <c r="I117" s="97"/>
    </row>
    <row r="118" ht="39.75" customHeight="1">
      <c r="A118" s="118" t="s">
        <v>300</v>
      </c>
      <c r="B118" s="105" t="s">
        <v>301</v>
      </c>
      <c r="C118" s="119"/>
      <c r="D118" s="107"/>
      <c r="E118" s="119"/>
      <c r="F118" s="108"/>
      <c r="G118" s="109"/>
      <c r="H118" s="120"/>
      <c r="I118" s="97"/>
    </row>
    <row r="119" ht="39.75" customHeight="1">
      <c r="A119" s="118" t="s">
        <v>302</v>
      </c>
      <c r="B119" s="105" t="s">
        <v>303</v>
      </c>
      <c r="C119" s="107"/>
      <c r="D119" s="107"/>
      <c r="E119" s="108"/>
      <c r="F119" s="108"/>
      <c r="G119" s="109"/>
      <c r="H119" s="120"/>
      <c r="I119" s="97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ht="39.75" customHeight="1">
      <c r="A120" s="118" t="s">
        <v>304</v>
      </c>
      <c r="B120" s="105" t="s">
        <v>305</v>
      </c>
      <c r="C120" s="119"/>
      <c r="D120" s="107"/>
      <c r="E120" s="108"/>
      <c r="F120" s="108"/>
      <c r="G120" s="109"/>
      <c r="H120" s="120"/>
      <c r="I120" s="97"/>
    </row>
    <row r="121" ht="39.75" customHeight="1">
      <c r="A121" s="118" t="s">
        <v>306</v>
      </c>
      <c r="B121" s="105" t="s">
        <v>307</v>
      </c>
      <c r="C121" s="119"/>
      <c r="D121" s="107"/>
      <c r="E121" s="121"/>
      <c r="F121" s="108"/>
      <c r="G121" s="109"/>
      <c r="H121" s="120"/>
      <c r="I121" s="97"/>
    </row>
    <row r="122" ht="39.75" customHeight="1">
      <c r="A122" s="118" t="s">
        <v>308</v>
      </c>
      <c r="B122" s="105" t="s">
        <v>309</v>
      </c>
      <c r="C122" s="119"/>
      <c r="D122" s="107"/>
      <c r="E122" s="108"/>
      <c r="F122" s="108"/>
      <c r="G122" s="109"/>
      <c r="H122" s="120"/>
      <c r="I122" s="97"/>
    </row>
    <row r="123" ht="39.75" customHeight="1">
      <c r="A123" s="118" t="s">
        <v>310</v>
      </c>
      <c r="B123" s="105" t="s">
        <v>311</v>
      </c>
      <c r="C123" s="119"/>
      <c r="D123" s="119"/>
      <c r="E123" s="121"/>
      <c r="F123" s="121"/>
      <c r="G123" s="109"/>
      <c r="H123" s="120"/>
      <c r="I123" s="97"/>
    </row>
    <row r="124" ht="39.75" customHeight="1">
      <c r="A124" s="118" t="s">
        <v>312</v>
      </c>
      <c r="B124" s="105" t="s">
        <v>313</v>
      </c>
      <c r="C124" s="119"/>
      <c r="D124" s="119"/>
      <c r="E124" s="121"/>
      <c r="F124" s="121"/>
      <c r="G124" s="109"/>
      <c r="H124" s="120"/>
      <c r="I124" s="97"/>
    </row>
    <row r="125" ht="39.75" customHeight="1">
      <c r="A125" s="118" t="s">
        <v>314</v>
      </c>
      <c r="B125" s="105" t="s">
        <v>315</v>
      </c>
      <c r="C125" s="119"/>
      <c r="D125" s="119"/>
      <c r="E125" s="121"/>
      <c r="F125" s="121"/>
      <c r="G125" s="109"/>
      <c r="H125" s="120"/>
      <c r="I125" s="97"/>
    </row>
    <row r="126" ht="39.75" customHeight="1">
      <c r="A126" s="118" t="s">
        <v>316</v>
      </c>
      <c r="B126" s="105" t="s">
        <v>317</v>
      </c>
      <c r="C126" s="119"/>
      <c r="D126" s="119"/>
      <c r="E126" s="121"/>
      <c r="F126" s="121"/>
      <c r="G126" s="109"/>
      <c r="H126" s="120"/>
      <c r="I126" s="97"/>
    </row>
    <row r="127" ht="39.75" customHeight="1">
      <c r="A127" s="118" t="s">
        <v>318</v>
      </c>
      <c r="B127" s="105" t="s">
        <v>319</v>
      </c>
      <c r="C127" s="119"/>
      <c r="D127" s="119"/>
      <c r="E127" s="119"/>
      <c r="F127" s="121"/>
      <c r="G127" s="109"/>
      <c r="H127" s="120"/>
      <c r="I127" s="97"/>
    </row>
    <row r="128" ht="39.75" customHeight="1">
      <c r="A128" s="132" t="s">
        <v>320</v>
      </c>
      <c r="B128" s="133" t="s">
        <v>321</v>
      </c>
      <c r="C128" s="113"/>
      <c r="D128" s="114"/>
      <c r="E128" s="115"/>
      <c r="F128" s="115"/>
      <c r="G128" s="116"/>
      <c r="H128" s="117"/>
      <c r="I128" s="97"/>
    </row>
    <row r="129" ht="39.75" customHeight="1">
      <c r="A129" s="98" t="s">
        <v>322</v>
      </c>
      <c r="B129" s="134" t="s">
        <v>323</v>
      </c>
      <c r="C129" s="113"/>
      <c r="D129" s="114"/>
      <c r="E129" s="115"/>
      <c r="F129" s="115"/>
      <c r="G129" s="116"/>
      <c r="H129" s="117"/>
      <c r="I129" s="97"/>
    </row>
    <row r="130" ht="39.75" customHeight="1">
      <c r="A130" s="126" t="s">
        <v>324</v>
      </c>
      <c r="B130" s="135" t="s">
        <v>325</v>
      </c>
      <c r="C130" s="119"/>
      <c r="D130" s="119"/>
      <c r="E130" s="119"/>
      <c r="F130" s="121"/>
      <c r="G130" s="109"/>
      <c r="H130" s="120"/>
      <c r="I130" s="97"/>
    </row>
    <row r="131" ht="39.75" customHeight="1">
      <c r="A131" s="136" t="s">
        <v>326</v>
      </c>
      <c r="B131" s="137" t="s">
        <v>327</v>
      </c>
      <c r="C131" s="119"/>
      <c r="D131" s="119"/>
      <c r="E131" s="119"/>
      <c r="F131" s="121"/>
      <c r="G131" s="109"/>
      <c r="H131" s="120"/>
      <c r="I131" s="97"/>
    </row>
    <row r="132" ht="39.75" customHeight="1">
      <c r="A132" s="126" t="s">
        <v>328</v>
      </c>
      <c r="B132" s="135" t="s">
        <v>329</v>
      </c>
      <c r="C132" s="119"/>
      <c r="D132" s="119"/>
      <c r="E132" s="121"/>
      <c r="F132" s="121"/>
      <c r="G132" s="109"/>
      <c r="H132" s="120"/>
      <c r="I132" s="97"/>
    </row>
    <row r="133" ht="39.75" customHeight="1">
      <c r="A133" s="126" t="s">
        <v>330</v>
      </c>
      <c r="B133" s="135" t="s">
        <v>331</v>
      </c>
      <c r="C133" s="107"/>
      <c r="D133" s="119"/>
      <c r="E133" s="108"/>
      <c r="F133" s="121"/>
      <c r="G133" s="109"/>
      <c r="H133" s="120"/>
      <c r="I133" s="97"/>
    </row>
    <row r="134" ht="39.75" customHeight="1">
      <c r="A134" s="126" t="s">
        <v>332</v>
      </c>
      <c r="B134" s="135" t="s">
        <v>333</v>
      </c>
      <c r="C134" s="119"/>
      <c r="D134" s="119"/>
      <c r="E134" s="121"/>
      <c r="F134" s="121"/>
      <c r="G134" s="109"/>
      <c r="H134" s="120"/>
      <c r="I134" s="97"/>
    </row>
    <row r="135" ht="39.75" customHeight="1">
      <c r="A135" s="126" t="s">
        <v>334</v>
      </c>
      <c r="B135" s="135" t="s">
        <v>335</v>
      </c>
      <c r="C135" s="119"/>
      <c r="D135" s="107"/>
      <c r="E135" s="119"/>
      <c r="F135" s="108"/>
      <c r="G135" s="109"/>
      <c r="H135" s="120"/>
      <c r="I135" s="97"/>
    </row>
    <row r="136" ht="39.75" customHeight="1">
      <c r="A136" s="126" t="s">
        <v>336</v>
      </c>
      <c r="B136" s="135" t="s">
        <v>337</v>
      </c>
      <c r="C136" s="119"/>
      <c r="D136" s="119"/>
      <c r="E136" s="119"/>
      <c r="F136" s="121"/>
      <c r="G136" s="109"/>
      <c r="H136" s="120"/>
      <c r="I136" s="97"/>
    </row>
    <row r="137" ht="39.75" customHeight="1">
      <c r="A137" s="126" t="s">
        <v>338</v>
      </c>
      <c r="B137" s="135" t="s">
        <v>339</v>
      </c>
      <c r="C137" s="119"/>
      <c r="D137" s="119"/>
      <c r="E137" s="121"/>
      <c r="F137" s="121"/>
      <c r="G137" s="109"/>
      <c r="H137" s="120"/>
      <c r="I137" s="97"/>
    </row>
    <row r="138" ht="39.75" customHeight="1">
      <c r="A138" s="126" t="s">
        <v>340</v>
      </c>
      <c r="B138" s="135" t="s">
        <v>341</v>
      </c>
      <c r="C138" s="119"/>
      <c r="D138" s="119"/>
      <c r="E138" s="121"/>
      <c r="F138" s="121"/>
      <c r="G138" s="109"/>
      <c r="H138" s="120"/>
      <c r="I138" s="97"/>
    </row>
    <row r="139" ht="39.75" customHeight="1">
      <c r="A139" s="126" t="s">
        <v>342</v>
      </c>
      <c r="B139" s="135" t="s">
        <v>343</v>
      </c>
      <c r="C139" s="119"/>
      <c r="D139" s="119"/>
      <c r="E139" s="121"/>
      <c r="F139" s="121"/>
      <c r="G139" s="109"/>
      <c r="H139" s="120"/>
      <c r="I139" s="97"/>
    </row>
    <row r="140" ht="39.75" customHeight="1">
      <c r="A140" s="126" t="s">
        <v>344</v>
      </c>
      <c r="B140" s="135" t="s">
        <v>345</v>
      </c>
      <c r="C140" s="119"/>
      <c r="D140" s="119"/>
      <c r="E140" s="121"/>
      <c r="F140" s="121"/>
      <c r="G140" s="109"/>
      <c r="H140" s="120"/>
      <c r="I140" s="97"/>
    </row>
    <row r="141" ht="39.75" customHeight="1">
      <c r="A141" s="126" t="s">
        <v>346</v>
      </c>
      <c r="B141" s="135" t="s">
        <v>347</v>
      </c>
      <c r="C141" s="119"/>
      <c r="D141" s="119"/>
      <c r="E141" s="121"/>
      <c r="F141" s="121"/>
      <c r="G141" s="109"/>
      <c r="H141" s="120"/>
      <c r="I141" s="97"/>
    </row>
    <row r="142" ht="39.75" customHeight="1">
      <c r="A142" s="111" t="s">
        <v>348</v>
      </c>
      <c r="B142" s="131" t="s">
        <v>349</v>
      </c>
      <c r="C142" s="113"/>
      <c r="D142" s="114"/>
      <c r="E142" s="115"/>
      <c r="F142" s="115"/>
      <c r="G142" s="116"/>
      <c r="H142" s="117"/>
      <c r="I142" s="97"/>
    </row>
    <row r="143" ht="39.75" customHeight="1">
      <c r="A143" s="126" t="s">
        <v>350</v>
      </c>
      <c r="B143" s="127" t="s">
        <v>351</v>
      </c>
      <c r="C143" s="119"/>
      <c r="D143" s="119"/>
      <c r="E143" s="119"/>
      <c r="F143" s="121"/>
      <c r="G143" s="109"/>
      <c r="H143" s="120"/>
      <c r="I143" s="97"/>
    </row>
    <row r="144" ht="39.75" customHeight="1">
      <c r="A144" s="126" t="s">
        <v>352</v>
      </c>
      <c r="B144" s="127" t="s">
        <v>353</v>
      </c>
      <c r="C144" s="119"/>
      <c r="D144" s="119"/>
      <c r="E144" s="121"/>
      <c r="F144" s="121"/>
      <c r="G144" s="109"/>
      <c r="H144" s="120"/>
      <c r="I144" s="97"/>
    </row>
    <row r="145" ht="39.75" customHeight="1">
      <c r="A145" s="126" t="s">
        <v>354</v>
      </c>
      <c r="B145" s="127" t="s">
        <v>355</v>
      </c>
      <c r="C145" s="119"/>
      <c r="D145" s="119"/>
      <c r="E145" s="121"/>
      <c r="F145" s="121"/>
      <c r="G145" s="109"/>
      <c r="H145" s="120"/>
      <c r="I145" s="97"/>
    </row>
    <row r="146" ht="39.75" customHeight="1">
      <c r="A146" s="111" t="s">
        <v>356</v>
      </c>
      <c r="B146" s="131" t="s">
        <v>357</v>
      </c>
      <c r="C146" s="113"/>
      <c r="D146" s="114"/>
      <c r="E146" s="115"/>
      <c r="F146" s="115"/>
      <c r="G146" s="116"/>
      <c r="H146" s="117"/>
      <c r="I146" s="97"/>
    </row>
    <row r="147" ht="39.75" customHeight="1">
      <c r="A147" s="126" t="s">
        <v>358</v>
      </c>
      <c r="B147" s="127" t="s">
        <v>359</v>
      </c>
      <c r="C147" s="119"/>
      <c r="D147" s="119"/>
      <c r="E147" s="119"/>
      <c r="F147" s="121"/>
      <c r="G147" s="109"/>
      <c r="H147" s="120"/>
      <c r="I147" s="97"/>
    </row>
    <row r="148" ht="39.75" customHeight="1">
      <c r="A148" s="126" t="s">
        <v>360</v>
      </c>
      <c r="B148" s="127" t="s">
        <v>361</v>
      </c>
      <c r="C148" s="107"/>
      <c r="D148" s="119"/>
      <c r="E148" s="108"/>
      <c r="F148" s="121"/>
      <c r="G148" s="109"/>
      <c r="H148" s="120"/>
      <c r="I148" s="97"/>
    </row>
    <row r="149" ht="39.75" customHeight="1">
      <c r="A149" s="126" t="s">
        <v>362</v>
      </c>
      <c r="B149" s="127" t="s">
        <v>363</v>
      </c>
      <c r="C149" s="119"/>
      <c r="D149" s="119"/>
      <c r="E149" s="119"/>
      <c r="F149" s="121"/>
      <c r="G149" s="109"/>
      <c r="H149" s="120"/>
      <c r="I149" s="97"/>
    </row>
    <row r="150" ht="39.75" customHeight="1">
      <c r="A150" s="111" t="s">
        <v>364</v>
      </c>
      <c r="B150" s="112" t="s">
        <v>365</v>
      </c>
      <c r="C150" s="113"/>
      <c r="D150" s="114"/>
      <c r="E150" s="115"/>
      <c r="F150" s="115"/>
      <c r="G150" s="116"/>
      <c r="H150" s="117"/>
      <c r="I150" s="97"/>
    </row>
    <row r="151" ht="39.75" customHeight="1">
      <c r="A151" s="138" t="s">
        <v>366</v>
      </c>
      <c r="B151" s="139" t="s">
        <v>367</v>
      </c>
      <c r="C151" s="119"/>
      <c r="D151" s="119"/>
      <c r="E151" s="121"/>
      <c r="F151" s="121"/>
      <c r="G151" s="109"/>
      <c r="H151" s="120"/>
      <c r="I151" s="97"/>
    </row>
    <row r="152" ht="39.75" customHeight="1">
      <c r="A152" s="138" t="s">
        <v>368</v>
      </c>
      <c r="B152" s="139" t="s">
        <v>369</v>
      </c>
      <c r="C152" s="119"/>
      <c r="D152" s="119"/>
      <c r="E152" s="121"/>
      <c r="F152" s="121"/>
      <c r="G152" s="109"/>
      <c r="H152" s="120"/>
      <c r="I152" s="97"/>
    </row>
    <row r="153" ht="39.75" customHeight="1">
      <c r="A153" s="138" t="s">
        <v>370</v>
      </c>
      <c r="B153" s="139" t="s">
        <v>371</v>
      </c>
      <c r="C153" s="107"/>
      <c r="D153" s="119"/>
      <c r="E153" s="108"/>
      <c r="F153" s="121"/>
      <c r="G153" s="109"/>
      <c r="H153" s="120"/>
      <c r="I153" s="97"/>
    </row>
    <row r="154" ht="39.75" customHeight="1">
      <c r="A154" s="140" t="s">
        <v>372</v>
      </c>
      <c r="B154" s="141" t="s">
        <v>373</v>
      </c>
      <c r="C154" s="107"/>
      <c r="D154" s="119"/>
      <c r="E154" s="121"/>
      <c r="F154" s="121"/>
      <c r="G154" s="109"/>
      <c r="H154" s="120"/>
      <c r="I154" s="97"/>
    </row>
    <row r="155" ht="39.75" customHeight="1">
      <c r="A155" s="140" t="s">
        <v>374</v>
      </c>
      <c r="B155" s="141" t="s">
        <v>375</v>
      </c>
      <c r="C155" s="107"/>
      <c r="D155" s="119"/>
      <c r="E155" s="121"/>
      <c r="F155" s="121"/>
      <c r="G155" s="109"/>
      <c r="H155" s="120"/>
      <c r="I155" s="97"/>
    </row>
    <row r="156" ht="39.75" customHeight="1">
      <c r="A156" s="140" t="s">
        <v>376</v>
      </c>
      <c r="B156" s="141" t="s">
        <v>377</v>
      </c>
      <c r="C156" s="107"/>
      <c r="D156" s="119"/>
      <c r="E156" s="108"/>
      <c r="F156" s="121"/>
      <c r="G156" s="109"/>
      <c r="H156" s="120"/>
      <c r="I156" s="97"/>
    </row>
    <row r="157" ht="39.75" customHeight="1">
      <c r="A157" s="140" t="s">
        <v>378</v>
      </c>
      <c r="B157" s="142" t="s">
        <v>379</v>
      </c>
      <c r="C157" s="119"/>
      <c r="D157" s="119"/>
      <c r="E157" s="121"/>
      <c r="F157" s="121"/>
      <c r="G157" s="109"/>
      <c r="H157" s="120"/>
      <c r="I157" s="97"/>
    </row>
    <row r="158" ht="39.75" customHeight="1">
      <c r="A158" s="111" t="s">
        <v>380</v>
      </c>
      <c r="B158" s="112" t="s">
        <v>381</v>
      </c>
      <c r="C158" s="113"/>
      <c r="D158" s="114"/>
      <c r="E158" s="115"/>
      <c r="F158" s="115"/>
      <c r="G158" s="116"/>
      <c r="H158" s="117"/>
      <c r="I158" s="97"/>
    </row>
    <row r="159" ht="39.75" customHeight="1">
      <c r="A159" s="126" t="s">
        <v>382</v>
      </c>
      <c r="B159" s="127" t="s">
        <v>383</v>
      </c>
      <c r="C159" s="119"/>
      <c r="D159" s="119"/>
      <c r="E159" s="121"/>
      <c r="F159" s="121"/>
      <c r="G159" s="109"/>
      <c r="H159" s="120"/>
      <c r="I159" s="97"/>
    </row>
    <row r="160" ht="39.75" customHeight="1">
      <c r="A160" s="126" t="s">
        <v>384</v>
      </c>
      <c r="B160" s="127" t="s">
        <v>385</v>
      </c>
      <c r="C160" s="119"/>
      <c r="D160" s="119"/>
      <c r="E160" s="119"/>
      <c r="F160" s="121"/>
      <c r="G160" s="109"/>
      <c r="H160" s="120"/>
      <c r="I160" s="97"/>
    </row>
    <row r="161" ht="39.75" customHeight="1">
      <c r="A161" s="126" t="s">
        <v>386</v>
      </c>
      <c r="B161" s="127" t="s">
        <v>387</v>
      </c>
      <c r="C161" s="119"/>
      <c r="D161" s="119"/>
      <c r="E161" s="119"/>
      <c r="F161" s="121"/>
      <c r="G161" s="109"/>
      <c r="H161" s="120"/>
      <c r="I161" s="97"/>
    </row>
    <row r="162" ht="39.75" customHeight="1">
      <c r="A162" s="126" t="s">
        <v>388</v>
      </c>
      <c r="B162" s="127" t="s">
        <v>389</v>
      </c>
      <c r="C162" s="119"/>
      <c r="D162" s="119"/>
      <c r="E162" s="119"/>
      <c r="F162" s="121"/>
      <c r="G162" s="109"/>
      <c r="H162" s="120"/>
      <c r="I162" s="97"/>
    </row>
    <row r="163" ht="39.75" customHeight="1">
      <c r="A163" s="111" t="s">
        <v>390</v>
      </c>
      <c r="B163" s="131" t="s">
        <v>391</v>
      </c>
      <c r="C163" s="113"/>
      <c r="D163" s="114"/>
      <c r="E163" s="115"/>
      <c r="F163" s="115"/>
      <c r="G163" s="116"/>
      <c r="H163" s="117"/>
      <c r="I163" s="97"/>
    </row>
    <row r="164" ht="39.75" customHeight="1">
      <c r="A164" s="143" t="s">
        <v>392</v>
      </c>
      <c r="B164" s="144" t="s">
        <v>393</v>
      </c>
      <c r="C164" s="119"/>
      <c r="D164" s="119"/>
      <c r="E164" s="119"/>
      <c r="F164" s="121"/>
      <c r="G164" s="109"/>
      <c r="H164" s="120"/>
      <c r="I164" s="97"/>
    </row>
    <row r="165" ht="39.75" customHeight="1">
      <c r="A165" s="143" t="s">
        <v>394</v>
      </c>
      <c r="B165" s="144" t="s">
        <v>395</v>
      </c>
      <c r="C165" s="119"/>
      <c r="D165" s="119"/>
      <c r="E165" s="119"/>
      <c r="F165" s="121"/>
      <c r="G165" s="109"/>
      <c r="H165" s="120"/>
      <c r="I165" s="97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5"/>
      <c r="BB165" s="145"/>
      <c r="BC165" s="145"/>
      <c r="BD165" s="145"/>
    </row>
    <row r="166" ht="39.75" customHeight="1">
      <c r="A166" s="146" t="s">
        <v>396</v>
      </c>
      <c r="B166" s="147" t="s">
        <v>397</v>
      </c>
      <c r="C166" s="148"/>
      <c r="D166" s="148"/>
      <c r="E166" s="148"/>
      <c r="F166" s="149"/>
      <c r="G166" s="150"/>
      <c r="H166" s="151"/>
      <c r="I166" s="9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52"/>
      <c r="B167" s="15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ht="14.25" customHeight="1">
      <c r="A168" s="152"/>
      <c r="B168" s="15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ht="14.25" customHeight="1">
      <c r="A169" s="152"/>
      <c r="B169" s="15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ht="14.25" customHeight="1">
      <c r="A170" s="152"/>
      <c r="B170" s="15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ht="14.25" customHeight="1">
      <c r="A171" s="152"/>
      <c r="B171" s="15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ht="14.25" customHeight="1">
      <c r="A172" s="152"/>
      <c r="B172" s="15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ht="14.25" customHeight="1">
      <c r="A173" s="152"/>
      <c r="B173" s="15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ht="14.25" customHeight="1">
      <c r="A174" s="154"/>
      <c r="B174" s="15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ht="14.25" customHeight="1">
      <c r="A175" s="154"/>
      <c r="B175" s="15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ht="14.25" customHeight="1">
      <c r="A176" s="154"/>
      <c r="B176" s="15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ht="14.25" customHeight="1">
      <c r="A177" s="154"/>
      <c r="B177" s="15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ht="15.0" customHeight="1">
      <c r="A178" s="15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ht="18.0" customHeight="1">
      <c r="A179" s="156"/>
      <c r="B179" s="157"/>
      <c r="C179" s="158"/>
      <c r="D179" s="158"/>
      <c r="E179" s="158"/>
      <c r="F179" s="157"/>
      <c r="G179" s="157"/>
      <c r="H179" s="157"/>
      <c r="I179" s="159"/>
      <c r="J179" s="159"/>
      <c r="K179" s="159"/>
      <c r="L179" s="159"/>
      <c r="M179" s="159"/>
      <c r="N179" s="159"/>
      <c r="O179" s="1"/>
      <c r="P179" s="158"/>
      <c r="Q179" s="158"/>
      <c r="R179" s="158"/>
      <c r="S179" s="158"/>
      <c r="T179" s="158"/>
      <c r="U179" s="158"/>
      <c r="V179" s="157"/>
      <c r="W179" s="157"/>
      <c r="X179" s="157"/>
      <c r="Y179" s="157"/>
      <c r="Z179" s="159"/>
      <c r="AA179" s="159"/>
      <c r="AB179" s="159"/>
      <c r="AC179" s="157"/>
      <c r="AD179" s="158"/>
      <c r="AE179" s="160"/>
      <c r="AF179" s="160"/>
      <c r="AG179" s="160"/>
      <c r="AH179" s="160"/>
      <c r="AI179" s="1"/>
      <c r="AJ179" s="1"/>
      <c r="AK179" s="1"/>
      <c r="AL179" s="1"/>
      <c r="AM179" s="1"/>
      <c r="AN179" s="1"/>
      <c r="AO179" s="159"/>
      <c r="AP179" s="159"/>
      <c r="AQ179" s="159"/>
      <c r="AR179" s="159"/>
      <c r="AS179" s="159"/>
      <c r="AT179" s="159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ht="25.5" customHeight="1">
      <c r="A180" s="154"/>
      <c r="B180" s="161" t="s">
        <v>398</v>
      </c>
      <c r="C180" s="161"/>
      <c r="D180" s="161"/>
      <c r="E180" s="161"/>
      <c r="F180" s="162" t="s">
        <v>44</v>
      </c>
      <c r="G180" s="163"/>
      <c r="H180" s="163"/>
      <c r="I180" s="163"/>
      <c r="J180" s="163"/>
      <c r="K180" s="163"/>
      <c r="L180" s="163"/>
      <c r="M180" s="163"/>
      <c r="N180" s="164"/>
      <c r="O180" s="1"/>
      <c r="P180" s="165"/>
      <c r="Q180" s="165"/>
      <c r="R180" s="165"/>
      <c r="S180" s="165"/>
      <c r="T180" s="1"/>
      <c r="U180" s="1"/>
      <c r="W180" s="166" t="s">
        <v>399</v>
      </c>
      <c r="X180" s="38"/>
      <c r="Y180" s="38"/>
      <c r="Z180" s="38"/>
      <c r="AA180" s="38"/>
      <c r="AB180" s="40"/>
      <c r="AC180" s="161"/>
      <c r="AD180" s="1"/>
      <c r="AE180" s="1"/>
      <c r="AF180" s="1"/>
      <c r="AG180" s="1"/>
      <c r="AH180" s="1"/>
      <c r="AI180" s="167" t="s">
        <v>73</v>
      </c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40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ht="23.25" customHeight="1">
      <c r="A181" s="154"/>
      <c r="B181" s="168" t="s">
        <v>35</v>
      </c>
      <c r="C181" s="168"/>
      <c r="D181" s="168"/>
      <c r="E181" s="168"/>
      <c r="F181" s="169" t="s">
        <v>45</v>
      </c>
      <c r="G181" s="38"/>
      <c r="H181" s="38"/>
      <c r="I181" s="38"/>
      <c r="J181" s="38"/>
      <c r="K181" s="38"/>
      <c r="L181" s="38"/>
      <c r="M181" s="38"/>
      <c r="N181" s="40"/>
      <c r="O181" s="170"/>
      <c r="P181" s="170"/>
      <c r="Q181" s="170"/>
      <c r="R181" s="170"/>
      <c r="S181" s="170"/>
      <c r="T181" s="1"/>
      <c r="U181" s="1"/>
      <c r="V181" s="171"/>
      <c r="W181" s="38"/>
      <c r="X181" s="38"/>
      <c r="Y181" s="38"/>
      <c r="Z181" s="38"/>
      <c r="AA181" s="38"/>
      <c r="AB181" s="38"/>
      <c r="AC181" s="40"/>
      <c r="AD181" s="1"/>
      <c r="AE181" s="1"/>
      <c r="AF181" s="1"/>
      <c r="AG181" s="1"/>
      <c r="AH181" s="1"/>
      <c r="AI181" s="170"/>
      <c r="AJ181" s="170"/>
      <c r="AK181" s="170"/>
      <c r="AL181" s="170"/>
      <c r="AM181" s="170"/>
      <c r="AN181" s="172" t="s">
        <v>74</v>
      </c>
      <c r="AO181" s="38"/>
      <c r="AP181" s="38"/>
      <c r="AQ181" s="38"/>
      <c r="AR181" s="38"/>
      <c r="AS181" s="38"/>
      <c r="AT181" s="40"/>
      <c r="AU181" s="173"/>
      <c r="AV181" s="173"/>
      <c r="AW181" s="173"/>
      <c r="AX181" s="173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ht="18.0" customHeight="1">
      <c r="B182" s="174"/>
      <c r="C182" s="174"/>
      <c r="D182" s="174"/>
      <c r="E182" s="174"/>
      <c r="F182" s="174"/>
      <c r="G182" s="175"/>
      <c r="H182" s="175"/>
      <c r="I182" s="1"/>
      <c r="J182" s="1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1"/>
      <c r="W182" s="38"/>
      <c r="X182" s="38"/>
      <c r="Y182" s="38"/>
      <c r="Z182" s="38"/>
      <c r="AA182" s="40"/>
      <c r="AB182" s="1"/>
      <c r="AC182" s="175"/>
      <c r="AD182" s="1"/>
      <c r="AE182" s="1"/>
      <c r="AF182" s="1"/>
      <c r="AG182" s="1"/>
      <c r="AH182" s="1"/>
      <c r="AI182" s="170"/>
      <c r="AJ182" s="170"/>
      <c r="AK182" s="170"/>
      <c r="AL182" s="170"/>
      <c r="AM182" s="170"/>
      <c r="AN182" s="170"/>
      <c r="AO182" s="170"/>
      <c r="AP182" s="170"/>
      <c r="AQ182" s="173"/>
      <c r="AR182" s="173"/>
      <c r="AS182" s="173"/>
      <c r="AT182" s="173"/>
      <c r="AU182" s="173"/>
      <c r="AV182" s="173"/>
      <c r="AW182" s="173"/>
      <c r="AX182" s="173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ht="21.75" customHeight="1">
      <c r="A183" s="1"/>
      <c r="B183" s="176"/>
      <c r="C183" s="176"/>
      <c r="D183" s="176"/>
      <c r="E183" s="176"/>
      <c r="F183" s="176"/>
      <c r="G183" s="176"/>
      <c r="H183" s="176"/>
      <c r="I183" s="1"/>
      <c r="J183" s="1"/>
      <c r="K183" s="176"/>
      <c r="L183" s="176"/>
      <c r="M183" s="177"/>
      <c r="N183" s="176"/>
      <c r="O183" s="176"/>
      <c r="P183" s="176"/>
      <c r="Q183" s="176"/>
      <c r="R183" s="176"/>
      <c r="S183" s="176"/>
      <c r="T183" s="176"/>
      <c r="U183" s="176"/>
      <c r="V183" s="178"/>
      <c r="AB183" s="1"/>
      <c r="AC183" s="176"/>
      <c r="AD183" s="176"/>
      <c r="AE183" s="177"/>
      <c r="AF183" s="176"/>
      <c r="AG183" s="176"/>
      <c r="AH183" s="176"/>
      <c r="AI183" s="170"/>
      <c r="AJ183" s="170"/>
      <c r="AK183" s="170"/>
      <c r="AL183" s="170"/>
      <c r="AM183" s="170"/>
      <c r="AN183" s="170"/>
      <c r="AO183" s="170"/>
      <c r="AP183" s="170"/>
      <c r="AQ183" s="173"/>
      <c r="AR183" s="173"/>
      <c r="AS183" s="173"/>
      <c r="AT183" s="173"/>
      <c r="AU183" s="173"/>
      <c r="AV183" s="173"/>
      <c r="AW183" s="173"/>
      <c r="AX183" s="173"/>
      <c r="BE183" s="1"/>
      <c r="BF183" s="1"/>
      <c r="BG183" s="1"/>
      <c r="BH183" s="1"/>
    </row>
    <row r="184" ht="14.25" customHeight="1">
      <c r="A184" s="1"/>
      <c r="B184" s="1"/>
      <c r="C184" s="7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H184" s="72"/>
      <c r="BE184" s="1"/>
      <c r="BF184" s="1"/>
      <c r="BG184" s="1"/>
      <c r="BH184" s="1"/>
    </row>
    <row r="185" ht="14.25" customHeight="1">
      <c r="A185" s="1"/>
      <c r="B185" s="1"/>
      <c r="C185" s="7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H185" s="72"/>
      <c r="BE185" s="1"/>
      <c r="BF185" s="1"/>
      <c r="BG185" s="1"/>
      <c r="BH185" s="1"/>
    </row>
    <row r="186" ht="14.25" customHeight="1">
      <c r="A186" s="1"/>
      <c r="B186" s="1"/>
      <c r="C186" s="7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BE186" s="1"/>
      <c r="BF186" s="1"/>
      <c r="BG186" s="1"/>
      <c r="BH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BE187" s="1"/>
      <c r="BF187" s="1"/>
      <c r="BG187" s="1"/>
      <c r="BH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BE188" s="1"/>
      <c r="BF188" s="1"/>
      <c r="BG188" s="1"/>
      <c r="BH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BE189" s="1"/>
      <c r="BF189" s="1"/>
      <c r="BG189" s="1"/>
      <c r="BH189" s="1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1">
    <mergeCell ref="S6:U6"/>
    <mergeCell ref="W6:Y6"/>
    <mergeCell ref="AA6:AC6"/>
    <mergeCell ref="AE6:AG6"/>
    <mergeCell ref="AI6:AK6"/>
    <mergeCell ref="AM6:AO6"/>
    <mergeCell ref="O6:Q6"/>
    <mergeCell ref="O7:Q7"/>
    <mergeCell ref="S7:U7"/>
    <mergeCell ref="W7:Y7"/>
    <mergeCell ref="AA7:AC7"/>
    <mergeCell ref="AE7:AG7"/>
    <mergeCell ref="AI7:AK7"/>
    <mergeCell ref="AM7:AO7"/>
    <mergeCell ref="K8:M8"/>
    <mergeCell ref="O8:Q8"/>
    <mergeCell ref="S8:U8"/>
    <mergeCell ref="W8:Y8"/>
    <mergeCell ref="AA8:AC8"/>
    <mergeCell ref="AE8:AG8"/>
    <mergeCell ref="AI8:AK8"/>
    <mergeCell ref="AM8:AO8"/>
    <mergeCell ref="K9:M9"/>
    <mergeCell ref="O9:Q9"/>
    <mergeCell ref="S9:U9"/>
    <mergeCell ref="W9:Y9"/>
    <mergeCell ref="AA9:AC9"/>
    <mergeCell ref="AE9:AG9"/>
    <mergeCell ref="AI9:AK9"/>
    <mergeCell ref="AM9:AO9"/>
    <mergeCell ref="K10:M10"/>
    <mergeCell ref="O10:Q10"/>
    <mergeCell ref="S10:U10"/>
    <mergeCell ref="W10:Y10"/>
    <mergeCell ref="AA10:AC10"/>
    <mergeCell ref="AE10:AG10"/>
    <mergeCell ref="AI10:AK10"/>
    <mergeCell ref="AM10:AO10"/>
    <mergeCell ref="AI180:AX180"/>
    <mergeCell ref="AN181:AT181"/>
    <mergeCell ref="K11:M11"/>
    <mergeCell ref="O11:Q11"/>
    <mergeCell ref="F180:N180"/>
    <mergeCell ref="F181:N181"/>
    <mergeCell ref="S11:U11"/>
    <mergeCell ref="W11:Y11"/>
    <mergeCell ref="W180:AB180"/>
    <mergeCell ref="V181:AC181"/>
    <mergeCell ref="V182:AA182"/>
    <mergeCell ref="O13:Q13"/>
    <mergeCell ref="K14:M14"/>
    <mergeCell ref="O14:Q14"/>
    <mergeCell ref="AE13:AG13"/>
    <mergeCell ref="AE14:AG14"/>
    <mergeCell ref="AD18:AI18"/>
    <mergeCell ref="AJ18:AK18"/>
    <mergeCell ref="K15:M15"/>
    <mergeCell ref="O15:Q15"/>
    <mergeCell ref="A17:A19"/>
    <mergeCell ref="B17:B19"/>
    <mergeCell ref="C19:D19"/>
    <mergeCell ref="E19:F19"/>
    <mergeCell ref="S15:U15"/>
    <mergeCell ref="W15:Y15"/>
    <mergeCell ref="AA15:AC15"/>
    <mergeCell ref="AE15:AG15"/>
    <mergeCell ref="AI15:AK15"/>
    <mergeCell ref="AM15:AO15"/>
    <mergeCell ref="AE11:AG11"/>
    <mergeCell ref="C12:F15"/>
    <mergeCell ref="G12:I15"/>
    <mergeCell ref="O12:Q12"/>
    <mergeCell ref="W12:Y12"/>
    <mergeCell ref="AE12:AG12"/>
    <mergeCell ref="AA14:AC14"/>
    <mergeCell ref="A16:AK16"/>
    <mergeCell ref="AI11:AK11"/>
    <mergeCell ref="AM11:AO11"/>
    <mergeCell ref="AI12:AK12"/>
    <mergeCell ref="AM12:AO12"/>
    <mergeCell ref="AI13:AK13"/>
    <mergeCell ref="AM13:AO13"/>
    <mergeCell ref="AI14:AK14"/>
    <mergeCell ref="AM14:AO14"/>
    <mergeCell ref="A3:A5"/>
    <mergeCell ref="B3:B5"/>
    <mergeCell ref="C3:AO5"/>
    <mergeCell ref="C6:F11"/>
    <mergeCell ref="G6:I11"/>
    <mergeCell ref="K6:M6"/>
    <mergeCell ref="K7:M7"/>
    <mergeCell ref="AA11:AC11"/>
    <mergeCell ref="AA12:AC12"/>
    <mergeCell ref="K12:M12"/>
    <mergeCell ref="K13:M13"/>
    <mergeCell ref="S12:U12"/>
    <mergeCell ref="S13:U13"/>
    <mergeCell ref="W13:Y13"/>
    <mergeCell ref="AA13:AC13"/>
    <mergeCell ref="S14:U14"/>
    <mergeCell ref="W14:Y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104.13"/>
    <col customWidth="1" min="3" max="38" width="10.63"/>
  </cols>
  <sheetData>
    <row r="1" ht="61.5" customHeight="1">
      <c r="A1" s="2"/>
      <c r="B1" s="3" t="s">
        <v>0</v>
      </c>
      <c r="C1" s="4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79"/>
      <c r="Z1" s="8"/>
      <c r="AA1" s="8"/>
      <c r="AB1" s="1"/>
      <c r="AC1" s="1"/>
      <c r="AD1" s="1"/>
    </row>
    <row r="2" ht="24.0" customHeight="1">
      <c r="A2" s="9"/>
      <c r="B2" s="9"/>
      <c r="C2" s="10"/>
      <c r="Y2" s="180"/>
      <c r="Z2" s="8"/>
      <c r="AA2" s="8"/>
      <c r="AB2" s="1"/>
      <c r="AC2" s="1"/>
      <c r="AD2" s="1"/>
    </row>
    <row r="3" ht="24.0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81"/>
      <c r="Z3" s="8"/>
      <c r="AA3" s="8"/>
      <c r="AB3" s="1"/>
      <c r="AC3" s="1"/>
      <c r="AD3" s="1"/>
    </row>
    <row r="4" ht="24.0" customHeight="1">
      <c r="A4" s="16" t="s">
        <v>2</v>
      </c>
      <c r="B4" s="17" t="s">
        <v>3</v>
      </c>
      <c r="C4" s="50" t="s">
        <v>4</v>
      </c>
      <c r="D4" s="6"/>
      <c r="E4" s="182">
        <v>46037.0</v>
      </c>
      <c r="F4" s="6"/>
      <c r="G4" s="183" t="s">
        <v>27</v>
      </c>
      <c r="H4" s="184">
        <v>45933.0</v>
      </c>
      <c r="I4" s="24"/>
      <c r="J4" s="25"/>
      <c r="K4" s="185"/>
      <c r="L4" s="23"/>
      <c r="M4" s="24"/>
      <c r="N4" s="25"/>
      <c r="O4" s="185"/>
      <c r="P4" s="23"/>
      <c r="Q4" s="24"/>
      <c r="R4" s="25"/>
      <c r="S4" s="37"/>
      <c r="T4" s="38"/>
      <c r="U4" s="40"/>
      <c r="V4" s="186"/>
      <c r="W4" s="37"/>
      <c r="X4" s="38"/>
      <c r="Y4" s="40"/>
      <c r="Z4" s="32"/>
      <c r="AA4" s="32"/>
      <c r="AB4" s="33"/>
      <c r="AC4" s="33"/>
      <c r="AD4" s="1"/>
    </row>
    <row r="5" ht="24.0" customHeight="1">
      <c r="A5" s="34" t="s">
        <v>14</v>
      </c>
      <c r="B5" s="35" t="s">
        <v>15</v>
      </c>
      <c r="C5" s="10"/>
      <c r="D5" s="11"/>
      <c r="E5" s="10"/>
      <c r="F5" s="11"/>
      <c r="G5" s="187" t="s">
        <v>56</v>
      </c>
      <c r="H5" s="188">
        <v>45954.0</v>
      </c>
      <c r="I5" s="38"/>
      <c r="J5" s="40"/>
      <c r="K5" s="189"/>
      <c r="L5" s="37"/>
      <c r="M5" s="38"/>
      <c r="N5" s="39"/>
      <c r="O5" s="189"/>
      <c r="P5" s="37"/>
      <c r="Q5" s="38"/>
      <c r="R5" s="39"/>
      <c r="S5" s="37"/>
      <c r="T5" s="38"/>
      <c r="U5" s="40"/>
      <c r="V5" s="186"/>
      <c r="W5" s="37"/>
      <c r="X5" s="38"/>
      <c r="Y5" s="40"/>
      <c r="Z5" s="46"/>
      <c r="AA5" s="46"/>
      <c r="AB5" s="33"/>
      <c r="AC5" s="33"/>
      <c r="AD5" s="1"/>
    </row>
    <row r="6" ht="24.0" customHeight="1">
      <c r="A6" s="34" t="s">
        <v>24</v>
      </c>
      <c r="B6" s="35" t="s">
        <v>25</v>
      </c>
      <c r="C6" s="10"/>
      <c r="D6" s="11"/>
      <c r="E6" s="10"/>
      <c r="F6" s="11"/>
      <c r="G6" s="190" t="s">
        <v>67</v>
      </c>
      <c r="H6" s="191">
        <v>45960.0</v>
      </c>
      <c r="I6" s="24"/>
      <c r="J6" s="25"/>
      <c r="K6" s="189"/>
      <c r="L6" s="37"/>
      <c r="M6" s="38"/>
      <c r="N6" s="39"/>
      <c r="O6" s="189"/>
      <c r="P6" s="37"/>
      <c r="Q6" s="38"/>
      <c r="R6" s="39"/>
      <c r="S6" s="37"/>
      <c r="T6" s="38"/>
      <c r="U6" s="40"/>
      <c r="V6" s="192"/>
      <c r="W6" s="37"/>
      <c r="X6" s="38"/>
      <c r="Y6" s="40"/>
      <c r="Z6" s="46"/>
      <c r="AA6" s="46"/>
      <c r="AB6" s="33"/>
      <c r="AC6" s="33"/>
      <c r="AD6" s="1"/>
    </row>
    <row r="7" ht="24.0" customHeight="1">
      <c r="A7" s="34" t="s">
        <v>34</v>
      </c>
      <c r="B7" s="35" t="s">
        <v>35</v>
      </c>
      <c r="C7" s="10"/>
      <c r="D7" s="11"/>
      <c r="E7" s="10"/>
      <c r="F7" s="11"/>
      <c r="G7" s="193" t="s">
        <v>76</v>
      </c>
      <c r="H7" s="194">
        <v>45968.0</v>
      </c>
      <c r="I7" s="38"/>
      <c r="J7" s="39"/>
      <c r="K7" s="189"/>
      <c r="L7" s="37"/>
      <c r="M7" s="38"/>
      <c r="N7" s="39"/>
      <c r="O7" s="189"/>
      <c r="P7" s="37"/>
      <c r="Q7" s="38"/>
      <c r="R7" s="39"/>
      <c r="S7" s="37"/>
      <c r="T7" s="38"/>
      <c r="U7" s="40"/>
      <c r="V7" s="192"/>
      <c r="W7" s="37"/>
      <c r="X7" s="38"/>
      <c r="Y7" s="40"/>
      <c r="Z7" s="46"/>
      <c r="AA7" s="46"/>
      <c r="AB7" s="1"/>
      <c r="AC7" s="1"/>
      <c r="AD7" s="1"/>
    </row>
    <row r="8" ht="24.0" customHeight="1">
      <c r="A8" s="34" t="s">
        <v>44</v>
      </c>
      <c r="B8" s="35" t="s">
        <v>45</v>
      </c>
      <c r="C8" s="10"/>
      <c r="D8" s="11"/>
      <c r="E8" s="10"/>
      <c r="F8" s="11"/>
      <c r="G8" s="195" t="s">
        <v>84</v>
      </c>
      <c r="H8" s="196">
        <v>45975.0</v>
      </c>
      <c r="I8" s="38"/>
      <c r="J8" s="39"/>
      <c r="K8" s="189"/>
      <c r="L8" s="37"/>
      <c r="M8" s="38"/>
      <c r="N8" s="39"/>
      <c r="O8" s="189"/>
      <c r="P8" s="37"/>
      <c r="Q8" s="38"/>
      <c r="R8" s="39"/>
      <c r="S8" s="37"/>
      <c r="T8" s="38"/>
      <c r="U8" s="40"/>
      <c r="V8" s="192"/>
      <c r="W8" s="37"/>
      <c r="X8" s="38"/>
      <c r="Y8" s="40"/>
      <c r="Z8" s="46"/>
      <c r="AA8" s="46"/>
      <c r="AB8" s="33"/>
      <c r="AC8" s="33"/>
      <c r="AD8" s="1"/>
    </row>
    <row r="9" ht="24.0" customHeight="1">
      <c r="A9" s="34" t="s">
        <v>44</v>
      </c>
      <c r="B9" s="35" t="s">
        <v>54</v>
      </c>
      <c r="C9" s="47"/>
      <c r="D9" s="49"/>
      <c r="E9" s="47"/>
      <c r="F9" s="49"/>
      <c r="G9" s="197" t="s">
        <v>92</v>
      </c>
      <c r="H9" s="198">
        <v>45982.0</v>
      </c>
      <c r="I9" s="38"/>
      <c r="J9" s="39"/>
      <c r="K9" s="189"/>
      <c r="L9" s="37"/>
      <c r="M9" s="38"/>
      <c r="N9" s="39"/>
      <c r="O9" s="189"/>
      <c r="P9" s="37"/>
      <c r="Q9" s="38"/>
      <c r="R9" s="39"/>
      <c r="S9" s="37"/>
      <c r="T9" s="38"/>
      <c r="U9" s="40"/>
      <c r="V9" s="192"/>
      <c r="W9" s="37"/>
      <c r="X9" s="38"/>
      <c r="Y9" s="40"/>
      <c r="Z9" s="46"/>
      <c r="AA9" s="46"/>
      <c r="AB9" s="33"/>
      <c r="AC9" s="33"/>
      <c r="AD9" s="1"/>
    </row>
    <row r="10" ht="24.0" customHeight="1">
      <c r="A10" s="34" t="s">
        <v>62</v>
      </c>
      <c r="B10" s="35" t="s">
        <v>63</v>
      </c>
      <c r="C10" s="50" t="s">
        <v>64</v>
      </c>
      <c r="D10" s="6"/>
      <c r="E10" s="50" t="s">
        <v>65</v>
      </c>
      <c r="F10" s="179"/>
      <c r="G10" s="199" t="s">
        <v>85</v>
      </c>
      <c r="H10" s="200">
        <v>46045.0</v>
      </c>
      <c r="I10" s="38"/>
      <c r="J10" s="39"/>
      <c r="K10" s="189"/>
      <c r="L10" s="37"/>
      <c r="M10" s="38"/>
      <c r="N10" s="39"/>
      <c r="O10" s="189"/>
      <c r="P10" s="37"/>
      <c r="Q10" s="38"/>
      <c r="R10" s="39"/>
      <c r="S10" s="37"/>
      <c r="T10" s="38"/>
      <c r="U10" s="40"/>
      <c r="V10" s="192"/>
      <c r="W10" s="37"/>
      <c r="X10" s="38"/>
      <c r="Y10" s="40"/>
      <c r="Z10" s="46"/>
      <c r="AA10" s="46"/>
      <c r="AB10" s="33"/>
      <c r="AC10" s="33"/>
      <c r="AD10" s="1"/>
    </row>
    <row r="11" ht="24.0" customHeight="1">
      <c r="A11" s="34" t="s">
        <v>73</v>
      </c>
      <c r="B11" s="35" t="s">
        <v>74</v>
      </c>
      <c r="C11" s="10"/>
      <c r="D11" s="11"/>
      <c r="E11" s="10"/>
      <c r="F11" s="180"/>
      <c r="G11" s="189"/>
      <c r="H11" s="37"/>
      <c r="I11" s="38"/>
      <c r="J11" s="39"/>
      <c r="K11" s="189"/>
      <c r="L11" s="37"/>
      <c r="M11" s="38"/>
      <c r="N11" s="39"/>
      <c r="O11" s="189"/>
      <c r="P11" s="37"/>
      <c r="Q11" s="38"/>
      <c r="R11" s="39"/>
      <c r="S11" s="37"/>
      <c r="T11" s="38"/>
      <c r="U11" s="40"/>
      <c r="V11" s="192"/>
      <c r="W11" s="37"/>
      <c r="X11" s="38"/>
      <c r="Y11" s="40"/>
      <c r="Z11" s="46"/>
      <c r="AA11" s="46"/>
      <c r="AB11" s="33"/>
      <c r="AC11" s="33"/>
      <c r="AD11" s="1"/>
    </row>
    <row r="12" ht="24.0" customHeight="1">
      <c r="A12" s="34" t="s">
        <v>82</v>
      </c>
      <c r="B12" s="35" t="s">
        <v>400</v>
      </c>
      <c r="C12" s="10"/>
      <c r="D12" s="11"/>
      <c r="E12" s="10"/>
      <c r="F12" s="180"/>
      <c r="G12" s="189"/>
      <c r="H12" s="37"/>
      <c r="I12" s="38"/>
      <c r="J12" s="39"/>
      <c r="K12" s="189"/>
      <c r="L12" s="37"/>
      <c r="M12" s="38"/>
      <c r="N12" s="39"/>
      <c r="O12" s="189"/>
      <c r="P12" s="37"/>
      <c r="Q12" s="38"/>
      <c r="R12" s="39"/>
      <c r="S12" s="37"/>
      <c r="T12" s="38"/>
      <c r="U12" s="40"/>
      <c r="V12" s="192"/>
      <c r="W12" s="42"/>
      <c r="X12" s="38"/>
      <c r="Y12" s="40"/>
      <c r="Z12" s="46"/>
      <c r="AA12" s="46"/>
      <c r="AB12" s="33"/>
      <c r="AC12" s="33"/>
      <c r="AD12" s="1"/>
    </row>
    <row r="13" ht="24.0" customHeight="1">
      <c r="A13" s="201" t="s">
        <v>90</v>
      </c>
      <c r="B13" s="202">
        <v>182948.0</v>
      </c>
      <c r="C13" s="47"/>
      <c r="D13" s="49"/>
      <c r="E13" s="47"/>
      <c r="F13" s="203"/>
      <c r="G13" s="204"/>
      <c r="H13" s="59"/>
      <c r="I13" s="56"/>
      <c r="J13" s="57"/>
      <c r="K13" s="204"/>
      <c r="L13" s="59"/>
      <c r="M13" s="56"/>
      <c r="N13" s="57"/>
      <c r="O13" s="204"/>
      <c r="P13" s="59"/>
      <c r="Q13" s="56"/>
      <c r="R13" s="57"/>
      <c r="S13" s="37"/>
      <c r="T13" s="38"/>
      <c r="U13" s="40"/>
      <c r="V13" s="192"/>
      <c r="W13" s="42"/>
      <c r="X13" s="38"/>
      <c r="Y13" s="40"/>
      <c r="Z13" s="46"/>
      <c r="AA13" s="46"/>
      <c r="AB13" s="33"/>
      <c r="AC13" s="33"/>
      <c r="AD13" s="1"/>
    </row>
    <row r="14" ht="24.0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"/>
      <c r="AA14" s="1"/>
      <c r="AB14" s="1"/>
      <c r="AC14" s="1"/>
      <c r="AD14" s="1"/>
    </row>
    <row r="15" ht="24.0" customHeight="1">
      <c r="A15" s="66" t="s">
        <v>98</v>
      </c>
      <c r="B15" s="67" t="s">
        <v>99</v>
      </c>
      <c r="C15" s="205" t="s">
        <v>100</v>
      </c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7"/>
      <c r="R15" s="208"/>
      <c r="S15" s="152"/>
      <c r="T15" s="152"/>
      <c r="U15" s="152"/>
      <c r="V15" s="152"/>
      <c r="W15" s="152"/>
      <c r="X15" s="152"/>
      <c r="Y15" s="152"/>
      <c r="Z15" s="1"/>
      <c r="AA15" s="1"/>
      <c r="AB15" s="1"/>
      <c r="AC15" s="1"/>
      <c r="AD15" s="1"/>
    </row>
    <row r="16" ht="24.0" customHeight="1">
      <c r="A16" s="74"/>
      <c r="B16" s="9"/>
      <c r="C16" s="209" t="s">
        <v>101</v>
      </c>
      <c r="D16" s="210"/>
      <c r="E16" s="211"/>
      <c r="F16" s="211"/>
      <c r="G16" s="212"/>
      <c r="H16" s="213"/>
      <c r="I16" s="213"/>
      <c r="J16" s="213"/>
      <c r="K16" s="214" t="s">
        <v>102</v>
      </c>
      <c r="L16" s="64"/>
      <c r="M16" s="64"/>
      <c r="N16" s="64"/>
      <c r="O16" s="64"/>
      <c r="P16" s="65"/>
      <c r="Q16" s="215" t="s">
        <v>401</v>
      </c>
      <c r="R16" s="65"/>
      <c r="S16" s="216"/>
      <c r="T16" s="216"/>
      <c r="U16" s="216"/>
      <c r="V16" s="216"/>
      <c r="W16" s="216"/>
      <c r="X16" s="216"/>
      <c r="Y16" s="216"/>
      <c r="Z16" s="1"/>
      <c r="AA16" s="1"/>
      <c r="AB16" s="1"/>
      <c r="AC16" s="1"/>
      <c r="AD16" s="1"/>
    </row>
    <row r="17" ht="24.0" customHeight="1">
      <c r="A17" s="83"/>
      <c r="B17" s="84"/>
      <c r="C17" s="217">
        <v>1.0</v>
      </c>
      <c r="D17" s="86"/>
      <c r="E17" s="87">
        <v>2.0</v>
      </c>
      <c r="F17" s="86"/>
      <c r="G17" s="87">
        <v>3.0</v>
      </c>
      <c r="H17" s="86"/>
      <c r="I17" s="87">
        <v>4.0</v>
      </c>
      <c r="J17" s="86"/>
      <c r="K17" s="87">
        <v>5.0</v>
      </c>
      <c r="L17" s="86"/>
      <c r="M17" s="87">
        <v>6.0</v>
      </c>
      <c r="N17" s="86"/>
      <c r="O17" s="87">
        <v>7.0</v>
      </c>
      <c r="P17" s="218"/>
      <c r="Q17" s="219" t="s">
        <v>104</v>
      </c>
      <c r="R17" s="220" t="s">
        <v>105</v>
      </c>
      <c r="Z17" s="1"/>
      <c r="AA17" s="1"/>
      <c r="AB17" s="1"/>
      <c r="AC17" s="1"/>
      <c r="AD17" s="1"/>
    </row>
    <row r="18" ht="39.75" customHeight="1">
      <c r="A18" s="221" t="s">
        <v>106</v>
      </c>
      <c r="B18" s="222" t="s">
        <v>107</v>
      </c>
      <c r="C18" s="223" t="s">
        <v>108</v>
      </c>
      <c r="D18" s="224" t="s">
        <v>109</v>
      </c>
      <c r="E18" s="223" t="s">
        <v>108</v>
      </c>
      <c r="F18" s="224" t="s">
        <v>109</v>
      </c>
      <c r="G18" s="223" t="s">
        <v>108</v>
      </c>
      <c r="H18" s="224" t="s">
        <v>109</v>
      </c>
      <c r="I18" s="223" t="s">
        <v>108</v>
      </c>
      <c r="J18" s="224" t="s">
        <v>109</v>
      </c>
      <c r="K18" s="223" t="s">
        <v>108</v>
      </c>
      <c r="L18" s="224" t="s">
        <v>109</v>
      </c>
      <c r="M18" s="223" t="s">
        <v>108</v>
      </c>
      <c r="N18" s="224" t="s">
        <v>109</v>
      </c>
      <c r="O18" s="223" t="s">
        <v>108</v>
      </c>
      <c r="P18" s="224" t="s">
        <v>109</v>
      </c>
      <c r="Q18" s="225"/>
      <c r="R18" s="226"/>
    </row>
    <row r="19" ht="39.75" customHeight="1">
      <c r="A19" s="98" t="s">
        <v>110</v>
      </c>
      <c r="B19" s="99" t="s">
        <v>111</v>
      </c>
      <c r="C19" s="227"/>
      <c r="D19" s="228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30"/>
      <c r="R19" s="231"/>
      <c r="Z19" s="1"/>
      <c r="AA19" s="1"/>
      <c r="AB19" s="1"/>
      <c r="AC19" s="1"/>
      <c r="AD19" s="1"/>
    </row>
    <row r="20" ht="39.75" customHeight="1">
      <c r="A20" s="104" t="s">
        <v>112</v>
      </c>
      <c r="B20" s="105" t="s">
        <v>113</v>
      </c>
      <c r="C20" s="232" t="s">
        <v>85</v>
      </c>
      <c r="D20" s="233"/>
      <c r="E20" s="234"/>
      <c r="F20" s="235"/>
      <c r="G20" s="234" t="s">
        <v>27</v>
      </c>
      <c r="H20" s="235"/>
      <c r="I20" s="234" t="s">
        <v>27</v>
      </c>
      <c r="J20" s="235"/>
      <c r="K20" s="234" t="s">
        <v>27</v>
      </c>
      <c r="L20" s="235"/>
      <c r="M20" s="234" t="s">
        <v>27</v>
      </c>
      <c r="N20" s="235"/>
      <c r="O20" s="234"/>
      <c r="P20" s="235"/>
      <c r="Q20" s="236">
        <f t="shared" ref="Q20:Q26" si="1">COUNTIF(C20:P20,"&gt;=R")</f>
        <v>5</v>
      </c>
      <c r="R20" s="237">
        <f t="shared" ref="R20:R26" si="2">Q20</f>
        <v>5</v>
      </c>
    </row>
    <row r="21" ht="39.75" customHeight="1">
      <c r="A21" s="104" t="s">
        <v>114</v>
      </c>
      <c r="B21" s="105" t="s">
        <v>115</v>
      </c>
      <c r="C21" s="238" t="s">
        <v>85</v>
      </c>
      <c r="D21" s="233"/>
      <c r="E21" s="234"/>
      <c r="F21" s="235"/>
      <c r="G21" s="234" t="s">
        <v>84</v>
      </c>
      <c r="H21" s="235"/>
      <c r="I21" s="234" t="s">
        <v>84</v>
      </c>
      <c r="J21" s="235"/>
      <c r="K21" s="234" t="s">
        <v>84</v>
      </c>
      <c r="L21" s="235"/>
      <c r="M21" s="234" t="s">
        <v>27</v>
      </c>
      <c r="N21" s="235"/>
      <c r="O21" s="234"/>
      <c r="P21" s="235"/>
      <c r="Q21" s="236">
        <f t="shared" si="1"/>
        <v>5</v>
      </c>
      <c r="R21" s="237">
        <f t="shared" si="2"/>
        <v>5</v>
      </c>
    </row>
    <row r="22" ht="39.75" customHeight="1">
      <c r="A22" s="104" t="s">
        <v>116</v>
      </c>
      <c r="B22" s="105" t="s">
        <v>117</v>
      </c>
      <c r="C22" s="238" t="s">
        <v>85</v>
      </c>
      <c r="D22" s="233"/>
      <c r="E22" s="234"/>
      <c r="F22" s="235"/>
      <c r="G22" s="234" t="s">
        <v>84</v>
      </c>
      <c r="H22" s="235"/>
      <c r="I22" s="234" t="s">
        <v>84</v>
      </c>
      <c r="J22" s="235"/>
      <c r="K22" s="234" t="s">
        <v>84</v>
      </c>
      <c r="L22" s="235"/>
      <c r="M22" s="234" t="s">
        <v>84</v>
      </c>
      <c r="N22" s="235"/>
      <c r="O22" s="234"/>
      <c r="P22" s="235"/>
      <c r="Q22" s="236">
        <f t="shared" si="1"/>
        <v>5</v>
      </c>
      <c r="R22" s="237">
        <f t="shared" si="2"/>
        <v>5</v>
      </c>
    </row>
    <row r="23" ht="39.75" customHeight="1">
      <c r="A23" s="104" t="s">
        <v>118</v>
      </c>
      <c r="B23" s="105" t="s">
        <v>119</v>
      </c>
      <c r="C23" s="238" t="s">
        <v>85</v>
      </c>
      <c r="D23" s="233"/>
      <c r="E23" s="234"/>
      <c r="F23" s="235"/>
      <c r="G23" s="234" t="s">
        <v>84</v>
      </c>
      <c r="H23" s="235"/>
      <c r="I23" s="234" t="s">
        <v>84</v>
      </c>
      <c r="J23" s="235"/>
      <c r="K23" s="234" t="s">
        <v>84</v>
      </c>
      <c r="L23" s="235"/>
      <c r="M23" s="234" t="s">
        <v>84</v>
      </c>
      <c r="N23" s="235"/>
      <c r="O23" s="234"/>
      <c r="P23" s="235"/>
      <c r="Q23" s="236">
        <f t="shared" si="1"/>
        <v>5</v>
      </c>
      <c r="R23" s="237">
        <f t="shared" si="2"/>
        <v>5</v>
      </c>
    </row>
    <row r="24" ht="39.75" customHeight="1">
      <c r="A24" s="104" t="s">
        <v>120</v>
      </c>
      <c r="B24" s="105" t="s">
        <v>121</v>
      </c>
      <c r="C24" s="238" t="s">
        <v>85</v>
      </c>
      <c r="D24" s="233"/>
      <c r="E24" s="235"/>
      <c r="F24" s="235"/>
      <c r="G24" s="235" t="s">
        <v>84</v>
      </c>
      <c r="H24" s="235"/>
      <c r="I24" s="234" t="s">
        <v>84</v>
      </c>
      <c r="J24" s="235"/>
      <c r="K24" s="235" t="s">
        <v>76</v>
      </c>
      <c r="L24" s="235"/>
      <c r="M24" s="235" t="s">
        <v>76</v>
      </c>
      <c r="N24" s="235"/>
      <c r="O24" s="235"/>
      <c r="P24" s="235"/>
      <c r="Q24" s="236">
        <f t="shared" si="1"/>
        <v>5</v>
      </c>
      <c r="R24" s="237">
        <f t="shared" si="2"/>
        <v>5</v>
      </c>
    </row>
    <row r="25" ht="39.75" customHeight="1">
      <c r="A25" s="104" t="s">
        <v>122</v>
      </c>
      <c r="B25" s="105" t="s">
        <v>123</v>
      </c>
      <c r="C25" s="238" t="s">
        <v>85</v>
      </c>
      <c r="D25" s="233"/>
      <c r="E25" s="235"/>
      <c r="F25" s="235"/>
      <c r="G25" s="235" t="s">
        <v>84</v>
      </c>
      <c r="H25" s="235"/>
      <c r="I25" s="234" t="s">
        <v>84</v>
      </c>
      <c r="J25" s="235"/>
      <c r="K25" s="235" t="s">
        <v>76</v>
      </c>
      <c r="L25" s="235"/>
      <c r="M25" s="235" t="s">
        <v>76</v>
      </c>
      <c r="N25" s="235"/>
      <c r="O25" s="235"/>
      <c r="P25" s="235"/>
      <c r="Q25" s="236">
        <f t="shared" si="1"/>
        <v>5</v>
      </c>
      <c r="R25" s="237">
        <f t="shared" si="2"/>
        <v>5</v>
      </c>
    </row>
    <row r="26" ht="39.75" customHeight="1">
      <c r="A26" s="104" t="s">
        <v>124</v>
      </c>
      <c r="B26" s="105" t="s">
        <v>125</v>
      </c>
      <c r="C26" s="238" t="s">
        <v>85</v>
      </c>
      <c r="D26" s="233"/>
      <c r="E26" s="235"/>
      <c r="F26" s="235"/>
      <c r="G26" s="235" t="s">
        <v>84</v>
      </c>
      <c r="H26" s="235"/>
      <c r="I26" s="234" t="s">
        <v>84</v>
      </c>
      <c r="J26" s="235"/>
      <c r="K26" s="235" t="s">
        <v>76</v>
      </c>
      <c r="L26" s="235"/>
      <c r="M26" s="235" t="s">
        <v>76</v>
      </c>
      <c r="N26" s="235"/>
      <c r="O26" s="235"/>
      <c r="P26" s="235"/>
      <c r="Q26" s="236">
        <f t="shared" si="1"/>
        <v>5</v>
      </c>
      <c r="R26" s="237">
        <f t="shared" si="2"/>
        <v>5</v>
      </c>
    </row>
    <row r="27" ht="39.75" customHeight="1">
      <c r="A27" s="111" t="s">
        <v>126</v>
      </c>
      <c r="B27" s="112" t="s">
        <v>127</v>
      </c>
      <c r="C27" s="239"/>
      <c r="D27" s="240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2"/>
      <c r="Z27" s="1"/>
      <c r="AA27" s="1"/>
      <c r="AB27" s="1"/>
      <c r="AC27" s="1"/>
      <c r="AD27" s="1"/>
    </row>
    <row r="28" ht="39.75" customHeight="1">
      <c r="A28" s="104" t="s">
        <v>128</v>
      </c>
      <c r="B28" s="105" t="s">
        <v>129</v>
      </c>
      <c r="C28" s="243" t="s">
        <v>85</v>
      </c>
      <c r="D28" s="233"/>
      <c r="E28" s="235"/>
      <c r="F28" s="235"/>
      <c r="G28" s="235" t="s">
        <v>84</v>
      </c>
      <c r="H28" s="235"/>
      <c r="I28" s="234" t="s">
        <v>84</v>
      </c>
      <c r="J28" s="235"/>
      <c r="K28" s="235" t="s">
        <v>76</v>
      </c>
      <c r="L28" s="235"/>
      <c r="M28" s="235" t="s">
        <v>76</v>
      </c>
      <c r="N28" s="235"/>
      <c r="O28" s="235"/>
      <c r="P28" s="235"/>
      <c r="Q28" s="236">
        <f t="shared" ref="Q28:Q29" si="3">COUNTIF(C28:P28,"&gt;=R")</f>
        <v>5</v>
      </c>
      <c r="R28" s="237">
        <f t="shared" ref="R28:R29" si="4">Q28</f>
        <v>5</v>
      </c>
    </row>
    <row r="29" ht="39.75" customHeight="1">
      <c r="A29" s="104" t="s">
        <v>130</v>
      </c>
      <c r="B29" s="105" t="s">
        <v>131</v>
      </c>
      <c r="C29" s="243" t="s">
        <v>85</v>
      </c>
      <c r="D29" s="233"/>
      <c r="E29" s="235"/>
      <c r="F29" s="235"/>
      <c r="G29" s="235" t="s">
        <v>84</v>
      </c>
      <c r="H29" s="235"/>
      <c r="I29" s="234" t="s">
        <v>84</v>
      </c>
      <c r="J29" s="235"/>
      <c r="K29" s="235" t="s">
        <v>76</v>
      </c>
      <c r="L29" s="235"/>
      <c r="M29" s="235" t="s">
        <v>76</v>
      </c>
      <c r="N29" s="235"/>
      <c r="O29" s="235"/>
      <c r="P29" s="235"/>
      <c r="Q29" s="236">
        <f t="shared" si="3"/>
        <v>5</v>
      </c>
      <c r="R29" s="237">
        <f t="shared" si="4"/>
        <v>5</v>
      </c>
      <c r="Z29" s="1"/>
      <c r="AA29" s="1"/>
      <c r="AB29" s="1"/>
      <c r="AC29" s="1"/>
      <c r="AD29" s="1"/>
    </row>
    <row r="30" ht="39.75" customHeight="1">
      <c r="A30" s="111" t="s">
        <v>132</v>
      </c>
      <c r="B30" s="112" t="s">
        <v>133</v>
      </c>
      <c r="C30" s="239"/>
      <c r="D30" s="240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2"/>
      <c r="Z30" s="1"/>
      <c r="AA30" s="1"/>
      <c r="AB30" s="1"/>
      <c r="AC30" s="1"/>
      <c r="AD30" s="1"/>
    </row>
    <row r="31" ht="39.75" customHeight="1">
      <c r="A31" s="118" t="s">
        <v>134</v>
      </c>
      <c r="B31" s="105" t="s">
        <v>135</v>
      </c>
      <c r="C31" s="238"/>
      <c r="D31" s="233"/>
      <c r="E31" s="234"/>
      <c r="F31" s="235"/>
      <c r="G31" s="234"/>
      <c r="H31" s="235"/>
      <c r="I31" s="235"/>
      <c r="J31" s="235"/>
      <c r="K31" s="235"/>
      <c r="L31" s="235"/>
      <c r="M31" s="235"/>
      <c r="N31" s="235"/>
      <c r="O31" s="235"/>
      <c r="P31" s="235"/>
      <c r="Q31" s="236">
        <f>COUNTIF(C22:P22,"&gt;=R")</f>
        <v>5</v>
      </c>
      <c r="R31" s="237">
        <f>Q22</f>
        <v>5</v>
      </c>
      <c r="Z31" s="1"/>
      <c r="AA31" s="1"/>
      <c r="AB31" s="1"/>
      <c r="AC31" s="1"/>
      <c r="AD31" s="1"/>
    </row>
    <row r="32" ht="39.75" customHeight="1">
      <c r="A32" s="111" t="s">
        <v>136</v>
      </c>
      <c r="B32" s="112" t="s">
        <v>137</v>
      </c>
      <c r="C32" s="239"/>
      <c r="D32" s="240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2"/>
      <c r="Z32" s="1"/>
      <c r="AA32" s="1"/>
      <c r="AB32" s="1"/>
      <c r="AC32" s="1"/>
      <c r="AD32" s="1"/>
    </row>
    <row r="33" ht="39.75" customHeight="1">
      <c r="A33" s="104" t="s">
        <v>138</v>
      </c>
      <c r="B33" s="105" t="s">
        <v>139</v>
      </c>
      <c r="C33" s="238"/>
      <c r="D33" s="233"/>
      <c r="E33" s="244"/>
      <c r="F33" s="235"/>
      <c r="G33" s="244"/>
      <c r="H33" s="235"/>
      <c r="I33" s="235"/>
      <c r="J33" s="235"/>
      <c r="K33" s="235"/>
      <c r="L33" s="235"/>
      <c r="M33" s="235"/>
      <c r="N33" s="235"/>
      <c r="O33" s="235"/>
      <c r="P33" s="235"/>
      <c r="Q33" s="236">
        <f>COUNTIF(C25:P25,"&gt;=R")</f>
        <v>5</v>
      </c>
      <c r="R33" s="237">
        <f>Q25</f>
        <v>5</v>
      </c>
    </row>
    <row r="34" ht="39.75" customHeight="1">
      <c r="A34" s="104" t="s">
        <v>140</v>
      </c>
      <c r="B34" s="105" t="s">
        <v>141</v>
      </c>
      <c r="C34" s="119"/>
      <c r="D34" s="107"/>
      <c r="E34" s="119"/>
      <c r="F34" s="108"/>
      <c r="G34" s="109"/>
      <c r="H34" s="245"/>
      <c r="I34" s="246"/>
      <c r="J34" s="247"/>
      <c r="K34" s="248"/>
      <c r="L34" s="248"/>
      <c r="M34" s="248"/>
      <c r="N34" s="248"/>
      <c r="O34" s="248"/>
      <c r="P34" s="248"/>
      <c r="Q34" s="248"/>
      <c r="R34" s="249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39.75" customHeight="1">
      <c r="A35" s="111" t="s">
        <v>142</v>
      </c>
      <c r="B35" s="112" t="s">
        <v>143</v>
      </c>
      <c r="C35" s="239"/>
      <c r="D35" s="240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2"/>
    </row>
    <row r="36" ht="39.75" customHeight="1">
      <c r="A36" s="118" t="s">
        <v>144</v>
      </c>
      <c r="B36" s="105" t="s">
        <v>145</v>
      </c>
      <c r="C36" s="243"/>
      <c r="D36" s="233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6">
        <f>COUNTIF(C29:P29,"&gt;=R")</f>
        <v>5</v>
      </c>
      <c r="R36" s="237">
        <f>Q29</f>
        <v>5</v>
      </c>
    </row>
    <row r="37" ht="39.75" customHeight="1">
      <c r="A37" s="111" t="s">
        <v>146</v>
      </c>
      <c r="B37" s="112" t="s">
        <v>147</v>
      </c>
      <c r="C37" s="239"/>
      <c r="D37" s="240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2"/>
    </row>
    <row r="38" ht="39.75" customHeight="1">
      <c r="A38" s="104" t="s">
        <v>148</v>
      </c>
      <c r="B38" s="105" t="s">
        <v>139</v>
      </c>
      <c r="C38" s="243"/>
      <c r="D38" s="233"/>
      <c r="E38" s="235"/>
      <c r="F38" s="235"/>
      <c r="G38" s="244"/>
      <c r="H38" s="235"/>
      <c r="I38" s="235"/>
      <c r="J38" s="235"/>
      <c r="K38" s="235"/>
      <c r="L38" s="235"/>
      <c r="M38" s="235"/>
      <c r="N38" s="235"/>
      <c r="O38" s="235"/>
      <c r="P38" s="235"/>
      <c r="Q38" s="236">
        <f t="shared" ref="Q38:Q46" si="5">COUNTIF(C38:P38,"&gt;=R")</f>
        <v>0</v>
      </c>
      <c r="R38" s="237">
        <f t="shared" ref="R38:R46" si="6">Q38</f>
        <v>0</v>
      </c>
    </row>
    <row r="39" ht="39.75" customHeight="1">
      <c r="A39" s="104" t="s">
        <v>149</v>
      </c>
      <c r="B39" s="105" t="s">
        <v>150</v>
      </c>
      <c r="C39" s="243"/>
      <c r="D39" s="233"/>
      <c r="E39" s="235"/>
      <c r="F39" s="235"/>
      <c r="G39" s="235"/>
      <c r="H39" s="235"/>
      <c r="I39" s="244"/>
      <c r="J39" s="235"/>
      <c r="K39" s="244"/>
      <c r="L39" s="235"/>
      <c r="M39" s="244"/>
      <c r="N39" s="235"/>
      <c r="O39" s="244"/>
      <c r="P39" s="235"/>
      <c r="Q39" s="236">
        <f t="shared" si="5"/>
        <v>0</v>
      </c>
      <c r="R39" s="237">
        <f t="shared" si="6"/>
        <v>0</v>
      </c>
      <c r="Z39" s="1"/>
      <c r="AA39" s="1"/>
      <c r="AB39" s="1"/>
      <c r="AC39" s="1"/>
      <c r="AD39" s="1"/>
    </row>
    <row r="40" ht="39.75" customHeight="1">
      <c r="A40" s="122" t="s">
        <v>151</v>
      </c>
      <c r="B40" s="123" t="s">
        <v>152</v>
      </c>
      <c r="C40" s="238"/>
      <c r="D40" s="233"/>
      <c r="E40" s="235"/>
      <c r="F40" s="235"/>
      <c r="G40" s="235"/>
      <c r="H40" s="235"/>
      <c r="I40" s="235"/>
      <c r="J40" s="235"/>
      <c r="K40" s="235"/>
      <c r="L40" s="235"/>
      <c r="M40" s="244"/>
      <c r="N40" s="235"/>
      <c r="O40" s="235"/>
      <c r="P40" s="235"/>
      <c r="Q40" s="236">
        <f t="shared" si="5"/>
        <v>0</v>
      </c>
      <c r="R40" s="237">
        <f t="shared" si="6"/>
        <v>0</v>
      </c>
    </row>
    <row r="41" ht="39.75" customHeight="1">
      <c r="A41" s="104" t="s">
        <v>153</v>
      </c>
      <c r="B41" s="105" t="s">
        <v>154</v>
      </c>
      <c r="C41" s="238"/>
      <c r="D41" s="233"/>
      <c r="E41" s="234"/>
      <c r="F41" s="235"/>
      <c r="G41" s="234"/>
      <c r="H41" s="235"/>
      <c r="I41" s="234"/>
      <c r="J41" s="235"/>
      <c r="K41" s="234"/>
      <c r="L41" s="235"/>
      <c r="M41" s="235"/>
      <c r="N41" s="235"/>
      <c r="O41" s="235"/>
      <c r="P41" s="235"/>
      <c r="Q41" s="236">
        <f t="shared" si="5"/>
        <v>0</v>
      </c>
      <c r="R41" s="237">
        <f t="shared" si="6"/>
        <v>0</v>
      </c>
    </row>
    <row r="42" ht="39.75" customHeight="1">
      <c r="A42" s="104" t="s">
        <v>155</v>
      </c>
      <c r="B42" s="105" t="s">
        <v>156</v>
      </c>
      <c r="C42" s="238"/>
      <c r="D42" s="233"/>
      <c r="E42" s="244"/>
      <c r="F42" s="235"/>
      <c r="G42" s="244"/>
      <c r="H42" s="235"/>
      <c r="I42" s="244"/>
      <c r="J42" s="235"/>
      <c r="K42" s="244"/>
      <c r="L42" s="235"/>
      <c r="M42" s="244"/>
      <c r="N42" s="235"/>
      <c r="O42" s="244"/>
      <c r="P42" s="235"/>
      <c r="Q42" s="236">
        <f t="shared" si="5"/>
        <v>0</v>
      </c>
      <c r="R42" s="237">
        <f t="shared" si="6"/>
        <v>0</v>
      </c>
      <c r="Z42" s="1"/>
      <c r="AA42" s="1"/>
      <c r="AB42" s="1"/>
      <c r="AC42" s="1"/>
      <c r="AD42" s="1"/>
    </row>
    <row r="43" ht="39.75" customHeight="1">
      <c r="A43" s="104" t="s">
        <v>157</v>
      </c>
      <c r="B43" s="105" t="s">
        <v>158</v>
      </c>
      <c r="C43" s="243"/>
      <c r="D43" s="233"/>
      <c r="E43" s="235"/>
      <c r="F43" s="235"/>
      <c r="G43" s="235"/>
      <c r="H43" s="235"/>
      <c r="I43" s="244"/>
      <c r="J43" s="235"/>
      <c r="K43" s="244"/>
      <c r="L43" s="235"/>
      <c r="M43" s="244"/>
      <c r="N43" s="235"/>
      <c r="O43" s="244"/>
      <c r="P43" s="235"/>
      <c r="Q43" s="236">
        <f t="shared" si="5"/>
        <v>0</v>
      </c>
      <c r="R43" s="237">
        <f t="shared" si="6"/>
        <v>0</v>
      </c>
    </row>
    <row r="44" ht="39.75" customHeight="1">
      <c r="A44" s="104" t="s">
        <v>159</v>
      </c>
      <c r="B44" s="105" t="s">
        <v>160</v>
      </c>
      <c r="C44" s="238"/>
      <c r="D44" s="233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6">
        <f t="shared" si="5"/>
        <v>0</v>
      </c>
      <c r="R44" s="237">
        <f t="shared" si="6"/>
        <v>0</v>
      </c>
      <c r="Z44" s="1"/>
      <c r="AA44" s="1"/>
      <c r="AB44" s="1"/>
      <c r="AC44" s="1"/>
      <c r="AD44" s="1"/>
    </row>
    <row r="45" ht="39.75" customHeight="1">
      <c r="A45" s="104" t="s">
        <v>161</v>
      </c>
      <c r="B45" s="105" t="s">
        <v>162</v>
      </c>
      <c r="C45" s="238"/>
      <c r="D45" s="233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6">
        <f t="shared" si="5"/>
        <v>0</v>
      </c>
      <c r="R45" s="237">
        <f t="shared" si="6"/>
        <v>0</v>
      </c>
    </row>
    <row r="46" ht="39.75" customHeight="1">
      <c r="A46" s="104" t="s">
        <v>163</v>
      </c>
      <c r="B46" s="105" t="s">
        <v>164</v>
      </c>
      <c r="C46" s="238"/>
      <c r="D46" s="233"/>
      <c r="E46" s="244"/>
      <c r="F46" s="235"/>
      <c r="G46" s="235"/>
      <c r="H46" s="235"/>
      <c r="I46" s="235"/>
      <c r="J46" s="235"/>
      <c r="K46" s="235"/>
      <c r="L46" s="235"/>
      <c r="M46" s="244"/>
      <c r="N46" s="235"/>
      <c r="O46" s="235"/>
      <c r="P46" s="235"/>
      <c r="Q46" s="236">
        <f t="shared" si="5"/>
        <v>0</v>
      </c>
      <c r="R46" s="237">
        <f t="shared" si="6"/>
        <v>0</v>
      </c>
      <c r="Z46" s="1"/>
      <c r="AA46" s="1"/>
      <c r="AB46" s="1"/>
      <c r="AC46" s="1"/>
      <c r="AD46" s="1"/>
    </row>
    <row r="47" ht="39.75" customHeight="1">
      <c r="A47" s="98" t="s">
        <v>165</v>
      </c>
      <c r="B47" s="99" t="s">
        <v>166</v>
      </c>
      <c r="C47" s="239"/>
      <c r="D47" s="240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2"/>
      <c r="Z47" s="1"/>
      <c r="AA47" s="1"/>
      <c r="AB47" s="1"/>
      <c r="AC47" s="1"/>
      <c r="AD47" s="1"/>
    </row>
    <row r="48" ht="39.75" customHeight="1">
      <c r="A48" s="124" t="s">
        <v>167</v>
      </c>
      <c r="B48" s="125" t="s">
        <v>168</v>
      </c>
      <c r="C48" s="238"/>
      <c r="D48" s="233"/>
      <c r="E48" s="235"/>
      <c r="F48" s="235"/>
      <c r="G48" s="244"/>
      <c r="H48" s="235"/>
      <c r="I48" s="235"/>
      <c r="J48" s="235"/>
      <c r="K48" s="235"/>
      <c r="L48" s="235"/>
      <c r="M48" s="235"/>
      <c r="N48" s="235"/>
      <c r="O48" s="235"/>
      <c r="P48" s="235"/>
      <c r="Q48" s="236">
        <f t="shared" ref="Q48:Q55" si="7">COUNTIF(C48:P48,"&gt;=R")</f>
        <v>0</v>
      </c>
      <c r="R48" s="237">
        <f t="shared" ref="R48:R55" si="8">Q48</f>
        <v>0</v>
      </c>
    </row>
    <row r="49" ht="39.75" customHeight="1">
      <c r="A49" s="126" t="s">
        <v>169</v>
      </c>
      <c r="B49" s="127" t="s">
        <v>170</v>
      </c>
      <c r="C49" s="238"/>
      <c r="D49" s="233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6">
        <f t="shared" si="7"/>
        <v>0</v>
      </c>
      <c r="R49" s="237">
        <f t="shared" si="8"/>
        <v>0</v>
      </c>
      <c r="Z49" s="1"/>
      <c r="AA49" s="1"/>
      <c r="AB49" s="1"/>
      <c r="AC49" s="1"/>
      <c r="AD49" s="1"/>
    </row>
    <row r="50" ht="39.75" customHeight="1">
      <c r="A50" s="126" t="s">
        <v>171</v>
      </c>
      <c r="B50" s="127" t="s">
        <v>172</v>
      </c>
      <c r="C50" s="238"/>
      <c r="D50" s="233"/>
      <c r="E50" s="234"/>
      <c r="F50" s="235"/>
      <c r="G50" s="234"/>
      <c r="H50" s="235"/>
      <c r="I50" s="234"/>
      <c r="J50" s="235"/>
      <c r="K50" s="234"/>
      <c r="L50" s="235"/>
      <c r="M50" s="234"/>
      <c r="N50" s="235"/>
      <c r="O50" s="234"/>
      <c r="P50" s="235"/>
      <c r="Q50" s="236">
        <f t="shared" si="7"/>
        <v>0</v>
      </c>
      <c r="R50" s="237">
        <f t="shared" si="8"/>
        <v>0</v>
      </c>
      <c r="Z50" s="1"/>
      <c r="AA50" s="1"/>
      <c r="AB50" s="1"/>
      <c r="AC50" s="1"/>
      <c r="AD50" s="1"/>
    </row>
    <row r="51" ht="39.75" customHeight="1">
      <c r="A51" s="128" t="s">
        <v>173</v>
      </c>
      <c r="B51" s="129" t="s">
        <v>174</v>
      </c>
      <c r="C51" s="238"/>
      <c r="D51" s="233"/>
      <c r="E51" s="235"/>
      <c r="F51" s="235"/>
      <c r="G51" s="244"/>
      <c r="H51" s="235"/>
      <c r="I51" s="244"/>
      <c r="J51" s="235"/>
      <c r="K51" s="244"/>
      <c r="L51" s="235"/>
      <c r="M51" s="235"/>
      <c r="N51" s="235"/>
      <c r="O51" s="235"/>
      <c r="P51" s="235"/>
      <c r="Q51" s="236">
        <f t="shared" si="7"/>
        <v>0</v>
      </c>
      <c r="R51" s="237">
        <f t="shared" si="8"/>
        <v>0</v>
      </c>
    </row>
    <row r="52" ht="39.75" customHeight="1">
      <c r="A52" s="126" t="s">
        <v>175</v>
      </c>
      <c r="B52" s="127" t="s">
        <v>176</v>
      </c>
      <c r="C52" s="238"/>
      <c r="D52" s="233"/>
      <c r="E52" s="234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6">
        <f t="shared" si="7"/>
        <v>0</v>
      </c>
      <c r="R52" s="237">
        <f t="shared" si="8"/>
        <v>0</v>
      </c>
    </row>
    <row r="53" ht="39.75" customHeight="1">
      <c r="A53" s="126" t="s">
        <v>177</v>
      </c>
      <c r="B53" s="127" t="s">
        <v>178</v>
      </c>
      <c r="C53" s="238"/>
      <c r="D53" s="233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6">
        <f t="shared" si="7"/>
        <v>0</v>
      </c>
      <c r="R53" s="237">
        <f t="shared" si="8"/>
        <v>0</v>
      </c>
      <c r="Z53" s="1"/>
      <c r="AA53" s="1"/>
      <c r="AB53" s="1"/>
      <c r="AC53" s="1"/>
      <c r="AD53" s="1"/>
    </row>
    <row r="54" ht="39.75" customHeight="1">
      <c r="A54" s="128" t="s">
        <v>179</v>
      </c>
      <c r="B54" s="129" t="s">
        <v>180</v>
      </c>
      <c r="C54" s="238"/>
      <c r="D54" s="233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6">
        <f t="shared" si="7"/>
        <v>0</v>
      </c>
      <c r="R54" s="237">
        <f t="shared" si="8"/>
        <v>0</v>
      </c>
    </row>
    <row r="55" ht="39.75" customHeight="1">
      <c r="A55" s="250" t="s">
        <v>181</v>
      </c>
      <c r="B55" s="251" t="s">
        <v>182</v>
      </c>
      <c r="C55" s="238"/>
      <c r="D55" s="233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6">
        <f t="shared" si="7"/>
        <v>0</v>
      </c>
      <c r="R55" s="237">
        <f t="shared" si="8"/>
        <v>0</v>
      </c>
    </row>
    <row r="56" ht="39.75" customHeight="1">
      <c r="A56" s="111" t="s">
        <v>183</v>
      </c>
      <c r="B56" s="112" t="s">
        <v>184</v>
      </c>
      <c r="C56" s="239"/>
      <c r="D56" s="240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2"/>
    </row>
    <row r="57" ht="39.75" customHeight="1">
      <c r="A57" s="104" t="s">
        <v>185</v>
      </c>
      <c r="B57" s="105" t="s">
        <v>186</v>
      </c>
      <c r="C57" s="238"/>
      <c r="D57" s="233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6">
        <f t="shared" ref="Q57:Q60" si="9">COUNTIF(C57:P57,"&gt;=R")</f>
        <v>0</v>
      </c>
      <c r="R57" s="237">
        <f t="shared" ref="R57:R60" si="10">Q57</f>
        <v>0</v>
      </c>
      <c r="Z57" s="1"/>
      <c r="AA57" s="1"/>
      <c r="AB57" s="1"/>
      <c r="AC57" s="1"/>
      <c r="AD57" s="1"/>
    </row>
    <row r="58" ht="39.75" customHeight="1">
      <c r="A58" s="104" t="s">
        <v>187</v>
      </c>
      <c r="B58" s="105" t="s">
        <v>188</v>
      </c>
      <c r="C58" s="238"/>
      <c r="D58" s="233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6">
        <f t="shared" si="9"/>
        <v>0</v>
      </c>
      <c r="R58" s="237">
        <f t="shared" si="10"/>
        <v>0</v>
      </c>
      <c r="Z58" s="1"/>
      <c r="AA58" s="1"/>
      <c r="AB58" s="1"/>
      <c r="AC58" s="1"/>
      <c r="AD58" s="1"/>
    </row>
    <row r="59" ht="39.75" customHeight="1">
      <c r="A59" s="104" t="s">
        <v>189</v>
      </c>
      <c r="B59" s="105" t="s">
        <v>190</v>
      </c>
      <c r="C59" s="243"/>
      <c r="D59" s="233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6">
        <f t="shared" si="9"/>
        <v>0</v>
      </c>
      <c r="R59" s="237">
        <f t="shared" si="10"/>
        <v>0</v>
      </c>
    </row>
    <row r="60" ht="39.75" customHeight="1">
      <c r="A60" s="104" t="s">
        <v>191</v>
      </c>
      <c r="B60" s="105" t="s">
        <v>192</v>
      </c>
      <c r="C60" s="243"/>
      <c r="D60" s="233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6">
        <f t="shared" si="9"/>
        <v>0</v>
      </c>
      <c r="R60" s="237">
        <f t="shared" si="10"/>
        <v>0</v>
      </c>
      <c r="Z60" s="1"/>
      <c r="AA60" s="1"/>
      <c r="AB60" s="1"/>
      <c r="AC60" s="1"/>
      <c r="AD60" s="1"/>
    </row>
    <row r="61" ht="39.75" customHeight="1">
      <c r="A61" s="111" t="s">
        <v>193</v>
      </c>
      <c r="B61" s="112" t="s">
        <v>194</v>
      </c>
      <c r="C61" s="239"/>
      <c r="D61" s="240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  <c r="Z61" s="1"/>
      <c r="AA61" s="1"/>
      <c r="AB61" s="1"/>
      <c r="AC61" s="1"/>
      <c r="AD61" s="1"/>
    </row>
    <row r="62" ht="39.75" customHeight="1">
      <c r="A62" s="128" t="s">
        <v>195</v>
      </c>
      <c r="B62" s="129" t="s">
        <v>196</v>
      </c>
      <c r="C62" s="238"/>
      <c r="D62" s="233"/>
      <c r="E62" s="235"/>
      <c r="F62" s="235"/>
      <c r="G62" s="244"/>
      <c r="H62" s="235"/>
      <c r="I62" s="244"/>
      <c r="J62" s="235"/>
      <c r="K62" s="235"/>
      <c r="L62" s="235"/>
      <c r="M62" s="235"/>
      <c r="N62" s="235"/>
      <c r="O62" s="235"/>
      <c r="P62" s="235"/>
      <c r="Q62" s="236">
        <f t="shared" ref="Q62:Q67" si="11">COUNTIF(C62:P62,"&gt;=R")</f>
        <v>0</v>
      </c>
      <c r="R62" s="237">
        <f t="shared" ref="R62:R67" si="12">Q62</f>
        <v>0</v>
      </c>
    </row>
    <row r="63" ht="39.75" customHeight="1">
      <c r="A63" s="126" t="s">
        <v>197</v>
      </c>
      <c r="B63" s="127" t="s">
        <v>139</v>
      </c>
      <c r="C63" s="238"/>
      <c r="D63" s="233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6">
        <f t="shared" si="11"/>
        <v>0</v>
      </c>
      <c r="R63" s="237">
        <f t="shared" si="12"/>
        <v>0</v>
      </c>
      <c r="Z63" s="1"/>
      <c r="AA63" s="1"/>
      <c r="AB63" s="1"/>
      <c r="AC63" s="1"/>
      <c r="AD63" s="1"/>
    </row>
    <row r="64" ht="39.75" customHeight="1">
      <c r="A64" s="128" t="s">
        <v>198</v>
      </c>
      <c r="B64" s="129" t="s">
        <v>199</v>
      </c>
      <c r="C64" s="238"/>
      <c r="D64" s="233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6">
        <f t="shared" si="11"/>
        <v>0</v>
      </c>
      <c r="R64" s="237">
        <f t="shared" si="12"/>
        <v>0</v>
      </c>
      <c r="Z64" s="1"/>
      <c r="AA64" s="1"/>
      <c r="AB64" s="1"/>
      <c r="AC64" s="1"/>
      <c r="AD64" s="1"/>
    </row>
    <row r="65" ht="39.75" customHeight="1">
      <c r="A65" s="126" t="s">
        <v>200</v>
      </c>
      <c r="B65" s="127" t="s">
        <v>176</v>
      </c>
      <c r="C65" s="238"/>
      <c r="D65" s="233"/>
      <c r="E65" s="234"/>
      <c r="F65" s="235"/>
      <c r="G65" s="244"/>
      <c r="H65" s="235"/>
      <c r="I65" s="235"/>
      <c r="J65" s="235"/>
      <c r="K65" s="235"/>
      <c r="L65" s="235"/>
      <c r="M65" s="235"/>
      <c r="N65" s="235"/>
      <c r="O65" s="235"/>
      <c r="P65" s="235"/>
      <c r="Q65" s="236">
        <f t="shared" si="11"/>
        <v>0</v>
      </c>
      <c r="R65" s="237">
        <f t="shared" si="12"/>
        <v>0</v>
      </c>
    </row>
    <row r="66" ht="39.75" customHeight="1">
      <c r="A66" s="128" t="s">
        <v>201</v>
      </c>
      <c r="B66" s="129" t="s">
        <v>202</v>
      </c>
      <c r="C66" s="238"/>
      <c r="D66" s="233"/>
      <c r="E66" s="235"/>
      <c r="F66" s="235"/>
      <c r="G66" s="244"/>
      <c r="H66" s="235"/>
      <c r="I66" s="244"/>
      <c r="J66" s="235"/>
      <c r="K66" s="235"/>
      <c r="L66" s="235"/>
      <c r="M66" s="235"/>
      <c r="N66" s="235"/>
      <c r="O66" s="235"/>
      <c r="P66" s="235"/>
      <c r="Q66" s="236">
        <f t="shared" si="11"/>
        <v>0</v>
      </c>
      <c r="R66" s="237">
        <f t="shared" si="12"/>
        <v>0</v>
      </c>
    </row>
    <row r="67" ht="39.75" customHeight="1">
      <c r="A67" s="126" t="s">
        <v>203</v>
      </c>
      <c r="B67" s="127" t="s">
        <v>204</v>
      </c>
      <c r="C67" s="238"/>
      <c r="D67" s="233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6">
        <f t="shared" si="11"/>
        <v>0</v>
      </c>
      <c r="R67" s="237">
        <f t="shared" si="12"/>
        <v>0</v>
      </c>
    </row>
    <row r="68" ht="39.75" customHeight="1">
      <c r="A68" s="111" t="s">
        <v>205</v>
      </c>
      <c r="B68" s="112" t="s">
        <v>206</v>
      </c>
      <c r="C68" s="239"/>
      <c r="D68" s="240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2"/>
      <c r="Z68" s="1"/>
      <c r="AA68" s="1"/>
      <c r="AB68" s="1"/>
      <c r="AC68" s="1"/>
      <c r="AD68" s="1"/>
    </row>
    <row r="69" ht="39.75" customHeight="1">
      <c r="A69" s="104" t="s">
        <v>207</v>
      </c>
      <c r="B69" s="105" t="s">
        <v>208</v>
      </c>
      <c r="C69" s="243"/>
      <c r="D69" s="233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6">
        <f>COUNTIF(C69:P69,"&gt;=R")</f>
        <v>0</v>
      </c>
      <c r="R69" s="237">
        <f>Q69</f>
        <v>0</v>
      </c>
    </row>
    <row r="70" ht="39.75" customHeight="1">
      <c r="A70" s="111" t="s">
        <v>209</v>
      </c>
      <c r="B70" s="112" t="s">
        <v>210</v>
      </c>
      <c r="C70" s="239"/>
      <c r="D70" s="240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2"/>
    </row>
    <row r="71" ht="39.75" customHeight="1">
      <c r="A71" s="104" t="s">
        <v>211</v>
      </c>
      <c r="B71" s="105" t="s">
        <v>212</v>
      </c>
      <c r="C71" s="238"/>
      <c r="D71" s="233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6">
        <f t="shared" ref="Q71:Q72" si="13">COUNTIF(C71:P71,"&gt;=R")</f>
        <v>0</v>
      </c>
      <c r="R71" s="237">
        <f t="shared" ref="R71:R72" si="14">Q71</f>
        <v>0</v>
      </c>
    </row>
    <row r="72" ht="39.75" customHeight="1">
      <c r="A72" s="104" t="s">
        <v>213</v>
      </c>
      <c r="B72" s="105" t="s">
        <v>214</v>
      </c>
      <c r="C72" s="238"/>
      <c r="D72" s="233"/>
      <c r="E72" s="244"/>
      <c r="F72" s="235"/>
      <c r="G72" s="235"/>
      <c r="H72" s="235"/>
      <c r="I72" s="235"/>
      <c r="J72" s="235"/>
      <c r="K72" s="235"/>
      <c r="L72" s="235"/>
      <c r="M72" s="244"/>
      <c r="N72" s="235"/>
      <c r="O72" s="235"/>
      <c r="P72" s="235"/>
      <c r="Q72" s="236">
        <f t="shared" si="13"/>
        <v>0</v>
      </c>
      <c r="R72" s="237">
        <f t="shared" si="14"/>
        <v>0</v>
      </c>
    </row>
    <row r="73" ht="39.75" customHeight="1">
      <c r="A73" s="111" t="s">
        <v>402</v>
      </c>
      <c r="B73" s="112" t="s">
        <v>403</v>
      </c>
      <c r="C73" s="239"/>
      <c r="D73" s="240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2"/>
    </row>
    <row r="74" ht="39.75" customHeight="1">
      <c r="A74" s="104" t="s">
        <v>404</v>
      </c>
      <c r="B74" s="105" t="s">
        <v>405</v>
      </c>
      <c r="C74" s="238"/>
      <c r="D74" s="233"/>
      <c r="E74" s="244"/>
      <c r="F74" s="235"/>
      <c r="G74" s="235"/>
      <c r="H74" s="235"/>
      <c r="I74" s="235"/>
      <c r="J74" s="235"/>
      <c r="K74" s="235"/>
      <c r="L74" s="235"/>
      <c r="M74" s="244"/>
      <c r="N74" s="235"/>
      <c r="O74" s="235"/>
      <c r="P74" s="235"/>
      <c r="Q74" s="236">
        <f>COUNTIF(C74:P74,"&gt;=R")</f>
        <v>0</v>
      </c>
      <c r="R74" s="237">
        <f>Q74</f>
        <v>0</v>
      </c>
    </row>
    <row r="75" ht="39.75" customHeight="1">
      <c r="A75" s="111" t="s">
        <v>215</v>
      </c>
      <c r="B75" s="112" t="s">
        <v>216</v>
      </c>
      <c r="C75" s="239"/>
      <c r="D75" s="240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2"/>
      <c r="Z75" s="1"/>
      <c r="AA75" s="1"/>
      <c r="AB75" s="1"/>
      <c r="AC75" s="1"/>
      <c r="AD75" s="1"/>
    </row>
    <row r="76" ht="39.75" customHeight="1">
      <c r="A76" s="104" t="s">
        <v>217</v>
      </c>
      <c r="B76" s="105" t="s">
        <v>218</v>
      </c>
      <c r="C76" s="238"/>
      <c r="D76" s="233"/>
      <c r="E76" s="234"/>
      <c r="F76" s="235"/>
      <c r="G76" s="234"/>
      <c r="H76" s="235"/>
      <c r="I76" s="234"/>
      <c r="J76" s="235"/>
      <c r="K76" s="235"/>
      <c r="L76" s="235"/>
      <c r="M76" s="235"/>
      <c r="N76" s="235"/>
      <c r="O76" s="235"/>
      <c r="P76" s="235"/>
      <c r="Q76" s="236">
        <f>COUNTIF(C76:P76,"&gt;=R")</f>
        <v>0</v>
      </c>
      <c r="R76" s="237">
        <f>Q76</f>
        <v>0</v>
      </c>
    </row>
    <row r="77" ht="39.75" customHeight="1">
      <c r="A77" s="111" t="s">
        <v>219</v>
      </c>
      <c r="B77" s="112" t="s">
        <v>220</v>
      </c>
      <c r="C77" s="239"/>
      <c r="D77" s="240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2"/>
      <c r="Z77" s="1"/>
      <c r="AA77" s="1"/>
      <c r="AB77" s="1"/>
      <c r="AC77" s="1"/>
      <c r="AD77" s="1"/>
    </row>
    <row r="78" ht="39.75" customHeight="1">
      <c r="A78" s="104" t="s">
        <v>221</v>
      </c>
      <c r="B78" s="105" t="s">
        <v>222</v>
      </c>
      <c r="C78" s="243"/>
      <c r="D78" s="233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6">
        <f t="shared" ref="Q78:Q84" si="15">COUNTIF(C78:P78,"&gt;=R")</f>
        <v>0</v>
      </c>
      <c r="R78" s="237">
        <f t="shared" ref="R78:R84" si="16">Q78</f>
        <v>0</v>
      </c>
    </row>
    <row r="79" ht="39.75" customHeight="1">
      <c r="A79" s="122" t="s">
        <v>223</v>
      </c>
      <c r="B79" s="123" t="s">
        <v>224</v>
      </c>
      <c r="C79" s="238"/>
      <c r="D79" s="233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6">
        <f t="shared" si="15"/>
        <v>0</v>
      </c>
      <c r="R79" s="237">
        <f t="shared" si="16"/>
        <v>0</v>
      </c>
    </row>
    <row r="80" ht="39.75" customHeight="1">
      <c r="A80" s="104" t="s">
        <v>225</v>
      </c>
      <c r="B80" s="105" t="s">
        <v>226</v>
      </c>
      <c r="C80" s="238"/>
      <c r="D80" s="233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6">
        <f t="shared" si="15"/>
        <v>0</v>
      </c>
      <c r="R80" s="237">
        <f t="shared" si="16"/>
        <v>0</v>
      </c>
    </row>
    <row r="81" ht="39.75" customHeight="1">
      <c r="A81" s="104" t="s">
        <v>227</v>
      </c>
      <c r="B81" s="105" t="s">
        <v>228</v>
      </c>
      <c r="C81" s="238"/>
      <c r="D81" s="233"/>
      <c r="E81" s="234"/>
      <c r="F81" s="235"/>
      <c r="G81" s="234"/>
      <c r="H81" s="235"/>
      <c r="I81" s="234"/>
      <c r="J81" s="235"/>
      <c r="K81" s="234"/>
      <c r="L81" s="235"/>
      <c r="M81" s="234"/>
      <c r="N81" s="235"/>
      <c r="O81" s="234"/>
      <c r="P81" s="235"/>
      <c r="Q81" s="236">
        <f t="shared" si="15"/>
        <v>0</v>
      </c>
      <c r="R81" s="237">
        <f t="shared" si="16"/>
        <v>0</v>
      </c>
      <c r="Z81" s="1"/>
      <c r="AA81" s="1"/>
      <c r="AB81" s="1"/>
      <c r="AC81" s="1"/>
      <c r="AD81" s="1"/>
    </row>
    <row r="82" ht="39.75" customHeight="1">
      <c r="A82" s="104" t="s">
        <v>229</v>
      </c>
      <c r="B82" s="105" t="s">
        <v>230</v>
      </c>
      <c r="C82" s="238"/>
      <c r="D82" s="233"/>
      <c r="E82" s="234"/>
      <c r="F82" s="235"/>
      <c r="G82" s="234"/>
      <c r="H82" s="235"/>
      <c r="I82" s="234"/>
      <c r="J82" s="235"/>
      <c r="K82" s="234"/>
      <c r="L82" s="235"/>
      <c r="M82" s="234"/>
      <c r="N82" s="235"/>
      <c r="O82" s="234"/>
      <c r="P82" s="235"/>
      <c r="Q82" s="236">
        <f t="shared" si="15"/>
        <v>0</v>
      </c>
      <c r="R82" s="237">
        <f t="shared" si="16"/>
        <v>0</v>
      </c>
    </row>
    <row r="83" ht="39.75" customHeight="1">
      <c r="A83" s="104" t="s">
        <v>231</v>
      </c>
      <c r="B83" s="105" t="s">
        <v>232</v>
      </c>
      <c r="C83" s="238"/>
      <c r="D83" s="234"/>
      <c r="E83" s="244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6">
        <f t="shared" si="15"/>
        <v>0</v>
      </c>
      <c r="R83" s="237">
        <f t="shared" si="16"/>
        <v>0</v>
      </c>
      <c r="Z83" s="1"/>
      <c r="AA83" s="1"/>
      <c r="AB83" s="1"/>
      <c r="AC83" s="1"/>
      <c r="AD83" s="1"/>
    </row>
    <row r="84" ht="39.75" customHeight="1">
      <c r="A84" s="250" t="s">
        <v>233</v>
      </c>
      <c r="B84" s="251" t="s">
        <v>234</v>
      </c>
      <c r="C84" s="238"/>
      <c r="D84" s="234"/>
      <c r="E84" s="244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6">
        <f t="shared" si="15"/>
        <v>0</v>
      </c>
      <c r="R84" s="237">
        <f t="shared" si="16"/>
        <v>0</v>
      </c>
    </row>
    <row r="85" ht="39.75" customHeight="1">
      <c r="A85" s="111" t="s">
        <v>235</v>
      </c>
      <c r="B85" s="112" t="s">
        <v>236</v>
      </c>
      <c r="C85" s="239"/>
      <c r="D85" s="240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2"/>
    </row>
    <row r="86" ht="39.75" customHeight="1">
      <c r="A86" s="128" t="s">
        <v>237</v>
      </c>
      <c r="B86" s="129" t="s">
        <v>238</v>
      </c>
      <c r="C86" s="238"/>
      <c r="D86" s="234"/>
      <c r="E86" s="244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6">
        <f t="shared" ref="Q86:Q100" si="17">COUNTIF(C86:P86,"&gt;=R")</f>
        <v>0</v>
      </c>
      <c r="R86" s="237">
        <f t="shared" ref="R86:R100" si="18">Q86</f>
        <v>0</v>
      </c>
    </row>
    <row r="87" ht="39.75" customHeight="1">
      <c r="A87" s="104" t="s">
        <v>239</v>
      </c>
      <c r="B87" s="105" t="s">
        <v>139</v>
      </c>
      <c r="C87" s="243"/>
      <c r="D87" s="234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6">
        <f t="shared" si="17"/>
        <v>0</v>
      </c>
      <c r="R87" s="237">
        <f t="shared" si="18"/>
        <v>0</v>
      </c>
      <c r="Z87" s="1"/>
      <c r="AA87" s="1"/>
      <c r="AB87" s="1"/>
      <c r="AC87" s="1"/>
      <c r="AD87" s="1"/>
    </row>
    <row r="88" ht="39.75" customHeight="1">
      <c r="A88" s="128" t="s">
        <v>240</v>
      </c>
      <c r="B88" s="129" t="s">
        <v>241</v>
      </c>
      <c r="C88" s="238"/>
      <c r="D88" s="234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6">
        <f t="shared" si="17"/>
        <v>0</v>
      </c>
      <c r="R88" s="237">
        <f t="shared" si="18"/>
        <v>0</v>
      </c>
    </row>
    <row r="89" ht="39.75" customHeight="1">
      <c r="A89" s="126" t="s">
        <v>242</v>
      </c>
      <c r="B89" s="127" t="s">
        <v>243</v>
      </c>
      <c r="C89" s="243"/>
      <c r="D89" s="234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6">
        <f t="shared" si="17"/>
        <v>0</v>
      </c>
      <c r="R89" s="237">
        <f t="shared" si="18"/>
        <v>0</v>
      </c>
    </row>
    <row r="90" ht="39.75" customHeight="1">
      <c r="A90" s="126" t="s">
        <v>244</v>
      </c>
      <c r="B90" s="127" t="s">
        <v>245</v>
      </c>
      <c r="C90" s="238"/>
      <c r="D90" s="234"/>
      <c r="E90" s="244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6">
        <f t="shared" si="17"/>
        <v>0</v>
      </c>
      <c r="R90" s="237">
        <f t="shared" si="18"/>
        <v>0</v>
      </c>
    </row>
    <row r="91" ht="39.75" customHeight="1">
      <c r="A91" s="128" t="s">
        <v>246</v>
      </c>
      <c r="B91" s="129" t="s">
        <v>247</v>
      </c>
      <c r="C91" s="238"/>
      <c r="D91" s="234"/>
      <c r="E91" s="244"/>
      <c r="F91" s="235"/>
      <c r="G91" s="235"/>
      <c r="H91" s="235"/>
      <c r="I91" s="235"/>
      <c r="J91" s="235"/>
      <c r="K91" s="235"/>
      <c r="L91" s="235"/>
      <c r="M91" s="244"/>
      <c r="N91" s="235"/>
      <c r="O91" s="235"/>
      <c r="P91" s="235"/>
      <c r="Q91" s="236">
        <f t="shared" si="17"/>
        <v>0</v>
      </c>
      <c r="R91" s="237">
        <f t="shared" si="18"/>
        <v>0</v>
      </c>
    </row>
    <row r="92" ht="39.75" customHeight="1">
      <c r="A92" s="126" t="s">
        <v>248</v>
      </c>
      <c r="B92" s="127" t="s">
        <v>249</v>
      </c>
      <c r="C92" s="243"/>
      <c r="D92" s="234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6">
        <f t="shared" si="17"/>
        <v>0</v>
      </c>
      <c r="R92" s="237">
        <f t="shared" si="18"/>
        <v>0</v>
      </c>
    </row>
    <row r="93" ht="39.75" customHeight="1">
      <c r="A93" s="126" t="s">
        <v>250</v>
      </c>
      <c r="B93" s="127" t="s">
        <v>251</v>
      </c>
      <c r="C93" s="243"/>
      <c r="D93" s="234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6">
        <f t="shared" si="17"/>
        <v>0</v>
      </c>
      <c r="R93" s="237">
        <f t="shared" si="18"/>
        <v>0</v>
      </c>
    </row>
    <row r="94" ht="39.75" customHeight="1">
      <c r="A94" s="128" t="s">
        <v>252</v>
      </c>
      <c r="B94" s="129" t="s">
        <v>253</v>
      </c>
      <c r="C94" s="238"/>
      <c r="D94" s="234"/>
      <c r="E94" s="244"/>
      <c r="F94" s="235"/>
      <c r="G94" s="244"/>
      <c r="H94" s="235"/>
      <c r="I94" s="244"/>
      <c r="J94" s="235"/>
      <c r="K94" s="235"/>
      <c r="L94" s="235"/>
      <c r="M94" s="235"/>
      <c r="N94" s="235"/>
      <c r="O94" s="235"/>
      <c r="P94" s="235"/>
      <c r="Q94" s="236">
        <f t="shared" si="17"/>
        <v>0</v>
      </c>
      <c r="R94" s="237">
        <f t="shared" si="18"/>
        <v>0</v>
      </c>
      <c r="Z94" s="1"/>
      <c r="AA94" s="1"/>
      <c r="AB94" s="1"/>
      <c r="AC94" s="1"/>
      <c r="AD94" s="1"/>
    </row>
    <row r="95" ht="39.75" customHeight="1">
      <c r="A95" s="104" t="s">
        <v>254</v>
      </c>
      <c r="B95" s="105" t="s">
        <v>255</v>
      </c>
      <c r="C95" s="238"/>
      <c r="D95" s="234"/>
      <c r="E95" s="234"/>
      <c r="F95" s="235"/>
      <c r="G95" s="234"/>
      <c r="H95" s="235"/>
      <c r="I95" s="234"/>
      <c r="J95" s="235"/>
      <c r="K95" s="234"/>
      <c r="L95" s="235"/>
      <c r="M95" s="234"/>
      <c r="N95" s="235"/>
      <c r="O95" s="234"/>
      <c r="P95" s="235"/>
      <c r="Q95" s="236">
        <f t="shared" si="17"/>
        <v>0</v>
      </c>
      <c r="R95" s="237">
        <f t="shared" si="18"/>
        <v>0</v>
      </c>
      <c r="Z95" s="1"/>
      <c r="AA95" s="1"/>
      <c r="AB95" s="1"/>
      <c r="AC95" s="1"/>
      <c r="AD95" s="1"/>
    </row>
    <row r="96" ht="39.75" customHeight="1">
      <c r="A96" s="104" t="s">
        <v>256</v>
      </c>
      <c r="B96" s="105" t="s">
        <v>257</v>
      </c>
      <c r="C96" s="238"/>
      <c r="D96" s="233"/>
      <c r="E96" s="234"/>
      <c r="F96" s="235"/>
      <c r="G96" s="234"/>
      <c r="H96" s="235"/>
      <c r="I96" s="234"/>
      <c r="J96" s="235"/>
      <c r="K96" s="234"/>
      <c r="L96" s="235"/>
      <c r="M96" s="234"/>
      <c r="N96" s="235"/>
      <c r="O96" s="234"/>
      <c r="P96" s="235"/>
      <c r="Q96" s="236">
        <f t="shared" si="17"/>
        <v>0</v>
      </c>
      <c r="R96" s="237">
        <f t="shared" si="18"/>
        <v>0</v>
      </c>
    </row>
    <row r="97" ht="39.75" customHeight="1">
      <c r="A97" s="104" t="s">
        <v>258</v>
      </c>
      <c r="B97" s="105" t="s">
        <v>259</v>
      </c>
      <c r="C97" s="238"/>
      <c r="D97" s="233"/>
      <c r="E97" s="234"/>
      <c r="F97" s="235"/>
      <c r="G97" s="234"/>
      <c r="H97" s="235"/>
      <c r="I97" s="234"/>
      <c r="J97" s="235"/>
      <c r="K97" s="234"/>
      <c r="L97" s="235"/>
      <c r="M97" s="234"/>
      <c r="N97" s="235"/>
      <c r="O97" s="234"/>
      <c r="P97" s="235"/>
      <c r="Q97" s="236">
        <f t="shared" si="17"/>
        <v>0</v>
      </c>
      <c r="R97" s="237">
        <f t="shared" si="18"/>
        <v>0</v>
      </c>
      <c r="Z97" s="1"/>
      <c r="AA97" s="1"/>
      <c r="AB97" s="1"/>
      <c r="AC97" s="1"/>
      <c r="AD97" s="1"/>
    </row>
    <row r="98" ht="39.75" customHeight="1">
      <c r="A98" s="104" t="s">
        <v>260</v>
      </c>
      <c r="B98" s="105" t="s">
        <v>261</v>
      </c>
      <c r="C98" s="238"/>
      <c r="D98" s="233"/>
      <c r="E98" s="234"/>
      <c r="F98" s="235"/>
      <c r="G98" s="234"/>
      <c r="H98" s="235"/>
      <c r="I98" s="234"/>
      <c r="J98" s="235"/>
      <c r="K98" s="234"/>
      <c r="L98" s="235"/>
      <c r="M98" s="234"/>
      <c r="N98" s="235"/>
      <c r="O98" s="234"/>
      <c r="P98" s="235"/>
      <c r="Q98" s="236">
        <f t="shared" si="17"/>
        <v>0</v>
      </c>
      <c r="R98" s="237">
        <f t="shared" si="18"/>
        <v>0</v>
      </c>
      <c r="Z98" s="1"/>
      <c r="AA98" s="1"/>
      <c r="AB98" s="1"/>
      <c r="AC98" s="1"/>
      <c r="AD98" s="1"/>
    </row>
    <row r="99" ht="39.75" customHeight="1">
      <c r="A99" s="128" t="s">
        <v>262</v>
      </c>
      <c r="B99" s="129" t="s">
        <v>263</v>
      </c>
      <c r="C99" s="238"/>
      <c r="D99" s="233"/>
      <c r="E99" s="235"/>
      <c r="F99" s="235"/>
      <c r="G99" s="244"/>
      <c r="H99" s="235"/>
      <c r="I99" s="244"/>
      <c r="J99" s="235"/>
      <c r="K99" s="244"/>
      <c r="L99" s="235"/>
      <c r="M99" s="235"/>
      <c r="N99" s="235"/>
      <c r="O99" s="235"/>
      <c r="P99" s="235"/>
      <c r="Q99" s="236">
        <f t="shared" si="17"/>
        <v>0</v>
      </c>
      <c r="R99" s="237">
        <f t="shared" si="18"/>
        <v>0</v>
      </c>
    </row>
    <row r="100" ht="39.75" customHeight="1">
      <c r="A100" s="126" t="s">
        <v>264</v>
      </c>
      <c r="B100" s="127" t="s">
        <v>265</v>
      </c>
      <c r="C100" s="238"/>
      <c r="D100" s="233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6">
        <f t="shared" si="17"/>
        <v>0</v>
      </c>
      <c r="R100" s="237">
        <f t="shared" si="18"/>
        <v>0</v>
      </c>
    </row>
    <row r="101" ht="39.75" customHeight="1">
      <c r="A101" s="130" t="s">
        <v>266</v>
      </c>
      <c r="B101" s="112" t="s">
        <v>267</v>
      </c>
      <c r="C101" s="239"/>
      <c r="D101" s="240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2"/>
    </row>
    <row r="102" ht="39.75" customHeight="1">
      <c r="A102" s="104" t="s">
        <v>268</v>
      </c>
      <c r="B102" s="105" t="s">
        <v>269</v>
      </c>
      <c r="C102" s="243"/>
      <c r="D102" s="233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6">
        <f t="shared" ref="Q102:Q103" si="19">COUNTIF(C102:P102,"&gt;=R")</f>
        <v>0</v>
      </c>
      <c r="R102" s="237">
        <f t="shared" ref="R102:R103" si="20">Q102</f>
        <v>0</v>
      </c>
    </row>
    <row r="103" ht="39.75" customHeight="1">
      <c r="A103" s="104" t="s">
        <v>270</v>
      </c>
      <c r="B103" s="105" t="s">
        <v>271</v>
      </c>
      <c r="C103" s="243"/>
      <c r="D103" s="233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6">
        <f t="shared" si="19"/>
        <v>0</v>
      </c>
      <c r="R103" s="237">
        <f t="shared" si="20"/>
        <v>0</v>
      </c>
    </row>
    <row r="104" ht="39.75" customHeight="1">
      <c r="A104" s="130" t="s">
        <v>272</v>
      </c>
      <c r="B104" s="112" t="s">
        <v>273</v>
      </c>
      <c r="C104" s="239"/>
      <c r="D104" s="240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2"/>
      <c r="Z104" s="1"/>
      <c r="AA104" s="1"/>
      <c r="AB104" s="1"/>
      <c r="AC104" s="1"/>
      <c r="AD104" s="1"/>
    </row>
    <row r="105" ht="39.75" customHeight="1">
      <c r="A105" s="104" t="s">
        <v>274</v>
      </c>
      <c r="B105" s="105" t="s">
        <v>275</v>
      </c>
      <c r="C105" s="238"/>
      <c r="D105" s="234"/>
      <c r="E105" s="234"/>
      <c r="F105" s="235"/>
      <c r="G105" s="234"/>
      <c r="H105" s="235"/>
      <c r="I105" s="234"/>
      <c r="J105" s="235"/>
      <c r="K105" s="234"/>
      <c r="L105" s="235"/>
      <c r="M105" s="234"/>
      <c r="N105" s="235"/>
      <c r="O105" s="234"/>
      <c r="P105" s="235"/>
      <c r="Q105" s="236">
        <f t="shared" ref="Q105:Q106" si="21">COUNTIF(C105:P105,"&gt;=R")</f>
        <v>0</v>
      </c>
      <c r="R105" s="237">
        <f t="shared" ref="R105:R106" si="22">Q105</f>
        <v>0</v>
      </c>
    </row>
    <row r="106" ht="39.75" customHeight="1">
      <c r="A106" s="104" t="s">
        <v>276</v>
      </c>
      <c r="B106" s="105" t="s">
        <v>277</v>
      </c>
      <c r="C106" s="238"/>
      <c r="D106" s="233"/>
      <c r="E106" s="234"/>
      <c r="F106" s="235"/>
      <c r="G106" s="234"/>
      <c r="H106" s="235"/>
      <c r="I106" s="234"/>
      <c r="J106" s="235"/>
      <c r="K106" s="244"/>
      <c r="L106" s="235"/>
      <c r="M106" s="244"/>
      <c r="N106" s="235"/>
      <c r="O106" s="244"/>
      <c r="P106" s="235"/>
      <c r="Q106" s="236">
        <f t="shared" si="21"/>
        <v>0</v>
      </c>
      <c r="R106" s="237">
        <f t="shared" si="22"/>
        <v>0</v>
      </c>
      <c r="Z106" s="1"/>
      <c r="AA106" s="1"/>
      <c r="AB106" s="1"/>
      <c r="AC106" s="1"/>
      <c r="AD106" s="1"/>
    </row>
    <row r="107" ht="39.75" customHeight="1">
      <c r="A107" s="111" t="s">
        <v>278</v>
      </c>
      <c r="B107" s="112" t="s">
        <v>279</v>
      </c>
      <c r="C107" s="239"/>
      <c r="D107" s="240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2"/>
      <c r="Z107" s="1"/>
      <c r="AA107" s="1"/>
      <c r="AB107" s="1"/>
      <c r="AC107" s="1"/>
      <c r="AD107" s="1"/>
    </row>
    <row r="108" ht="39.75" customHeight="1">
      <c r="A108" s="128" t="s">
        <v>280</v>
      </c>
      <c r="B108" s="129" t="s">
        <v>281</v>
      </c>
      <c r="C108" s="238"/>
      <c r="D108" s="233"/>
      <c r="E108" s="235"/>
      <c r="F108" s="235"/>
      <c r="G108" s="244"/>
      <c r="H108" s="235"/>
      <c r="I108" s="244"/>
      <c r="J108" s="235"/>
      <c r="K108" s="235"/>
      <c r="L108" s="235"/>
      <c r="M108" s="235"/>
      <c r="N108" s="235"/>
      <c r="O108" s="235"/>
      <c r="P108" s="235"/>
      <c r="Q108" s="236">
        <f t="shared" ref="Q108:Q114" si="23">COUNTIF(C108:P108,"&gt;=R")</f>
        <v>0</v>
      </c>
      <c r="R108" s="237">
        <f t="shared" ref="R108:R114" si="24">Q108</f>
        <v>0</v>
      </c>
    </row>
    <row r="109" ht="39.75" customHeight="1">
      <c r="A109" s="250" t="s">
        <v>282</v>
      </c>
      <c r="B109" s="251" t="s">
        <v>283</v>
      </c>
      <c r="C109" s="238"/>
      <c r="D109" s="233"/>
      <c r="E109" s="235"/>
      <c r="F109" s="235"/>
      <c r="G109" s="244"/>
      <c r="H109" s="235"/>
      <c r="I109" s="244"/>
      <c r="J109" s="235"/>
      <c r="K109" s="235"/>
      <c r="L109" s="235"/>
      <c r="M109" s="235"/>
      <c r="N109" s="235"/>
      <c r="O109" s="235"/>
      <c r="P109" s="235"/>
      <c r="Q109" s="236">
        <f t="shared" si="23"/>
        <v>0</v>
      </c>
      <c r="R109" s="237">
        <f t="shared" si="24"/>
        <v>0</v>
      </c>
    </row>
    <row r="110" ht="39.75" customHeight="1">
      <c r="A110" s="126" t="s">
        <v>284</v>
      </c>
      <c r="B110" s="127" t="s">
        <v>285</v>
      </c>
      <c r="C110" s="238"/>
      <c r="D110" s="233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6">
        <f t="shared" si="23"/>
        <v>0</v>
      </c>
      <c r="R110" s="237">
        <f t="shared" si="24"/>
        <v>0</v>
      </c>
      <c r="Z110" s="1"/>
      <c r="AA110" s="1"/>
      <c r="AB110" s="1"/>
      <c r="AC110" s="1"/>
      <c r="AD110" s="1"/>
    </row>
    <row r="111" ht="39.75" customHeight="1">
      <c r="A111" s="128" t="s">
        <v>286</v>
      </c>
      <c r="B111" s="129" t="s">
        <v>287</v>
      </c>
      <c r="C111" s="238"/>
      <c r="D111" s="233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6">
        <f t="shared" si="23"/>
        <v>0</v>
      </c>
      <c r="R111" s="237">
        <f t="shared" si="24"/>
        <v>0</v>
      </c>
    </row>
    <row r="112" ht="39.75" customHeight="1">
      <c r="A112" s="104" t="s">
        <v>288</v>
      </c>
      <c r="B112" s="105" t="s">
        <v>289</v>
      </c>
      <c r="C112" s="243"/>
      <c r="D112" s="233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6">
        <f t="shared" si="23"/>
        <v>0</v>
      </c>
      <c r="R112" s="237">
        <f t="shared" si="24"/>
        <v>0</v>
      </c>
      <c r="Z112" s="1"/>
      <c r="AA112" s="1"/>
      <c r="AB112" s="1"/>
      <c r="AC112" s="1"/>
      <c r="AD112" s="1"/>
    </row>
    <row r="113" ht="39.75" customHeight="1">
      <c r="A113" s="104" t="s">
        <v>290</v>
      </c>
      <c r="B113" s="105" t="s">
        <v>291</v>
      </c>
      <c r="C113" s="238"/>
      <c r="D113" s="233"/>
      <c r="E113" s="234"/>
      <c r="F113" s="235"/>
      <c r="G113" s="234"/>
      <c r="H113" s="235"/>
      <c r="I113" s="234"/>
      <c r="J113" s="235"/>
      <c r="K113" s="234"/>
      <c r="L113" s="235"/>
      <c r="M113" s="234"/>
      <c r="N113" s="235"/>
      <c r="O113" s="234"/>
      <c r="P113" s="235"/>
      <c r="Q113" s="236">
        <f t="shared" si="23"/>
        <v>0</v>
      </c>
      <c r="R113" s="237">
        <f t="shared" si="24"/>
        <v>0</v>
      </c>
    </row>
    <row r="114" ht="39.75" customHeight="1">
      <c r="A114" s="250" t="s">
        <v>292</v>
      </c>
      <c r="B114" s="251" t="s">
        <v>293</v>
      </c>
      <c r="C114" s="238"/>
      <c r="D114" s="233"/>
      <c r="E114" s="234"/>
      <c r="F114" s="235"/>
      <c r="G114" s="234"/>
      <c r="H114" s="235"/>
      <c r="I114" s="234"/>
      <c r="J114" s="235"/>
      <c r="K114" s="234"/>
      <c r="L114" s="235"/>
      <c r="M114" s="234"/>
      <c r="N114" s="235"/>
      <c r="O114" s="234"/>
      <c r="P114" s="235"/>
      <c r="Q114" s="236">
        <f t="shared" si="23"/>
        <v>0</v>
      </c>
      <c r="R114" s="237">
        <f t="shared" si="24"/>
        <v>0</v>
      </c>
    </row>
    <row r="115" ht="39.75" customHeight="1">
      <c r="A115" s="111" t="s">
        <v>294</v>
      </c>
      <c r="B115" s="131" t="s">
        <v>295</v>
      </c>
      <c r="C115" s="239"/>
      <c r="D115" s="240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2"/>
      <c r="Z115" s="1"/>
      <c r="AA115" s="1"/>
      <c r="AB115" s="1"/>
      <c r="AC115" s="1"/>
      <c r="AD115" s="1"/>
    </row>
    <row r="116" ht="39.75" customHeight="1">
      <c r="A116" s="118" t="s">
        <v>296</v>
      </c>
      <c r="B116" s="105" t="s">
        <v>297</v>
      </c>
      <c r="C116" s="238"/>
      <c r="D116" s="233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6">
        <f t="shared" ref="Q116:Q127" si="25">COUNTIF(C116:P116,"&gt;=R")</f>
        <v>0</v>
      </c>
      <c r="R116" s="237">
        <f t="shared" ref="R116:R127" si="26">Q116</f>
        <v>0</v>
      </c>
      <c r="Z116" s="1"/>
      <c r="AA116" s="1"/>
      <c r="AB116" s="1"/>
      <c r="AC116" s="1"/>
      <c r="AD116" s="1"/>
    </row>
    <row r="117" ht="39.75" customHeight="1">
      <c r="A117" s="118" t="s">
        <v>298</v>
      </c>
      <c r="B117" s="105" t="s">
        <v>299</v>
      </c>
      <c r="C117" s="238"/>
      <c r="D117" s="233"/>
      <c r="E117" s="235"/>
      <c r="F117" s="235"/>
      <c r="G117" s="244"/>
      <c r="H117" s="235"/>
      <c r="I117" s="244"/>
      <c r="J117" s="235"/>
      <c r="K117" s="244"/>
      <c r="L117" s="235"/>
      <c r="M117" s="235"/>
      <c r="N117" s="235"/>
      <c r="O117" s="235"/>
      <c r="P117" s="235"/>
      <c r="Q117" s="236">
        <f t="shared" si="25"/>
        <v>0</v>
      </c>
      <c r="R117" s="237">
        <f t="shared" si="26"/>
        <v>0</v>
      </c>
    </row>
    <row r="118" ht="39.75" customHeight="1">
      <c r="A118" s="118" t="s">
        <v>300</v>
      </c>
      <c r="B118" s="105" t="s">
        <v>301</v>
      </c>
      <c r="C118" s="238"/>
      <c r="D118" s="233"/>
      <c r="E118" s="234"/>
      <c r="F118" s="235"/>
      <c r="G118" s="234"/>
      <c r="H118" s="235"/>
      <c r="I118" s="234"/>
      <c r="J118" s="235"/>
      <c r="K118" s="234"/>
      <c r="L118" s="235"/>
      <c r="M118" s="234"/>
      <c r="N118" s="235"/>
      <c r="O118" s="234"/>
      <c r="P118" s="235"/>
      <c r="Q118" s="236">
        <f t="shared" si="25"/>
        <v>0</v>
      </c>
      <c r="R118" s="237">
        <f t="shared" si="26"/>
        <v>0</v>
      </c>
    </row>
    <row r="119" ht="39.75" customHeight="1">
      <c r="A119" s="118" t="s">
        <v>302</v>
      </c>
      <c r="B119" s="105" t="s">
        <v>303</v>
      </c>
      <c r="C119" s="243"/>
      <c r="D119" s="233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6">
        <f t="shared" si="25"/>
        <v>0</v>
      </c>
      <c r="R119" s="237">
        <f t="shared" si="26"/>
        <v>0</v>
      </c>
      <c r="Z119" s="1"/>
      <c r="AA119" s="1"/>
      <c r="AB119" s="1"/>
      <c r="AC119" s="1"/>
      <c r="AD119" s="1"/>
    </row>
    <row r="120" ht="39.75" customHeight="1">
      <c r="A120" s="118" t="s">
        <v>304</v>
      </c>
      <c r="B120" s="105" t="s">
        <v>305</v>
      </c>
      <c r="C120" s="238"/>
      <c r="D120" s="233"/>
      <c r="E120" s="235"/>
      <c r="F120" s="235"/>
      <c r="G120" s="244"/>
      <c r="H120" s="235"/>
      <c r="I120" s="244"/>
      <c r="J120" s="235"/>
      <c r="K120" s="244"/>
      <c r="L120" s="235"/>
      <c r="M120" s="235"/>
      <c r="N120" s="235"/>
      <c r="O120" s="235"/>
      <c r="P120" s="235"/>
      <c r="Q120" s="236">
        <f t="shared" si="25"/>
        <v>0</v>
      </c>
      <c r="R120" s="237">
        <f t="shared" si="26"/>
        <v>0</v>
      </c>
    </row>
    <row r="121" ht="39.75" customHeight="1">
      <c r="A121" s="118" t="s">
        <v>306</v>
      </c>
      <c r="B121" s="105" t="s">
        <v>307</v>
      </c>
      <c r="C121" s="238"/>
      <c r="D121" s="233"/>
      <c r="E121" s="244"/>
      <c r="F121" s="235"/>
      <c r="G121" s="244"/>
      <c r="H121" s="235"/>
      <c r="I121" s="244"/>
      <c r="J121" s="235"/>
      <c r="K121" s="244"/>
      <c r="L121" s="235"/>
      <c r="M121" s="244"/>
      <c r="N121" s="235"/>
      <c r="O121" s="244"/>
      <c r="P121" s="235"/>
      <c r="Q121" s="236">
        <f t="shared" si="25"/>
        <v>0</v>
      </c>
      <c r="R121" s="237">
        <f t="shared" si="26"/>
        <v>0</v>
      </c>
    </row>
    <row r="122" ht="39.75" customHeight="1">
      <c r="A122" s="118" t="s">
        <v>308</v>
      </c>
      <c r="B122" s="105" t="s">
        <v>309</v>
      </c>
      <c r="C122" s="238"/>
      <c r="D122" s="233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6">
        <f t="shared" si="25"/>
        <v>0</v>
      </c>
      <c r="R122" s="237">
        <f t="shared" si="26"/>
        <v>0</v>
      </c>
    </row>
    <row r="123" ht="39.75" customHeight="1">
      <c r="A123" s="118" t="s">
        <v>310</v>
      </c>
      <c r="B123" s="105" t="s">
        <v>311</v>
      </c>
      <c r="C123" s="238"/>
      <c r="D123" s="23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36">
        <f t="shared" si="25"/>
        <v>0</v>
      </c>
      <c r="R123" s="237">
        <f t="shared" si="26"/>
        <v>0</v>
      </c>
    </row>
    <row r="124" ht="39.75" customHeight="1">
      <c r="A124" s="118" t="s">
        <v>312</v>
      </c>
      <c r="B124" s="105" t="s">
        <v>313</v>
      </c>
      <c r="C124" s="238"/>
      <c r="D124" s="23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  <c r="P124" s="244"/>
      <c r="Q124" s="236">
        <f t="shared" si="25"/>
        <v>0</v>
      </c>
      <c r="R124" s="237">
        <f t="shared" si="26"/>
        <v>0</v>
      </c>
    </row>
    <row r="125" ht="39.75" customHeight="1">
      <c r="A125" s="118" t="s">
        <v>314</v>
      </c>
      <c r="B125" s="105" t="s">
        <v>315</v>
      </c>
      <c r="C125" s="238"/>
      <c r="D125" s="23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36">
        <f t="shared" si="25"/>
        <v>0</v>
      </c>
      <c r="R125" s="237">
        <f t="shared" si="26"/>
        <v>0</v>
      </c>
    </row>
    <row r="126" ht="39.75" customHeight="1">
      <c r="A126" s="118" t="s">
        <v>316</v>
      </c>
      <c r="B126" s="105" t="s">
        <v>317</v>
      </c>
      <c r="C126" s="238"/>
      <c r="D126" s="234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36">
        <f t="shared" si="25"/>
        <v>0</v>
      </c>
      <c r="R126" s="237">
        <f t="shared" si="26"/>
        <v>0</v>
      </c>
    </row>
    <row r="127" ht="39.75" customHeight="1">
      <c r="A127" s="118" t="s">
        <v>318</v>
      </c>
      <c r="B127" s="105" t="s">
        <v>319</v>
      </c>
      <c r="C127" s="238"/>
      <c r="D127" s="234"/>
      <c r="E127" s="234"/>
      <c r="F127" s="244"/>
      <c r="G127" s="234"/>
      <c r="H127" s="244"/>
      <c r="I127" s="234"/>
      <c r="J127" s="244"/>
      <c r="K127" s="234"/>
      <c r="L127" s="244"/>
      <c r="M127" s="234"/>
      <c r="N127" s="244"/>
      <c r="O127" s="234"/>
      <c r="P127" s="244"/>
      <c r="Q127" s="236">
        <f t="shared" si="25"/>
        <v>0</v>
      </c>
      <c r="R127" s="237">
        <f t="shared" si="26"/>
        <v>0</v>
      </c>
    </row>
    <row r="128" ht="39.75" customHeight="1">
      <c r="A128" s="132" t="s">
        <v>320</v>
      </c>
      <c r="B128" s="133" t="s">
        <v>321</v>
      </c>
      <c r="C128" s="239"/>
      <c r="D128" s="240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2"/>
    </row>
    <row r="129" ht="39.75" customHeight="1">
      <c r="A129" s="98" t="s">
        <v>322</v>
      </c>
      <c r="B129" s="134" t="s">
        <v>323</v>
      </c>
      <c r="C129" s="239"/>
      <c r="D129" s="240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2"/>
    </row>
    <row r="130" ht="39.75" customHeight="1">
      <c r="A130" s="126" t="s">
        <v>324</v>
      </c>
      <c r="B130" s="135" t="s">
        <v>325</v>
      </c>
      <c r="C130" s="238"/>
      <c r="D130" s="234"/>
      <c r="E130" s="234"/>
      <c r="F130" s="244"/>
      <c r="G130" s="234"/>
      <c r="H130" s="244"/>
      <c r="I130" s="234"/>
      <c r="J130" s="244"/>
      <c r="K130" s="234"/>
      <c r="L130" s="244"/>
      <c r="M130" s="234"/>
      <c r="N130" s="244"/>
      <c r="O130" s="234"/>
      <c r="P130" s="244"/>
      <c r="Q130" s="236">
        <f t="shared" ref="Q130:Q141" si="27">COUNTIF(C130:P130,"&gt;=R")</f>
        <v>0</v>
      </c>
      <c r="R130" s="237">
        <f t="shared" ref="R130:R141" si="28">Q130</f>
        <v>0</v>
      </c>
    </row>
    <row r="131" ht="39.75" customHeight="1">
      <c r="A131" s="136" t="s">
        <v>326</v>
      </c>
      <c r="B131" s="137" t="s">
        <v>327</v>
      </c>
      <c r="C131" s="238"/>
      <c r="D131" s="234"/>
      <c r="E131" s="234"/>
      <c r="F131" s="244"/>
      <c r="G131" s="234"/>
      <c r="H131" s="244"/>
      <c r="I131" s="234"/>
      <c r="J131" s="244"/>
      <c r="K131" s="234"/>
      <c r="L131" s="244"/>
      <c r="M131" s="234"/>
      <c r="N131" s="244"/>
      <c r="O131" s="234"/>
      <c r="P131" s="244"/>
      <c r="Q131" s="236">
        <f t="shared" si="27"/>
        <v>0</v>
      </c>
      <c r="R131" s="237">
        <f t="shared" si="28"/>
        <v>0</v>
      </c>
    </row>
    <row r="132" ht="39.75" customHeight="1">
      <c r="A132" s="126" t="s">
        <v>328</v>
      </c>
      <c r="B132" s="135" t="s">
        <v>329</v>
      </c>
      <c r="C132" s="238"/>
      <c r="D132" s="23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35"/>
      <c r="P132" s="244"/>
      <c r="Q132" s="236">
        <f t="shared" si="27"/>
        <v>0</v>
      </c>
      <c r="R132" s="237">
        <f t="shared" si="28"/>
        <v>0</v>
      </c>
    </row>
    <row r="133" ht="39.75" customHeight="1">
      <c r="A133" s="126" t="s">
        <v>330</v>
      </c>
      <c r="B133" s="135" t="s">
        <v>331</v>
      </c>
      <c r="C133" s="243"/>
      <c r="D133" s="234"/>
      <c r="E133" s="235"/>
      <c r="F133" s="244"/>
      <c r="G133" s="235"/>
      <c r="H133" s="244"/>
      <c r="I133" s="235"/>
      <c r="J133" s="244"/>
      <c r="K133" s="235"/>
      <c r="L133" s="244"/>
      <c r="M133" s="235"/>
      <c r="N133" s="244"/>
      <c r="O133" s="235"/>
      <c r="P133" s="244"/>
      <c r="Q133" s="236">
        <f t="shared" si="27"/>
        <v>0</v>
      </c>
      <c r="R133" s="237">
        <f t="shared" si="28"/>
        <v>0</v>
      </c>
    </row>
    <row r="134" ht="39.75" customHeight="1">
      <c r="A134" s="126" t="s">
        <v>332</v>
      </c>
      <c r="B134" s="135" t="s">
        <v>333</v>
      </c>
      <c r="C134" s="238"/>
      <c r="D134" s="23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36">
        <f t="shared" si="27"/>
        <v>0</v>
      </c>
      <c r="R134" s="237">
        <f t="shared" si="28"/>
        <v>0</v>
      </c>
    </row>
    <row r="135" ht="39.75" customHeight="1">
      <c r="A135" s="126" t="s">
        <v>334</v>
      </c>
      <c r="B135" s="135" t="s">
        <v>335</v>
      </c>
      <c r="C135" s="238"/>
      <c r="D135" s="233"/>
      <c r="E135" s="234"/>
      <c r="F135" s="235"/>
      <c r="G135" s="234"/>
      <c r="H135" s="235"/>
      <c r="I135" s="234"/>
      <c r="J135" s="235"/>
      <c r="K135" s="234"/>
      <c r="L135" s="244"/>
      <c r="M135" s="234"/>
      <c r="N135" s="244"/>
      <c r="O135" s="234"/>
      <c r="P135" s="244"/>
      <c r="Q135" s="236">
        <f t="shared" si="27"/>
        <v>0</v>
      </c>
      <c r="R135" s="237">
        <f t="shared" si="28"/>
        <v>0</v>
      </c>
    </row>
    <row r="136" ht="39.75" customHeight="1">
      <c r="A136" s="126" t="s">
        <v>336</v>
      </c>
      <c r="B136" s="135" t="s">
        <v>337</v>
      </c>
      <c r="C136" s="238"/>
      <c r="D136" s="234"/>
      <c r="E136" s="234"/>
      <c r="F136" s="244"/>
      <c r="G136" s="234"/>
      <c r="H136" s="244"/>
      <c r="I136" s="234"/>
      <c r="J136" s="244"/>
      <c r="K136" s="234"/>
      <c r="L136" s="244"/>
      <c r="M136" s="234"/>
      <c r="N136" s="244"/>
      <c r="O136" s="234"/>
      <c r="P136" s="244"/>
      <c r="Q136" s="236">
        <f t="shared" si="27"/>
        <v>0</v>
      </c>
      <c r="R136" s="237">
        <f t="shared" si="28"/>
        <v>0</v>
      </c>
    </row>
    <row r="137" ht="39.75" customHeight="1">
      <c r="A137" s="126" t="s">
        <v>338</v>
      </c>
      <c r="B137" s="135" t="s">
        <v>339</v>
      </c>
      <c r="C137" s="238"/>
      <c r="D137" s="234"/>
      <c r="E137" s="244"/>
      <c r="F137" s="244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36">
        <f t="shared" si="27"/>
        <v>0</v>
      </c>
      <c r="R137" s="237">
        <f t="shared" si="28"/>
        <v>0</v>
      </c>
    </row>
    <row r="138" ht="39.75" customHeight="1">
      <c r="A138" s="126" t="s">
        <v>340</v>
      </c>
      <c r="B138" s="135" t="s">
        <v>341</v>
      </c>
      <c r="C138" s="238"/>
      <c r="D138" s="23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36">
        <f t="shared" si="27"/>
        <v>0</v>
      </c>
      <c r="R138" s="237">
        <f t="shared" si="28"/>
        <v>0</v>
      </c>
    </row>
    <row r="139" ht="39.75" customHeight="1">
      <c r="A139" s="126" t="s">
        <v>342</v>
      </c>
      <c r="B139" s="135" t="s">
        <v>343</v>
      </c>
      <c r="C139" s="238"/>
      <c r="D139" s="23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36">
        <f t="shared" si="27"/>
        <v>0</v>
      </c>
      <c r="R139" s="237">
        <f t="shared" si="28"/>
        <v>0</v>
      </c>
    </row>
    <row r="140" ht="39.75" customHeight="1">
      <c r="A140" s="126" t="s">
        <v>344</v>
      </c>
      <c r="B140" s="135" t="s">
        <v>345</v>
      </c>
      <c r="C140" s="238"/>
      <c r="D140" s="234"/>
      <c r="E140" s="244"/>
      <c r="F140" s="244"/>
      <c r="G140" s="244"/>
      <c r="H140" s="244"/>
      <c r="I140" s="244"/>
      <c r="J140" s="244"/>
      <c r="K140" s="244"/>
      <c r="L140" s="244"/>
      <c r="M140" s="244"/>
      <c r="N140" s="244"/>
      <c r="O140" s="244"/>
      <c r="P140" s="244"/>
      <c r="Q140" s="236">
        <f t="shared" si="27"/>
        <v>0</v>
      </c>
      <c r="R140" s="237">
        <f t="shared" si="28"/>
        <v>0</v>
      </c>
    </row>
    <row r="141" ht="39.75" customHeight="1">
      <c r="A141" s="126" t="s">
        <v>346</v>
      </c>
      <c r="B141" s="135" t="s">
        <v>347</v>
      </c>
      <c r="C141" s="238"/>
      <c r="D141" s="23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36">
        <f t="shared" si="27"/>
        <v>0</v>
      </c>
      <c r="R141" s="237">
        <f t="shared" si="28"/>
        <v>0</v>
      </c>
    </row>
    <row r="142" ht="39.75" customHeight="1">
      <c r="A142" s="111" t="s">
        <v>348</v>
      </c>
      <c r="B142" s="131" t="s">
        <v>349</v>
      </c>
      <c r="C142" s="239"/>
      <c r="D142" s="240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2"/>
    </row>
    <row r="143" ht="39.75" customHeight="1">
      <c r="A143" s="126" t="s">
        <v>350</v>
      </c>
      <c r="B143" s="127" t="s">
        <v>351</v>
      </c>
      <c r="C143" s="238"/>
      <c r="D143" s="234"/>
      <c r="E143" s="234"/>
      <c r="F143" s="244"/>
      <c r="G143" s="234"/>
      <c r="H143" s="244"/>
      <c r="I143" s="234"/>
      <c r="J143" s="244"/>
      <c r="K143" s="234"/>
      <c r="L143" s="244"/>
      <c r="M143" s="234"/>
      <c r="N143" s="244"/>
      <c r="O143" s="234"/>
      <c r="P143" s="244"/>
      <c r="Q143" s="236">
        <f t="shared" ref="Q143:Q145" si="29">COUNTIF(C143:P143,"&gt;=R")</f>
        <v>0</v>
      </c>
      <c r="R143" s="237">
        <f t="shared" ref="R143:R145" si="30">Q143</f>
        <v>0</v>
      </c>
    </row>
    <row r="144" ht="39.75" customHeight="1">
      <c r="A144" s="126" t="s">
        <v>352</v>
      </c>
      <c r="B144" s="127" t="s">
        <v>353</v>
      </c>
      <c r="C144" s="238"/>
      <c r="D144" s="23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36">
        <f t="shared" si="29"/>
        <v>0</v>
      </c>
      <c r="R144" s="237">
        <f t="shared" si="30"/>
        <v>0</v>
      </c>
    </row>
    <row r="145" ht="39.75" customHeight="1">
      <c r="A145" s="126" t="s">
        <v>354</v>
      </c>
      <c r="B145" s="127" t="s">
        <v>355</v>
      </c>
      <c r="C145" s="238"/>
      <c r="D145" s="23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36">
        <f t="shared" si="29"/>
        <v>0</v>
      </c>
      <c r="R145" s="237">
        <f t="shared" si="30"/>
        <v>0</v>
      </c>
    </row>
    <row r="146" ht="39.75" customHeight="1">
      <c r="A146" s="111" t="s">
        <v>356</v>
      </c>
      <c r="B146" s="131" t="s">
        <v>357</v>
      </c>
      <c r="C146" s="239"/>
      <c r="D146" s="240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2"/>
    </row>
    <row r="147" ht="39.75" customHeight="1">
      <c r="A147" s="126" t="s">
        <v>358</v>
      </c>
      <c r="B147" s="127" t="s">
        <v>359</v>
      </c>
      <c r="C147" s="238"/>
      <c r="D147" s="234"/>
      <c r="E147" s="234"/>
      <c r="F147" s="244"/>
      <c r="G147" s="234"/>
      <c r="H147" s="244"/>
      <c r="I147" s="234"/>
      <c r="J147" s="244"/>
      <c r="K147" s="234"/>
      <c r="L147" s="244"/>
      <c r="M147" s="234"/>
      <c r="N147" s="244"/>
      <c r="O147" s="234"/>
      <c r="P147" s="244"/>
      <c r="Q147" s="236">
        <f t="shared" ref="Q147:Q149" si="31">COUNTIF(C147:P147,"&gt;=R")</f>
        <v>0</v>
      </c>
      <c r="R147" s="237">
        <f t="shared" ref="R147:R149" si="32">Q147</f>
        <v>0</v>
      </c>
    </row>
    <row r="148" ht="39.75" customHeight="1">
      <c r="A148" s="126" t="s">
        <v>360</v>
      </c>
      <c r="B148" s="127" t="s">
        <v>361</v>
      </c>
      <c r="C148" s="243" t="s">
        <v>85</v>
      </c>
      <c r="D148" s="234"/>
      <c r="E148" s="235"/>
      <c r="F148" s="244"/>
      <c r="G148" s="235" t="s">
        <v>76</v>
      </c>
      <c r="H148" s="244"/>
      <c r="I148" s="235" t="s">
        <v>56</v>
      </c>
      <c r="J148" s="244"/>
      <c r="K148" s="235" t="s">
        <v>56</v>
      </c>
      <c r="L148" s="244"/>
      <c r="M148" s="235" t="s">
        <v>56</v>
      </c>
      <c r="N148" s="244"/>
      <c r="O148" s="235"/>
      <c r="P148" s="244"/>
      <c r="Q148" s="236">
        <f t="shared" si="31"/>
        <v>5</v>
      </c>
      <c r="R148" s="237">
        <f t="shared" si="32"/>
        <v>5</v>
      </c>
    </row>
    <row r="149" ht="39.75" customHeight="1">
      <c r="A149" s="126" t="s">
        <v>362</v>
      </c>
      <c r="B149" s="127" t="s">
        <v>363</v>
      </c>
      <c r="C149" s="238"/>
      <c r="D149" s="234"/>
      <c r="E149" s="234"/>
      <c r="F149" s="244"/>
      <c r="G149" s="234"/>
      <c r="H149" s="244"/>
      <c r="I149" s="234"/>
      <c r="J149" s="244"/>
      <c r="K149" s="234"/>
      <c r="L149" s="244"/>
      <c r="M149" s="234"/>
      <c r="N149" s="244"/>
      <c r="O149" s="234"/>
      <c r="P149" s="244"/>
      <c r="Q149" s="236">
        <f t="shared" si="31"/>
        <v>0</v>
      </c>
      <c r="R149" s="237">
        <f t="shared" si="32"/>
        <v>0</v>
      </c>
    </row>
    <row r="150" ht="39.75" customHeight="1">
      <c r="A150" s="111" t="s">
        <v>364</v>
      </c>
      <c r="B150" s="112" t="s">
        <v>365</v>
      </c>
      <c r="C150" s="239"/>
      <c r="D150" s="240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2"/>
    </row>
    <row r="151" ht="39.75" customHeight="1">
      <c r="A151" s="138" t="s">
        <v>366</v>
      </c>
      <c r="B151" s="139" t="s">
        <v>367</v>
      </c>
      <c r="C151" s="238"/>
      <c r="D151" s="23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36">
        <f t="shared" ref="Q151:Q158" si="33">COUNTIF(C151:P151,"&gt;=R")</f>
        <v>0</v>
      </c>
      <c r="R151" s="237">
        <f t="shared" ref="R151:R158" si="34">Q151</f>
        <v>0</v>
      </c>
    </row>
    <row r="152" ht="39.75" customHeight="1">
      <c r="A152" s="138" t="s">
        <v>368</v>
      </c>
      <c r="B152" s="139" t="s">
        <v>369</v>
      </c>
      <c r="C152" s="238"/>
      <c r="D152" s="23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36">
        <f t="shared" si="33"/>
        <v>0</v>
      </c>
      <c r="R152" s="237">
        <f t="shared" si="34"/>
        <v>0</v>
      </c>
    </row>
    <row r="153" ht="39.75" customHeight="1">
      <c r="A153" s="138" t="s">
        <v>370</v>
      </c>
      <c r="B153" s="139" t="s">
        <v>371</v>
      </c>
      <c r="C153" s="243"/>
      <c r="D153" s="234"/>
      <c r="E153" s="235"/>
      <c r="F153" s="244"/>
      <c r="G153" s="235"/>
      <c r="H153" s="244"/>
      <c r="I153" s="235"/>
      <c r="J153" s="244"/>
      <c r="K153" s="235"/>
      <c r="L153" s="244"/>
      <c r="M153" s="235"/>
      <c r="N153" s="244"/>
      <c r="O153" s="235"/>
      <c r="P153" s="244"/>
      <c r="Q153" s="236">
        <f t="shared" si="33"/>
        <v>0</v>
      </c>
      <c r="R153" s="237">
        <f t="shared" si="34"/>
        <v>0</v>
      </c>
    </row>
    <row r="154" ht="39.75" customHeight="1">
      <c r="A154" s="140" t="s">
        <v>372</v>
      </c>
      <c r="B154" s="141" t="s">
        <v>373</v>
      </c>
      <c r="C154" s="243"/>
      <c r="D154" s="234"/>
      <c r="E154" s="244"/>
      <c r="F154" s="244"/>
      <c r="G154" s="244"/>
      <c r="H154" s="244"/>
      <c r="I154" s="235"/>
      <c r="J154" s="244"/>
      <c r="K154" s="235"/>
      <c r="L154" s="244"/>
      <c r="M154" s="235"/>
      <c r="N154" s="244"/>
      <c r="O154" s="235"/>
      <c r="P154" s="244"/>
      <c r="Q154" s="236">
        <f t="shared" si="33"/>
        <v>0</v>
      </c>
      <c r="R154" s="237">
        <f t="shared" si="34"/>
        <v>0</v>
      </c>
    </row>
    <row r="155" ht="39.75" customHeight="1">
      <c r="A155" s="140" t="s">
        <v>374</v>
      </c>
      <c r="B155" s="141" t="s">
        <v>375</v>
      </c>
      <c r="C155" s="243"/>
      <c r="D155" s="234"/>
      <c r="E155" s="244"/>
      <c r="F155" s="244"/>
      <c r="G155" s="244"/>
      <c r="H155" s="244"/>
      <c r="I155" s="235"/>
      <c r="J155" s="244"/>
      <c r="K155" s="235"/>
      <c r="L155" s="244"/>
      <c r="M155" s="235"/>
      <c r="N155" s="244"/>
      <c r="O155" s="235"/>
      <c r="P155" s="244"/>
      <c r="Q155" s="236">
        <f t="shared" si="33"/>
        <v>0</v>
      </c>
      <c r="R155" s="237">
        <f t="shared" si="34"/>
        <v>0</v>
      </c>
    </row>
    <row r="156" ht="39.75" customHeight="1">
      <c r="A156" s="140" t="s">
        <v>376</v>
      </c>
      <c r="B156" s="141" t="s">
        <v>377</v>
      </c>
      <c r="C156" s="243"/>
      <c r="D156" s="234"/>
      <c r="E156" s="235"/>
      <c r="F156" s="244"/>
      <c r="G156" s="235"/>
      <c r="H156" s="244"/>
      <c r="I156" s="235"/>
      <c r="J156" s="244"/>
      <c r="K156" s="235"/>
      <c r="L156" s="244"/>
      <c r="M156" s="235"/>
      <c r="N156" s="244"/>
      <c r="O156" s="235"/>
      <c r="P156" s="244"/>
      <c r="Q156" s="236">
        <f t="shared" si="33"/>
        <v>0</v>
      </c>
      <c r="R156" s="237">
        <f t="shared" si="34"/>
        <v>0</v>
      </c>
    </row>
    <row r="157" ht="39.75" customHeight="1">
      <c r="A157" s="140" t="s">
        <v>374</v>
      </c>
      <c r="B157" s="142" t="s">
        <v>375</v>
      </c>
      <c r="C157" s="238"/>
      <c r="D157" s="23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36">
        <f t="shared" si="33"/>
        <v>0</v>
      </c>
      <c r="R157" s="237">
        <f t="shared" si="34"/>
        <v>0</v>
      </c>
    </row>
    <row r="158" ht="39.75" customHeight="1">
      <c r="A158" s="250" t="s">
        <v>378</v>
      </c>
      <c r="B158" s="251" t="s">
        <v>379</v>
      </c>
      <c r="C158" s="238"/>
      <c r="D158" s="23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36">
        <f t="shared" si="33"/>
        <v>0</v>
      </c>
      <c r="R158" s="237">
        <f t="shared" si="34"/>
        <v>0</v>
      </c>
    </row>
    <row r="159" ht="39.75" customHeight="1">
      <c r="A159" s="111" t="s">
        <v>380</v>
      </c>
      <c r="B159" s="112" t="s">
        <v>381</v>
      </c>
      <c r="C159" s="239"/>
      <c r="D159" s="240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2"/>
    </row>
    <row r="160" ht="39.75" customHeight="1">
      <c r="A160" s="126" t="s">
        <v>382</v>
      </c>
      <c r="B160" s="127" t="s">
        <v>383</v>
      </c>
      <c r="C160" s="238"/>
      <c r="D160" s="23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36">
        <f t="shared" ref="Q160:Q163" si="35">COUNTIF(C160:P160,"&gt;=R")</f>
        <v>0</v>
      </c>
      <c r="R160" s="237">
        <f t="shared" ref="R160:R163" si="36">Q160</f>
        <v>0</v>
      </c>
    </row>
    <row r="161" ht="39.75" customHeight="1">
      <c r="A161" s="126" t="s">
        <v>384</v>
      </c>
      <c r="B161" s="127" t="s">
        <v>385</v>
      </c>
      <c r="C161" s="238"/>
      <c r="D161" s="234"/>
      <c r="E161" s="234"/>
      <c r="F161" s="244"/>
      <c r="G161" s="234"/>
      <c r="H161" s="244"/>
      <c r="I161" s="234"/>
      <c r="J161" s="244"/>
      <c r="K161" s="234"/>
      <c r="L161" s="244"/>
      <c r="M161" s="234"/>
      <c r="N161" s="244"/>
      <c r="O161" s="234"/>
      <c r="P161" s="244"/>
      <c r="Q161" s="236">
        <f t="shared" si="35"/>
        <v>0</v>
      </c>
      <c r="R161" s="237">
        <f t="shared" si="36"/>
        <v>0</v>
      </c>
    </row>
    <row r="162" ht="39.75" customHeight="1">
      <c r="A162" s="126" t="s">
        <v>386</v>
      </c>
      <c r="B162" s="127" t="s">
        <v>387</v>
      </c>
      <c r="C162" s="238"/>
      <c r="D162" s="234"/>
      <c r="E162" s="234"/>
      <c r="F162" s="244"/>
      <c r="G162" s="234"/>
      <c r="H162" s="244"/>
      <c r="I162" s="234"/>
      <c r="J162" s="244"/>
      <c r="K162" s="234"/>
      <c r="L162" s="244"/>
      <c r="M162" s="234"/>
      <c r="N162" s="244"/>
      <c r="O162" s="234"/>
      <c r="P162" s="244"/>
      <c r="Q162" s="236">
        <f t="shared" si="35"/>
        <v>0</v>
      </c>
      <c r="R162" s="237">
        <f t="shared" si="36"/>
        <v>0</v>
      </c>
    </row>
    <row r="163" ht="39.75" customHeight="1">
      <c r="A163" s="126" t="s">
        <v>388</v>
      </c>
      <c r="B163" s="127" t="s">
        <v>389</v>
      </c>
      <c r="C163" s="252"/>
      <c r="D163" s="234"/>
      <c r="E163" s="253"/>
      <c r="F163" s="244"/>
      <c r="G163" s="253"/>
      <c r="H163" s="244"/>
      <c r="I163" s="253"/>
      <c r="J163" s="244"/>
      <c r="K163" s="253"/>
      <c r="L163" s="244"/>
      <c r="M163" s="253"/>
      <c r="N163" s="244"/>
      <c r="O163" s="253"/>
      <c r="P163" s="244"/>
      <c r="Q163" s="236">
        <f t="shared" si="35"/>
        <v>0</v>
      </c>
      <c r="R163" s="237">
        <f t="shared" si="36"/>
        <v>0</v>
      </c>
    </row>
    <row r="164" ht="39.75" customHeight="1">
      <c r="A164" s="111" t="s">
        <v>390</v>
      </c>
      <c r="B164" s="131" t="s">
        <v>391</v>
      </c>
      <c r="C164" s="239"/>
      <c r="D164" s="240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2"/>
    </row>
    <row r="165" ht="39.75" customHeight="1">
      <c r="A165" s="138" t="s">
        <v>392</v>
      </c>
      <c r="B165" s="139" t="s">
        <v>393</v>
      </c>
      <c r="C165" s="238"/>
      <c r="D165" s="234"/>
      <c r="E165" s="234"/>
      <c r="F165" s="244"/>
      <c r="G165" s="234"/>
      <c r="H165" s="244"/>
      <c r="I165" s="244"/>
      <c r="J165" s="244"/>
      <c r="K165" s="253"/>
      <c r="L165" s="244"/>
      <c r="M165" s="253"/>
      <c r="N165" s="244"/>
      <c r="O165" s="253"/>
      <c r="P165" s="244"/>
      <c r="Q165" s="236">
        <f t="shared" ref="Q165:Q167" si="37">COUNTIF(C165:P165,"&gt;=R")</f>
        <v>0</v>
      </c>
      <c r="R165" s="237">
        <f t="shared" ref="R165:R167" si="38">Q165</f>
        <v>0</v>
      </c>
    </row>
    <row r="166" ht="39.75" customHeight="1">
      <c r="A166" s="138" t="s">
        <v>394</v>
      </c>
      <c r="B166" s="139" t="s">
        <v>395</v>
      </c>
      <c r="C166" s="238"/>
      <c r="D166" s="234"/>
      <c r="E166" s="234"/>
      <c r="F166" s="244"/>
      <c r="G166" s="234"/>
      <c r="H166" s="244"/>
      <c r="I166" s="244"/>
      <c r="J166" s="244"/>
      <c r="K166" s="253"/>
      <c r="L166" s="244"/>
      <c r="M166" s="253"/>
      <c r="N166" s="244"/>
      <c r="O166" s="253"/>
      <c r="P166" s="244"/>
      <c r="Q166" s="236">
        <f t="shared" si="37"/>
        <v>0</v>
      </c>
      <c r="R166" s="237">
        <f t="shared" si="38"/>
        <v>0</v>
      </c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</row>
    <row r="167" ht="39.75" customHeight="1">
      <c r="A167" s="254" t="s">
        <v>396</v>
      </c>
      <c r="B167" s="255" t="s">
        <v>397</v>
      </c>
      <c r="C167" s="256"/>
      <c r="D167" s="257"/>
      <c r="E167" s="257"/>
      <c r="F167" s="258"/>
      <c r="G167" s="257"/>
      <c r="H167" s="258"/>
      <c r="I167" s="258"/>
      <c r="J167" s="258"/>
      <c r="K167" s="259"/>
      <c r="L167" s="258"/>
      <c r="M167" s="259"/>
      <c r="N167" s="258"/>
      <c r="O167" s="259"/>
      <c r="P167" s="258"/>
      <c r="Q167" s="236">
        <f t="shared" si="37"/>
        <v>0</v>
      </c>
      <c r="R167" s="237">
        <f t="shared" si="38"/>
        <v>0</v>
      </c>
      <c r="S167" s="1"/>
      <c r="T167" s="1"/>
      <c r="U167" s="1"/>
      <c r="V167" s="1"/>
      <c r="W167" s="1"/>
      <c r="X167" s="1"/>
      <c r="Y167" s="1"/>
    </row>
    <row r="168" ht="24.0" customHeight="1">
      <c r="A168" s="152"/>
      <c r="B168" s="15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24.0" customHeight="1">
      <c r="A169" s="152"/>
      <c r="B169" s="15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24.0" customHeight="1">
      <c r="A170" s="152"/>
      <c r="B170" s="15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24.0" customHeight="1">
      <c r="A171" s="152"/>
      <c r="B171" s="15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24.0" customHeight="1">
      <c r="A172" s="152"/>
      <c r="B172" s="15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24.0" customHeight="1">
      <c r="A173" s="152"/>
      <c r="B173" s="15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24.0" customHeight="1">
      <c r="A174" s="152"/>
      <c r="B174" s="15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24.0" customHeight="1">
      <c r="A175" s="154"/>
      <c r="B175" s="15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24.0" customHeight="1">
      <c r="A176" s="154"/>
      <c r="B176" s="15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24.0" customHeight="1">
      <c r="A177" s="154"/>
      <c r="B177" s="15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24.0" customHeight="1">
      <c r="A178" s="154"/>
      <c r="B178" s="15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24.0" customHeight="1">
      <c r="A179" s="15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24.0" customHeight="1">
      <c r="A180" s="156"/>
      <c r="B180" s="157"/>
      <c r="C180" s="158"/>
      <c r="D180" s="157"/>
      <c r="E180" s="157"/>
      <c r="F180" s="159"/>
      <c r="G180" s="159"/>
      <c r="H180" s="159"/>
      <c r="I180" s="159"/>
      <c r="J180" s="1"/>
      <c r="K180" s="157"/>
      <c r="L180" s="157"/>
      <c r="M180" s="157"/>
      <c r="N180" s="157"/>
      <c r="O180" s="159"/>
      <c r="P180" s="158"/>
      <c r="V180" s="1"/>
      <c r="W180" s="1"/>
      <c r="X180" s="158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24.0" customHeight="1">
      <c r="A181" s="154"/>
      <c r="B181" s="161" t="s">
        <v>398</v>
      </c>
      <c r="C181" s="161"/>
      <c r="D181" s="166" t="s">
        <v>44</v>
      </c>
      <c r="E181" s="38"/>
      <c r="F181" s="38"/>
      <c r="G181" s="38"/>
      <c r="H181" s="38"/>
      <c r="I181" s="40"/>
      <c r="J181" s="165"/>
      <c r="K181" s="162" t="s">
        <v>399</v>
      </c>
      <c r="L181" s="163"/>
      <c r="M181" s="163"/>
      <c r="N181" s="163"/>
      <c r="O181" s="164"/>
      <c r="P181" s="165"/>
      <c r="Q181" s="162" t="s">
        <v>406</v>
      </c>
      <c r="R181" s="163"/>
      <c r="S181" s="163"/>
      <c r="T181" s="163"/>
      <c r="U181" s="164"/>
      <c r="V181" s="165"/>
      <c r="W181" s="165"/>
      <c r="X181" s="165"/>
      <c r="Z181" s="167"/>
      <c r="AA181" s="38"/>
      <c r="AB181" s="38"/>
      <c r="AC181" s="38"/>
      <c r="AD181" s="38"/>
      <c r="AE181" s="38"/>
      <c r="AF181" s="38"/>
      <c r="AG181" s="38"/>
      <c r="AH181" s="40"/>
      <c r="AI181" s="1"/>
      <c r="AJ181" s="1"/>
      <c r="AK181" s="1"/>
      <c r="AL181" s="1"/>
    </row>
    <row r="182" ht="24.0" customHeight="1">
      <c r="A182" s="154"/>
      <c r="B182" s="168" t="s">
        <v>35</v>
      </c>
      <c r="C182" s="168"/>
      <c r="D182" s="169" t="s">
        <v>54</v>
      </c>
      <c r="E182" s="38"/>
      <c r="F182" s="38"/>
      <c r="G182" s="38"/>
      <c r="H182" s="38"/>
      <c r="I182" s="40"/>
      <c r="J182" s="170"/>
      <c r="K182" s="166" t="s">
        <v>400</v>
      </c>
      <c r="L182" s="38"/>
      <c r="M182" s="38"/>
      <c r="N182" s="38"/>
      <c r="O182" s="40"/>
      <c r="P182" s="170"/>
      <c r="Q182" s="166" t="s">
        <v>74</v>
      </c>
      <c r="R182" s="38"/>
      <c r="S182" s="38"/>
      <c r="T182" s="38"/>
      <c r="U182" s="40"/>
      <c r="V182" s="165"/>
      <c r="W182" s="165"/>
      <c r="X182" s="165"/>
      <c r="Z182" s="172"/>
      <c r="AA182" s="38"/>
      <c r="AB182" s="38"/>
      <c r="AC182" s="38"/>
      <c r="AD182" s="40"/>
      <c r="AE182" s="173"/>
      <c r="AF182" s="173"/>
      <c r="AG182" s="173"/>
      <c r="AH182" s="173"/>
      <c r="AI182" s="1"/>
      <c r="AJ182" s="1"/>
      <c r="AK182" s="1"/>
      <c r="AL182" s="1"/>
    </row>
    <row r="183" ht="18.0" customHeight="1">
      <c r="B183" s="174"/>
      <c r="C183" s="174"/>
      <c r="D183" s="174"/>
      <c r="E183" s="174"/>
      <c r="F183" s="174"/>
      <c r="G183" s="175"/>
      <c r="H183" s="175"/>
      <c r="I183" s="1"/>
      <c r="J183" s="1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1"/>
      <c r="W183" s="38"/>
      <c r="X183" s="38"/>
      <c r="Y183" s="40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"/>
      <c r="AJ183" s="1"/>
      <c r="AK183" s="1"/>
      <c r="AL183" s="1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7">
    <mergeCell ref="P4:R4"/>
    <mergeCell ref="S4:U4"/>
    <mergeCell ref="H4:J4"/>
    <mergeCell ref="H5:J5"/>
    <mergeCell ref="D181:I181"/>
    <mergeCell ref="K181:O181"/>
    <mergeCell ref="D182:I182"/>
    <mergeCell ref="K182:O182"/>
    <mergeCell ref="L5:N5"/>
    <mergeCell ref="P5:R5"/>
    <mergeCell ref="W4:Y4"/>
    <mergeCell ref="W5:Y5"/>
    <mergeCell ref="Z181:AH181"/>
    <mergeCell ref="Z182:AD182"/>
    <mergeCell ref="V183:Y183"/>
    <mergeCell ref="H6:J6"/>
    <mergeCell ref="L6:N6"/>
    <mergeCell ref="P6:R6"/>
    <mergeCell ref="S6:U6"/>
    <mergeCell ref="Q181:U181"/>
    <mergeCell ref="Q182:U182"/>
    <mergeCell ref="L7:N7"/>
    <mergeCell ref="P7:R7"/>
    <mergeCell ref="A1:A3"/>
    <mergeCell ref="B1:B3"/>
    <mergeCell ref="C1:Y3"/>
    <mergeCell ref="C4:D9"/>
    <mergeCell ref="L4:N4"/>
    <mergeCell ref="S5:U5"/>
    <mergeCell ref="S7:U7"/>
    <mergeCell ref="E4:F9"/>
    <mergeCell ref="H7:J7"/>
    <mergeCell ref="H8:J8"/>
    <mergeCell ref="H9:J9"/>
    <mergeCell ref="E10:F13"/>
    <mergeCell ref="H10:J10"/>
    <mergeCell ref="H13:J13"/>
    <mergeCell ref="W6:Y6"/>
    <mergeCell ref="W7:Y7"/>
    <mergeCell ref="L8:N8"/>
    <mergeCell ref="P8:R8"/>
    <mergeCell ref="S8:U8"/>
    <mergeCell ref="W8:Y8"/>
    <mergeCell ref="L9:N9"/>
    <mergeCell ref="P9:R9"/>
    <mergeCell ref="L10:N10"/>
    <mergeCell ref="P10:R10"/>
    <mergeCell ref="S10:U10"/>
    <mergeCell ref="L11:N11"/>
    <mergeCell ref="P11:R11"/>
    <mergeCell ref="S11:U11"/>
    <mergeCell ref="S9:U9"/>
    <mergeCell ref="W9:Y9"/>
    <mergeCell ref="W10:Y10"/>
    <mergeCell ref="W11:Y11"/>
    <mergeCell ref="W12:Y12"/>
    <mergeCell ref="W13:Y13"/>
    <mergeCell ref="C10:D13"/>
    <mergeCell ref="A15:A17"/>
    <mergeCell ref="B15:B17"/>
    <mergeCell ref="C17:D17"/>
    <mergeCell ref="E17:F17"/>
    <mergeCell ref="G17:H17"/>
    <mergeCell ref="I17:J17"/>
    <mergeCell ref="L13:N13"/>
    <mergeCell ref="K16:P16"/>
    <mergeCell ref="Q16:R16"/>
    <mergeCell ref="K17:L17"/>
    <mergeCell ref="M17:N17"/>
    <mergeCell ref="O17:P17"/>
    <mergeCell ref="H11:J11"/>
    <mergeCell ref="H12:J12"/>
    <mergeCell ref="L12:N12"/>
    <mergeCell ref="P12:R12"/>
    <mergeCell ref="S12:U12"/>
    <mergeCell ref="P13:R13"/>
    <mergeCell ref="S13:U13"/>
  </mergeCells>
  <conditionalFormatting sqref="C20:P167">
    <cfRule type="containsText" dxfId="0" priority="1" operator="containsText" text="R37">
      <formula>NOT(ISERROR(SEARCH(("R37"),(C20))))</formula>
    </cfRule>
  </conditionalFormatting>
  <conditionalFormatting sqref="C20:P167">
    <cfRule type="containsText" dxfId="1" priority="2" operator="containsText" text="R36">
      <formula>NOT(ISERROR(SEARCH(("R36"),(C20))))</formula>
    </cfRule>
  </conditionalFormatting>
  <conditionalFormatting sqref="C20:P167">
    <cfRule type="containsText" dxfId="2" priority="3" operator="containsText" text="R26">
      <formula>NOT(ISERROR(SEARCH(("R26"),(C20))))</formula>
    </cfRule>
  </conditionalFormatting>
  <conditionalFormatting sqref="C20:P167">
    <cfRule type="containsText" dxfId="3" priority="4" operator="containsText" text="R25">
      <formula>NOT(ISERROR(SEARCH(("R25"),(C20))))</formula>
    </cfRule>
  </conditionalFormatting>
  <conditionalFormatting sqref="C20:P167">
    <cfRule type="containsText" dxfId="4" priority="5" operator="containsText" text="R23">
      <formula>NOT(ISERROR(SEARCH(("R23"),(C20))))</formula>
    </cfRule>
  </conditionalFormatting>
  <conditionalFormatting sqref="C20:P167">
    <cfRule type="containsText" dxfId="5" priority="6" operator="containsText" text="R20">
      <formula>NOT(ISERROR(SEARCH(("R20"),(C20))))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8.25"/>
    <col customWidth="1" min="3" max="36" width="10.63"/>
    <col customWidth="1" min="37" max="37" width="14.25"/>
    <col customWidth="1" min="38" max="38" width="14.88"/>
    <col customWidth="1" min="39" max="58" width="10.63"/>
  </cols>
  <sheetData>
    <row r="1" ht="36.0" customHeight="1">
      <c r="A1" s="260"/>
      <c r="B1" s="261" t="s">
        <v>0</v>
      </c>
      <c r="C1" s="26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263"/>
      <c r="AM1" s="264"/>
      <c r="AN1" s="264"/>
      <c r="AO1" s="7"/>
      <c r="AP1" s="7"/>
    </row>
    <row r="2" ht="36.0" customHeight="1">
      <c r="A2" s="9"/>
      <c r="B2" s="9"/>
      <c r="C2" s="10"/>
      <c r="AK2" s="11"/>
      <c r="AL2" s="263"/>
      <c r="AM2" s="264"/>
      <c r="AN2" s="264"/>
      <c r="AO2" s="7"/>
      <c r="AP2" s="7"/>
    </row>
    <row r="3" ht="60.75" customHeight="1">
      <c r="A3" s="12"/>
      <c r="B3" s="12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9"/>
      <c r="AL3" s="263"/>
      <c r="AM3" s="264"/>
      <c r="AN3" s="264"/>
      <c r="AO3" s="7"/>
      <c r="AP3" s="7"/>
    </row>
    <row r="4" ht="33.75" customHeight="1">
      <c r="A4" s="265" t="s">
        <v>2</v>
      </c>
      <c r="B4" s="266" t="s">
        <v>3</v>
      </c>
      <c r="C4" s="267" t="s">
        <v>4</v>
      </c>
      <c r="D4" s="19"/>
      <c r="E4" s="19"/>
      <c r="F4" s="20"/>
      <c r="G4" s="268">
        <v>46037.0</v>
      </c>
      <c r="H4" s="5"/>
      <c r="I4" s="179"/>
      <c r="J4" s="269" t="s">
        <v>6</v>
      </c>
      <c r="K4" s="270">
        <v>45807.0</v>
      </c>
      <c r="L4" s="24"/>
      <c r="M4" s="26"/>
      <c r="N4" s="271" t="s">
        <v>55</v>
      </c>
      <c r="O4" s="272">
        <v>45870.0</v>
      </c>
      <c r="P4" s="24"/>
      <c r="Q4" s="25"/>
      <c r="R4" s="273" t="s">
        <v>56</v>
      </c>
      <c r="S4" s="274">
        <v>45954.0</v>
      </c>
      <c r="T4" s="24"/>
      <c r="U4" s="25"/>
      <c r="V4" s="275" t="s">
        <v>48</v>
      </c>
      <c r="W4" s="276">
        <v>46015.0</v>
      </c>
      <c r="X4" s="38"/>
      <c r="Y4" s="40"/>
      <c r="Z4" s="277"/>
      <c r="AA4" s="28"/>
      <c r="AB4" s="24"/>
      <c r="AC4" s="25"/>
      <c r="AD4" s="278"/>
      <c r="AE4" s="28"/>
      <c r="AF4" s="24"/>
      <c r="AG4" s="25"/>
      <c r="AH4" s="279"/>
      <c r="AI4" s="28"/>
      <c r="AJ4" s="24"/>
      <c r="AK4" s="25"/>
      <c r="AL4" s="280"/>
      <c r="AM4" s="42"/>
      <c r="AN4" s="40"/>
      <c r="AO4" s="31"/>
      <c r="AP4" s="31"/>
      <c r="AQ4" s="281"/>
      <c r="AR4" s="281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284" t="s">
        <v>407</v>
      </c>
      <c r="K5" s="285">
        <v>45814.0</v>
      </c>
      <c r="L5" s="38"/>
      <c r="M5" s="40"/>
      <c r="N5" s="286" t="s">
        <v>66</v>
      </c>
      <c r="O5" s="287">
        <v>45883.0</v>
      </c>
      <c r="P5" s="38"/>
      <c r="Q5" s="39"/>
      <c r="R5" s="288" t="s">
        <v>67</v>
      </c>
      <c r="S5" s="289">
        <v>45960.0</v>
      </c>
      <c r="T5" s="24"/>
      <c r="U5" s="25"/>
      <c r="V5" s="290" t="s">
        <v>57</v>
      </c>
      <c r="W5" s="291">
        <v>46022.0</v>
      </c>
      <c r="X5" s="38"/>
      <c r="Y5" s="40"/>
      <c r="Z5" s="292"/>
      <c r="AA5" s="42"/>
      <c r="AB5" s="38"/>
      <c r="AC5" s="39"/>
      <c r="AD5" s="293"/>
      <c r="AE5" s="42"/>
      <c r="AF5" s="38"/>
      <c r="AG5" s="39"/>
      <c r="AH5" s="45"/>
      <c r="AI5" s="42"/>
      <c r="AJ5" s="38"/>
      <c r="AK5" s="39"/>
      <c r="AL5" s="280"/>
      <c r="AM5" s="42"/>
      <c r="AN5" s="40"/>
      <c r="AO5" s="45"/>
      <c r="AP5" s="45"/>
      <c r="AQ5" s="281"/>
      <c r="AR5" s="281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294" t="s">
        <v>408</v>
      </c>
      <c r="K6" s="295">
        <v>45821.0</v>
      </c>
      <c r="L6" s="38"/>
      <c r="M6" s="40"/>
      <c r="N6" s="296" t="s">
        <v>75</v>
      </c>
      <c r="O6" s="297">
        <v>45891.0</v>
      </c>
      <c r="P6" s="38"/>
      <c r="Q6" s="39"/>
      <c r="R6" s="298" t="s">
        <v>76</v>
      </c>
      <c r="S6" s="299">
        <v>45968.0</v>
      </c>
      <c r="T6" s="38"/>
      <c r="U6" s="39"/>
      <c r="V6" s="300" t="s">
        <v>68</v>
      </c>
      <c r="W6" s="301">
        <v>46031.0</v>
      </c>
      <c r="X6" s="38"/>
      <c r="Y6" s="40"/>
      <c r="Z6" s="292"/>
      <c r="AA6" s="42"/>
      <c r="AB6" s="38"/>
      <c r="AC6" s="39"/>
      <c r="AD6" s="293"/>
      <c r="AE6" s="42"/>
      <c r="AF6" s="38"/>
      <c r="AG6" s="39"/>
      <c r="AH6" s="45"/>
      <c r="AI6" s="42"/>
      <c r="AJ6" s="38"/>
      <c r="AK6" s="39"/>
      <c r="AL6" s="280"/>
      <c r="AM6" s="42"/>
      <c r="AN6" s="40"/>
      <c r="AO6" s="45"/>
      <c r="AP6" s="45"/>
      <c r="AQ6" s="281"/>
      <c r="AR6" s="281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302" t="s">
        <v>409</v>
      </c>
      <c r="K7" s="303">
        <v>45827.0</v>
      </c>
      <c r="L7" s="38"/>
      <c r="M7" s="40"/>
      <c r="N7" s="304" t="s">
        <v>91</v>
      </c>
      <c r="O7" s="305">
        <v>45905.0</v>
      </c>
      <c r="P7" s="38"/>
      <c r="Q7" s="39"/>
      <c r="R7" s="306" t="s">
        <v>84</v>
      </c>
      <c r="S7" s="307">
        <v>45975.0</v>
      </c>
      <c r="T7" s="38"/>
      <c r="U7" s="39"/>
      <c r="V7" s="308" t="s">
        <v>77</v>
      </c>
      <c r="W7" s="309">
        <v>46038.0</v>
      </c>
      <c r="X7" s="38"/>
      <c r="Y7" s="39"/>
      <c r="Z7" s="293"/>
      <c r="AA7" s="42"/>
      <c r="AB7" s="38"/>
      <c r="AC7" s="39"/>
      <c r="AD7" s="293"/>
      <c r="AE7" s="42"/>
      <c r="AF7" s="38"/>
      <c r="AG7" s="39"/>
      <c r="AH7" s="45"/>
      <c r="AI7" s="42"/>
      <c r="AJ7" s="38"/>
      <c r="AK7" s="39"/>
      <c r="AL7" s="280"/>
      <c r="AM7" s="42"/>
      <c r="AN7" s="40"/>
      <c r="AO7" s="45"/>
      <c r="AP7" s="45"/>
    </row>
    <row r="8" ht="33.75" customHeight="1">
      <c r="A8" s="282" t="s">
        <v>44</v>
      </c>
      <c r="B8" s="283" t="s">
        <v>54</v>
      </c>
      <c r="C8" s="47"/>
      <c r="D8" s="48"/>
      <c r="E8" s="48"/>
      <c r="F8" s="49"/>
      <c r="G8" s="47"/>
      <c r="H8" s="48"/>
      <c r="I8" s="203"/>
      <c r="J8" s="310" t="s">
        <v>16</v>
      </c>
      <c r="K8" s="311">
        <v>45835.0</v>
      </c>
      <c r="L8" s="38"/>
      <c r="M8" s="40"/>
      <c r="N8" s="312" t="s">
        <v>410</v>
      </c>
      <c r="O8" s="313">
        <v>45912.0</v>
      </c>
      <c r="P8" s="38"/>
      <c r="Q8" s="39"/>
      <c r="R8" s="314" t="s">
        <v>92</v>
      </c>
      <c r="S8" s="315">
        <v>45982.0</v>
      </c>
      <c r="T8" s="38"/>
      <c r="U8" s="39"/>
      <c r="V8" s="199" t="s">
        <v>85</v>
      </c>
      <c r="W8" s="200">
        <v>46045.0</v>
      </c>
      <c r="X8" s="38"/>
      <c r="Y8" s="39"/>
      <c r="Z8" s="293"/>
      <c r="AA8" s="42"/>
      <c r="AB8" s="38"/>
      <c r="AC8" s="39"/>
      <c r="AD8" s="293"/>
      <c r="AE8" s="42"/>
      <c r="AF8" s="38"/>
      <c r="AG8" s="39"/>
      <c r="AH8" s="45"/>
      <c r="AI8" s="42"/>
      <c r="AJ8" s="38"/>
      <c r="AK8" s="39"/>
      <c r="AL8" s="280"/>
      <c r="AM8" s="42"/>
      <c r="AN8" s="40"/>
      <c r="AO8" s="45"/>
      <c r="AP8" s="45"/>
      <c r="AQ8" s="281"/>
      <c r="AR8" s="281"/>
    </row>
    <row r="9" ht="33.75" customHeight="1">
      <c r="A9" s="282" t="s">
        <v>62</v>
      </c>
      <c r="B9" s="283" t="s">
        <v>63</v>
      </c>
      <c r="C9" s="316" t="s">
        <v>64</v>
      </c>
      <c r="D9" s="5"/>
      <c r="E9" s="5"/>
      <c r="F9" s="6"/>
      <c r="G9" s="316" t="s">
        <v>65</v>
      </c>
      <c r="H9" s="5"/>
      <c r="I9" s="6"/>
      <c r="J9" s="317" t="s">
        <v>411</v>
      </c>
      <c r="K9" s="318">
        <v>45842.0</v>
      </c>
      <c r="L9" s="38"/>
      <c r="M9" s="40"/>
      <c r="N9" s="319" t="s">
        <v>7</v>
      </c>
      <c r="O9" s="320">
        <v>45916.0</v>
      </c>
      <c r="P9" s="38"/>
      <c r="Q9" s="39"/>
      <c r="R9" s="321" t="s">
        <v>8</v>
      </c>
      <c r="S9" s="322">
        <v>45989.0</v>
      </c>
      <c r="T9" s="38"/>
      <c r="U9" s="39"/>
      <c r="V9" s="323" t="s">
        <v>93</v>
      </c>
      <c r="W9" s="324">
        <v>46052.0</v>
      </c>
      <c r="X9" s="38"/>
      <c r="Y9" s="39"/>
      <c r="Z9" s="293"/>
      <c r="AA9" s="42"/>
      <c r="AB9" s="38"/>
      <c r="AC9" s="39"/>
      <c r="AD9" s="293"/>
      <c r="AE9" s="42"/>
      <c r="AF9" s="38"/>
      <c r="AG9" s="39"/>
      <c r="AH9" s="45"/>
      <c r="AI9" s="42"/>
      <c r="AJ9" s="38"/>
      <c r="AK9" s="39"/>
      <c r="AL9" s="280"/>
      <c r="AM9" s="42"/>
      <c r="AN9" s="40"/>
      <c r="AO9" s="45"/>
      <c r="AP9" s="45"/>
      <c r="AQ9" s="281"/>
      <c r="AR9" s="281"/>
    </row>
    <row r="10" ht="33.75" customHeight="1">
      <c r="A10" s="282" t="s">
        <v>73</v>
      </c>
      <c r="B10" s="283" t="s">
        <v>74</v>
      </c>
      <c r="C10" s="10"/>
      <c r="F10" s="11"/>
      <c r="G10" s="10"/>
      <c r="I10" s="11"/>
      <c r="J10" s="325" t="s">
        <v>26</v>
      </c>
      <c r="K10" s="326">
        <v>45849.0</v>
      </c>
      <c r="L10" s="38"/>
      <c r="M10" s="40"/>
      <c r="N10" s="327" t="s">
        <v>27</v>
      </c>
      <c r="O10" s="328">
        <v>45933.0</v>
      </c>
      <c r="P10" s="38"/>
      <c r="Q10" s="39"/>
      <c r="R10" s="329" t="s">
        <v>18</v>
      </c>
      <c r="S10" s="330">
        <v>45996.0</v>
      </c>
      <c r="T10" s="38"/>
      <c r="U10" s="39"/>
      <c r="V10" s="331"/>
      <c r="W10" s="37"/>
      <c r="X10" s="38"/>
      <c r="Y10" s="40"/>
      <c r="Z10" s="293"/>
      <c r="AA10" s="42"/>
      <c r="AB10" s="38"/>
      <c r="AC10" s="39"/>
      <c r="AD10" s="293"/>
      <c r="AE10" s="42"/>
      <c r="AF10" s="38"/>
      <c r="AG10" s="39"/>
      <c r="AH10" s="45"/>
      <c r="AI10" s="42"/>
      <c r="AJ10" s="38"/>
      <c r="AK10" s="39"/>
      <c r="AL10" s="280"/>
      <c r="AM10" s="42"/>
      <c r="AN10" s="40"/>
      <c r="AO10" s="45"/>
      <c r="AP10" s="45"/>
      <c r="AQ10" s="281"/>
      <c r="AR10" s="281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332" t="s">
        <v>36</v>
      </c>
      <c r="K11" s="333">
        <v>45855.0</v>
      </c>
      <c r="L11" s="38"/>
      <c r="M11" s="40"/>
      <c r="N11" s="334" t="s">
        <v>37</v>
      </c>
      <c r="O11" s="335">
        <v>45940.0</v>
      </c>
      <c r="P11" s="38"/>
      <c r="Q11" s="39"/>
      <c r="R11" s="336" t="s">
        <v>28</v>
      </c>
      <c r="S11" s="337">
        <v>46003.0</v>
      </c>
      <c r="T11" s="56"/>
      <c r="U11" s="57"/>
      <c r="V11" s="331"/>
      <c r="W11" s="42"/>
      <c r="X11" s="38"/>
      <c r="Y11" s="40"/>
      <c r="Z11" s="293"/>
      <c r="AA11" s="42"/>
      <c r="AB11" s="38"/>
      <c r="AC11" s="39"/>
      <c r="AD11" s="293"/>
      <c r="AE11" s="42"/>
      <c r="AF11" s="38"/>
      <c r="AG11" s="39"/>
      <c r="AH11" s="45"/>
      <c r="AI11" s="42"/>
      <c r="AJ11" s="38"/>
      <c r="AK11" s="39"/>
      <c r="AL11" s="280"/>
      <c r="AM11" s="42"/>
      <c r="AN11" s="40"/>
      <c r="AO11" s="45"/>
      <c r="AP11" s="45"/>
      <c r="AQ11" s="281"/>
      <c r="AR11" s="281"/>
    </row>
    <row r="12" ht="33.75" customHeight="1">
      <c r="A12" s="338" t="s">
        <v>90</v>
      </c>
      <c r="B12" s="339">
        <v>182948.0</v>
      </c>
      <c r="C12" s="47"/>
      <c r="D12" s="48"/>
      <c r="E12" s="48"/>
      <c r="F12" s="49"/>
      <c r="G12" s="47"/>
      <c r="H12" s="48"/>
      <c r="I12" s="49"/>
      <c r="J12" s="340" t="s">
        <v>46</v>
      </c>
      <c r="K12" s="341">
        <v>45863.0</v>
      </c>
      <c r="L12" s="56"/>
      <c r="M12" s="58"/>
      <c r="N12" s="342" t="s">
        <v>47</v>
      </c>
      <c r="O12" s="343">
        <v>45947.0</v>
      </c>
      <c r="P12" s="56"/>
      <c r="Q12" s="57"/>
      <c r="R12" s="344" t="s">
        <v>38</v>
      </c>
      <c r="S12" s="345">
        <v>46010.0</v>
      </c>
      <c r="T12" s="64"/>
      <c r="U12" s="65"/>
      <c r="V12" s="346"/>
      <c r="W12" s="55"/>
      <c r="X12" s="56"/>
      <c r="Y12" s="58"/>
      <c r="Z12" s="347"/>
      <c r="AA12" s="55"/>
      <c r="AB12" s="56"/>
      <c r="AC12" s="57"/>
      <c r="AD12" s="347"/>
      <c r="AE12" s="55"/>
      <c r="AF12" s="56"/>
      <c r="AG12" s="57"/>
      <c r="AH12" s="348"/>
      <c r="AI12" s="55"/>
      <c r="AJ12" s="56"/>
      <c r="AK12" s="57"/>
      <c r="AL12" s="280"/>
      <c r="AM12" s="42"/>
      <c r="AN12" s="40"/>
      <c r="AO12" s="45"/>
      <c r="AP12" s="45"/>
      <c r="AQ12" s="281"/>
      <c r="AR12" s="281"/>
    </row>
    <row r="13" ht="33.75" customHeight="1">
      <c r="A13" s="3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5"/>
      <c r="AL13" s="350"/>
    </row>
    <row r="14" ht="33.75" customHeight="1">
      <c r="A14" s="351" t="s">
        <v>98</v>
      </c>
      <c r="B14" s="352" t="s">
        <v>99</v>
      </c>
      <c r="C14" s="353" t="s">
        <v>100</v>
      </c>
      <c r="D14" s="354"/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5"/>
      <c r="AE14" s="355"/>
      <c r="AF14" s="355"/>
      <c r="AG14" s="355"/>
      <c r="AH14" s="355"/>
      <c r="AI14" s="356"/>
      <c r="AJ14" s="357"/>
      <c r="AK14" s="358"/>
      <c r="AL14" s="359"/>
    </row>
    <row r="15" ht="33.75" customHeight="1">
      <c r="A15" s="74"/>
      <c r="B15" s="9"/>
      <c r="C15" s="360" t="s">
        <v>101</v>
      </c>
      <c r="D15" s="361"/>
      <c r="E15" s="362"/>
      <c r="F15" s="362"/>
      <c r="G15" s="363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364"/>
      <c r="AD15" s="365" t="s">
        <v>102</v>
      </c>
      <c r="AE15" s="64"/>
      <c r="AF15" s="64"/>
      <c r="AG15" s="64"/>
      <c r="AH15" s="64"/>
      <c r="AI15" s="65"/>
      <c r="AJ15" s="366" t="s">
        <v>412</v>
      </c>
      <c r="AK15" s="65"/>
      <c r="AL15" s="367"/>
    </row>
    <row r="16" ht="33.75" customHeight="1">
      <c r="A16" s="83"/>
      <c r="B16" s="84"/>
      <c r="C16" s="368">
        <v>1.0</v>
      </c>
      <c r="D16" s="86"/>
      <c r="E16" s="369">
        <v>2.0</v>
      </c>
      <c r="F16" s="86"/>
      <c r="G16" s="369">
        <v>3.0</v>
      </c>
      <c r="H16" s="86"/>
      <c r="I16" s="369">
        <v>4.0</v>
      </c>
      <c r="J16" s="86"/>
      <c r="K16" s="369">
        <v>5.0</v>
      </c>
      <c r="L16" s="86"/>
      <c r="M16" s="369">
        <v>6.0</v>
      </c>
      <c r="N16" s="86"/>
      <c r="O16" s="369">
        <v>7.0</v>
      </c>
      <c r="P16" s="86"/>
      <c r="Q16" s="369">
        <v>8.0</v>
      </c>
      <c r="R16" s="86"/>
      <c r="S16" s="369">
        <v>9.0</v>
      </c>
      <c r="T16" s="86"/>
      <c r="U16" s="369">
        <v>10.0</v>
      </c>
      <c r="V16" s="86"/>
      <c r="W16" s="369">
        <v>11.0</v>
      </c>
      <c r="X16" s="86"/>
      <c r="Y16" s="369">
        <v>12.0</v>
      </c>
      <c r="Z16" s="86"/>
      <c r="AA16" s="369">
        <v>13.0</v>
      </c>
      <c r="AB16" s="86"/>
      <c r="AC16" s="369">
        <v>14.0</v>
      </c>
      <c r="AD16" s="86"/>
      <c r="AE16" s="369">
        <v>15.0</v>
      </c>
      <c r="AF16" s="86"/>
      <c r="AG16" s="369">
        <v>16.0</v>
      </c>
      <c r="AH16" s="86"/>
      <c r="AI16" s="369">
        <v>17.0</v>
      </c>
      <c r="AJ16" s="86"/>
      <c r="AK16" s="370" t="s">
        <v>104</v>
      </c>
      <c r="AL16" s="371" t="s">
        <v>105</v>
      </c>
    </row>
    <row r="17" ht="39.75" customHeight="1">
      <c r="A17" s="372" t="s">
        <v>106</v>
      </c>
      <c r="B17" s="373" t="s">
        <v>107</v>
      </c>
      <c r="C17" s="374" t="s">
        <v>108</v>
      </c>
      <c r="D17" s="375" t="s">
        <v>109</v>
      </c>
      <c r="E17" s="376" t="s">
        <v>108</v>
      </c>
      <c r="F17" s="375" t="s">
        <v>109</v>
      </c>
      <c r="G17" s="376" t="s">
        <v>108</v>
      </c>
      <c r="H17" s="375" t="s">
        <v>109</v>
      </c>
      <c r="I17" s="376" t="s">
        <v>108</v>
      </c>
      <c r="J17" s="375" t="s">
        <v>109</v>
      </c>
      <c r="K17" s="376" t="s">
        <v>108</v>
      </c>
      <c r="L17" s="375" t="s">
        <v>109</v>
      </c>
      <c r="M17" s="376" t="s">
        <v>108</v>
      </c>
      <c r="N17" s="375" t="s">
        <v>109</v>
      </c>
      <c r="O17" s="376" t="s">
        <v>108</v>
      </c>
      <c r="P17" s="375" t="s">
        <v>109</v>
      </c>
      <c r="Q17" s="376" t="s">
        <v>108</v>
      </c>
      <c r="R17" s="375" t="s">
        <v>109</v>
      </c>
      <c r="S17" s="376" t="s">
        <v>108</v>
      </c>
      <c r="T17" s="375" t="s">
        <v>109</v>
      </c>
      <c r="U17" s="376" t="s">
        <v>108</v>
      </c>
      <c r="V17" s="375" t="s">
        <v>109</v>
      </c>
      <c r="W17" s="376" t="s">
        <v>108</v>
      </c>
      <c r="X17" s="375" t="s">
        <v>109</v>
      </c>
      <c r="Y17" s="376" t="s">
        <v>108</v>
      </c>
      <c r="Z17" s="375" t="s">
        <v>109</v>
      </c>
      <c r="AA17" s="376" t="s">
        <v>108</v>
      </c>
      <c r="AB17" s="375" t="s">
        <v>109</v>
      </c>
      <c r="AC17" s="376" t="s">
        <v>108</v>
      </c>
      <c r="AD17" s="375" t="s">
        <v>109</v>
      </c>
      <c r="AE17" s="376" t="s">
        <v>108</v>
      </c>
      <c r="AF17" s="375" t="s">
        <v>109</v>
      </c>
      <c r="AG17" s="376" t="s">
        <v>108</v>
      </c>
      <c r="AH17" s="375" t="s">
        <v>109</v>
      </c>
      <c r="AI17" s="376" t="s">
        <v>108</v>
      </c>
      <c r="AJ17" s="375" t="s">
        <v>109</v>
      </c>
      <c r="AK17" s="375"/>
      <c r="AL17" s="377"/>
    </row>
    <row r="18" ht="39.75" customHeight="1">
      <c r="A18" s="378" t="s">
        <v>110</v>
      </c>
      <c r="B18" s="379" t="s">
        <v>111</v>
      </c>
      <c r="C18" s="380"/>
      <c r="D18" s="381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383"/>
      <c r="AJ18" s="383"/>
      <c r="AK18" s="382"/>
      <c r="AL18" s="384"/>
    </row>
    <row r="19" ht="39.75" customHeight="1">
      <c r="A19" s="385" t="s">
        <v>112</v>
      </c>
      <c r="B19" s="386" t="s">
        <v>113</v>
      </c>
      <c r="C19" s="387" t="s">
        <v>6</v>
      </c>
      <c r="D19" s="388"/>
      <c r="E19" s="387" t="s">
        <v>6</v>
      </c>
      <c r="F19" s="389"/>
      <c r="G19" s="387" t="s">
        <v>6</v>
      </c>
      <c r="H19" s="389"/>
      <c r="I19" s="387" t="s">
        <v>407</v>
      </c>
      <c r="J19" s="389"/>
      <c r="K19" s="387" t="s">
        <v>407</v>
      </c>
      <c r="L19" s="389"/>
      <c r="M19" s="387" t="s">
        <v>407</v>
      </c>
      <c r="N19" s="389"/>
      <c r="O19" s="387" t="s">
        <v>407</v>
      </c>
      <c r="P19" s="389"/>
      <c r="Q19" s="390" t="s">
        <v>16</v>
      </c>
      <c r="R19" s="389"/>
      <c r="S19" s="390" t="s">
        <v>16</v>
      </c>
      <c r="T19" s="389"/>
      <c r="U19" s="390" t="s">
        <v>16</v>
      </c>
      <c r="V19" s="389"/>
      <c r="W19" s="390" t="s">
        <v>16</v>
      </c>
      <c r="X19" s="389"/>
      <c r="Y19" s="390" t="s">
        <v>16</v>
      </c>
      <c r="Z19" s="389"/>
      <c r="AA19" s="390" t="s">
        <v>16</v>
      </c>
      <c r="AB19" s="389"/>
      <c r="AC19" s="390" t="s">
        <v>16</v>
      </c>
      <c r="AD19" s="389"/>
      <c r="AE19" s="390" t="s">
        <v>16</v>
      </c>
      <c r="AF19" s="389"/>
      <c r="AG19" s="390" t="s">
        <v>16</v>
      </c>
      <c r="AH19" s="389"/>
      <c r="AI19" s="390" t="s">
        <v>16</v>
      </c>
      <c r="AJ19" s="389"/>
      <c r="AK19" s="391">
        <f t="shared" ref="AK19:AK25" si="1">COUNTIF(C19:AJ19,"&gt;=R")</f>
        <v>17</v>
      </c>
      <c r="AL19" s="392">
        <f t="shared" ref="AL19:AL25" si="2">AK19</f>
        <v>17</v>
      </c>
    </row>
    <row r="20" ht="39.75" customHeight="1">
      <c r="A20" s="385" t="s">
        <v>114</v>
      </c>
      <c r="B20" s="386" t="s">
        <v>115</v>
      </c>
      <c r="C20" s="387" t="s">
        <v>6</v>
      </c>
      <c r="D20" s="388"/>
      <c r="E20" s="387" t="s">
        <v>6</v>
      </c>
      <c r="F20" s="389"/>
      <c r="G20" s="387" t="s">
        <v>6</v>
      </c>
      <c r="H20" s="389"/>
      <c r="I20" s="387" t="s">
        <v>407</v>
      </c>
      <c r="J20" s="389"/>
      <c r="K20" s="387" t="s">
        <v>407</v>
      </c>
      <c r="L20" s="389"/>
      <c r="M20" s="387" t="s">
        <v>407</v>
      </c>
      <c r="N20" s="389"/>
      <c r="O20" s="387" t="s">
        <v>407</v>
      </c>
      <c r="P20" s="389"/>
      <c r="Q20" s="390" t="s">
        <v>16</v>
      </c>
      <c r="R20" s="389"/>
      <c r="S20" s="387" t="s">
        <v>411</v>
      </c>
      <c r="T20" s="389"/>
      <c r="U20" s="393" t="s">
        <v>84</v>
      </c>
      <c r="V20" s="389"/>
      <c r="W20" s="387" t="s">
        <v>411</v>
      </c>
      <c r="X20" s="389"/>
      <c r="Y20" s="387" t="s">
        <v>411</v>
      </c>
      <c r="Z20" s="389"/>
      <c r="AA20" s="387" t="s">
        <v>411</v>
      </c>
      <c r="AB20" s="389"/>
      <c r="AC20" s="387" t="s">
        <v>411</v>
      </c>
      <c r="AD20" s="389"/>
      <c r="AE20" s="387" t="s">
        <v>411</v>
      </c>
      <c r="AF20" s="389"/>
      <c r="AG20" s="387" t="s">
        <v>411</v>
      </c>
      <c r="AH20" s="389"/>
      <c r="AI20" s="387" t="s">
        <v>26</v>
      </c>
      <c r="AJ20" s="389"/>
      <c r="AK20" s="391">
        <f t="shared" si="1"/>
        <v>17</v>
      </c>
      <c r="AL20" s="392">
        <f t="shared" si="2"/>
        <v>17</v>
      </c>
    </row>
    <row r="21" ht="39.75" customHeight="1">
      <c r="A21" s="385" t="s">
        <v>116</v>
      </c>
      <c r="B21" s="386" t="s">
        <v>117</v>
      </c>
      <c r="C21" s="387" t="s">
        <v>6</v>
      </c>
      <c r="D21" s="388"/>
      <c r="E21" s="387" t="s">
        <v>6</v>
      </c>
      <c r="F21" s="389"/>
      <c r="G21" s="387" t="s">
        <v>6</v>
      </c>
      <c r="H21" s="389"/>
      <c r="I21" s="387" t="s">
        <v>408</v>
      </c>
      <c r="J21" s="389"/>
      <c r="K21" s="387" t="s">
        <v>408</v>
      </c>
      <c r="L21" s="389"/>
      <c r="M21" s="387" t="s">
        <v>408</v>
      </c>
      <c r="N21" s="389"/>
      <c r="O21" s="387" t="s">
        <v>408</v>
      </c>
      <c r="P21" s="389"/>
      <c r="Q21" s="390" t="s">
        <v>16</v>
      </c>
      <c r="R21" s="389"/>
      <c r="S21" s="387" t="s">
        <v>411</v>
      </c>
      <c r="T21" s="389"/>
      <c r="U21" s="387" t="s">
        <v>26</v>
      </c>
      <c r="V21" s="389"/>
      <c r="W21" s="387" t="s">
        <v>26</v>
      </c>
      <c r="X21" s="389"/>
      <c r="Y21" s="387" t="s">
        <v>411</v>
      </c>
      <c r="Z21" s="389"/>
      <c r="AA21" s="387" t="s">
        <v>411</v>
      </c>
      <c r="AB21" s="389"/>
      <c r="AC21" s="387" t="s">
        <v>411</v>
      </c>
      <c r="AD21" s="389"/>
      <c r="AE21" s="387" t="s">
        <v>411</v>
      </c>
      <c r="AF21" s="389"/>
      <c r="AG21" s="387" t="s">
        <v>411</v>
      </c>
      <c r="AH21" s="389"/>
      <c r="AI21" s="387" t="s">
        <v>26</v>
      </c>
      <c r="AJ21" s="389"/>
      <c r="AK21" s="391">
        <f t="shared" si="1"/>
        <v>17</v>
      </c>
      <c r="AL21" s="392">
        <f t="shared" si="2"/>
        <v>17</v>
      </c>
    </row>
    <row r="22" ht="39.75" customHeight="1">
      <c r="A22" s="385" t="s">
        <v>118</v>
      </c>
      <c r="B22" s="386" t="s">
        <v>119</v>
      </c>
      <c r="C22" s="387" t="s">
        <v>6</v>
      </c>
      <c r="D22" s="388"/>
      <c r="E22" s="387" t="s">
        <v>6</v>
      </c>
      <c r="F22" s="389"/>
      <c r="G22" s="387" t="s">
        <v>6</v>
      </c>
      <c r="H22" s="389"/>
      <c r="I22" s="387" t="s">
        <v>408</v>
      </c>
      <c r="J22" s="389"/>
      <c r="K22" s="387" t="s">
        <v>408</v>
      </c>
      <c r="L22" s="389"/>
      <c r="M22" s="387" t="s">
        <v>408</v>
      </c>
      <c r="N22" s="389"/>
      <c r="O22" s="387" t="s">
        <v>408</v>
      </c>
      <c r="P22" s="389"/>
      <c r="Q22" s="390" t="s">
        <v>16</v>
      </c>
      <c r="R22" s="389"/>
      <c r="S22" s="387" t="s">
        <v>411</v>
      </c>
      <c r="T22" s="389"/>
      <c r="U22" s="387" t="s">
        <v>26</v>
      </c>
      <c r="V22" s="389"/>
      <c r="W22" s="387" t="s">
        <v>26</v>
      </c>
      <c r="X22" s="389"/>
      <c r="Y22" s="387" t="s">
        <v>411</v>
      </c>
      <c r="Z22" s="389"/>
      <c r="AA22" s="387" t="s">
        <v>411</v>
      </c>
      <c r="AB22" s="389"/>
      <c r="AC22" s="387" t="s">
        <v>411</v>
      </c>
      <c r="AD22" s="389"/>
      <c r="AE22" s="387" t="s">
        <v>411</v>
      </c>
      <c r="AF22" s="389"/>
      <c r="AG22" s="387" t="s">
        <v>411</v>
      </c>
      <c r="AH22" s="389"/>
      <c r="AI22" s="387" t="s">
        <v>26</v>
      </c>
      <c r="AJ22" s="389"/>
      <c r="AK22" s="391">
        <f t="shared" si="1"/>
        <v>17</v>
      </c>
      <c r="AL22" s="392">
        <f t="shared" si="2"/>
        <v>17</v>
      </c>
    </row>
    <row r="23" ht="39.75" customHeight="1">
      <c r="A23" s="385" t="s">
        <v>120</v>
      </c>
      <c r="B23" s="386" t="s">
        <v>121</v>
      </c>
      <c r="C23" s="388" t="s">
        <v>407</v>
      </c>
      <c r="D23" s="388"/>
      <c r="E23" s="389" t="s">
        <v>407</v>
      </c>
      <c r="F23" s="389"/>
      <c r="G23" s="389" t="s">
        <v>407</v>
      </c>
      <c r="H23" s="389"/>
      <c r="I23" s="387" t="s">
        <v>408</v>
      </c>
      <c r="J23" s="389"/>
      <c r="K23" s="387" t="s">
        <v>408</v>
      </c>
      <c r="L23" s="389"/>
      <c r="M23" s="387" t="s">
        <v>408</v>
      </c>
      <c r="N23" s="389"/>
      <c r="O23" s="387" t="s">
        <v>408</v>
      </c>
      <c r="P23" s="389"/>
      <c r="Q23" s="389" t="s">
        <v>26</v>
      </c>
      <c r="R23" s="389"/>
      <c r="S23" s="389" t="s">
        <v>26</v>
      </c>
      <c r="T23" s="389"/>
      <c r="U23" s="389" t="s">
        <v>26</v>
      </c>
      <c r="V23" s="394"/>
      <c r="W23" s="389" t="s">
        <v>26</v>
      </c>
      <c r="X23" s="389"/>
      <c r="Y23" s="389" t="s">
        <v>36</v>
      </c>
      <c r="Z23" s="394"/>
      <c r="AA23" s="389" t="s">
        <v>36</v>
      </c>
      <c r="AB23" s="394"/>
      <c r="AC23" s="389" t="s">
        <v>36</v>
      </c>
      <c r="AD23" s="389"/>
      <c r="AE23" s="389" t="s">
        <v>36</v>
      </c>
      <c r="AF23" s="394"/>
      <c r="AG23" s="389" t="s">
        <v>36</v>
      </c>
      <c r="AH23" s="394"/>
      <c r="AI23" s="389" t="s">
        <v>36</v>
      </c>
      <c r="AJ23" s="394"/>
      <c r="AK23" s="391">
        <f t="shared" si="1"/>
        <v>17</v>
      </c>
      <c r="AL23" s="392">
        <f t="shared" si="2"/>
        <v>17</v>
      </c>
    </row>
    <row r="24" ht="39.75" customHeight="1">
      <c r="A24" s="385" t="s">
        <v>122</v>
      </c>
      <c r="B24" s="386" t="s">
        <v>123</v>
      </c>
      <c r="C24" s="388" t="s">
        <v>407</v>
      </c>
      <c r="D24" s="388"/>
      <c r="E24" s="389" t="s">
        <v>407</v>
      </c>
      <c r="F24" s="389"/>
      <c r="G24" s="389" t="s">
        <v>407</v>
      </c>
      <c r="H24" s="389"/>
      <c r="I24" s="387" t="s">
        <v>408</v>
      </c>
      <c r="J24" s="389"/>
      <c r="K24" s="387" t="s">
        <v>408</v>
      </c>
      <c r="L24" s="389"/>
      <c r="M24" s="387" t="s">
        <v>408</v>
      </c>
      <c r="N24" s="389"/>
      <c r="O24" s="387" t="s">
        <v>408</v>
      </c>
      <c r="P24" s="389"/>
      <c r="Q24" s="389" t="s">
        <v>26</v>
      </c>
      <c r="R24" s="389"/>
      <c r="S24" s="389" t="s">
        <v>26</v>
      </c>
      <c r="T24" s="389"/>
      <c r="U24" s="389" t="s">
        <v>26</v>
      </c>
      <c r="V24" s="394"/>
      <c r="W24" s="389" t="s">
        <v>26</v>
      </c>
      <c r="X24" s="389"/>
      <c r="Y24" s="389" t="s">
        <v>36</v>
      </c>
      <c r="Z24" s="394"/>
      <c r="AA24" s="389" t="s">
        <v>36</v>
      </c>
      <c r="AB24" s="389"/>
      <c r="AC24" s="389" t="s">
        <v>36</v>
      </c>
      <c r="AD24" s="389"/>
      <c r="AE24" s="389" t="s">
        <v>36</v>
      </c>
      <c r="AF24" s="394"/>
      <c r="AG24" s="389" t="s">
        <v>36</v>
      </c>
      <c r="AH24" s="394"/>
      <c r="AI24" s="389" t="s">
        <v>36</v>
      </c>
      <c r="AJ24" s="394"/>
      <c r="AK24" s="391">
        <f t="shared" si="1"/>
        <v>17</v>
      </c>
      <c r="AL24" s="392">
        <f t="shared" si="2"/>
        <v>17</v>
      </c>
    </row>
    <row r="25" ht="39.75" customHeight="1">
      <c r="A25" s="385" t="s">
        <v>124</v>
      </c>
      <c r="B25" s="386" t="s">
        <v>125</v>
      </c>
      <c r="C25" s="388" t="s">
        <v>407</v>
      </c>
      <c r="D25" s="388"/>
      <c r="E25" s="389" t="s">
        <v>407</v>
      </c>
      <c r="F25" s="389"/>
      <c r="G25" s="389" t="s">
        <v>407</v>
      </c>
      <c r="H25" s="389"/>
      <c r="I25" s="387" t="s">
        <v>408</v>
      </c>
      <c r="J25" s="389"/>
      <c r="K25" s="387" t="s">
        <v>408</v>
      </c>
      <c r="L25" s="389"/>
      <c r="M25" s="387" t="s">
        <v>408</v>
      </c>
      <c r="N25" s="389"/>
      <c r="O25" s="387" t="s">
        <v>408</v>
      </c>
      <c r="P25" s="389"/>
      <c r="Q25" s="389" t="s">
        <v>26</v>
      </c>
      <c r="R25" s="389"/>
      <c r="S25" s="389" t="s">
        <v>26</v>
      </c>
      <c r="T25" s="389"/>
      <c r="U25" s="389" t="s">
        <v>26</v>
      </c>
      <c r="V25" s="394"/>
      <c r="W25" s="389" t="s">
        <v>26</v>
      </c>
      <c r="X25" s="389"/>
      <c r="Y25" s="389" t="s">
        <v>36</v>
      </c>
      <c r="Z25" s="394"/>
      <c r="AA25" s="389" t="s">
        <v>36</v>
      </c>
      <c r="AB25" s="389"/>
      <c r="AC25" s="389" t="s">
        <v>36</v>
      </c>
      <c r="AD25" s="389"/>
      <c r="AE25" s="389" t="s">
        <v>36</v>
      </c>
      <c r="AF25" s="394"/>
      <c r="AG25" s="389" t="s">
        <v>36</v>
      </c>
      <c r="AH25" s="394"/>
      <c r="AI25" s="389" t="s">
        <v>36</v>
      </c>
      <c r="AJ25" s="394"/>
      <c r="AK25" s="391">
        <f t="shared" si="1"/>
        <v>17</v>
      </c>
      <c r="AL25" s="392">
        <f t="shared" si="2"/>
        <v>17</v>
      </c>
    </row>
    <row r="26" ht="39.75" customHeight="1">
      <c r="A26" s="395" t="s">
        <v>126</v>
      </c>
      <c r="B26" s="396" t="s">
        <v>127</v>
      </c>
      <c r="C26" s="397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399"/>
      <c r="S26" s="399"/>
      <c r="T26" s="399"/>
      <c r="U26" s="399"/>
      <c r="V26" s="399"/>
      <c r="W26" s="399"/>
      <c r="X26" s="399"/>
      <c r="Y26" s="399"/>
      <c r="Z26" s="399"/>
      <c r="AA26" s="399"/>
      <c r="AB26" s="399"/>
      <c r="AC26" s="399"/>
      <c r="AD26" s="399"/>
      <c r="AE26" s="399"/>
      <c r="AF26" s="399"/>
      <c r="AG26" s="399"/>
      <c r="AH26" s="399"/>
      <c r="AI26" s="399"/>
      <c r="AJ26" s="400"/>
      <c r="AK26" s="399"/>
      <c r="AL26" s="401"/>
    </row>
    <row r="27" ht="39.75" customHeight="1">
      <c r="A27" s="385" t="s">
        <v>128</v>
      </c>
      <c r="B27" s="386" t="s">
        <v>129</v>
      </c>
      <c r="C27" s="388" t="s">
        <v>407</v>
      </c>
      <c r="D27" s="388"/>
      <c r="E27" s="389" t="s">
        <v>407</v>
      </c>
      <c r="F27" s="389"/>
      <c r="G27" s="389" t="s">
        <v>407</v>
      </c>
      <c r="H27" s="389"/>
      <c r="I27" s="387" t="s">
        <v>408</v>
      </c>
      <c r="J27" s="389"/>
      <c r="K27" s="387" t="s">
        <v>408</v>
      </c>
      <c r="L27" s="389"/>
      <c r="M27" s="387" t="s">
        <v>408</v>
      </c>
      <c r="N27" s="389"/>
      <c r="O27" s="387" t="s">
        <v>408</v>
      </c>
      <c r="P27" s="389"/>
      <c r="Q27" s="389" t="s">
        <v>26</v>
      </c>
      <c r="R27" s="389"/>
      <c r="S27" s="389" t="s">
        <v>26</v>
      </c>
      <c r="T27" s="389"/>
      <c r="U27" s="389" t="s">
        <v>26</v>
      </c>
      <c r="V27" s="394"/>
      <c r="W27" s="389" t="s">
        <v>26</v>
      </c>
      <c r="X27" s="389"/>
      <c r="Y27" s="389" t="s">
        <v>36</v>
      </c>
      <c r="Z27" s="394"/>
      <c r="AA27" s="389" t="s">
        <v>36</v>
      </c>
      <c r="AB27" s="389"/>
      <c r="AC27" s="389" t="s">
        <v>36</v>
      </c>
      <c r="AD27" s="389"/>
      <c r="AE27" s="389" t="s">
        <v>36</v>
      </c>
      <c r="AF27" s="394"/>
      <c r="AG27" s="389" t="s">
        <v>36</v>
      </c>
      <c r="AH27" s="394"/>
      <c r="AI27" s="389" t="s">
        <v>36</v>
      </c>
      <c r="AJ27" s="394"/>
      <c r="AK27" s="391">
        <f t="shared" ref="AK27:AK28" si="3">COUNTIF(C27:AJ27,"&gt;=R")</f>
        <v>17</v>
      </c>
      <c r="AL27" s="392">
        <f t="shared" ref="AL27:AL28" si="4">AK27</f>
        <v>17</v>
      </c>
    </row>
    <row r="28" ht="39.75" customHeight="1">
      <c r="A28" s="385" t="s">
        <v>130</v>
      </c>
      <c r="B28" s="386" t="s">
        <v>131</v>
      </c>
      <c r="C28" s="388" t="s">
        <v>407</v>
      </c>
      <c r="D28" s="388"/>
      <c r="E28" s="389" t="s">
        <v>407</v>
      </c>
      <c r="F28" s="389"/>
      <c r="G28" s="389" t="s">
        <v>407</v>
      </c>
      <c r="H28" s="389"/>
      <c r="I28" s="387" t="s">
        <v>408</v>
      </c>
      <c r="J28" s="389"/>
      <c r="K28" s="387" t="s">
        <v>408</v>
      </c>
      <c r="L28" s="389"/>
      <c r="M28" s="387" t="s">
        <v>408</v>
      </c>
      <c r="N28" s="389"/>
      <c r="O28" s="387" t="s">
        <v>408</v>
      </c>
      <c r="P28" s="389"/>
      <c r="Q28" s="389" t="s">
        <v>26</v>
      </c>
      <c r="R28" s="389"/>
      <c r="S28" s="389" t="s">
        <v>26</v>
      </c>
      <c r="T28" s="389"/>
      <c r="U28" s="389" t="s">
        <v>26</v>
      </c>
      <c r="V28" s="394"/>
      <c r="W28" s="389" t="s">
        <v>26</v>
      </c>
      <c r="X28" s="389"/>
      <c r="Y28" s="389" t="s">
        <v>36</v>
      </c>
      <c r="Z28" s="394"/>
      <c r="AA28" s="389" t="s">
        <v>36</v>
      </c>
      <c r="AB28" s="389"/>
      <c r="AC28" s="389" t="s">
        <v>36</v>
      </c>
      <c r="AD28" s="389"/>
      <c r="AE28" s="389" t="s">
        <v>36</v>
      </c>
      <c r="AF28" s="394"/>
      <c r="AG28" s="389" t="s">
        <v>36</v>
      </c>
      <c r="AH28" s="394"/>
      <c r="AI28" s="389" t="s">
        <v>36</v>
      </c>
      <c r="AJ28" s="394"/>
      <c r="AK28" s="391">
        <f t="shared" si="3"/>
        <v>17</v>
      </c>
      <c r="AL28" s="392">
        <f t="shared" si="4"/>
        <v>17</v>
      </c>
    </row>
    <row r="29" ht="39.75" customHeight="1">
      <c r="A29" s="395" t="s">
        <v>132</v>
      </c>
      <c r="B29" s="396" t="s">
        <v>133</v>
      </c>
      <c r="C29" s="397"/>
      <c r="D29" s="398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  <c r="AA29" s="399"/>
      <c r="AB29" s="399"/>
      <c r="AC29" s="399"/>
      <c r="AD29" s="399"/>
      <c r="AE29" s="399"/>
      <c r="AF29" s="399"/>
      <c r="AG29" s="399"/>
      <c r="AH29" s="399"/>
      <c r="AI29" s="400"/>
      <c r="AJ29" s="400"/>
      <c r="AK29" s="399"/>
      <c r="AL29" s="401"/>
    </row>
    <row r="30" ht="39.75" customHeight="1">
      <c r="A30" s="402" t="s">
        <v>134</v>
      </c>
      <c r="B30" s="386" t="s">
        <v>135</v>
      </c>
      <c r="C30" s="403" t="s">
        <v>409</v>
      </c>
      <c r="D30" s="388"/>
      <c r="E30" s="403" t="s">
        <v>409</v>
      </c>
      <c r="F30" s="389"/>
      <c r="G30" s="403" t="s">
        <v>409</v>
      </c>
      <c r="H30" s="389"/>
      <c r="I30" s="403" t="s">
        <v>409</v>
      </c>
      <c r="J30" s="389"/>
      <c r="K30" s="389" t="s">
        <v>26</v>
      </c>
      <c r="L30" s="389"/>
      <c r="M30" s="389" t="s">
        <v>26</v>
      </c>
      <c r="N30" s="389"/>
      <c r="O30" s="389" t="s">
        <v>26</v>
      </c>
      <c r="P30" s="389"/>
      <c r="Q30" s="389" t="s">
        <v>55</v>
      </c>
      <c r="R30" s="389"/>
      <c r="S30" s="389" t="s">
        <v>55</v>
      </c>
      <c r="T30" s="389"/>
      <c r="U30" s="389" t="s">
        <v>55</v>
      </c>
      <c r="V30" s="389"/>
      <c r="W30" s="389" t="s">
        <v>55</v>
      </c>
      <c r="X30" s="389"/>
      <c r="Y30" s="389" t="s">
        <v>83</v>
      </c>
      <c r="Z30" s="389"/>
      <c r="AA30" s="389" t="s">
        <v>83</v>
      </c>
      <c r="AB30" s="389"/>
      <c r="AC30" s="389" t="s">
        <v>83</v>
      </c>
      <c r="AD30" s="389"/>
      <c r="AE30" s="389" t="s">
        <v>83</v>
      </c>
      <c r="AF30" s="389"/>
      <c r="AG30" s="389" t="s">
        <v>83</v>
      </c>
      <c r="AH30" s="389"/>
      <c r="AI30" s="389" t="s">
        <v>83</v>
      </c>
      <c r="AJ30" s="394"/>
      <c r="AK30" s="391">
        <f>COUNTIF(C30:AJ30,"&gt;=R")</f>
        <v>17</v>
      </c>
      <c r="AL30" s="392">
        <f>AK30</f>
        <v>17</v>
      </c>
    </row>
    <row r="31" ht="39.75" customHeight="1">
      <c r="A31" s="395" t="s">
        <v>136</v>
      </c>
      <c r="B31" s="396" t="s">
        <v>137</v>
      </c>
      <c r="C31" s="397"/>
      <c r="D31" s="398"/>
      <c r="E31" s="399"/>
      <c r="F31" s="399"/>
      <c r="G31" s="399"/>
      <c r="H31" s="399"/>
      <c r="I31" s="399"/>
      <c r="J31" s="399"/>
      <c r="K31" s="399"/>
      <c r="L31" s="399"/>
      <c r="M31" s="399"/>
      <c r="N31" s="399"/>
      <c r="O31" s="399"/>
      <c r="P31" s="399"/>
      <c r="Q31" s="399"/>
      <c r="R31" s="399"/>
      <c r="S31" s="399"/>
      <c r="T31" s="399"/>
      <c r="U31" s="39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399"/>
      <c r="AI31" s="399"/>
      <c r="AJ31" s="400"/>
      <c r="AK31" s="399"/>
      <c r="AL31" s="401"/>
    </row>
    <row r="32" ht="39.75" customHeight="1">
      <c r="A32" s="385" t="s">
        <v>138</v>
      </c>
      <c r="B32" s="386" t="s">
        <v>139</v>
      </c>
      <c r="C32" s="390" t="s">
        <v>16</v>
      </c>
      <c r="D32" s="388"/>
      <c r="E32" s="390" t="s">
        <v>16</v>
      </c>
      <c r="F32" s="389"/>
      <c r="G32" s="390" t="s">
        <v>16</v>
      </c>
      <c r="H32" s="389"/>
      <c r="I32" s="390" t="s">
        <v>16</v>
      </c>
      <c r="J32" s="389"/>
      <c r="K32" s="389" t="s">
        <v>26</v>
      </c>
      <c r="L32" s="389"/>
      <c r="M32" s="389" t="s">
        <v>26</v>
      </c>
      <c r="N32" s="389"/>
      <c r="O32" s="389" t="s">
        <v>26</v>
      </c>
      <c r="P32" s="389"/>
      <c r="Q32" s="389" t="s">
        <v>55</v>
      </c>
      <c r="R32" s="389"/>
      <c r="S32" s="389" t="s">
        <v>55</v>
      </c>
      <c r="T32" s="389"/>
      <c r="U32" s="389" t="s">
        <v>55</v>
      </c>
      <c r="V32" s="389"/>
      <c r="W32" s="389" t="s">
        <v>55</v>
      </c>
      <c r="X32" s="389"/>
      <c r="Y32" s="389" t="s">
        <v>410</v>
      </c>
      <c r="Z32" s="389"/>
      <c r="AA32" s="389" t="s">
        <v>410</v>
      </c>
      <c r="AB32" s="389"/>
      <c r="AC32" s="389" t="s">
        <v>410</v>
      </c>
      <c r="AD32" s="389"/>
      <c r="AE32" s="389" t="s">
        <v>410</v>
      </c>
      <c r="AF32" s="389"/>
      <c r="AG32" s="389" t="s">
        <v>410</v>
      </c>
      <c r="AH32" s="389"/>
      <c r="AI32" s="389" t="s">
        <v>410</v>
      </c>
      <c r="AJ32" s="394"/>
      <c r="AK32" s="391">
        <f t="shared" ref="AK32:AK33" si="5">COUNTIF(C32:AJ32,"&gt;=R")</f>
        <v>17</v>
      </c>
      <c r="AL32" s="392">
        <f t="shared" ref="AL32:AL33" si="6">AK32</f>
        <v>17</v>
      </c>
    </row>
    <row r="33" ht="39.75" customHeight="1">
      <c r="A33" s="404" t="s">
        <v>140</v>
      </c>
      <c r="B33" s="405" t="s">
        <v>141</v>
      </c>
      <c r="C33" s="406" t="s">
        <v>16</v>
      </c>
      <c r="D33" s="388"/>
      <c r="E33" s="390" t="s">
        <v>16</v>
      </c>
      <c r="F33" s="389"/>
      <c r="G33" s="390" t="s">
        <v>16</v>
      </c>
      <c r="H33" s="389"/>
      <c r="I33" s="390" t="s">
        <v>16</v>
      </c>
      <c r="J33" s="389"/>
      <c r="K33" s="389" t="s">
        <v>26</v>
      </c>
      <c r="L33" s="389"/>
      <c r="M33" s="389" t="s">
        <v>26</v>
      </c>
      <c r="N33" s="389"/>
      <c r="O33" s="389" t="s">
        <v>26</v>
      </c>
      <c r="P33" s="389"/>
      <c r="Q33" s="389" t="s">
        <v>55</v>
      </c>
      <c r="R33" s="389"/>
      <c r="S33" s="389" t="s">
        <v>55</v>
      </c>
      <c r="T33" s="389"/>
      <c r="U33" s="389" t="s">
        <v>55</v>
      </c>
      <c r="V33" s="389"/>
      <c r="W33" s="389" t="s">
        <v>55</v>
      </c>
      <c r="X33" s="389"/>
      <c r="Y33" s="389" t="s">
        <v>410</v>
      </c>
      <c r="Z33" s="389"/>
      <c r="AA33" s="389" t="s">
        <v>410</v>
      </c>
      <c r="AB33" s="389"/>
      <c r="AC33" s="389" t="s">
        <v>410</v>
      </c>
      <c r="AD33" s="389"/>
      <c r="AE33" s="389" t="s">
        <v>410</v>
      </c>
      <c r="AF33" s="389"/>
      <c r="AG33" s="389" t="s">
        <v>410</v>
      </c>
      <c r="AH33" s="389"/>
      <c r="AI33" s="389" t="s">
        <v>410</v>
      </c>
      <c r="AJ33" s="394"/>
      <c r="AK33" s="391">
        <f t="shared" si="5"/>
        <v>17</v>
      </c>
      <c r="AL33" s="392">
        <f t="shared" si="6"/>
        <v>17</v>
      </c>
    </row>
    <row r="34" ht="39.75" customHeight="1">
      <c r="A34" s="395" t="s">
        <v>142</v>
      </c>
      <c r="B34" s="396" t="s">
        <v>143</v>
      </c>
      <c r="C34" s="397"/>
      <c r="D34" s="398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  <c r="AA34" s="399"/>
      <c r="AB34" s="399"/>
      <c r="AC34" s="399"/>
      <c r="AD34" s="399"/>
      <c r="AE34" s="399"/>
      <c r="AF34" s="399"/>
      <c r="AG34" s="399"/>
      <c r="AH34" s="399"/>
      <c r="AI34" s="399"/>
      <c r="AJ34" s="400"/>
      <c r="AK34" s="399"/>
      <c r="AL34" s="401"/>
    </row>
    <row r="35" ht="39.75" customHeight="1">
      <c r="A35" s="402" t="s">
        <v>144</v>
      </c>
      <c r="B35" s="386" t="s">
        <v>145</v>
      </c>
      <c r="C35" s="390" t="s">
        <v>16</v>
      </c>
      <c r="D35" s="388"/>
      <c r="E35" s="390" t="s">
        <v>16</v>
      </c>
      <c r="F35" s="389"/>
      <c r="G35" s="390" t="s">
        <v>16</v>
      </c>
      <c r="H35" s="389"/>
      <c r="I35" s="390" t="s">
        <v>16</v>
      </c>
      <c r="J35" s="389"/>
      <c r="K35" s="389" t="s">
        <v>26</v>
      </c>
      <c r="L35" s="389"/>
      <c r="M35" s="389" t="s">
        <v>26</v>
      </c>
      <c r="N35" s="389"/>
      <c r="O35" s="389" t="s">
        <v>26</v>
      </c>
      <c r="P35" s="389"/>
      <c r="Q35" s="389" t="s">
        <v>55</v>
      </c>
      <c r="R35" s="389"/>
      <c r="S35" s="389" t="s">
        <v>55</v>
      </c>
      <c r="T35" s="389"/>
      <c r="U35" s="389" t="s">
        <v>55</v>
      </c>
      <c r="V35" s="389"/>
      <c r="W35" s="389" t="s">
        <v>55</v>
      </c>
      <c r="X35" s="389"/>
      <c r="Y35" s="389" t="s">
        <v>83</v>
      </c>
      <c r="Z35" s="389"/>
      <c r="AA35" s="389" t="s">
        <v>83</v>
      </c>
      <c r="AB35" s="389"/>
      <c r="AC35" s="389" t="s">
        <v>83</v>
      </c>
      <c r="AD35" s="389"/>
      <c r="AE35" s="389" t="s">
        <v>83</v>
      </c>
      <c r="AF35" s="389"/>
      <c r="AG35" s="389" t="s">
        <v>83</v>
      </c>
      <c r="AH35" s="389"/>
      <c r="AI35" s="389" t="s">
        <v>83</v>
      </c>
      <c r="AJ35" s="394"/>
      <c r="AK35" s="391">
        <f>COUNTIF(C35:AJ35,"&gt;=R")</f>
        <v>17</v>
      </c>
      <c r="AL35" s="392">
        <f>AK35</f>
        <v>17</v>
      </c>
    </row>
    <row r="36" ht="39.75" customHeight="1">
      <c r="A36" s="395" t="s">
        <v>146</v>
      </c>
      <c r="B36" s="396" t="s">
        <v>147</v>
      </c>
      <c r="C36" s="397"/>
      <c r="D36" s="398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  <c r="AA36" s="399"/>
      <c r="AB36" s="399"/>
      <c r="AC36" s="399"/>
      <c r="AD36" s="399"/>
      <c r="AE36" s="399"/>
      <c r="AF36" s="399"/>
      <c r="AG36" s="399"/>
      <c r="AH36" s="399"/>
      <c r="AI36" s="399"/>
      <c r="AJ36" s="400"/>
      <c r="AK36" s="399"/>
      <c r="AL36" s="401"/>
    </row>
    <row r="37" ht="39.75" customHeight="1">
      <c r="A37" s="385" t="s">
        <v>148</v>
      </c>
      <c r="B37" s="386" t="s">
        <v>139</v>
      </c>
      <c r="C37" s="388" t="s">
        <v>26</v>
      </c>
      <c r="D37" s="388"/>
      <c r="E37" s="389" t="s">
        <v>26</v>
      </c>
      <c r="F37" s="389"/>
      <c r="G37" s="394" t="s">
        <v>26</v>
      </c>
      <c r="H37" s="389"/>
      <c r="I37" s="389" t="s">
        <v>26</v>
      </c>
      <c r="J37" s="389"/>
      <c r="K37" s="389" t="s">
        <v>26</v>
      </c>
      <c r="L37" s="389"/>
      <c r="M37" s="389" t="s">
        <v>46</v>
      </c>
      <c r="N37" s="389"/>
      <c r="O37" s="389" t="s">
        <v>46</v>
      </c>
      <c r="P37" s="389"/>
      <c r="Q37" s="389" t="s">
        <v>55</v>
      </c>
      <c r="R37" s="389"/>
      <c r="S37" s="389" t="s">
        <v>55</v>
      </c>
      <c r="T37" s="389"/>
      <c r="U37" s="389" t="s">
        <v>55</v>
      </c>
      <c r="V37" s="389"/>
      <c r="W37" s="389" t="s">
        <v>55</v>
      </c>
      <c r="X37" s="389"/>
      <c r="Y37" s="389" t="s">
        <v>83</v>
      </c>
      <c r="Z37" s="389"/>
      <c r="AA37" s="389" t="s">
        <v>83</v>
      </c>
      <c r="AB37" s="389"/>
      <c r="AC37" s="389" t="s">
        <v>83</v>
      </c>
      <c r="AD37" s="389"/>
      <c r="AE37" s="389" t="s">
        <v>83</v>
      </c>
      <c r="AF37" s="389"/>
      <c r="AG37" s="389" t="s">
        <v>83</v>
      </c>
      <c r="AH37" s="389"/>
      <c r="AI37" s="389" t="s">
        <v>83</v>
      </c>
      <c r="AJ37" s="394"/>
      <c r="AK37" s="391">
        <f t="shared" ref="AK37:AK38" si="7">COUNTIF(C37:AJ37,"&gt;=R")</f>
        <v>17</v>
      </c>
      <c r="AL37" s="392">
        <f t="shared" ref="AL37:AL38" si="8">AK37</f>
        <v>17</v>
      </c>
    </row>
    <row r="38" ht="39.75" customHeight="1">
      <c r="A38" s="385" t="s">
        <v>149</v>
      </c>
      <c r="B38" s="386" t="s">
        <v>150</v>
      </c>
      <c r="C38" s="388" t="s">
        <v>26</v>
      </c>
      <c r="D38" s="388"/>
      <c r="E38" s="389" t="s">
        <v>26</v>
      </c>
      <c r="F38" s="389"/>
      <c r="G38" s="389" t="s">
        <v>36</v>
      </c>
      <c r="H38" s="389"/>
      <c r="I38" s="394" t="s">
        <v>36</v>
      </c>
      <c r="J38" s="389"/>
      <c r="K38" s="394" t="s">
        <v>36</v>
      </c>
      <c r="L38" s="389"/>
      <c r="M38" s="394" t="s">
        <v>36</v>
      </c>
      <c r="N38" s="389"/>
      <c r="O38" s="394" t="s">
        <v>36</v>
      </c>
      <c r="P38" s="389"/>
      <c r="Q38" s="389" t="s">
        <v>83</v>
      </c>
      <c r="R38" s="389"/>
      <c r="S38" s="389" t="s">
        <v>83</v>
      </c>
      <c r="T38" s="389"/>
      <c r="U38" s="394" t="s">
        <v>83</v>
      </c>
      <c r="V38" s="389"/>
      <c r="W38" s="394" t="s">
        <v>91</v>
      </c>
      <c r="X38" s="389"/>
      <c r="Y38" s="394" t="s">
        <v>91</v>
      </c>
      <c r="Z38" s="389"/>
      <c r="AA38" s="394" t="s">
        <v>91</v>
      </c>
      <c r="AB38" s="389"/>
      <c r="AC38" s="394" t="s">
        <v>91</v>
      </c>
      <c r="AD38" s="389"/>
      <c r="AE38" s="389" t="s">
        <v>91</v>
      </c>
      <c r="AF38" s="389"/>
      <c r="AG38" s="389" t="s">
        <v>91</v>
      </c>
      <c r="AH38" s="389"/>
      <c r="AI38" s="389" t="s">
        <v>91</v>
      </c>
      <c r="AJ38" s="394"/>
      <c r="AK38" s="391">
        <f t="shared" si="7"/>
        <v>17</v>
      </c>
      <c r="AL38" s="392">
        <f t="shared" si="8"/>
        <v>17</v>
      </c>
    </row>
    <row r="39" ht="39.75" customHeight="1">
      <c r="A39" s="407" t="s">
        <v>151</v>
      </c>
      <c r="B39" s="408" t="s">
        <v>152</v>
      </c>
      <c r="C39" s="387"/>
      <c r="D39" s="388"/>
      <c r="E39" s="389"/>
      <c r="F39" s="389"/>
      <c r="G39" s="389"/>
      <c r="H39" s="389"/>
      <c r="I39" s="389"/>
      <c r="J39" s="389"/>
      <c r="K39" s="389"/>
      <c r="L39" s="389"/>
      <c r="M39" s="394"/>
      <c r="N39" s="389"/>
      <c r="O39" s="389"/>
      <c r="P39" s="389"/>
      <c r="Q39" s="389"/>
      <c r="R39" s="389"/>
      <c r="S39" s="389"/>
      <c r="T39" s="389"/>
      <c r="U39" s="394"/>
      <c r="V39" s="389"/>
      <c r="W39" s="389"/>
      <c r="X39" s="389"/>
      <c r="Y39" s="394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94"/>
      <c r="AK39" s="391"/>
      <c r="AL39" s="392"/>
    </row>
    <row r="40" ht="39.75" customHeight="1">
      <c r="A40" s="385" t="s">
        <v>153</v>
      </c>
      <c r="B40" s="386" t="s">
        <v>154</v>
      </c>
      <c r="C40" s="387" t="s">
        <v>85</v>
      </c>
      <c r="D40" s="388"/>
      <c r="E40" s="387" t="s">
        <v>85</v>
      </c>
      <c r="F40" s="389"/>
      <c r="G40" s="387" t="s">
        <v>85</v>
      </c>
      <c r="H40" s="389"/>
      <c r="I40" s="387" t="s">
        <v>85</v>
      </c>
      <c r="J40" s="389"/>
      <c r="K40" s="387" t="s">
        <v>85</v>
      </c>
      <c r="L40" s="389"/>
      <c r="M40" s="389" t="s">
        <v>85</v>
      </c>
      <c r="N40" s="389"/>
      <c r="O40" s="389" t="s">
        <v>85</v>
      </c>
      <c r="P40" s="389"/>
      <c r="Q40" s="389" t="s">
        <v>85</v>
      </c>
      <c r="R40" s="389"/>
      <c r="S40" s="389" t="s">
        <v>85</v>
      </c>
      <c r="T40" s="389"/>
      <c r="U40" s="389" t="s">
        <v>85</v>
      </c>
      <c r="V40" s="389"/>
      <c r="W40" s="389" t="s">
        <v>85</v>
      </c>
      <c r="X40" s="389"/>
      <c r="Y40" s="389" t="s">
        <v>85</v>
      </c>
      <c r="Z40" s="389"/>
      <c r="AA40" s="389" t="s">
        <v>85</v>
      </c>
      <c r="AB40" s="389"/>
      <c r="AC40" s="389" t="s">
        <v>85</v>
      </c>
      <c r="AD40" s="389"/>
      <c r="AE40" s="389" t="s">
        <v>85</v>
      </c>
      <c r="AF40" s="389"/>
      <c r="AG40" s="389" t="s">
        <v>85</v>
      </c>
      <c r="AH40" s="389"/>
      <c r="AI40" s="389" t="s">
        <v>85</v>
      </c>
      <c r="AJ40" s="394"/>
      <c r="AK40" s="391">
        <f>COUNTIF(C40:AJ40,"&gt;=R")</f>
        <v>17</v>
      </c>
      <c r="AL40" s="392">
        <f>AK40</f>
        <v>17</v>
      </c>
    </row>
    <row r="41" ht="39.75" customHeight="1">
      <c r="A41" s="385" t="s">
        <v>155</v>
      </c>
      <c r="B41" s="386" t="s">
        <v>156</v>
      </c>
      <c r="C41" s="387"/>
      <c r="D41" s="388"/>
      <c r="E41" s="394"/>
      <c r="F41" s="389"/>
      <c r="G41" s="394"/>
      <c r="H41" s="389"/>
      <c r="I41" s="394"/>
      <c r="J41" s="389"/>
      <c r="K41" s="394"/>
      <c r="L41" s="389"/>
      <c r="M41" s="394"/>
      <c r="N41" s="389"/>
      <c r="O41" s="394"/>
      <c r="P41" s="389"/>
      <c r="Q41" s="394"/>
      <c r="R41" s="389"/>
      <c r="S41" s="394"/>
      <c r="T41" s="389"/>
      <c r="U41" s="394"/>
      <c r="V41" s="389"/>
      <c r="W41" s="394"/>
      <c r="X41" s="389"/>
      <c r="Y41" s="394"/>
      <c r="Z41" s="389"/>
      <c r="AA41" s="394"/>
      <c r="AB41" s="389"/>
      <c r="AC41" s="394"/>
      <c r="AD41" s="389"/>
      <c r="AE41" s="394"/>
      <c r="AF41" s="389"/>
      <c r="AG41" s="394"/>
      <c r="AH41" s="389"/>
      <c r="AI41" s="394"/>
      <c r="AJ41" s="394"/>
      <c r="AK41" s="391"/>
      <c r="AL41" s="392"/>
    </row>
    <row r="42" ht="39.75" customHeight="1">
      <c r="A42" s="385" t="s">
        <v>157</v>
      </c>
      <c r="B42" s="386" t="s">
        <v>158</v>
      </c>
      <c r="C42" s="388" t="s">
        <v>36</v>
      </c>
      <c r="D42" s="388"/>
      <c r="E42" s="389" t="s">
        <v>36</v>
      </c>
      <c r="F42" s="389"/>
      <c r="G42" s="389" t="s">
        <v>36</v>
      </c>
      <c r="H42" s="389"/>
      <c r="I42" s="394" t="s">
        <v>36</v>
      </c>
      <c r="J42" s="389"/>
      <c r="K42" s="394" t="s">
        <v>36</v>
      </c>
      <c r="L42" s="389"/>
      <c r="M42" s="394" t="s">
        <v>36</v>
      </c>
      <c r="N42" s="389"/>
      <c r="O42" s="394" t="s">
        <v>36</v>
      </c>
      <c r="P42" s="389"/>
      <c r="Q42" s="389" t="s">
        <v>7</v>
      </c>
      <c r="R42" s="389"/>
      <c r="S42" s="389" t="s">
        <v>7</v>
      </c>
      <c r="T42" s="389"/>
      <c r="U42" s="394" t="s">
        <v>7</v>
      </c>
      <c r="V42" s="389"/>
      <c r="W42" s="394" t="s">
        <v>7</v>
      </c>
      <c r="X42" s="389"/>
      <c r="Y42" s="394" t="s">
        <v>7</v>
      </c>
      <c r="Z42" s="389"/>
      <c r="AA42" s="394" t="s">
        <v>7</v>
      </c>
      <c r="AB42" s="389"/>
      <c r="AC42" s="394" t="s">
        <v>7</v>
      </c>
      <c r="AD42" s="389"/>
      <c r="AE42" s="389" t="s">
        <v>7</v>
      </c>
      <c r="AF42" s="389"/>
      <c r="AG42" s="389" t="s">
        <v>7</v>
      </c>
      <c r="AH42" s="389"/>
      <c r="AI42" s="389" t="s">
        <v>7</v>
      </c>
      <c r="AJ42" s="394"/>
      <c r="AK42" s="391">
        <f t="shared" ref="AK42:AK45" si="9">COUNTIF(C42:AJ42,"&gt;=R")</f>
        <v>17</v>
      </c>
      <c r="AL42" s="392">
        <f t="shared" ref="AL42:AL45" si="10">AK42</f>
        <v>17</v>
      </c>
    </row>
    <row r="43" ht="39.75" customHeight="1">
      <c r="A43" s="385" t="s">
        <v>159</v>
      </c>
      <c r="B43" s="386" t="s">
        <v>160</v>
      </c>
      <c r="C43" s="387" t="s">
        <v>83</v>
      </c>
      <c r="D43" s="388"/>
      <c r="E43" s="389" t="s">
        <v>83</v>
      </c>
      <c r="F43" s="389"/>
      <c r="G43" s="389" t="s">
        <v>83</v>
      </c>
      <c r="H43" s="389"/>
      <c r="I43" s="389" t="s">
        <v>83</v>
      </c>
      <c r="J43" s="389"/>
      <c r="K43" s="389" t="s">
        <v>83</v>
      </c>
      <c r="L43" s="389"/>
      <c r="M43" s="389" t="s">
        <v>83</v>
      </c>
      <c r="N43" s="389"/>
      <c r="O43" s="389" t="s">
        <v>83</v>
      </c>
      <c r="P43" s="389"/>
      <c r="Q43" s="389" t="s">
        <v>7</v>
      </c>
      <c r="R43" s="389"/>
      <c r="S43" s="389" t="s">
        <v>7</v>
      </c>
      <c r="T43" s="389"/>
      <c r="U43" s="394" t="s">
        <v>7</v>
      </c>
      <c r="V43" s="389"/>
      <c r="W43" s="394" t="s">
        <v>7</v>
      </c>
      <c r="X43" s="389"/>
      <c r="Y43" s="394" t="s">
        <v>7</v>
      </c>
      <c r="Z43" s="389"/>
      <c r="AA43" s="394" t="s">
        <v>7</v>
      </c>
      <c r="AB43" s="389"/>
      <c r="AC43" s="394" t="s">
        <v>7</v>
      </c>
      <c r="AD43" s="389"/>
      <c r="AE43" s="389" t="s">
        <v>7</v>
      </c>
      <c r="AF43" s="389"/>
      <c r="AG43" s="389" t="s">
        <v>7</v>
      </c>
      <c r="AH43" s="389"/>
      <c r="AI43" s="389" t="s">
        <v>27</v>
      </c>
      <c r="AJ43" s="394"/>
      <c r="AK43" s="391">
        <f t="shared" si="9"/>
        <v>17</v>
      </c>
      <c r="AL43" s="392">
        <f t="shared" si="10"/>
        <v>17</v>
      </c>
    </row>
    <row r="44" ht="39.75" customHeight="1">
      <c r="A44" s="385" t="s">
        <v>161</v>
      </c>
      <c r="B44" s="386" t="s">
        <v>162</v>
      </c>
      <c r="C44" s="387" t="s">
        <v>83</v>
      </c>
      <c r="D44" s="388"/>
      <c r="E44" s="389" t="s">
        <v>83</v>
      </c>
      <c r="F44" s="389"/>
      <c r="G44" s="389" t="s">
        <v>83</v>
      </c>
      <c r="H44" s="389"/>
      <c r="I44" s="389" t="s">
        <v>83</v>
      </c>
      <c r="J44" s="389"/>
      <c r="K44" s="389" t="s">
        <v>83</v>
      </c>
      <c r="L44" s="389"/>
      <c r="M44" s="389" t="s">
        <v>83</v>
      </c>
      <c r="N44" s="389"/>
      <c r="O44" s="389" t="s">
        <v>83</v>
      </c>
      <c r="P44" s="389"/>
      <c r="Q44" s="389" t="s">
        <v>7</v>
      </c>
      <c r="R44" s="389"/>
      <c r="S44" s="389" t="s">
        <v>7</v>
      </c>
      <c r="T44" s="389"/>
      <c r="U44" s="394" t="s">
        <v>7</v>
      </c>
      <c r="V44" s="389"/>
      <c r="W44" s="394" t="s">
        <v>7</v>
      </c>
      <c r="X44" s="389"/>
      <c r="Y44" s="394" t="s">
        <v>7</v>
      </c>
      <c r="Z44" s="389"/>
      <c r="AA44" s="394" t="s">
        <v>7</v>
      </c>
      <c r="AB44" s="389"/>
      <c r="AC44" s="394" t="s">
        <v>7</v>
      </c>
      <c r="AD44" s="389"/>
      <c r="AE44" s="389" t="s">
        <v>7</v>
      </c>
      <c r="AF44" s="389"/>
      <c r="AG44" s="389" t="s">
        <v>7</v>
      </c>
      <c r="AH44" s="389"/>
      <c r="AI44" s="394" t="s">
        <v>27</v>
      </c>
      <c r="AJ44" s="394"/>
      <c r="AK44" s="391">
        <f t="shared" si="9"/>
        <v>17</v>
      </c>
      <c r="AL44" s="392">
        <f t="shared" si="10"/>
        <v>17</v>
      </c>
    </row>
    <row r="45" ht="39.75" customHeight="1">
      <c r="A45" s="385" t="s">
        <v>163</v>
      </c>
      <c r="B45" s="386" t="s">
        <v>164</v>
      </c>
      <c r="C45" s="387" t="s">
        <v>36</v>
      </c>
      <c r="D45" s="388"/>
      <c r="E45" s="394" t="s">
        <v>36</v>
      </c>
      <c r="F45" s="389"/>
      <c r="G45" s="389" t="s">
        <v>36</v>
      </c>
      <c r="H45" s="389"/>
      <c r="I45" s="389" t="s">
        <v>36</v>
      </c>
      <c r="J45" s="389"/>
      <c r="K45" s="389" t="s">
        <v>36</v>
      </c>
      <c r="L45" s="389"/>
      <c r="M45" s="394" t="s">
        <v>36</v>
      </c>
      <c r="N45" s="389"/>
      <c r="O45" s="389" t="s">
        <v>36</v>
      </c>
      <c r="P45" s="389"/>
      <c r="Q45" s="389" t="s">
        <v>83</v>
      </c>
      <c r="R45" s="389"/>
      <c r="S45" s="389" t="s">
        <v>83</v>
      </c>
      <c r="T45" s="389"/>
      <c r="U45" s="389" t="s">
        <v>83</v>
      </c>
      <c r="V45" s="389"/>
      <c r="W45" s="389" t="s">
        <v>83</v>
      </c>
      <c r="X45" s="389"/>
      <c r="Y45" s="389" t="s">
        <v>83</v>
      </c>
      <c r="Z45" s="389"/>
      <c r="AA45" s="389" t="s">
        <v>83</v>
      </c>
      <c r="AB45" s="389"/>
      <c r="AC45" s="389" t="s">
        <v>83</v>
      </c>
      <c r="AD45" s="389"/>
      <c r="AE45" s="389" t="s">
        <v>83</v>
      </c>
      <c r="AF45" s="389"/>
      <c r="AG45" s="389" t="s">
        <v>37</v>
      </c>
      <c r="AH45" s="389"/>
      <c r="AI45" s="389" t="s">
        <v>27</v>
      </c>
      <c r="AJ45" s="394"/>
      <c r="AK45" s="391">
        <f t="shared" si="9"/>
        <v>17</v>
      </c>
      <c r="AL45" s="392">
        <f t="shared" si="10"/>
        <v>17</v>
      </c>
    </row>
    <row r="46" ht="39.75" customHeight="1">
      <c r="A46" s="378" t="s">
        <v>165</v>
      </c>
      <c r="B46" s="379" t="s">
        <v>166</v>
      </c>
      <c r="C46" s="397"/>
      <c r="D46" s="398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400"/>
      <c r="AJ46" s="400"/>
      <c r="AK46" s="399"/>
      <c r="AL46" s="401"/>
    </row>
    <row r="47" ht="39.75" customHeight="1">
      <c r="A47" s="409" t="s">
        <v>167</v>
      </c>
      <c r="B47" s="410" t="s">
        <v>168</v>
      </c>
      <c r="C47" s="387"/>
      <c r="D47" s="388"/>
      <c r="E47" s="389"/>
      <c r="F47" s="389"/>
      <c r="G47" s="394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94"/>
      <c r="X47" s="389"/>
      <c r="Y47" s="394"/>
      <c r="Z47" s="389"/>
      <c r="AA47" s="394"/>
      <c r="AB47" s="389"/>
      <c r="AC47" s="394"/>
      <c r="AD47" s="389"/>
      <c r="AE47" s="394"/>
      <c r="AF47" s="389"/>
      <c r="AG47" s="389"/>
      <c r="AH47" s="389"/>
      <c r="AI47" s="389"/>
      <c r="AJ47" s="394"/>
      <c r="AK47" s="391">
        <f t="shared" ref="AK47:AK52" si="11">COUNTIF(C47:AJ47,"&gt;=R")</f>
        <v>0</v>
      </c>
      <c r="AL47" s="392">
        <f t="shared" ref="AL47:AL52" si="12">AK47</f>
        <v>0</v>
      </c>
    </row>
    <row r="48" ht="39.75" customHeight="1">
      <c r="A48" s="411" t="s">
        <v>169</v>
      </c>
      <c r="B48" s="412" t="s">
        <v>170</v>
      </c>
      <c r="C48" s="387" t="s">
        <v>91</v>
      </c>
      <c r="D48" s="388"/>
      <c r="E48" s="389" t="s">
        <v>91</v>
      </c>
      <c r="F48" s="389"/>
      <c r="G48" s="389" t="s">
        <v>46</v>
      </c>
      <c r="H48" s="389"/>
      <c r="I48" s="389" t="s">
        <v>46</v>
      </c>
      <c r="J48" s="389"/>
      <c r="K48" s="389" t="s">
        <v>46</v>
      </c>
      <c r="L48" s="389"/>
      <c r="M48" s="389" t="s">
        <v>55</v>
      </c>
      <c r="N48" s="389"/>
      <c r="O48" s="389" t="s">
        <v>36</v>
      </c>
      <c r="P48" s="389"/>
      <c r="Q48" s="389" t="s">
        <v>91</v>
      </c>
      <c r="R48" s="389"/>
      <c r="S48" s="389" t="s">
        <v>91</v>
      </c>
      <c r="T48" s="389"/>
      <c r="U48" s="389" t="s">
        <v>91</v>
      </c>
      <c r="V48" s="389"/>
      <c r="W48" s="389" t="s">
        <v>91</v>
      </c>
      <c r="X48" s="389"/>
      <c r="Y48" s="389" t="s">
        <v>91</v>
      </c>
      <c r="Z48" s="389"/>
      <c r="AA48" s="389" t="s">
        <v>91</v>
      </c>
      <c r="AB48" s="389"/>
      <c r="AC48" s="389" t="s">
        <v>7</v>
      </c>
      <c r="AD48" s="389"/>
      <c r="AE48" s="389" t="s">
        <v>7</v>
      </c>
      <c r="AF48" s="389"/>
      <c r="AG48" s="389" t="s">
        <v>7</v>
      </c>
      <c r="AH48" s="389"/>
      <c r="AI48" s="389" t="s">
        <v>27</v>
      </c>
      <c r="AJ48" s="394"/>
      <c r="AK48" s="391">
        <f t="shared" si="11"/>
        <v>17</v>
      </c>
      <c r="AL48" s="392">
        <f t="shared" si="12"/>
        <v>17</v>
      </c>
    </row>
    <row r="49" ht="39.75" customHeight="1">
      <c r="A49" s="411" t="s">
        <v>171</v>
      </c>
      <c r="B49" s="412" t="s">
        <v>172</v>
      </c>
      <c r="C49" s="387" t="s">
        <v>28</v>
      </c>
      <c r="D49" s="388"/>
      <c r="E49" s="413" t="s">
        <v>413</v>
      </c>
      <c r="F49" s="389"/>
      <c r="G49" s="387" t="s">
        <v>28</v>
      </c>
      <c r="H49" s="389"/>
      <c r="I49" s="387" t="s">
        <v>28</v>
      </c>
      <c r="J49" s="389"/>
      <c r="K49" s="387" t="s">
        <v>28</v>
      </c>
      <c r="L49" s="389"/>
      <c r="M49" s="387" t="s">
        <v>28</v>
      </c>
      <c r="N49" s="389"/>
      <c r="O49" s="387" t="s">
        <v>28</v>
      </c>
      <c r="P49" s="389"/>
      <c r="Q49" s="387" t="s">
        <v>28</v>
      </c>
      <c r="R49" s="389"/>
      <c r="S49" s="389" t="s">
        <v>28</v>
      </c>
      <c r="T49" s="389"/>
      <c r="U49" s="389" t="s">
        <v>28</v>
      </c>
      <c r="V49" s="389"/>
      <c r="W49" s="389" t="s">
        <v>28</v>
      </c>
      <c r="X49" s="389"/>
      <c r="Y49" s="389" t="s">
        <v>28</v>
      </c>
      <c r="Z49" s="389"/>
      <c r="AA49" s="389" t="s">
        <v>28</v>
      </c>
      <c r="AB49" s="389"/>
      <c r="AC49" s="389" t="s">
        <v>28</v>
      </c>
      <c r="AD49" s="389"/>
      <c r="AE49" s="389" t="s">
        <v>28</v>
      </c>
      <c r="AF49" s="389"/>
      <c r="AG49" s="389" t="s">
        <v>28</v>
      </c>
      <c r="AH49" s="389"/>
      <c r="AI49" s="389" t="s">
        <v>28</v>
      </c>
      <c r="AJ49" s="394"/>
      <c r="AK49" s="391">
        <f t="shared" si="11"/>
        <v>17</v>
      </c>
      <c r="AL49" s="392">
        <f t="shared" si="12"/>
        <v>17</v>
      </c>
    </row>
    <row r="50" ht="39.75" customHeight="1">
      <c r="A50" s="414" t="s">
        <v>173</v>
      </c>
      <c r="B50" s="415" t="s">
        <v>174</v>
      </c>
      <c r="C50" s="387"/>
      <c r="D50" s="388"/>
      <c r="E50" s="389"/>
      <c r="F50" s="389"/>
      <c r="G50" s="394"/>
      <c r="H50" s="389"/>
      <c r="I50" s="394"/>
      <c r="J50" s="389"/>
      <c r="K50" s="394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94"/>
      <c r="Z50" s="389"/>
      <c r="AA50" s="394"/>
      <c r="AB50" s="389"/>
      <c r="AC50" s="394"/>
      <c r="AD50" s="389"/>
      <c r="AE50" s="394"/>
      <c r="AF50" s="389"/>
      <c r="AG50" s="389"/>
      <c r="AH50" s="389"/>
      <c r="AI50" s="389"/>
      <c r="AJ50" s="394"/>
      <c r="AK50" s="391">
        <f t="shared" si="11"/>
        <v>0</v>
      </c>
      <c r="AL50" s="392">
        <f t="shared" si="12"/>
        <v>0</v>
      </c>
    </row>
    <row r="51" ht="39.75" customHeight="1">
      <c r="A51" s="411" t="s">
        <v>175</v>
      </c>
      <c r="B51" s="412" t="s">
        <v>176</v>
      </c>
      <c r="C51" s="387" t="s">
        <v>56</v>
      </c>
      <c r="D51" s="388"/>
      <c r="E51" s="389" t="s">
        <v>67</v>
      </c>
      <c r="F51" s="389"/>
      <c r="G51" s="389" t="s">
        <v>67</v>
      </c>
      <c r="H51" s="389"/>
      <c r="I51" s="389" t="s">
        <v>67</v>
      </c>
      <c r="J51" s="389"/>
      <c r="K51" s="389" t="s">
        <v>67</v>
      </c>
      <c r="L51" s="389"/>
      <c r="M51" s="389" t="s">
        <v>67</v>
      </c>
      <c r="N51" s="389"/>
      <c r="O51" s="389" t="s">
        <v>18</v>
      </c>
      <c r="P51" s="389"/>
      <c r="Q51" s="389" t="s">
        <v>18</v>
      </c>
      <c r="R51" s="389"/>
      <c r="S51" s="389" t="s">
        <v>18</v>
      </c>
      <c r="T51" s="389"/>
      <c r="U51" s="416" t="s">
        <v>8</v>
      </c>
      <c r="V51" s="389"/>
      <c r="W51" s="416" t="s">
        <v>8</v>
      </c>
      <c r="X51" s="389"/>
      <c r="Y51" s="416" t="s">
        <v>8</v>
      </c>
      <c r="Z51" s="389"/>
      <c r="AA51" s="416" t="s">
        <v>8</v>
      </c>
      <c r="AB51" s="389"/>
      <c r="AC51" s="416" t="s">
        <v>8</v>
      </c>
      <c r="AD51" s="389"/>
      <c r="AE51" s="417" t="s">
        <v>8</v>
      </c>
      <c r="AF51" s="389"/>
      <c r="AG51" s="417" t="s">
        <v>8</v>
      </c>
      <c r="AH51" s="389"/>
      <c r="AI51" s="416" t="s">
        <v>8</v>
      </c>
      <c r="AJ51" s="394"/>
      <c r="AK51" s="391">
        <f t="shared" si="11"/>
        <v>17</v>
      </c>
      <c r="AL51" s="392">
        <f t="shared" si="12"/>
        <v>17</v>
      </c>
    </row>
    <row r="52" ht="39.75" customHeight="1">
      <c r="A52" s="411" t="s">
        <v>177</v>
      </c>
      <c r="B52" s="412" t="s">
        <v>178</v>
      </c>
      <c r="C52" s="387" t="s">
        <v>56</v>
      </c>
      <c r="D52" s="388"/>
      <c r="E52" s="389" t="s">
        <v>67</v>
      </c>
      <c r="F52" s="389"/>
      <c r="G52" s="389" t="s">
        <v>67</v>
      </c>
      <c r="H52" s="389"/>
      <c r="I52" s="389" t="s">
        <v>67</v>
      </c>
      <c r="J52" s="389"/>
      <c r="K52" s="389" t="s">
        <v>67</v>
      </c>
      <c r="L52" s="389"/>
      <c r="M52" s="389" t="s">
        <v>67</v>
      </c>
      <c r="N52" s="389"/>
      <c r="O52" s="389" t="s">
        <v>67</v>
      </c>
      <c r="P52" s="389"/>
      <c r="Q52" s="389" t="s">
        <v>67</v>
      </c>
      <c r="R52" s="389"/>
      <c r="S52" s="389" t="s">
        <v>67</v>
      </c>
      <c r="T52" s="389"/>
      <c r="U52" s="389" t="s">
        <v>67</v>
      </c>
      <c r="V52" s="389"/>
      <c r="W52" s="389" t="s">
        <v>67</v>
      </c>
      <c r="X52" s="389"/>
      <c r="Y52" s="418" t="s">
        <v>84</v>
      </c>
      <c r="Z52" s="389"/>
      <c r="AA52" s="418" t="s">
        <v>84</v>
      </c>
      <c r="AB52" s="389"/>
      <c r="AC52" s="389" t="s">
        <v>76</v>
      </c>
      <c r="AD52" s="389"/>
      <c r="AE52" s="389" t="s">
        <v>76</v>
      </c>
      <c r="AF52" s="389"/>
      <c r="AG52" s="418" t="s">
        <v>84</v>
      </c>
      <c r="AH52" s="389"/>
      <c r="AI52" s="394" t="s">
        <v>76</v>
      </c>
      <c r="AJ52" s="394"/>
      <c r="AK52" s="391">
        <f t="shared" si="11"/>
        <v>17</v>
      </c>
      <c r="AL52" s="392">
        <f t="shared" si="12"/>
        <v>17</v>
      </c>
    </row>
    <row r="53" ht="39.75" customHeight="1">
      <c r="A53" s="414" t="s">
        <v>179</v>
      </c>
      <c r="B53" s="415" t="s">
        <v>180</v>
      </c>
      <c r="C53" s="387"/>
      <c r="D53" s="388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94"/>
      <c r="X53" s="389"/>
      <c r="Y53" s="394"/>
      <c r="Z53" s="389"/>
      <c r="AA53" s="394"/>
      <c r="AB53" s="389"/>
      <c r="AC53" s="394"/>
      <c r="AD53" s="389"/>
      <c r="AE53" s="389"/>
      <c r="AF53" s="389"/>
      <c r="AG53" s="394"/>
      <c r="AH53" s="389"/>
      <c r="AI53" s="394"/>
      <c r="AJ53" s="394"/>
      <c r="AK53" s="391"/>
      <c r="AL53" s="392"/>
    </row>
    <row r="54" ht="39.75" customHeight="1">
      <c r="A54" s="404" t="s">
        <v>181</v>
      </c>
      <c r="B54" s="405" t="s">
        <v>182</v>
      </c>
      <c r="C54" s="387" t="s">
        <v>56</v>
      </c>
      <c r="D54" s="388"/>
      <c r="E54" s="387"/>
      <c r="F54" s="389"/>
      <c r="G54" s="387"/>
      <c r="H54" s="389"/>
      <c r="I54" s="387"/>
      <c r="J54" s="389"/>
      <c r="K54" s="389"/>
      <c r="L54" s="389"/>
      <c r="M54" s="389"/>
      <c r="N54" s="389"/>
      <c r="O54" s="389"/>
      <c r="P54" s="389"/>
      <c r="Q54" s="389"/>
      <c r="R54" s="389"/>
      <c r="S54" s="387"/>
      <c r="T54" s="389"/>
      <c r="U54" s="387"/>
      <c r="V54" s="389"/>
      <c r="W54" s="393" t="s">
        <v>84</v>
      </c>
      <c r="X54" s="389"/>
      <c r="Y54" s="393" t="s">
        <v>84</v>
      </c>
      <c r="Z54" s="389"/>
      <c r="AA54" s="393" t="s">
        <v>84</v>
      </c>
      <c r="AB54" s="389"/>
      <c r="AC54" s="393" t="s">
        <v>84</v>
      </c>
      <c r="AD54" s="389"/>
      <c r="AE54" s="393" t="s">
        <v>84</v>
      </c>
      <c r="AF54" s="389"/>
      <c r="AG54" s="393" t="s">
        <v>84</v>
      </c>
      <c r="AH54" s="389"/>
      <c r="AI54" s="419" t="s">
        <v>84</v>
      </c>
      <c r="AJ54" s="394"/>
      <c r="AK54" s="391">
        <f>COUNTIF(C54:AJ54,"&gt;=R")</f>
        <v>8</v>
      </c>
      <c r="AL54" s="392">
        <f>AK54</f>
        <v>8</v>
      </c>
    </row>
    <row r="55" ht="39.75" customHeight="1">
      <c r="A55" s="395" t="s">
        <v>183</v>
      </c>
      <c r="B55" s="396" t="s">
        <v>184</v>
      </c>
      <c r="C55" s="397"/>
      <c r="D55" s="398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99"/>
      <c r="AD55" s="399"/>
      <c r="AE55" s="399"/>
      <c r="AF55" s="399"/>
      <c r="AG55" s="399"/>
      <c r="AH55" s="399"/>
      <c r="AI55" s="400"/>
      <c r="AJ55" s="400"/>
      <c r="AK55" s="399"/>
      <c r="AL55" s="401"/>
    </row>
    <row r="56" ht="39.75" customHeight="1">
      <c r="A56" s="385" t="s">
        <v>185</v>
      </c>
      <c r="B56" s="386" t="s">
        <v>186</v>
      </c>
      <c r="C56" s="387" t="s">
        <v>27</v>
      </c>
      <c r="D56" s="388"/>
      <c r="E56" s="389" t="s">
        <v>27</v>
      </c>
      <c r="F56" s="389"/>
      <c r="G56" s="389" t="s">
        <v>27</v>
      </c>
      <c r="H56" s="389"/>
      <c r="I56" s="389" t="s">
        <v>27</v>
      </c>
      <c r="J56" s="389"/>
      <c r="K56" s="389" t="s">
        <v>27</v>
      </c>
      <c r="L56" s="389"/>
      <c r="M56" s="389" t="s">
        <v>27</v>
      </c>
      <c r="N56" s="389"/>
      <c r="O56" s="389" t="s">
        <v>27</v>
      </c>
      <c r="P56" s="389"/>
      <c r="Q56" s="389" t="s">
        <v>27</v>
      </c>
      <c r="R56" s="389"/>
      <c r="S56" s="389" t="s">
        <v>27</v>
      </c>
      <c r="T56" s="389"/>
      <c r="U56" s="389" t="s">
        <v>27</v>
      </c>
      <c r="V56" s="389"/>
      <c r="W56" s="389" t="s">
        <v>37</v>
      </c>
      <c r="X56" s="389"/>
      <c r="Y56" s="389" t="s">
        <v>37</v>
      </c>
      <c r="Z56" s="389"/>
      <c r="AA56" s="389" t="s">
        <v>37</v>
      </c>
      <c r="AB56" s="389"/>
      <c r="AC56" s="389" t="s">
        <v>37</v>
      </c>
      <c r="AD56" s="389"/>
      <c r="AE56" s="389" t="s">
        <v>37</v>
      </c>
      <c r="AF56" s="389"/>
      <c r="AG56" s="389" t="s">
        <v>47</v>
      </c>
      <c r="AH56" s="389"/>
      <c r="AI56" s="394" t="s">
        <v>47</v>
      </c>
      <c r="AJ56" s="394"/>
      <c r="AK56" s="391">
        <f t="shared" ref="AK56:AK59" si="13">COUNTIF(C56:AJ56,"&gt;=R")</f>
        <v>17</v>
      </c>
      <c r="AL56" s="392">
        <f t="shared" ref="AL56:AL59" si="14">AK56</f>
        <v>17</v>
      </c>
    </row>
    <row r="57" ht="39.75" customHeight="1">
      <c r="A57" s="385" t="s">
        <v>187</v>
      </c>
      <c r="B57" s="386" t="s">
        <v>188</v>
      </c>
      <c r="C57" s="387" t="s">
        <v>37</v>
      </c>
      <c r="D57" s="388"/>
      <c r="E57" s="389" t="s">
        <v>37</v>
      </c>
      <c r="F57" s="389"/>
      <c r="G57" s="389" t="s">
        <v>37</v>
      </c>
      <c r="H57" s="389"/>
      <c r="I57" s="389" t="s">
        <v>37</v>
      </c>
      <c r="J57" s="389"/>
      <c r="K57" s="389" t="s">
        <v>37</v>
      </c>
      <c r="L57" s="389"/>
      <c r="M57" s="389" t="s">
        <v>37</v>
      </c>
      <c r="N57" s="389"/>
      <c r="O57" s="389" t="s">
        <v>37</v>
      </c>
      <c r="P57" s="389"/>
      <c r="Q57" s="389" t="s">
        <v>37</v>
      </c>
      <c r="R57" s="389"/>
      <c r="S57" s="389" t="s">
        <v>37</v>
      </c>
      <c r="T57" s="389"/>
      <c r="U57" s="389" t="s">
        <v>37</v>
      </c>
      <c r="V57" s="389"/>
      <c r="W57" s="389" t="s">
        <v>47</v>
      </c>
      <c r="X57" s="389"/>
      <c r="Y57" s="389" t="s">
        <v>47</v>
      </c>
      <c r="Z57" s="389"/>
      <c r="AA57" s="389" t="s">
        <v>47</v>
      </c>
      <c r="AB57" s="389"/>
      <c r="AC57" s="389" t="s">
        <v>47</v>
      </c>
      <c r="AD57" s="389"/>
      <c r="AE57" s="389" t="s">
        <v>47</v>
      </c>
      <c r="AF57" s="389"/>
      <c r="AG57" s="389" t="s">
        <v>47</v>
      </c>
      <c r="AH57" s="389"/>
      <c r="AI57" s="394" t="s">
        <v>47</v>
      </c>
      <c r="AJ57" s="394"/>
      <c r="AK57" s="391">
        <f t="shared" si="13"/>
        <v>17</v>
      </c>
      <c r="AL57" s="392">
        <f t="shared" si="14"/>
        <v>17</v>
      </c>
    </row>
    <row r="58" ht="39.75" customHeight="1">
      <c r="A58" s="385" t="s">
        <v>189</v>
      </c>
      <c r="B58" s="386" t="s">
        <v>190</v>
      </c>
      <c r="C58" s="388" t="s">
        <v>47</v>
      </c>
      <c r="D58" s="388"/>
      <c r="E58" s="389" t="s">
        <v>47</v>
      </c>
      <c r="F58" s="389"/>
      <c r="G58" s="389" t="s">
        <v>47</v>
      </c>
      <c r="H58" s="389"/>
      <c r="I58" s="389" t="s">
        <v>47</v>
      </c>
      <c r="J58" s="389"/>
      <c r="K58" s="389" t="s">
        <v>47</v>
      </c>
      <c r="L58" s="389"/>
      <c r="M58" s="389" t="s">
        <v>47</v>
      </c>
      <c r="N58" s="389"/>
      <c r="O58" s="389" t="s">
        <v>47</v>
      </c>
      <c r="P58" s="389"/>
      <c r="Q58" s="389" t="s">
        <v>47</v>
      </c>
      <c r="R58" s="389"/>
      <c r="S58" s="389" t="s">
        <v>47</v>
      </c>
      <c r="T58" s="389"/>
      <c r="U58" s="389" t="s">
        <v>47</v>
      </c>
      <c r="V58" s="389"/>
      <c r="W58" s="389" t="s">
        <v>47</v>
      </c>
      <c r="X58" s="389"/>
      <c r="Y58" s="389" t="s">
        <v>47</v>
      </c>
      <c r="Z58" s="389"/>
      <c r="AA58" s="389" t="s">
        <v>47</v>
      </c>
      <c r="AB58" s="389"/>
      <c r="AC58" s="389" t="s">
        <v>47</v>
      </c>
      <c r="AD58" s="389"/>
      <c r="AE58" s="389" t="s">
        <v>47</v>
      </c>
      <c r="AF58" s="389"/>
      <c r="AG58" s="389" t="s">
        <v>47</v>
      </c>
      <c r="AH58" s="389"/>
      <c r="AI58" s="389" t="s">
        <v>47</v>
      </c>
      <c r="AJ58" s="394"/>
      <c r="AK58" s="391">
        <f t="shared" si="13"/>
        <v>17</v>
      </c>
      <c r="AL58" s="392">
        <f t="shared" si="14"/>
        <v>17</v>
      </c>
    </row>
    <row r="59" ht="39.75" customHeight="1">
      <c r="A59" s="385" t="s">
        <v>191</v>
      </c>
      <c r="B59" s="386" t="s">
        <v>192</v>
      </c>
      <c r="C59" s="388"/>
      <c r="D59" s="388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94"/>
      <c r="X59" s="389"/>
      <c r="Y59" s="394"/>
      <c r="Z59" s="389"/>
      <c r="AA59" s="389"/>
      <c r="AB59" s="389"/>
      <c r="AC59" s="389"/>
      <c r="AD59" s="389"/>
      <c r="AE59" s="394"/>
      <c r="AF59" s="389"/>
      <c r="AG59" s="389"/>
      <c r="AH59" s="389"/>
      <c r="AI59" s="389"/>
      <c r="AJ59" s="394"/>
      <c r="AK59" s="391">
        <f t="shared" si="13"/>
        <v>0</v>
      </c>
      <c r="AL59" s="392">
        <f t="shared" si="14"/>
        <v>0</v>
      </c>
    </row>
    <row r="60" ht="39.75" customHeight="1">
      <c r="A60" s="395" t="s">
        <v>193</v>
      </c>
      <c r="B60" s="396" t="s">
        <v>194</v>
      </c>
      <c r="C60" s="397"/>
      <c r="D60" s="398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  <c r="AA60" s="399"/>
      <c r="AB60" s="399"/>
      <c r="AC60" s="399"/>
      <c r="AD60" s="399"/>
      <c r="AE60" s="399"/>
      <c r="AF60" s="399"/>
      <c r="AG60" s="399"/>
      <c r="AH60" s="399"/>
      <c r="AI60" s="400"/>
      <c r="AJ60" s="400"/>
      <c r="AK60" s="399"/>
      <c r="AL60" s="401"/>
    </row>
    <row r="61" ht="39.75" customHeight="1">
      <c r="A61" s="414" t="s">
        <v>195</v>
      </c>
      <c r="B61" s="415" t="s">
        <v>196</v>
      </c>
      <c r="C61" s="387"/>
      <c r="D61" s="388"/>
      <c r="E61" s="389"/>
      <c r="F61" s="389"/>
      <c r="G61" s="394"/>
      <c r="H61" s="389"/>
      <c r="I61" s="394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94"/>
      <c r="X61" s="389"/>
      <c r="Y61" s="394"/>
      <c r="Z61" s="389"/>
      <c r="AA61" s="394"/>
      <c r="AB61" s="389"/>
      <c r="AC61" s="394"/>
      <c r="AD61" s="389"/>
      <c r="AE61" s="394"/>
      <c r="AF61" s="389"/>
      <c r="AG61" s="389"/>
      <c r="AH61" s="389"/>
      <c r="AI61" s="389"/>
      <c r="AJ61" s="394"/>
      <c r="AK61" s="391"/>
      <c r="AL61" s="392"/>
    </row>
    <row r="62" ht="39.75" customHeight="1">
      <c r="A62" s="411" t="s">
        <v>197</v>
      </c>
      <c r="B62" s="412" t="s">
        <v>139</v>
      </c>
      <c r="C62" s="387" t="s">
        <v>46</v>
      </c>
      <c r="D62" s="388"/>
      <c r="E62" s="389" t="s">
        <v>46</v>
      </c>
      <c r="F62" s="389"/>
      <c r="G62" s="389" t="s">
        <v>46</v>
      </c>
      <c r="H62" s="389"/>
      <c r="I62" s="389" t="s">
        <v>46</v>
      </c>
      <c r="J62" s="389"/>
      <c r="K62" s="389" t="s">
        <v>46</v>
      </c>
      <c r="L62" s="389"/>
      <c r="M62" s="389" t="s">
        <v>46</v>
      </c>
      <c r="N62" s="389"/>
      <c r="O62" s="389" t="s">
        <v>46</v>
      </c>
      <c r="P62" s="389"/>
      <c r="Q62" s="389" t="s">
        <v>7</v>
      </c>
      <c r="R62" s="389"/>
      <c r="S62" s="389" t="s">
        <v>7</v>
      </c>
      <c r="T62" s="389"/>
      <c r="U62" s="389" t="s">
        <v>7</v>
      </c>
      <c r="V62" s="389"/>
      <c r="W62" s="389" t="s">
        <v>7</v>
      </c>
      <c r="X62" s="389"/>
      <c r="Y62" s="389" t="s">
        <v>7</v>
      </c>
      <c r="Z62" s="389"/>
      <c r="AA62" s="389" t="s">
        <v>7</v>
      </c>
      <c r="AB62" s="389"/>
      <c r="AC62" s="389" t="s">
        <v>7</v>
      </c>
      <c r="AD62" s="389"/>
      <c r="AE62" s="389" t="s">
        <v>7</v>
      </c>
      <c r="AF62" s="389"/>
      <c r="AG62" s="389" t="s">
        <v>7</v>
      </c>
      <c r="AH62" s="389"/>
      <c r="AI62" s="394" t="s">
        <v>7</v>
      </c>
      <c r="AJ62" s="394"/>
      <c r="AK62" s="391">
        <f t="shared" ref="AK62:AK66" si="15">COUNTIF(C62:AJ62,"&gt;=R")</f>
        <v>17</v>
      </c>
      <c r="AL62" s="392">
        <f t="shared" ref="AL62:AL66" si="16">AK62</f>
        <v>17</v>
      </c>
    </row>
    <row r="63" ht="39.75" customHeight="1">
      <c r="A63" s="414" t="s">
        <v>198</v>
      </c>
      <c r="B63" s="415" t="s">
        <v>199</v>
      </c>
      <c r="C63" s="387"/>
      <c r="D63" s="388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94"/>
      <c r="AJ63" s="394"/>
      <c r="AK63" s="391">
        <f t="shared" si="15"/>
        <v>0</v>
      </c>
      <c r="AL63" s="392">
        <f t="shared" si="16"/>
        <v>0</v>
      </c>
    </row>
    <row r="64" ht="39.75" customHeight="1">
      <c r="A64" s="411" t="s">
        <v>200</v>
      </c>
      <c r="B64" s="412" t="s">
        <v>176</v>
      </c>
      <c r="C64" s="387" t="s">
        <v>56</v>
      </c>
      <c r="D64" s="388"/>
      <c r="E64" s="387" t="s">
        <v>56</v>
      </c>
      <c r="F64" s="389"/>
      <c r="G64" s="394" t="s">
        <v>67</v>
      </c>
      <c r="H64" s="389"/>
      <c r="I64" s="389" t="s">
        <v>67</v>
      </c>
      <c r="J64" s="389"/>
      <c r="K64" s="389" t="s">
        <v>67</v>
      </c>
      <c r="L64" s="389"/>
      <c r="M64" s="389" t="s">
        <v>67</v>
      </c>
      <c r="N64" s="389"/>
      <c r="O64" s="389"/>
      <c r="P64" s="389"/>
      <c r="Q64" s="389"/>
      <c r="R64" s="389"/>
      <c r="S64" s="389"/>
      <c r="T64" s="389"/>
      <c r="U64" s="394"/>
      <c r="V64" s="389"/>
      <c r="W64" s="394"/>
      <c r="X64" s="389"/>
      <c r="Y64" s="394"/>
      <c r="Z64" s="389"/>
      <c r="AA64" s="394"/>
      <c r="AB64" s="389"/>
      <c r="AC64" s="394"/>
      <c r="AD64" s="389"/>
      <c r="AE64" s="389"/>
      <c r="AF64" s="389"/>
      <c r="AG64" s="389"/>
      <c r="AH64" s="389"/>
      <c r="AI64" s="394"/>
      <c r="AJ64" s="394"/>
      <c r="AK64" s="391">
        <f t="shared" si="15"/>
        <v>6</v>
      </c>
      <c r="AL64" s="392">
        <f t="shared" si="16"/>
        <v>6</v>
      </c>
    </row>
    <row r="65" ht="39.75" customHeight="1">
      <c r="A65" s="414" t="s">
        <v>201</v>
      </c>
      <c r="B65" s="415" t="s">
        <v>202</v>
      </c>
      <c r="C65" s="387"/>
      <c r="D65" s="388"/>
      <c r="E65" s="389"/>
      <c r="F65" s="389"/>
      <c r="G65" s="394"/>
      <c r="H65" s="389"/>
      <c r="I65" s="394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94"/>
      <c r="AF65" s="389"/>
      <c r="AG65" s="389"/>
      <c r="AH65" s="389"/>
      <c r="AI65" s="389"/>
      <c r="AJ65" s="394"/>
      <c r="AK65" s="391">
        <f t="shared" si="15"/>
        <v>0</v>
      </c>
      <c r="AL65" s="392">
        <f t="shared" si="16"/>
        <v>0</v>
      </c>
    </row>
    <row r="66" ht="39.75" customHeight="1">
      <c r="A66" s="411" t="s">
        <v>203</v>
      </c>
      <c r="B66" s="412" t="s">
        <v>204</v>
      </c>
      <c r="C66" s="387" t="s">
        <v>67</v>
      </c>
      <c r="D66" s="388"/>
      <c r="E66" s="389" t="s">
        <v>67</v>
      </c>
      <c r="F66" s="389"/>
      <c r="G66" s="389" t="s">
        <v>67</v>
      </c>
      <c r="H66" s="389"/>
      <c r="I66" s="389" t="s">
        <v>67</v>
      </c>
      <c r="J66" s="389"/>
      <c r="K66" s="389" t="s">
        <v>67</v>
      </c>
      <c r="L66" s="389"/>
      <c r="M66" s="389" t="s">
        <v>67</v>
      </c>
      <c r="N66" s="389"/>
      <c r="O66" s="389"/>
      <c r="P66" s="389"/>
      <c r="Q66" s="394"/>
      <c r="R66" s="389"/>
      <c r="S66" s="394"/>
      <c r="T66" s="389"/>
      <c r="U66" s="394"/>
      <c r="V66" s="389"/>
      <c r="W66" s="394"/>
      <c r="X66" s="389"/>
      <c r="Y66" s="394"/>
      <c r="Z66" s="389"/>
      <c r="AA66" s="394"/>
      <c r="AB66" s="389"/>
      <c r="AC66" s="394"/>
      <c r="AD66" s="389"/>
      <c r="AE66" s="394"/>
      <c r="AF66" s="389"/>
      <c r="AG66" s="389"/>
      <c r="AH66" s="389"/>
      <c r="AI66" s="389"/>
      <c r="AJ66" s="394"/>
      <c r="AK66" s="391">
        <f t="shared" si="15"/>
        <v>6</v>
      </c>
      <c r="AL66" s="392">
        <f t="shared" si="16"/>
        <v>6</v>
      </c>
    </row>
    <row r="67" ht="39.75" customHeight="1">
      <c r="A67" s="395" t="s">
        <v>205</v>
      </c>
      <c r="B67" s="396" t="s">
        <v>206</v>
      </c>
      <c r="C67" s="397"/>
      <c r="D67" s="398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400"/>
      <c r="AJ67" s="400"/>
      <c r="AK67" s="399"/>
      <c r="AL67" s="401"/>
    </row>
    <row r="68" ht="39.75" customHeight="1">
      <c r="A68" s="385" t="s">
        <v>207</v>
      </c>
      <c r="B68" s="386" t="s">
        <v>208</v>
      </c>
      <c r="C68" s="388" t="s">
        <v>47</v>
      </c>
      <c r="D68" s="388"/>
      <c r="E68" s="389" t="s">
        <v>47</v>
      </c>
      <c r="F68" s="389"/>
      <c r="G68" s="389" t="s">
        <v>47</v>
      </c>
      <c r="H68" s="389"/>
      <c r="I68" s="389" t="s">
        <v>47</v>
      </c>
      <c r="J68" s="389"/>
      <c r="K68" s="389" t="s">
        <v>47</v>
      </c>
      <c r="L68" s="389"/>
      <c r="M68" s="389" t="s">
        <v>47</v>
      </c>
      <c r="N68" s="389"/>
      <c r="O68" s="389" t="s">
        <v>47</v>
      </c>
      <c r="P68" s="389"/>
      <c r="Q68" s="389" t="s">
        <v>47</v>
      </c>
      <c r="R68" s="389"/>
      <c r="S68" s="389" t="s">
        <v>47</v>
      </c>
      <c r="T68" s="389"/>
      <c r="U68" s="389" t="s">
        <v>47</v>
      </c>
      <c r="V68" s="389"/>
      <c r="W68" s="389" t="s">
        <v>47</v>
      </c>
      <c r="X68" s="389"/>
      <c r="Y68" s="389" t="s">
        <v>47</v>
      </c>
      <c r="Z68" s="389"/>
      <c r="AA68" s="389" t="s">
        <v>47</v>
      </c>
      <c r="AB68" s="389"/>
      <c r="AC68" s="389" t="s">
        <v>47</v>
      </c>
      <c r="AD68" s="389"/>
      <c r="AE68" s="389" t="s">
        <v>47</v>
      </c>
      <c r="AF68" s="389"/>
      <c r="AG68" s="389" t="s">
        <v>47</v>
      </c>
      <c r="AH68" s="389"/>
      <c r="AI68" s="394" t="s">
        <v>47</v>
      </c>
      <c r="AJ68" s="394"/>
      <c r="AK68" s="391">
        <f>COUNTIF(C68:AJ68,"&gt;=R")</f>
        <v>17</v>
      </c>
      <c r="AL68" s="392">
        <f>AK68</f>
        <v>17</v>
      </c>
    </row>
    <row r="69" ht="39.75" customHeight="1">
      <c r="A69" s="395" t="s">
        <v>209</v>
      </c>
      <c r="B69" s="396" t="s">
        <v>210</v>
      </c>
      <c r="C69" s="397"/>
      <c r="D69" s="398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400"/>
      <c r="AJ69" s="400"/>
      <c r="AK69" s="399"/>
      <c r="AL69" s="401"/>
    </row>
    <row r="70" ht="39.75" customHeight="1">
      <c r="A70" s="385" t="s">
        <v>211</v>
      </c>
      <c r="B70" s="386" t="s">
        <v>212</v>
      </c>
      <c r="C70" s="387" t="s">
        <v>92</v>
      </c>
      <c r="D70" s="388"/>
      <c r="E70" s="389" t="s">
        <v>92</v>
      </c>
      <c r="F70" s="389"/>
      <c r="G70" s="417" t="s">
        <v>8</v>
      </c>
      <c r="H70" s="389"/>
      <c r="I70" s="417" t="s">
        <v>8</v>
      </c>
      <c r="J70" s="389"/>
      <c r="K70" s="417" t="s">
        <v>8</v>
      </c>
      <c r="L70" s="389"/>
      <c r="M70" s="417" t="s">
        <v>8</v>
      </c>
      <c r="N70" s="389"/>
      <c r="O70" s="389" t="s">
        <v>18</v>
      </c>
      <c r="P70" s="389"/>
      <c r="Q70" s="389" t="s">
        <v>18</v>
      </c>
      <c r="R70" s="389"/>
      <c r="S70" s="389" t="s">
        <v>18</v>
      </c>
      <c r="T70" s="389"/>
      <c r="U70" s="389" t="s">
        <v>18</v>
      </c>
      <c r="V70" s="389"/>
      <c r="W70" s="389" t="s">
        <v>18</v>
      </c>
      <c r="X70" s="389"/>
      <c r="Y70" s="389" t="s">
        <v>18</v>
      </c>
      <c r="Z70" s="389"/>
      <c r="AA70" s="389" t="s">
        <v>18</v>
      </c>
      <c r="AB70" s="389"/>
      <c r="AC70" s="389" t="s">
        <v>18</v>
      </c>
      <c r="AD70" s="389"/>
      <c r="AE70" s="389" t="s">
        <v>18</v>
      </c>
      <c r="AF70" s="389"/>
      <c r="AG70" s="389" t="s">
        <v>28</v>
      </c>
      <c r="AH70" s="389"/>
      <c r="AI70" s="394" t="s">
        <v>38</v>
      </c>
      <c r="AJ70" s="394"/>
      <c r="AK70" s="391">
        <f t="shared" ref="AK70:AK71" si="17">COUNTIF(C70:AJ70,"&gt;=R")</f>
        <v>17</v>
      </c>
      <c r="AL70" s="392">
        <f t="shared" ref="AL70:AL71" si="18">AK70</f>
        <v>17</v>
      </c>
    </row>
    <row r="71" ht="39.75" customHeight="1">
      <c r="A71" s="385" t="s">
        <v>213</v>
      </c>
      <c r="B71" s="386" t="s">
        <v>214</v>
      </c>
      <c r="C71" s="387" t="s">
        <v>38</v>
      </c>
      <c r="D71" s="388"/>
      <c r="E71" s="394" t="s">
        <v>38</v>
      </c>
      <c r="F71" s="389"/>
      <c r="G71" s="389" t="s">
        <v>18</v>
      </c>
      <c r="H71" s="389"/>
      <c r="I71" s="389" t="s">
        <v>18</v>
      </c>
      <c r="J71" s="389"/>
      <c r="K71" s="389" t="s">
        <v>18</v>
      </c>
      <c r="L71" s="389"/>
      <c r="M71" s="394" t="s">
        <v>18</v>
      </c>
      <c r="N71" s="389"/>
      <c r="O71" s="389" t="s">
        <v>18</v>
      </c>
      <c r="P71" s="389"/>
      <c r="Q71" s="389" t="s">
        <v>18</v>
      </c>
      <c r="R71" s="389"/>
      <c r="S71" s="389" t="s">
        <v>28</v>
      </c>
      <c r="T71" s="389"/>
      <c r="U71" s="389" t="s">
        <v>28</v>
      </c>
      <c r="V71" s="389"/>
      <c r="W71" s="389" t="s">
        <v>38</v>
      </c>
      <c r="X71" s="389"/>
      <c r="Y71" s="389" t="s">
        <v>38</v>
      </c>
      <c r="Z71" s="389"/>
      <c r="AA71" s="389" t="s">
        <v>38</v>
      </c>
      <c r="AB71" s="389"/>
      <c r="AC71" s="389" t="s">
        <v>38</v>
      </c>
      <c r="AD71" s="389"/>
      <c r="AE71" s="389" t="s">
        <v>38</v>
      </c>
      <c r="AF71" s="389"/>
      <c r="AG71" s="389" t="s">
        <v>48</v>
      </c>
      <c r="AH71" s="389"/>
      <c r="AI71" s="389" t="s">
        <v>48</v>
      </c>
      <c r="AJ71" s="394"/>
      <c r="AK71" s="391">
        <f t="shared" si="17"/>
        <v>17</v>
      </c>
      <c r="AL71" s="392">
        <f t="shared" si="18"/>
        <v>17</v>
      </c>
    </row>
    <row r="72" ht="39.75" customHeight="1">
      <c r="A72" s="395" t="s">
        <v>215</v>
      </c>
      <c r="B72" s="396" t="s">
        <v>216</v>
      </c>
      <c r="C72" s="397"/>
      <c r="D72" s="398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  <c r="AA72" s="399"/>
      <c r="AB72" s="399"/>
      <c r="AC72" s="399"/>
      <c r="AD72" s="399"/>
      <c r="AE72" s="399"/>
      <c r="AF72" s="399"/>
      <c r="AG72" s="399"/>
      <c r="AH72" s="399"/>
      <c r="AI72" s="400"/>
      <c r="AJ72" s="400"/>
      <c r="AK72" s="399"/>
      <c r="AL72" s="401"/>
    </row>
    <row r="73" ht="39.75" customHeight="1">
      <c r="A73" s="385" t="s">
        <v>217</v>
      </c>
      <c r="B73" s="386" t="s">
        <v>218</v>
      </c>
      <c r="C73" s="420" t="s">
        <v>8</v>
      </c>
      <c r="D73" s="388"/>
      <c r="E73" s="420" t="s">
        <v>8</v>
      </c>
      <c r="F73" s="389"/>
      <c r="G73" s="387" t="s">
        <v>18</v>
      </c>
      <c r="H73" s="389"/>
      <c r="I73" s="387" t="s">
        <v>18</v>
      </c>
      <c r="J73" s="389"/>
      <c r="K73" s="389" t="s">
        <v>85</v>
      </c>
      <c r="L73" s="389"/>
      <c r="M73" s="389" t="s">
        <v>85</v>
      </c>
      <c r="N73" s="389"/>
      <c r="O73" s="389" t="s">
        <v>85</v>
      </c>
      <c r="P73" s="389"/>
      <c r="Q73" s="389" t="s">
        <v>85</v>
      </c>
      <c r="R73" s="389"/>
      <c r="S73" s="389" t="s">
        <v>85</v>
      </c>
      <c r="T73" s="394"/>
      <c r="U73" s="389" t="s">
        <v>85</v>
      </c>
      <c r="V73" s="394"/>
      <c r="W73" s="389" t="s">
        <v>68</v>
      </c>
      <c r="X73" s="394"/>
      <c r="Y73" s="394" t="s">
        <v>57</v>
      </c>
      <c r="Z73" s="389"/>
      <c r="AA73" s="394" t="s">
        <v>57</v>
      </c>
      <c r="AB73" s="389"/>
      <c r="AC73" s="394" t="s">
        <v>57</v>
      </c>
      <c r="AD73" s="389"/>
      <c r="AE73" s="387" t="s">
        <v>57</v>
      </c>
      <c r="AF73" s="389"/>
      <c r="AG73" s="394" t="s">
        <v>48</v>
      </c>
      <c r="AH73" s="389"/>
      <c r="AI73" s="387" t="s">
        <v>48</v>
      </c>
      <c r="AJ73" s="394"/>
      <c r="AK73" s="391">
        <f>COUNTIF(C73:AJ73,"&gt;=R")</f>
        <v>17</v>
      </c>
      <c r="AL73" s="392">
        <f>AK73</f>
        <v>17</v>
      </c>
    </row>
    <row r="74" ht="39.75" customHeight="1">
      <c r="A74" s="395" t="s">
        <v>219</v>
      </c>
      <c r="B74" s="396" t="s">
        <v>220</v>
      </c>
      <c r="C74" s="397"/>
      <c r="D74" s="398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  <c r="AD74" s="399"/>
      <c r="AE74" s="399"/>
      <c r="AF74" s="399"/>
      <c r="AG74" s="399"/>
      <c r="AH74" s="399"/>
      <c r="AI74" s="400"/>
      <c r="AJ74" s="400"/>
      <c r="AK74" s="399"/>
      <c r="AL74" s="401"/>
    </row>
    <row r="75" ht="39.75" customHeight="1">
      <c r="A75" s="385" t="s">
        <v>221</v>
      </c>
      <c r="B75" s="386" t="s">
        <v>222</v>
      </c>
      <c r="C75" s="388" t="s">
        <v>7</v>
      </c>
      <c r="D75" s="388"/>
      <c r="E75" s="389" t="s">
        <v>7</v>
      </c>
      <c r="F75" s="389"/>
      <c r="G75" s="389" t="s">
        <v>7</v>
      </c>
      <c r="H75" s="389"/>
      <c r="I75" s="389" t="s">
        <v>55</v>
      </c>
      <c r="J75" s="389"/>
      <c r="K75" s="389" t="s">
        <v>55</v>
      </c>
      <c r="L75" s="389"/>
      <c r="M75" s="389" t="s">
        <v>55</v>
      </c>
      <c r="N75" s="389"/>
      <c r="O75" s="389" t="s">
        <v>55</v>
      </c>
      <c r="P75" s="389"/>
      <c r="Q75" s="389" t="s">
        <v>7</v>
      </c>
      <c r="R75" s="389"/>
      <c r="S75" s="389" t="s">
        <v>7</v>
      </c>
      <c r="T75" s="389"/>
      <c r="U75" s="389" t="s">
        <v>7</v>
      </c>
      <c r="V75" s="389"/>
      <c r="W75" s="389" t="s">
        <v>7</v>
      </c>
      <c r="X75" s="389"/>
      <c r="Y75" s="389" t="s">
        <v>7</v>
      </c>
      <c r="Z75" s="389"/>
      <c r="AA75" s="394" t="s">
        <v>7</v>
      </c>
      <c r="AB75" s="389"/>
      <c r="AC75" s="389" t="s">
        <v>7</v>
      </c>
      <c r="AD75" s="389"/>
      <c r="AE75" s="389" t="s">
        <v>7</v>
      </c>
      <c r="AF75" s="389"/>
      <c r="AG75" s="389" t="s">
        <v>7</v>
      </c>
      <c r="AH75" s="389"/>
      <c r="AI75" s="394" t="s">
        <v>27</v>
      </c>
      <c r="AJ75" s="394"/>
      <c r="AK75" s="391">
        <f>COUNTIF(C75:AJ75,"&gt;=R")</f>
        <v>17</v>
      </c>
      <c r="AL75" s="392">
        <f>AK75</f>
        <v>17</v>
      </c>
    </row>
    <row r="76" ht="39.75" customHeight="1">
      <c r="A76" s="407" t="s">
        <v>223</v>
      </c>
      <c r="B76" s="408" t="s">
        <v>224</v>
      </c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94"/>
      <c r="AK76" s="391"/>
      <c r="AL76" s="392"/>
    </row>
    <row r="77" ht="39.75" customHeight="1">
      <c r="A77" s="385" t="s">
        <v>225</v>
      </c>
      <c r="B77" s="386" t="s">
        <v>226</v>
      </c>
      <c r="C77" s="388" t="s">
        <v>7</v>
      </c>
      <c r="D77" s="388"/>
      <c r="E77" s="389" t="s">
        <v>7</v>
      </c>
      <c r="F77" s="389"/>
      <c r="G77" s="389" t="s">
        <v>7</v>
      </c>
      <c r="H77" s="389"/>
      <c r="I77" s="389" t="s">
        <v>55</v>
      </c>
      <c r="J77" s="389"/>
      <c r="K77" s="389" t="s">
        <v>55</v>
      </c>
      <c r="L77" s="389"/>
      <c r="M77" s="389" t="s">
        <v>55</v>
      </c>
      <c r="N77" s="389"/>
      <c r="O77" s="389" t="s">
        <v>55</v>
      </c>
      <c r="P77" s="389"/>
      <c r="Q77" s="389" t="s">
        <v>7</v>
      </c>
      <c r="R77" s="389"/>
      <c r="S77" s="389" t="s">
        <v>7</v>
      </c>
      <c r="T77" s="389"/>
      <c r="U77" s="389" t="s">
        <v>7</v>
      </c>
      <c r="V77" s="389"/>
      <c r="W77" s="389" t="s">
        <v>7</v>
      </c>
      <c r="X77" s="389"/>
      <c r="Y77" s="389" t="s">
        <v>7</v>
      </c>
      <c r="Z77" s="389"/>
      <c r="AA77" s="394" t="s">
        <v>7</v>
      </c>
      <c r="AB77" s="389"/>
      <c r="AC77" s="389" t="s">
        <v>7</v>
      </c>
      <c r="AD77" s="389"/>
      <c r="AE77" s="389" t="s">
        <v>7</v>
      </c>
      <c r="AF77" s="389"/>
      <c r="AG77" s="389" t="s">
        <v>7</v>
      </c>
      <c r="AH77" s="389"/>
      <c r="AI77" s="389" t="s">
        <v>27</v>
      </c>
      <c r="AJ77" s="394"/>
      <c r="AK77" s="391">
        <f t="shared" ref="AK77:AK81" si="19">COUNTIF(C77:AJ77,"&gt;=R")</f>
        <v>17</v>
      </c>
      <c r="AL77" s="392">
        <f t="shared" ref="AL77:AL81" si="20">AK77</f>
        <v>17</v>
      </c>
    </row>
    <row r="78" ht="39.75" customHeight="1">
      <c r="A78" s="385" t="s">
        <v>227</v>
      </c>
      <c r="B78" s="386" t="s">
        <v>228</v>
      </c>
      <c r="C78" s="387"/>
      <c r="D78" s="388"/>
      <c r="E78" s="387"/>
      <c r="F78" s="389"/>
      <c r="G78" s="387"/>
      <c r="H78" s="389"/>
      <c r="I78" s="387"/>
      <c r="J78" s="389"/>
      <c r="K78" s="387"/>
      <c r="L78" s="389"/>
      <c r="M78" s="387"/>
      <c r="N78" s="389"/>
      <c r="O78" s="387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7"/>
      <c r="AJ78" s="394"/>
      <c r="AK78" s="391">
        <f t="shared" si="19"/>
        <v>0</v>
      </c>
      <c r="AL78" s="392">
        <f t="shared" si="20"/>
        <v>0</v>
      </c>
    </row>
    <row r="79" ht="39.75" customHeight="1">
      <c r="A79" s="385" t="s">
        <v>229</v>
      </c>
      <c r="B79" s="386" t="s">
        <v>230</v>
      </c>
      <c r="C79" s="387"/>
      <c r="D79" s="388"/>
      <c r="E79" s="387"/>
      <c r="F79" s="389"/>
      <c r="G79" s="387"/>
      <c r="H79" s="389"/>
      <c r="I79" s="387"/>
      <c r="J79" s="389"/>
      <c r="K79" s="387"/>
      <c r="L79" s="389"/>
      <c r="M79" s="387"/>
      <c r="N79" s="389"/>
      <c r="O79" s="387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7"/>
      <c r="AJ79" s="394"/>
      <c r="AK79" s="391">
        <f t="shared" si="19"/>
        <v>0</v>
      </c>
      <c r="AL79" s="392">
        <f t="shared" si="20"/>
        <v>0</v>
      </c>
    </row>
    <row r="80" ht="39.75" customHeight="1">
      <c r="A80" s="385" t="s">
        <v>231</v>
      </c>
      <c r="B80" s="386" t="s">
        <v>232</v>
      </c>
      <c r="C80" s="387" t="s">
        <v>7</v>
      </c>
      <c r="D80" s="387"/>
      <c r="E80" s="394" t="s">
        <v>7</v>
      </c>
      <c r="F80" s="389"/>
      <c r="G80" s="389" t="s">
        <v>7</v>
      </c>
      <c r="H80" s="389"/>
      <c r="I80" s="389" t="s">
        <v>55</v>
      </c>
      <c r="J80" s="389"/>
      <c r="K80" s="389" t="s">
        <v>55</v>
      </c>
      <c r="L80" s="389"/>
      <c r="M80" s="389" t="s">
        <v>55</v>
      </c>
      <c r="N80" s="389"/>
      <c r="O80" s="389" t="s">
        <v>55</v>
      </c>
      <c r="P80" s="389"/>
      <c r="Q80" s="389" t="s">
        <v>7</v>
      </c>
      <c r="R80" s="389"/>
      <c r="S80" s="389" t="s">
        <v>7</v>
      </c>
      <c r="T80" s="389"/>
      <c r="U80" s="389" t="s">
        <v>7</v>
      </c>
      <c r="V80" s="389"/>
      <c r="W80" s="389" t="s">
        <v>7</v>
      </c>
      <c r="X80" s="389"/>
      <c r="Y80" s="389" t="s">
        <v>7</v>
      </c>
      <c r="Z80" s="389"/>
      <c r="AA80" s="394" t="s">
        <v>7</v>
      </c>
      <c r="AB80" s="389"/>
      <c r="AC80" s="389" t="s">
        <v>7</v>
      </c>
      <c r="AD80" s="389"/>
      <c r="AE80" s="389" t="s">
        <v>7</v>
      </c>
      <c r="AF80" s="389"/>
      <c r="AG80" s="389" t="s">
        <v>7</v>
      </c>
      <c r="AH80" s="389"/>
      <c r="AI80" s="389" t="s">
        <v>27</v>
      </c>
      <c r="AJ80" s="394"/>
      <c r="AK80" s="391">
        <f t="shared" si="19"/>
        <v>17</v>
      </c>
      <c r="AL80" s="392">
        <f t="shared" si="20"/>
        <v>17</v>
      </c>
    </row>
    <row r="81" ht="39.75" customHeight="1">
      <c r="A81" s="404" t="s">
        <v>233</v>
      </c>
      <c r="B81" s="405" t="s">
        <v>234</v>
      </c>
      <c r="C81" s="387" t="s">
        <v>7</v>
      </c>
      <c r="D81" s="387"/>
      <c r="E81" s="394" t="s">
        <v>7</v>
      </c>
      <c r="F81" s="389"/>
      <c r="G81" s="389" t="s">
        <v>7</v>
      </c>
      <c r="H81" s="389"/>
      <c r="I81" s="389" t="s">
        <v>55</v>
      </c>
      <c r="J81" s="389"/>
      <c r="K81" s="389" t="s">
        <v>55</v>
      </c>
      <c r="L81" s="389"/>
      <c r="M81" s="389" t="s">
        <v>55</v>
      </c>
      <c r="N81" s="389"/>
      <c r="O81" s="389" t="s">
        <v>55</v>
      </c>
      <c r="P81" s="389"/>
      <c r="Q81" s="389" t="s">
        <v>7</v>
      </c>
      <c r="R81" s="389"/>
      <c r="S81" s="389" t="s">
        <v>7</v>
      </c>
      <c r="T81" s="389"/>
      <c r="U81" s="389" t="s">
        <v>7</v>
      </c>
      <c r="V81" s="389"/>
      <c r="W81" s="389" t="s">
        <v>7</v>
      </c>
      <c r="X81" s="389"/>
      <c r="Y81" s="389" t="s">
        <v>7</v>
      </c>
      <c r="Z81" s="389"/>
      <c r="AA81" s="394" t="s">
        <v>7</v>
      </c>
      <c r="AB81" s="389"/>
      <c r="AC81" s="389" t="s">
        <v>7</v>
      </c>
      <c r="AD81" s="389"/>
      <c r="AE81" s="389" t="s">
        <v>7</v>
      </c>
      <c r="AF81" s="389"/>
      <c r="AG81" s="389" t="s">
        <v>7</v>
      </c>
      <c r="AH81" s="389"/>
      <c r="AI81" s="389" t="s">
        <v>27</v>
      </c>
      <c r="AJ81" s="394"/>
      <c r="AK81" s="391">
        <f t="shared" si="19"/>
        <v>17</v>
      </c>
      <c r="AL81" s="392">
        <f t="shared" si="20"/>
        <v>17</v>
      </c>
    </row>
    <row r="82" ht="39.75" customHeight="1">
      <c r="A82" s="395" t="s">
        <v>235</v>
      </c>
      <c r="B82" s="396" t="s">
        <v>236</v>
      </c>
      <c r="C82" s="397"/>
      <c r="D82" s="398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400"/>
      <c r="AJ82" s="400"/>
      <c r="AK82" s="399"/>
      <c r="AL82" s="401"/>
    </row>
    <row r="83" ht="39.75" customHeight="1">
      <c r="A83" s="414" t="s">
        <v>237</v>
      </c>
      <c r="B83" s="415" t="s">
        <v>238</v>
      </c>
      <c r="C83" s="387"/>
      <c r="D83" s="387"/>
      <c r="E83" s="394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94"/>
      <c r="AJ83" s="394"/>
      <c r="AK83" s="391"/>
      <c r="AL83" s="392"/>
    </row>
    <row r="84" ht="39.75" customHeight="1">
      <c r="A84" s="385" t="s">
        <v>239</v>
      </c>
      <c r="B84" s="386" t="s">
        <v>139</v>
      </c>
      <c r="C84" s="388" t="s">
        <v>48</v>
      </c>
      <c r="D84" s="387"/>
      <c r="E84" s="389" t="s">
        <v>48</v>
      </c>
      <c r="F84" s="389"/>
      <c r="G84" s="389" t="s">
        <v>28</v>
      </c>
      <c r="H84" s="389"/>
      <c r="I84" s="389" t="s">
        <v>28</v>
      </c>
      <c r="J84" s="389"/>
      <c r="K84" s="389" t="s">
        <v>28</v>
      </c>
      <c r="L84" s="389"/>
      <c r="M84" s="389" t="s">
        <v>28</v>
      </c>
      <c r="N84" s="389"/>
      <c r="O84" s="389" t="s">
        <v>28</v>
      </c>
      <c r="P84" s="389"/>
      <c r="Q84" s="389" t="s">
        <v>28</v>
      </c>
      <c r="R84" s="389"/>
      <c r="S84" s="389" t="s">
        <v>28</v>
      </c>
      <c r="T84" s="389"/>
      <c r="U84" s="389" t="s">
        <v>28</v>
      </c>
      <c r="V84" s="389"/>
      <c r="W84" s="389" t="s">
        <v>48</v>
      </c>
      <c r="X84" s="389"/>
      <c r="Y84" s="387" t="s">
        <v>48</v>
      </c>
      <c r="Z84" s="389"/>
      <c r="AA84" s="387" t="s">
        <v>48</v>
      </c>
      <c r="AB84" s="389"/>
      <c r="AC84" s="387" t="s">
        <v>48</v>
      </c>
      <c r="AD84" s="389"/>
      <c r="AE84" s="387" t="s">
        <v>48</v>
      </c>
      <c r="AF84" s="389"/>
      <c r="AG84" s="387" t="s">
        <v>48</v>
      </c>
      <c r="AH84" s="389"/>
      <c r="AI84" s="387" t="s">
        <v>48</v>
      </c>
      <c r="AJ84" s="394"/>
      <c r="AK84" s="391">
        <f>COUNTIF(C84:AJ84,"&gt;=R")</f>
        <v>17</v>
      </c>
      <c r="AL84" s="392">
        <f>AK84</f>
        <v>17</v>
      </c>
    </row>
    <row r="85" ht="39.75" customHeight="1">
      <c r="A85" s="414" t="s">
        <v>240</v>
      </c>
      <c r="B85" s="415" t="s">
        <v>241</v>
      </c>
      <c r="C85" s="387"/>
      <c r="D85" s="387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94"/>
      <c r="AK85" s="391"/>
      <c r="AL85" s="392"/>
    </row>
    <row r="86" ht="39.75" customHeight="1">
      <c r="A86" s="411" t="s">
        <v>242</v>
      </c>
      <c r="B86" s="412" t="s">
        <v>243</v>
      </c>
      <c r="C86" s="388" t="s">
        <v>48</v>
      </c>
      <c r="D86" s="387"/>
      <c r="E86" s="389" t="s">
        <v>48</v>
      </c>
      <c r="F86" s="389"/>
      <c r="G86" s="389" t="s">
        <v>28</v>
      </c>
      <c r="H86" s="389"/>
      <c r="I86" s="389" t="s">
        <v>28</v>
      </c>
      <c r="J86" s="389"/>
      <c r="K86" s="389" t="s">
        <v>28</v>
      </c>
      <c r="L86" s="389"/>
      <c r="M86" s="389" t="s">
        <v>28</v>
      </c>
      <c r="N86" s="389"/>
      <c r="O86" s="389" t="s">
        <v>28</v>
      </c>
      <c r="P86" s="389"/>
      <c r="Q86" s="389" t="s">
        <v>28</v>
      </c>
      <c r="R86" s="389"/>
      <c r="S86" s="389" t="s">
        <v>28</v>
      </c>
      <c r="T86" s="389"/>
      <c r="U86" s="389" t="s">
        <v>28</v>
      </c>
      <c r="V86" s="389"/>
      <c r="W86" s="389" t="s">
        <v>48</v>
      </c>
      <c r="X86" s="389"/>
      <c r="Y86" s="387" t="s">
        <v>48</v>
      </c>
      <c r="Z86" s="389"/>
      <c r="AA86" s="387" t="s">
        <v>48</v>
      </c>
      <c r="AB86" s="389"/>
      <c r="AC86" s="387" t="s">
        <v>48</v>
      </c>
      <c r="AD86" s="389"/>
      <c r="AE86" s="387" t="s">
        <v>48</v>
      </c>
      <c r="AF86" s="389"/>
      <c r="AG86" s="387" t="s">
        <v>48</v>
      </c>
      <c r="AH86" s="389"/>
      <c r="AI86" s="387" t="s">
        <v>48</v>
      </c>
      <c r="AJ86" s="394"/>
      <c r="AK86" s="391">
        <f t="shared" ref="AK86:AK87" si="21">COUNTIF(C86:AJ86,"&gt;=R")</f>
        <v>17</v>
      </c>
      <c r="AL86" s="392">
        <f t="shared" ref="AL86:AL87" si="22">AK86</f>
        <v>17</v>
      </c>
    </row>
    <row r="87" ht="39.75" customHeight="1">
      <c r="A87" s="411" t="s">
        <v>244</v>
      </c>
      <c r="B87" s="412" t="s">
        <v>245</v>
      </c>
      <c r="C87" s="387"/>
      <c r="D87" s="387"/>
      <c r="E87" s="394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94"/>
      <c r="AJ87" s="394"/>
      <c r="AK87" s="391">
        <f t="shared" si="21"/>
        <v>0</v>
      </c>
      <c r="AL87" s="392">
        <f t="shared" si="22"/>
        <v>0</v>
      </c>
    </row>
    <row r="88" ht="39.75" customHeight="1">
      <c r="A88" s="414" t="s">
        <v>246</v>
      </c>
      <c r="B88" s="415" t="s">
        <v>247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94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94"/>
      <c r="AK88" s="391"/>
      <c r="AL88" s="392"/>
    </row>
    <row r="89" ht="39.75" customHeight="1">
      <c r="A89" s="411" t="s">
        <v>248</v>
      </c>
      <c r="B89" s="412" t="s">
        <v>249</v>
      </c>
      <c r="C89" s="388" t="s">
        <v>18</v>
      </c>
      <c r="D89" s="387"/>
      <c r="E89" s="389" t="s">
        <v>18</v>
      </c>
      <c r="F89" s="389"/>
      <c r="G89" s="389" t="s">
        <v>18</v>
      </c>
      <c r="H89" s="389"/>
      <c r="I89" s="389" t="s">
        <v>18</v>
      </c>
      <c r="J89" s="389"/>
      <c r="K89" s="389" t="s">
        <v>18</v>
      </c>
      <c r="L89" s="389"/>
      <c r="M89" s="389" t="s">
        <v>68</v>
      </c>
      <c r="N89" s="389"/>
      <c r="O89" s="389" t="s">
        <v>18</v>
      </c>
      <c r="P89" s="389"/>
      <c r="Q89" s="389" t="s">
        <v>68</v>
      </c>
      <c r="R89" s="389"/>
      <c r="S89" s="389" t="s">
        <v>68</v>
      </c>
      <c r="T89" s="389"/>
      <c r="U89" s="389" t="s">
        <v>18</v>
      </c>
      <c r="V89" s="389"/>
      <c r="W89" s="389" t="s">
        <v>18</v>
      </c>
      <c r="X89" s="389"/>
      <c r="Y89" s="387" t="s">
        <v>68</v>
      </c>
      <c r="Z89" s="389"/>
      <c r="AA89" s="387" t="s">
        <v>68</v>
      </c>
      <c r="AB89" s="389"/>
      <c r="AC89" s="387" t="s">
        <v>18</v>
      </c>
      <c r="AD89" s="389"/>
      <c r="AE89" s="387" t="s">
        <v>18</v>
      </c>
      <c r="AF89" s="389"/>
      <c r="AG89" s="387" t="s">
        <v>68</v>
      </c>
      <c r="AH89" s="389"/>
      <c r="AI89" s="387" t="s">
        <v>18</v>
      </c>
      <c r="AJ89" s="394"/>
      <c r="AK89" s="391">
        <f t="shared" ref="AK89:AK90" si="23">COUNTIF(C89:AJ89,"&gt;=R")</f>
        <v>17</v>
      </c>
      <c r="AL89" s="392">
        <f t="shared" ref="AL89:AL90" si="24">AK89</f>
        <v>17</v>
      </c>
    </row>
    <row r="90" ht="39.75" customHeight="1">
      <c r="A90" s="411" t="s">
        <v>250</v>
      </c>
      <c r="B90" s="412" t="s">
        <v>251</v>
      </c>
      <c r="C90" s="388" t="s">
        <v>18</v>
      </c>
      <c r="D90" s="387"/>
      <c r="E90" s="389" t="s">
        <v>18</v>
      </c>
      <c r="F90" s="389"/>
      <c r="G90" s="389" t="s">
        <v>18</v>
      </c>
      <c r="H90" s="389"/>
      <c r="I90" s="389" t="s">
        <v>18</v>
      </c>
      <c r="J90" s="389"/>
      <c r="K90" s="389" t="s">
        <v>18</v>
      </c>
      <c r="L90" s="389"/>
      <c r="M90" s="389" t="s">
        <v>68</v>
      </c>
      <c r="N90" s="389"/>
      <c r="O90" s="389" t="s">
        <v>18</v>
      </c>
      <c r="P90" s="389"/>
      <c r="Q90" s="389" t="s">
        <v>68</v>
      </c>
      <c r="R90" s="389"/>
      <c r="S90" s="389" t="s">
        <v>68</v>
      </c>
      <c r="T90" s="389"/>
      <c r="U90" s="389" t="s">
        <v>18</v>
      </c>
      <c r="V90" s="389"/>
      <c r="W90" s="389" t="s">
        <v>18</v>
      </c>
      <c r="X90" s="389"/>
      <c r="Y90" s="387" t="s">
        <v>68</v>
      </c>
      <c r="Z90" s="389"/>
      <c r="AA90" s="387" t="s">
        <v>68</v>
      </c>
      <c r="AB90" s="389"/>
      <c r="AC90" s="387" t="s">
        <v>18</v>
      </c>
      <c r="AD90" s="389"/>
      <c r="AE90" s="387" t="s">
        <v>18</v>
      </c>
      <c r="AF90" s="389"/>
      <c r="AG90" s="387" t="s">
        <v>68</v>
      </c>
      <c r="AH90" s="389"/>
      <c r="AI90" s="387" t="s">
        <v>18</v>
      </c>
      <c r="AJ90" s="394"/>
      <c r="AK90" s="391">
        <f t="shared" si="23"/>
        <v>17</v>
      </c>
      <c r="AL90" s="392">
        <f t="shared" si="24"/>
        <v>17</v>
      </c>
    </row>
    <row r="91" ht="39.75" customHeight="1">
      <c r="A91" s="414" t="s">
        <v>252</v>
      </c>
      <c r="B91" s="415" t="s">
        <v>253</v>
      </c>
      <c r="C91" s="387"/>
      <c r="D91" s="387"/>
      <c r="E91" s="394"/>
      <c r="F91" s="389"/>
      <c r="G91" s="394"/>
      <c r="H91" s="389"/>
      <c r="I91" s="394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94"/>
      <c r="AJ91" s="394"/>
      <c r="AK91" s="391"/>
      <c r="AL91" s="392"/>
    </row>
    <row r="92" ht="39.75" customHeight="1">
      <c r="A92" s="385" t="s">
        <v>254</v>
      </c>
      <c r="B92" s="386" t="s">
        <v>255</v>
      </c>
      <c r="C92" s="387" t="s">
        <v>48</v>
      </c>
      <c r="D92" s="387"/>
      <c r="E92" s="387" t="s">
        <v>48</v>
      </c>
      <c r="F92" s="389"/>
      <c r="G92" s="387" t="s">
        <v>28</v>
      </c>
      <c r="H92" s="389"/>
      <c r="I92" s="387" t="s">
        <v>28</v>
      </c>
      <c r="J92" s="389"/>
      <c r="K92" s="387" t="s">
        <v>28</v>
      </c>
      <c r="L92" s="389"/>
      <c r="M92" s="387" t="s">
        <v>28</v>
      </c>
      <c r="N92" s="389"/>
      <c r="O92" s="387" t="s">
        <v>28</v>
      </c>
      <c r="P92" s="389"/>
      <c r="Q92" s="387" t="s">
        <v>28</v>
      </c>
      <c r="R92" s="389"/>
      <c r="S92" s="387" t="s">
        <v>28</v>
      </c>
      <c r="T92" s="389"/>
      <c r="U92" s="387" t="s">
        <v>28</v>
      </c>
      <c r="V92" s="389"/>
      <c r="W92" s="387" t="s">
        <v>48</v>
      </c>
      <c r="X92" s="389"/>
      <c r="Y92" s="387" t="s">
        <v>48</v>
      </c>
      <c r="Z92" s="389"/>
      <c r="AA92" s="387" t="s">
        <v>48</v>
      </c>
      <c r="AB92" s="389"/>
      <c r="AC92" s="387" t="s">
        <v>48</v>
      </c>
      <c r="AD92" s="389"/>
      <c r="AE92" s="387" t="s">
        <v>48</v>
      </c>
      <c r="AF92" s="389"/>
      <c r="AG92" s="387" t="s">
        <v>48</v>
      </c>
      <c r="AH92" s="389"/>
      <c r="AI92" s="387" t="s">
        <v>48</v>
      </c>
      <c r="AJ92" s="394"/>
      <c r="AK92" s="391">
        <f t="shared" ref="AK92:AK95" si="25">COUNTIF(C92:AJ92,"&gt;=R")</f>
        <v>17</v>
      </c>
      <c r="AL92" s="392">
        <f t="shared" ref="AL92:AL95" si="26">AK92</f>
        <v>17</v>
      </c>
    </row>
    <row r="93" ht="39.75" customHeight="1">
      <c r="A93" s="385" t="s">
        <v>256</v>
      </c>
      <c r="B93" s="386" t="s">
        <v>257</v>
      </c>
      <c r="C93" s="387" t="s">
        <v>48</v>
      </c>
      <c r="D93" s="387"/>
      <c r="E93" s="387" t="s">
        <v>48</v>
      </c>
      <c r="F93" s="389"/>
      <c r="G93" s="387" t="s">
        <v>28</v>
      </c>
      <c r="H93" s="389"/>
      <c r="I93" s="387" t="s">
        <v>28</v>
      </c>
      <c r="J93" s="389"/>
      <c r="K93" s="387" t="s">
        <v>28</v>
      </c>
      <c r="L93" s="389"/>
      <c r="M93" s="387" t="s">
        <v>28</v>
      </c>
      <c r="N93" s="389"/>
      <c r="O93" s="387" t="s">
        <v>28</v>
      </c>
      <c r="P93" s="389"/>
      <c r="Q93" s="387" t="s">
        <v>28</v>
      </c>
      <c r="R93" s="389"/>
      <c r="S93" s="387" t="s">
        <v>28</v>
      </c>
      <c r="T93" s="389"/>
      <c r="U93" s="387" t="s">
        <v>28</v>
      </c>
      <c r="V93" s="389"/>
      <c r="W93" s="387" t="s">
        <v>48</v>
      </c>
      <c r="X93" s="389"/>
      <c r="Y93" s="387" t="s">
        <v>48</v>
      </c>
      <c r="Z93" s="389"/>
      <c r="AA93" s="387" t="s">
        <v>48</v>
      </c>
      <c r="AB93" s="389"/>
      <c r="AC93" s="387" t="s">
        <v>48</v>
      </c>
      <c r="AD93" s="389"/>
      <c r="AE93" s="387" t="s">
        <v>48</v>
      </c>
      <c r="AF93" s="389"/>
      <c r="AG93" s="387" t="s">
        <v>48</v>
      </c>
      <c r="AH93" s="389"/>
      <c r="AI93" s="387" t="s">
        <v>48</v>
      </c>
      <c r="AJ93" s="394"/>
      <c r="AK93" s="391">
        <f t="shared" si="25"/>
        <v>17</v>
      </c>
      <c r="AL93" s="392">
        <f t="shared" si="26"/>
        <v>17</v>
      </c>
    </row>
    <row r="94" ht="39.75" customHeight="1">
      <c r="A94" s="385" t="s">
        <v>258</v>
      </c>
      <c r="B94" s="386" t="s">
        <v>259</v>
      </c>
      <c r="C94" s="387" t="s">
        <v>48</v>
      </c>
      <c r="D94" s="387"/>
      <c r="E94" s="387" t="s">
        <v>48</v>
      </c>
      <c r="F94" s="389"/>
      <c r="G94" s="387" t="s">
        <v>28</v>
      </c>
      <c r="H94" s="389"/>
      <c r="I94" s="387" t="s">
        <v>28</v>
      </c>
      <c r="J94" s="389"/>
      <c r="K94" s="387" t="s">
        <v>28</v>
      </c>
      <c r="L94" s="389"/>
      <c r="M94" s="387" t="s">
        <v>28</v>
      </c>
      <c r="N94" s="389"/>
      <c r="O94" s="387" t="s">
        <v>28</v>
      </c>
      <c r="P94" s="389"/>
      <c r="Q94" s="387" t="s">
        <v>28</v>
      </c>
      <c r="R94" s="389"/>
      <c r="S94" s="387" t="s">
        <v>28</v>
      </c>
      <c r="T94" s="389"/>
      <c r="U94" s="387" t="s">
        <v>28</v>
      </c>
      <c r="V94" s="389"/>
      <c r="W94" s="387" t="s">
        <v>48</v>
      </c>
      <c r="X94" s="389"/>
      <c r="Y94" s="387" t="s">
        <v>48</v>
      </c>
      <c r="Z94" s="389"/>
      <c r="AA94" s="387" t="s">
        <v>48</v>
      </c>
      <c r="AB94" s="389"/>
      <c r="AC94" s="387" t="s">
        <v>48</v>
      </c>
      <c r="AD94" s="389"/>
      <c r="AE94" s="387" t="s">
        <v>48</v>
      </c>
      <c r="AF94" s="389"/>
      <c r="AG94" s="387" t="s">
        <v>48</v>
      </c>
      <c r="AH94" s="389"/>
      <c r="AI94" s="387" t="s">
        <v>48</v>
      </c>
      <c r="AJ94" s="394"/>
      <c r="AK94" s="391">
        <f t="shared" si="25"/>
        <v>17</v>
      </c>
      <c r="AL94" s="392">
        <f t="shared" si="26"/>
        <v>17</v>
      </c>
    </row>
    <row r="95" ht="39.75" customHeight="1">
      <c r="A95" s="385" t="s">
        <v>260</v>
      </c>
      <c r="B95" s="386" t="s">
        <v>261</v>
      </c>
      <c r="C95" s="387" t="s">
        <v>48</v>
      </c>
      <c r="D95" s="387"/>
      <c r="E95" s="387" t="s">
        <v>48</v>
      </c>
      <c r="F95" s="389"/>
      <c r="G95" s="387" t="s">
        <v>28</v>
      </c>
      <c r="H95" s="389"/>
      <c r="I95" s="387" t="s">
        <v>28</v>
      </c>
      <c r="J95" s="389"/>
      <c r="K95" s="387" t="s">
        <v>28</v>
      </c>
      <c r="L95" s="389"/>
      <c r="M95" s="387" t="s">
        <v>28</v>
      </c>
      <c r="N95" s="389"/>
      <c r="O95" s="387" t="s">
        <v>28</v>
      </c>
      <c r="P95" s="389"/>
      <c r="Q95" s="387" t="s">
        <v>28</v>
      </c>
      <c r="R95" s="389"/>
      <c r="S95" s="387" t="s">
        <v>28</v>
      </c>
      <c r="T95" s="389"/>
      <c r="U95" s="387" t="s">
        <v>28</v>
      </c>
      <c r="V95" s="389"/>
      <c r="W95" s="387" t="s">
        <v>48</v>
      </c>
      <c r="X95" s="389"/>
      <c r="Y95" s="387" t="s">
        <v>48</v>
      </c>
      <c r="Z95" s="389"/>
      <c r="AA95" s="387" t="s">
        <v>48</v>
      </c>
      <c r="AB95" s="389"/>
      <c r="AC95" s="387" t="s">
        <v>48</v>
      </c>
      <c r="AD95" s="389"/>
      <c r="AE95" s="387" t="s">
        <v>48</v>
      </c>
      <c r="AF95" s="389"/>
      <c r="AG95" s="387" t="s">
        <v>48</v>
      </c>
      <c r="AH95" s="389"/>
      <c r="AI95" s="387" t="s">
        <v>48</v>
      </c>
      <c r="AJ95" s="394"/>
      <c r="AK95" s="391">
        <f t="shared" si="25"/>
        <v>17</v>
      </c>
      <c r="AL95" s="392">
        <f t="shared" si="26"/>
        <v>17</v>
      </c>
    </row>
    <row r="96" ht="39.75" customHeight="1">
      <c r="A96" s="414" t="s">
        <v>262</v>
      </c>
      <c r="B96" s="415" t="s">
        <v>263</v>
      </c>
      <c r="C96" s="387"/>
      <c r="D96" s="388"/>
      <c r="E96" s="389"/>
      <c r="F96" s="389"/>
      <c r="G96" s="394"/>
      <c r="H96" s="389"/>
      <c r="I96" s="394"/>
      <c r="J96" s="389"/>
      <c r="K96" s="394"/>
      <c r="L96" s="389"/>
      <c r="M96" s="389"/>
      <c r="N96" s="389"/>
      <c r="O96" s="389"/>
      <c r="P96" s="389"/>
      <c r="Q96" s="389"/>
      <c r="R96" s="389"/>
      <c r="S96" s="389"/>
      <c r="T96" s="389"/>
      <c r="U96" s="394"/>
      <c r="V96" s="389"/>
      <c r="W96" s="394"/>
      <c r="X96" s="389"/>
      <c r="Y96" s="394"/>
      <c r="Z96" s="389"/>
      <c r="AA96" s="394"/>
      <c r="AB96" s="389"/>
      <c r="AC96" s="389"/>
      <c r="AD96" s="389"/>
      <c r="AE96" s="389"/>
      <c r="AF96" s="389"/>
      <c r="AG96" s="389"/>
      <c r="AH96" s="389"/>
      <c r="AI96" s="389"/>
      <c r="AJ96" s="394"/>
      <c r="AK96" s="391"/>
      <c r="AL96" s="392"/>
    </row>
    <row r="97" ht="39.75" customHeight="1">
      <c r="A97" s="411" t="s">
        <v>264</v>
      </c>
      <c r="B97" s="412" t="s">
        <v>265</v>
      </c>
      <c r="C97" s="387" t="s">
        <v>26</v>
      </c>
      <c r="D97" s="388"/>
      <c r="E97" s="389" t="s">
        <v>26</v>
      </c>
      <c r="F97" s="389"/>
      <c r="G97" s="389" t="s">
        <v>26</v>
      </c>
      <c r="H97" s="389"/>
      <c r="I97" s="389" t="s">
        <v>26</v>
      </c>
      <c r="J97" s="389"/>
      <c r="K97" s="389" t="s">
        <v>26</v>
      </c>
      <c r="L97" s="389"/>
      <c r="M97" s="389" t="s">
        <v>26</v>
      </c>
      <c r="N97" s="389"/>
      <c r="O97" s="389" t="s">
        <v>26</v>
      </c>
      <c r="P97" s="389"/>
      <c r="Q97" s="389" t="s">
        <v>83</v>
      </c>
      <c r="R97" s="389"/>
      <c r="S97" s="389" t="s">
        <v>83</v>
      </c>
      <c r="T97" s="389"/>
      <c r="U97" s="389" t="s">
        <v>83</v>
      </c>
      <c r="V97" s="389"/>
      <c r="W97" s="389" t="s">
        <v>83</v>
      </c>
      <c r="X97" s="389"/>
      <c r="Y97" s="389" t="s">
        <v>83</v>
      </c>
      <c r="Z97" s="389"/>
      <c r="AA97" s="389" t="s">
        <v>27</v>
      </c>
      <c r="AB97" s="389"/>
      <c r="AC97" s="389" t="s">
        <v>27</v>
      </c>
      <c r="AD97" s="389"/>
      <c r="AE97" s="389" t="s">
        <v>27</v>
      </c>
      <c r="AF97" s="389"/>
      <c r="AG97" s="389" t="s">
        <v>27</v>
      </c>
      <c r="AH97" s="389"/>
      <c r="AI97" s="389" t="s">
        <v>27</v>
      </c>
      <c r="AJ97" s="394"/>
      <c r="AK97" s="391">
        <f>COUNTIF(C97:AJ97,"&gt;=R")</f>
        <v>17</v>
      </c>
      <c r="AL97" s="392">
        <f>AK97</f>
        <v>17</v>
      </c>
    </row>
    <row r="98" ht="39.75" customHeight="1">
      <c r="A98" s="421" t="s">
        <v>266</v>
      </c>
      <c r="B98" s="396" t="s">
        <v>267</v>
      </c>
      <c r="C98" s="397"/>
      <c r="D98" s="398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  <c r="AA98" s="399"/>
      <c r="AB98" s="399"/>
      <c r="AC98" s="399"/>
      <c r="AD98" s="399"/>
      <c r="AE98" s="399"/>
      <c r="AF98" s="399"/>
      <c r="AG98" s="399"/>
      <c r="AH98" s="399"/>
      <c r="AI98" s="400"/>
      <c r="AJ98" s="400"/>
      <c r="AK98" s="399"/>
      <c r="AL98" s="401"/>
    </row>
    <row r="99" ht="39.75" customHeight="1">
      <c r="A99" s="385" t="s">
        <v>268</v>
      </c>
      <c r="B99" s="386" t="s">
        <v>269</v>
      </c>
      <c r="C99" s="388" t="s">
        <v>48</v>
      </c>
      <c r="D99" s="388"/>
      <c r="E99" s="389" t="s">
        <v>48</v>
      </c>
      <c r="F99" s="389"/>
      <c r="G99" s="389" t="s">
        <v>57</v>
      </c>
      <c r="H99" s="389"/>
      <c r="I99" s="389" t="s">
        <v>57</v>
      </c>
      <c r="J99" s="389"/>
      <c r="K99" s="389" t="s">
        <v>48</v>
      </c>
      <c r="L99" s="389"/>
      <c r="M99" s="389" t="s">
        <v>48</v>
      </c>
      <c r="N99" s="389"/>
      <c r="O99" s="389" t="s">
        <v>68</v>
      </c>
      <c r="P99" s="389"/>
      <c r="Q99" s="389" t="s">
        <v>68</v>
      </c>
      <c r="R99" s="389"/>
      <c r="S99" s="389" t="s">
        <v>68</v>
      </c>
      <c r="T99" s="389"/>
      <c r="U99" s="389" t="s">
        <v>68</v>
      </c>
      <c r="V99" s="389"/>
      <c r="W99" s="389" t="s">
        <v>68</v>
      </c>
      <c r="X99" s="389"/>
      <c r="Y99" s="389" t="s">
        <v>68</v>
      </c>
      <c r="Z99" s="389"/>
      <c r="AA99" s="389" t="s">
        <v>68</v>
      </c>
      <c r="AB99" s="389"/>
      <c r="AC99" s="389" t="s">
        <v>57</v>
      </c>
      <c r="AD99" s="389"/>
      <c r="AE99" s="389" t="s">
        <v>57</v>
      </c>
      <c r="AF99" s="389"/>
      <c r="AG99" s="389" t="s">
        <v>57</v>
      </c>
      <c r="AH99" s="389"/>
      <c r="AI99" s="389" t="s">
        <v>57</v>
      </c>
      <c r="AJ99" s="394"/>
      <c r="AK99" s="391">
        <f t="shared" ref="AK99:AK100" si="27">COUNTIF(C99:AJ99,"&gt;=R")</f>
        <v>17</v>
      </c>
      <c r="AL99" s="392">
        <f t="shared" ref="AL99:AL100" si="28">AK99</f>
        <v>17</v>
      </c>
    </row>
    <row r="100" ht="39.75" customHeight="1">
      <c r="A100" s="385" t="s">
        <v>270</v>
      </c>
      <c r="B100" s="386" t="s">
        <v>271</v>
      </c>
      <c r="C100" s="388" t="s">
        <v>48</v>
      </c>
      <c r="D100" s="388"/>
      <c r="E100" s="389" t="s">
        <v>48</v>
      </c>
      <c r="F100" s="389"/>
      <c r="G100" s="389" t="s">
        <v>57</v>
      </c>
      <c r="H100" s="389"/>
      <c r="I100" s="389" t="s">
        <v>57</v>
      </c>
      <c r="J100" s="389"/>
      <c r="K100" s="389" t="s">
        <v>48</v>
      </c>
      <c r="L100" s="389"/>
      <c r="M100" s="389" t="s">
        <v>48</v>
      </c>
      <c r="N100" s="389"/>
      <c r="O100" s="389" t="s">
        <v>68</v>
      </c>
      <c r="P100" s="389"/>
      <c r="Q100" s="389" t="s">
        <v>68</v>
      </c>
      <c r="R100" s="389"/>
      <c r="S100" s="389" t="s">
        <v>68</v>
      </c>
      <c r="T100" s="389"/>
      <c r="U100" s="389" t="s">
        <v>68</v>
      </c>
      <c r="V100" s="389"/>
      <c r="W100" s="389" t="s">
        <v>68</v>
      </c>
      <c r="X100" s="389"/>
      <c r="Y100" s="389" t="s">
        <v>68</v>
      </c>
      <c r="Z100" s="389"/>
      <c r="AA100" s="389" t="s">
        <v>68</v>
      </c>
      <c r="AB100" s="389"/>
      <c r="AC100" s="389" t="s">
        <v>57</v>
      </c>
      <c r="AD100" s="389"/>
      <c r="AE100" s="389" t="s">
        <v>57</v>
      </c>
      <c r="AF100" s="389"/>
      <c r="AG100" s="389" t="s">
        <v>57</v>
      </c>
      <c r="AH100" s="389"/>
      <c r="AI100" s="389" t="s">
        <v>57</v>
      </c>
      <c r="AJ100" s="394"/>
      <c r="AK100" s="391">
        <f t="shared" si="27"/>
        <v>17</v>
      </c>
      <c r="AL100" s="392">
        <f t="shared" si="28"/>
        <v>17</v>
      </c>
    </row>
    <row r="101" ht="39.75" customHeight="1">
      <c r="A101" s="421" t="s">
        <v>272</v>
      </c>
      <c r="B101" s="396" t="s">
        <v>273</v>
      </c>
      <c r="C101" s="397"/>
      <c r="D101" s="398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  <c r="AA101" s="399"/>
      <c r="AB101" s="399"/>
      <c r="AC101" s="399"/>
      <c r="AD101" s="399"/>
      <c r="AE101" s="399"/>
      <c r="AF101" s="399"/>
      <c r="AG101" s="399"/>
      <c r="AH101" s="399"/>
      <c r="AI101" s="400"/>
      <c r="AJ101" s="400"/>
      <c r="AK101" s="399"/>
      <c r="AL101" s="401"/>
    </row>
    <row r="102" ht="39.75" customHeight="1">
      <c r="A102" s="385" t="s">
        <v>274</v>
      </c>
      <c r="B102" s="386" t="s">
        <v>275</v>
      </c>
      <c r="C102" s="387" t="s">
        <v>93</v>
      </c>
      <c r="D102" s="387"/>
      <c r="E102" s="387" t="s">
        <v>93</v>
      </c>
      <c r="F102" s="389"/>
      <c r="G102" s="387" t="s">
        <v>93</v>
      </c>
      <c r="H102" s="389"/>
      <c r="I102" s="387" t="s">
        <v>93</v>
      </c>
      <c r="J102" s="389"/>
      <c r="K102" s="387" t="s">
        <v>93</v>
      </c>
      <c r="L102" s="389"/>
      <c r="M102" s="387" t="s">
        <v>93</v>
      </c>
      <c r="N102" s="389"/>
      <c r="O102" s="387" t="s">
        <v>93</v>
      </c>
      <c r="P102" s="389"/>
      <c r="Q102" s="387" t="s">
        <v>93</v>
      </c>
      <c r="R102" s="389"/>
      <c r="S102" s="387" t="s">
        <v>93</v>
      </c>
      <c r="T102" s="389"/>
      <c r="U102" s="387" t="s">
        <v>93</v>
      </c>
      <c r="V102" s="389"/>
      <c r="W102" s="387" t="s">
        <v>93</v>
      </c>
      <c r="X102" s="389"/>
      <c r="Y102" s="387" t="s">
        <v>93</v>
      </c>
      <c r="Z102" s="389"/>
      <c r="AA102" s="387" t="s">
        <v>93</v>
      </c>
      <c r="AB102" s="389"/>
      <c r="AC102" s="387" t="s">
        <v>93</v>
      </c>
      <c r="AD102" s="389"/>
      <c r="AE102" s="387" t="s">
        <v>93</v>
      </c>
      <c r="AF102" s="389"/>
      <c r="AG102" s="387" t="s">
        <v>93</v>
      </c>
      <c r="AH102" s="389"/>
      <c r="AI102" s="387" t="s">
        <v>93</v>
      </c>
      <c r="AJ102" s="394"/>
      <c r="AK102" s="391">
        <f t="shared" ref="AK102:AK103" si="29">COUNTIF(C102:AJ102,"&gt;=R")</f>
        <v>17</v>
      </c>
      <c r="AL102" s="392">
        <f t="shared" ref="AL102:AL103" si="30">AK102</f>
        <v>17</v>
      </c>
    </row>
    <row r="103" ht="39.75" customHeight="1">
      <c r="A103" s="385" t="s">
        <v>276</v>
      </c>
      <c r="B103" s="386" t="s">
        <v>277</v>
      </c>
      <c r="C103" s="387" t="s">
        <v>92</v>
      </c>
      <c r="D103" s="388"/>
      <c r="E103" s="387" t="s">
        <v>92</v>
      </c>
      <c r="F103" s="389"/>
      <c r="G103" s="387" t="s">
        <v>92</v>
      </c>
      <c r="H103" s="389"/>
      <c r="I103" s="387" t="s">
        <v>92</v>
      </c>
      <c r="J103" s="389"/>
      <c r="K103" s="394" t="s">
        <v>92</v>
      </c>
      <c r="L103" s="389"/>
      <c r="M103" s="394" t="s">
        <v>92</v>
      </c>
      <c r="N103" s="389"/>
      <c r="O103" s="394" t="s">
        <v>92</v>
      </c>
      <c r="P103" s="389"/>
      <c r="Q103" s="394" t="s">
        <v>92</v>
      </c>
      <c r="R103" s="389"/>
      <c r="S103" s="389" t="s">
        <v>92</v>
      </c>
      <c r="T103" s="389"/>
      <c r="U103" s="389" t="s">
        <v>92</v>
      </c>
      <c r="V103" s="389"/>
      <c r="W103" s="389" t="s">
        <v>92</v>
      </c>
      <c r="X103" s="389"/>
      <c r="Y103" s="389" t="s">
        <v>92</v>
      </c>
      <c r="Z103" s="389"/>
      <c r="AA103" s="389" t="s">
        <v>92</v>
      </c>
      <c r="AB103" s="389"/>
      <c r="AC103" s="389" t="s">
        <v>92</v>
      </c>
      <c r="AD103" s="389"/>
      <c r="AE103" s="389" t="s">
        <v>92</v>
      </c>
      <c r="AF103" s="389"/>
      <c r="AG103" s="387" t="s">
        <v>92</v>
      </c>
      <c r="AH103" s="389"/>
      <c r="AI103" s="387" t="s">
        <v>92</v>
      </c>
      <c r="AJ103" s="394"/>
      <c r="AK103" s="391">
        <f t="shared" si="29"/>
        <v>17</v>
      </c>
      <c r="AL103" s="392">
        <f t="shared" si="30"/>
        <v>17</v>
      </c>
    </row>
    <row r="104" ht="39.75" customHeight="1">
      <c r="A104" s="395" t="s">
        <v>278</v>
      </c>
      <c r="B104" s="396" t="s">
        <v>279</v>
      </c>
      <c r="C104" s="397"/>
      <c r="D104" s="398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  <c r="AA104" s="399"/>
      <c r="AB104" s="399"/>
      <c r="AC104" s="399"/>
      <c r="AD104" s="399"/>
      <c r="AE104" s="399"/>
      <c r="AF104" s="399"/>
      <c r="AG104" s="399"/>
      <c r="AH104" s="399"/>
      <c r="AI104" s="400"/>
      <c r="AJ104" s="400"/>
      <c r="AK104" s="399"/>
      <c r="AL104" s="401"/>
    </row>
    <row r="105" ht="39.75" customHeight="1">
      <c r="A105" s="414" t="s">
        <v>280</v>
      </c>
      <c r="B105" s="415" t="s">
        <v>281</v>
      </c>
      <c r="C105" s="387"/>
      <c r="D105" s="388"/>
      <c r="E105" s="389"/>
      <c r="F105" s="389"/>
      <c r="G105" s="394"/>
      <c r="H105" s="389"/>
      <c r="I105" s="394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94"/>
      <c r="AJ105" s="394"/>
      <c r="AK105" s="391"/>
      <c r="AL105" s="392"/>
    </row>
    <row r="106" ht="39.75" customHeight="1">
      <c r="A106" s="404" t="s">
        <v>282</v>
      </c>
      <c r="B106" s="405" t="s">
        <v>283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94"/>
      <c r="AJ106" s="394"/>
      <c r="AK106" s="391">
        <f t="shared" ref="AK106:AK107" si="31">COUNTIF(C106:AJ106,"&gt;=R")</f>
        <v>0</v>
      </c>
      <c r="AL106" s="392">
        <f t="shared" ref="AL106:AL107" si="32">AK106</f>
        <v>0</v>
      </c>
    </row>
    <row r="107" ht="39.75" customHeight="1">
      <c r="A107" s="411" t="s">
        <v>284</v>
      </c>
      <c r="B107" s="412" t="s">
        <v>285</v>
      </c>
      <c r="C107" s="387"/>
      <c r="D107" s="388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94"/>
      <c r="AJ107" s="394"/>
      <c r="AK107" s="391">
        <f t="shared" si="31"/>
        <v>0</v>
      </c>
      <c r="AL107" s="392">
        <f t="shared" si="32"/>
        <v>0</v>
      </c>
    </row>
    <row r="108" ht="39.75" customHeight="1">
      <c r="A108" s="414" t="s">
        <v>286</v>
      </c>
      <c r="B108" s="415" t="s">
        <v>287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94"/>
      <c r="AJ108" s="394"/>
      <c r="AK108" s="391"/>
      <c r="AL108" s="392"/>
    </row>
    <row r="109" ht="39.75" customHeight="1">
      <c r="A109" s="385" t="s">
        <v>288</v>
      </c>
      <c r="B109" s="386" t="s">
        <v>289</v>
      </c>
      <c r="C109" s="388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94"/>
      <c r="AK109" s="391">
        <f t="shared" ref="AK109:AK111" si="33">COUNTIF(C109:AJ109,"&gt;=R")</f>
        <v>0</v>
      </c>
      <c r="AL109" s="392">
        <f t="shared" ref="AL109:AL111" si="34">AK109</f>
        <v>0</v>
      </c>
    </row>
    <row r="110" ht="39.75" customHeight="1">
      <c r="A110" s="385" t="s">
        <v>290</v>
      </c>
      <c r="B110" s="386" t="s">
        <v>291</v>
      </c>
      <c r="C110" s="387"/>
      <c r="D110" s="388"/>
      <c r="E110" s="387"/>
      <c r="F110" s="389"/>
      <c r="G110" s="387"/>
      <c r="H110" s="389"/>
      <c r="I110" s="387"/>
      <c r="J110" s="389"/>
      <c r="K110" s="387"/>
      <c r="L110" s="389"/>
      <c r="M110" s="387"/>
      <c r="N110" s="389"/>
      <c r="O110" s="387"/>
      <c r="P110" s="389"/>
      <c r="Q110" s="387"/>
      <c r="R110" s="389"/>
      <c r="S110" s="387"/>
      <c r="T110" s="389"/>
      <c r="U110" s="387"/>
      <c r="V110" s="389"/>
      <c r="W110" s="387"/>
      <c r="X110" s="389"/>
      <c r="Y110" s="387"/>
      <c r="Z110" s="389"/>
      <c r="AA110" s="387"/>
      <c r="AB110" s="389"/>
      <c r="AC110" s="387"/>
      <c r="AD110" s="389"/>
      <c r="AE110" s="387"/>
      <c r="AF110" s="389"/>
      <c r="AG110" s="387"/>
      <c r="AH110" s="389"/>
      <c r="AI110" s="387"/>
      <c r="AJ110" s="394"/>
      <c r="AK110" s="391">
        <f t="shared" si="33"/>
        <v>0</v>
      </c>
      <c r="AL110" s="392">
        <f t="shared" si="34"/>
        <v>0</v>
      </c>
    </row>
    <row r="111" ht="39.75" customHeight="1">
      <c r="A111" s="404" t="s">
        <v>292</v>
      </c>
      <c r="B111" s="405" t="s">
        <v>293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87"/>
      <c r="V111" s="389"/>
      <c r="W111" s="387"/>
      <c r="X111" s="389"/>
      <c r="Y111" s="387"/>
      <c r="Z111" s="389"/>
      <c r="AA111" s="387"/>
      <c r="AB111" s="389"/>
      <c r="AC111" s="387"/>
      <c r="AD111" s="389"/>
      <c r="AE111" s="387"/>
      <c r="AF111" s="389"/>
      <c r="AG111" s="387"/>
      <c r="AH111" s="389"/>
      <c r="AI111" s="387"/>
      <c r="AJ111" s="394"/>
      <c r="AK111" s="391">
        <f t="shared" si="33"/>
        <v>0</v>
      </c>
      <c r="AL111" s="392">
        <f t="shared" si="34"/>
        <v>0</v>
      </c>
    </row>
    <row r="112" ht="39.75" customHeight="1">
      <c r="A112" s="395" t="s">
        <v>294</v>
      </c>
      <c r="B112" s="422" t="s">
        <v>295</v>
      </c>
      <c r="C112" s="397"/>
      <c r="D112" s="398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  <c r="AA112" s="399"/>
      <c r="AB112" s="399"/>
      <c r="AC112" s="399"/>
      <c r="AD112" s="399"/>
      <c r="AE112" s="399"/>
      <c r="AF112" s="399"/>
      <c r="AG112" s="399"/>
      <c r="AH112" s="399"/>
      <c r="AI112" s="400"/>
      <c r="AJ112" s="400"/>
      <c r="AK112" s="399"/>
      <c r="AL112" s="401"/>
    </row>
    <row r="113" ht="39.75" customHeight="1">
      <c r="A113" s="402" t="s">
        <v>296</v>
      </c>
      <c r="B113" s="386" t="s">
        <v>297</v>
      </c>
      <c r="C113" s="387" t="s">
        <v>47</v>
      </c>
      <c r="D113" s="388"/>
      <c r="E113" s="389" t="s">
        <v>47</v>
      </c>
      <c r="F113" s="389"/>
      <c r="G113" s="389" t="s">
        <v>47</v>
      </c>
      <c r="H113" s="389"/>
      <c r="I113" s="389" t="s">
        <v>47</v>
      </c>
      <c r="J113" s="389"/>
      <c r="K113" s="389" t="s">
        <v>47</v>
      </c>
      <c r="L113" s="389"/>
      <c r="M113" s="389" t="s">
        <v>47</v>
      </c>
      <c r="N113" s="389"/>
      <c r="O113" s="389" t="s">
        <v>47</v>
      </c>
      <c r="P113" s="389"/>
      <c r="Q113" s="389" t="s">
        <v>56</v>
      </c>
      <c r="R113" s="389"/>
      <c r="S113" s="389" t="s">
        <v>56</v>
      </c>
      <c r="T113" s="389"/>
      <c r="U113" s="418" t="s">
        <v>84</v>
      </c>
      <c r="V113" s="389"/>
      <c r="W113" s="418" t="s">
        <v>84</v>
      </c>
      <c r="X113" s="389"/>
      <c r="Y113" s="418" t="s">
        <v>84</v>
      </c>
      <c r="Z113" s="389"/>
      <c r="AA113" s="418" t="s">
        <v>84</v>
      </c>
      <c r="AB113" s="389"/>
      <c r="AC113" s="389" t="s">
        <v>56</v>
      </c>
      <c r="AD113" s="389"/>
      <c r="AE113" s="389" t="s">
        <v>56</v>
      </c>
      <c r="AF113" s="389"/>
      <c r="AG113" s="389" t="s">
        <v>56</v>
      </c>
      <c r="AH113" s="389"/>
      <c r="AI113" s="389" t="s">
        <v>56</v>
      </c>
      <c r="AJ113" s="394"/>
      <c r="AK113" s="391">
        <f t="shared" ref="AK113:AK124" si="35">COUNTIF(C113:AJ113,"&gt;=R")</f>
        <v>17</v>
      </c>
      <c r="AL113" s="392">
        <f t="shared" ref="AL113:AL124" si="36">AK113</f>
        <v>17</v>
      </c>
    </row>
    <row r="114" ht="39.75" customHeight="1">
      <c r="A114" s="402" t="s">
        <v>298</v>
      </c>
      <c r="B114" s="386" t="s">
        <v>299</v>
      </c>
      <c r="C114" s="387" t="s">
        <v>91</v>
      </c>
      <c r="D114" s="388"/>
      <c r="E114" s="389" t="s">
        <v>91</v>
      </c>
      <c r="F114" s="389"/>
      <c r="G114" s="394" t="s">
        <v>91</v>
      </c>
      <c r="H114" s="389"/>
      <c r="I114" s="394" t="s">
        <v>91</v>
      </c>
      <c r="J114" s="389"/>
      <c r="K114" s="394" t="s">
        <v>91</v>
      </c>
      <c r="L114" s="389"/>
      <c r="M114" s="389" t="s">
        <v>91</v>
      </c>
      <c r="N114" s="389"/>
      <c r="O114" s="389" t="s">
        <v>91</v>
      </c>
      <c r="P114" s="389"/>
      <c r="Q114" s="394" t="s">
        <v>91</v>
      </c>
      <c r="R114" s="389"/>
      <c r="S114" s="394" t="s">
        <v>91</v>
      </c>
      <c r="T114" s="389"/>
      <c r="U114" s="394" t="s">
        <v>410</v>
      </c>
      <c r="V114" s="389"/>
      <c r="W114" s="394" t="s">
        <v>410</v>
      </c>
      <c r="X114" s="389"/>
      <c r="Y114" s="394" t="s">
        <v>410</v>
      </c>
      <c r="Z114" s="389"/>
      <c r="AA114" s="394" t="s">
        <v>410</v>
      </c>
      <c r="AB114" s="389"/>
      <c r="AC114" s="394" t="s">
        <v>410</v>
      </c>
      <c r="AD114" s="389"/>
      <c r="AE114" s="394" t="s">
        <v>410</v>
      </c>
      <c r="AF114" s="389"/>
      <c r="AG114" s="389" t="s">
        <v>410</v>
      </c>
      <c r="AH114" s="389"/>
      <c r="AI114" s="389" t="s">
        <v>27</v>
      </c>
      <c r="AJ114" s="394"/>
      <c r="AK114" s="391">
        <f t="shared" si="35"/>
        <v>17</v>
      </c>
      <c r="AL114" s="392">
        <f t="shared" si="36"/>
        <v>17</v>
      </c>
    </row>
    <row r="115" ht="39.75" customHeight="1">
      <c r="A115" s="402" t="s">
        <v>300</v>
      </c>
      <c r="B115" s="386" t="s">
        <v>301</v>
      </c>
      <c r="C115" s="387"/>
      <c r="D115" s="388"/>
      <c r="E115" s="387"/>
      <c r="F115" s="389"/>
      <c r="G115" s="387"/>
      <c r="H115" s="389"/>
      <c r="I115" s="387"/>
      <c r="J115" s="389"/>
      <c r="K115" s="387"/>
      <c r="L115" s="389"/>
      <c r="M115" s="387"/>
      <c r="N115" s="389"/>
      <c r="O115" s="387"/>
      <c r="P115" s="389"/>
      <c r="Q115" s="387"/>
      <c r="R115" s="389"/>
      <c r="S115" s="387"/>
      <c r="T115" s="389"/>
      <c r="U115" s="387"/>
      <c r="V115" s="389"/>
      <c r="W115" s="387"/>
      <c r="X115" s="389"/>
      <c r="Y115" s="387"/>
      <c r="Z115" s="389"/>
      <c r="AA115" s="387"/>
      <c r="AB115" s="389"/>
      <c r="AC115" s="387"/>
      <c r="AD115" s="389"/>
      <c r="AE115" s="387"/>
      <c r="AF115" s="389"/>
      <c r="AG115" s="387"/>
      <c r="AH115" s="389"/>
      <c r="AI115" s="387"/>
      <c r="AJ115" s="389"/>
      <c r="AK115" s="391">
        <f t="shared" si="35"/>
        <v>0</v>
      </c>
      <c r="AL115" s="392">
        <f t="shared" si="36"/>
        <v>0</v>
      </c>
    </row>
    <row r="116" ht="39.75" customHeight="1">
      <c r="A116" s="402" t="s">
        <v>302</v>
      </c>
      <c r="B116" s="386" t="s">
        <v>303</v>
      </c>
      <c r="C116" s="388"/>
      <c r="D116" s="388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7"/>
      <c r="Z116" s="389"/>
      <c r="AA116" s="387"/>
      <c r="AB116" s="389"/>
      <c r="AC116" s="387"/>
      <c r="AD116" s="389"/>
      <c r="AE116" s="387"/>
      <c r="AF116" s="389"/>
      <c r="AG116" s="387"/>
      <c r="AH116" s="389"/>
      <c r="AI116" s="387"/>
      <c r="AJ116" s="394"/>
      <c r="AK116" s="391">
        <f t="shared" si="35"/>
        <v>0</v>
      </c>
      <c r="AL116" s="392">
        <f t="shared" si="36"/>
        <v>0</v>
      </c>
    </row>
    <row r="117" ht="39.75" customHeight="1">
      <c r="A117" s="402" t="s">
        <v>304</v>
      </c>
      <c r="B117" s="386" t="s">
        <v>305</v>
      </c>
      <c r="C117" s="387" t="s">
        <v>93</v>
      </c>
      <c r="D117" s="388"/>
      <c r="E117" s="389" t="s">
        <v>93</v>
      </c>
      <c r="F117" s="389"/>
      <c r="G117" s="394" t="s">
        <v>93</v>
      </c>
      <c r="H117" s="389"/>
      <c r="I117" s="394" t="s">
        <v>93</v>
      </c>
      <c r="J117" s="389"/>
      <c r="K117" s="394" t="s">
        <v>93</v>
      </c>
      <c r="L117" s="389"/>
      <c r="M117" s="389" t="s">
        <v>93</v>
      </c>
      <c r="N117" s="389"/>
      <c r="O117" s="389" t="s">
        <v>93</v>
      </c>
      <c r="P117" s="389"/>
      <c r="Q117" s="394" t="s">
        <v>93</v>
      </c>
      <c r="R117" s="389"/>
      <c r="S117" s="394" t="s">
        <v>93</v>
      </c>
      <c r="T117" s="389"/>
      <c r="U117" s="389" t="s">
        <v>93</v>
      </c>
      <c r="V117" s="389"/>
      <c r="W117" s="389" t="s">
        <v>93</v>
      </c>
      <c r="X117" s="389"/>
      <c r="Y117" s="389" t="s">
        <v>93</v>
      </c>
      <c r="Z117" s="389"/>
      <c r="AA117" s="389" t="s">
        <v>93</v>
      </c>
      <c r="AB117" s="389"/>
      <c r="AC117" s="389" t="s">
        <v>93</v>
      </c>
      <c r="AD117" s="389"/>
      <c r="AE117" s="389" t="s">
        <v>93</v>
      </c>
      <c r="AF117" s="389"/>
      <c r="AG117" s="389" t="s">
        <v>93</v>
      </c>
      <c r="AH117" s="389"/>
      <c r="AI117" s="389" t="s">
        <v>93</v>
      </c>
      <c r="AJ117" s="394"/>
      <c r="AK117" s="391">
        <f t="shared" si="35"/>
        <v>17</v>
      </c>
      <c r="AL117" s="392">
        <f t="shared" si="36"/>
        <v>17</v>
      </c>
    </row>
    <row r="118" ht="39.75" customHeight="1">
      <c r="A118" s="402" t="s">
        <v>306</v>
      </c>
      <c r="B118" s="386" t="s">
        <v>307</v>
      </c>
      <c r="C118" s="387" t="s">
        <v>57</v>
      </c>
      <c r="D118" s="388"/>
      <c r="E118" s="394" t="s">
        <v>57</v>
      </c>
      <c r="F118" s="389"/>
      <c r="G118" s="394" t="s">
        <v>57</v>
      </c>
      <c r="H118" s="389"/>
      <c r="I118" s="394" t="s">
        <v>57</v>
      </c>
      <c r="J118" s="389"/>
      <c r="K118" s="394" t="s">
        <v>57</v>
      </c>
      <c r="L118" s="389"/>
      <c r="M118" s="394" t="s">
        <v>57</v>
      </c>
      <c r="N118" s="389"/>
      <c r="O118" s="394" t="s">
        <v>57</v>
      </c>
      <c r="P118" s="389"/>
      <c r="Q118" s="394" t="s">
        <v>57</v>
      </c>
      <c r="R118" s="389"/>
      <c r="S118" s="394" t="s">
        <v>57</v>
      </c>
      <c r="T118" s="389"/>
      <c r="U118" s="394" t="s">
        <v>68</v>
      </c>
      <c r="V118" s="394"/>
      <c r="W118" s="394" t="s">
        <v>68</v>
      </c>
      <c r="X118" s="394"/>
      <c r="Y118" s="394" t="s">
        <v>68</v>
      </c>
      <c r="Z118" s="394"/>
      <c r="AA118" s="394" t="s">
        <v>68</v>
      </c>
      <c r="AB118" s="394"/>
      <c r="AC118" s="394" t="s">
        <v>57</v>
      </c>
      <c r="AD118" s="394"/>
      <c r="AE118" s="394" t="s">
        <v>57</v>
      </c>
      <c r="AF118" s="394"/>
      <c r="AG118" s="394" t="s">
        <v>57</v>
      </c>
      <c r="AH118" s="394"/>
      <c r="AI118" s="394" t="s">
        <v>57</v>
      </c>
      <c r="AJ118" s="394"/>
      <c r="AK118" s="391">
        <f t="shared" si="35"/>
        <v>17</v>
      </c>
      <c r="AL118" s="392">
        <f t="shared" si="36"/>
        <v>17</v>
      </c>
    </row>
    <row r="119" ht="39.75" customHeight="1">
      <c r="A119" s="402" t="s">
        <v>308</v>
      </c>
      <c r="B119" s="386" t="s">
        <v>309</v>
      </c>
      <c r="C119" s="387"/>
      <c r="D119" s="388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94"/>
      <c r="V119" s="394"/>
      <c r="W119" s="394"/>
      <c r="X119" s="394"/>
      <c r="Y119" s="394"/>
      <c r="Z119" s="394"/>
      <c r="AA119" s="394"/>
      <c r="AB119" s="394"/>
      <c r="AC119" s="394"/>
      <c r="AD119" s="394"/>
      <c r="AE119" s="394"/>
      <c r="AF119" s="394"/>
      <c r="AG119" s="394"/>
      <c r="AH119" s="394"/>
      <c r="AI119" s="394"/>
      <c r="AJ119" s="394"/>
      <c r="AK119" s="391">
        <f t="shared" si="35"/>
        <v>0</v>
      </c>
      <c r="AL119" s="392">
        <f t="shared" si="36"/>
        <v>0</v>
      </c>
    </row>
    <row r="120" ht="39.75" customHeight="1">
      <c r="A120" s="402" t="s">
        <v>310</v>
      </c>
      <c r="B120" s="386" t="s">
        <v>311</v>
      </c>
      <c r="C120" s="387"/>
      <c r="D120" s="387"/>
      <c r="E120" s="394"/>
      <c r="F120" s="394"/>
      <c r="G120" s="394"/>
      <c r="H120" s="394"/>
      <c r="I120" s="394"/>
      <c r="J120" s="394"/>
      <c r="K120" s="394"/>
      <c r="L120" s="394"/>
      <c r="M120" s="394"/>
      <c r="N120" s="394"/>
      <c r="O120" s="394"/>
      <c r="P120" s="394"/>
      <c r="Q120" s="394"/>
      <c r="R120" s="394"/>
      <c r="S120" s="394"/>
      <c r="T120" s="394"/>
      <c r="U120" s="394"/>
      <c r="V120" s="394"/>
      <c r="W120" s="394"/>
      <c r="X120" s="394"/>
      <c r="Y120" s="394"/>
      <c r="Z120" s="394"/>
      <c r="AA120" s="394"/>
      <c r="AB120" s="394"/>
      <c r="AC120" s="394"/>
      <c r="AD120" s="394"/>
      <c r="AE120" s="394"/>
      <c r="AF120" s="394"/>
      <c r="AG120" s="394"/>
      <c r="AH120" s="394"/>
      <c r="AI120" s="394"/>
      <c r="AJ120" s="394"/>
      <c r="AK120" s="391">
        <f t="shared" si="35"/>
        <v>0</v>
      </c>
      <c r="AL120" s="392">
        <f t="shared" si="36"/>
        <v>0</v>
      </c>
    </row>
    <row r="121" ht="39.75" customHeight="1">
      <c r="A121" s="402" t="s">
        <v>312</v>
      </c>
      <c r="B121" s="386" t="s">
        <v>313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  <c r="AA121" s="394"/>
      <c r="AB121" s="394"/>
      <c r="AC121" s="394"/>
      <c r="AD121" s="394"/>
      <c r="AE121" s="394"/>
      <c r="AF121" s="394"/>
      <c r="AG121" s="394"/>
      <c r="AH121" s="394"/>
      <c r="AI121" s="394"/>
      <c r="AJ121" s="394"/>
      <c r="AK121" s="391">
        <f t="shared" si="35"/>
        <v>0</v>
      </c>
      <c r="AL121" s="392">
        <f t="shared" si="36"/>
        <v>0</v>
      </c>
    </row>
    <row r="122" ht="39.75" customHeight="1">
      <c r="A122" s="402" t="s">
        <v>314</v>
      </c>
      <c r="B122" s="386" t="s">
        <v>315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  <c r="AA122" s="394"/>
      <c r="AB122" s="394"/>
      <c r="AC122" s="394"/>
      <c r="AD122" s="394"/>
      <c r="AE122" s="394"/>
      <c r="AF122" s="394"/>
      <c r="AG122" s="394"/>
      <c r="AH122" s="394"/>
      <c r="AI122" s="394"/>
      <c r="AJ122" s="394"/>
      <c r="AK122" s="391">
        <f t="shared" si="35"/>
        <v>0</v>
      </c>
      <c r="AL122" s="392">
        <f t="shared" si="36"/>
        <v>0</v>
      </c>
    </row>
    <row r="123" ht="39.75" customHeight="1">
      <c r="A123" s="402" t="s">
        <v>316</v>
      </c>
      <c r="B123" s="386" t="s">
        <v>317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94"/>
      <c r="AG123" s="394"/>
      <c r="AH123" s="394"/>
      <c r="AI123" s="394"/>
      <c r="AJ123" s="394"/>
      <c r="AK123" s="391">
        <f t="shared" si="35"/>
        <v>0</v>
      </c>
      <c r="AL123" s="392">
        <f t="shared" si="36"/>
        <v>0</v>
      </c>
    </row>
    <row r="124" ht="39.75" customHeight="1">
      <c r="A124" s="402" t="s">
        <v>318</v>
      </c>
      <c r="B124" s="386" t="s">
        <v>319</v>
      </c>
      <c r="C124" s="387"/>
      <c r="D124" s="387"/>
      <c r="E124" s="387"/>
      <c r="F124" s="394"/>
      <c r="G124" s="387"/>
      <c r="H124" s="394"/>
      <c r="I124" s="387"/>
      <c r="J124" s="394"/>
      <c r="K124" s="387"/>
      <c r="L124" s="394"/>
      <c r="M124" s="387"/>
      <c r="N124" s="394"/>
      <c r="O124" s="387"/>
      <c r="P124" s="394"/>
      <c r="Q124" s="387"/>
      <c r="R124" s="394"/>
      <c r="S124" s="387"/>
      <c r="T124" s="394"/>
      <c r="U124" s="387"/>
      <c r="V124" s="394"/>
      <c r="W124" s="387"/>
      <c r="X124" s="394"/>
      <c r="Y124" s="387"/>
      <c r="Z124" s="394"/>
      <c r="AA124" s="387"/>
      <c r="AB124" s="394"/>
      <c r="AC124" s="387"/>
      <c r="AD124" s="394"/>
      <c r="AE124" s="387"/>
      <c r="AF124" s="394"/>
      <c r="AG124" s="387"/>
      <c r="AH124" s="394"/>
      <c r="AI124" s="387"/>
      <c r="AJ124" s="394"/>
      <c r="AK124" s="391">
        <f t="shared" si="35"/>
        <v>0</v>
      </c>
      <c r="AL124" s="392">
        <f t="shared" si="36"/>
        <v>0</v>
      </c>
    </row>
    <row r="125" ht="39.75" customHeight="1">
      <c r="A125" s="423" t="s">
        <v>320</v>
      </c>
      <c r="B125" s="424" t="s">
        <v>321</v>
      </c>
      <c r="C125" s="397"/>
      <c r="D125" s="398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  <c r="AA125" s="399"/>
      <c r="AB125" s="399"/>
      <c r="AC125" s="399"/>
      <c r="AD125" s="399"/>
      <c r="AE125" s="399"/>
      <c r="AF125" s="399"/>
      <c r="AG125" s="399"/>
      <c r="AH125" s="399"/>
      <c r="AI125" s="400"/>
      <c r="AJ125" s="400"/>
      <c r="AK125" s="399"/>
      <c r="AL125" s="401"/>
    </row>
    <row r="126" ht="39.75" customHeight="1">
      <c r="A126" s="378" t="s">
        <v>322</v>
      </c>
      <c r="B126" s="425" t="s">
        <v>323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399"/>
      <c r="AC126" s="399"/>
      <c r="AD126" s="399"/>
      <c r="AE126" s="399"/>
      <c r="AF126" s="399"/>
      <c r="AG126" s="399"/>
      <c r="AH126" s="399"/>
      <c r="AI126" s="400"/>
      <c r="AJ126" s="400"/>
      <c r="AK126" s="399"/>
      <c r="AL126" s="401"/>
    </row>
    <row r="127" ht="39.75" customHeight="1">
      <c r="A127" s="411" t="s">
        <v>324</v>
      </c>
      <c r="B127" s="426" t="s">
        <v>325</v>
      </c>
      <c r="C127" s="387" t="s">
        <v>85</v>
      </c>
      <c r="D127" s="387"/>
      <c r="E127" s="387" t="s">
        <v>85</v>
      </c>
      <c r="F127" s="394"/>
      <c r="G127" s="387" t="s">
        <v>85</v>
      </c>
      <c r="H127" s="394"/>
      <c r="I127" s="387" t="s">
        <v>85</v>
      </c>
      <c r="J127" s="394"/>
      <c r="K127" s="387" t="s">
        <v>85</v>
      </c>
      <c r="L127" s="394"/>
      <c r="M127" s="387" t="s">
        <v>85</v>
      </c>
      <c r="N127" s="394"/>
      <c r="O127" s="387" t="s">
        <v>85</v>
      </c>
      <c r="P127" s="394"/>
      <c r="Q127" s="387" t="s">
        <v>85</v>
      </c>
      <c r="R127" s="394"/>
      <c r="S127" s="387" t="s">
        <v>85</v>
      </c>
      <c r="T127" s="394"/>
      <c r="U127" s="387" t="s">
        <v>85</v>
      </c>
      <c r="V127" s="394"/>
      <c r="W127" s="387" t="s">
        <v>85</v>
      </c>
      <c r="X127" s="394"/>
      <c r="Y127" s="387" t="s">
        <v>85</v>
      </c>
      <c r="Z127" s="394"/>
      <c r="AA127" s="387" t="s">
        <v>85</v>
      </c>
      <c r="AB127" s="394"/>
      <c r="AC127" s="387" t="s">
        <v>85</v>
      </c>
      <c r="AD127" s="394"/>
      <c r="AE127" s="387" t="s">
        <v>85</v>
      </c>
      <c r="AF127" s="394"/>
      <c r="AG127" s="387" t="s">
        <v>85</v>
      </c>
      <c r="AH127" s="394"/>
      <c r="AI127" s="387" t="s">
        <v>85</v>
      </c>
      <c r="AJ127" s="394"/>
      <c r="AK127" s="391">
        <f t="shared" ref="AK127:AK138" si="37">COUNTIF(C127:AJ127,"&gt;=R")</f>
        <v>17</v>
      </c>
      <c r="AL127" s="392">
        <f t="shared" ref="AL127:AL138" si="38">AK127</f>
        <v>17</v>
      </c>
    </row>
    <row r="128" ht="39.75" customHeight="1">
      <c r="A128" s="427" t="s">
        <v>326</v>
      </c>
      <c r="B128" s="428" t="s">
        <v>327</v>
      </c>
      <c r="C128" s="387" t="s">
        <v>85</v>
      </c>
      <c r="D128" s="387"/>
      <c r="E128" s="387" t="s">
        <v>85</v>
      </c>
      <c r="F128" s="394"/>
      <c r="G128" s="387" t="s">
        <v>85</v>
      </c>
      <c r="H128" s="394"/>
      <c r="I128" s="387" t="s">
        <v>85</v>
      </c>
      <c r="J128" s="394"/>
      <c r="K128" s="387" t="s">
        <v>85</v>
      </c>
      <c r="L128" s="394"/>
      <c r="M128" s="387" t="s">
        <v>85</v>
      </c>
      <c r="N128" s="394"/>
      <c r="O128" s="387" t="s">
        <v>85</v>
      </c>
      <c r="P128" s="394"/>
      <c r="Q128" s="387" t="s">
        <v>85</v>
      </c>
      <c r="R128" s="394"/>
      <c r="S128" s="387" t="s">
        <v>85</v>
      </c>
      <c r="T128" s="394"/>
      <c r="U128" s="387" t="s">
        <v>85</v>
      </c>
      <c r="V128" s="394"/>
      <c r="W128" s="387" t="s">
        <v>85</v>
      </c>
      <c r="X128" s="394"/>
      <c r="Y128" s="387" t="s">
        <v>85</v>
      </c>
      <c r="Z128" s="394"/>
      <c r="AA128" s="387" t="s">
        <v>85</v>
      </c>
      <c r="AB128" s="394"/>
      <c r="AC128" s="387" t="s">
        <v>85</v>
      </c>
      <c r="AD128" s="394"/>
      <c r="AE128" s="387" t="s">
        <v>85</v>
      </c>
      <c r="AF128" s="394"/>
      <c r="AG128" s="387" t="s">
        <v>85</v>
      </c>
      <c r="AH128" s="394"/>
      <c r="AI128" s="387" t="s">
        <v>85</v>
      </c>
      <c r="AJ128" s="394"/>
      <c r="AK128" s="391">
        <f t="shared" si="37"/>
        <v>17</v>
      </c>
      <c r="AL128" s="392">
        <f t="shared" si="38"/>
        <v>17</v>
      </c>
    </row>
    <row r="129" ht="39.75" customHeight="1">
      <c r="A129" s="411" t="s">
        <v>328</v>
      </c>
      <c r="B129" s="426" t="s">
        <v>329</v>
      </c>
      <c r="C129" s="387"/>
      <c r="D129" s="387"/>
      <c r="E129" s="394"/>
      <c r="F129" s="394"/>
      <c r="G129" s="394"/>
      <c r="H129" s="394"/>
      <c r="I129" s="394"/>
      <c r="J129" s="394"/>
      <c r="K129" s="394"/>
      <c r="L129" s="394"/>
      <c r="M129" s="394"/>
      <c r="N129" s="394"/>
      <c r="O129" s="389"/>
      <c r="P129" s="394"/>
      <c r="Q129" s="389"/>
      <c r="R129" s="394"/>
      <c r="S129" s="389"/>
      <c r="T129" s="394"/>
      <c r="U129" s="389"/>
      <c r="V129" s="394"/>
      <c r="W129" s="389"/>
      <c r="X129" s="394"/>
      <c r="Y129" s="389"/>
      <c r="Z129" s="394"/>
      <c r="AA129" s="389"/>
      <c r="AB129" s="394"/>
      <c r="AC129" s="389"/>
      <c r="AD129" s="394"/>
      <c r="AE129" s="389"/>
      <c r="AF129" s="394"/>
      <c r="AG129" s="389"/>
      <c r="AH129" s="394"/>
      <c r="AI129" s="389"/>
      <c r="AJ129" s="394"/>
      <c r="AK129" s="391">
        <f t="shared" si="37"/>
        <v>0</v>
      </c>
      <c r="AL129" s="392">
        <f t="shared" si="38"/>
        <v>0</v>
      </c>
    </row>
    <row r="130" ht="39.75" customHeight="1">
      <c r="A130" s="411" t="s">
        <v>330</v>
      </c>
      <c r="B130" s="426" t="s">
        <v>331</v>
      </c>
      <c r="C130" s="388" t="s">
        <v>76</v>
      </c>
      <c r="D130" s="387"/>
      <c r="E130" s="389" t="s">
        <v>76</v>
      </c>
      <c r="F130" s="394"/>
      <c r="G130" s="389" t="s">
        <v>76</v>
      </c>
      <c r="H130" s="394"/>
      <c r="I130" s="389" t="s">
        <v>76</v>
      </c>
      <c r="J130" s="394"/>
      <c r="K130" s="389" t="s">
        <v>76</v>
      </c>
      <c r="L130" s="394"/>
      <c r="M130" s="389" t="s">
        <v>28</v>
      </c>
      <c r="N130" s="394"/>
      <c r="O130" s="389" t="s">
        <v>28</v>
      </c>
      <c r="P130" s="394"/>
      <c r="Q130" s="389" t="s">
        <v>28</v>
      </c>
      <c r="R130" s="394"/>
      <c r="S130" s="389" t="s">
        <v>28</v>
      </c>
      <c r="T130" s="394"/>
      <c r="U130" s="389" t="s">
        <v>28</v>
      </c>
      <c r="V130" s="394"/>
      <c r="W130" s="389" t="s">
        <v>28</v>
      </c>
      <c r="X130" s="394"/>
      <c r="Y130" s="389" t="s">
        <v>28</v>
      </c>
      <c r="Z130" s="394"/>
      <c r="AA130" s="389" t="s">
        <v>28</v>
      </c>
      <c r="AB130" s="394"/>
      <c r="AC130" s="389" t="s">
        <v>28</v>
      </c>
      <c r="AD130" s="394"/>
      <c r="AE130" s="389" t="s">
        <v>28</v>
      </c>
      <c r="AF130" s="394"/>
      <c r="AG130" s="389" t="s">
        <v>28</v>
      </c>
      <c r="AH130" s="394"/>
      <c r="AI130" s="389" t="s">
        <v>28</v>
      </c>
      <c r="AJ130" s="394"/>
      <c r="AK130" s="391">
        <f t="shared" si="37"/>
        <v>17</v>
      </c>
      <c r="AL130" s="392">
        <f t="shared" si="38"/>
        <v>17</v>
      </c>
    </row>
    <row r="131" ht="39.75" customHeight="1">
      <c r="A131" s="411" t="s">
        <v>332</v>
      </c>
      <c r="B131" s="426" t="s">
        <v>333</v>
      </c>
      <c r="C131" s="387"/>
      <c r="D131" s="387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4"/>
      <c r="Z131" s="394"/>
      <c r="AA131" s="394"/>
      <c r="AB131" s="394"/>
      <c r="AC131" s="394"/>
      <c r="AD131" s="394"/>
      <c r="AE131" s="394"/>
      <c r="AF131" s="394"/>
      <c r="AG131" s="394"/>
      <c r="AH131" s="394"/>
      <c r="AI131" s="394"/>
      <c r="AJ131" s="394"/>
      <c r="AK131" s="391">
        <f t="shared" si="37"/>
        <v>0</v>
      </c>
      <c r="AL131" s="392">
        <f t="shared" si="38"/>
        <v>0</v>
      </c>
    </row>
    <row r="132" ht="39.75" customHeight="1">
      <c r="A132" s="411" t="s">
        <v>334</v>
      </c>
      <c r="B132" s="426" t="s">
        <v>335</v>
      </c>
      <c r="C132" s="387"/>
      <c r="D132" s="388"/>
      <c r="E132" s="387"/>
      <c r="F132" s="389"/>
      <c r="G132" s="387"/>
      <c r="H132" s="389"/>
      <c r="I132" s="387"/>
      <c r="J132" s="389"/>
      <c r="K132" s="387"/>
      <c r="L132" s="394"/>
      <c r="M132" s="387"/>
      <c r="N132" s="394"/>
      <c r="O132" s="387"/>
      <c r="P132" s="394"/>
      <c r="Q132" s="387"/>
      <c r="R132" s="394"/>
      <c r="S132" s="387"/>
      <c r="T132" s="394"/>
      <c r="U132" s="387"/>
      <c r="V132" s="394"/>
      <c r="W132" s="387"/>
      <c r="X132" s="394"/>
      <c r="Y132" s="387"/>
      <c r="Z132" s="394"/>
      <c r="AA132" s="387"/>
      <c r="AB132" s="394"/>
      <c r="AC132" s="387"/>
      <c r="AD132" s="394"/>
      <c r="AE132" s="387"/>
      <c r="AF132" s="394"/>
      <c r="AG132" s="387"/>
      <c r="AH132" s="394"/>
      <c r="AI132" s="387"/>
      <c r="AJ132" s="394"/>
      <c r="AK132" s="391">
        <f t="shared" si="37"/>
        <v>0</v>
      </c>
      <c r="AL132" s="392">
        <f t="shared" si="38"/>
        <v>0</v>
      </c>
    </row>
    <row r="133" ht="39.75" customHeight="1">
      <c r="A133" s="411" t="s">
        <v>336</v>
      </c>
      <c r="B133" s="426" t="s">
        <v>337</v>
      </c>
      <c r="C133" s="387"/>
      <c r="D133" s="387"/>
      <c r="E133" s="387"/>
      <c r="F133" s="394"/>
      <c r="G133" s="387"/>
      <c r="H133" s="394"/>
      <c r="I133" s="387"/>
      <c r="J133" s="394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87"/>
      <c r="Z133" s="394"/>
      <c r="AA133" s="387"/>
      <c r="AB133" s="394"/>
      <c r="AC133" s="387"/>
      <c r="AD133" s="394"/>
      <c r="AE133" s="387"/>
      <c r="AF133" s="394"/>
      <c r="AG133" s="387"/>
      <c r="AH133" s="394"/>
      <c r="AI133" s="387"/>
      <c r="AJ133" s="394"/>
      <c r="AK133" s="391">
        <f t="shared" si="37"/>
        <v>0</v>
      </c>
      <c r="AL133" s="392">
        <f t="shared" si="38"/>
        <v>0</v>
      </c>
    </row>
    <row r="134" ht="39.75" customHeight="1">
      <c r="A134" s="411" t="s">
        <v>338</v>
      </c>
      <c r="B134" s="426" t="s">
        <v>339</v>
      </c>
      <c r="C134" s="387"/>
      <c r="D134" s="387"/>
      <c r="E134" s="394"/>
      <c r="F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  <c r="AA134" s="394"/>
      <c r="AB134" s="394"/>
      <c r="AC134" s="394"/>
      <c r="AD134" s="394"/>
      <c r="AE134" s="394"/>
      <c r="AF134" s="394"/>
      <c r="AG134" s="394"/>
      <c r="AH134" s="394"/>
      <c r="AI134" s="394"/>
      <c r="AJ134" s="394"/>
      <c r="AK134" s="391">
        <f t="shared" si="37"/>
        <v>0</v>
      </c>
      <c r="AL134" s="392">
        <f t="shared" si="38"/>
        <v>0</v>
      </c>
    </row>
    <row r="135" ht="39.75" customHeight="1">
      <c r="A135" s="411" t="s">
        <v>340</v>
      </c>
      <c r="B135" s="426" t="s">
        <v>341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4"/>
      <c r="AB135" s="394"/>
      <c r="AC135" s="394"/>
      <c r="AD135" s="394"/>
      <c r="AE135" s="394"/>
      <c r="AF135" s="394"/>
      <c r="AG135" s="394"/>
      <c r="AH135" s="394"/>
      <c r="AI135" s="394"/>
      <c r="AJ135" s="394"/>
      <c r="AK135" s="391">
        <f t="shared" si="37"/>
        <v>0</v>
      </c>
      <c r="AL135" s="392">
        <f t="shared" si="38"/>
        <v>0</v>
      </c>
    </row>
    <row r="136" ht="39.75" customHeight="1">
      <c r="A136" s="411" t="s">
        <v>342</v>
      </c>
      <c r="B136" s="426" t="s">
        <v>343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  <c r="AA136" s="394"/>
      <c r="AB136" s="394"/>
      <c r="AC136" s="394"/>
      <c r="AD136" s="394"/>
      <c r="AE136" s="394"/>
      <c r="AF136" s="394"/>
      <c r="AG136" s="394"/>
      <c r="AH136" s="394"/>
      <c r="AI136" s="394"/>
      <c r="AJ136" s="394"/>
      <c r="AK136" s="391">
        <f t="shared" si="37"/>
        <v>0</v>
      </c>
      <c r="AL136" s="392">
        <f t="shared" si="38"/>
        <v>0</v>
      </c>
    </row>
    <row r="137" ht="39.75" customHeight="1">
      <c r="A137" s="411" t="s">
        <v>344</v>
      </c>
      <c r="B137" s="426" t="s">
        <v>345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4"/>
      <c r="AB137" s="394"/>
      <c r="AC137" s="394"/>
      <c r="AD137" s="394"/>
      <c r="AE137" s="394"/>
      <c r="AF137" s="394"/>
      <c r="AG137" s="394"/>
      <c r="AH137" s="394"/>
      <c r="AI137" s="394"/>
      <c r="AJ137" s="394"/>
      <c r="AK137" s="391">
        <f t="shared" si="37"/>
        <v>0</v>
      </c>
      <c r="AL137" s="392">
        <f t="shared" si="38"/>
        <v>0</v>
      </c>
    </row>
    <row r="138" ht="39.75" customHeight="1">
      <c r="A138" s="411" t="s">
        <v>346</v>
      </c>
      <c r="B138" s="426" t="s">
        <v>347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4"/>
      <c r="AB138" s="394"/>
      <c r="AC138" s="394"/>
      <c r="AD138" s="394"/>
      <c r="AE138" s="394"/>
      <c r="AF138" s="394"/>
      <c r="AG138" s="394"/>
      <c r="AH138" s="394"/>
      <c r="AI138" s="394"/>
      <c r="AJ138" s="394"/>
      <c r="AK138" s="391">
        <f t="shared" si="37"/>
        <v>0</v>
      </c>
      <c r="AL138" s="392">
        <f t="shared" si="38"/>
        <v>0</v>
      </c>
    </row>
    <row r="139" ht="39.75" customHeight="1">
      <c r="A139" s="395" t="s">
        <v>348</v>
      </c>
      <c r="B139" s="422" t="s">
        <v>349</v>
      </c>
      <c r="C139" s="397"/>
      <c r="D139" s="398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  <c r="AA139" s="399"/>
      <c r="AB139" s="399"/>
      <c r="AC139" s="399"/>
      <c r="AD139" s="399"/>
      <c r="AE139" s="399"/>
      <c r="AF139" s="399"/>
      <c r="AG139" s="399"/>
      <c r="AH139" s="399"/>
      <c r="AI139" s="400"/>
      <c r="AJ139" s="400"/>
      <c r="AK139" s="399"/>
      <c r="AL139" s="401"/>
    </row>
    <row r="140" ht="39.75" customHeight="1">
      <c r="A140" s="411" t="s">
        <v>350</v>
      </c>
      <c r="B140" s="412" t="s">
        <v>351</v>
      </c>
      <c r="C140" s="387"/>
      <c r="D140" s="387"/>
      <c r="E140" s="387"/>
      <c r="F140" s="394"/>
      <c r="G140" s="387"/>
      <c r="H140" s="394"/>
      <c r="I140" s="387"/>
      <c r="J140" s="394"/>
      <c r="K140" s="387"/>
      <c r="L140" s="394"/>
      <c r="M140" s="387"/>
      <c r="N140" s="394"/>
      <c r="O140" s="387"/>
      <c r="P140" s="394"/>
      <c r="Q140" s="387"/>
      <c r="R140" s="394"/>
      <c r="S140" s="387"/>
      <c r="T140" s="394"/>
      <c r="U140" s="387"/>
      <c r="V140" s="394"/>
      <c r="W140" s="387"/>
      <c r="X140" s="394"/>
      <c r="Y140" s="387"/>
      <c r="Z140" s="394"/>
      <c r="AA140" s="387"/>
      <c r="AB140" s="394"/>
      <c r="AC140" s="387"/>
      <c r="AD140" s="394"/>
      <c r="AE140" s="387"/>
      <c r="AF140" s="394"/>
      <c r="AG140" s="387"/>
      <c r="AH140" s="394"/>
      <c r="AI140" s="387"/>
      <c r="AJ140" s="394"/>
      <c r="AK140" s="391">
        <f t="shared" ref="AK140:AK142" si="39">COUNTIF(C140:AJ140,"&gt;=R")</f>
        <v>0</v>
      </c>
      <c r="AL140" s="392">
        <f t="shared" ref="AL140:AL142" si="40">AK140</f>
        <v>0</v>
      </c>
    </row>
    <row r="141" ht="39.75" customHeight="1">
      <c r="A141" s="411" t="s">
        <v>352</v>
      </c>
      <c r="B141" s="412" t="s">
        <v>353</v>
      </c>
      <c r="C141" s="387" t="s">
        <v>410</v>
      </c>
      <c r="D141" s="387"/>
      <c r="E141" s="394" t="s">
        <v>410</v>
      </c>
      <c r="F141" s="394"/>
      <c r="G141" s="394" t="s">
        <v>410</v>
      </c>
      <c r="H141" s="394"/>
      <c r="I141" s="394" t="s">
        <v>410</v>
      </c>
      <c r="J141" s="394"/>
      <c r="K141" s="394" t="s">
        <v>410</v>
      </c>
      <c r="L141" s="394"/>
      <c r="M141" s="394" t="s">
        <v>410</v>
      </c>
      <c r="N141" s="394"/>
      <c r="O141" s="394" t="s">
        <v>410</v>
      </c>
      <c r="P141" s="394"/>
      <c r="Q141" s="394" t="s">
        <v>410</v>
      </c>
      <c r="R141" s="394"/>
      <c r="S141" s="394" t="s">
        <v>410</v>
      </c>
      <c r="T141" s="394"/>
      <c r="U141" s="389" t="s">
        <v>410</v>
      </c>
      <c r="V141" s="394"/>
      <c r="W141" s="389" t="s">
        <v>91</v>
      </c>
      <c r="X141" s="394"/>
      <c r="Y141" s="389" t="s">
        <v>91</v>
      </c>
      <c r="Z141" s="394"/>
      <c r="AA141" s="394" t="s">
        <v>410</v>
      </c>
      <c r="AB141" s="394"/>
      <c r="AC141" s="389" t="s">
        <v>410</v>
      </c>
      <c r="AD141" s="394"/>
      <c r="AE141" s="389" t="s">
        <v>410</v>
      </c>
      <c r="AF141" s="394"/>
      <c r="AG141" s="389" t="s">
        <v>92</v>
      </c>
      <c r="AH141" s="394"/>
      <c r="AI141" s="389" t="s">
        <v>92</v>
      </c>
      <c r="AJ141" s="394"/>
      <c r="AK141" s="391">
        <f t="shared" si="39"/>
        <v>17</v>
      </c>
      <c r="AL141" s="392">
        <f t="shared" si="40"/>
        <v>17</v>
      </c>
    </row>
    <row r="142" ht="39.75" customHeight="1">
      <c r="A142" s="411" t="s">
        <v>354</v>
      </c>
      <c r="B142" s="412" t="s">
        <v>355</v>
      </c>
      <c r="C142" s="387" t="s">
        <v>410</v>
      </c>
      <c r="D142" s="387"/>
      <c r="E142" s="394" t="s">
        <v>410</v>
      </c>
      <c r="F142" s="394"/>
      <c r="G142" s="394" t="s">
        <v>410</v>
      </c>
      <c r="H142" s="394"/>
      <c r="I142" s="394" t="s">
        <v>410</v>
      </c>
      <c r="J142" s="394"/>
      <c r="K142" s="394" t="s">
        <v>410</v>
      </c>
      <c r="L142" s="394"/>
      <c r="M142" s="394" t="s">
        <v>410</v>
      </c>
      <c r="N142" s="394"/>
      <c r="O142" s="394" t="s">
        <v>410</v>
      </c>
      <c r="P142" s="394"/>
      <c r="Q142" s="394" t="s">
        <v>410</v>
      </c>
      <c r="R142" s="394"/>
      <c r="S142" s="394" t="s">
        <v>410</v>
      </c>
      <c r="T142" s="394"/>
      <c r="U142" s="389" t="s">
        <v>410</v>
      </c>
      <c r="V142" s="394"/>
      <c r="W142" s="389" t="s">
        <v>91</v>
      </c>
      <c r="X142" s="394"/>
      <c r="Y142" s="389" t="s">
        <v>91</v>
      </c>
      <c r="Z142" s="394"/>
      <c r="AA142" s="394" t="s">
        <v>410</v>
      </c>
      <c r="AB142" s="394"/>
      <c r="AC142" s="389" t="s">
        <v>410</v>
      </c>
      <c r="AD142" s="394"/>
      <c r="AE142" s="389" t="s">
        <v>410</v>
      </c>
      <c r="AF142" s="394"/>
      <c r="AG142" s="389" t="s">
        <v>92</v>
      </c>
      <c r="AH142" s="394"/>
      <c r="AI142" s="389" t="s">
        <v>92</v>
      </c>
      <c r="AJ142" s="394"/>
      <c r="AK142" s="391">
        <f t="shared" si="39"/>
        <v>17</v>
      </c>
      <c r="AL142" s="392">
        <f t="shared" si="40"/>
        <v>17</v>
      </c>
    </row>
    <row r="143" ht="39.75" customHeight="1">
      <c r="A143" s="395" t="s">
        <v>356</v>
      </c>
      <c r="B143" s="422" t="s">
        <v>357</v>
      </c>
      <c r="C143" s="397"/>
      <c r="D143" s="398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  <c r="AA143" s="399"/>
      <c r="AB143" s="399"/>
      <c r="AC143" s="399"/>
      <c r="AD143" s="399"/>
      <c r="AE143" s="399"/>
      <c r="AF143" s="399"/>
      <c r="AG143" s="399"/>
      <c r="AH143" s="399"/>
      <c r="AI143" s="400"/>
      <c r="AJ143" s="400"/>
      <c r="AK143" s="399"/>
      <c r="AL143" s="401"/>
    </row>
    <row r="144" ht="39.75" customHeight="1">
      <c r="A144" s="411" t="s">
        <v>358</v>
      </c>
      <c r="B144" s="412" t="s">
        <v>359</v>
      </c>
      <c r="C144" s="387" t="s">
        <v>76</v>
      </c>
      <c r="D144" s="387"/>
      <c r="E144" s="387" t="s">
        <v>76</v>
      </c>
      <c r="F144" s="394"/>
      <c r="G144" s="387" t="s">
        <v>76</v>
      </c>
      <c r="H144" s="394"/>
      <c r="I144" s="387" t="s">
        <v>76</v>
      </c>
      <c r="J144" s="394"/>
      <c r="K144" s="387" t="s">
        <v>76</v>
      </c>
      <c r="L144" s="394"/>
      <c r="M144" s="387" t="s">
        <v>76</v>
      </c>
      <c r="N144" s="394"/>
      <c r="O144" s="387" t="s">
        <v>76</v>
      </c>
      <c r="P144" s="394"/>
      <c r="Q144" s="387" t="s">
        <v>76</v>
      </c>
      <c r="R144" s="394"/>
      <c r="S144" s="387" t="s">
        <v>76</v>
      </c>
      <c r="T144" s="394"/>
      <c r="U144" s="387" t="s">
        <v>76</v>
      </c>
      <c r="V144" s="394"/>
      <c r="W144" s="391" t="s">
        <v>76</v>
      </c>
      <c r="X144" s="394"/>
      <c r="Y144" s="391" t="s">
        <v>76</v>
      </c>
      <c r="Z144" s="394"/>
      <c r="AA144" s="391" t="s">
        <v>76</v>
      </c>
      <c r="AB144" s="394"/>
      <c r="AC144" s="391" t="s">
        <v>76</v>
      </c>
      <c r="AD144" s="394"/>
      <c r="AE144" s="391" t="s">
        <v>76</v>
      </c>
      <c r="AF144" s="394"/>
      <c r="AG144" s="391" t="s">
        <v>76</v>
      </c>
      <c r="AH144" s="394"/>
      <c r="AI144" s="391" t="s">
        <v>76</v>
      </c>
      <c r="AJ144" s="394"/>
      <c r="AK144" s="391">
        <f t="shared" ref="AK144:AK146" si="41">COUNTIF(C144:AJ144,"&gt;=R")</f>
        <v>17</v>
      </c>
      <c r="AL144" s="392">
        <f t="shared" ref="AL144:AL146" si="42">AK144</f>
        <v>17</v>
      </c>
    </row>
    <row r="145" ht="39.75" customHeight="1">
      <c r="A145" s="411" t="s">
        <v>360</v>
      </c>
      <c r="B145" s="412" t="s">
        <v>361</v>
      </c>
      <c r="C145" s="387" t="s">
        <v>6</v>
      </c>
      <c r="D145" s="388"/>
      <c r="E145" s="387" t="s">
        <v>6</v>
      </c>
      <c r="F145" s="389"/>
      <c r="G145" s="387" t="s">
        <v>6</v>
      </c>
      <c r="H145" s="394"/>
      <c r="I145" s="389" t="s">
        <v>407</v>
      </c>
      <c r="J145" s="394"/>
      <c r="K145" s="389" t="s">
        <v>407</v>
      </c>
      <c r="L145" s="394"/>
      <c r="M145" s="389" t="s">
        <v>407</v>
      </c>
      <c r="N145" s="394"/>
      <c r="O145" s="389" t="s">
        <v>407</v>
      </c>
      <c r="P145" s="394"/>
      <c r="Q145" s="389" t="s">
        <v>26</v>
      </c>
      <c r="R145" s="394"/>
      <c r="S145" s="389" t="s">
        <v>26</v>
      </c>
      <c r="T145" s="394"/>
      <c r="U145" s="389" t="s">
        <v>26</v>
      </c>
      <c r="V145" s="394"/>
      <c r="W145" s="389" t="s">
        <v>26</v>
      </c>
      <c r="X145" s="394"/>
      <c r="Y145" s="389" t="s">
        <v>26</v>
      </c>
      <c r="Z145" s="394"/>
      <c r="AA145" s="389" t="s">
        <v>26</v>
      </c>
      <c r="AB145" s="394"/>
      <c r="AC145" s="389" t="s">
        <v>26</v>
      </c>
      <c r="AD145" s="394"/>
      <c r="AE145" s="389" t="s">
        <v>26</v>
      </c>
      <c r="AF145" s="394"/>
      <c r="AG145" s="389" t="s">
        <v>26</v>
      </c>
      <c r="AH145" s="394"/>
      <c r="AI145" s="389" t="s">
        <v>26</v>
      </c>
      <c r="AJ145" s="394"/>
      <c r="AK145" s="391">
        <f t="shared" si="41"/>
        <v>17</v>
      </c>
      <c r="AL145" s="392">
        <f t="shared" si="42"/>
        <v>17</v>
      </c>
    </row>
    <row r="146" ht="39.75" customHeight="1">
      <c r="A146" s="411" t="s">
        <v>362</v>
      </c>
      <c r="B146" s="412" t="s">
        <v>363</v>
      </c>
      <c r="C146" s="420" t="s">
        <v>8</v>
      </c>
      <c r="D146" s="387"/>
      <c r="E146" s="420" t="s">
        <v>8</v>
      </c>
      <c r="F146" s="394"/>
      <c r="G146" s="420" t="s">
        <v>8</v>
      </c>
      <c r="H146" s="394"/>
      <c r="I146" s="420" t="s">
        <v>8</v>
      </c>
      <c r="J146" s="394"/>
      <c r="K146" s="420" t="s">
        <v>8</v>
      </c>
      <c r="L146" s="394"/>
      <c r="M146" s="420" t="s">
        <v>8</v>
      </c>
      <c r="N146" s="394"/>
      <c r="O146" s="420" t="s">
        <v>8</v>
      </c>
      <c r="P146" s="394"/>
      <c r="Q146" s="420" t="s">
        <v>8</v>
      </c>
      <c r="R146" s="394"/>
      <c r="S146" s="420" t="s">
        <v>8</v>
      </c>
      <c r="T146" s="394"/>
      <c r="U146" s="420" t="s">
        <v>8</v>
      </c>
      <c r="V146" s="394"/>
      <c r="W146" s="420" t="s">
        <v>8</v>
      </c>
      <c r="X146" s="394"/>
      <c r="Y146" s="420" t="s">
        <v>8</v>
      </c>
      <c r="Z146" s="394"/>
      <c r="AA146" s="420" t="s">
        <v>8</v>
      </c>
      <c r="AB146" s="394"/>
      <c r="AC146" s="420" t="s">
        <v>8</v>
      </c>
      <c r="AD146" s="394"/>
      <c r="AE146" s="420" t="s">
        <v>8</v>
      </c>
      <c r="AF146" s="394"/>
      <c r="AG146" s="420" t="s">
        <v>8</v>
      </c>
      <c r="AH146" s="394"/>
      <c r="AI146" s="420" t="s">
        <v>8</v>
      </c>
      <c r="AJ146" s="394"/>
      <c r="AK146" s="391">
        <f t="shared" si="41"/>
        <v>17</v>
      </c>
      <c r="AL146" s="392">
        <f t="shared" si="42"/>
        <v>17</v>
      </c>
    </row>
    <row r="147" ht="39.75" customHeight="1">
      <c r="A147" s="395" t="s">
        <v>364</v>
      </c>
      <c r="B147" s="396" t="s">
        <v>365</v>
      </c>
      <c r="C147" s="397"/>
      <c r="D147" s="398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  <c r="AA147" s="399"/>
      <c r="AB147" s="399"/>
      <c r="AC147" s="399"/>
      <c r="AD147" s="399"/>
      <c r="AE147" s="399"/>
      <c r="AF147" s="399"/>
      <c r="AG147" s="399"/>
      <c r="AH147" s="399"/>
      <c r="AI147" s="400"/>
      <c r="AJ147" s="400"/>
      <c r="AK147" s="399"/>
      <c r="AL147" s="401"/>
    </row>
    <row r="148" ht="39.75" customHeight="1">
      <c r="A148" s="429" t="s">
        <v>366</v>
      </c>
      <c r="B148" s="430" t="s">
        <v>367</v>
      </c>
      <c r="C148" s="387"/>
      <c r="D148" s="387"/>
      <c r="E148" s="394"/>
      <c r="F148" s="394"/>
      <c r="G148" s="394"/>
      <c r="H148" s="394"/>
      <c r="I148" s="394"/>
      <c r="J148" s="394"/>
      <c r="K148" s="394"/>
      <c r="L148" s="394"/>
      <c r="M148" s="394"/>
      <c r="N148" s="394"/>
      <c r="O148" s="394"/>
      <c r="P148" s="394"/>
      <c r="Q148" s="394"/>
      <c r="R148" s="394"/>
      <c r="S148" s="394"/>
      <c r="T148" s="394"/>
      <c r="U148" s="394"/>
      <c r="V148" s="394"/>
      <c r="W148" s="394"/>
      <c r="X148" s="394"/>
      <c r="Y148" s="394"/>
      <c r="Z148" s="394"/>
      <c r="AA148" s="394"/>
      <c r="AB148" s="394"/>
      <c r="AC148" s="394"/>
      <c r="AD148" s="394"/>
      <c r="AE148" s="394"/>
      <c r="AF148" s="394"/>
      <c r="AG148" s="394"/>
      <c r="AH148" s="394"/>
      <c r="AI148" s="394"/>
      <c r="AJ148" s="394"/>
      <c r="AK148" s="391">
        <f t="shared" ref="AK148:AK155" si="43">COUNTIF(C148:AJ148,"&gt;=R")</f>
        <v>0</v>
      </c>
      <c r="AL148" s="392">
        <f t="shared" ref="AL148:AL155" si="44">AK148</f>
        <v>0</v>
      </c>
    </row>
    <row r="149" ht="39.75" customHeight="1">
      <c r="A149" s="429" t="s">
        <v>368</v>
      </c>
      <c r="B149" s="430" t="s">
        <v>369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  <c r="AA149" s="394"/>
      <c r="AB149" s="394"/>
      <c r="AC149" s="394"/>
      <c r="AD149" s="394"/>
      <c r="AE149" s="394"/>
      <c r="AF149" s="394"/>
      <c r="AG149" s="394"/>
      <c r="AH149" s="394"/>
      <c r="AI149" s="394"/>
      <c r="AJ149" s="394"/>
      <c r="AK149" s="391">
        <f t="shared" si="43"/>
        <v>0</v>
      </c>
      <c r="AL149" s="392">
        <f t="shared" si="44"/>
        <v>0</v>
      </c>
    </row>
    <row r="150" ht="39.75" customHeight="1">
      <c r="A150" s="429" t="s">
        <v>370</v>
      </c>
      <c r="B150" s="430" t="s">
        <v>371</v>
      </c>
      <c r="C150" s="388"/>
      <c r="D150" s="387"/>
      <c r="E150" s="389"/>
      <c r="F150" s="394"/>
      <c r="G150" s="389"/>
      <c r="H150" s="394"/>
      <c r="I150" s="389"/>
      <c r="J150" s="394"/>
      <c r="K150" s="389"/>
      <c r="L150" s="394"/>
      <c r="M150" s="389"/>
      <c r="N150" s="394"/>
      <c r="O150" s="389"/>
      <c r="P150" s="394"/>
      <c r="Q150" s="389"/>
      <c r="R150" s="394"/>
      <c r="S150" s="389"/>
      <c r="T150" s="394"/>
      <c r="U150" s="389"/>
      <c r="V150" s="394"/>
      <c r="W150" s="389"/>
      <c r="X150" s="394"/>
      <c r="Y150" s="389"/>
      <c r="Z150" s="394"/>
      <c r="AA150" s="389"/>
      <c r="AB150" s="394"/>
      <c r="AC150" s="389"/>
      <c r="AD150" s="394"/>
      <c r="AE150" s="389"/>
      <c r="AF150" s="394"/>
      <c r="AG150" s="389"/>
      <c r="AH150" s="394"/>
      <c r="AI150" s="389"/>
      <c r="AJ150" s="394"/>
      <c r="AK150" s="391">
        <f t="shared" si="43"/>
        <v>0</v>
      </c>
      <c r="AL150" s="392">
        <f t="shared" si="44"/>
        <v>0</v>
      </c>
    </row>
    <row r="151" ht="39.75" customHeight="1">
      <c r="A151" s="431" t="s">
        <v>372</v>
      </c>
      <c r="B151" s="432" t="s">
        <v>373</v>
      </c>
      <c r="C151" s="388" t="s">
        <v>66</v>
      </c>
      <c r="D151" s="387"/>
      <c r="E151" s="394" t="s">
        <v>66</v>
      </c>
      <c r="F151" s="394"/>
      <c r="G151" s="394" t="s">
        <v>66</v>
      </c>
      <c r="H151" s="394"/>
      <c r="I151" s="389" t="s">
        <v>66</v>
      </c>
      <c r="J151" s="394"/>
      <c r="K151" s="389" t="s">
        <v>66</v>
      </c>
      <c r="L151" s="394"/>
      <c r="M151" s="389" t="s">
        <v>66</v>
      </c>
      <c r="N151" s="394"/>
      <c r="O151" s="389" t="s">
        <v>66</v>
      </c>
      <c r="P151" s="394"/>
      <c r="Q151" s="389" t="s">
        <v>27</v>
      </c>
      <c r="R151" s="394"/>
      <c r="S151" s="389" t="s">
        <v>27</v>
      </c>
      <c r="T151" s="394"/>
      <c r="U151" s="389" t="s">
        <v>27</v>
      </c>
      <c r="V151" s="394"/>
      <c r="W151" s="394" t="s">
        <v>27</v>
      </c>
      <c r="X151" s="394"/>
      <c r="Y151" s="394" t="s">
        <v>27</v>
      </c>
      <c r="Z151" s="394"/>
      <c r="AA151" s="394" t="s">
        <v>27</v>
      </c>
      <c r="AB151" s="394"/>
      <c r="AC151" s="394" t="s">
        <v>27</v>
      </c>
      <c r="AD151" s="394"/>
      <c r="AE151" s="394" t="s">
        <v>27</v>
      </c>
      <c r="AF151" s="394"/>
      <c r="AG151" s="394" t="s">
        <v>27</v>
      </c>
      <c r="AH151" s="394"/>
      <c r="AI151" s="394" t="s">
        <v>27</v>
      </c>
      <c r="AJ151" s="394"/>
      <c r="AK151" s="391">
        <f t="shared" si="43"/>
        <v>17</v>
      </c>
      <c r="AL151" s="392">
        <f t="shared" si="44"/>
        <v>17</v>
      </c>
    </row>
    <row r="152" ht="39.75" customHeight="1">
      <c r="A152" s="431" t="s">
        <v>374</v>
      </c>
      <c r="B152" s="432" t="s">
        <v>375</v>
      </c>
      <c r="C152" s="388" t="s">
        <v>57</v>
      </c>
      <c r="D152" s="387"/>
      <c r="E152" s="394" t="s">
        <v>57</v>
      </c>
      <c r="F152" s="394"/>
      <c r="G152" s="394" t="s">
        <v>57</v>
      </c>
      <c r="H152" s="394"/>
      <c r="I152" s="389" t="s">
        <v>57</v>
      </c>
      <c r="J152" s="394"/>
      <c r="K152" s="389" t="s">
        <v>57</v>
      </c>
      <c r="L152" s="394"/>
      <c r="M152" s="389" t="s">
        <v>57</v>
      </c>
      <c r="N152" s="394"/>
      <c r="O152" s="389" t="s">
        <v>57</v>
      </c>
      <c r="P152" s="394"/>
      <c r="Q152" s="389" t="s">
        <v>57</v>
      </c>
      <c r="R152" s="394"/>
      <c r="S152" s="389" t="s">
        <v>57</v>
      </c>
      <c r="T152" s="394"/>
      <c r="U152" s="389" t="s">
        <v>57</v>
      </c>
      <c r="V152" s="394"/>
      <c r="W152" s="394" t="s">
        <v>57</v>
      </c>
      <c r="X152" s="394"/>
      <c r="Y152" s="394" t="s">
        <v>57</v>
      </c>
      <c r="Z152" s="394"/>
      <c r="AA152" s="394" t="s">
        <v>57</v>
      </c>
      <c r="AB152" s="394"/>
      <c r="AC152" s="394" t="s">
        <v>57</v>
      </c>
      <c r="AD152" s="394"/>
      <c r="AE152" s="394" t="s">
        <v>57</v>
      </c>
      <c r="AF152" s="394"/>
      <c r="AG152" s="394" t="s">
        <v>57</v>
      </c>
      <c r="AH152" s="394"/>
      <c r="AI152" s="394" t="s">
        <v>57</v>
      </c>
      <c r="AJ152" s="394"/>
      <c r="AK152" s="391">
        <f t="shared" si="43"/>
        <v>17</v>
      </c>
      <c r="AL152" s="392">
        <f t="shared" si="44"/>
        <v>17</v>
      </c>
    </row>
    <row r="153" ht="39.75" customHeight="1">
      <c r="A153" s="431" t="s">
        <v>376</v>
      </c>
      <c r="B153" s="432" t="s">
        <v>377</v>
      </c>
      <c r="C153" s="388"/>
      <c r="D153" s="387"/>
      <c r="E153" s="389" t="s">
        <v>77</v>
      </c>
      <c r="F153" s="394"/>
      <c r="G153" s="389"/>
      <c r="H153" s="394"/>
      <c r="I153" s="389"/>
      <c r="J153" s="394"/>
      <c r="K153" s="389"/>
      <c r="L153" s="394"/>
      <c r="M153" s="389" t="s">
        <v>77</v>
      </c>
      <c r="N153" s="394"/>
      <c r="O153" s="389" t="s">
        <v>77</v>
      </c>
      <c r="P153" s="394"/>
      <c r="Q153" s="389" t="s">
        <v>77</v>
      </c>
      <c r="R153" s="394"/>
      <c r="S153" s="389" t="s">
        <v>77</v>
      </c>
      <c r="T153" s="394"/>
      <c r="U153" s="389"/>
      <c r="V153" s="394"/>
      <c r="W153" s="389"/>
      <c r="X153" s="394"/>
      <c r="Y153" s="389"/>
      <c r="Z153" s="394"/>
      <c r="AA153" s="389" t="s">
        <v>77</v>
      </c>
      <c r="AB153" s="394"/>
      <c r="AC153" s="389" t="s">
        <v>77</v>
      </c>
      <c r="AD153" s="394"/>
      <c r="AE153" s="389"/>
      <c r="AF153" s="394"/>
      <c r="AG153" s="389"/>
      <c r="AH153" s="394"/>
      <c r="AI153" s="389"/>
      <c r="AJ153" s="394"/>
      <c r="AK153" s="391">
        <f t="shared" si="43"/>
        <v>7</v>
      </c>
      <c r="AL153" s="392">
        <f t="shared" si="44"/>
        <v>7</v>
      </c>
    </row>
    <row r="154" ht="39.75" customHeight="1">
      <c r="A154" s="431" t="s">
        <v>374</v>
      </c>
      <c r="B154" s="433" t="s">
        <v>375</v>
      </c>
      <c r="C154" s="387" t="s">
        <v>57</v>
      </c>
      <c r="D154" s="387"/>
      <c r="E154" s="394" t="s">
        <v>57</v>
      </c>
      <c r="F154" s="394"/>
      <c r="G154" s="394" t="s">
        <v>57</v>
      </c>
      <c r="H154" s="394"/>
      <c r="I154" s="394" t="s">
        <v>57</v>
      </c>
      <c r="J154" s="394"/>
      <c r="K154" s="394" t="s">
        <v>57</v>
      </c>
      <c r="L154" s="394"/>
      <c r="M154" s="394" t="s">
        <v>57</v>
      </c>
      <c r="N154" s="394"/>
      <c r="O154" s="394" t="s">
        <v>57</v>
      </c>
      <c r="P154" s="394"/>
      <c r="Q154" s="394" t="s">
        <v>57</v>
      </c>
      <c r="R154" s="394"/>
      <c r="S154" s="394" t="s">
        <v>57</v>
      </c>
      <c r="T154" s="394"/>
      <c r="U154" s="394" t="s">
        <v>57</v>
      </c>
      <c r="V154" s="394"/>
      <c r="W154" s="394" t="s">
        <v>57</v>
      </c>
      <c r="X154" s="394"/>
      <c r="Y154" s="394" t="s">
        <v>57</v>
      </c>
      <c r="Z154" s="394"/>
      <c r="AA154" s="394" t="s">
        <v>57</v>
      </c>
      <c r="AB154" s="394"/>
      <c r="AC154" s="394" t="s">
        <v>57</v>
      </c>
      <c r="AD154" s="394"/>
      <c r="AE154" s="394" t="s">
        <v>57</v>
      </c>
      <c r="AF154" s="394"/>
      <c r="AG154" s="394" t="s">
        <v>57</v>
      </c>
      <c r="AH154" s="394"/>
      <c r="AI154" s="394" t="s">
        <v>57</v>
      </c>
      <c r="AJ154" s="394"/>
      <c r="AK154" s="391">
        <f t="shared" si="43"/>
        <v>17</v>
      </c>
      <c r="AL154" s="392">
        <f t="shared" si="44"/>
        <v>17</v>
      </c>
    </row>
    <row r="155" ht="39.75" customHeight="1">
      <c r="A155" s="404" t="s">
        <v>378</v>
      </c>
      <c r="B155" s="405" t="s">
        <v>379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  <c r="AA155" s="394"/>
      <c r="AB155" s="394"/>
      <c r="AC155" s="394"/>
      <c r="AD155" s="394"/>
      <c r="AE155" s="394"/>
      <c r="AF155" s="394"/>
      <c r="AG155" s="394"/>
      <c r="AH155" s="394"/>
      <c r="AI155" s="394"/>
      <c r="AJ155" s="394"/>
      <c r="AK155" s="391">
        <f t="shared" si="43"/>
        <v>0</v>
      </c>
      <c r="AL155" s="392">
        <f t="shared" si="44"/>
        <v>0</v>
      </c>
    </row>
    <row r="156" ht="39.75" customHeight="1">
      <c r="A156" s="395" t="s">
        <v>380</v>
      </c>
      <c r="B156" s="396" t="s">
        <v>381</v>
      </c>
      <c r="C156" s="397"/>
      <c r="D156" s="398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  <c r="AA156" s="399"/>
      <c r="AB156" s="399"/>
      <c r="AC156" s="399"/>
      <c r="AD156" s="399"/>
      <c r="AE156" s="399"/>
      <c r="AF156" s="399"/>
      <c r="AG156" s="399"/>
      <c r="AH156" s="399"/>
      <c r="AI156" s="400"/>
      <c r="AJ156" s="400"/>
      <c r="AK156" s="399"/>
      <c r="AL156" s="401"/>
    </row>
    <row r="157" ht="39.75" customHeight="1">
      <c r="A157" s="411" t="s">
        <v>382</v>
      </c>
      <c r="B157" s="412" t="s">
        <v>383</v>
      </c>
      <c r="C157" s="387" t="s">
        <v>93</v>
      </c>
      <c r="D157" s="387"/>
      <c r="E157" s="394" t="s">
        <v>93</v>
      </c>
      <c r="F157" s="394"/>
      <c r="G157" s="394" t="s">
        <v>93</v>
      </c>
      <c r="H157" s="394"/>
      <c r="I157" s="394" t="s">
        <v>93</v>
      </c>
      <c r="J157" s="394"/>
      <c r="K157" s="394" t="s">
        <v>93</v>
      </c>
      <c r="L157" s="394"/>
      <c r="M157" s="394" t="s">
        <v>93</v>
      </c>
      <c r="N157" s="394"/>
      <c r="O157" s="394" t="s">
        <v>93</v>
      </c>
      <c r="P157" s="394"/>
      <c r="Q157" s="394" t="s">
        <v>93</v>
      </c>
      <c r="R157" s="394"/>
      <c r="S157" s="394" t="s">
        <v>93</v>
      </c>
      <c r="T157" s="394"/>
      <c r="U157" s="394" t="s">
        <v>93</v>
      </c>
      <c r="V157" s="394"/>
      <c r="W157" s="394" t="s">
        <v>93</v>
      </c>
      <c r="X157" s="394"/>
      <c r="Y157" s="394" t="s">
        <v>93</v>
      </c>
      <c r="Z157" s="394"/>
      <c r="AA157" s="394" t="s">
        <v>93</v>
      </c>
      <c r="AB157" s="394"/>
      <c r="AC157" s="394" t="s">
        <v>93</v>
      </c>
      <c r="AD157" s="394"/>
      <c r="AE157" s="394" t="s">
        <v>93</v>
      </c>
      <c r="AF157" s="394"/>
      <c r="AG157" s="394" t="s">
        <v>93</v>
      </c>
      <c r="AH157" s="394"/>
      <c r="AI157" s="394" t="s">
        <v>93</v>
      </c>
      <c r="AJ157" s="394"/>
      <c r="AK157" s="391">
        <f t="shared" ref="AK157:AK160" si="45">COUNTIF(C157:AJ157,"&gt;=R")</f>
        <v>17</v>
      </c>
      <c r="AL157" s="392">
        <f t="shared" ref="AL157:AL160" si="46">AK157</f>
        <v>17</v>
      </c>
    </row>
    <row r="158" ht="39.75" customHeight="1">
      <c r="A158" s="411" t="s">
        <v>384</v>
      </c>
      <c r="B158" s="412" t="s">
        <v>385</v>
      </c>
      <c r="C158" s="387"/>
      <c r="D158" s="387"/>
      <c r="E158" s="387"/>
      <c r="F158" s="394"/>
      <c r="G158" s="387"/>
      <c r="H158" s="394"/>
      <c r="I158" s="387"/>
      <c r="J158" s="394"/>
      <c r="K158" s="387"/>
      <c r="L158" s="394"/>
      <c r="M158" s="387"/>
      <c r="N158" s="394"/>
      <c r="O158" s="387"/>
      <c r="P158" s="394"/>
      <c r="Q158" s="387"/>
      <c r="R158" s="394"/>
      <c r="S158" s="387"/>
      <c r="T158" s="394"/>
      <c r="U158" s="387"/>
      <c r="V158" s="394"/>
      <c r="W158" s="387"/>
      <c r="X158" s="394"/>
      <c r="Y158" s="387"/>
      <c r="Z158" s="394"/>
      <c r="AA158" s="387"/>
      <c r="AB158" s="394"/>
      <c r="AC158" s="387"/>
      <c r="AD158" s="394"/>
      <c r="AE158" s="387"/>
      <c r="AF158" s="394"/>
      <c r="AG158" s="387"/>
      <c r="AH158" s="394"/>
      <c r="AI158" s="387"/>
      <c r="AJ158" s="394"/>
      <c r="AK158" s="391">
        <f t="shared" si="45"/>
        <v>0</v>
      </c>
      <c r="AL158" s="392">
        <f t="shared" si="46"/>
        <v>0</v>
      </c>
    </row>
    <row r="159" ht="39.75" customHeight="1">
      <c r="A159" s="411" t="s">
        <v>386</v>
      </c>
      <c r="B159" s="412" t="s">
        <v>387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87"/>
      <c r="Z159" s="394"/>
      <c r="AA159" s="387"/>
      <c r="AB159" s="394"/>
      <c r="AC159" s="387"/>
      <c r="AD159" s="394"/>
      <c r="AE159" s="387"/>
      <c r="AF159" s="394"/>
      <c r="AG159" s="387"/>
      <c r="AH159" s="394"/>
      <c r="AI159" s="387"/>
      <c r="AJ159" s="394"/>
      <c r="AK159" s="391">
        <f t="shared" si="45"/>
        <v>0</v>
      </c>
      <c r="AL159" s="392">
        <f t="shared" si="46"/>
        <v>0</v>
      </c>
    </row>
    <row r="160" ht="39.75" customHeight="1">
      <c r="A160" s="411" t="s">
        <v>388</v>
      </c>
      <c r="B160" s="412" t="s">
        <v>389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87"/>
      <c r="Z160" s="394"/>
      <c r="AA160" s="387"/>
      <c r="AB160" s="394"/>
      <c r="AC160" s="387"/>
      <c r="AD160" s="394"/>
      <c r="AE160" s="387"/>
      <c r="AF160" s="394"/>
      <c r="AG160" s="387"/>
      <c r="AH160" s="394"/>
      <c r="AI160" s="387"/>
      <c r="AJ160" s="394"/>
      <c r="AK160" s="391">
        <f t="shared" si="45"/>
        <v>0</v>
      </c>
      <c r="AL160" s="392">
        <f t="shared" si="46"/>
        <v>0</v>
      </c>
    </row>
    <row r="161" ht="39.75" customHeight="1">
      <c r="A161" s="395" t="s">
        <v>390</v>
      </c>
      <c r="B161" s="422" t="s">
        <v>391</v>
      </c>
      <c r="C161" s="397"/>
      <c r="D161" s="398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  <c r="AA161" s="399"/>
      <c r="AB161" s="399"/>
      <c r="AC161" s="399"/>
      <c r="AD161" s="399"/>
      <c r="AE161" s="399"/>
      <c r="AF161" s="399"/>
      <c r="AG161" s="399"/>
      <c r="AH161" s="399"/>
      <c r="AI161" s="400"/>
      <c r="AJ161" s="400"/>
      <c r="AK161" s="399"/>
      <c r="AL161" s="401"/>
    </row>
    <row r="162" ht="39.75" customHeight="1">
      <c r="A162" s="429" t="s">
        <v>392</v>
      </c>
      <c r="B162" s="430" t="s">
        <v>393</v>
      </c>
      <c r="C162" s="387"/>
      <c r="D162" s="387"/>
      <c r="E162" s="387"/>
      <c r="F162" s="394"/>
      <c r="G162" s="387"/>
      <c r="H162" s="394"/>
      <c r="I162" s="394"/>
      <c r="J162" s="394"/>
      <c r="K162" s="387"/>
      <c r="L162" s="394"/>
      <c r="M162" s="387"/>
      <c r="N162" s="394"/>
      <c r="O162" s="387"/>
      <c r="P162" s="394"/>
      <c r="Q162" s="387"/>
      <c r="R162" s="394"/>
      <c r="S162" s="387"/>
      <c r="T162" s="394"/>
      <c r="U162" s="387"/>
      <c r="V162" s="394"/>
      <c r="W162" s="387"/>
      <c r="X162" s="394"/>
      <c r="Y162" s="387"/>
      <c r="Z162" s="394"/>
      <c r="AA162" s="387"/>
      <c r="AB162" s="394"/>
      <c r="AC162" s="387"/>
      <c r="AD162" s="394"/>
      <c r="AE162" s="387"/>
      <c r="AF162" s="394"/>
      <c r="AG162" s="387"/>
      <c r="AH162" s="394"/>
      <c r="AI162" s="387"/>
      <c r="AJ162" s="394"/>
      <c r="AK162" s="391">
        <f t="shared" ref="AK162:AK164" si="47">COUNTIF(C162:AJ162,"&gt;=R")</f>
        <v>0</v>
      </c>
      <c r="AL162" s="392">
        <f t="shared" ref="AL162:AL164" si="48">AK162</f>
        <v>0</v>
      </c>
    </row>
    <row r="163" ht="39.75" customHeight="1">
      <c r="A163" s="429" t="s">
        <v>394</v>
      </c>
      <c r="B163" s="430" t="s">
        <v>395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87"/>
      <c r="Z163" s="394"/>
      <c r="AA163" s="387"/>
      <c r="AB163" s="394"/>
      <c r="AC163" s="387"/>
      <c r="AD163" s="394"/>
      <c r="AE163" s="387"/>
      <c r="AF163" s="394"/>
      <c r="AG163" s="387"/>
      <c r="AH163" s="394"/>
      <c r="AI163" s="387"/>
      <c r="AJ163" s="394"/>
      <c r="AK163" s="391">
        <f t="shared" si="47"/>
        <v>0</v>
      </c>
      <c r="AL163" s="392">
        <f t="shared" si="48"/>
        <v>0</v>
      </c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5"/>
      <c r="AY163" s="145"/>
      <c r="AZ163" s="145"/>
      <c r="BA163" s="145"/>
      <c r="BB163" s="145"/>
      <c r="BC163" s="145"/>
      <c r="BD163" s="145"/>
      <c r="BE163" s="145"/>
    </row>
    <row r="164" ht="39.75" customHeight="1">
      <c r="A164" s="434" t="s">
        <v>396</v>
      </c>
      <c r="B164" s="435" t="s">
        <v>397</v>
      </c>
      <c r="C164" s="436"/>
      <c r="D164" s="436"/>
      <c r="E164" s="436"/>
      <c r="F164" s="437"/>
      <c r="G164" s="436"/>
      <c r="H164" s="437"/>
      <c r="I164" s="437"/>
      <c r="J164" s="437"/>
      <c r="K164" s="436"/>
      <c r="L164" s="437"/>
      <c r="M164" s="436"/>
      <c r="N164" s="437"/>
      <c r="O164" s="436"/>
      <c r="P164" s="437"/>
      <c r="Q164" s="436"/>
      <c r="R164" s="437"/>
      <c r="S164" s="436"/>
      <c r="T164" s="437"/>
      <c r="U164" s="436"/>
      <c r="V164" s="437"/>
      <c r="W164" s="436"/>
      <c r="X164" s="437"/>
      <c r="Y164" s="436"/>
      <c r="Z164" s="437"/>
      <c r="AA164" s="436"/>
      <c r="AB164" s="437"/>
      <c r="AC164" s="436"/>
      <c r="AD164" s="437"/>
      <c r="AE164" s="436"/>
      <c r="AF164" s="437"/>
      <c r="AG164" s="436"/>
      <c r="AH164" s="437"/>
      <c r="AI164" s="436"/>
      <c r="AJ164" s="437"/>
      <c r="AK164" s="391">
        <f t="shared" si="47"/>
        <v>0</v>
      </c>
      <c r="AL164" s="392">
        <f t="shared" si="48"/>
        <v>0</v>
      </c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ht="24.75" customHeight="1">
      <c r="A165" s="438"/>
      <c r="B165" s="439"/>
      <c r="C165" s="440"/>
      <c r="D165" s="440"/>
      <c r="E165" s="440"/>
      <c r="F165" s="440"/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440"/>
      <c r="T165" s="440"/>
      <c r="U165" s="440"/>
      <c r="V165" s="440"/>
      <c r="W165" s="440"/>
      <c r="X165" s="440"/>
      <c r="Y165" s="440"/>
      <c r="Z165" s="440"/>
      <c r="AA165" s="440"/>
      <c r="AB165" s="440"/>
      <c r="AC165" s="440"/>
      <c r="AD165" s="440"/>
      <c r="AE165" s="440"/>
      <c r="AF165" s="440"/>
      <c r="AG165" s="440"/>
      <c r="AH165" s="440"/>
      <c r="AI165" s="440"/>
      <c r="AJ165" s="440"/>
      <c r="AK165" s="440"/>
      <c r="AL165" s="44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ht="24.75" customHeight="1">
      <c r="A166" s="438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  <c r="AB166" s="440"/>
      <c r="AC166" s="440"/>
      <c r="AD166" s="440"/>
      <c r="AE166" s="440"/>
      <c r="AF166" s="440"/>
      <c r="AG166" s="440"/>
      <c r="AH166" s="440"/>
      <c r="AI166" s="440"/>
      <c r="AJ166" s="440"/>
      <c r="AK166" s="440"/>
      <c r="AL166" s="44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ht="24.75" customHeight="1">
      <c r="A167" s="438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  <c r="AB167" s="440"/>
      <c r="AC167" s="440"/>
      <c r="AD167" s="440"/>
      <c r="AE167" s="440"/>
      <c r="AF167" s="440"/>
      <c r="AG167" s="440"/>
      <c r="AH167" s="440"/>
      <c r="AI167" s="440"/>
      <c r="AJ167" s="440"/>
      <c r="AK167" s="440"/>
      <c r="AL167" s="44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ht="24.75" customHeight="1">
      <c r="A168" s="438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440"/>
      <c r="AD168" s="440"/>
      <c r="AE168" s="440"/>
      <c r="AF168" s="440"/>
      <c r="AG168" s="440"/>
      <c r="AH168" s="440"/>
      <c r="AI168" s="440"/>
      <c r="AJ168" s="440"/>
      <c r="AK168" s="440"/>
      <c r="AL168" s="44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ht="24.75" customHeight="1">
      <c r="A169" s="438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440"/>
      <c r="AD169" s="440"/>
      <c r="AE169" s="440"/>
      <c r="AF169" s="440"/>
      <c r="AG169" s="440"/>
      <c r="AH169" s="440"/>
      <c r="AI169" s="440"/>
      <c r="AJ169" s="440"/>
      <c r="AK169" s="440"/>
      <c r="AL169" s="44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ht="24.75" customHeight="1">
      <c r="A170" s="438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440"/>
      <c r="AD170" s="440"/>
      <c r="AE170" s="440"/>
      <c r="AF170" s="440"/>
      <c r="AG170" s="440"/>
      <c r="AH170" s="440"/>
      <c r="AI170" s="440"/>
      <c r="AJ170" s="440"/>
      <c r="AK170" s="440"/>
      <c r="AL170" s="44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ht="24.75" customHeight="1">
      <c r="A171" s="438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440"/>
      <c r="AD171" s="440"/>
      <c r="AE171" s="440"/>
      <c r="AF171" s="440"/>
      <c r="AG171" s="440"/>
      <c r="AH171" s="440"/>
      <c r="AI171" s="440"/>
      <c r="AJ171" s="440"/>
      <c r="AK171" s="440"/>
      <c r="AL171" s="44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ht="24.75" customHeight="1">
      <c r="A172" s="441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440"/>
      <c r="AD172" s="440"/>
      <c r="AE172" s="440"/>
      <c r="AF172" s="440"/>
      <c r="AG172" s="440"/>
      <c r="AH172" s="440"/>
      <c r="AI172" s="440"/>
      <c r="AJ172" s="440"/>
      <c r="AK172" s="440"/>
      <c r="AL172" s="44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ht="24.75" customHeight="1">
      <c r="A173" s="44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440"/>
      <c r="AD173" s="440"/>
      <c r="AE173" s="440"/>
      <c r="AF173" s="440"/>
      <c r="AG173" s="440"/>
      <c r="AH173" s="440"/>
      <c r="AI173" s="440"/>
      <c r="AJ173" s="440"/>
      <c r="AK173" s="440"/>
      <c r="AL173" s="44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ht="24.75" customHeight="1">
      <c r="A174" s="44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440"/>
      <c r="AD174" s="440"/>
      <c r="AE174" s="440"/>
      <c r="AF174" s="440"/>
      <c r="AG174" s="440"/>
      <c r="AH174" s="440"/>
      <c r="AI174" s="440"/>
      <c r="AJ174" s="440"/>
      <c r="AK174" s="440"/>
      <c r="AL174" s="44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ht="24.75" customHeight="1">
      <c r="A175" s="44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440"/>
      <c r="AD175" s="440"/>
      <c r="AE175" s="440"/>
      <c r="AF175" s="440"/>
      <c r="AG175" s="440"/>
      <c r="AH175" s="440"/>
      <c r="AI175" s="440"/>
      <c r="AJ175" s="440"/>
      <c r="AK175" s="440"/>
      <c r="AL175" s="44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ht="24.75" customHeight="1">
      <c r="A176" s="442"/>
      <c r="B176" s="440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440"/>
      <c r="AD176" s="440"/>
      <c r="AE176" s="440"/>
      <c r="AF176" s="440"/>
      <c r="AG176" s="440"/>
      <c r="AH176" s="440"/>
      <c r="AI176" s="440"/>
      <c r="AJ176" s="440"/>
      <c r="AK176" s="440"/>
      <c r="AL176" s="44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ht="24.0" customHeight="1">
      <c r="A177" s="443"/>
      <c r="B177" s="444"/>
      <c r="C177" s="45"/>
      <c r="D177" s="45"/>
      <c r="E177" s="45"/>
      <c r="F177" s="444"/>
      <c r="G177" s="444"/>
      <c r="H177" s="444"/>
      <c r="I177" s="445"/>
      <c r="J177" s="445"/>
      <c r="K177" s="445"/>
      <c r="L177" s="445"/>
      <c r="M177" s="445"/>
      <c r="N177" s="445"/>
      <c r="O177" s="440"/>
      <c r="P177" s="45"/>
      <c r="Q177" s="45"/>
      <c r="R177" s="45"/>
      <c r="S177" s="45"/>
      <c r="T177" s="444"/>
      <c r="U177" s="444"/>
      <c r="V177" s="444"/>
      <c r="W177" s="444"/>
      <c r="X177" s="445"/>
      <c r="Y177" s="445"/>
      <c r="Z177" s="445"/>
      <c r="AA177" s="444"/>
      <c r="AB177" s="350"/>
      <c r="AC177" s="350"/>
      <c r="AD177" s="45"/>
      <c r="AE177" s="263"/>
      <c r="AF177" s="263"/>
      <c r="AG177" s="445"/>
      <c r="AH177" s="445"/>
      <c r="AI177" s="445"/>
      <c r="AJ177" s="445"/>
      <c r="AK177" s="445"/>
      <c r="AL177" s="445"/>
      <c r="AM177" s="1"/>
      <c r="AN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ht="24.75" customHeight="1">
      <c r="A178" s="446"/>
      <c r="B178" s="447" t="s">
        <v>398</v>
      </c>
      <c r="C178" s="447"/>
      <c r="D178" s="447"/>
      <c r="E178" s="447"/>
      <c r="F178" s="448" t="s">
        <v>44</v>
      </c>
      <c r="G178" s="163"/>
      <c r="H178" s="163"/>
      <c r="I178" s="163"/>
      <c r="J178" s="163"/>
      <c r="K178" s="163"/>
      <c r="L178" s="163"/>
      <c r="M178" s="163"/>
      <c r="N178" s="164"/>
      <c r="O178" s="449"/>
      <c r="P178" s="450"/>
      <c r="Q178" s="450"/>
      <c r="R178" s="450"/>
      <c r="S178" s="450"/>
      <c r="T178" s="448" t="s">
        <v>399</v>
      </c>
      <c r="U178" s="163"/>
      <c r="V178" s="163"/>
      <c r="W178" s="163"/>
      <c r="X178" s="163"/>
      <c r="Y178" s="163"/>
      <c r="Z178" s="163"/>
      <c r="AA178" s="164"/>
      <c r="AB178" s="404"/>
      <c r="AC178" s="404"/>
      <c r="AD178" s="449"/>
      <c r="AE178" s="449"/>
      <c r="AF178" s="449"/>
      <c r="AG178" s="451" t="s">
        <v>73</v>
      </c>
      <c r="AH178" s="163"/>
      <c r="AI178" s="163"/>
      <c r="AJ178" s="163"/>
      <c r="AK178" s="163"/>
      <c r="AL178" s="164"/>
      <c r="AM178" s="452"/>
      <c r="AN178" s="452"/>
      <c r="AO178" s="452"/>
      <c r="AP178" s="452"/>
      <c r="AQ178" s="452"/>
      <c r="AR178" s="452"/>
      <c r="AS178" s="452"/>
      <c r="AT178" s="452"/>
      <c r="AU178" s="452"/>
      <c r="AV178" s="452"/>
      <c r="AW178" s="452"/>
      <c r="AX178" s="449"/>
      <c r="AY178" s="449"/>
      <c r="AZ178" s="449"/>
      <c r="BA178" s="449"/>
      <c r="BB178" s="449"/>
      <c r="BC178" s="449"/>
      <c r="BD178" s="449"/>
      <c r="BE178" s="449"/>
      <c r="BF178" s="449"/>
    </row>
    <row r="179" ht="24.75" customHeight="1">
      <c r="A179" s="446"/>
      <c r="B179" s="453" t="s">
        <v>35</v>
      </c>
      <c r="C179" s="453"/>
      <c r="D179" s="453"/>
      <c r="E179" s="453"/>
      <c r="F179" s="454" t="s">
        <v>54</v>
      </c>
      <c r="G179" s="38"/>
      <c r="H179" s="38"/>
      <c r="I179" s="38"/>
      <c r="J179" s="38"/>
      <c r="K179" s="38"/>
      <c r="L179" s="38"/>
      <c r="M179" s="38"/>
      <c r="N179" s="40"/>
      <c r="O179" s="455"/>
      <c r="P179" s="455"/>
      <c r="Q179" s="455"/>
      <c r="R179" s="455"/>
      <c r="S179" s="455"/>
      <c r="T179" s="456" t="s">
        <v>400</v>
      </c>
      <c r="U179" s="38"/>
      <c r="V179" s="38"/>
      <c r="W179" s="38"/>
      <c r="X179" s="38"/>
      <c r="Y179" s="38"/>
      <c r="Z179" s="38"/>
      <c r="AA179" s="40"/>
      <c r="AB179" s="404"/>
      <c r="AC179" s="404"/>
      <c r="AD179" s="449"/>
      <c r="AE179" s="449"/>
      <c r="AF179" s="449"/>
      <c r="AG179" s="456" t="s">
        <v>74</v>
      </c>
      <c r="AH179" s="38"/>
      <c r="AI179" s="38"/>
      <c r="AJ179" s="38"/>
      <c r="AK179" s="38"/>
      <c r="AL179" s="40"/>
      <c r="AM179" s="455"/>
      <c r="AN179" s="404"/>
      <c r="AO179" s="457"/>
      <c r="AP179" s="457"/>
      <c r="AQ179" s="457"/>
      <c r="AR179" s="457"/>
      <c r="AS179" s="457"/>
      <c r="AT179" s="455"/>
      <c r="AU179" s="458"/>
      <c r="AV179" s="458"/>
      <c r="AW179" s="458"/>
      <c r="AX179" s="449"/>
      <c r="AY179" s="449"/>
      <c r="AZ179" s="449"/>
      <c r="BA179" s="449"/>
      <c r="BB179" s="449"/>
      <c r="BC179" s="449"/>
      <c r="BD179" s="449"/>
      <c r="BE179" s="449"/>
      <c r="BF179" s="449"/>
    </row>
    <row r="180" ht="18.0" customHeight="1">
      <c r="A180" s="459"/>
      <c r="B180" s="460"/>
      <c r="C180" s="460"/>
      <c r="D180" s="460"/>
      <c r="E180" s="460"/>
      <c r="F180" s="460"/>
      <c r="G180" s="461"/>
      <c r="H180" s="461"/>
      <c r="I180" s="440"/>
      <c r="J180" s="44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2"/>
      <c r="W180" s="38"/>
      <c r="X180" s="38"/>
      <c r="Y180" s="38"/>
      <c r="Z180" s="38"/>
      <c r="AA180" s="40"/>
      <c r="AB180" s="440"/>
      <c r="AC180" s="461"/>
      <c r="AD180" s="440"/>
      <c r="AE180" s="440"/>
      <c r="AF180" s="440"/>
      <c r="AG180" s="440"/>
      <c r="AH180" s="440"/>
      <c r="AI180" s="460"/>
      <c r="AJ180" s="460"/>
      <c r="AK180" s="460"/>
      <c r="AL180" s="460"/>
      <c r="AM180" s="170"/>
      <c r="AN180" s="170"/>
      <c r="AO180" s="170"/>
      <c r="AP180" s="170"/>
      <c r="AQ180" s="170"/>
      <c r="AR180" s="170"/>
      <c r="AS180" s="170"/>
      <c r="AT180" s="170"/>
      <c r="AU180" s="173"/>
      <c r="AV180" s="173"/>
      <c r="AW180" s="173"/>
      <c r="AX180" s="1"/>
      <c r="AY180" s="1"/>
      <c r="AZ180" s="1"/>
      <c r="BA180" s="1"/>
      <c r="BB180" s="1"/>
      <c r="BC180" s="1"/>
      <c r="BD180" s="1"/>
      <c r="BE180" s="1"/>
      <c r="BF180" s="1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8">
    <mergeCell ref="S4:U4"/>
    <mergeCell ref="W4:Y4"/>
    <mergeCell ref="AA4:AC4"/>
    <mergeCell ref="AE4:AG4"/>
    <mergeCell ref="AM4:AN4"/>
    <mergeCell ref="K4:M4"/>
    <mergeCell ref="K5:M5"/>
    <mergeCell ref="O5:Q5"/>
    <mergeCell ref="S5:U5"/>
    <mergeCell ref="W5:Y5"/>
    <mergeCell ref="AA5:AC5"/>
    <mergeCell ref="AI4:AK4"/>
    <mergeCell ref="AI5:AK5"/>
    <mergeCell ref="AM5:AN5"/>
    <mergeCell ref="AM6:AN6"/>
    <mergeCell ref="K6:M6"/>
    <mergeCell ref="O6:Q6"/>
    <mergeCell ref="S6:U6"/>
    <mergeCell ref="W6:Y6"/>
    <mergeCell ref="AE5:AG5"/>
    <mergeCell ref="AE6:AG6"/>
    <mergeCell ref="O7:Q7"/>
    <mergeCell ref="S7:U7"/>
    <mergeCell ref="AA6:AC6"/>
    <mergeCell ref="AA7:AC7"/>
    <mergeCell ref="AI6:AK6"/>
    <mergeCell ref="AI7:AK7"/>
    <mergeCell ref="AM7:AN7"/>
    <mergeCell ref="AM8:AN8"/>
    <mergeCell ref="AM9:AN9"/>
    <mergeCell ref="AM10:AN10"/>
    <mergeCell ref="AM11:AN11"/>
    <mergeCell ref="AM12:AN12"/>
    <mergeCell ref="O8:Q8"/>
    <mergeCell ref="S8:U8"/>
    <mergeCell ref="W8:Y8"/>
    <mergeCell ref="AA8:AC8"/>
    <mergeCell ref="A1:A3"/>
    <mergeCell ref="B1:B3"/>
    <mergeCell ref="C1:AK3"/>
    <mergeCell ref="C4:F8"/>
    <mergeCell ref="O4:Q4"/>
    <mergeCell ref="W7:Y7"/>
    <mergeCell ref="AE7:AG7"/>
    <mergeCell ref="G4:I8"/>
    <mergeCell ref="K7:M7"/>
    <mergeCell ref="K8:M8"/>
    <mergeCell ref="C9:F12"/>
    <mergeCell ref="G9:I12"/>
    <mergeCell ref="K9:M9"/>
    <mergeCell ref="K10:M10"/>
    <mergeCell ref="AA16:AB16"/>
    <mergeCell ref="AC16:AD16"/>
    <mergeCell ref="F178:N178"/>
    <mergeCell ref="T178:AA178"/>
    <mergeCell ref="AG178:AL178"/>
    <mergeCell ref="F179:N179"/>
    <mergeCell ref="T179:AA179"/>
    <mergeCell ref="AG179:AL179"/>
    <mergeCell ref="V180:AA180"/>
    <mergeCell ref="M16:N16"/>
    <mergeCell ref="O16:P16"/>
    <mergeCell ref="Q16:R16"/>
    <mergeCell ref="S16:T16"/>
    <mergeCell ref="U16:V16"/>
    <mergeCell ref="W16:X16"/>
    <mergeCell ref="Y16:Z16"/>
    <mergeCell ref="AE8:AG8"/>
    <mergeCell ref="AI8:AK8"/>
    <mergeCell ref="S9:U9"/>
    <mergeCell ref="W9:Y9"/>
    <mergeCell ref="AA9:AC9"/>
    <mergeCell ref="AE9:AG9"/>
    <mergeCell ref="AI9:AK9"/>
    <mergeCell ref="S10:U10"/>
    <mergeCell ref="S11:U11"/>
    <mergeCell ref="S12:U12"/>
    <mergeCell ref="W12:Y12"/>
    <mergeCell ref="AA10:AC10"/>
    <mergeCell ref="AA11:AC11"/>
    <mergeCell ref="AA12:AC12"/>
    <mergeCell ref="AE12:AG12"/>
    <mergeCell ref="AD15:AI15"/>
    <mergeCell ref="AE16:AF16"/>
    <mergeCell ref="AG16:AH16"/>
    <mergeCell ref="AI10:AK10"/>
    <mergeCell ref="AI11:AK11"/>
    <mergeCell ref="AI12:AK12"/>
    <mergeCell ref="AJ15:AK15"/>
    <mergeCell ref="AI16:AJ16"/>
    <mergeCell ref="O9:Q9"/>
    <mergeCell ref="O10:Q10"/>
    <mergeCell ref="W10:Y10"/>
    <mergeCell ref="AE10:AG10"/>
    <mergeCell ref="O11:Q11"/>
    <mergeCell ref="W11:Y11"/>
    <mergeCell ref="AE11:AG11"/>
    <mergeCell ref="K11:M11"/>
    <mergeCell ref="K12:M12"/>
    <mergeCell ref="O12:Q12"/>
    <mergeCell ref="A13:AK13"/>
    <mergeCell ref="A14:A16"/>
    <mergeCell ref="B14:B16"/>
    <mergeCell ref="C16:D16"/>
    <mergeCell ref="E16:F16"/>
    <mergeCell ref="G16:H16"/>
    <mergeCell ref="I16:J16"/>
    <mergeCell ref="K16:L16"/>
  </mergeCells>
  <conditionalFormatting sqref="C33 E33 G33 I33">
    <cfRule type="cellIs" dxfId="6" priority="1" stopIfTrue="1" operator="notEqual">
      <formula>0</formula>
    </cfRule>
  </conditionalFormatting>
  <conditionalFormatting sqref="C33 E33 G33 I33">
    <cfRule type="cellIs" dxfId="7" priority="2" stopIfTrue="1" operator="equal">
      <formula>0</formula>
    </cfRule>
  </conditionalFormatting>
  <conditionalFormatting sqref="C33 E33 G33 I33">
    <cfRule type="containsText" dxfId="8" priority="3" operator="containsText" text="R21">
      <formula>NOT(ISERROR(SEARCH(("R21"),(C33))))</formula>
    </cfRule>
  </conditionalFormatting>
  <conditionalFormatting sqref="C33 E33 G33 I33">
    <cfRule type="containsText" dxfId="9" priority="4" operator="containsText" text="R20">
      <formula>NOT(ISERROR(SEARCH(("R20"),(C33))))</formula>
    </cfRule>
  </conditionalFormatting>
  <conditionalFormatting sqref="C33 E33 G33 I33">
    <cfRule type="containsText" dxfId="10" priority="5" operator="containsText" text="R16">
      <formula>NOT(ISERROR(SEARCH(("R16"),(C33))))</formula>
    </cfRule>
  </conditionalFormatting>
  <conditionalFormatting sqref="C33 E33 G33 I33">
    <cfRule type="containsText" dxfId="11" priority="6" operator="containsText" text="R15">
      <formula>NOT(ISERROR(SEARCH(("R15"),(C33))))</formula>
    </cfRule>
  </conditionalFormatting>
  <conditionalFormatting sqref="C33 E33 G33 I33">
    <cfRule type="containsText" dxfId="12" priority="7" operator="containsText" text="R14">
      <formula>NOT(ISERROR(SEARCH(("R14"),(C33))))</formula>
    </cfRule>
  </conditionalFormatting>
  <conditionalFormatting sqref="C33 E33 G33 I33">
    <cfRule type="containsText" dxfId="1" priority="8" operator="containsText" text="R12">
      <formula>NOT(ISERROR(SEARCH(("R12"),(C33))))</formula>
    </cfRule>
  </conditionalFormatting>
  <conditionalFormatting sqref="C33 E33 G33 I33">
    <cfRule type="containsText" dxfId="13" priority="9" operator="containsText" text="R11">
      <formula>NOT(ISERROR(SEARCH(("R11"),(C33))))</formula>
    </cfRule>
  </conditionalFormatting>
  <conditionalFormatting sqref="C33 E33 G33 I33">
    <cfRule type="containsText" dxfId="14" priority="10" operator="containsText" text="R10">
      <formula>NOT(ISERROR(SEARCH(("R10"),(C33))))</formula>
    </cfRule>
  </conditionalFormatting>
  <conditionalFormatting sqref="C33 E33 G33 I33">
    <cfRule type="containsText" dxfId="15" priority="11" operator="containsText" text="R9">
      <formula>NOT(ISERROR(SEARCH(("R9"),(C33))))</formula>
    </cfRule>
  </conditionalFormatting>
  <conditionalFormatting sqref="C33 E33 G33 I33">
    <cfRule type="containsText" dxfId="16" priority="12" operator="containsText" text="R8">
      <formula>NOT(ISERROR(SEARCH(("R8"),(C33))))</formula>
    </cfRule>
  </conditionalFormatting>
  <conditionalFormatting sqref="C33 E33 G33 I33">
    <cfRule type="containsText" dxfId="17" priority="13" operator="containsText" text="R7">
      <formula>NOT(ISERROR(SEARCH(("R7"),(C33))))</formula>
    </cfRule>
  </conditionalFormatting>
  <conditionalFormatting sqref="C33 E33 G33 I33">
    <cfRule type="containsText" dxfId="18" priority="14" operator="containsText" text="R6">
      <formula>NOT(ISERROR(SEARCH(("R6"),(C33))))</formula>
    </cfRule>
  </conditionalFormatting>
  <conditionalFormatting sqref="C33 E33 G33 I33">
    <cfRule type="containsText" dxfId="19" priority="15" operator="containsText" text="R5">
      <formula>NOT(ISERROR(SEARCH(("R5"),(C33))))</formula>
    </cfRule>
  </conditionalFormatting>
  <conditionalFormatting sqref="C33 E33 G33 I33">
    <cfRule type="containsText" dxfId="20" priority="16" operator="containsText" text="R4">
      <formula>NOT(ISERROR(SEARCH(("R4"),(C33))))</formula>
    </cfRule>
  </conditionalFormatting>
  <conditionalFormatting sqref="C33 E33 G33 I33">
    <cfRule type="cellIs" dxfId="6" priority="17" stopIfTrue="1" operator="notEqual">
      <formula>0</formula>
    </cfRule>
  </conditionalFormatting>
  <conditionalFormatting sqref="C33 E33 G33 I33">
    <cfRule type="cellIs" dxfId="7" priority="18" stopIfTrue="1" operator="equal">
      <formula>0</formula>
    </cfRule>
  </conditionalFormatting>
  <conditionalFormatting sqref="C33:AJ33">
    <cfRule type="containsText" dxfId="21" priority="19" operator="containsText" text="R37">
      <formula>NOT(ISERROR(SEARCH(("R37"),(C33))))</formula>
    </cfRule>
  </conditionalFormatting>
  <conditionalFormatting sqref="C33:AJ33">
    <cfRule type="containsText" dxfId="1" priority="20" operator="containsText" text="R36">
      <formula>NOT(ISERROR(SEARCH(("R36"),(C33))))</formula>
    </cfRule>
  </conditionalFormatting>
  <conditionalFormatting sqref="C33:AJ33">
    <cfRule type="containsText" dxfId="22" priority="21" operator="containsText" text="R35">
      <formula>NOT(ISERROR(SEARCH(("R35"),(C33))))</formula>
    </cfRule>
  </conditionalFormatting>
  <conditionalFormatting sqref="C33:AJ33">
    <cfRule type="containsText" dxfId="23" priority="22" operator="containsText" text="R34">
      <formula>NOT(ISERROR(SEARCH(("R34"),(C33))))</formula>
    </cfRule>
  </conditionalFormatting>
  <conditionalFormatting sqref="C33:AJ33">
    <cfRule type="containsText" dxfId="24" priority="23" operator="containsText" text="R33">
      <formula>NOT(ISERROR(SEARCH(("R33"),(C33))))</formula>
    </cfRule>
  </conditionalFormatting>
  <conditionalFormatting sqref="C33:AJ33">
    <cfRule type="containsText" dxfId="25" priority="24" operator="containsText" text="R32">
      <formula>NOT(ISERROR(SEARCH(("R32"),(C33))))</formula>
    </cfRule>
  </conditionalFormatting>
  <conditionalFormatting sqref="C33:AJ33">
    <cfRule type="containsText" dxfId="26" priority="25" operator="containsText" text="R31">
      <formula>NOT(ISERROR(SEARCH(("R31"),(C33))))</formula>
    </cfRule>
  </conditionalFormatting>
  <conditionalFormatting sqref="C33:AJ33">
    <cfRule type="containsText" dxfId="27" priority="26" operator="containsText" text="R30">
      <formula>NOT(ISERROR(SEARCH(("R30"),(C33))))</formula>
    </cfRule>
  </conditionalFormatting>
  <conditionalFormatting sqref="C33:AJ33">
    <cfRule type="containsText" dxfId="28" priority="27" operator="containsText" text="R30">
      <formula>NOT(ISERROR(SEARCH(("R30"),(C33))))</formula>
    </cfRule>
  </conditionalFormatting>
  <conditionalFormatting sqref="C33:AJ33">
    <cfRule type="containsText" dxfId="29" priority="28" operator="containsText" text="R29">
      <formula>NOT(ISERROR(SEARCH(("R29"),(C33))))</formula>
    </cfRule>
  </conditionalFormatting>
  <conditionalFormatting sqref="C33:AJ33">
    <cfRule type="containsText" dxfId="30" priority="29" operator="containsText" text="R27">
      <formula>NOT(ISERROR(SEARCH(("R27"),(C33))))</formula>
    </cfRule>
  </conditionalFormatting>
  <conditionalFormatting sqref="C33:AJ33">
    <cfRule type="containsText" dxfId="3" priority="30" operator="containsText" text="R25">
      <formula>NOT(ISERROR(SEARCH(("R25"),(C33))))</formula>
    </cfRule>
  </conditionalFormatting>
  <conditionalFormatting sqref="C33:AJ33">
    <cfRule type="containsText" dxfId="31" priority="31" operator="containsText" text="R24">
      <formula>NOT(ISERROR(SEARCH(("R24"),(C33))))</formula>
    </cfRule>
  </conditionalFormatting>
  <conditionalFormatting sqref="C33:AJ33">
    <cfRule type="containsText" dxfId="4" priority="32" operator="containsText" text="R23">
      <formula>NOT(ISERROR(SEARCH(("R23"),(C33))))</formula>
    </cfRule>
  </conditionalFormatting>
  <conditionalFormatting sqref="C54:AJ54">
    <cfRule type="containsText" dxfId="21" priority="33" operator="containsText" text="R37">
      <formula>NOT(ISERROR(SEARCH(("R37"),(C54))))</formula>
    </cfRule>
  </conditionalFormatting>
  <conditionalFormatting sqref="C54:AJ54">
    <cfRule type="containsText" dxfId="1" priority="34" operator="containsText" text="R36">
      <formula>NOT(ISERROR(SEARCH(("R36"),(C54))))</formula>
    </cfRule>
  </conditionalFormatting>
  <conditionalFormatting sqref="C54:AJ54">
    <cfRule type="containsText" dxfId="22" priority="35" operator="containsText" text="R35">
      <formula>NOT(ISERROR(SEARCH(("R35"),(C54))))</formula>
    </cfRule>
  </conditionalFormatting>
  <conditionalFormatting sqref="C54:AJ54">
    <cfRule type="containsText" dxfId="23" priority="36" operator="containsText" text="R34">
      <formula>NOT(ISERROR(SEARCH(("R34"),(C54))))</formula>
    </cfRule>
  </conditionalFormatting>
  <conditionalFormatting sqref="C54:AJ54">
    <cfRule type="containsText" dxfId="24" priority="37" operator="containsText" text="R33">
      <formula>NOT(ISERROR(SEARCH(("R33"),(C54))))</formula>
    </cfRule>
  </conditionalFormatting>
  <conditionalFormatting sqref="C54:AJ54">
    <cfRule type="containsText" dxfId="25" priority="38" operator="containsText" text="R32">
      <formula>NOT(ISERROR(SEARCH(("R32"),(C54))))</formula>
    </cfRule>
  </conditionalFormatting>
  <conditionalFormatting sqref="C54:AJ54">
    <cfRule type="containsText" dxfId="26" priority="39" operator="containsText" text="R31">
      <formula>NOT(ISERROR(SEARCH(("R31"),(C54))))</formula>
    </cfRule>
  </conditionalFormatting>
  <conditionalFormatting sqref="C54:AJ54">
    <cfRule type="containsText" dxfId="27" priority="40" operator="containsText" text="R30">
      <formula>NOT(ISERROR(SEARCH(("R30"),(C54))))</formula>
    </cfRule>
  </conditionalFormatting>
  <conditionalFormatting sqref="C54:AJ54">
    <cfRule type="containsText" dxfId="28" priority="41" operator="containsText" text="R30">
      <formula>NOT(ISERROR(SEARCH(("R30"),(C54))))</formula>
    </cfRule>
  </conditionalFormatting>
  <conditionalFormatting sqref="C54:AJ54">
    <cfRule type="containsText" dxfId="29" priority="42" operator="containsText" text="R29">
      <formula>NOT(ISERROR(SEARCH(("R29"),(C54))))</formula>
    </cfRule>
  </conditionalFormatting>
  <conditionalFormatting sqref="C54:AJ54">
    <cfRule type="containsText" dxfId="30" priority="43" operator="containsText" text="R27">
      <formula>NOT(ISERROR(SEARCH(("R27"),(C54))))</formula>
    </cfRule>
  </conditionalFormatting>
  <conditionalFormatting sqref="C54:AJ54">
    <cfRule type="containsText" dxfId="3" priority="44" operator="containsText" text="R25">
      <formula>NOT(ISERROR(SEARCH(("R25"),(C54))))</formula>
    </cfRule>
  </conditionalFormatting>
  <conditionalFormatting sqref="C54:AJ54">
    <cfRule type="containsText" dxfId="31" priority="45" operator="containsText" text="R24">
      <formula>NOT(ISERROR(SEARCH(("R24"),(C54))))</formula>
    </cfRule>
  </conditionalFormatting>
  <conditionalFormatting sqref="C54:AJ54">
    <cfRule type="containsText" dxfId="4" priority="46" operator="containsText" text="R23">
      <formula>NOT(ISERROR(SEARCH(("R23"),(C54))))</formula>
    </cfRule>
  </conditionalFormatting>
  <conditionalFormatting sqref="C54:AJ54">
    <cfRule type="containsText" dxfId="32" priority="47" operator="containsText" text="R22">
      <formula>NOT(ISERROR(SEARCH(("R22"),(C54))))</formula>
    </cfRule>
  </conditionalFormatting>
  <conditionalFormatting sqref="C54:AJ54">
    <cfRule type="containsText" dxfId="8" priority="48" operator="containsText" text="R21">
      <formula>NOT(ISERROR(SEARCH(("R21"),(C54))))</formula>
    </cfRule>
  </conditionalFormatting>
  <conditionalFormatting sqref="C54:AJ54">
    <cfRule type="containsText" dxfId="33" priority="49" operator="containsText" text="R21">
      <formula>NOT(ISERROR(SEARCH(("R21"),(C54))))</formula>
    </cfRule>
  </conditionalFormatting>
  <conditionalFormatting sqref="C54:AJ54">
    <cfRule type="containsText" dxfId="9" priority="50" operator="containsText" text="R20">
      <formula>NOT(ISERROR(SEARCH(("R20"),(C54))))</formula>
    </cfRule>
  </conditionalFormatting>
  <conditionalFormatting sqref="C54:AJ54">
    <cfRule type="containsText" dxfId="34" priority="51" operator="containsText" text="R18">
      <formula>NOT(ISERROR(SEARCH(("R18"),(C54))))</formula>
    </cfRule>
  </conditionalFormatting>
  <conditionalFormatting sqref="C54:AJ54">
    <cfRule type="containsText" dxfId="35" priority="52" operator="containsText" text="R17">
      <formula>NOT(ISERROR(SEARCH(("R17"),(C54))))</formula>
    </cfRule>
  </conditionalFormatting>
  <conditionalFormatting sqref="C54:AJ54">
    <cfRule type="containsText" dxfId="10" priority="53" operator="containsText" text="R16">
      <formula>NOT(ISERROR(SEARCH(("R16"),(C54))))</formula>
    </cfRule>
  </conditionalFormatting>
  <conditionalFormatting sqref="C54:AJ54">
    <cfRule type="containsText" dxfId="11" priority="54" operator="containsText" text="R15">
      <formula>NOT(ISERROR(SEARCH(("R15"),(C54))))</formula>
    </cfRule>
  </conditionalFormatting>
  <conditionalFormatting sqref="C54:AJ54">
    <cfRule type="containsText" dxfId="36" priority="55" operator="containsText" text="R13">
      <formula>NOT(ISERROR(SEARCH(("R13"),(C54))))</formula>
    </cfRule>
  </conditionalFormatting>
  <conditionalFormatting sqref="C54:AJ54">
    <cfRule type="containsText" dxfId="37" priority="56" operator="containsText" text="R12">
      <formula>NOT(ISERROR(SEARCH(("R12"),(C54))))</formula>
    </cfRule>
  </conditionalFormatting>
  <conditionalFormatting sqref="C54:AJ54">
    <cfRule type="containsText" dxfId="13" priority="57" operator="containsText" text="R11">
      <formula>NOT(ISERROR(SEARCH(("R11"),(C54))))</formula>
    </cfRule>
  </conditionalFormatting>
  <conditionalFormatting sqref="C54:AJ54">
    <cfRule type="containsText" dxfId="14" priority="58" operator="containsText" text="R10">
      <formula>NOT(ISERROR(SEARCH(("R10"),(C54))))</formula>
    </cfRule>
  </conditionalFormatting>
  <conditionalFormatting sqref="C54:AJ54">
    <cfRule type="containsText" dxfId="15" priority="59" operator="containsText" text="R9">
      <formula>NOT(ISERROR(SEARCH(("R9"),(C54))))</formula>
    </cfRule>
  </conditionalFormatting>
  <conditionalFormatting sqref="C54:AJ54">
    <cfRule type="containsText" dxfId="16" priority="60" operator="containsText" text="R8">
      <formula>NOT(ISERROR(SEARCH(("R8"),(C54))))</formula>
    </cfRule>
  </conditionalFormatting>
  <conditionalFormatting sqref="C54:AJ54">
    <cfRule type="containsText" dxfId="17" priority="61" operator="containsText" text="R7">
      <formula>NOT(ISERROR(SEARCH(("R7"),(C54))))</formula>
    </cfRule>
  </conditionalFormatting>
  <conditionalFormatting sqref="C54:AJ54">
    <cfRule type="containsText" dxfId="18" priority="62" operator="containsText" text="R6">
      <formula>NOT(ISERROR(SEARCH(("R6"),(C54))))</formula>
    </cfRule>
  </conditionalFormatting>
  <conditionalFormatting sqref="C54:AJ54">
    <cfRule type="containsText" dxfId="19" priority="63" operator="containsText" text="R5">
      <formula>NOT(ISERROR(SEARCH(("R5"),(C54))))</formula>
    </cfRule>
  </conditionalFormatting>
  <conditionalFormatting sqref="C54:AJ54">
    <cfRule type="containsText" dxfId="20" priority="64" operator="containsText" text="R4">
      <formula>NOT(ISERROR(SEARCH(("R4"),(C54))))</formula>
    </cfRule>
  </conditionalFormatting>
  <conditionalFormatting sqref="C54:AJ54">
    <cfRule type="containsText" dxfId="38" priority="65" operator="containsText" text="R3">
      <formula>NOT(ISERROR(SEARCH(("R3"),(C54))))</formula>
    </cfRule>
  </conditionalFormatting>
  <conditionalFormatting sqref="C81:AJ81">
    <cfRule type="containsText" dxfId="21" priority="66" operator="containsText" text="R37">
      <formula>NOT(ISERROR(SEARCH(("R37"),(C81))))</formula>
    </cfRule>
  </conditionalFormatting>
  <conditionalFormatting sqref="C81:AJ81">
    <cfRule type="containsText" dxfId="1" priority="67" operator="containsText" text="R36">
      <formula>NOT(ISERROR(SEARCH(("R36"),(C81))))</formula>
    </cfRule>
  </conditionalFormatting>
  <conditionalFormatting sqref="C81:AJ81">
    <cfRule type="containsText" dxfId="22" priority="68" operator="containsText" text="R35">
      <formula>NOT(ISERROR(SEARCH(("R35"),(C81))))</formula>
    </cfRule>
  </conditionalFormatting>
  <conditionalFormatting sqref="C81:AJ81">
    <cfRule type="containsText" dxfId="23" priority="69" operator="containsText" text="R34">
      <formula>NOT(ISERROR(SEARCH(("R34"),(C81))))</formula>
    </cfRule>
  </conditionalFormatting>
  <conditionalFormatting sqref="C81:AJ81">
    <cfRule type="containsText" dxfId="24" priority="70" operator="containsText" text="R33">
      <formula>NOT(ISERROR(SEARCH(("R33"),(C81))))</formula>
    </cfRule>
  </conditionalFormatting>
  <conditionalFormatting sqref="C81:AJ81">
    <cfRule type="containsText" dxfId="25" priority="71" operator="containsText" text="R32">
      <formula>NOT(ISERROR(SEARCH(("R32"),(C81))))</formula>
    </cfRule>
  </conditionalFormatting>
  <conditionalFormatting sqref="C81:AJ81">
    <cfRule type="containsText" dxfId="26" priority="72" operator="containsText" text="R31">
      <formula>NOT(ISERROR(SEARCH(("R31"),(C81))))</formula>
    </cfRule>
  </conditionalFormatting>
  <conditionalFormatting sqref="C81:AJ81">
    <cfRule type="containsText" dxfId="27" priority="73" operator="containsText" text="R30">
      <formula>NOT(ISERROR(SEARCH(("R30"),(C81))))</formula>
    </cfRule>
  </conditionalFormatting>
  <conditionalFormatting sqref="C81:AJ81">
    <cfRule type="containsText" dxfId="28" priority="74" operator="containsText" text="R30">
      <formula>NOT(ISERROR(SEARCH(("R30"),(C81))))</formula>
    </cfRule>
  </conditionalFormatting>
  <conditionalFormatting sqref="C81:AJ81">
    <cfRule type="containsText" dxfId="29" priority="75" operator="containsText" text="R29">
      <formula>NOT(ISERROR(SEARCH(("R29"),(C81))))</formula>
    </cfRule>
  </conditionalFormatting>
  <conditionalFormatting sqref="C81:AJ81">
    <cfRule type="containsText" dxfId="30" priority="76" operator="containsText" text="R27">
      <formula>NOT(ISERROR(SEARCH(("R27"),(C81))))</formula>
    </cfRule>
  </conditionalFormatting>
  <conditionalFormatting sqref="C81:AJ81">
    <cfRule type="containsText" dxfId="3" priority="77" operator="containsText" text="R25">
      <formula>NOT(ISERROR(SEARCH(("R25"),(C81))))</formula>
    </cfRule>
  </conditionalFormatting>
  <conditionalFormatting sqref="C81:AJ81">
    <cfRule type="containsText" dxfId="31" priority="78" operator="containsText" text="R24">
      <formula>NOT(ISERROR(SEARCH(("R24"),(C81))))</formula>
    </cfRule>
  </conditionalFormatting>
  <conditionalFormatting sqref="C81:AJ81">
    <cfRule type="containsText" dxfId="4" priority="79" operator="containsText" text="R23">
      <formula>NOT(ISERROR(SEARCH(("R23"),(C81))))</formula>
    </cfRule>
  </conditionalFormatting>
  <conditionalFormatting sqref="C81:AJ81">
    <cfRule type="containsText" dxfId="32" priority="80" operator="containsText" text="R22">
      <formula>NOT(ISERROR(SEARCH(("R22"),(C81))))</formula>
    </cfRule>
  </conditionalFormatting>
  <conditionalFormatting sqref="C81:AJ81">
    <cfRule type="containsText" dxfId="8" priority="81" operator="containsText" text="R21">
      <formula>NOT(ISERROR(SEARCH(("R21"),(C81))))</formula>
    </cfRule>
  </conditionalFormatting>
  <conditionalFormatting sqref="C81:AJ81">
    <cfRule type="containsText" dxfId="33" priority="82" operator="containsText" text="R21">
      <formula>NOT(ISERROR(SEARCH(("R21"),(C81))))</formula>
    </cfRule>
  </conditionalFormatting>
  <conditionalFormatting sqref="C81:AJ81">
    <cfRule type="containsText" dxfId="9" priority="83" operator="containsText" text="R20">
      <formula>NOT(ISERROR(SEARCH(("R20"),(C81))))</formula>
    </cfRule>
  </conditionalFormatting>
  <conditionalFormatting sqref="C81:AJ81">
    <cfRule type="containsText" dxfId="34" priority="84" operator="containsText" text="R18">
      <formula>NOT(ISERROR(SEARCH(("R18"),(C81))))</formula>
    </cfRule>
  </conditionalFormatting>
  <conditionalFormatting sqref="C81:AJ81">
    <cfRule type="containsText" dxfId="35" priority="85" operator="containsText" text="R17">
      <formula>NOT(ISERROR(SEARCH(("R17"),(C81))))</formula>
    </cfRule>
  </conditionalFormatting>
  <conditionalFormatting sqref="C81:AJ81">
    <cfRule type="containsText" dxfId="10" priority="86" operator="containsText" text="R16">
      <formula>NOT(ISERROR(SEARCH(("R16"),(C81))))</formula>
    </cfRule>
  </conditionalFormatting>
  <conditionalFormatting sqref="C81:AJ81">
    <cfRule type="containsText" dxfId="11" priority="87" operator="containsText" text="R15">
      <formula>NOT(ISERROR(SEARCH(("R15"),(C81))))</formula>
    </cfRule>
  </conditionalFormatting>
  <conditionalFormatting sqref="C81:AJ81">
    <cfRule type="containsText" dxfId="36" priority="88" operator="containsText" text="R13">
      <formula>NOT(ISERROR(SEARCH(("R13"),(C81))))</formula>
    </cfRule>
  </conditionalFormatting>
  <conditionalFormatting sqref="C81:AJ81">
    <cfRule type="containsText" dxfId="37" priority="89" operator="containsText" text="R12">
      <formula>NOT(ISERROR(SEARCH(("R12"),(C81))))</formula>
    </cfRule>
  </conditionalFormatting>
  <conditionalFormatting sqref="C81:AJ81">
    <cfRule type="containsText" dxfId="13" priority="90" operator="containsText" text="R11">
      <formula>NOT(ISERROR(SEARCH(("R11"),(C81))))</formula>
    </cfRule>
  </conditionalFormatting>
  <conditionalFormatting sqref="C81:AJ81">
    <cfRule type="containsText" dxfId="14" priority="91" operator="containsText" text="R10">
      <formula>NOT(ISERROR(SEARCH(("R10"),(C81))))</formula>
    </cfRule>
  </conditionalFormatting>
  <conditionalFormatting sqref="C81:AJ81">
    <cfRule type="containsText" dxfId="15" priority="92" operator="containsText" text="R9">
      <formula>NOT(ISERROR(SEARCH(("R9"),(C81))))</formula>
    </cfRule>
  </conditionalFormatting>
  <conditionalFormatting sqref="C81:AJ81">
    <cfRule type="containsText" dxfId="16" priority="93" operator="containsText" text="R8">
      <formula>NOT(ISERROR(SEARCH(("R8"),(C81))))</formula>
    </cfRule>
  </conditionalFormatting>
  <conditionalFormatting sqref="C81:AJ81">
    <cfRule type="containsText" dxfId="17" priority="94" operator="containsText" text="R7">
      <formula>NOT(ISERROR(SEARCH(("R7"),(C81))))</formula>
    </cfRule>
  </conditionalFormatting>
  <conditionalFormatting sqref="C81:AJ81">
    <cfRule type="containsText" dxfId="18" priority="95" operator="containsText" text="R6">
      <formula>NOT(ISERROR(SEARCH(("R6"),(C81))))</formula>
    </cfRule>
  </conditionalFormatting>
  <conditionalFormatting sqref="C81:AJ81">
    <cfRule type="containsText" dxfId="19" priority="96" operator="containsText" text="R5">
      <formula>NOT(ISERROR(SEARCH(("R5"),(C81))))</formula>
    </cfRule>
  </conditionalFormatting>
  <conditionalFormatting sqref="C81:AJ81">
    <cfRule type="containsText" dxfId="20" priority="97" operator="containsText" text="R4">
      <formula>NOT(ISERROR(SEARCH(("R4"),(C81))))</formula>
    </cfRule>
  </conditionalFormatting>
  <conditionalFormatting sqref="C81:AJ81">
    <cfRule type="containsText" dxfId="38" priority="98" operator="containsText" text="R3">
      <formula>NOT(ISERROR(SEARCH(("R3"),(C81))))</formula>
    </cfRule>
  </conditionalFormatting>
  <conditionalFormatting sqref="C117:AJ117">
    <cfRule type="containsText" dxfId="21" priority="99" operator="containsText" text="R37">
      <formula>NOT(ISERROR(SEARCH(("R37"),(C117))))</formula>
    </cfRule>
  </conditionalFormatting>
  <conditionalFormatting sqref="C117:AJ117">
    <cfRule type="containsText" dxfId="1" priority="100" operator="containsText" text="R36">
      <formula>NOT(ISERROR(SEARCH(("R36"),(C117))))</formula>
    </cfRule>
  </conditionalFormatting>
  <conditionalFormatting sqref="C117:AJ117">
    <cfRule type="containsText" dxfId="22" priority="101" operator="containsText" text="R35">
      <formula>NOT(ISERROR(SEARCH(("R35"),(C117))))</formula>
    </cfRule>
  </conditionalFormatting>
  <conditionalFormatting sqref="C117:AJ117">
    <cfRule type="containsText" dxfId="23" priority="102" operator="containsText" text="R34">
      <formula>NOT(ISERROR(SEARCH(("R34"),(C117))))</formula>
    </cfRule>
  </conditionalFormatting>
  <conditionalFormatting sqref="C117:AJ117">
    <cfRule type="containsText" dxfId="24" priority="103" operator="containsText" text="R33">
      <formula>NOT(ISERROR(SEARCH(("R33"),(C117))))</formula>
    </cfRule>
  </conditionalFormatting>
  <conditionalFormatting sqref="C117:AJ117">
    <cfRule type="containsText" dxfId="25" priority="104" operator="containsText" text="R32">
      <formula>NOT(ISERROR(SEARCH(("R32"),(C117))))</formula>
    </cfRule>
  </conditionalFormatting>
  <conditionalFormatting sqref="C117:AJ117">
    <cfRule type="containsText" dxfId="26" priority="105" operator="containsText" text="R31">
      <formula>NOT(ISERROR(SEARCH(("R31"),(C117))))</formula>
    </cfRule>
  </conditionalFormatting>
  <conditionalFormatting sqref="C117:AJ117">
    <cfRule type="containsText" dxfId="27" priority="106" operator="containsText" text="R30">
      <formula>NOT(ISERROR(SEARCH(("R30"),(C117))))</formula>
    </cfRule>
  </conditionalFormatting>
  <conditionalFormatting sqref="C117:AJ117">
    <cfRule type="containsText" dxfId="28" priority="107" operator="containsText" text="R30">
      <formula>NOT(ISERROR(SEARCH(("R30"),(C117))))</formula>
    </cfRule>
  </conditionalFormatting>
  <conditionalFormatting sqref="C117:AJ117">
    <cfRule type="containsText" dxfId="29" priority="108" operator="containsText" text="R29">
      <formula>NOT(ISERROR(SEARCH(("R29"),(C117))))</formula>
    </cfRule>
  </conditionalFormatting>
  <conditionalFormatting sqref="C117:AJ117">
    <cfRule type="containsText" dxfId="30" priority="109" operator="containsText" text="R27">
      <formula>NOT(ISERROR(SEARCH(("R27"),(C117))))</formula>
    </cfRule>
  </conditionalFormatting>
  <conditionalFormatting sqref="C117:AJ117">
    <cfRule type="containsText" dxfId="3" priority="110" operator="containsText" text="R25">
      <formula>NOT(ISERROR(SEARCH(("R25"),(C117))))</formula>
    </cfRule>
  </conditionalFormatting>
  <conditionalFormatting sqref="C117:AJ117">
    <cfRule type="containsText" dxfId="31" priority="111" operator="containsText" text="R24">
      <formula>NOT(ISERROR(SEARCH(("R24"),(C117))))</formula>
    </cfRule>
  </conditionalFormatting>
  <conditionalFormatting sqref="C117:AJ117">
    <cfRule type="containsText" dxfId="4" priority="112" operator="containsText" text="R23">
      <formula>NOT(ISERROR(SEARCH(("R23"),(C117))))</formula>
    </cfRule>
  </conditionalFormatting>
  <conditionalFormatting sqref="C117:AJ117">
    <cfRule type="containsText" dxfId="32" priority="113" operator="containsText" text="R22">
      <formula>NOT(ISERROR(SEARCH(("R22"),(C117))))</formula>
    </cfRule>
  </conditionalFormatting>
  <conditionalFormatting sqref="C117:AJ117">
    <cfRule type="containsText" dxfId="8" priority="114" operator="containsText" text="R21">
      <formula>NOT(ISERROR(SEARCH(("R21"),(C117))))</formula>
    </cfRule>
  </conditionalFormatting>
  <conditionalFormatting sqref="C117:AJ117">
    <cfRule type="containsText" dxfId="33" priority="115" operator="containsText" text="R21">
      <formula>NOT(ISERROR(SEARCH(("R21"),(C117))))</formula>
    </cfRule>
  </conditionalFormatting>
  <conditionalFormatting sqref="C117:AJ117">
    <cfRule type="containsText" dxfId="9" priority="116" operator="containsText" text="R20">
      <formula>NOT(ISERROR(SEARCH(("R20"),(C117))))</formula>
    </cfRule>
  </conditionalFormatting>
  <conditionalFormatting sqref="C117:AJ117">
    <cfRule type="containsText" dxfId="34" priority="117" operator="containsText" text="R18">
      <formula>NOT(ISERROR(SEARCH(("R18"),(C117))))</formula>
    </cfRule>
  </conditionalFormatting>
  <conditionalFormatting sqref="C117:AJ117">
    <cfRule type="containsText" dxfId="35" priority="118" operator="containsText" text="R17">
      <formula>NOT(ISERROR(SEARCH(("R17"),(C117))))</formula>
    </cfRule>
  </conditionalFormatting>
  <conditionalFormatting sqref="C117:AJ117">
    <cfRule type="containsText" dxfId="10" priority="119" operator="containsText" text="R16">
      <formula>NOT(ISERROR(SEARCH(("R16"),(C117))))</formula>
    </cfRule>
  </conditionalFormatting>
  <conditionalFormatting sqref="C117:AJ117">
    <cfRule type="containsText" dxfId="11" priority="120" operator="containsText" text="R15">
      <formula>NOT(ISERROR(SEARCH(("R15"),(C117))))</formula>
    </cfRule>
  </conditionalFormatting>
  <conditionalFormatting sqref="C117:AJ117">
    <cfRule type="containsText" dxfId="36" priority="121" operator="containsText" text="R13">
      <formula>NOT(ISERROR(SEARCH(("R13"),(C117))))</formula>
    </cfRule>
  </conditionalFormatting>
  <conditionalFormatting sqref="C117:AJ117">
    <cfRule type="containsText" dxfId="37" priority="122" operator="containsText" text="R12">
      <formula>NOT(ISERROR(SEARCH(("R12"),(C117))))</formula>
    </cfRule>
  </conditionalFormatting>
  <conditionalFormatting sqref="C117:AJ117">
    <cfRule type="containsText" dxfId="13" priority="123" operator="containsText" text="R11">
      <formula>NOT(ISERROR(SEARCH(("R11"),(C117))))</formula>
    </cfRule>
  </conditionalFormatting>
  <conditionalFormatting sqref="C117:AJ117">
    <cfRule type="containsText" dxfId="14" priority="124" operator="containsText" text="R10">
      <formula>NOT(ISERROR(SEARCH(("R10"),(C117))))</formula>
    </cfRule>
  </conditionalFormatting>
  <conditionalFormatting sqref="C117:AJ117">
    <cfRule type="containsText" dxfId="15" priority="125" operator="containsText" text="R9">
      <formula>NOT(ISERROR(SEARCH(("R9"),(C117))))</formula>
    </cfRule>
  </conditionalFormatting>
  <conditionalFormatting sqref="C117:AJ117">
    <cfRule type="containsText" dxfId="16" priority="126" operator="containsText" text="R8">
      <formula>NOT(ISERROR(SEARCH(("R8"),(C117))))</formula>
    </cfRule>
  </conditionalFormatting>
  <conditionalFormatting sqref="C117:AJ117">
    <cfRule type="containsText" dxfId="17" priority="127" operator="containsText" text="R7">
      <formula>NOT(ISERROR(SEARCH(("R7"),(C117))))</formula>
    </cfRule>
  </conditionalFormatting>
  <conditionalFormatting sqref="C117:AJ117">
    <cfRule type="containsText" dxfId="18" priority="128" operator="containsText" text="R6">
      <formula>NOT(ISERROR(SEARCH(("R6"),(C117))))</formula>
    </cfRule>
  </conditionalFormatting>
  <conditionalFormatting sqref="C117:AJ117">
    <cfRule type="containsText" dxfId="19" priority="129" operator="containsText" text="R5">
      <formula>NOT(ISERROR(SEARCH(("R5"),(C117))))</formula>
    </cfRule>
  </conditionalFormatting>
  <conditionalFormatting sqref="C117:AJ117">
    <cfRule type="containsText" dxfId="20" priority="130" operator="containsText" text="R4">
      <formula>NOT(ISERROR(SEARCH(("R4"),(C117))))</formula>
    </cfRule>
  </conditionalFormatting>
  <conditionalFormatting sqref="C117:AJ117">
    <cfRule type="containsText" dxfId="38" priority="131" operator="containsText" text="R3">
      <formula>NOT(ISERROR(SEARCH(("R3"),(C117))))</formula>
    </cfRule>
  </conditionalFormatting>
  <conditionalFormatting sqref="D33 F33 H33 J33:AJ33">
    <cfRule type="containsText" dxfId="32" priority="132" operator="containsText" text="R22">
      <formula>NOT(ISERROR(SEARCH(("R22"),(D33))))</formula>
    </cfRule>
  </conditionalFormatting>
  <conditionalFormatting sqref="D33 F33 H33 J33:AJ33">
    <cfRule type="containsText" dxfId="33" priority="133" operator="containsText" text="R21">
      <formula>NOT(ISERROR(SEARCH(("R21"),(D33))))</formula>
    </cfRule>
  </conditionalFormatting>
  <conditionalFormatting sqref="D33 F33 H33 J33:AJ33">
    <cfRule type="containsText" dxfId="9" priority="134" operator="containsText" text="R20">
      <formula>NOT(ISERROR(SEARCH(("R20"),(D33))))</formula>
    </cfRule>
  </conditionalFormatting>
  <conditionalFormatting sqref="D33 F33 H33 J33:AJ33">
    <cfRule type="containsText" dxfId="35" priority="135" operator="containsText" text="R17">
      <formula>NOT(ISERROR(SEARCH(("R17"),(D33))))</formula>
    </cfRule>
  </conditionalFormatting>
  <conditionalFormatting sqref="D33 F33 H33 J33:AJ33">
    <cfRule type="containsText" dxfId="10" priority="136" operator="containsText" text="R16">
      <formula>NOT(ISERROR(SEARCH(("R16"),(D33))))</formula>
    </cfRule>
  </conditionalFormatting>
  <conditionalFormatting sqref="D33 F33 H33 J33:AJ33">
    <cfRule type="containsText" dxfId="11" priority="137" operator="containsText" text="R15">
      <formula>NOT(ISERROR(SEARCH(("R15"),(D33))))</formula>
    </cfRule>
  </conditionalFormatting>
  <conditionalFormatting sqref="D33 F33 H33 J33:AJ33">
    <cfRule type="containsText" dxfId="36" priority="138" operator="containsText" text="R13">
      <formula>NOT(ISERROR(SEARCH(("R13"),(D33))))</formula>
    </cfRule>
  </conditionalFormatting>
  <conditionalFormatting sqref="D33 F33 H33 J33:AJ33">
    <cfRule type="containsText" dxfId="37" priority="139" operator="containsText" text="R12">
      <formula>NOT(ISERROR(SEARCH(("R12"),(D33))))</formula>
    </cfRule>
  </conditionalFormatting>
  <conditionalFormatting sqref="D33 F33 H33 J33:AJ33">
    <cfRule type="containsText" dxfId="13" priority="140" operator="containsText" text="R11">
      <formula>NOT(ISERROR(SEARCH(("R11"),(D33))))</formula>
    </cfRule>
  </conditionalFormatting>
  <conditionalFormatting sqref="D33 F33 H33 J33:AJ33">
    <cfRule type="containsText" dxfId="14" priority="141" operator="containsText" text="R10">
      <formula>NOT(ISERROR(SEARCH(("R10"),(D33))))</formula>
    </cfRule>
  </conditionalFormatting>
  <conditionalFormatting sqref="D33 F33 H33 J33:AJ33">
    <cfRule type="containsText" dxfId="15" priority="142" operator="containsText" text="R9">
      <formula>NOT(ISERROR(SEARCH(("R9"),(D33))))</formula>
    </cfRule>
  </conditionalFormatting>
  <conditionalFormatting sqref="D33 F33 H33 J33:AJ33">
    <cfRule type="containsText" dxfId="16" priority="143" operator="containsText" text="R8">
      <formula>NOT(ISERROR(SEARCH(("R8"),(D33))))</formula>
    </cfRule>
  </conditionalFormatting>
  <conditionalFormatting sqref="D33 F33 H33 J33:AJ33">
    <cfRule type="containsText" dxfId="17" priority="144" operator="containsText" text="R7">
      <formula>NOT(ISERROR(SEARCH(("R7"),(D33))))</formula>
    </cfRule>
  </conditionalFormatting>
  <conditionalFormatting sqref="D33 F33 H33 J33:AJ33">
    <cfRule type="containsText" dxfId="18" priority="145" operator="containsText" text="R6">
      <formula>NOT(ISERROR(SEARCH(("R6"),(D33))))</formula>
    </cfRule>
  </conditionalFormatting>
  <conditionalFormatting sqref="D33 F33 H33 J33:AJ33">
    <cfRule type="containsText" dxfId="19" priority="146" operator="containsText" text="R5">
      <formula>NOT(ISERROR(SEARCH(("R5"),(D33))))</formula>
    </cfRule>
  </conditionalFormatting>
  <conditionalFormatting sqref="D33 F33 H33 J33:AJ33">
    <cfRule type="containsText" dxfId="20" priority="147" operator="containsText" text="R4">
      <formula>NOT(ISERROR(SEARCH(("R4"),(D33))))</formula>
    </cfRule>
  </conditionalFormatting>
  <conditionalFormatting sqref="D33 F33 H33 J33:AJ33">
    <cfRule type="containsText" dxfId="38" priority="148" operator="containsText" text="R3">
      <formula>NOT(ISERROR(SEARCH(("R3"),(D33))))</formula>
    </cfRule>
  </conditionalFormatting>
  <conditionalFormatting sqref="D33 F33 H33 J33:AJ33">
    <cfRule type="containsText" dxfId="8" priority="149" operator="containsText" text="R21">
      <formula>NOT(ISERROR(SEARCH(("R21"),(D33))))</formula>
    </cfRule>
  </conditionalFormatting>
  <conditionalFormatting sqref="F33 H33 J33:AJ33">
    <cfRule type="containsText" dxfId="32" priority="150" operator="containsText" text="R22">
      <formula>NOT(ISERROR(SEARCH(("R22"),(F33))))</formula>
    </cfRule>
  </conditionalFormatting>
  <conditionalFormatting sqref="F54:AJ54">
    <cfRule type="containsText" dxfId="32" priority="151" operator="containsText" text="R22">
      <formula>NOT(ISERROR(SEARCH(("R22"),(F54))))</formula>
    </cfRule>
  </conditionalFormatting>
  <conditionalFormatting sqref="F81:AJ81">
    <cfRule type="containsText" dxfId="32" priority="152" operator="containsText" text="R22">
      <formula>NOT(ISERROR(SEARCH(("R22"),(F81))))</formula>
    </cfRule>
  </conditionalFormatting>
  <conditionalFormatting sqref="F117:AJ117">
    <cfRule type="containsText" dxfId="32" priority="153" operator="containsText" text="R22">
      <formula>NOT(ISERROR(SEARCH(("R22"),(F117))))</formula>
    </cfRule>
  </conditionalFormatting>
  <conditionalFormatting sqref="P33:X33">
    <cfRule type="containsText" dxfId="31" priority="154" operator="containsText" text="R24">
      <formula>NOT(ISERROR(SEARCH(("R24"),(P33))))</formula>
    </cfRule>
  </conditionalFormatting>
  <conditionalFormatting sqref="C19:AJ41 C42:P42 C43:AJ164 R42:AJ42">
    <cfRule type="containsText" dxfId="21" priority="155" operator="containsText" text="R37">
      <formula>NOT(ISERROR(SEARCH(("R37"),(C19))))</formula>
    </cfRule>
  </conditionalFormatting>
  <conditionalFormatting sqref="C19:AJ41 C42:P42 C43:AJ164 R42:AJ42">
    <cfRule type="containsText" dxfId="1" priority="156" operator="containsText" text="R36">
      <formula>NOT(ISERROR(SEARCH(("R36"),(C19))))</formula>
    </cfRule>
  </conditionalFormatting>
  <conditionalFormatting sqref="C19:AJ41 C42:P42 C43:AJ164 R42:AJ42">
    <cfRule type="containsText" dxfId="22" priority="157" operator="containsText" text="R35">
      <formula>NOT(ISERROR(SEARCH(("R35"),(C19))))</formula>
    </cfRule>
  </conditionalFormatting>
  <conditionalFormatting sqref="C19:AJ41 C42:P42 C43:AJ164 R42:AJ42">
    <cfRule type="containsText" dxfId="23" priority="158" operator="containsText" text="R34">
      <formula>NOT(ISERROR(SEARCH(("R34"),(C19))))</formula>
    </cfRule>
  </conditionalFormatting>
  <conditionalFormatting sqref="C19:AJ41 C42:P42 C43:AJ164 R42:AJ42">
    <cfRule type="containsText" dxfId="24" priority="159" operator="containsText" text="R33">
      <formula>NOT(ISERROR(SEARCH(("R33"),(C19))))</formula>
    </cfRule>
  </conditionalFormatting>
  <conditionalFormatting sqref="C19:AJ41 C42:P42 C43:AJ164 R42:AJ42">
    <cfRule type="containsText" dxfId="25" priority="160" operator="containsText" text="R32">
      <formula>NOT(ISERROR(SEARCH(("R32"),(C19))))</formula>
    </cfRule>
  </conditionalFormatting>
  <conditionalFormatting sqref="C19:AJ41 C42:P42 C43:AJ164 R42:AJ42">
    <cfRule type="containsText" dxfId="26" priority="161" operator="containsText" text="R31">
      <formula>NOT(ISERROR(SEARCH(("R31"),(C19))))</formula>
    </cfRule>
  </conditionalFormatting>
  <conditionalFormatting sqref="C19:AJ41 C42:P42 C43:AJ164 R42:AJ42">
    <cfRule type="containsText" dxfId="27" priority="162" operator="containsText" text="R30">
      <formula>NOT(ISERROR(SEARCH(("R30"),(C19))))</formula>
    </cfRule>
  </conditionalFormatting>
  <conditionalFormatting sqref="C19:AJ41 C42:P42 C43:AJ164 R42:AJ42">
    <cfRule type="containsText" dxfId="28" priority="163" operator="containsText" text="R30">
      <formula>NOT(ISERROR(SEARCH(("R30"),(C19))))</formula>
    </cfRule>
  </conditionalFormatting>
  <conditionalFormatting sqref="C19:AJ41 C42:P42 C43:AJ164 R42:AJ42">
    <cfRule type="containsText" dxfId="29" priority="164" operator="containsText" text="R29">
      <formula>NOT(ISERROR(SEARCH(("R29"),(C19))))</formula>
    </cfRule>
  </conditionalFormatting>
  <conditionalFormatting sqref="C19:AJ41 C42:P42 C43:AJ164 R42:AJ42">
    <cfRule type="containsText" dxfId="30" priority="165" operator="containsText" text="R27">
      <formula>NOT(ISERROR(SEARCH(("R27"),(C19))))</formula>
    </cfRule>
  </conditionalFormatting>
  <conditionalFormatting sqref="C19:AJ41 C42:P42 C43:AJ164 R42:AJ42">
    <cfRule type="containsText" dxfId="3" priority="166" operator="containsText" text="R25">
      <formula>NOT(ISERROR(SEARCH(("R25"),(C19))))</formula>
    </cfRule>
  </conditionalFormatting>
  <conditionalFormatting sqref="C19:AJ41 C42:P42 C43:AJ164 R42:AJ42">
    <cfRule type="containsText" dxfId="31" priority="167" operator="containsText" text="R24">
      <formula>NOT(ISERROR(SEARCH(("R24"),(C19))))</formula>
    </cfRule>
  </conditionalFormatting>
  <conditionalFormatting sqref="C19:AJ41 C42:P42 C43:AJ164 R42:AJ42">
    <cfRule type="containsText" dxfId="4" priority="168" operator="containsText" text="R23">
      <formula>NOT(ISERROR(SEARCH(("R23"),(C19))))</formula>
    </cfRule>
  </conditionalFormatting>
  <conditionalFormatting sqref="C19:AJ41 C42:P42 C43:AJ164 R42:AJ42">
    <cfRule type="containsText" dxfId="32" priority="169" operator="containsText" text="R22">
      <formula>NOT(ISERROR(SEARCH(("R22"),(C19))))</formula>
    </cfRule>
  </conditionalFormatting>
  <conditionalFormatting sqref="C19:AJ41 C42:P42 C43:AJ164 R42:AJ42">
    <cfRule type="containsText" dxfId="32" priority="170" operator="containsText" text="R22">
      <formula>NOT(ISERROR(SEARCH(("R22"),(C19))))</formula>
    </cfRule>
  </conditionalFormatting>
  <conditionalFormatting sqref="C19:AJ41 C42:P42 C43:AJ164 R42:AJ42">
    <cfRule type="containsText" dxfId="8" priority="171" operator="containsText" text="R21">
      <formula>NOT(ISERROR(SEARCH(("R21"),(C19))))</formula>
    </cfRule>
  </conditionalFormatting>
  <conditionalFormatting sqref="C19:AJ41 C42:P42 C43:AJ164 R42:AJ42">
    <cfRule type="containsText" dxfId="33" priority="172" operator="containsText" text="R21">
      <formula>NOT(ISERROR(SEARCH(("R21"),(C19))))</formula>
    </cfRule>
  </conditionalFormatting>
  <conditionalFormatting sqref="C19:AJ41 C42:P42 C43:AJ164 R42:AJ42">
    <cfRule type="containsText" dxfId="9" priority="173" operator="containsText" text="R20">
      <formula>NOT(ISERROR(SEARCH(("R20"),(C19))))</formula>
    </cfRule>
  </conditionalFormatting>
  <conditionalFormatting sqref="C19:AJ41 C42:P42 C43:AJ164 R42:AJ42">
    <cfRule type="containsText" dxfId="34" priority="174" operator="containsText" text="R18">
      <formula>NOT(ISERROR(SEARCH(("R18"),(C19))))</formula>
    </cfRule>
  </conditionalFormatting>
  <conditionalFormatting sqref="C19:AJ41 C42:P42 C43:AJ164 R42:AJ42">
    <cfRule type="containsText" dxfId="35" priority="175" operator="containsText" text="R17">
      <formula>NOT(ISERROR(SEARCH(("R17"),(C19))))</formula>
    </cfRule>
  </conditionalFormatting>
  <conditionalFormatting sqref="C19:AJ41 C42:P42 C43:AJ164 R42:AJ42">
    <cfRule type="containsText" dxfId="10" priority="176" operator="containsText" text="R16">
      <formula>NOT(ISERROR(SEARCH(("R16"),(C19))))</formula>
    </cfRule>
  </conditionalFormatting>
  <conditionalFormatting sqref="C19:AJ41 C42:P42 C43:AJ164 R42:AJ42">
    <cfRule type="containsText" dxfId="11" priority="177" operator="containsText" text="R15">
      <formula>NOT(ISERROR(SEARCH(("R15"),(C19))))</formula>
    </cfRule>
  </conditionalFormatting>
  <conditionalFormatting sqref="C19:AJ41 C42:P42 C43:AJ164 R42:AJ42">
    <cfRule type="containsText" dxfId="36" priority="178" operator="containsText" text="R13">
      <formula>NOT(ISERROR(SEARCH(("R13"),(C19))))</formula>
    </cfRule>
  </conditionalFormatting>
  <conditionalFormatting sqref="C19:AJ41 C42:P42 C43:AJ164 R42:AJ42">
    <cfRule type="containsText" dxfId="37" priority="179" operator="containsText" text="R12">
      <formula>NOT(ISERROR(SEARCH(("R12"),(C19))))</formula>
    </cfRule>
  </conditionalFormatting>
  <conditionalFormatting sqref="C19:AJ41 C42:P42 C43:AJ164 R42:AJ42">
    <cfRule type="containsText" dxfId="13" priority="180" operator="containsText" text="R11">
      <formula>NOT(ISERROR(SEARCH(("R11"),(C19))))</formula>
    </cfRule>
  </conditionalFormatting>
  <conditionalFormatting sqref="C19:AJ41 C42:P42 C43:AJ164 R42:AJ42">
    <cfRule type="containsText" dxfId="14" priority="181" operator="containsText" text="R10">
      <formula>NOT(ISERROR(SEARCH(("R10"),(C19))))</formula>
    </cfRule>
  </conditionalFormatting>
  <conditionalFormatting sqref="C19:AJ41 C42:P42 C43:AJ164 R42:AJ42">
    <cfRule type="containsText" dxfId="15" priority="182" operator="containsText" text="R9">
      <formula>NOT(ISERROR(SEARCH(("R9"),(C19))))</formula>
    </cfRule>
  </conditionalFormatting>
  <conditionalFormatting sqref="C19:AJ41 C42:P42 C43:AJ164 R42:AJ42">
    <cfRule type="containsText" dxfId="16" priority="183" operator="containsText" text="R8">
      <formula>NOT(ISERROR(SEARCH(("R8"),(C19))))</formula>
    </cfRule>
  </conditionalFormatting>
  <conditionalFormatting sqref="C19:AJ41 C42:P42 C43:AJ164 R42:AJ42">
    <cfRule type="containsText" dxfId="17" priority="184" operator="containsText" text="R7">
      <formula>NOT(ISERROR(SEARCH(("R7"),(C19))))</formula>
    </cfRule>
  </conditionalFormatting>
  <conditionalFormatting sqref="C19:AJ41 C42:P42 C43:AJ164 R42:AJ42">
    <cfRule type="containsText" dxfId="18" priority="185" operator="containsText" text="R6">
      <formula>NOT(ISERROR(SEARCH(("R6"),(C19))))</formula>
    </cfRule>
  </conditionalFormatting>
  <conditionalFormatting sqref="C19:AJ41 C42:P42 C43:AJ164 R42:AJ42">
    <cfRule type="containsText" dxfId="19" priority="186" operator="containsText" text="R5">
      <formula>NOT(ISERROR(SEARCH(("R5"),(C19))))</formula>
    </cfRule>
  </conditionalFormatting>
  <conditionalFormatting sqref="C19:AJ41 C42:P42 C43:AJ164 R42:AJ42">
    <cfRule type="containsText" dxfId="20" priority="187" operator="containsText" text="R4">
      <formula>NOT(ISERROR(SEARCH(("R4"),(C19))))</formula>
    </cfRule>
  </conditionalFormatting>
  <conditionalFormatting sqref="C19:AJ41 C42:P42 C43:AJ164 R42:AJ42">
    <cfRule type="containsText" dxfId="38" priority="188" operator="containsText" text="R3">
      <formula>NOT(ISERROR(SEARCH(("R3"),(C19))))</formula>
    </cfRule>
  </conditionalFormatting>
  <conditionalFormatting sqref="C19:AJ41 C42:P42 C43:AJ164 R42:AJ42">
    <cfRule type="containsText" dxfId="21" priority="189" operator="containsText" text="R37">
      <formula>NOT(ISERROR(SEARCH(("R37"),(C19))))</formula>
    </cfRule>
  </conditionalFormatting>
  <conditionalFormatting sqref="C19:AJ41 C42:P42 C43:AJ164 R42:AJ42">
    <cfRule type="containsText" dxfId="1" priority="190" operator="containsText" text="R36">
      <formula>NOT(ISERROR(SEARCH(("R36"),(C19))))</formula>
    </cfRule>
  </conditionalFormatting>
  <conditionalFormatting sqref="C19:AJ41 C42:P42 C43:AJ164 R42:AJ42">
    <cfRule type="containsText" dxfId="22" priority="191" operator="containsText" text="R35">
      <formula>NOT(ISERROR(SEARCH(("R35"),(C19))))</formula>
    </cfRule>
  </conditionalFormatting>
  <conditionalFormatting sqref="C19:AJ41 C42:P42 C43:AJ164 R42:AJ42">
    <cfRule type="containsText" dxfId="23" priority="192" operator="containsText" text="R34">
      <formula>NOT(ISERROR(SEARCH(("R34"),(C19))))</formula>
    </cfRule>
  </conditionalFormatting>
  <conditionalFormatting sqref="C19:AJ41 C42:P42 C43:AJ164 R42:AJ42">
    <cfRule type="containsText" dxfId="24" priority="193" operator="containsText" text="R33">
      <formula>NOT(ISERROR(SEARCH(("R33"),(C19))))</formula>
    </cfRule>
  </conditionalFormatting>
  <conditionalFormatting sqref="C19:AJ41 C42:P42 C43:AJ164 R42:AJ42">
    <cfRule type="containsText" dxfId="25" priority="194" operator="containsText" text="R32">
      <formula>NOT(ISERROR(SEARCH(("R32"),(C19))))</formula>
    </cfRule>
  </conditionalFormatting>
  <conditionalFormatting sqref="C19:AJ41 C42:P42 C43:AJ164 R42:AJ42">
    <cfRule type="containsText" dxfId="26" priority="195" operator="containsText" text="R31">
      <formula>NOT(ISERROR(SEARCH(("R31"),(C19))))</formula>
    </cfRule>
  </conditionalFormatting>
  <conditionalFormatting sqref="C19:AJ41 C42:P42 C43:AJ164 R42:AJ42">
    <cfRule type="containsText" dxfId="27" priority="196" operator="containsText" text="R30">
      <formula>NOT(ISERROR(SEARCH(("R30"),(C19))))</formula>
    </cfRule>
  </conditionalFormatting>
  <conditionalFormatting sqref="C19:AJ41 C42:P42 C43:AJ164 R42:AJ42">
    <cfRule type="containsText" dxfId="28" priority="197" operator="containsText" text="R30">
      <formula>NOT(ISERROR(SEARCH(("R30"),(C19))))</formula>
    </cfRule>
  </conditionalFormatting>
  <conditionalFormatting sqref="C19:AJ41 C42:P42 C43:AJ164 R42:AJ42">
    <cfRule type="containsText" dxfId="29" priority="198" operator="containsText" text="R29">
      <formula>NOT(ISERROR(SEARCH(("R29"),(C19))))</formula>
    </cfRule>
  </conditionalFormatting>
  <conditionalFormatting sqref="C19:AJ41 C42:P42 C43:AJ164 R42:AJ42">
    <cfRule type="containsText" dxfId="30" priority="199" operator="containsText" text="R27">
      <formula>NOT(ISERROR(SEARCH(("R27"),(C19))))</formula>
    </cfRule>
  </conditionalFormatting>
  <conditionalFormatting sqref="C19:AJ41 C42:P42 C43:AJ164 R42:AJ42">
    <cfRule type="containsText" dxfId="3" priority="200" operator="containsText" text="R25">
      <formula>NOT(ISERROR(SEARCH(("R25"),(C19))))</formula>
    </cfRule>
  </conditionalFormatting>
  <conditionalFormatting sqref="C19:AJ41 C42:P42 C43:AJ164 R42:AJ42">
    <cfRule type="containsText" dxfId="31" priority="201" operator="containsText" text="R24">
      <formula>NOT(ISERROR(SEARCH(("R24"),(C19))))</formula>
    </cfRule>
  </conditionalFormatting>
  <conditionalFormatting sqref="C19:AJ41 C42:P42 C43:AJ164 R42:AJ42">
    <cfRule type="containsText" dxfId="4" priority="202" operator="containsText" text="R23">
      <formula>NOT(ISERROR(SEARCH(("R23"),(C19))))</formula>
    </cfRule>
  </conditionalFormatting>
  <conditionalFormatting sqref="C19:AJ41 C42:P42 C43:AJ164 R42:AJ42">
    <cfRule type="containsText" dxfId="32" priority="203" operator="containsText" text="R22">
      <formula>NOT(ISERROR(SEARCH(("R22"),(C19))))</formula>
    </cfRule>
  </conditionalFormatting>
  <conditionalFormatting sqref="C19:AJ41 C42:P42 C43:AJ164 R42:AJ42">
    <cfRule type="containsText" dxfId="8" priority="204" operator="containsText" text="R21">
      <formula>NOT(ISERROR(SEARCH(("R21"),(C19))))</formula>
    </cfRule>
  </conditionalFormatting>
  <conditionalFormatting sqref="C19:AJ41 C42:P42 C43:AJ164 R42:AJ42">
    <cfRule type="containsText" dxfId="33" priority="205" operator="containsText" text="R21">
      <formula>NOT(ISERROR(SEARCH(("R21"),(C19))))</formula>
    </cfRule>
  </conditionalFormatting>
  <conditionalFormatting sqref="C19:AJ41 C42:P42 C43:AJ164 R42:AJ42">
    <cfRule type="containsText" dxfId="9" priority="206" operator="containsText" text="R20">
      <formula>NOT(ISERROR(SEARCH(("R20"),(C19))))</formula>
    </cfRule>
  </conditionalFormatting>
  <conditionalFormatting sqref="C19:AJ41 C42:P42 C43:AJ164 R42:AJ42">
    <cfRule type="containsText" dxfId="35" priority="207" operator="containsText" text="R17">
      <formula>NOT(ISERROR(SEARCH(("R17"),(C19))))</formula>
    </cfRule>
  </conditionalFormatting>
  <conditionalFormatting sqref="C19:AJ41 C42:P42 C43:AJ164 R42:AJ42">
    <cfRule type="containsText" dxfId="10" priority="208" operator="containsText" text="R16">
      <formula>NOT(ISERROR(SEARCH(("R16"),(C19))))</formula>
    </cfRule>
  </conditionalFormatting>
  <conditionalFormatting sqref="C19:AJ41 C42:P42 C43:AJ164 R42:AJ42">
    <cfRule type="containsText" dxfId="11" priority="209" operator="containsText" text="R15">
      <formula>NOT(ISERROR(SEARCH(("R15"),(C19))))</formula>
    </cfRule>
  </conditionalFormatting>
  <conditionalFormatting sqref="C19:AJ41 C42:P42 C43:AJ164 R42:AJ42">
    <cfRule type="containsText" dxfId="36" priority="210" operator="containsText" text="R13">
      <formula>NOT(ISERROR(SEARCH(("R13"),(C19))))</formula>
    </cfRule>
  </conditionalFormatting>
  <conditionalFormatting sqref="C19:AJ41 C42:P42 C43:AJ164 R42:AJ42">
    <cfRule type="containsText" dxfId="37" priority="211" operator="containsText" text="R12">
      <formula>NOT(ISERROR(SEARCH(("R12"),(C19))))</formula>
    </cfRule>
  </conditionalFormatting>
  <conditionalFormatting sqref="C19:AJ41 C42:P42 C43:AJ164 R42:AJ42">
    <cfRule type="containsText" dxfId="13" priority="212" operator="containsText" text="R11">
      <formula>NOT(ISERROR(SEARCH(("R11"),(C19))))</formula>
    </cfRule>
  </conditionalFormatting>
  <conditionalFormatting sqref="C19:AJ41 C42:P42 C43:AJ164 R42:AJ42">
    <cfRule type="containsText" dxfId="14" priority="213" operator="containsText" text="R10">
      <formula>NOT(ISERROR(SEARCH(("R10"),(C19))))</formula>
    </cfRule>
  </conditionalFormatting>
  <conditionalFormatting sqref="C19:AJ41 C42:P42 C43:AJ164 R42:AJ42">
    <cfRule type="containsText" dxfId="15" priority="214" operator="containsText" text="R9">
      <formula>NOT(ISERROR(SEARCH(("R9"),(C19))))</formula>
    </cfRule>
  </conditionalFormatting>
  <conditionalFormatting sqref="C19:AJ41 C42:P42 C43:AJ164 R42:AJ42">
    <cfRule type="containsText" dxfId="16" priority="215" operator="containsText" text="R8">
      <formula>NOT(ISERROR(SEARCH(("R8"),(C19))))</formula>
    </cfRule>
  </conditionalFormatting>
  <conditionalFormatting sqref="C19:AJ41 C42:P42 C43:AJ164 R42:AJ42">
    <cfRule type="containsText" dxfId="17" priority="216" operator="containsText" text="R7">
      <formula>NOT(ISERROR(SEARCH(("R7"),(C19))))</formula>
    </cfRule>
  </conditionalFormatting>
  <conditionalFormatting sqref="C19:AJ41 C42:P42 C43:AJ164 R42:AJ42">
    <cfRule type="containsText" dxfId="18" priority="217" operator="containsText" text="R6">
      <formula>NOT(ISERROR(SEARCH(("R6"),(C19))))</formula>
    </cfRule>
  </conditionalFormatting>
  <conditionalFormatting sqref="C19:AJ41 C42:P42 C43:AJ164 R42:AJ42">
    <cfRule type="containsText" dxfId="19" priority="218" operator="containsText" text="R5">
      <formula>NOT(ISERROR(SEARCH(("R5"),(C19))))</formula>
    </cfRule>
  </conditionalFormatting>
  <conditionalFormatting sqref="C19:AJ41 C42:P42 C43:AJ164 R42:AJ42">
    <cfRule type="containsText" dxfId="20" priority="219" operator="containsText" text="R4">
      <formula>NOT(ISERROR(SEARCH(("R4"),(C19))))</formula>
    </cfRule>
  </conditionalFormatting>
  <conditionalFormatting sqref="C19:AJ41 C42:P42 C43:AJ164 R42:AJ42">
    <cfRule type="containsText" dxfId="38" priority="220" operator="containsText" text="R3">
      <formula>NOT(ISERROR(SEARCH(("R3"),(C19))))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8.25"/>
    <col customWidth="1" min="3" max="24" width="10.63"/>
    <col customWidth="1" min="25" max="26" width="15.13"/>
    <col customWidth="1" min="27" max="46" width="10.63"/>
  </cols>
  <sheetData>
    <row r="1" ht="20.25" customHeight="1">
      <c r="A1" s="260"/>
      <c r="B1" s="261" t="s">
        <v>0</v>
      </c>
      <c r="C1" s="463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79"/>
      <c r="AA1" s="464"/>
      <c r="AB1" s="464"/>
    </row>
    <row r="2" ht="83.25" customHeight="1">
      <c r="A2" s="9"/>
      <c r="B2" s="9"/>
      <c r="C2" s="10"/>
      <c r="Z2" s="180"/>
      <c r="AA2" s="464"/>
      <c r="AB2" s="464"/>
    </row>
    <row r="3" ht="40.5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81"/>
      <c r="AA3" s="464"/>
      <c r="AB3" s="464"/>
    </row>
    <row r="4" ht="33.75" customHeight="1">
      <c r="A4" s="265" t="s">
        <v>2</v>
      </c>
      <c r="B4" s="266" t="s">
        <v>3</v>
      </c>
      <c r="C4" s="316" t="s">
        <v>4</v>
      </c>
      <c r="D4" s="5"/>
      <c r="E4" s="5"/>
      <c r="F4" s="6"/>
      <c r="G4" s="268">
        <v>46037.0</v>
      </c>
      <c r="H4" s="5"/>
      <c r="I4" s="6"/>
      <c r="J4" s="465" t="s">
        <v>36</v>
      </c>
      <c r="K4" s="466">
        <v>45855.0</v>
      </c>
      <c r="L4" s="24"/>
      <c r="M4" s="26"/>
      <c r="N4" s="467" t="s">
        <v>37</v>
      </c>
      <c r="O4" s="468">
        <v>45940.0</v>
      </c>
      <c r="P4" s="24"/>
      <c r="Q4" s="25"/>
      <c r="R4" s="469" t="s">
        <v>38</v>
      </c>
      <c r="S4" s="470">
        <v>46010.0</v>
      </c>
      <c r="T4" s="24"/>
      <c r="U4" s="26"/>
      <c r="V4" s="471"/>
      <c r="W4" s="472"/>
      <c r="X4" s="24"/>
      <c r="Y4" s="25"/>
      <c r="Z4" s="473"/>
      <c r="AA4" s="474"/>
      <c r="AB4" s="474"/>
      <c r="AC4" s="475"/>
      <c r="AD4" s="475"/>
      <c r="AE4" s="404"/>
      <c r="AF4" s="404"/>
      <c r="AG4" s="404"/>
      <c r="AH4" s="404"/>
      <c r="AI4" s="404"/>
      <c r="AJ4" s="404"/>
      <c r="AK4" s="404"/>
      <c r="AL4" s="404"/>
      <c r="AM4" s="404"/>
      <c r="AN4" s="404"/>
      <c r="AO4" s="404"/>
      <c r="AP4" s="404"/>
      <c r="AQ4" s="404"/>
      <c r="AR4" s="404"/>
      <c r="AS4" s="404"/>
      <c r="AT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1"/>
      <c r="J5" s="476" t="s">
        <v>46</v>
      </c>
      <c r="K5" s="477">
        <v>45863.0</v>
      </c>
      <c r="L5" s="38"/>
      <c r="M5" s="40"/>
      <c r="N5" s="478" t="s">
        <v>56</v>
      </c>
      <c r="O5" s="479">
        <v>45954.0</v>
      </c>
      <c r="P5" s="38"/>
      <c r="Q5" s="39"/>
      <c r="R5" s="275" t="s">
        <v>48</v>
      </c>
      <c r="S5" s="276">
        <v>46015.0</v>
      </c>
      <c r="T5" s="38"/>
      <c r="U5" s="40"/>
      <c r="V5" s="480"/>
      <c r="W5" s="481"/>
      <c r="X5" s="38"/>
      <c r="Y5" s="39"/>
      <c r="Z5" s="482"/>
      <c r="AA5" s="483"/>
      <c r="AB5" s="483"/>
      <c r="AC5" s="475"/>
      <c r="AD5" s="475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1"/>
      <c r="J6" s="484" t="s">
        <v>55</v>
      </c>
      <c r="K6" s="485">
        <v>45870.0</v>
      </c>
      <c r="L6" s="38"/>
      <c r="M6" s="40"/>
      <c r="N6" s="486" t="s">
        <v>67</v>
      </c>
      <c r="O6" s="487">
        <v>45960.0</v>
      </c>
      <c r="P6" s="38"/>
      <c r="Q6" s="39"/>
      <c r="R6" s="290" t="s">
        <v>57</v>
      </c>
      <c r="S6" s="291">
        <v>46022.0</v>
      </c>
      <c r="T6" s="38"/>
      <c r="U6" s="40"/>
      <c r="V6" s="488"/>
      <c r="W6" s="481"/>
      <c r="X6" s="38"/>
      <c r="Y6" s="39"/>
      <c r="Z6" s="489"/>
      <c r="AA6" s="483"/>
      <c r="AB6" s="483"/>
      <c r="AC6" s="475"/>
      <c r="AD6" s="475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1"/>
      <c r="J7" s="490" t="s">
        <v>66</v>
      </c>
      <c r="K7" s="491">
        <v>45883.0</v>
      </c>
      <c r="L7" s="38"/>
      <c r="M7" s="40"/>
      <c r="N7" s="492" t="s">
        <v>76</v>
      </c>
      <c r="O7" s="493">
        <v>45968.0</v>
      </c>
      <c r="P7" s="38"/>
      <c r="Q7" s="39"/>
      <c r="R7" s="300" t="s">
        <v>68</v>
      </c>
      <c r="S7" s="301">
        <v>46031.0</v>
      </c>
      <c r="T7" s="38"/>
      <c r="U7" s="40"/>
      <c r="V7" s="488"/>
      <c r="W7" s="481"/>
      <c r="X7" s="38"/>
      <c r="Y7" s="39"/>
      <c r="Z7" s="489"/>
      <c r="AA7" s="483"/>
      <c r="AB7" s="483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</row>
    <row r="8" ht="33.75" customHeight="1">
      <c r="A8" s="282" t="s">
        <v>44</v>
      </c>
      <c r="B8" s="283" t="s">
        <v>54</v>
      </c>
      <c r="C8" s="47"/>
      <c r="D8" s="48"/>
      <c r="E8" s="48"/>
      <c r="F8" s="49"/>
      <c r="G8" s="47"/>
      <c r="H8" s="48"/>
      <c r="I8" s="49"/>
      <c r="J8" s="494" t="s">
        <v>75</v>
      </c>
      <c r="K8" s="495">
        <v>45891.0</v>
      </c>
      <c r="L8" s="38"/>
      <c r="M8" s="40"/>
      <c r="N8" s="496" t="s">
        <v>84</v>
      </c>
      <c r="O8" s="497">
        <v>45975.0</v>
      </c>
      <c r="P8" s="38"/>
      <c r="Q8" s="39"/>
      <c r="R8" s="308" t="s">
        <v>77</v>
      </c>
      <c r="S8" s="309">
        <v>46038.0</v>
      </c>
      <c r="T8" s="38"/>
      <c r="U8" s="39"/>
      <c r="V8" s="488"/>
      <c r="W8" s="481"/>
      <c r="X8" s="38"/>
      <c r="Y8" s="39"/>
      <c r="Z8" s="489"/>
      <c r="AA8" s="483"/>
      <c r="AB8" s="483"/>
      <c r="AC8" s="475"/>
      <c r="AD8" s="475"/>
      <c r="AE8" s="404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</row>
    <row r="9" ht="33.75" customHeight="1">
      <c r="A9" s="282" t="s">
        <v>62</v>
      </c>
      <c r="B9" s="283" t="s">
        <v>63</v>
      </c>
      <c r="C9" s="316" t="s">
        <v>64</v>
      </c>
      <c r="D9" s="5"/>
      <c r="E9" s="5"/>
      <c r="F9" s="6"/>
      <c r="G9" s="316" t="s">
        <v>65</v>
      </c>
      <c r="H9" s="5"/>
      <c r="I9" s="6"/>
      <c r="J9" s="498" t="s">
        <v>83</v>
      </c>
      <c r="K9" s="499">
        <v>45898.0</v>
      </c>
      <c r="L9" s="38"/>
      <c r="M9" s="40"/>
      <c r="N9" s="500" t="s">
        <v>92</v>
      </c>
      <c r="O9" s="501">
        <v>45982.0</v>
      </c>
      <c r="P9" s="38"/>
      <c r="Q9" s="39"/>
      <c r="R9" s="199" t="s">
        <v>85</v>
      </c>
      <c r="S9" s="200">
        <v>46045.0</v>
      </c>
      <c r="T9" s="38"/>
      <c r="U9" s="39"/>
      <c r="V9" s="488"/>
      <c r="W9" s="481"/>
      <c r="X9" s="38"/>
      <c r="Y9" s="39"/>
      <c r="Z9" s="489"/>
      <c r="AA9" s="483"/>
      <c r="AB9" s="483"/>
      <c r="AC9" s="475"/>
      <c r="AD9" s="475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</row>
    <row r="10" ht="33.75" customHeight="1">
      <c r="A10" s="282" t="s">
        <v>73</v>
      </c>
      <c r="B10" s="283" t="s">
        <v>74</v>
      </c>
      <c r="C10" s="10"/>
      <c r="F10" s="11"/>
      <c r="G10" s="10"/>
      <c r="I10" s="11"/>
      <c r="J10" s="502" t="s">
        <v>410</v>
      </c>
      <c r="K10" s="503">
        <v>45912.0</v>
      </c>
      <c r="L10" s="38"/>
      <c r="M10" s="40"/>
      <c r="N10" s="504" t="s">
        <v>8</v>
      </c>
      <c r="O10" s="505">
        <v>45989.0</v>
      </c>
      <c r="P10" s="38"/>
      <c r="Q10" s="39"/>
      <c r="R10" s="323" t="s">
        <v>93</v>
      </c>
      <c r="S10" s="324">
        <v>46052.0</v>
      </c>
      <c r="T10" s="38"/>
      <c r="U10" s="39"/>
      <c r="V10" s="488"/>
      <c r="W10" s="481"/>
      <c r="X10" s="38"/>
      <c r="Y10" s="39"/>
      <c r="Z10" s="489"/>
      <c r="AA10" s="483"/>
      <c r="AB10" s="483"/>
      <c r="AC10" s="475"/>
      <c r="AD10" s="475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506" t="s">
        <v>17</v>
      </c>
      <c r="K11" s="507">
        <v>45926.0</v>
      </c>
      <c r="L11" s="38"/>
      <c r="M11" s="40"/>
      <c r="N11" s="508" t="s">
        <v>18</v>
      </c>
      <c r="O11" s="509">
        <v>45996.0</v>
      </c>
      <c r="P11" s="38"/>
      <c r="Q11" s="39"/>
      <c r="R11" s="510"/>
      <c r="S11" s="481"/>
      <c r="T11" s="38"/>
      <c r="U11" s="39"/>
      <c r="V11" s="488"/>
      <c r="W11" s="511"/>
      <c r="X11" s="38"/>
      <c r="Y11" s="39"/>
      <c r="Z11" s="489"/>
      <c r="AA11" s="483"/>
      <c r="AB11" s="483"/>
      <c r="AC11" s="475"/>
      <c r="AD11" s="475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</row>
    <row r="12" ht="33.75" customHeight="1">
      <c r="A12" s="338" t="s">
        <v>90</v>
      </c>
      <c r="B12" s="339">
        <v>182948.0</v>
      </c>
      <c r="C12" s="47"/>
      <c r="D12" s="48"/>
      <c r="E12" s="48"/>
      <c r="F12" s="49"/>
      <c r="G12" s="47"/>
      <c r="H12" s="48"/>
      <c r="I12" s="49"/>
      <c r="J12" s="512" t="s">
        <v>27</v>
      </c>
      <c r="K12" s="513">
        <v>45933.0</v>
      </c>
      <c r="L12" s="56"/>
      <c r="M12" s="58"/>
      <c r="N12" s="514" t="s">
        <v>28</v>
      </c>
      <c r="O12" s="515">
        <v>46003.0</v>
      </c>
      <c r="P12" s="56"/>
      <c r="Q12" s="57"/>
      <c r="R12" s="516"/>
      <c r="S12" s="517"/>
      <c r="T12" s="56"/>
      <c r="U12" s="57"/>
      <c r="V12" s="518"/>
      <c r="W12" s="519"/>
      <c r="X12" s="56"/>
      <c r="Y12" s="57"/>
      <c r="Z12" s="520"/>
      <c r="AA12" s="483"/>
      <c r="AB12" s="483"/>
      <c r="AC12" s="475"/>
      <c r="AD12" s="475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</row>
    <row r="13" ht="33.75" customHeight="1">
      <c r="A13" s="521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218"/>
      <c r="AA13" s="350"/>
      <c r="AB13" s="350"/>
    </row>
    <row r="14" ht="33.75" customHeight="1">
      <c r="A14" s="522" t="s">
        <v>98</v>
      </c>
      <c r="B14" s="352" t="s">
        <v>99</v>
      </c>
      <c r="C14" s="523" t="s">
        <v>100</v>
      </c>
      <c r="D14" s="354"/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524"/>
      <c r="AA14" s="350"/>
      <c r="AB14" s="350"/>
    </row>
    <row r="15" ht="33.75" customHeight="1">
      <c r="A15" s="74"/>
      <c r="B15" s="9"/>
      <c r="C15" s="525" t="s">
        <v>101</v>
      </c>
      <c r="D15" s="526"/>
      <c r="E15" s="527"/>
      <c r="F15" s="527"/>
      <c r="G15" s="528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5" t="s">
        <v>102</v>
      </c>
      <c r="T15" s="64"/>
      <c r="U15" s="64"/>
      <c r="V15" s="64"/>
      <c r="W15" s="64"/>
      <c r="X15" s="65"/>
      <c r="Y15" s="366" t="s">
        <v>320</v>
      </c>
      <c r="Z15" s="65"/>
      <c r="AA15" s="350"/>
      <c r="AB15" s="350"/>
    </row>
    <row r="16" ht="33.75" customHeight="1">
      <c r="A16" s="83"/>
      <c r="B16" s="84"/>
      <c r="C16" s="368">
        <v>1.0</v>
      </c>
      <c r="D16" s="86"/>
      <c r="E16" s="369">
        <v>2.0</v>
      </c>
      <c r="F16" s="86"/>
      <c r="G16" s="369">
        <v>3.0</v>
      </c>
      <c r="H16" s="86"/>
      <c r="I16" s="369">
        <v>4.0</v>
      </c>
      <c r="J16" s="86"/>
      <c r="K16" s="369">
        <v>5.0</v>
      </c>
      <c r="L16" s="86"/>
      <c r="M16" s="369">
        <v>6.0</v>
      </c>
      <c r="N16" s="86"/>
      <c r="O16" s="369">
        <v>7.0</v>
      </c>
      <c r="P16" s="86"/>
      <c r="Q16" s="369">
        <v>8.0</v>
      </c>
      <c r="R16" s="86"/>
      <c r="S16" s="369">
        <v>9.0</v>
      </c>
      <c r="T16" s="86"/>
      <c r="U16" s="369">
        <v>10.0</v>
      </c>
      <c r="V16" s="86"/>
      <c r="W16" s="369">
        <v>11.0</v>
      </c>
      <c r="X16" s="86"/>
      <c r="Y16" s="370" t="s">
        <v>104</v>
      </c>
      <c r="Z16" s="371" t="s">
        <v>105</v>
      </c>
      <c r="AA16" s="350"/>
      <c r="AB16" s="350"/>
    </row>
    <row r="17" ht="33.75" customHeight="1">
      <c r="A17" s="372" t="s">
        <v>106</v>
      </c>
      <c r="B17" s="373" t="s">
        <v>107</v>
      </c>
      <c r="C17" s="374" t="s">
        <v>108</v>
      </c>
      <c r="D17" s="375" t="s">
        <v>109</v>
      </c>
      <c r="E17" s="376" t="s">
        <v>108</v>
      </c>
      <c r="F17" s="375" t="s">
        <v>109</v>
      </c>
      <c r="G17" s="376" t="s">
        <v>108</v>
      </c>
      <c r="H17" s="375" t="s">
        <v>109</v>
      </c>
      <c r="I17" s="376" t="s">
        <v>108</v>
      </c>
      <c r="J17" s="375" t="s">
        <v>109</v>
      </c>
      <c r="K17" s="376" t="s">
        <v>108</v>
      </c>
      <c r="L17" s="375" t="s">
        <v>109</v>
      </c>
      <c r="M17" s="376" t="s">
        <v>108</v>
      </c>
      <c r="N17" s="375" t="s">
        <v>109</v>
      </c>
      <c r="O17" s="376" t="s">
        <v>108</v>
      </c>
      <c r="P17" s="375" t="s">
        <v>109</v>
      </c>
      <c r="Q17" s="376" t="s">
        <v>108</v>
      </c>
      <c r="R17" s="375" t="s">
        <v>109</v>
      </c>
      <c r="S17" s="376" t="s">
        <v>108</v>
      </c>
      <c r="T17" s="375" t="s">
        <v>109</v>
      </c>
      <c r="U17" s="376" t="s">
        <v>108</v>
      </c>
      <c r="V17" s="375" t="s">
        <v>109</v>
      </c>
      <c r="W17" s="376" t="s">
        <v>108</v>
      </c>
      <c r="X17" s="375" t="s">
        <v>109</v>
      </c>
      <c r="Y17" s="375"/>
      <c r="Z17" s="377"/>
    </row>
    <row r="18" ht="39.75" customHeight="1">
      <c r="A18" s="378" t="s">
        <v>110</v>
      </c>
      <c r="B18" s="379" t="s">
        <v>111</v>
      </c>
      <c r="C18" s="380"/>
      <c r="D18" s="381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4"/>
      <c r="AA18" s="350"/>
      <c r="AB18" s="350"/>
    </row>
    <row r="19" ht="39.75" customHeight="1">
      <c r="A19" s="385" t="s">
        <v>112</v>
      </c>
      <c r="B19" s="386" t="s">
        <v>113</v>
      </c>
      <c r="C19" s="387" t="s">
        <v>36</v>
      </c>
      <c r="D19" s="388"/>
      <c r="E19" s="387" t="s">
        <v>36</v>
      </c>
      <c r="F19" s="389"/>
      <c r="G19" s="387" t="s">
        <v>36</v>
      </c>
      <c r="H19" s="389"/>
      <c r="I19" s="387" t="s">
        <v>36</v>
      </c>
      <c r="J19" s="389"/>
      <c r="K19" s="387" t="s">
        <v>36</v>
      </c>
      <c r="L19" s="389"/>
      <c r="M19" s="387" t="s">
        <v>36</v>
      </c>
      <c r="N19" s="389"/>
      <c r="O19" s="387" t="s">
        <v>36</v>
      </c>
      <c r="P19" s="389"/>
      <c r="Q19" s="387" t="s">
        <v>36</v>
      </c>
      <c r="R19" s="389"/>
      <c r="S19" s="387" t="s">
        <v>55</v>
      </c>
      <c r="T19" s="389"/>
      <c r="U19" s="387" t="s">
        <v>55</v>
      </c>
      <c r="V19" s="389"/>
      <c r="W19" s="387" t="s">
        <v>55</v>
      </c>
      <c r="X19" s="389"/>
      <c r="Y19" s="391">
        <f t="shared" ref="Y19:Y25" si="1">COUNTIF(C19:X19,"&gt;=R")</f>
        <v>11</v>
      </c>
      <c r="Z19" s="392">
        <f t="shared" ref="Z19:Z25" si="2">Y19</f>
        <v>11</v>
      </c>
    </row>
    <row r="20" ht="39.75" customHeight="1">
      <c r="A20" s="385" t="s">
        <v>114</v>
      </c>
      <c r="B20" s="386" t="s">
        <v>115</v>
      </c>
      <c r="C20" s="387" t="s">
        <v>36</v>
      </c>
      <c r="D20" s="388"/>
      <c r="E20" s="387" t="s">
        <v>36</v>
      </c>
      <c r="F20" s="389"/>
      <c r="G20" s="387" t="s">
        <v>36</v>
      </c>
      <c r="H20" s="389"/>
      <c r="I20" s="387" t="s">
        <v>36</v>
      </c>
      <c r="J20" s="389"/>
      <c r="K20" s="387" t="s">
        <v>46</v>
      </c>
      <c r="L20" s="389"/>
      <c r="M20" s="387" t="s">
        <v>46</v>
      </c>
      <c r="N20" s="389"/>
      <c r="O20" s="387" t="s">
        <v>46</v>
      </c>
      <c r="P20" s="389"/>
      <c r="Q20" s="387" t="s">
        <v>46</v>
      </c>
      <c r="R20" s="389"/>
      <c r="S20" s="387" t="s">
        <v>55</v>
      </c>
      <c r="T20" s="389"/>
      <c r="U20" s="387" t="s">
        <v>55</v>
      </c>
      <c r="V20" s="389"/>
      <c r="W20" s="387" t="s">
        <v>66</v>
      </c>
      <c r="X20" s="389"/>
      <c r="Y20" s="391">
        <f t="shared" si="1"/>
        <v>11</v>
      </c>
      <c r="Z20" s="392">
        <f t="shared" si="2"/>
        <v>11</v>
      </c>
    </row>
    <row r="21" ht="39.75" customHeight="1">
      <c r="A21" s="385" t="s">
        <v>116</v>
      </c>
      <c r="B21" s="386" t="s">
        <v>117</v>
      </c>
      <c r="C21" s="387" t="s">
        <v>46</v>
      </c>
      <c r="D21" s="388"/>
      <c r="E21" s="387" t="s">
        <v>46</v>
      </c>
      <c r="F21" s="389"/>
      <c r="G21" s="387" t="s">
        <v>46</v>
      </c>
      <c r="H21" s="389"/>
      <c r="I21" s="387" t="s">
        <v>46</v>
      </c>
      <c r="J21" s="389"/>
      <c r="K21" s="387" t="s">
        <v>55</v>
      </c>
      <c r="L21" s="389"/>
      <c r="M21" s="387" t="s">
        <v>55</v>
      </c>
      <c r="N21" s="389"/>
      <c r="O21" s="387" t="s">
        <v>55</v>
      </c>
      <c r="P21" s="389"/>
      <c r="Q21" s="387" t="s">
        <v>55</v>
      </c>
      <c r="R21" s="389"/>
      <c r="S21" s="387" t="s">
        <v>75</v>
      </c>
      <c r="T21" s="389"/>
      <c r="U21" s="387" t="s">
        <v>75</v>
      </c>
      <c r="V21" s="389"/>
      <c r="W21" s="387" t="s">
        <v>75</v>
      </c>
      <c r="X21" s="389"/>
      <c r="Y21" s="391">
        <f t="shared" si="1"/>
        <v>11</v>
      </c>
      <c r="Z21" s="392">
        <f t="shared" si="2"/>
        <v>11</v>
      </c>
    </row>
    <row r="22" ht="39.75" customHeight="1">
      <c r="A22" s="385" t="s">
        <v>118</v>
      </c>
      <c r="B22" s="386" t="s">
        <v>119</v>
      </c>
      <c r="C22" s="387" t="s">
        <v>46</v>
      </c>
      <c r="D22" s="388"/>
      <c r="E22" s="387" t="s">
        <v>46</v>
      </c>
      <c r="F22" s="389"/>
      <c r="G22" s="387" t="s">
        <v>46</v>
      </c>
      <c r="H22" s="389"/>
      <c r="I22" s="387" t="s">
        <v>46</v>
      </c>
      <c r="J22" s="389"/>
      <c r="K22" s="387" t="s">
        <v>55</v>
      </c>
      <c r="L22" s="389"/>
      <c r="M22" s="387" t="s">
        <v>55</v>
      </c>
      <c r="N22" s="389"/>
      <c r="O22" s="387" t="s">
        <v>55</v>
      </c>
      <c r="P22" s="389"/>
      <c r="Q22" s="387" t="s">
        <v>55</v>
      </c>
      <c r="R22" s="389"/>
      <c r="S22" s="387" t="s">
        <v>75</v>
      </c>
      <c r="T22" s="389"/>
      <c r="U22" s="387" t="s">
        <v>75</v>
      </c>
      <c r="V22" s="389"/>
      <c r="W22" s="387" t="s">
        <v>75</v>
      </c>
      <c r="X22" s="389"/>
      <c r="Y22" s="391">
        <f t="shared" si="1"/>
        <v>11</v>
      </c>
      <c r="Z22" s="392">
        <f t="shared" si="2"/>
        <v>11</v>
      </c>
    </row>
    <row r="23" ht="39.75" customHeight="1">
      <c r="A23" s="385" t="s">
        <v>120</v>
      </c>
      <c r="B23" s="386" t="s">
        <v>121</v>
      </c>
      <c r="C23" s="388" t="s">
        <v>66</v>
      </c>
      <c r="D23" s="388"/>
      <c r="E23" s="389" t="s">
        <v>66</v>
      </c>
      <c r="F23" s="389"/>
      <c r="G23" s="389" t="s">
        <v>66</v>
      </c>
      <c r="H23" s="389"/>
      <c r="I23" s="389" t="s">
        <v>66</v>
      </c>
      <c r="J23" s="389"/>
      <c r="K23" s="389" t="s">
        <v>83</v>
      </c>
      <c r="L23" s="389"/>
      <c r="M23" s="387" t="s">
        <v>75</v>
      </c>
      <c r="N23" s="389"/>
      <c r="O23" s="387" t="s">
        <v>75</v>
      </c>
      <c r="P23" s="389"/>
      <c r="Q23" s="389" t="s">
        <v>75</v>
      </c>
      <c r="R23" s="389"/>
      <c r="S23" s="387" t="s">
        <v>75</v>
      </c>
      <c r="T23" s="389"/>
      <c r="U23" s="387" t="s">
        <v>75</v>
      </c>
      <c r="V23" s="394"/>
      <c r="W23" s="389" t="s">
        <v>83</v>
      </c>
      <c r="X23" s="389"/>
      <c r="Y23" s="391">
        <f t="shared" si="1"/>
        <v>11</v>
      </c>
      <c r="Z23" s="392">
        <f t="shared" si="2"/>
        <v>11</v>
      </c>
    </row>
    <row r="24" ht="39.75" customHeight="1">
      <c r="A24" s="385" t="s">
        <v>122</v>
      </c>
      <c r="B24" s="386" t="s">
        <v>123</v>
      </c>
      <c r="C24" s="388" t="s">
        <v>66</v>
      </c>
      <c r="D24" s="388"/>
      <c r="E24" s="389" t="s">
        <v>66</v>
      </c>
      <c r="F24" s="389"/>
      <c r="G24" s="389" t="s">
        <v>66</v>
      </c>
      <c r="H24" s="389"/>
      <c r="I24" s="389" t="s">
        <v>66</v>
      </c>
      <c r="J24" s="389"/>
      <c r="K24" s="389" t="s">
        <v>83</v>
      </c>
      <c r="L24" s="389"/>
      <c r="M24" s="387" t="s">
        <v>75</v>
      </c>
      <c r="N24" s="389"/>
      <c r="O24" s="387" t="s">
        <v>75</v>
      </c>
      <c r="P24" s="389"/>
      <c r="Q24" s="389" t="s">
        <v>75</v>
      </c>
      <c r="R24" s="389"/>
      <c r="S24" s="387" t="s">
        <v>75</v>
      </c>
      <c r="T24" s="389"/>
      <c r="U24" s="387" t="s">
        <v>75</v>
      </c>
      <c r="V24" s="394"/>
      <c r="W24" s="389" t="s">
        <v>83</v>
      </c>
      <c r="X24" s="389"/>
      <c r="Y24" s="391">
        <f t="shared" si="1"/>
        <v>11</v>
      </c>
      <c r="Z24" s="392">
        <f t="shared" si="2"/>
        <v>11</v>
      </c>
    </row>
    <row r="25" ht="39.75" customHeight="1">
      <c r="A25" s="385" t="s">
        <v>124</v>
      </c>
      <c r="B25" s="386" t="s">
        <v>125</v>
      </c>
      <c r="C25" s="388" t="s">
        <v>66</v>
      </c>
      <c r="D25" s="388"/>
      <c r="E25" s="389" t="s">
        <v>66</v>
      </c>
      <c r="F25" s="389"/>
      <c r="G25" s="389" t="s">
        <v>66</v>
      </c>
      <c r="H25" s="389"/>
      <c r="I25" s="389" t="s">
        <v>66</v>
      </c>
      <c r="J25" s="389"/>
      <c r="K25" s="389" t="s">
        <v>83</v>
      </c>
      <c r="L25" s="389"/>
      <c r="M25" s="387" t="s">
        <v>75</v>
      </c>
      <c r="N25" s="389"/>
      <c r="O25" s="387" t="s">
        <v>75</v>
      </c>
      <c r="P25" s="389"/>
      <c r="Q25" s="389" t="s">
        <v>75</v>
      </c>
      <c r="R25" s="389"/>
      <c r="S25" s="387" t="s">
        <v>75</v>
      </c>
      <c r="T25" s="389"/>
      <c r="U25" s="387" t="s">
        <v>75</v>
      </c>
      <c r="V25" s="394"/>
      <c r="W25" s="389" t="s">
        <v>83</v>
      </c>
      <c r="X25" s="389"/>
      <c r="Y25" s="391">
        <f t="shared" si="1"/>
        <v>11</v>
      </c>
      <c r="Z25" s="392">
        <f t="shared" si="2"/>
        <v>11</v>
      </c>
    </row>
    <row r="26" ht="39.75" customHeight="1">
      <c r="A26" s="395" t="s">
        <v>126</v>
      </c>
      <c r="B26" s="396" t="s">
        <v>127</v>
      </c>
      <c r="C26" s="397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399"/>
      <c r="S26" s="399"/>
      <c r="T26" s="399"/>
      <c r="U26" s="399"/>
      <c r="V26" s="399"/>
      <c r="W26" s="399"/>
      <c r="X26" s="399"/>
      <c r="Y26" s="529"/>
      <c r="Z26" s="530"/>
      <c r="AA26" s="350"/>
      <c r="AB26" s="350"/>
    </row>
    <row r="27" ht="39.75" customHeight="1">
      <c r="A27" s="385" t="s">
        <v>128</v>
      </c>
      <c r="B27" s="386" t="s">
        <v>129</v>
      </c>
      <c r="C27" s="531" t="s">
        <v>66</v>
      </c>
      <c r="D27" s="388"/>
      <c r="E27" s="532" t="s">
        <v>66</v>
      </c>
      <c r="F27" s="389"/>
      <c r="G27" s="532" t="s">
        <v>66</v>
      </c>
      <c r="H27" s="389"/>
      <c r="I27" s="532" t="s">
        <v>66</v>
      </c>
      <c r="J27" s="389"/>
      <c r="K27" s="389" t="s">
        <v>83</v>
      </c>
      <c r="L27" s="389"/>
      <c r="M27" s="387" t="s">
        <v>75</v>
      </c>
      <c r="N27" s="389"/>
      <c r="O27" s="387" t="s">
        <v>75</v>
      </c>
      <c r="P27" s="389"/>
      <c r="Q27" s="389" t="s">
        <v>75</v>
      </c>
      <c r="R27" s="389"/>
      <c r="S27" s="387" t="s">
        <v>75</v>
      </c>
      <c r="T27" s="389"/>
      <c r="U27" s="387" t="s">
        <v>75</v>
      </c>
      <c r="V27" s="394"/>
      <c r="W27" s="389" t="s">
        <v>83</v>
      </c>
      <c r="X27" s="389"/>
      <c r="Y27" s="391">
        <f t="shared" ref="Y27:Y28" si="3">COUNTIF(C27:X27,"&gt;=R")</f>
        <v>11</v>
      </c>
      <c r="Z27" s="392">
        <f t="shared" ref="Z27:Z28" si="4">Y27</f>
        <v>11</v>
      </c>
    </row>
    <row r="28" ht="39.75" customHeight="1">
      <c r="A28" s="385" t="s">
        <v>130</v>
      </c>
      <c r="B28" s="386" t="s">
        <v>131</v>
      </c>
      <c r="C28" s="531" t="s">
        <v>66</v>
      </c>
      <c r="D28" s="388"/>
      <c r="E28" s="532" t="s">
        <v>66</v>
      </c>
      <c r="F28" s="389"/>
      <c r="G28" s="532" t="s">
        <v>66</v>
      </c>
      <c r="H28" s="389"/>
      <c r="I28" s="532" t="s">
        <v>66</v>
      </c>
      <c r="J28" s="389"/>
      <c r="K28" s="389" t="s">
        <v>83</v>
      </c>
      <c r="L28" s="389"/>
      <c r="M28" s="387" t="s">
        <v>75</v>
      </c>
      <c r="N28" s="389"/>
      <c r="O28" s="387" t="s">
        <v>75</v>
      </c>
      <c r="P28" s="389"/>
      <c r="Q28" s="389" t="s">
        <v>75</v>
      </c>
      <c r="R28" s="389"/>
      <c r="S28" s="387" t="s">
        <v>75</v>
      </c>
      <c r="T28" s="389"/>
      <c r="U28" s="387" t="s">
        <v>75</v>
      </c>
      <c r="V28" s="394"/>
      <c r="W28" s="389" t="s">
        <v>83</v>
      </c>
      <c r="X28" s="389"/>
      <c r="Y28" s="391">
        <f t="shared" si="3"/>
        <v>11</v>
      </c>
      <c r="Z28" s="392">
        <f t="shared" si="4"/>
        <v>11</v>
      </c>
      <c r="AA28" s="350"/>
      <c r="AB28" s="350"/>
    </row>
    <row r="29" ht="39.75" customHeight="1">
      <c r="A29" s="395" t="s">
        <v>132</v>
      </c>
      <c r="B29" s="396" t="s">
        <v>133</v>
      </c>
      <c r="C29" s="397"/>
      <c r="D29" s="398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529"/>
      <c r="Z29" s="530"/>
      <c r="AA29" s="350"/>
      <c r="AB29" s="350"/>
    </row>
    <row r="30" ht="39.75" customHeight="1">
      <c r="A30" s="402" t="s">
        <v>134</v>
      </c>
      <c r="B30" s="386" t="s">
        <v>135</v>
      </c>
      <c r="C30" s="387" t="s">
        <v>76</v>
      </c>
      <c r="D30" s="388"/>
      <c r="E30" s="387" t="s">
        <v>37</v>
      </c>
      <c r="F30" s="389"/>
      <c r="G30" s="387" t="s">
        <v>27</v>
      </c>
      <c r="H30" s="389"/>
      <c r="I30" s="389" t="s">
        <v>27</v>
      </c>
      <c r="J30" s="389"/>
      <c r="K30" s="389" t="s">
        <v>27</v>
      </c>
      <c r="L30" s="389"/>
      <c r="M30" s="389" t="s">
        <v>27</v>
      </c>
      <c r="N30" s="389"/>
      <c r="O30" s="389" t="s">
        <v>27</v>
      </c>
      <c r="P30" s="389"/>
      <c r="Q30" s="389" t="s">
        <v>27</v>
      </c>
      <c r="R30" s="389"/>
      <c r="S30" s="389" t="s">
        <v>27</v>
      </c>
      <c r="T30" s="389"/>
      <c r="U30" s="389" t="s">
        <v>37</v>
      </c>
      <c r="V30" s="389"/>
      <c r="W30" s="389" t="s">
        <v>37</v>
      </c>
      <c r="X30" s="389"/>
      <c r="Y30" s="391">
        <f>COUNTIF(C30:X30,"&gt;=R")</f>
        <v>11</v>
      </c>
      <c r="Z30" s="392">
        <f>Y30</f>
        <v>11</v>
      </c>
      <c r="AA30" s="350"/>
      <c r="AB30" s="350"/>
    </row>
    <row r="31" ht="39.75" customHeight="1">
      <c r="A31" s="395" t="s">
        <v>136</v>
      </c>
      <c r="B31" s="396" t="s">
        <v>137</v>
      </c>
      <c r="C31" s="397"/>
      <c r="D31" s="398"/>
      <c r="E31" s="399"/>
      <c r="F31" s="399"/>
      <c r="G31" s="399"/>
      <c r="H31" s="399"/>
      <c r="I31" s="399"/>
      <c r="J31" s="399"/>
      <c r="K31" s="399"/>
      <c r="L31" s="399"/>
      <c r="M31" s="399"/>
      <c r="N31" s="399"/>
      <c r="O31" s="399"/>
      <c r="P31" s="399"/>
      <c r="Q31" s="399"/>
      <c r="R31" s="399"/>
      <c r="S31" s="399"/>
      <c r="T31" s="399"/>
      <c r="U31" s="399"/>
      <c r="V31" s="399"/>
      <c r="W31" s="399"/>
      <c r="X31" s="399"/>
      <c r="Y31" s="529"/>
      <c r="Z31" s="530"/>
      <c r="AA31" s="350"/>
      <c r="AB31" s="350"/>
    </row>
    <row r="32" ht="39.75" customHeight="1">
      <c r="A32" s="385" t="s">
        <v>138</v>
      </c>
      <c r="B32" s="386" t="s">
        <v>139</v>
      </c>
      <c r="C32" s="387"/>
      <c r="D32" s="388"/>
      <c r="E32" s="394" t="s">
        <v>37</v>
      </c>
      <c r="F32" s="389"/>
      <c r="G32" s="387" t="s">
        <v>27</v>
      </c>
      <c r="H32" s="389"/>
      <c r="I32" s="389" t="s">
        <v>27</v>
      </c>
      <c r="J32" s="389"/>
      <c r="K32" s="389" t="s">
        <v>27</v>
      </c>
      <c r="L32" s="389"/>
      <c r="M32" s="389" t="s">
        <v>27</v>
      </c>
      <c r="N32" s="389"/>
      <c r="O32" s="389" t="s">
        <v>27</v>
      </c>
      <c r="P32" s="389"/>
      <c r="Q32" s="389" t="s">
        <v>27</v>
      </c>
      <c r="R32" s="389"/>
      <c r="S32" s="389" t="s">
        <v>27</v>
      </c>
      <c r="T32" s="394"/>
      <c r="U32" s="389" t="s">
        <v>37</v>
      </c>
      <c r="V32" s="394"/>
      <c r="W32" s="389" t="s">
        <v>37</v>
      </c>
      <c r="X32" s="394"/>
      <c r="Y32" s="391">
        <f t="shared" ref="Y32:Y33" si="5">COUNTIF(C32:X32,"&gt;=R")</f>
        <v>10</v>
      </c>
      <c r="Z32" s="392">
        <f t="shared" ref="Z32:Z33" si="6">Y32</f>
        <v>10</v>
      </c>
    </row>
    <row r="33" ht="39.75" customHeight="1">
      <c r="A33" s="404" t="s">
        <v>140</v>
      </c>
      <c r="B33" s="405" t="s">
        <v>141</v>
      </c>
      <c r="C33" s="387"/>
      <c r="D33" s="388"/>
      <c r="E33" s="387" t="s">
        <v>37</v>
      </c>
      <c r="F33" s="389"/>
      <c r="G33" s="387" t="s">
        <v>27</v>
      </c>
      <c r="H33" s="389"/>
      <c r="I33" s="389" t="s">
        <v>27</v>
      </c>
      <c r="J33" s="389"/>
      <c r="K33" s="389" t="s">
        <v>27</v>
      </c>
      <c r="L33" s="389"/>
      <c r="M33" s="389" t="s">
        <v>27</v>
      </c>
      <c r="N33" s="389"/>
      <c r="O33" s="389" t="s">
        <v>27</v>
      </c>
      <c r="P33" s="389"/>
      <c r="Q33" s="389" t="s">
        <v>27</v>
      </c>
      <c r="R33" s="389"/>
      <c r="S33" s="389" t="s">
        <v>27</v>
      </c>
      <c r="T33" s="389"/>
      <c r="U33" s="389" t="s">
        <v>37</v>
      </c>
      <c r="V33" s="389"/>
      <c r="W33" s="389" t="s">
        <v>37</v>
      </c>
      <c r="X33" s="389"/>
      <c r="Y33" s="391">
        <f t="shared" si="5"/>
        <v>10</v>
      </c>
      <c r="Z33" s="392">
        <f t="shared" si="6"/>
        <v>10</v>
      </c>
    </row>
    <row r="34" ht="39.75" customHeight="1">
      <c r="A34" s="395" t="s">
        <v>142</v>
      </c>
      <c r="B34" s="396" t="s">
        <v>143</v>
      </c>
      <c r="C34" s="397"/>
      <c r="D34" s="398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529"/>
      <c r="Z34" s="530"/>
    </row>
    <row r="35" ht="39.75" customHeight="1">
      <c r="A35" s="402" t="s">
        <v>144</v>
      </c>
      <c r="B35" s="386" t="s">
        <v>145</v>
      </c>
      <c r="C35" s="388"/>
      <c r="D35" s="388"/>
      <c r="E35" s="389" t="s">
        <v>37</v>
      </c>
      <c r="F35" s="389"/>
      <c r="G35" s="533" t="s">
        <v>27</v>
      </c>
      <c r="H35" s="389"/>
      <c r="I35" s="534" t="s">
        <v>27</v>
      </c>
      <c r="J35" s="389"/>
      <c r="K35" s="534" t="s">
        <v>27</v>
      </c>
      <c r="L35" s="389"/>
      <c r="M35" s="534" t="s">
        <v>27</v>
      </c>
      <c r="N35" s="389"/>
      <c r="O35" s="534" t="s">
        <v>27</v>
      </c>
      <c r="P35" s="389"/>
      <c r="Q35" s="534" t="s">
        <v>27</v>
      </c>
      <c r="R35" s="389"/>
      <c r="S35" s="534" t="s">
        <v>27</v>
      </c>
      <c r="T35" s="389"/>
      <c r="U35" s="389" t="s">
        <v>37</v>
      </c>
      <c r="V35" s="389"/>
      <c r="W35" s="389" t="s">
        <v>37</v>
      </c>
      <c r="X35" s="389"/>
      <c r="Y35" s="391">
        <f>COUNTIF(C35:X35,"&gt;=R")</f>
        <v>10</v>
      </c>
      <c r="Z35" s="392">
        <f>Y35</f>
        <v>10</v>
      </c>
    </row>
    <row r="36" ht="39.75" customHeight="1">
      <c r="A36" s="395" t="s">
        <v>146</v>
      </c>
      <c r="B36" s="396" t="s">
        <v>147</v>
      </c>
      <c r="C36" s="397"/>
      <c r="D36" s="398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529"/>
      <c r="Z36" s="530"/>
    </row>
    <row r="37" ht="39.75" customHeight="1">
      <c r="A37" s="385" t="s">
        <v>148</v>
      </c>
      <c r="B37" s="386" t="s">
        <v>139</v>
      </c>
      <c r="C37" s="535" t="s">
        <v>92</v>
      </c>
      <c r="D37" s="388"/>
      <c r="E37" s="389" t="s">
        <v>37</v>
      </c>
      <c r="F37" s="389"/>
      <c r="G37" s="394" t="s">
        <v>17</v>
      </c>
      <c r="H37" s="389"/>
      <c r="I37" s="389" t="s">
        <v>17</v>
      </c>
      <c r="J37" s="389"/>
      <c r="K37" s="389" t="s">
        <v>27</v>
      </c>
      <c r="L37" s="389"/>
      <c r="M37" s="389" t="s">
        <v>17</v>
      </c>
      <c r="N37" s="389"/>
      <c r="O37" s="389" t="s">
        <v>17</v>
      </c>
      <c r="P37" s="389"/>
      <c r="Q37" s="389" t="s">
        <v>27</v>
      </c>
      <c r="R37" s="389"/>
      <c r="S37" s="389" t="s">
        <v>27</v>
      </c>
      <c r="T37" s="389"/>
      <c r="U37" s="389" t="s">
        <v>27</v>
      </c>
      <c r="V37" s="389"/>
      <c r="W37" s="389" t="s">
        <v>37</v>
      </c>
      <c r="X37" s="389"/>
      <c r="Y37" s="391">
        <f t="shared" ref="Y37:Y38" si="7">COUNTIF(C37:X37,"&gt;=R")</f>
        <v>11</v>
      </c>
      <c r="Z37" s="392">
        <f t="shared" ref="Z37:Z38" si="8">Y37</f>
        <v>11</v>
      </c>
    </row>
    <row r="38" ht="39.75" customHeight="1">
      <c r="A38" s="385" t="s">
        <v>149</v>
      </c>
      <c r="B38" s="386" t="s">
        <v>150</v>
      </c>
      <c r="C38" s="535" t="s">
        <v>92</v>
      </c>
      <c r="D38" s="388"/>
      <c r="E38" s="389" t="s">
        <v>56</v>
      </c>
      <c r="F38" s="389"/>
      <c r="G38" s="394" t="s">
        <v>17</v>
      </c>
      <c r="H38" s="389"/>
      <c r="I38" s="389" t="s">
        <v>17</v>
      </c>
      <c r="J38" s="389"/>
      <c r="K38" s="389" t="s">
        <v>56</v>
      </c>
      <c r="L38" s="389"/>
      <c r="M38" s="389" t="s">
        <v>17</v>
      </c>
      <c r="N38" s="389"/>
      <c r="O38" s="389" t="s">
        <v>17</v>
      </c>
      <c r="P38" s="389"/>
      <c r="Q38" s="389" t="s">
        <v>56</v>
      </c>
      <c r="R38" s="389"/>
      <c r="S38" s="389" t="s">
        <v>37</v>
      </c>
      <c r="T38" s="389"/>
      <c r="U38" s="394" t="s">
        <v>37</v>
      </c>
      <c r="V38" s="389"/>
      <c r="W38" s="394" t="s">
        <v>56</v>
      </c>
      <c r="X38" s="389"/>
      <c r="Y38" s="391">
        <f t="shared" si="7"/>
        <v>11</v>
      </c>
      <c r="Z38" s="392">
        <f t="shared" si="8"/>
        <v>11</v>
      </c>
      <c r="AA38" s="350"/>
      <c r="AB38" s="350"/>
    </row>
    <row r="39" ht="39.75" customHeight="1">
      <c r="A39" s="407" t="s">
        <v>151</v>
      </c>
      <c r="B39" s="408" t="s">
        <v>152</v>
      </c>
      <c r="C39" s="387"/>
      <c r="D39" s="388"/>
      <c r="E39" s="389"/>
      <c r="F39" s="389"/>
      <c r="G39" s="389"/>
      <c r="H39" s="389"/>
      <c r="I39" s="389"/>
      <c r="J39" s="389"/>
      <c r="K39" s="389"/>
      <c r="L39" s="389"/>
      <c r="M39" s="394"/>
      <c r="N39" s="389"/>
      <c r="O39" s="389"/>
      <c r="P39" s="389"/>
      <c r="Q39" s="389"/>
      <c r="R39" s="389"/>
      <c r="S39" s="389"/>
      <c r="T39" s="389"/>
      <c r="U39" s="394"/>
      <c r="V39" s="389"/>
      <c r="W39" s="389"/>
      <c r="X39" s="389"/>
      <c r="Y39" s="391"/>
      <c r="Z39" s="392"/>
    </row>
    <row r="40" ht="39.75" customHeight="1">
      <c r="A40" s="385" t="s">
        <v>153</v>
      </c>
      <c r="B40" s="386" t="s">
        <v>154</v>
      </c>
      <c r="C40" s="387" t="s">
        <v>85</v>
      </c>
      <c r="D40" s="388"/>
      <c r="E40" s="387" t="s">
        <v>85</v>
      </c>
      <c r="F40" s="389"/>
      <c r="G40" s="387" t="s">
        <v>85</v>
      </c>
      <c r="H40" s="389"/>
      <c r="I40" s="387" t="s">
        <v>85</v>
      </c>
      <c r="J40" s="389"/>
      <c r="K40" s="387" t="s">
        <v>85</v>
      </c>
      <c r="L40" s="389"/>
      <c r="M40" s="389" t="s">
        <v>85</v>
      </c>
      <c r="N40" s="389"/>
      <c r="O40" s="389" t="s">
        <v>85</v>
      </c>
      <c r="P40" s="389"/>
      <c r="Q40" s="389" t="s">
        <v>85</v>
      </c>
      <c r="R40" s="389"/>
      <c r="S40" s="389" t="s">
        <v>85</v>
      </c>
      <c r="T40" s="389"/>
      <c r="U40" s="389" t="s">
        <v>85</v>
      </c>
      <c r="V40" s="389"/>
      <c r="W40" s="389" t="s">
        <v>85</v>
      </c>
      <c r="X40" s="389"/>
      <c r="Y40" s="391">
        <f t="shared" ref="Y40:Y45" si="9">COUNTIF(C40:X40,"&gt;=R")</f>
        <v>11</v>
      </c>
      <c r="Z40" s="392">
        <f t="shared" ref="Z40:Z45" si="10">Y40</f>
        <v>11</v>
      </c>
    </row>
    <row r="41" ht="39.75" customHeight="1">
      <c r="A41" s="385" t="s">
        <v>155</v>
      </c>
      <c r="B41" s="386" t="s">
        <v>156</v>
      </c>
      <c r="C41" s="387"/>
      <c r="D41" s="388"/>
      <c r="E41" s="394"/>
      <c r="F41" s="389"/>
      <c r="G41" s="394"/>
      <c r="H41" s="389"/>
      <c r="I41" s="394"/>
      <c r="J41" s="389"/>
      <c r="K41" s="394"/>
      <c r="L41" s="389"/>
      <c r="M41" s="394"/>
      <c r="N41" s="389"/>
      <c r="O41" s="394"/>
      <c r="P41" s="389"/>
      <c r="Q41" s="394"/>
      <c r="R41" s="389"/>
      <c r="S41" s="394"/>
      <c r="T41" s="389"/>
      <c r="U41" s="394"/>
      <c r="V41" s="389"/>
      <c r="W41" s="394"/>
      <c r="X41" s="389"/>
      <c r="Y41" s="391">
        <f t="shared" si="9"/>
        <v>0</v>
      </c>
      <c r="Z41" s="392">
        <f t="shared" si="10"/>
        <v>0</v>
      </c>
      <c r="AA41" s="350"/>
      <c r="AB41" s="350"/>
    </row>
    <row r="42" ht="39.75" customHeight="1">
      <c r="A42" s="385" t="s">
        <v>157</v>
      </c>
      <c r="B42" s="386" t="s">
        <v>158</v>
      </c>
      <c r="C42" s="388" t="s">
        <v>84</v>
      </c>
      <c r="D42" s="388"/>
      <c r="E42" s="418" t="s">
        <v>84</v>
      </c>
      <c r="F42" s="389"/>
      <c r="G42" s="394" t="s">
        <v>17</v>
      </c>
      <c r="H42" s="389"/>
      <c r="I42" s="389" t="s">
        <v>17</v>
      </c>
      <c r="J42" s="389"/>
      <c r="K42" s="418" t="s">
        <v>84</v>
      </c>
      <c r="L42" s="389"/>
      <c r="M42" s="389" t="s">
        <v>17</v>
      </c>
      <c r="N42" s="389"/>
      <c r="O42" s="389" t="s">
        <v>17</v>
      </c>
      <c r="P42" s="389"/>
      <c r="Q42" s="418" t="s">
        <v>84</v>
      </c>
      <c r="R42" s="389"/>
      <c r="S42" s="418" t="s">
        <v>84</v>
      </c>
      <c r="T42" s="389"/>
      <c r="U42" s="419" t="s">
        <v>84</v>
      </c>
      <c r="V42" s="389"/>
      <c r="W42" s="419" t="s">
        <v>84</v>
      </c>
      <c r="X42" s="389"/>
      <c r="Y42" s="391">
        <f t="shared" si="9"/>
        <v>11</v>
      </c>
      <c r="Z42" s="392">
        <f t="shared" si="10"/>
        <v>11</v>
      </c>
    </row>
    <row r="43" ht="39.75" customHeight="1">
      <c r="A43" s="385" t="s">
        <v>159</v>
      </c>
      <c r="B43" s="386" t="s">
        <v>160</v>
      </c>
      <c r="C43" s="387"/>
      <c r="D43" s="388"/>
      <c r="E43" s="418" t="s">
        <v>84</v>
      </c>
      <c r="F43" s="389"/>
      <c r="G43" s="389" t="s">
        <v>27</v>
      </c>
      <c r="H43" s="389"/>
      <c r="I43" s="389" t="s">
        <v>17</v>
      </c>
      <c r="J43" s="389"/>
      <c r="K43" s="418" t="s">
        <v>84</v>
      </c>
      <c r="L43" s="389"/>
      <c r="M43" s="389" t="s">
        <v>27</v>
      </c>
      <c r="N43" s="389"/>
      <c r="O43" s="389" t="s">
        <v>27</v>
      </c>
      <c r="P43" s="389"/>
      <c r="Q43" s="418" t="s">
        <v>84</v>
      </c>
      <c r="R43" s="389"/>
      <c r="S43" s="418" t="s">
        <v>84</v>
      </c>
      <c r="T43" s="389"/>
      <c r="U43" s="419" t="s">
        <v>84</v>
      </c>
      <c r="V43" s="389"/>
      <c r="W43" s="419" t="s">
        <v>84</v>
      </c>
      <c r="X43" s="389"/>
      <c r="Y43" s="391">
        <f t="shared" si="9"/>
        <v>10</v>
      </c>
      <c r="Z43" s="392">
        <f t="shared" si="10"/>
        <v>10</v>
      </c>
      <c r="AA43" s="350"/>
      <c r="AB43" s="350"/>
    </row>
    <row r="44" ht="39.75" customHeight="1">
      <c r="A44" s="385" t="s">
        <v>161</v>
      </c>
      <c r="B44" s="386" t="s">
        <v>162</v>
      </c>
      <c r="C44" s="387" t="s">
        <v>18</v>
      </c>
      <c r="D44" s="388"/>
      <c r="E44" s="418" t="s">
        <v>84</v>
      </c>
      <c r="F44" s="389"/>
      <c r="G44" s="389" t="s">
        <v>27</v>
      </c>
      <c r="H44" s="389"/>
      <c r="I44" s="389" t="s">
        <v>17</v>
      </c>
      <c r="J44" s="389"/>
      <c r="K44" s="418" t="s">
        <v>84</v>
      </c>
      <c r="L44" s="389"/>
      <c r="M44" s="389" t="s">
        <v>27</v>
      </c>
      <c r="N44" s="389"/>
      <c r="O44" s="389" t="s">
        <v>27</v>
      </c>
      <c r="P44" s="389"/>
      <c r="Q44" s="418" t="s">
        <v>84</v>
      </c>
      <c r="R44" s="389"/>
      <c r="S44" s="418" t="s">
        <v>84</v>
      </c>
      <c r="T44" s="389"/>
      <c r="U44" s="419" t="s">
        <v>84</v>
      </c>
      <c r="V44" s="389"/>
      <c r="W44" s="419" t="s">
        <v>84</v>
      </c>
      <c r="X44" s="389"/>
      <c r="Y44" s="391">
        <f t="shared" si="9"/>
        <v>11</v>
      </c>
      <c r="Z44" s="392">
        <f t="shared" si="10"/>
        <v>11</v>
      </c>
    </row>
    <row r="45" ht="39.75" customHeight="1">
      <c r="A45" s="385" t="s">
        <v>163</v>
      </c>
      <c r="B45" s="386" t="s">
        <v>164</v>
      </c>
      <c r="C45" s="420" t="s">
        <v>8</v>
      </c>
      <c r="D45" s="388"/>
      <c r="E45" s="418" t="s">
        <v>84</v>
      </c>
      <c r="F45" s="389"/>
      <c r="G45" s="389" t="s">
        <v>27</v>
      </c>
      <c r="H45" s="389"/>
      <c r="I45" s="389" t="s">
        <v>17</v>
      </c>
      <c r="J45" s="389"/>
      <c r="K45" s="418" t="s">
        <v>84</v>
      </c>
      <c r="L45" s="389"/>
      <c r="M45" s="389" t="s">
        <v>27</v>
      </c>
      <c r="N45" s="389"/>
      <c r="O45" s="389" t="s">
        <v>27</v>
      </c>
      <c r="P45" s="389"/>
      <c r="Q45" s="389" t="s">
        <v>37</v>
      </c>
      <c r="R45" s="389"/>
      <c r="S45" s="389" t="s">
        <v>37</v>
      </c>
      <c r="T45" s="389"/>
      <c r="U45" s="419" t="s">
        <v>84</v>
      </c>
      <c r="V45" s="389"/>
      <c r="W45" s="419" t="s">
        <v>84</v>
      </c>
      <c r="X45" s="389"/>
      <c r="Y45" s="391">
        <f t="shared" si="9"/>
        <v>11</v>
      </c>
      <c r="Z45" s="392">
        <f t="shared" si="10"/>
        <v>11</v>
      </c>
      <c r="AA45" s="350"/>
      <c r="AB45" s="350"/>
    </row>
    <row r="46" ht="39.75" customHeight="1">
      <c r="A46" s="378" t="s">
        <v>165</v>
      </c>
      <c r="B46" s="379" t="s">
        <v>166</v>
      </c>
      <c r="C46" s="397"/>
      <c r="D46" s="398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529"/>
      <c r="Z46" s="530"/>
      <c r="AA46" s="350"/>
      <c r="AB46" s="350"/>
    </row>
    <row r="47" ht="39.75" customHeight="1">
      <c r="A47" s="409" t="s">
        <v>167</v>
      </c>
      <c r="B47" s="410" t="s">
        <v>168</v>
      </c>
      <c r="C47" s="387"/>
      <c r="D47" s="388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94"/>
      <c r="X47" s="389"/>
      <c r="Y47" s="391">
        <f t="shared" ref="Y47:Y54" si="11">COUNTIF(C47:X47,"&gt;=R")</f>
        <v>0</v>
      </c>
      <c r="Z47" s="392">
        <f t="shared" ref="Z47:Z54" si="12">Y47</f>
        <v>0</v>
      </c>
    </row>
    <row r="48" ht="39.75" customHeight="1">
      <c r="A48" s="411" t="s">
        <v>169</v>
      </c>
      <c r="B48" s="412" t="s">
        <v>170</v>
      </c>
      <c r="C48" s="387" t="s">
        <v>18</v>
      </c>
      <c r="D48" s="388"/>
      <c r="E48" s="389" t="s">
        <v>76</v>
      </c>
      <c r="F48" s="389"/>
      <c r="G48" s="389" t="s">
        <v>27</v>
      </c>
      <c r="H48" s="389"/>
      <c r="I48" s="389" t="s">
        <v>17</v>
      </c>
      <c r="J48" s="389"/>
      <c r="K48" s="389" t="s">
        <v>76</v>
      </c>
      <c r="L48" s="389"/>
      <c r="M48" s="389" t="s">
        <v>27</v>
      </c>
      <c r="N48" s="389"/>
      <c r="O48" s="389" t="s">
        <v>27</v>
      </c>
      <c r="P48" s="389"/>
      <c r="Q48" s="389" t="s">
        <v>37</v>
      </c>
      <c r="R48" s="389"/>
      <c r="S48" s="389" t="s">
        <v>37</v>
      </c>
      <c r="T48" s="389"/>
      <c r="U48" s="389" t="s">
        <v>37</v>
      </c>
      <c r="V48" s="389"/>
      <c r="W48" s="389" t="s">
        <v>76</v>
      </c>
      <c r="X48" s="389"/>
      <c r="Y48" s="391">
        <f t="shared" si="11"/>
        <v>11</v>
      </c>
      <c r="Z48" s="392">
        <f t="shared" si="12"/>
        <v>11</v>
      </c>
      <c r="AA48" s="350"/>
      <c r="AB48" s="350"/>
    </row>
    <row r="49" ht="39.75" customHeight="1">
      <c r="A49" s="411" t="s">
        <v>171</v>
      </c>
      <c r="B49" s="412" t="s">
        <v>172</v>
      </c>
      <c r="C49" s="387"/>
      <c r="D49" s="388"/>
      <c r="E49" s="387"/>
      <c r="F49" s="389"/>
      <c r="G49" s="413" t="s">
        <v>28</v>
      </c>
      <c r="H49" s="389"/>
      <c r="I49" s="413" t="s">
        <v>28</v>
      </c>
      <c r="J49" s="389"/>
      <c r="K49" s="413" t="s">
        <v>28</v>
      </c>
      <c r="L49" s="389"/>
      <c r="M49" s="413" t="s">
        <v>28</v>
      </c>
      <c r="N49" s="389"/>
      <c r="O49" s="413" t="s">
        <v>28</v>
      </c>
      <c r="P49" s="389"/>
      <c r="Q49" s="413" t="s">
        <v>28</v>
      </c>
      <c r="R49" s="389"/>
      <c r="S49" s="413" t="s">
        <v>28</v>
      </c>
      <c r="T49" s="389"/>
      <c r="U49" s="389"/>
      <c r="V49" s="389"/>
      <c r="W49" s="389"/>
      <c r="X49" s="389"/>
      <c r="Y49" s="391">
        <f t="shared" si="11"/>
        <v>7</v>
      </c>
      <c r="Z49" s="392">
        <f t="shared" si="12"/>
        <v>7</v>
      </c>
      <c r="AA49" s="350"/>
      <c r="AB49" s="350"/>
    </row>
    <row r="50" ht="39.75" customHeight="1">
      <c r="A50" s="414" t="s">
        <v>173</v>
      </c>
      <c r="B50" s="415" t="s">
        <v>174</v>
      </c>
      <c r="C50" s="387"/>
      <c r="D50" s="388"/>
      <c r="E50" s="389"/>
      <c r="F50" s="389"/>
      <c r="G50" s="394"/>
      <c r="H50" s="389"/>
      <c r="I50" s="394"/>
      <c r="J50" s="389"/>
      <c r="K50" s="394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91">
        <f t="shared" si="11"/>
        <v>0</v>
      </c>
      <c r="Z50" s="392">
        <f t="shared" si="12"/>
        <v>0</v>
      </c>
    </row>
    <row r="51" ht="39.75" customHeight="1">
      <c r="A51" s="411" t="s">
        <v>175</v>
      </c>
      <c r="B51" s="412" t="s">
        <v>176</v>
      </c>
      <c r="C51" s="387"/>
      <c r="D51" s="388"/>
      <c r="E51" s="387"/>
      <c r="F51" s="389"/>
      <c r="G51" s="389" t="s">
        <v>48</v>
      </c>
      <c r="H51" s="389"/>
      <c r="I51" s="417" t="s">
        <v>8</v>
      </c>
      <c r="J51" s="389"/>
      <c r="K51" s="417" t="s">
        <v>8</v>
      </c>
      <c r="L51" s="389"/>
      <c r="M51" s="417" t="s">
        <v>8</v>
      </c>
      <c r="N51" s="389"/>
      <c r="O51" s="417" t="s">
        <v>8</v>
      </c>
      <c r="P51" s="389"/>
      <c r="Q51" s="417" t="s">
        <v>8</v>
      </c>
      <c r="R51" s="389"/>
      <c r="S51" s="389" t="s">
        <v>93</v>
      </c>
      <c r="T51" s="389"/>
      <c r="U51" s="394"/>
      <c r="V51" s="389"/>
      <c r="W51" s="394"/>
      <c r="X51" s="389"/>
      <c r="Y51" s="391">
        <f t="shared" si="11"/>
        <v>7</v>
      </c>
      <c r="Z51" s="392">
        <f t="shared" si="12"/>
        <v>7</v>
      </c>
    </row>
    <row r="52" ht="39.75" customHeight="1">
      <c r="A52" s="411" t="s">
        <v>177</v>
      </c>
      <c r="B52" s="412" t="s">
        <v>178</v>
      </c>
      <c r="C52" s="387"/>
      <c r="D52" s="388"/>
      <c r="E52" s="389"/>
      <c r="F52" s="389"/>
      <c r="G52" s="389" t="s">
        <v>57</v>
      </c>
      <c r="H52" s="389"/>
      <c r="I52" s="389" t="s">
        <v>57</v>
      </c>
      <c r="J52" s="389"/>
      <c r="K52" s="389" t="s">
        <v>57</v>
      </c>
      <c r="L52" s="389"/>
      <c r="M52" s="389" t="s">
        <v>57</v>
      </c>
      <c r="N52" s="389"/>
      <c r="O52" s="389" t="s">
        <v>57</v>
      </c>
      <c r="P52" s="389"/>
      <c r="Q52" s="389" t="s">
        <v>57</v>
      </c>
      <c r="R52" s="389"/>
      <c r="S52" s="389" t="s">
        <v>93</v>
      </c>
      <c r="T52" s="389"/>
      <c r="U52" s="389"/>
      <c r="V52" s="389"/>
      <c r="W52" s="389"/>
      <c r="X52" s="389"/>
      <c r="Y52" s="391">
        <f t="shared" si="11"/>
        <v>7</v>
      </c>
      <c r="Z52" s="392">
        <f t="shared" si="12"/>
        <v>7</v>
      </c>
      <c r="AA52" s="350"/>
      <c r="AB52" s="350"/>
    </row>
    <row r="53" ht="39.75" customHeight="1">
      <c r="A53" s="414" t="s">
        <v>179</v>
      </c>
      <c r="B53" s="415" t="s">
        <v>180</v>
      </c>
      <c r="C53" s="387"/>
      <c r="D53" s="388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94"/>
      <c r="X53" s="389"/>
      <c r="Y53" s="391">
        <f t="shared" si="11"/>
        <v>0</v>
      </c>
      <c r="Z53" s="392">
        <f t="shared" si="12"/>
        <v>0</v>
      </c>
    </row>
    <row r="54" ht="39.75" customHeight="1">
      <c r="A54" s="404" t="s">
        <v>181</v>
      </c>
      <c r="B54" s="405" t="s">
        <v>182</v>
      </c>
      <c r="C54" s="387"/>
      <c r="D54" s="388"/>
      <c r="E54" s="387"/>
      <c r="F54" s="389"/>
      <c r="G54" s="387" t="s">
        <v>57</v>
      </c>
      <c r="H54" s="389"/>
      <c r="I54" s="387"/>
      <c r="J54" s="389"/>
      <c r="K54" s="389" t="s">
        <v>18</v>
      </c>
      <c r="L54" s="389"/>
      <c r="M54" s="389" t="s">
        <v>18</v>
      </c>
      <c r="N54" s="389"/>
      <c r="O54" s="389" t="s">
        <v>18</v>
      </c>
      <c r="P54" s="389"/>
      <c r="Q54" s="389" t="s">
        <v>18</v>
      </c>
      <c r="R54" s="389"/>
      <c r="S54" s="387" t="s">
        <v>18</v>
      </c>
      <c r="T54" s="389"/>
      <c r="U54" s="387"/>
      <c r="V54" s="389"/>
      <c r="W54" s="387"/>
      <c r="X54" s="389"/>
      <c r="Y54" s="391">
        <f t="shared" si="11"/>
        <v>6</v>
      </c>
      <c r="Z54" s="392">
        <f t="shared" si="12"/>
        <v>6</v>
      </c>
    </row>
    <row r="55" ht="39.75" customHeight="1">
      <c r="A55" s="395" t="s">
        <v>183</v>
      </c>
      <c r="B55" s="396" t="s">
        <v>184</v>
      </c>
      <c r="C55" s="397"/>
      <c r="D55" s="398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529"/>
      <c r="Z55" s="530"/>
      <c r="AA55" s="350"/>
      <c r="AB55" s="350"/>
    </row>
    <row r="56" ht="39.75" customHeight="1">
      <c r="A56" s="385" t="s">
        <v>185</v>
      </c>
      <c r="B56" s="386" t="s">
        <v>186</v>
      </c>
      <c r="C56" s="387"/>
      <c r="D56" s="388"/>
      <c r="E56" s="389"/>
      <c r="F56" s="389"/>
      <c r="G56" s="389"/>
      <c r="H56" s="389"/>
      <c r="I56" s="389"/>
      <c r="J56" s="389"/>
      <c r="K56" s="389" t="s">
        <v>18</v>
      </c>
      <c r="L56" s="389"/>
      <c r="M56" s="389" t="s">
        <v>18</v>
      </c>
      <c r="N56" s="389"/>
      <c r="O56" s="389" t="s">
        <v>18</v>
      </c>
      <c r="P56" s="389"/>
      <c r="Q56" s="389" t="s">
        <v>18</v>
      </c>
      <c r="R56" s="389"/>
      <c r="S56" s="389" t="s">
        <v>18</v>
      </c>
      <c r="T56" s="389"/>
      <c r="U56" s="389" t="s">
        <v>18</v>
      </c>
      <c r="V56" s="389"/>
      <c r="W56" s="389" t="s">
        <v>18</v>
      </c>
      <c r="X56" s="389"/>
      <c r="Y56" s="391">
        <f t="shared" ref="Y56:Y59" si="13">COUNTIF(C56:X56,"&gt;=R")</f>
        <v>7</v>
      </c>
      <c r="Z56" s="392">
        <f t="shared" ref="Z56:Z59" si="14">Y56</f>
        <v>7</v>
      </c>
      <c r="AA56" s="350"/>
      <c r="AB56" s="350"/>
    </row>
    <row r="57" ht="39.75" customHeight="1">
      <c r="A57" s="385" t="s">
        <v>187</v>
      </c>
      <c r="B57" s="386" t="s">
        <v>188</v>
      </c>
      <c r="C57" s="387"/>
      <c r="D57" s="388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91">
        <f t="shared" si="13"/>
        <v>0</v>
      </c>
      <c r="Z57" s="392">
        <f t="shared" si="14"/>
        <v>0</v>
      </c>
      <c r="AA57" s="350"/>
      <c r="AB57" s="350"/>
    </row>
    <row r="58" ht="39.75" customHeight="1">
      <c r="A58" s="385" t="s">
        <v>189</v>
      </c>
      <c r="B58" s="386" t="s">
        <v>190</v>
      </c>
      <c r="C58" s="388"/>
      <c r="D58" s="388"/>
      <c r="E58" s="389"/>
      <c r="F58" s="389"/>
      <c r="G58" s="417" t="s">
        <v>8</v>
      </c>
      <c r="H58" s="389"/>
      <c r="I58" s="389" t="s">
        <v>84</v>
      </c>
      <c r="J58" s="389"/>
      <c r="K58" s="389" t="s">
        <v>84</v>
      </c>
      <c r="L58" s="389"/>
      <c r="M58" s="389" t="s">
        <v>84</v>
      </c>
      <c r="N58" s="389"/>
      <c r="O58" s="389" t="s">
        <v>84</v>
      </c>
      <c r="P58" s="389"/>
      <c r="Q58" s="389" t="s">
        <v>84</v>
      </c>
      <c r="R58" s="389"/>
      <c r="S58" s="389" t="s">
        <v>84</v>
      </c>
      <c r="T58" s="389"/>
      <c r="U58" s="389"/>
      <c r="V58" s="389"/>
      <c r="W58" s="389"/>
      <c r="X58" s="389"/>
      <c r="Y58" s="391">
        <f t="shared" si="13"/>
        <v>7</v>
      </c>
      <c r="Z58" s="392">
        <f t="shared" si="14"/>
        <v>7</v>
      </c>
    </row>
    <row r="59" ht="39.75" customHeight="1">
      <c r="A59" s="385" t="s">
        <v>191</v>
      </c>
      <c r="B59" s="386" t="s">
        <v>192</v>
      </c>
      <c r="C59" s="388"/>
      <c r="D59" s="388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94"/>
      <c r="X59" s="389"/>
      <c r="Y59" s="391">
        <f t="shared" si="13"/>
        <v>0</v>
      </c>
      <c r="Z59" s="392">
        <f t="shared" si="14"/>
        <v>0</v>
      </c>
      <c r="AA59" s="350"/>
      <c r="AB59" s="350"/>
    </row>
    <row r="60" ht="39.75" customHeight="1">
      <c r="A60" s="395" t="s">
        <v>193</v>
      </c>
      <c r="B60" s="396" t="s">
        <v>194</v>
      </c>
      <c r="C60" s="397"/>
      <c r="D60" s="398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529"/>
      <c r="Z60" s="530"/>
      <c r="AA60" s="350"/>
      <c r="AB60" s="350"/>
    </row>
    <row r="61" ht="39.75" customHeight="1">
      <c r="A61" s="414" t="s">
        <v>195</v>
      </c>
      <c r="B61" s="415" t="s">
        <v>196</v>
      </c>
      <c r="C61" s="387"/>
      <c r="D61" s="388"/>
      <c r="E61" s="389"/>
      <c r="F61" s="389"/>
      <c r="G61" s="394"/>
      <c r="H61" s="389"/>
      <c r="I61" s="394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94"/>
      <c r="X61" s="389"/>
      <c r="Y61" s="391">
        <f t="shared" ref="Y61:Y62" si="15">COUNTIF(C61:X61,"&gt;=R")</f>
        <v>0</v>
      </c>
      <c r="Z61" s="392">
        <f t="shared" ref="Z61:Z62" si="16">Y61</f>
        <v>0</v>
      </c>
    </row>
    <row r="62" ht="39.75" customHeight="1">
      <c r="A62" s="411" t="s">
        <v>197</v>
      </c>
      <c r="B62" s="412" t="s">
        <v>139</v>
      </c>
      <c r="C62" s="387"/>
      <c r="D62" s="388"/>
      <c r="E62" s="389" t="s">
        <v>56</v>
      </c>
      <c r="F62" s="389"/>
      <c r="G62" s="389" t="s">
        <v>56</v>
      </c>
      <c r="H62" s="389"/>
      <c r="I62" s="389" t="s">
        <v>56</v>
      </c>
      <c r="J62" s="389"/>
      <c r="K62" s="389" t="s">
        <v>56</v>
      </c>
      <c r="L62" s="389"/>
      <c r="M62" s="389" t="s">
        <v>56</v>
      </c>
      <c r="N62" s="389"/>
      <c r="O62" s="389" t="s">
        <v>56</v>
      </c>
      <c r="P62" s="389"/>
      <c r="Q62" s="389" t="s">
        <v>56</v>
      </c>
      <c r="R62" s="389"/>
      <c r="S62" s="389" t="s">
        <v>56</v>
      </c>
      <c r="T62" s="389"/>
      <c r="U62" s="389" t="s">
        <v>56</v>
      </c>
      <c r="V62" s="389"/>
      <c r="W62" s="389" t="s">
        <v>56</v>
      </c>
      <c r="X62" s="389"/>
      <c r="Y62" s="391">
        <f t="shared" si="15"/>
        <v>10</v>
      </c>
      <c r="Z62" s="392">
        <f t="shared" si="16"/>
        <v>10</v>
      </c>
      <c r="AA62" s="350"/>
      <c r="AB62" s="350"/>
    </row>
    <row r="63" ht="39.75" customHeight="1">
      <c r="A63" s="414" t="s">
        <v>198</v>
      </c>
      <c r="B63" s="415" t="s">
        <v>199</v>
      </c>
      <c r="C63" s="387"/>
      <c r="D63" s="388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91"/>
      <c r="Z63" s="392"/>
      <c r="AA63" s="350"/>
      <c r="AB63" s="350"/>
    </row>
    <row r="64" ht="39.75" customHeight="1">
      <c r="A64" s="411" t="s">
        <v>200</v>
      </c>
      <c r="B64" s="412" t="s">
        <v>176</v>
      </c>
      <c r="C64" s="387"/>
      <c r="D64" s="388"/>
      <c r="E64" s="387"/>
      <c r="F64" s="389"/>
      <c r="G64" s="394" t="s">
        <v>93</v>
      </c>
      <c r="H64" s="389"/>
      <c r="I64" s="389" t="s">
        <v>93</v>
      </c>
      <c r="J64" s="389"/>
      <c r="K64" s="389" t="s">
        <v>93</v>
      </c>
      <c r="L64" s="389"/>
      <c r="M64" s="389" t="s">
        <v>93</v>
      </c>
      <c r="N64" s="389"/>
      <c r="O64" s="389" t="s">
        <v>93</v>
      </c>
      <c r="P64" s="389"/>
      <c r="Q64" s="389" t="s">
        <v>93</v>
      </c>
      <c r="R64" s="389"/>
      <c r="S64" s="389" t="s">
        <v>93</v>
      </c>
      <c r="T64" s="389"/>
      <c r="U64" s="394"/>
      <c r="V64" s="389"/>
      <c r="W64" s="394"/>
      <c r="X64" s="389"/>
      <c r="Y64" s="391">
        <f>COUNTIF(C64:X64,"&gt;=R")</f>
        <v>7</v>
      </c>
      <c r="Z64" s="392">
        <f>Y64</f>
        <v>7</v>
      </c>
    </row>
    <row r="65" ht="39.75" customHeight="1">
      <c r="A65" s="414" t="s">
        <v>201</v>
      </c>
      <c r="B65" s="415" t="s">
        <v>202</v>
      </c>
      <c r="C65" s="387"/>
      <c r="D65" s="388"/>
      <c r="E65" s="389"/>
      <c r="F65" s="389"/>
      <c r="G65" s="394"/>
      <c r="H65" s="389"/>
      <c r="I65" s="394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91"/>
      <c r="Z65" s="392"/>
    </row>
    <row r="66" ht="39.75" customHeight="1">
      <c r="A66" s="411" t="s">
        <v>203</v>
      </c>
      <c r="B66" s="412" t="s">
        <v>204</v>
      </c>
      <c r="C66" s="387"/>
      <c r="D66" s="388"/>
      <c r="E66" s="389"/>
      <c r="F66" s="389"/>
      <c r="G66" s="389" t="s">
        <v>93</v>
      </c>
      <c r="H66" s="389"/>
      <c r="I66" s="389" t="s">
        <v>93</v>
      </c>
      <c r="J66" s="389"/>
      <c r="K66" s="389" t="s">
        <v>93</v>
      </c>
      <c r="L66" s="389"/>
      <c r="M66" s="389" t="s">
        <v>93</v>
      </c>
      <c r="N66" s="389"/>
      <c r="O66" s="389" t="s">
        <v>93</v>
      </c>
      <c r="P66" s="389"/>
      <c r="Q66" s="394" t="s">
        <v>93</v>
      </c>
      <c r="R66" s="389"/>
      <c r="S66" s="394" t="s">
        <v>93</v>
      </c>
      <c r="T66" s="389"/>
      <c r="U66" s="394"/>
      <c r="V66" s="389"/>
      <c r="W66" s="394"/>
      <c r="X66" s="389"/>
      <c r="Y66" s="391">
        <f>COUNTIF(C66:X66,"&gt;=R")</f>
        <v>7</v>
      </c>
      <c r="Z66" s="392">
        <f>Y66</f>
        <v>7</v>
      </c>
    </row>
    <row r="67" ht="39.75" customHeight="1">
      <c r="A67" s="395" t="s">
        <v>205</v>
      </c>
      <c r="B67" s="396" t="s">
        <v>206</v>
      </c>
      <c r="C67" s="397"/>
      <c r="D67" s="398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529"/>
      <c r="Z67" s="530"/>
      <c r="AA67" s="350"/>
      <c r="AB67" s="350"/>
    </row>
    <row r="68" ht="39.75" customHeight="1">
      <c r="A68" s="385" t="s">
        <v>207</v>
      </c>
      <c r="B68" s="386" t="s">
        <v>208</v>
      </c>
      <c r="C68" s="388"/>
      <c r="D68" s="388"/>
      <c r="E68" s="389"/>
      <c r="F68" s="389"/>
      <c r="G68" s="417" t="s">
        <v>8</v>
      </c>
      <c r="H68" s="389"/>
      <c r="I68" s="389" t="s">
        <v>84</v>
      </c>
      <c r="J68" s="389"/>
      <c r="K68" s="389" t="s">
        <v>84</v>
      </c>
      <c r="L68" s="389"/>
      <c r="M68" s="389" t="s">
        <v>84</v>
      </c>
      <c r="N68" s="389"/>
      <c r="O68" s="389" t="s">
        <v>84</v>
      </c>
      <c r="P68" s="389"/>
      <c r="Q68" s="389" t="s">
        <v>84</v>
      </c>
      <c r="R68" s="389"/>
      <c r="S68" s="389" t="s">
        <v>84</v>
      </c>
      <c r="T68" s="389"/>
      <c r="U68" s="389"/>
      <c r="V68" s="389"/>
      <c r="W68" s="389"/>
      <c r="X68" s="389"/>
      <c r="Y68" s="391">
        <f>COUNTIF(C68:X68,"&gt;=R")</f>
        <v>7</v>
      </c>
      <c r="Z68" s="392">
        <f>Y68</f>
        <v>7</v>
      </c>
    </row>
    <row r="69" ht="39.75" customHeight="1">
      <c r="A69" s="395" t="s">
        <v>209</v>
      </c>
      <c r="B69" s="396" t="s">
        <v>210</v>
      </c>
      <c r="C69" s="397"/>
      <c r="D69" s="398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529"/>
      <c r="Z69" s="530"/>
    </row>
    <row r="70" ht="39.75" customHeight="1">
      <c r="A70" s="385" t="s">
        <v>211</v>
      </c>
      <c r="B70" s="386" t="s">
        <v>212</v>
      </c>
      <c r="C70" s="387"/>
      <c r="D70" s="388"/>
      <c r="E70" s="389"/>
      <c r="F70" s="389"/>
      <c r="G70" s="389"/>
      <c r="H70" s="389"/>
      <c r="I70" s="389"/>
      <c r="J70" s="389"/>
      <c r="K70" s="389" t="s">
        <v>48</v>
      </c>
      <c r="L70" s="389"/>
      <c r="M70" s="389" t="s">
        <v>48</v>
      </c>
      <c r="N70" s="389"/>
      <c r="O70" s="389" t="s">
        <v>48</v>
      </c>
      <c r="P70" s="389"/>
      <c r="Q70" s="389"/>
      <c r="R70" s="389"/>
      <c r="S70" s="389"/>
      <c r="T70" s="389"/>
      <c r="U70" s="389"/>
      <c r="V70" s="389"/>
      <c r="W70" s="389"/>
      <c r="X70" s="389"/>
      <c r="Y70" s="391">
        <f t="shared" ref="Y70:Y71" si="17">COUNTIF(C70:X70,"&gt;=R")</f>
        <v>3</v>
      </c>
      <c r="Z70" s="392">
        <f t="shared" ref="Z70:Z71" si="18">Y70</f>
        <v>3</v>
      </c>
    </row>
    <row r="71" ht="39.75" customHeight="1">
      <c r="A71" s="385" t="s">
        <v>213</v>
      </c>
      <c r="B71" s="386" t="s">
        <v>214</v>
      </c>
      <c r="C71" s="387"/>
      <c r="D71" s="388"/>
      <c r="E71" s="394"/>
      <c r="F71" s="389"/>
      <c r="G71" s="389" t="s">
        <v>85</v>
      </c>
      <c r="H71" s="389"/>
      <c r="I71" s="389"/>
      <c r="J71" s="389"/>
      <c r="K71" s="389" t="s">
        <v>85</v>
      </c>
      <c r="L71" s="389"/>
      <c r="M71" s="394" t="s">
        <v>85</v>
      </c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91">
        <f t="shared" si="17"/>
        <v>3</v>
      </c>
      <c r="Z71" s="392">
        <f t="shared" si="18"/>
        <v>3</v>
      </c>
    </row>
    <row r="72" ht="39.75" customHeight="1">
      <c r="A72" s="395" t="s">
        <v>215</v>
      </c>
      <c r="B72" s="396" t="s">
        <v>216</v>
      </c>
      <c r="C72" s="397"/>
      <c r="D72" s="398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529"/>
      <c r="Z72" s="530"/>
      <c r="AA72" s="350"/>
      <c r="AB72" s="350"/>
    </row>
    <row r="73" ht="39.75" customHeight="1">
      <c r="A73" s="385" t="s">
        <v>217</v>
      </c>
      <c r="B73" s="386" t="s">
        <v>218</v>
      </c>
      <c r="C73" s="387"/>
      <c r="D73" s="388"/>
      <c r="E73" s="387"/>
      <c r="F73" s="389"/>
      <c r="G73" s="387"/>
      <c r="H73" s="389"/>
      <c r="I73" s="387"/>
      <c r="J73" s="389"/>
      <c r="K73" s="389" t="s">
        <v>93</v>
      </c>
      <c r="L73" s="389"/>
      <c r="M73" s="389" t="s">
        <v>93</v>
      </c>
      <c r="N73" s="389"/>
      <c r="O73" s="389" t="s">
        <v>93</v>
      </c>
      <c r="P73" s="389"/>
      <c r="Q73" s="389"/>
      <c r="R73" s="389"/>
      <c r="S73" s="389"/>
      <c r="T73" s="394"/>
      <c r="U73" s="389"/>
      <c r="V73" s="394"/>
      <c r="W73" s="389"/>
      <c r="X73" s="394"/>
      <c r="Y73" s="391">
        <f>COUNTIF(C73:X73,"&gt;=R")</f>
        <v>3</v>
      </c>
      <c r="Z73" s="392">
        <f>Y73</f>
        <v>3</v>
      </c>
    </row>
    <row r="74" ht="39.75" customHeight="1">
      <c r="A74" s="395" t="s">
        <v>219</v>
      </c>
      <c r="B74" s="396" t="s">
        <v>220</v>
      </c>
      <c r="C74" s="397"/>
      <c r="D74" s="398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529"/>
      <c r="Z74" s="530"/>
      <c r="AA74" s="350"/>
      <c r="AB74" s="350"/>
    </row>
    <row r="75" ht="39.75" customHeight="1">
      <c r="A75" s="385" t="s">
        <v>221</v>
      </c>
      <c r="B75" s="386" t="s">
        <v>222</v>
      </c>
      <c r="C75" s="388" t="s">
        <v>18</v>
      </c>
      <c r="D75" s="388"/>
      <c r="E75" s="389" t="s">
        <v>76</v>
      </c>
      <c r="F75" s="389"/>
      <c r="G75" s="389" t="s">
        <v>27</v>
      </c>
      <c r="H75" s="389"/>
      <c r="I75" s="389" t="s">
        <v>17</v>
      </c>
      <c r="J75" s="389"/>
      <c r="K75" s="389" t="s">
        <v>76</v>
      </c>
      <c r="L75" s="389"/>
      <c r="M75" s="389" t="s">
        <v>27</v>
      </c>
      <c r="N75" s="389"/>
      <c r="O75" s="389" t="s">
        <v>27</v>
      </c>
      <c r="P75" s="389"/>
      <c r="Q75" s="389" t="s">
        <v>76</v>
      </c>
      <c r="R75" s="389"/>
      <c r="S75" s="389" t="s">
        <v>76</v>
      </c>
      <c r="T75" s="389"/>
      <c r="U75" s="389" t="s">
        <v>76</v>
      </c>
      <c r="V75" s="389"/>
      <c r="W75" s="389" t="s">
        <v>76</v>
      </c>
      <c r="X75" s="389"/>
      <c r="Y75" s="391">
        <f>COUNTIF(C75:X75,"&gt;=R")</f>
        <v>11</v>
      </c>
      <c r="Z75" s="392">
        <f>Y75</f>
        <v>11</v>
      </c>
    </row>
    <row r="76" ht="39.75" customHeight="1">
      <c r="A76" s="407" t="s">
        <v>223</v>
      </c>
      <c r="B76" s="408" t="s">
        <v>224</v>
      </c>
      <c r="C76" s="387"/>
      <c r="D76" s="388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91"/>
      <c r="Z76" s="392"/>
    </row>
    <row r="77" ht="39.75" customHeight="1">
      <c r="A77" s="385" t="s">
        <v>225</v>
      </c>
      <c r="B77" s="386" t="s">
        <v>226</v>
      </c>
      <c r="C77" s="387" t="s">
        <v>18</v>
      </c>
      <c r="D77" s="388"/>
      <c r="E77" s="389" t="s">
        <v>76</v>
      </c>
      <c r="F77" s="389"/>
      <c r="G77" s="389" t="s">
        <v>27</v>
      </c>
      <c r="H77" s="389"/>
      <c r="I77" s="417" t="s">
        <v>8</v>
      </c>
      <c r="J77" s="389"/>
      <c r="K77" s="389" t="s">
        <v>76</v>
      </c>
      <c r="L77" s="389"/>
      <c r="M77" s="389" t="s">
        <v>27</v>
      </c>
      <c r="N77" s="389"/>
      <c r="O77" s="389" t="s">
        <v>27</v>
      </c>
      <c r="P77" s="389"/>
      <c r="Q77" s="389" t="s">
        <v>37</v>
      </c>
      <c r="R77" s="389"/>
      <c r="S77" s="389" t="s">
        <v>37</v>
      </c>
      <c r="T77" s="389"/>
      <c r="U77" s="389" t="s">
        <v>37</v>
      </c>
      <c r="V77" s="389"/>
      <c r="W77" s="389" t="s">
        <v>76</v>
      </c>
      <c r="X77" s="389"/>
      <c r="Y77" s="391">
        <f t="shared" ref="Y77:Y81" si="19">COUNTIF(C77:X77,"&gt;=R")</f>
        <v>11</v>
      </c>
      <c r="Z77" s="392">
        <f t="shared" ref="Z77:Z81" si="20">Y77</f>
        <v>11</v>
      </c>
    </row>
    <row r="78" ht="39.75" customHeight="1">
      <c r="A78" s="385" t="s">
        <v>227</v>
      </c>
      <c r="B78" s="386" t="s">
        <v>228</v>
      </c>
      <c r="C78" s="387"/>
      <c r="D78" s="388"/>
      <c r="E78" s="387"/>
      <c r="F78" s="389"/>
      <c r="G78" s="387"/>
      <c r="H78" s="389"/>
      <c r="I78" s="387"/>
      <c r="J78" s="389"/>
      <c r="K78" s="387"/>
      <c r="L78" s="389"/>
      <c r="M78" s="387"/>
      <c r="N78" s="389"/>
      <c r="O78" s="387"/>
      <c r="P78" s="389"/>
      <c r="Q78" s="387"/>
      <c r="R78" s="389"/>
      <c r="S78" s="387"/>
      <c r="T78" s="389"/>
      <c r="U78" s="387"/>
      <c r="V78" s="389"/>
      <c r="W78" s="387"/>
      <c r="X78" s="389"/>
      <c r="Y78" s="391">
        <f t="shared" si="19"/>
        <v>0</v>
      </c>
      <c r="Z78" s="392">
        <f t="shared" si="20"/>
        <v>0</v>
      </c>
      <c r="AA78" s="350"/>
      <c r="AB78" s="350"/>
    </row>
    <row r="79" ht="39.75" customHeight="1">
      <c r="A79" s="385" t="s">
        <v>229</v>
      </c>
      <c r="B79" s="386" t="s">
        <v>230</v>
      </c>
      <c r="C79" s="387"/>
      <c r="D79" s="388"/>
      <c r="E79" s="387"/>
      <c r="F79" s="389"/>
      <c r="G79" s="387"/>
      <c r="H79" s="389"/>
      <c r="I79" s="387"/>
      <c r="J79" s="389"/>
      <c r="K79" s="387"/>
      <c r="L79" s="389"/>
      <c r="M79" s="387"/>
      <c r="N79" s="389"/>
      <c r="O79" s="387"/>
      <c r="P79" s="389"/>
      <c r="Q79" s="387"/>
      <c r="R79" s="389"/>
      <c r="S79" s="387"/>
      <c r="T79" s="389"/>
      <c r="U79" s="387"/>
      <c r="V79" s="389"/>
      <c r="W79" s="387"/>
      <c r="X79" s="389"/>
      <c r="Y79" s="391">
        <f t="shared" si="19"/>
        <v>0</v>
      </c>
      <c r="Z79" s="392">
        <f t="shared" si="20"/>
        <v>0</v>
      </c>
    </row>
    <row r="80" ht="39.75" customHeight="1">
      <c r="A80" s="385" t="s">
        <v>231</v>
      </c>
      <c r="B80" s="386" t="s">
        <v>232</v>
      </c>
      <c r="C80" s="387" t="s">
        <v>18</v>
      </c>
      <c r="D80" s="387"/>
      <c r="E80" s="394" t="s">
        <v>76</v>
      </c>
      <c r="F80" s="389"/>
      <c r="G80" s="389" t="s">
        <v>27</v>
      </c>
      <c r="H80" s="389"/>
      <c r="I80" s="389" t="s">
        <v>17</v>
      </c>
      <c r="J80" s="389"/>
      <c r="K80" s="389" t="s">
        <v>76</v>
      </c>
      <c r="L80" s="389"/>
      <c r="M80" s="389" t="s">
        <v>27</v>
      </c>
      <c r="N80" s="389"/>
      <c r="O80" s="389" t="s">
        <v>27</v>
      </c>
      <c r="P80" s="389"/>
      <c r="Q80" s="389" t="s">
        <v>37</v>
      </c>
      <c r="R80" s="389"/>
      <c r="S80" s="389" t="s">
        <v>37</v>
      </c>
      <c r="T80" s="389"/>
      <c r="U80" s="389" t="s">
        <v>76</v>
      </c>
      <c r="V80" s="389"/>
      <c r="W80" s="389" t="s">
        <v>76</v>
      </c>
      <c r="X80" s="389"/>
      <c r="Y80" s="391">
        <f t="shared" si="19"/>
        <v>11</v>
      </c>
      <c r="Z80" s="392">
        <f t="shared" si="20"/>
        <v>11</v>
      </c>
      <c r="AA80" s="350"/>
      <c r="AB80" s="350"/>
    </row>
    <row r="81" ht="39.75" customHeight="1">
      <c r="A81" s="404" t="s">
        <v>233</v>
      </c>
      <c r="B81" s="405" t="s">
        <v>234</v>
      </c>
      <c r="C81" s="387" t="s">
        <v>18</v>
      </c>
      <c r="D81" s="388"/>
      <c r="E81" s="389" t="s">
        <v>76</v>
      </c>
      <c r="F81" s="389"/>
      <c r="G81" s="389" t="s">
        <v>27</v>
      </c>
      <c r="H81" s="389"/>
      <c r="I81" s="389" t="s">
        <v>17</v>
      </c>
      <c r="J81" s="389"/>
      <c r="K81" s="389" t="s">
        <v>76</v>
      </c>
      <c r="L81" s="389"/>
      <c r="M81" s="389" t="s">
        <v>27</v>
      </c>
      <c r="N81" s="389"/>
      <c r="O81" s="389" t="s">
        <v>27</v>
      </c>
      <c r="P81" s="389"/>
      <c r="Q81" s="389" t="s">
        <v>76</v>
      </c>
      <c r="R81" s="389"/>
      <c r="S81" s="389" t="s">
        <v>37</v>
      </c>
      <c r="T81" s="389"/>
      <c r="U81" s="389" t="s">
        <v>76</v>
      </c>
      <c r="V81" s="389"/>
      <c r="W81" s="389" t="s">
        <v>76</v>
      </c>
      <c r="X81" s="389"/>
      <c r="Y81" s="391">
        <f t="shared" si="19"/>
        <v>11</v>
      </c>
      <c r="Z81" s="392">
        <f t="shared" si="20"/>
        <v>11</v>
      </c>
    </row>
    <row r="82" ht="39.75" customHeight="1">
      <c r="A82" s="395" t="s">
        <v>235</v>
      </c>
      <c r="B82" s="396" t="s">
        <v>236</v>
      </c>
      <c r="C82" s="397"/>
      <c r="D82" s="398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529"/>
      <c r="Z82" s="530"/>
    </row>
    <row r="83" ht="39.75" customHeight="1">
      <c r="A83" s="414" t="s">
        <v>237</v>
      </c>
      <c r="B83" s="415" t="s">
        <v>238</v>
      </c>
      <c r="C83" s="387"/>
      <c r="D83" s="387"/>
      <c r="E83" s="394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91">
        <f t="shared" ref="Y83:Y84" si="21">COUNTIF(C83:X83,"&gt;=R")</f>
        <v>0</v>
      </c>
      <c r="Z83" s="392">
        <f t="shared" ref="Z83:Z84" si="22">Y83</f>
        <v>0</v>
      </c>
    </row>
    <row r="84" ht="39.75" customHeight="1">
      <c r="A84" s="385" t="s">
        <v>239</v>
      </c>
      <c r="B84" s="386" t="s">
        <v>139</v>
      </c>
      <c r="C84" s="388"/>
      <c r="D84" s="387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91">
        <f t="shared" si="21"/>
        <v>0</v>
      </c>
      <c r="Z84" s="392">
        <f t="shared" si="22"/>
        <v>0</v>
      </c>
      <c r="AA84" s="350"/>
      <c r="AB84" s="350"/>
    </row>
    <row r="85" ht="39.75" customHeight="1">
      <c r="A85" s="414" t="s">
        <v>240</v>
      </c>
      <c r="B85" s="415" t="s">
        <v>241</v>
      </c>
      <c r="C85" s="387"/>
      <c r="D85" s="387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91"/>
      <c r="Z85" s="392"/>
    </row>
    <row r="86" ht="39.75" customHeight="1">
      <c r="A86" s="411" t="s">
        <v>242</v>
      </c>
      <c r="B86" s="412" t="s">
        <v>243</v>
      </c>
      <c r="C86" s="388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91">
        <f t="shared" ref="Y86:Y87" si="23">COUNTIF(C86:X86,"&gt;=R")</f>
        <v>0</v>
      </c>
      <c r="Z86" s="392">
        <f t="shared" ref="Z86:Z87" si="24">Y86</f>
        <v>0</v>
      </c>
    </row>
    <row r="87" ht="39.75" customHeight="1">
      <c r="A87" s="411" t="s">
        <v>244</v>
      </c>
      <c r="B87" s="412" t="s">
        <v>245</v>
      </c>
      <c r="C87" s="387"/>
      <c r="D87" s="387"/>
      <c r="E87" s="394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91">
        <f t="shared" si="23"/>
        <v>0</v>
      </c>
      <c r="Z87" s="392">
        <f t="shared" si="24"/>
        <v>0</v>
      </c>
    </row>
    <row r="88" ht="39.75" customHeight="1">
      <c r="A88" s="414" t="s">
        <v>246</v>
      </c>
      <c r="B88" s="415" t="s">
        <v>247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94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91"/>
      <c r="Z88" s="392"/>
    </row>
    <row r="89" ht="39.75" customHeight="1">
      <c r="A89" s="411" t="s">
        <v>248</v>
      </c>
      <c r="B89" s="412" t="s">
        <v>249</v>
      </c>
      <c r="C89" s="388"/>
      <c r="D89" s="387"/>
      <c r="E89" s="389" t="s">
        <v>68</v>
      </c>
      <c r="F89" s="389"/>
      <c r="G89" s="389" t="s">
        <v>68</v>
      </c>
      <c r="H89" s="389"/>
      <c r="I89" s="389" t="s">
        <v>18</v>
      </c>
      <c r="J89" s="389"/>
      <c r="K89" s="389" t="s">
        <v>18</v>
      </c>
      <c r="L89" s="389"/>
      <c r="M89" s="389" t="s">
        <v>68</v>
      </c>
      <c r="N89" s="389"/>
      <c r="O89" s="389" t="s">
        <v>18</v>
      </c>
      <c r="P89" s="389"/>
      <c r="Q89" s="389" t="s">
        <v>68</v>
      </c>
      <c r="R89" s="389"/>
      <c r="S89" s="389" t="s">
        <v>68</v>
      </c>
      <c r="T89" s="389"/>
      <c r="U89" s="389" t="s">
        <v>68</v>
      </c>
      <c r="V89" s="389"/>
      <c r="W89" s="389" t="s">
        <v>68</v>
      </c>
      <c r="X89" s="389"/>
      <c r="Y89" s="391">
        <f t="shared" ref="Y89:Y90" si="25">COUNTIF(C89:X89,"&gt;=R")</f>
        <v>10</v>
      </c>
      <c r="Z89" s="392">
        <f t="shared" ref="Z89:Z90" si="26">Y89</f>
        <v>10</v>
      </c>
    </row>
    <row r="90" ht="39.75" customHeight="1">
      <c r="A90" s="411" t="s">
        <v>250</v>
      </c>
      <c r="B90" s="412" t="s">
        <v>251</v>
      </c>
      <c r="C90" s="388"/>
      <c r="D90" s="387"/>
      <c r="E90" s="389" t="s">
        <v>68</v>
      </c>
      <c r="F90" s="389"/>
      <c r="G90" s="389" t="s">
        <v>68</v>
      </c>
      <c r="H90" s="389"/>
      <c r="I90" s="389" t="s">
        <v>18</v>
      </c>
      <c r="J90" s="389"/>
      <c r="K90" s="389" t="s">
        <v>18</v>
      </c>
      <c r="L90" s="389"/>
      <c r="M90" s="389" t="s">
        <v>68</v>
      </c>
      <c r="N90" s="389"/>
      <c r="O90" s="389" t="s">
        <v>18</v>
      </c>
      <c r="P90" s="389"/>
      <c r="Q90" s="389" t="s">
        <v>68</v>
      </c>
      <c r="R90" s="389"/>
      <c r="S90" s="389" t="s">
        <v>68</v>
      </c>
      <c r="T90" s="389"/>
      <c r="U90" s="389" t="s">
        <v>68</v>
      </c>
      <c r="V90" s="389"/>
      <c r="W90" s="389" t="s">
        <v>68</v>
      </c>
      <c r="X90" s="389"/>
      <c r="Y90" s="391">
        <f t="shared" si="25"/>
        <v>10</v>
      </c>
      <c r="Z90" s="392">
        <f t="shared" si="26"/>
        <v>10</v>
      </c>
    </row>
    <row r="91" ht="39.75" customHeight="1">
      <c r="A91" s="414" t="s">
        <v>252</v>
      </c>
      <c r="B91" s="415" t="s">
        <v>253</v>
      </c>
      <c r="C91" s="387"/>
      <c r="D91" s="387"/>
      <c r="E91" s="394"/>
      <c r="F91" s="389"/>
      <c r="G91" s="394"/>
      <c r="H91" s="389"/>
      <c r="I91" s="394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91"/>
      <c r="Z91" s="392"/>
      <c r="AA91" s="350"/>
      <c r="AB91" s="350"/>
    </row>
    <row r="92" ht="39.75" customHeight="1">
      <c r="A92" s="385" t="s">
        <v>254</v>
      </c>
      <c r="B92" s="386" t="s">
        <v>255</v>
      </c>
      <c r="C92" s="387"/>
      <c r="D92" s="387"/>
      <c r="E92" s="387" t="s">
        <v>68</v>
      </c>
      <c r="F92" s="389"/>
      <c r="G92" s="387" t="s">
        <v>68</v>
      </c>
      <c r="H92" s="389"/>
      <c r="I92" s="387"/>
      <c r="J92" s="389"/>
      <c r="K92" s="387"/>
      <c r="L92" s="389"/>
      <c r="M92" s="387" t="s">
        <v>68</v>
      </c>
      <c r="N92" s="389"/>
      <c r="O92" s="387"/>
      <c r="P92" s="389"/>
      <c r="Q92" s="387" t="s">
        <v>68</v>
      </c>
      <c r="R92" s="389"/>
      <c r="S92" s="387" t="s">
        <v>68</v>
      </c>
      <c r="T92" s="389"/>
      <c r="U92" s="387" t="s">
        <v>68</v>
      </c>
      <c r="V92" s="389"/>
      <c r="W92" s="387" t="s">
        <v>68</v>
      </c>
      <c r="X92" s="389"/>
      <c r="Y92" s="391">
        <f t="shared" ref="Y92:Y95" si="27">COUNTIF(C92:X92,"&gt;=R")</f>
        <v>7</v>
      </c>
      <c r="Z92" s="392">
        <f t="shared" ref="Z92:Z95" si="28">Y92</f>
        <v>7</v>
      </c>
      <c r="AA92" s="350"/>
      <c r="AB92" s="350"/>
    </row>
    <row r="93" ht="39.75" customHeight="1">
      <c r="A93" s="385" t="s">
        <v>256</v>
      </c>
      <c r="B93" s="386" t="s">
        <v>257</v>
      </c>
      <c r="C93" s="387"/>
      <c r="D93" s="388"/>
      <c r="E93" s="387"/>
      <c r="F93" s="389"/>
      <c r="G93" s="387"/>
      <c r="H93" s="389"/>
      <c r="I93" s="387"/>
      <c r="J93" s="389"/>
      <c r="K93" s="387"/>
      <c r="L93" s="389"/>
      <c r="M93" s="387"/>
      <c r="N93" s="389"/>
      <c r="O93" s="387"/>
      <c r="P93" s="389"/>
      <c r="Q93" s="387"/>
      <c r="R93" s="389"/>
      <c r="S93" s="387"/>
      <c r="T93" s="389"/>
      <c r="U93" s="387"/>
      <c r="V93" s="389"/>
      <c r="W93" s="387"/>
      <c r="X93" s="389"/>
      <c r="Y93" s="391">
        <f t="shared" si="27"/>
        <v>0</v>
      </c>
      <c r="Z93" s="392">
        <f t="shared" si="28"/>
        <v>0</v>
      </c>
    </row>
    <row r="94" ht="39.75" customHeight="1">
      <c r="A94" s="385" t="s">
        <v>258</v>
      </c>
      <c r="B94" s="386" t="s">
        <v>259</v>
      </c>
      <c r="C94" s="387"/>
      <c r="D94" s="388"/>
      <c r="E94" s="387"/>
      <c r="F94" s="389"/>
      <c r="G94" s="387"/>
      <c r="H94" s="389"/>
      <c r="I94" s="387"/>
      <c r="J94" s="389"/>
      <c r="K94" s="387"/>
      <c r="L94" s="389"/>
      <c r="M94" s="387"/>
      <c r="N94" s="389"/>
      <c r="O94" s="387"/>
      <c r="P94" s="389"/>
      <c r="Q94" s="387"/>
      <c r="R94" s="389"/>
      <c r="S94" s="387"/>
      <c r="T94" s="389"/>
      <c r="U94" s="387"/>
      <c r="V94" s="389"/>
      <c r="W94" s="387"/>
      <c r="X94" s="389"/>
      <c r="Y94" s="391">
        <f t="shared" si="27"/>
        <v>0</v>
      </c>
      <c r="Z94" s="392">
        <f t="shared" si="28"/>
        <v>0</v>
      </c>
      <c r="AA94" s="350"/>
      <c r="AB94" s="350"/>
    </row>
    <row r="95" ht="39.75" customHeight="1">
      <c r="A95" s="385" t="s">
        <v>260</v>
      </c>
      <c r="B95" s="386" t="s">
        <v>261</v>
      </c>
      <c r="C95" s="387"/>
      <c r="D95" s="388"/>
      <c r="E95" s="387" t="s">
        <v>68</v>
      </c>
      <c r="F95" s="389"/>
      <c r="G95" s="387" t="s">
        <v>68</v>
      </c>
      <c r="H95" s="389"/>
      <c r="I95" s="387"/>
      <c r="J95" s="389"/>
      <c r="K95" s="387"/>
      <c r="L95" s="389"/>
      <c r="M95" s="387" t="s">
        <v>68</v>
      </c>
      <c r="N95" s="389"/>
      <c r="O95" s="387"/>
      <c r="P95" s="389"/>
      <c r="Q95" s="387" t="s">
        <v>68</v>
      </c>
      <c r="R95" s="389"/>
      <c r="S95" s="387" t="s">
        <v>68</v>
      </c>
      <c r="T95" s="389"/>
      <c r="U95" s="387" t="s">
        <v>68</v>
      </c>
      <c r="V95" s="389"/>
      <c r="W95" s="387" t="s">
        <v>68</v>
      </c>
      <c r="X95" s="389"/>
      <c r="Y95" s="391">
        <f t="shared" si="27"/>
        <v>7</v>
      </c>
      <c r="Z95" s="392">
        <f t="shared" si="28"/>
        <v>7</v>
      </c>
      <c r="AA95" s="350"/>
      <c r="AB95" s="350"/>
    </row>
    <row r="96" ht="39.75" customHeight="1">
      <c r="A96" s="414" t="s">
        <v>262</v>
      </c>
      <c r="B96" s="415" t="s">
        <v>263</v>
      </c>
      <c r="C96" s="387"/>
      <c r="D96" s="388"/>
      <c r="E96" s="389"/>
      <c r="F96" s="389"/>
      <c r="G96" s="394"/>
      <c r="H96" s="389"/>
      <c r="I96" s="394"/>
      <c r="J96" s="389"/>
      <c r="K96" s="394"/>
      <c r="L96" s="389"/>
      <c r="M96" s="389"/>
      <c r="N96" s="389"/>
      <c r="O96" s="389"/>
      <c r="P96" s="389"/>
      <c r="Q96" s="389"/>
      <c r="R96" s="389"/>
      <c r="S96" s="389"/>
      <c r="T96" s="389"/>
      <c r="U96" s="394"/>
      <c r="V96" s="389"/>
      <c r="W96" s="394"/>
      <c r="X96" s="389"/>
      <c r="Y96" s="391"/>
      <c r="Z96" s="392"/>
    </row>
    <row r="97" ht="39.75" customHeight="1">
      <c r="A97" s="411" t="s">
        <v>264</v>
      </c>
      <c r="B97" s="412" t="s">
        <v>265</v>
      </c>
      <c r="C97" s="387"/>
      <c r="D97" s="388"/>
      <c r="E97" s="389" t="s">
        <v>76</v>
      </c>
      <c r="F97" s="389"/>
      <c r="G97" s="389" t="s">
        <v>27</v>
      </c>
      <c r="H97" s="389"/>
      <c r="I97" s="389" t="s">
        <v>27</v>
      </c>
      <c r="J97" s="389"/>
      <c r="K97" s="389" t="s">
        <v>76</v>
      </c>
      <c r="L97" s="389"/>
      <c r="M97" s="389" t="s">
        <v>27</v>
      </c>
      <c r="N97" s="389"/>
      <c r="O97" s="389" t="s">
        <v>76</v>
      </c>
      <c r="P97" s="389"/>
      <c r="Q97" s="389" t="s">
        <v>76</v>
      </c>
      <c r="R97" s="389"/>
      <c r="S97" s="389" t="s">
        <v>76</v>
      </c>
      <c r="T97" s="389"/>
      <c r="U97" s="389" t="s">
        <v>76</v>
      </c>
      <c r="V97" s="389"/>
      <c r="W97" s="389" t="s">
        <v>76</v>
      </c>
      <c r="X97" s="389"/>
      <c r="Y97" s="391">
        <f>COUNTIF(C97:X97,"&gt;=R")</f>
        <v>10</v>
      </c>
      <c r="Z97" s="392">
        <f>Y97</f>
        <v>10</v>
      </c>
    </row>
    <row r="98" ht="39.75" customHeight="1">
      <c r="A98" s="421" t="s">
        <v>266</v>
      </c>
      <c r="B98" s="396" t="s">
        <v>267</v>
      </c>
      <c r="C98" s="397"/>
      <c r="D98" s="398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529"/>
      <c r="Z98" s="530"/>
    </row>
    <row r="99" ht="39.75" customHeight="1">
      <c r="A99" s="385" t="s">
        <v>268</v>
      </c>
      <c r="B99" s="386" t="s">
        <v>269</v>
      </c>
      <c r="C99" s="388"/>
      <c r="D99" s="388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91">
        <f t="shared" ref="Y99:Y100" si="29">COUNTIF(C99:X99,"&gt;=R")</f>
        <v>0</v>
      </c>
      <c r="Z99" s="392">
        <f t="shared" ref="Z99:Z100" si="30">Y99</f>
        <v>0</v>
      </c>
    </row>
    <row r="100" ht="39.75" customHeight="1">
      <c r="A100" s="385" t="s">
        <v>270</v>
      </c>
      <c r="B100" s="386" t="s">
        <v>271</v>
      </c>
      <c r="C100" s="388"/>
      <c r="D100" s="388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91">
        <f t="shared" si="29"/>
        <v>0</v>
      </c>
      <c r="Z100" s="392">
        <f t="shared" si="30"/>
        <v>0</v>
      </c>
    </row>
    <row r="101" ht="39.75" customHeight="1">
      <c r="A101" s="421" t="s">
        <v>272</v>
      </c>
      <c r="B101" s="396" t="s">
        <v>273</v>
      </c>
      <c r="C101" s="397"/>
      <c r="D101" s="398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529"/>
      <c r="Z101" s="530"/>
      <c r="AA101" s="350"/>
      <c r="AB101" s="350"/>
    </row>
    <row r="102" ht="39.75" customHeight="1">
      <c r="A102" s="385" t="s">
        <v>274</v>
      </c>
      <c r="B102" s="386" t="s">
        <v>275</v>
      </c>
      <c r="C102" s="387"/>
      <c r="D102" s="387"/>
      <c r="E102" s="387"/>
      <c r="F102" s="389"/>
      <c r="G102" s="387"/>
      <c r="H102" s="389"/>
      <c r="I102" s="387"/>
      <c r="J102" s="389"/>
      <c r="K102" s="387"/>
      <c r="L102" s="389"/>
      <c r="M102" s="387"/>
      <c r="N102" s="389"/>
      <c r="O102" s="387"/>
      <c r="P102" s="389"/>
      <c r="Q102" s="387"/>
      <c r="R102" s="389"/>
      <c r="S102" s="387"/>
      <c r="T102" s="389"/>
      <c r="U102" s="387"/>
      <c r="V102" s="389"/>
      <c r="W102" s="387"/>
      <c r="X102" s="389"/>
      <c r="Y102" s="391">
        <f t="shared" ref="Y102:Y103" si="31">COUNTIF(C102:X102,"&gt;=R")</f>
        <v>0</v>
      </c>
      <c r="Z102" s="392">
        <f t="shared" ref="Z102:Z103" si="32">Y102</f>
        <v>0</v>
      </c>
    </row>
    <row r="103" ht="39.75" customHeight="1">
      <c r="A103" s="385" t="s">
        <v>276</v>
      </c>
      <c r="B103" s="386" t="s">
        <v>277</v>
      </c>
      <c r="C103" s="387" t="s">
        <v>57</v>
      </c>
      <c r="D103" s="388"/>
      <c r="E103" s="387" t="s">
        <v>18</v>
      </c>
      <c r="F103" s="389"/>
      <c r="G103" s="387" t="s">
        <v>18</v>
      </c>
      <c r="H103" s="389"/>
      <c r="I103" s="387" t="s">
        <v>18</v>
      </c>
      <c r="J103" s="389"/>
      <c r="K103" s="394" t="s">
        <v>18</v>
      </c>
      <c r="L103" s="389"/>
      <c r="M103" s="394" t="s">
        <v>18</v>
      </c>
      <c r="N103" s="389"/>
      <c r="O103" s="394" t="s">
        <v>18</v>
      </c>
      <c r="P103" s="389"/>
      <c r="Q103" s="394" t="s">
        <v>18</v>
      </c>
      <c r="R103" s="389"/>
      <c r="S103" s="389" t="s">
        <v>18</v>
      </c>
      <c r="T103" s="389"/>
      <c r="U103" s="389" t="s">
        <v>18</v>
      </c>
      <c r="V103" s="389"/>
      <c r="W103" s="389" t="s">
        <v>18</v>
      </c>
      <c r="X103" s="389"/>
      <c r="Y103" s="391">
        <f t="shared" si="31"/>
        <v>11</v>
      </c>
      <c r="Z103" s="392">
        <f t="shared" si="32"/>
        <v>11</v>
      </c>
      <c r="AA103" s="350"/>
      <c r="AB103" s="350"/>
    </row>
    <row r="104" ht="39.75" customHeight="1">
      <c r="A104" s="395" t="s">
        <v>278</v>
      </c>
      <c r="B104" s="396" t="s">
        <v>279</v>
      </c>
      <c r="C104" s="397"/>
      <c r="D104" s="398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529"/>
      <c r="Z104" s="530"/>
      <c r="AA104" s="350"/>
      <c r="AB104" s="350"/>
    </row>
    <row r="105" ht="39.75" customHeight="1">
      <c r="A105" s="414" t="s">
        <v>280</v>
      </c>
      <c r="B105" s="415" t="s">
        <v>281</v>
      </c>
      <c r="C105" s="387"/>
      <c r="D105" s="388"/>
      <c r="E105" s="389"/>
      <c r="F105" s="389"/>
      <c r="G105" s="394"/>
      <c r="H105" s="389"/>
      <c r="I105" s="394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91">
        <f t="shared" ref="Y105:Y107" si="33">COUNTIF(C105:X105,"&gt;=R")</f>
        <v>0</v>
      </c>
      <c r="Z105" s="392">
        <f t="shared" ref="Z105:Z107" si="34">Y105</f>
        <v>0</v>
      </c>
    </row>
    <row r="106" ht="39.75" customHeight="1">
      <c r="A106" s="404" t="s">
        <v>282</v>
      </c>
      <c r="B106" s="405" t="s">
        <v>283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91">
        <f t="shared" si="33"/>
        <v>0</v>
      </c>
      <c r="Z106" s="392">
        <f t="shared" si="34"/>
        <v>0</v>
      </c>
    </row>
    <row r="107" ht="39.75" customHeight="1">
      <c r="A107" s="411" t="s">
        <v>284</v>
      </c>
      <c r="B107" s="412" t="s">
        <v>285</v>
      </c>
      <c r="C107" s="387"/>
      <c r="D107" s="388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91">
        <f t="shared" si="33"/>
        <v>0</v>
      </c>
      <c r="Z107" s="392">
        <f t="shared" si="34"/>
        <v>0</v>
      </c>
      <c r="AA107" s="350"/>
      <c r="AB107" s="350"/>
    </row>
    <row r="108" ht="39.75" customHeight="1">
      <c r="A108" s="414" t="s">
        <v>286</v>
      </c>
      <c r="B108" s="415" t="s">
        <v>287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91"/>
      <c r="Z108" s="392"/>
    </row>
    <row r="109" ht="39.75" customHeight="1">
      <c r="A109" s="385" t="s">
        <v>288</v>
      </c>
      <c r="B109" s="386" t="s">
        <v>289</v>
      </c>
      <c r="C109" s="388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91">
        <f t="shared" ref="Y109:Y111" si="35">COUNTIF(C109:X109,"&gt;=R")</f>
        <v>0</v>
      </c>
      <c r="Z109" s="392">
        <f t="shared" ref="Z109:Z111" si="36">Y109</f>
        <v>0</v>
      </c>
      <c r="AA109" s="350"/>
      <c r="AB109" s="350"/>
    </row>
    <row r="110" ht="39.75" customHeight="1">
      <c r="A110" s="385" t="s">
        <v>290</v>
      </c>
      <c r="B110" s="386" t="s">
        <v>291</v>
      </c>
      <c r="C110" s="387"/>
      <c r="D110" s="388"/>
      <c r="E110" s="387"/>
      <c r="F110" s="389"/>
      <c r="G110" s="387"/>
      <c r="H110" s="389"/>
      <c r="I110" s="387"/>
      <c r="J110" s="389"/>
      <c r="K110" s="387"/>
      <c r="L110" s="389"/>
      <c r="M110" s="387"/>
      <c r="N110" s="389"/>
      <c r="O110" s="387"/>
      <c r="P110" s="389"/>
      <c r="Q110" s="387"/>
      <c r="R110" s="389"/>
      <c r="S110" s="387"/>
      <c r="T110" s="389"/>
      <c r="U110" s="387"/>
      <c r="V110" s="389"/>
      <c r="W110" s="387"/>
      <c r="X110" s="389"/>
      <c r="Y110" s="391">
        <f t="shared" si="35"/>
        <v>0</v>
      </c>
      <c r="Z110" s="392">
        <f t="shared" si="36"/>
        <v>0</v>
      </c>
    </row>
    <row r="111" ht="39.75" customHeight="1">
      <c r="A111" s="404" t="s">
        <v>292</v>
      </c>
      <c r="B111" s="405" t="s">
        <v>293</v>
      </c>
      <c r="C111" s="387"/>
      <c r="D111" s="388"/>
      <c r="E111" s="389"/>
      <c r="F111" s="389"/>
      <c r="G111" s="394"/>
      <c r="H111" s="389"/>
      <c r="I111" s="394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91">
        <f t="shared" si="35"/>
        <v>0</v>
      </c>
      <c r="Z111" s="392">
        <f t="shared" si="36"/>
        <v>0</v>
      </c>
    </row>
    <row r="112" ht="39.75" customHeight="1">
      <c r="A112" s="395" t="s">
        <v>294</v>
      </c>
      <c r="B112" s="422" t="s">
        <v>295</v>
      </c>
      <c r="C112" s="397"/>
      <c r="D112" s="398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529"/>
      <c r="Z112" s="530"/>
      <c r="AA112" s="350"/>
      <c r="AB112" s="350"/>
    </row>
    <row r="113" ht="39.75" customHeight="1">
      <c r="A113" s="402" t="s">
        <v>296</v>
      </c>
      <c r="B113" s="386" t="s">
        <v>297</v>
      </c>
      <c r="C113" s="387"/>
      <c r="D113" s="388"/>
      <c r="E113" s="389"/>
      <c r="F113" s="389"/>
      <c r="G113" s="389" t="s">
        <v>18</v>
      </c>
      <c r="H113" s="389"/>
      <c r="I113" s="389" t="s">
        <v>84</v>
      </c>
      <c r="J113" s="389"/>
      <c r="K113" s="417" t="s">
        <v>8</v>
      </c>
      <c r="L113" s="389"/>
      <c r="M113" s="389" t="s">
        <v>84</v>
      </c>
      <c r="N113" s="389"/>
      <c r="O113" s="389" t="s">
        <v>84</v>
      </c>
      <c r="P113" s="389"/>
      <c r="Q113" s="417" t="s">
        <v>8</v>
      </c>
      <c r="R113" s="389"/>
      <c r="S113" s="389" t="s">
        <v>84</v>
      </c>
      <c r="T113" s="389"/>
      <c r="U113" s="389"/>
      <c r="V113" s="389"/>
      <c r="W113" s="389"/>
      <c r="X113" s="389"/>
      <c r="Y113" s="391">
        <f t="shared" ref="Y113:Y124" si="37">COUNTIF(C113:X113,"&gt;=R")</f>
        <v>7</v>
      </c>
      <c r="Z113" s="392">
        <f t="shared" ref="Z113:Z124" si="38">Y113</f>
        <v>7</v>
      </c>
      <c r="AA113" s="350"/>
      <c r="AB113" s="350"/>
    </row>
    <row r="114" ht="39.75" customHeight="1">
      <c r="A114" s="402" t="s">
        <v>298</v>
      </c>
      <c r="B114" s="386" t="s">
        <v>299</v>
      </c>
      <c r="C114" s="387"/>
      <c r="D114" s="388"/>
      <c r="E114" s="389"/>
      <c r="F114" s="389"/>
      <c r="G114" s="394" t="s">
        <v>27</v>
      </c>
      <c r="H114" s="389"/>
      <c r="I114" s="394" t="s">
        <v>27</v>
      </c>
      <c r="J114" s="389"/>
      <c r="K114" s="394" t="s">
        <v>84</v>
      </c>
      <c r="L114" s="389"/>
      <c r="M114" s="389" t="s">
        <v>27</v>
      </c>
      <c r="N114" s="389"/>
      <c r="O114" s="389" t="s">
        <v>27</v>
      </c>
      <c r="P114" s="389"/>
      <c r="Q114" s="394" t="s">
        <v>67</v>
      </c>
      <c r="R114" s="389"/>
      <c r="S114" s="394" t="s">
        <v>67</v>
      </c>
      <c r="T114" s="389"/>
      <c r="U114" s="394"/>
      <c r="V114" s="389"/>
      <c r="W114" s="394"/>
      <c r="X114" s="389"/>
      <c r="Y114" s="391">
        <f t="shared" si="37"/>
        <v>7</v>
      </c>
      <c r="Z114" s="392">
        <f t="shared" si="38"/>
        <v>7</v>
      </c>
    </row>
    <row r="115" ht="39.75" customHeight="1">
      <c r="A115" s="402" t="s">
        <v>300</v>
      </c>
      <c r="B115" s="386" t="s">
        <v>301</v>
      </c>
      <c r="C115" s="387"/>
      <c r="D115" s="388"/>
      <c r="E115" s="387"/>
      <c r="F115" s="389"/>
      <c r="G115" s="387"/>
      <c r="H115" s="389"/>
      <c r="I115" s="387"/>
      <c r="J115" s="389"/>
      <c r="K115" s="387"/>
      <c r="L115" s="389"/>
      <c r="M115" s="387"/>
      <c r="N115" s="389"/>
      <c r="O115" s="387"/>
      <c r="P115" s="389"/>
      <c r="Q115" s="387"/>
      <c r="R115" s="389"/>
      <c r="S115" s="387"/>
      <c r="T115" s="389"/>
      <c r="U115" s="387"/>
      <c r="V115" s="389"/>
      <c r="W115" s="387"/>
      <c r="X115" s="389"/>
      <c r="Y115" s="391">
        <f t="shared" si="37"/>
        <v>0</v>
      </c>
      <c r="Z115" s="392">
        <f t="shared" si="38"/>
        <v>0</v>
      </c>
    </row>
    <row r="116" ht="39.75" customHeight="1">
      <c r="A116" s="402" t="s">
        <v>302</v>
      </c>
      <c r="B116" s="386" t="s">
        <v>303</v>
      </c>
      <c r="C116" s="388"/>
      <c r="D116" s="388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91">
        <f t="shared" si="37"/>
        <v>0</v>
      </c>
      <c r="Z116" s="392">
        <f t="shared" si="38"/>
        <v>0</v>
      </c>
      <c r="AA116" s="350"/>
      <c r="AB116" s="350"/>
    </row>
    <row r="117" ht="39.75" customHeight="1">
      <c r="A117" s="402" t="s">
        <v>304</v>
      </c>
      <c r="B117" s="386" t="s">
        <v>305</v>
      </c>
      <c r="C117" s="387"/>
      <c r="D117" s="388"/>
      <c r="E117" s="389"/>
      <c r="F117" s="389"/>
      <c r="G117" s="394"/>
      <c r="H117" s="389"/>
      <c r="I117" s="394"/>
      <c r="J117" s="389"/>
      <c r="K117" s="394"/>
      <c r="L117" s="389"/>
      <c r="M117" s="389"/>
      <c r="N117" s="389"/>
      <c r="O117" s="389"/>
      <c r="P117" s="389"/>
      <c r="Q117" s="394"/>
      <c r="R117" s="389"/>
      <c r="S117" s="394"/>
      <c r="T117" s="389"/>
      <c r="U117" s="389"/>
      <c r="V117" s="389"/>
      <c r="W117" s="389"/>
      <c r="X117" s="389"/>
      <c r="Y117" s="391">
        <f t="shared" si="37"/>
        <v>0</v>
      </c>
      <c r="Z117" s="392">
        <f t="shared" si="38"/>
        <v>0</v>
      </c>
    </row>
    <row r="118" ht="39.75" customHeight="1">
      <c r="A118" s="402" t="s">
        <v>306</v>
      </c>
      <c r="B118" s="386" t="s">
        <v>307</v>
      </c>
      <c r="C118" s="387"/>
      <c r="D118" s="388"/>
      <c r="E118" s="394"/>
      <c r="F118" s="389"/>
      <c r="G118" s="394"/>
      <c r="H118" s="389"/>
      <c r="I118" s="394"/>
      <c r="J118" s="389"/>
      <c r="K118" s="394"/>
      <c r="L118" s="389"/>
      <c r="M118" s="394"/>
      <c r="N118" s="389"/>
      <c r="O118" s="394"/>
      <c r="P118" s="389"/>
      <c r="Q118" s="394"/>
      <c r="R118" s="389"/>
      <c r="S118" s="394"/>
      <c r="T118" s="389"/>
      <c r="U118" s="394"/>
      <c r="V118" s="394"/>
      <c r="W118" s="394"/>
      <c r="X118" s="394"/>
      <c r="Y118" s="391">
        <f t="shared" si="37"/>
        <v>0</v>
      </c>
      <c r="Z118" s="392">
        <f t="shared" si="38"/>
        <v>0</v>
      </c>
    </row>
    <row r="119" ht="39.75" customHeight="1">
      <c r="A119" s="402" t="s">
        <v>308</v>
      </c>
      <c r="B119" s="386" t="s">
        <v>309</v>
      </c>
      <c r="C119" s="387"/>
      <c r="D119" s="388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94"/>
      <c r="V119" s="394"/>
      <c r="W119" s="394"/>
      <c r="X119" s="394"/>
      <c r="Y119" s="391">
        <f t="shared" si="37"/>
        <v>0</v>
      </c>
      <c r="Z119" s="392">
        <f t="shared" si="38"/>
        <v>0</v>
      </c>
    </row>
    <row r="120" ht="39.75" customHeight="1">
      <c r="A120" s="402" t="s">
        <v>310</v>
      </c>
      <c r="B120" s="386" t="s">
        <v>311</v>
      </c>
      <c r="C120" s="387"/>
      <c r="D120" s="387"/>
      <c r="E120" s="394"/>
      <c r="F120" s="394"/>
      <c r="G120" s="394"/>
      <c r="H120" s="394"/>
      <c r="I120" s="394"/>
      <c r="J120" s="394"/>
      <c r="K120" s="394"/>
      <c r="L120" s="394"/>
      <c r="M120" s="394"/>
      <c r="N120" s="394"/>
      <c r="O120" s="394"/>
      <c r="P120" s="394"/>
      <c r="Q120" s="394"/>
      <c r="R120" s="394"/>
      <c r="S120" s="394"/>
      <c r="T120" s="394"/>
      <c r="U120" s="394"/>
      <c r="V120" s="394"/>
      <c r="W120" s="394"/>
      <c r="X120" s="394"/>
      <c r="Y120" s="391">
        <f t="shared" si="37"/>
        <v>0</v>
      </c>
      <c r="Z120" s="392">
        <f t="shared" si="38"/>
        <v>0</v>
      </c>
    </row>
    <row r="121" ht="39.75" customHeight="1">
      <c r="A121" s="402" t="s">
        <v>312</v>
      </c>
      <c r="B121" s="386" t="s">
        <v>313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1">
        <f t="shared" si="37"/>
        <v>0</v>
      </c>
      <c r="Z121" s="392">
        <f t="shared" si="38"/>
        <v>0</v>
      </c>
    </row>
    <row r="122" ht="39.75" customHeight="1">
      <c r="A122" s="402" t="s">
        <v>314</v>
      </c>
      <c r="B122" s="386" t="s">
        <v>315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1">
        <f t="shared" si="37"/>
        <v>0</v>
      </c>
      <c r="Z122" s="392">
        <f t="shared" si="38"/>
        <v>0</v>
      </c>
    </row>
    <row r="123" ht="39.75" customHeight="1">
      <c r="A123" s="402" t="s">
        <v>316</v>
      </c>
      <c r="B123" s="386" t="s">
        <v>317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1">
        <f t="shared" si="37"/>
        <v>0</v>
      </c>
      <c r="Z123" s="392">
        <f t="shared" si="38"/>
        <v>0</v>
      </c>
    </row>
    <row r="124" ht="39.75" customHeight="1">
      <c r="A124" s="402" t="s">
        <v>318</v>
      </c>
      <c r="B124" s="386" t="s">
        <v>319</v>
      </c>
      <c r="C124" s="387"/>
      <c r="D124" s="387"/>
      <c r="E124" s="387"/>
      <c r="F124" s="394"/>
      <c r="G124" s="387"/>
      <c r="H124" s="394"/>
      <c r="I124" s="387"/>
      <c r="J124" s="394"/>
      <c r="K124" s="387"/>
      <c r="L124" s="394"/>
      <c r="M124" s="387"/>
      <c r="N124" s="394"/>
      <c r="O124" s="387"/>
      <c r="P124" s="394"/>
      <c r="Q124" s="387"/>
      <c r="R124" s="394"/>
      <c r="S124" s="387"/>
      <c r="T124" s="394"/>
      <c r="U124" s="387"/>
      <c r="V124" s="394"/>
      <c r="W124" s="387"/>
      <c r="X124" s="394"/>
      <c r="Y124" s="391">
        <f t="shared" si="37"/>
        <v>0</v>
      </c>
      <c r="Z124" s="392">
        <f t="shared" si="38"/>
        <v>0</v>
      </c>
    </row>
    <row r="125" ht="39.75" customHeight="1">
      <c r="A125" s="423" t="s">
        <v>320</v>
      </c>
      <c r="B125" s="424" t="s">
        <v>321</v>
      </c>
      <c r="C125" s="397"/>
      <c r="D125" s="398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529"/>
      <c r="Z125" s="530"/>
    </row>
    <row r="126" ht="39.75" customHeight="1">
      <c r="A126" s="378" t="s">
        <v>322</v>
      </c>
      <c r="B126" s="425" t="s">
        <v>323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529"/>
      <c r="Z126" s="530"/>
    </row>
    <row r="127" ht="39.75" customHeight="1">
      <c r="A127" s="411" t="s">
        <v>324</v>
      </c>
      <c r="B127" s="426" t="s">
        <v>325</v>
      </c>
      <c r="C127" s="387"/>
      <c r="D127" s="387"/>
      <c r="E127" s="387"/>
      <c r="F127" s="394"/>
      <c r="G127" s="387"/>
      <c r="H127" s="394"/>
      <c r="I127" s="387"/>
      <c r="J127" s="394"/>
      <c r="K127" s="387"/>
      <c r="L127" s="394"/>
      <c r="M127" s="387"/>
      <c r="N127" s="394"/>
      <c r="O127" s="387"/>
      <c r="P127" s="394"/>
      <c r="Q127" s="387"/>
      <c r="R127" s="394"/>
      <c r="S127" s="387"/>
      <c r="T127" s="394"/>
      <c r="U127" s="387"/>
      <c r="V127" s="394"/>
      <c r="W127" s="387"/>
      <c r="X127" s="394"/>
      <c r="Y127" s="391">
        <f t="shared" ref="Y127:Y138" si="39">COUNTIF(C127:X127,"&gt;=R")</f>
        <v>0</v>
      </c>
      <c r="Z127" s="392">
        <f t="shared" ref="Z127:Z138" si="40">Y127</f>
        <v>0</v>
      </c>
    </row>
    <row r="128" ht="39.75" customHeight="1">
      <c r="A128" s="427" t="s">
        <v>326</v>
      </c>
      <c r="B128" s="428" t="s">
        <v>327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91">
        <f t="shared" si="39"/>
        <v>0</v>
      </c>
      <c r="Z128" s="392">
        <f t="shared" si="40"/>
        <v>0</v>
      </c>
    </row>
    <row r="129" ht="39.75" customHeight="1">
      <c r="A129" s="411" t="s">
        <v>328</v>
      </c>
      <c r="B129" s="426" t="s">
        <v>329</v>
      </c>
      <c r="C129" s="387"/>
      <c r="D129" s="387"/>
      <c r="E129" s="394"/>
      <c r="F129" s="394"/>
      <c r="G129" s="394"/>
      <c r="H129" s="394"/>
      <c r="I129" s="394"/>
      <c r="J129" s="394"/>
      <c r="K129" s="394"/>
      <c r="L129" s="394"/>
      <c r="M129" s="394"/>
      <c r="N129" s="394"/>
      <c r="O129" s="389"/>
      <c r="P129" s="394"/>
      <c r="Q129" s="389"/>
      <c r="R129" s="394"/>
      <c r="S129" s="389"/>
      <c r="T129" s="394"/>
      <c r="U129" s="389"/>
      <c r="V129" s="394"/>
      <c r="W129" s="389"/>
      <c r="X129" s="394"/>
      <c r="Y129" s="391">
        <f t="shared" si="39"/>
        <v>0</v>
      </c>
      <c r="Z129" s="392">
        <f t="shared" si="40"/>
        <v>0</v>
      </c>
    </row>
    <row r="130" ht="39.75" customHeight="1">
      <c r="A130" s="411" t="s">
        <v>330</v>
      </c>
      <c r="B130" s="426" t="s">
        <v>331</v>
      </c>
      <c r="C130" s="388"/>
      <c r="D130" s="387"/>
      <c r="E130" s="389"/>
      <c r="F130" s="394"/>
      <c r="G130" s="389"/>
      <c r="H130" s="394"/>
      <c r="I130" s="389"/>
      <c r="J130" s="394"/>
      <c r="K130" s="389"/>
      <c r="L130" s="394"/>
      <c r="M130" s="389"/>
      <c r="N130" s="394"/>
      <c r="O130" s="389"/>
      <c r="P130" s="394"/>
      <c r="Q130" s="389"/>
      <c r="R130" s="394"/>
      <c r="S130" s="389"/>
      <c r="T130" s="394"/>
      <c r="U130" s="389"/>
      <c r="V130" s="394"/>
      <c r="W130" s="389"/>
      <c r="X130" s="394"/>
      <c r="Y130" s="391">
        <f t="shared" si="39"/>
        <v>0</v>
      </c>
      <c r="Z130" s="392">
        <f t="shared" si="40"/>
        <v>0</v>
      </c>
    </row>
    <row r="131" ht="39.75" customHeight="1">
      <c r="A131" s="411" t="s">
        <v>332</v>
      </c>
      <c r="B131" s="426" t="s">
        <v>333</v>
      </c>
      <c r="C131" s="387"/>
      <c r="D131" s="387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1">
        <f t="shared" si="39"/>
        <v>0</v>
      </c>
      <c r="Z131" s="392">
        <f t="shared" si="40"/>
        <v>0</v>
      </c>
    </row>
    <row r="132" ht="39.75" customHeight="1">
      <c r="A132" s="411" t="s">
        <v>334</v>
      </c>
      <c r="B132" s="426" t="s">
        <v>335</v>
      </c>
      <c r="C132" s="387"/>
      <c r="D132" s="388"/>
      <c r="E132" s="387"/>
      <c r="F132" s="389"/>
      <c r="G132" s="387"/>
      <c r="H132" s="389"/>
      <c r="I132" s="387"/>
      <c r="J132" s="389"/>
      <c r="K132" s="387"/>
      <c r="L132" s="394"/>
      <c r="M132" s="387"/>
      <c r="N132" s="394"/>
      <c r="O132" s="387"/>
      <c r="P132" s="394"/>
      <c r="Q132" s="387"/>
      <c r="R132" s="394"/>
      <c r="S132" s="387"/>
      <c r="T132" s="394"/>
      <c r="U132" s="387"/>
      <c r="V132" s="394"/>
      <c r="W132" s="387"/>
      <c r="X132" s="394"/>
      <c r="Y132" s="391">
        <f t="shared" si="39"/>
        <v>0</v>
      </c>
      <c r="Z132" s="392">
        <f t="shared" si="40"/>
        <v>0</v>
      </c>
    </row>
    <row r="133" ht="39.75" customHeight="1">
      <c r="A133" s="411" t="s">
        <v>336</v>
      </c>
      <c r="B133" s="426" t="s">
        <v>337</v>
      </c>
      <c r="C133" s="387"/>
      <c r="D133" s="387"/>
      <c r="E133" s="387"/>
      <c r="F133" s="394"/>
      <c r="G133" s="387"/>
      <c r="H133" s="394"/>
      <c r="I133" s="387"/>
      <c r="J133" s="394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91">
        <f t="shared" si="39"/>
        <v>0</v>
      </c>
      <c r="Z133" s="392">
        <f t="shared" si="40"/>
        <v>0</v>
      </c>
    </row>
    <row r="134" ht="39.75" customHeight="1">
      <c r="A134" s="411" t="s">
        <v>338</v>
      </c>
      <c r="B134" s="426" t="s">
        <v>339</v>
      </c>
      <c r="C134" s="387"/>
      <c r="D134" s="387"/>
      <c r="E134" s="394"/>
      <c r="F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1">
        <f t="shared" si="39"/>
        <v>0</v>
      </c>
      <c r="Z134" s="392">
        <f t="shared" si="40"/>
        <v>0</v>
      </c>
    </row>
    <row r="135" ht="39.75" customHeight="1">
      <c r="A135" s="411" t="s">
        <v>340</v>
      </c>
      <c r="B135" s="426" t="s">
        <v>341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1">
        <f t="shared" si="39"/>
        <v>0</v>
      </c>
      <c r="Z135" s="392">
        <f t="shared" si="40"/>
        <v>0</v>
      </c>
    </row>
    <row r="136" ht="39.75" customHeight="1">
      <c r="A136" s="411" t="s">
        <v>342</v>
      </c>
      <c r="B136" s="426" t="s">
        <v>343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1">
        <f t="shared" si="39"/>
        <v>0</v>
      </c>
      <c r="Z136" s="392">
        <f t="shared" si="40"/>
        <v>0</v>
      </c>
    </row>
    <row r="137" ht="39.75" customHeight="1">
      <c r="A137" s="411" t="s">
        <v>344</v>
      </c>
      <c r="B137" s="426" t="s">
        <v>345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1">
        <f t="shared" si="39"/>
        <v>0</v>
      </c>
      <c r="Z137" s="392">
        <f t="shared" si="40"/>
        <v>0</v>
      </c>
    </row>
    <row r="138" ht="39.75" customHeight="1">
      <c r="A138" s="411" t="s">
        <v>346</v>
      </c>
      <c r="B138" s="426" t="s">
        <v>347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1">
        <f t="shared" si="39"/>
        <v>0</v>
      </c>
      <c r="Z138" s="392">
        <f t="shared" si="40"/>
        <v>0</v>
      </c>
    </row>
    <row r="139" ht="39.75" customHeight="1">
      <c r="A139" s="395" t="s">
        <v>348</v>
      </c>
      <c r="B139" s="422" t="s">
        <v>349</v>
      </c>
      <c r="C139" s="397"/>
      <c r="D139" s="398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529"/>
      <c r="Z139" s="530"/>
    </row>
    <row r="140" ht="39.75" customHeight="1">
      <c r="A140" s="411" t="s">
        <v>350</v>
      </c>
      <c r="B140" s="412" t="s">
        <v>351</v>
      </c>
      <c r="C140" s="387"/>
      <c r="D140" s="387"/>
      <c r="E140" s="387"/>
      <c r="F140" s="394"/>
      <c r="G140" s="387"/>
      <c r="H140" s="394"/>
      <c r="I140" s="387"/>
      <c r="J140" s="394"/>
      <c r="K140" s="387"/>
      <c r="L140" s="394"/>
      <c r="M140" s="387"/>
      <c r="N140" s="394"/>
      <c r="O140" s="387"/>
      <c r="P140" s="394"/>
      <c r="Q140" s="387"/>
      <c r="R140" s="394"/>
      <c r="S140" s="387"/>
      <c r="T140" s="394"/>
      <c r="U140" s="387"/>
      <c r="V140" s="394"/>
      <c r="W140" s="387"/>
      <c r="X140" s="394"/>
      <c r="Y140" s="391">
        <f t="shared" ref="Y140:Y142" si="41">COUNTIF(C140:X140,"&gt;=R")</f>
        <v>0</v>
      </c>
      <c r="Z140" s="392">
        <f t="shared" ref="Z140:Z142" si="42">Y140</f>
        <v>0</v>
      </c>
    </row>
    <row r="141" ht="39.75" customHeight="1">
      <c r="A141" s="411" t="s">
        <v>352</v>
      </c>
      <c r="B141" s="412" t="s">
        <v>353</v>
      </c>
      <c r="C141" s="420" t="s">
        <v>8</v>
      </c>
      <c r="D141" s="387"/>
      <c r="E141" s="394"/>
      <c r="F141" s="394"/>
      <c r="G141" s="416" t="s">
        <v>8</v>
      </c>
      <c r="H141" s="394"/>
      <c r="I141" s="416" t="s">
        <v>8</v>
      </c>
      <c r="J141" s="394"/>
      <c r="K141" s="394" t="s">
        <v>84</v>
      </c>
      <c r="L141" s="394"/>
      <c r="M141" s="394" t="s">
        <v>84</v>
      </c>
      <c r="N141" s="394"/>
      <c r="O141" s="394" t="s">
        <v>84</v>
      </c>
      <c r="P141" s="394"/>
      <c r="Q141" s="394" t="s">
        <v>84</v>
      </c>
      <c r="R141" s="394"/>
      <c r="S141" s="394" t="s">
        <v>84</v>
      </c>
      <c r="T141" s="394"/>
      <c r="U141" s="389"/>
      <c r="V141" s="394"/>
      <c r="W141" s="389"/>
      <c r="X141" s="394"/>
      <c r="Y141" s="391">
        <f t="shared" si="41"/>
        <v>8</v>
      </c>
      <c r="Z141" s="392">
        <f t="shared" si="42"/>
        <v>8</v>
      </c>
    </row>
    <row r="142" ht="39.75" customHeight="1">
      <c r="A142" s="411" t="s">
        <v>354</v>
      </c>
      <c r="B142" s="412" t="s">
        <v>355</v>
      </c>
      <c r="C142" s="420" t="s">
        <v>8</v>
      </c>
      <c r="D142" s="387"/>
      <c r="E142" s="394"/>
      <c r="F142" s="394"/>
      <c r="G142" s="416" t="s">
        <v>8</v>
      </c>
      <c r="H142" s="394"/>
      <c r="I142" s="416" t="s">
        <v>8</v>
      </c>
      <c r="J142" s="394"/>
      <c r="K142" s="394" t="s">
        <v>84</v>
      </c>
      <c r="L142" s="394"/>
      <c r="M142" s="394" t="s">
        <v>84</v>
      </c>
      <c r="N142" s="394"/>
      <c r="O142" s="394" t="s">
        <v>84</v>
      </c>
      <c r="P142" s="394"/>
      <c r="Q142" s="394" t="s">
        <v>84</v>
      </c>
      <c r="R142" s="394"/>
      <c r="S142" s="394" t="s">
        <v>84</v>
      </c>
      <c r="T142" s="394"/>
      <c r="U142" s="389"/>
      <c r="V142" s="394"/>
      <c r="W142" s="389"/>
      <c r="X142" s="394"/>
      <c r="Y142" s="391">
        <f t="shared" si="41"/>
        <v>8</v>
      </c>
      <c r="Z142" s="392">
        <f t="shared" si="42"/>
        <v>8</v>
      </c>
    </row>
    <row r="143" ht="39.75" customHeight="1">
      <c r="A143" s="395" t="s">
        <v>356</v>
      </c>
      <c r="B143" s="422" t="s">
        <v>357</v>
      </c>
      <c r="C143" s="397"/>
      <c r="D143" s="398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529"/>
      <c r="Z143" s="530"/>
    </row>
    <row r="144" ht="39.75" customHeight="1">
      <c r="A144" s="411" t="s">
        <v>358</v>
      </c>
      <c r="B144" s="412" t="s">
        <v>359</v>
      </c>
      <c r="C144" s="420" t="s">
        <v>8</v>
      </c>
      <c r="D144" s="387"/>
      <c r="E144" s="420" t="s">
        <v>8</v>
      </c>
      <c r="F144" s="394"/>
      <c r="G144" s="387" t="s">
        <v>76</v>
      </c>
      <c r="H144" s="394"/>
      <c r="I144" s="387" t="s">
        <v>76</v>
      </c>
      <c r="J144" s="394"/>
      <c r="K144" s="387" t="s">
        <v>76</v>
      </c>
      <c r="L144" s="394"/>
      <c r="M144" s="387" t="s">
        <v>76</v>
      </c>
      <c r="N144" s="394"/>
      <c r="O144" s="387"/>
      <c r="P144" s="394"/>
      <c r="Q144" s="387"/>
      <c r="R144" s="394"/>
      <c r="S144" s="387"/>
      <c r="T144" s="394"/>
      <c r="U144" s="387"/>
      <c r="V144" s="394"/>
      <c r="W144" s="391"/>
      <c r="X144" s="394"/>
      <c r="Y144" s="391">
        <f t="shared" ref="Y144:Y146" si="43">COUNTIF(C144:X144,"&gt;=R")</f>
        <v>6</v>
      </c>
      <c r="Z144" s="392">
        <f t="shared" ref="Z144:Z146" si="44">Y144</f>
        <v>6</v>
      </c>
    </row>
    <row r="145" ht="39.75" customHeight="1">
      <c r="A145" s="411" t="s">
        <v>360</v>
      </c>
      <c r="B145" s="412" t="s">
        <v>361</v>
      </c>
      <c r="C145" s="388" t="s">
        <v>55</v>
      </c>
      <c r="D145" s="387"/>
      <c r="E145" s="389" t="s">
        <v>55</v>
      </c>
      <c r="F145" s="394"/>
      <c r="G145" s="389" t="s">
        <v>55</v>
      </c>
      <c r="H145" s="394"/>
      <c r="I145" s="389" t="s">
        <v>55</v>
      </c>
      <c r="J145" s="394"/>
      <c r="K145" s="389" t="s">
        <v>55</v>
      </c>
      <c r="L145" s="394"/>
      <c r="M145" s="389" t="s">
        <v>55</v>
      </c>
      <c r="N145" s="394"/>
      <c r="O145" s="389" t="s">
        <v>55</v>
      </c>
      <c r="P145" s="394"/>
      <c r="Q145" s="389" t="s">
        <v>55</v>
      </c>
      <c r="R145" s="394"/>
      <c r="S145" s="389" t="s">
        <v>75</v>
      </c>
      <c r="T145" s="394"/>
      <c r="U145" s="389" t="s">
        <v>75</v>
      </c>
      <c r="V145" s="394"/>
      <c r="W145" s="389" t="s">
        <v>75</v>
      </c>
      <c r="X145" s="394"/>
      <c r="Y145" s="391">
        <f t="shared" si="43"/>
        <v>11</v>
      </c>
      <c r="Z145" s="392">
        <f t="shared" si="44"/>
        <v>11</v>
      </c>
    </row>
    <row r="146" ht="39.75" customHeight="1">
      <c r="A146" s="411" t="s">
        <v>362</v>
      </c>
      <c r="B146" s="412" t="s">
        <v>363</v>
      </c>
      <c r="C146" s="387" t="s">
        <v>85</v>
      </c>
      <c r="D146" s="387"/>
      <c r="E146" s="387" t="s">
        <v>85</v>
      </c>
      <c r="F146" s="394"/>
      <c r="G146" s="387" t="s">
        <v>85</v>
      </c>
      <c r="H146" s="394"/>
      <c r="I146" s="387" t="s">
        <v>85</v>
      </c>
      <c r="J146" s="394"/>
      <c r="K146" s="387" t="s">
        <v>85</v>
      </c>
      <c r="L146" s="394"/>
      <c r="M146" s="387" t="s">
        <v>85</v>
      </c>
      <c r="N146" s="394"/>
      <c r="O146" s="387" t="s">
        <v>85</v>
      </c>
      <c r="P146" s="394"/>
      <c r="Q146" s="387" t="s">
        <v>85</v>
      </c>
      <c r="R146" s="394"/>
      <c r="S146" s="387" t="s">
        <v>85</v>
      </c>
      <c r="T146" s="394"/>
      <c r="U146" s="387" t="s">
        <v>85</v>
      </c>
      <c r="V146" s="394"/>
      <c r="W146" s="387" t="s">
        <v>85</v>
      </c>
      <c r="X146" s="394"/>
      <c r="Y146" s="391">
        <f t="shared" si="43"/>
        <v>11</v>
      </c>
      <c r="Z146" s="392">
        <f t="shared" si="44"/>
        <v>11</v>
      </c>
    </row>
    <row r="147" ht="39.75" customHeight="1">
      <c r="A147" s="395" t="s">
        <v>364</v>
      </c>
      <c r="B147" s="396" t="s">
        <v>365</v>
      </c>
      <c r="C147" s="397"/>
      <c r="D147" s="398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529"/>
      <c r="Z147" s="530"/>
    </row>
    <row r="148" ht="39.75" customHeight="1">
      <c r="A148" s="429" t="s">
        <v>366</v>
      </c>
      <c r="B148" s="430" t="s">
        <v>367</v>
      </c>
      <c r="C148" s="387"/>
      <c r="D148" s="387"/>
      <c r="E148" s="394"/>
      <c r="F148" s="394"/>
      <c r="G148" s="394"/>
      <c r="H148" s="394"/>
      <c r="I148" s="394"/>
      <c r="J148" s="394"/>
      <c r="K148" s="394"/>
      <c r="L148" s="394"/>
      <c r="M148" s="394"/>
      <c r="N148" s="394"/>
      <c r="O148" s="394"/>
      <c r="P148" s="394"/>
      <c r="Q148" s="394"/>
      <c r="R148" s="394"/>
      <c r="S148" s="394"/>
      <c r="T148" s="394"/>
      <c r="U148" s="394"/>
      <c r="V148" s="394"/>
      <c r="W148" s="394"/>
      <c r="X148" s="394"/>
      <c r="Y148" s="391">
        <f t="shared" ref="Y148:Y155" si="45">COUNTIF(C148:X148,"&gt;=R")</f>
        <v>0</v>
      </c>
      <c r="Z148" s="392">
        <f t="shared" ref="Z148:Z155" si="46">Y148</f>
        <v>0</v>
      </c>
    </row>
    <row r="149" ht="39.75" customHeight="1">
      <c r="A149" s="429" t="s">
        <v>368</v>
      </c>
      <c r="B149" s="430" t="s">
        <v>369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1">
        <f t="shared" si="45"/>
        <v>0</v>
      </c>
      <c r="Z149" s="392">
        <f t="shared" si="46"/>
        <v>0</v>
      </c>
    </row>
    <row r="150" ht="39.75" customHeight="1">
      <c r="A150" s="429" t="s">
        <v>370</v>
      </c>
      <c r="B150" s="430" t="s">
        <v>371</v>
      </c>
      <c r="C150" s="388"/>
      <c r="D150" s="387"/>
      <c r="E150" s="389"/>
      <c r="F150" s="394"/>
      <c r="G150" s="389"/>
      <c r="H150" s="394"/>
      <c r="I150" s="389"/>
      <c r="J150" s="394"/>
      <c r="K150" s="389"/>
      <c r="L150" s="394"/>
      <c r="M150" s="389"/>
      <c r="N150" s="394"/>
      <c r="O150" s="389"/>
      <c r="P150" s="394"/>
      <c r="Q150" s="389"/>
      <c r="R150" s="394"/>
      <c r="S150" s="389"/>
      <c r="T150" s="394"/>
      <c r="U150" s="389"/>
      <c r="V150" s="394"/>
      <c r="W150" s="389"/>
      <c r="X150" s="394"/>
      <c r="Y150" s="391">
        <f t="shared" si="45"/>
        <v>0</v>
      </c>
      <c r="Z150" s="392">
        <f t="shared" si="46"/>
        <v>0</v>
      </c>
    </row>
    <row r="151" ht="39.75" customHeight="1">
      <c r="A151" s="431" t="s">
        <v>372</v>
      </c>
      <c r="B151" s="432" t="s">
        <v>373</v>
      </c>
      <c r="C151" s="388"/>
      <c r="D151" s="387"/>
      <c r="E151" s="394"/>
      <c r="F151" s="394"/>
      <c r="G151" s="394" t="s">
        <v>76</v>
      </c>
      <c r="H151" s="394"/>
      <c r="I151" s="389" t="s">
        <v>76</v>
      </c>
      <c r="J151" s="394"/>
      <c r="K151" s="389" t="s">
        <v>76</v>
      </c>
      <c r="L151" s="394"/>
      <c r="M151" s="389" t="s">
        <v>76</v>
      </c>
      <c r="N151" s="394"/>
      <c r="O151" s="389" t="s">
        <v>76</v>
      </c>
      <c r="P151" s="394"/>
      <c r="Q151" s="389" t="s">
        <v>67</v>
      </c>
      <c r="R151" s="394"/>
      <c r="S151" s="389" t="s">
        <v>67</v>
      </c>
      <c r="T151" s="394"/>
      <c r="U151" s="389" t="s">
        <v>67</v>
      </c>
      <c r="V151" s="394"/>
      <c r="W151" s="394" t="s">
        <v>67</v>
      </c>
      <c r="X151" s="394"/>
      <c r="Y151" s="391">
        <f t="shared" si="45"/>
        <v>9</v>
      </c>
      <c r="Z151" s="392">
        <f t="shared" si="46"/>
        <v>9</v>
      </c>
    </row>
    <row r="152" ht="39.75" customHeight="1">
      <c r="A152" s="431" t="s">
        <v>374</v>
      </c>
      <c r="B152" s="432" t="s">
        <v>375</v>
      </c>
      <c r="C152" s="388"/>
      <c r="D152" s="387"/>
      <c r="E152" s="394"/>
      <c r="F152" s="394"/>
      <c r="G152" s="394"/>
      <c r="H152" s="394"/>
      <c r="I152" s="389"/>
      <c r="J152" s="394"/>
      <c r="K152" s="389"/>
      <c r="L152" s="394"/>
      <c r="M152" s="389"/>
      <c r="N152" s="394"/>
      <c r="O152" s="389"/>
      <c r="P152" s="394"/>
      <c r="Q152" s="389"/>
      <c r="R152" s="394"/>
      <c r="S152" s="389"/>
      <c r="T152" s="394"/>
      <c r="U152" s="389"/>
      <c r="V152" s="394"/>
      <c r="W152" s="394"/>
      <c r="X152" s="394"/>
      <c r="Y152" s="391">
        <f t="shared" si="45"/>
        <v>0</v>
      </c>
      <c r="Z152" s="392">
        <f t="shared" si="46"/>
        <v>0</v>
      </c>
    </row>
    <row r="153" ht="39.75" customHeight="1">
      <c r="A153" s="431" t="s">
        <v>376</v>
      </c>
      <c r="B153" s="432" t="s">
        <v>377</v>
      </c>
      <c r="C153" s="388"/>
      <c r="D153" s="387"/>
      <c r="E153" s="389"/>
      <c r="F153" s="394"/>
      <c r="G153" s="389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89"/>
      <c r="X153" s="394"/>
      <c r="Y153" s="391">
        <f t="shared" si="45"/>
        <v>0</v>
      </c>
      <c r="Z153" s="392">
        <f t="shared" si="46"/>
        <v>0</v>
      </c>
    </row>
    <row r="154" ht="39.75" customHeight="1">
      <c r="A154" s="431" t="s">
        <v>374</v>
      </c>
      <c r="B154" s="433" t="s">
        <v>375</v>
      </c>
      <c r="C154" s="387"/>
      <c r="D154" s="387"/>
      <c r="E154" s="394"/>
      <c r="F154" s="394"/>
      <c r="G154" s="394"/>
      <c r="H154" s="394"/>
      <c r="I154" s="394"/>
      <c r="J154" s="394"/>
      <c r="K154" s="394"/>
      <c r="L154" s="394"/>
      <c r="M154" s="394"/>
      <c r="N154" s="394"/>
      <c r="O154" s="394"/>
      <c r="P154" s="394"/>
      <c r="Q154" s="394"/>
      <c r="R154" s="394"/>
      <c r="S154" s="394"/>
      <c r="T154" s="394"/>
      <c r="U154" s="394"/>
      <c r="V154" s="394"/>
      <c r="W154" s="394"/>
      <c r="X154" s="394"/>
      <c r="Y154" s="391">
        <f t="shared" si="45"/>
        <v>0</v>
      </c>
      <c r="Z154" s="392">
        <f t="shared" si="46"/>
        <v>0</v>
      </c>
    </row>
    <row r="155" ht="39.75" customHeight="1">
      <c r="A155" s="404" t="s">
        <v>378</v>
      </c>
      <c r="B155" s="405" t="s">
        <v>379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1">
        <f t="shared" si="45"/>
        <v>0</v>
      </c>
      <c r="Z155" s="392">
        <f t="shared" si="46"/>
        <v>0</v>
      </c>
    </row>
    <row r="156" ht="39.75" customHeight="1">
      <c r="A156" s="395" t="s">
        <v>380</v>
      </c>
      <c r="B156" s="396" t="s">
        <v>381</v>
      </c>
      <c r="C156" s="397"/>
      <c r="D156" s="398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529"/>
      <c r="Z156" s="530"/>
    </row>
    <row r="157" ht="39.75" customHeight="1">
      <c r="A157" s="411" t="s">
        <v>382</v>
      </c>
      <c r="B157" s="412" t="s">
        <v>383</v>
      </c>
      <c r="C157" s="387"/>
      <c r="D157" s="387"/>
      <c r="E157" s="394"/>
      <c r="F157" s="394"/>
      <c r="G157" s="394"/>
      <c r="H157" s="394"/>
      <c r="I157" s="394"/>
      <c r="J157" s="394"/>
      <c r="K157" s="394"/>
      <c r="L157" s="394"/>
      <c r="M157" s="394"/>
      <c r="N157" s="394"/>
      <c r="O157" s="394"/>
      <c r="P157" s="394"/>
      <c r="Q157" s="394"/>
      <c r="R157" s="394"/>
      <c r="S157" s="394"/>
      <c r="T157" s="394"/>
      <c r="U157" s="394"/>
      <c r="V157" s="394"/>
      <c r="W157" s="394"/>
      <c r="X157" s="394"/>
      <c r="Y157" s="391">
        <f t="shared" ref="Y157:Y160" si="47">COUNTIF(C157:X157,"&gt;=R")</f>
        <v>0</v>
      </c>
      <c r="Z157" s="392">
        <f t="shared" ref="Z157:Z160" si="48">Y157</f>
        <v>0</v>
      </c>
    </row>
    <row r="158" ht="39.75" customHeight="1">
      <c r="A158" s="411" t="s">
        <v>384</v>
      </c>
      <c r="B158" s="412" t="s">
        <v>385</v>
      </c>
      <c r="C158" s="387"/>
      <c r="D158" s="387"/>
      <c r="E158" s="387"/>
      <c r="F158" s="394"/>
      <c r="G158" s="387"/>
      <c r="H158" s="394"/>
      <c r="I158" s="387"/>
      <c r="J158" s="394"/>
      <c r="K158" s="387"/>
      <c r="L158" s="394"/>
      <c r="M158" s="387"/>
      <c r="N158" s="394"/>
      <c r="O158" s="387"/>
      <c r="P158" s="394"/>
      <c r="Q158" s="387"/>
      <c r="R158" s="394"/>
      <c r="S158" s="387"/>
      <c r="T158" s="394"/>
      <c r="U158" s="387"/>
      <c r="V158" s="394"/>
      <c r="W158" s="387"/>
      <c r="X158" s="394"/>
      <c r="Y158" s="391">
        <f t="shared" si="47"/>
        <v>0</v>
      </c>
      <c r="Z158" s="392">
        <f t="shared" si="48"/>
        <v>0</v>
      </c>
    </row>
    <row r="159" ht="39.75" customHeight="1">
      <c r="A159" s="411" t="s">
        <v>386</v>
      </c>
      <c r="B159" s="412" t="s">
        <v>387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91">
        <f t="shared" si="47"/>
        <v>0</v>
      </c>
      <c r="Z159" s="392">
        <f t="shared" si="48"/>
        <v>0</v>
      </c>
    </row>
    <row r="160" ht="39.75" customHeight="1">
      <c r="A160" s="411" t="s">
        <v>388</v>
      </c>
      <c r="B160" s="412" t="s">
        <v>389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91">
        <f t="shared" si="47"/>
        <v>0</v>
      </c>
      <c r="Z160" s="392">
        <f t="shared" si="48"/>
        <v>0</v>
      </c>
    </row>
    <row r="161" ht="39.75" customHeight="1">
      <c r="A161" s="395" t="s">
        <v>390</v>
      </c>
      <c r="B161" s="422" t="s">
        <v>391</v>
      </c>
      <c r="C161" s="397"/>
      <c r="D161" s="398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529"/>
      <c r="Z161" s="530"/>
    </row>
    <row r="162" ht="39.75" customHeight="1">
      <c r="A162" s="429" t="s">
        <v>392</v>
      </c>
      <c r="B162" s="430" t="s">
        <v>393</v>
      </c>
      <c r="C162" s="387"/>
      <c r="D162" s="387"/>
      <c r="E162" s="387"/>
      <c r="F162" s="394"/>
      <c r="G162" s="387"/>
      <c r="H162" s="394"/>
      <c r="I162" s="394"/>
      <c r="J162" s="394"/>
      <c r="K162" s="387"/>
      <c r="L162" s="394"/>
      <c r="M162" s="387"/>
      <c r="N162" s="394"/>
      <c r="O162" s="387"/>
      <c r="P162" s="394"/>
      <c r="Q162" s="387"/>
      <c r="R162" s="394"/>
      <c r="S162" s="387"/>
      <c r="T162" s="394"/>
      <c r="U162" s="387"/>
      <c r="V162" s="394"/>
      <c r="W162" s="387"/>
      <c r="X162" s="394"/>
      <c r="Y162" s="391">
        <f t="shared" ref="Y162:Y164" si="49">COUNTIF(C162:X162,"&gt;=R")</f>
        <v>0</v>
      </c>
      <c r="Z162" s="392">
        <f t="shared" ref="Z162:Z164" si="50">Y162</f>
        <v>0</v>
      </c>
    </row>
    <row r="163" ht="39.75" customHeight="1">
      <c r="A163" s="429" t="s">
        <v>394</v>
      </c>
      <c r="B163" s="430" t="s">
        <v>395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91">
        <f t="shared" si="49"/>
        <v>0</v>
      </c>
      <c r="Z163" s="392">
        <f t="shared" si="50"/>
        <v>0</v>
      </c>
      <c r="AA163" s="440"/>
      <c r="AB163" s="440"/>
      <c r="AC163" s="145"/>
      <c r="AD163" s="145"/>
      <c r="AE163" s="145"/>
    </row>
    <row r="164" ht="39.75" customHeight="1">
      <c r="A164" s="434" t="s">
        <v>396</v>
      </c>
      <c r="B164" s="435" t="s">
        <v>397</v>
      </c>
      <c r="C164" s="436"/>
      <c r="D164" s="436"/>
      <c r="E164" s="436"/>
      <c r="F164" s="437"/>
      <c r="G164" s="436"/>
      <c r="H164" s="437"/>
      <c r="I164" s="437"/>
      <c r="J164" s="437"/>
      <c r="K164" s="436"/>
      <c r="L164" s="437"/>
      <c r="M164" s="436"/>
      <c r="N164" s="437"/>
      <c r="O164" s="436"/>
      <c r="P164" s="437"/>
      <c r="Q164" s="436"/>
      <c r="R164" s="437"/>
      <c r="S164" s="436"/>
      <c r="T164" s="437"/>
      <c r="U164" s="436"/>
      <c r="V164" s="437"/>
      <c r="W164" s="436"/>
      <c r="X164" s="437"/>
      <c r="Y164" s="391">
        <f t="shared" si="49"/>
        <v>0</v>
      </c>
      <c r="Z164" s="392">
        <f t="shared" si="50"/>
        <v>0</v>
      </c>
      <c r="AA164" s="440"/>
      <c r="AB164" s="440"/>
      <c r="AC164" s="1"/>
      <c r="AD164" s="1"/>
      <c r="AE164" s="1"/>
    </row>
    <row r="165" ht="24.75" customHeight="1">
      <c r="A165" s="438"/>
      <c r="B165" s="439"/>
      <c r="C165" s="440"/>
      <c r="D165" s="440"/>
      <c r="E165" s="440"/>
      <c r="F165" s="440"/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440"/>
      <c r="T165" s="440"/>
      <c r="U165" s="440"/>
      <c r="V165" s="440"/>
      <c r="W165" s="440"/>
      <c r="X165" s="440"/>
      <c r="Y165" s="440"/>
      <c r="Z165" s="440"/>
      <c r="AA165" s="440"/>
      <c r="AB165" s="440"/>
      <c r="AC165" s="1"/>
      <c r="AD165" s="1"/>
      <c r="AE165" s="1"/>
    </row>
    <row r="166" ht="24.75" customHeight="1">
      <c r="A166" s="438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  <c r="AB166" s="440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24.75" customHeight="1">
      <c r="A167" s="438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  <c r="AB167" s="440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24.75" customHeight="1">
      <c r="A168" s="438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24.75" customHeight="1">
      <c r="A169" s="438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24.75" customHeight="1">
      <c r="A170" s="438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24.75" customHeight="1">
      <c r="A171" s="438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24.75" customHeight="1">
      <c r="A172" s="441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24.75" customHeight="1">
      <c r="A173" s="44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24.75" customHeight="1">
      <c r="A174" s="44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24.75" customHeight="1">
      <c r="A175" s="44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24.75" customHeight="1">
      <c r="A176" s="442"/>
      <c r="B176" s="440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24.75" customHeight="1">
      <c r="A177" s="443"/>
      <c r="B177" s="444"/>
      <c r="C177" s="45"/>
      <c r="D177" s="444"/>
      <c r="E177" s="444"/>
      <c r="F177" s="444"/>
      <c r="G177" s="444"/>
      <c r="H177" s="444"/>
      <c r="I177" s="445"/>
      <c r="J177" s="445"/>
      <c r="K177" s="445"/>
      <c r="L177" s="440"/>
      <c r="M177" s="440"/>
      <c r="N177" s="536"/>
      <c r="O177" s="536"/>
      <c r="P177" s="536"/>
      <c r="Q177" s="536"/>
      <c r="R177" s="536"/>
      <c r="S177" s="536"/>
      <c r="T177" s="536"/>
      <c r="U177" s="350"/>
      <c r="V177" s="537"/>
      <c r="W177" s="537"/>
      <c r="X177" s="445"/>
      <c r="Y177" s="445"/>
      <c r="Z177" s="445"/>
      <c r="AA177" s="440"/>
      <c r="AB177" s="440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24.75" customHeight="1">
      <c r="A178" s="446"/>
      <c r="B178" s="447" t="s">
        <v>398</v>
      </c>
      <c r="C178" s="447"/>
      <c r="D178" s="538" t="s">
        <v>44</v>
      </c>
      <c r="E178" s="38"/>
      <c r="F178" s="38"/>
      <c r="G178" s="38"/>
      <c r="H178" s="38"/>
      <c r="I178" s="38"/>
      <c r="J178" s="38"/>
      <c r="K178" s="40"/>
      <c r="L178" s="450"/>
      <c r="M178" s="450"/>
      <c r="N178" s="448" t="s">
        <v>399</v>
      </c>
      <c r="O178" s="163"/>
      <c r="P178" s="163"/>
      <c r="Q178" s="163"/>
      <c r="R178" s="163"/>
      <c r="S178" s="163"/>
      <c r="T178" s="164"/>
      <c r="U178" s="404"/>
      <c r="V178" s="448" t="s">
        <v>406</v>
      </c>
      <c r="W178" s="163"/>
      <c r="X178" s="163"/>
      <c r="Y178" s="163"/>
      <c r="Z178" s="164"/>
      <c r="AA178" s="452"/>
      <c r="AB178" s="452"/>
      <c r="AC178" s="452"/>
      <c r="AD178" s="452"/>
      <c r="AE178" s="452"/>
      <c r="AF178" s="452"/>
      <c r="AG178" s="452"/>
      <c r="AH178" s="452"/>
      <c r="AI178" s="452"/>
      <c r="AJ178" s="449"/>
      <c r="AK178" s="449"/>
      <c r="AL178" s="449"/>
      <c r="AM178" s="449"/>
      <c r="AN178" s="449"/>
      <c r="AO178" s="449"/>
      <c r="AP178" s="449"/>
      <c r="AQ178" s="449"/>
      <c r="AR178" s="449"/>
      <c r="AS178" s="449"/>
      <c r="AT178" s="539"/>
    </row>
    <row r="179" ht="24.75" customHeight="1">
      <c r="A179" s="446"/>
      <c r="B179" s="453" t="s">
        <v>35</v>
      </c>
      <c r="C179" s="453"/>
      <c r="D179" s="454" t="s">
        <v>54</v>
      </c>
      <c r="E179" s="38"/>
      <c r="F179" s="38"/>
      <c r="G179" s="38"/>
      <c r="H179" s="38"/>
      <c r="I179" s="38"/>
      <c r="J179" s="38"/>
      <c r="K179" s="40"/>
      <c r="L179" s="455"/>
      <c r="M179" s="455"/>
      <c r="N179" s="456" t="s">
        <v>400</v>
      </c>
      <c r="O179" s="38"/>
      <c r="P179" s="38"/>
      <c r="Q179" s="38"/>
      <c r="R179" s="38"/>
      <c r="S179" s="38"/>
      <c r="T179" s="40"/>
      <c r="U179" s="404"/>
      <c r="V179" s="456" t="s">
        <v>74</v>
      </c>
      <c r="W179" s="38"/>
      <c r="X179" s="38"/>
      <c r="Y179" s="38"/>
      <c r="Z179" s="40"/>
      <c r="AA179" s="540"/>
      <c r="AB179" s="540"/>
      <c r="AC179" s="540"/>
      <c r="AD179" s="540"/>
      <c r="AE179" s="540"/>
      <c r="AF179" s="458"/>
      <c r="AG179" s="458"/>
      <c r="AH179" s="458"/>
      <c r="AI179" s="458"/>
      <c r="AJ179" s="449"/>
      <c r="AK179" s="449"/>
      <c r="AL179" s="449"/>
      <c r="AM179" s="449"/>
      <c r="AN179" s="449"/>
      <c r="AO179" s="449"/>
      <c r="AP179" s="449"/>
      <c r="AQ179" s="449"/>
      <c r="AR179" s="449"/>
      <c r="AS179" s="449"/>
      <c r="AT179" s="541"/>
    </row>
    <row r="180" ht="18.0" customHeight="1">
      <c r="A180" s="459"/>
      <c r="B180" s="460"/>
      <c r="C180" s="460"/>
      <c r="D180" s="460"/>
      <c r="E180" s="460"/>
      <c r="F180" s="460"/>
      <c r="G180" s="461"/>
      <c r="H180" s="461"/>
      <c r="I180" s="440"/>
      <c r="J180" s="44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2"/>
      <c r="W180" s="38"/>
      <c r="X180" s="38"/>
      <c r="Y180" s="38"/>
      <c r="Z180" s="40"/>
      <c r="AA180" s="542"/>
      <c r="AB180" s="542"/>
      <c r="AC180" s="173"/>
      <c r="AD180" s="173"/>
      <c r="AE180" s="173"/>
      <c r="AF180" s="173"/>
      <c r="AG180" s="173"/>
      <c r="AH180" s="173"/>
      <c r="AI180" s="173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6">
    <mergeCell ref="S4:U4"/>
    <mergeCell ref="W4:Y4"/>
    <mergeCell ref="O4:Q4"/>
    <mergeCell ref="O5:Q5"/>
    <mergeCell ref="S5:U5"/>
    <mergeCell ref="W5:Y5"/>
    <mergeCell ref="K6:M6"/>
    <mergeCell ref="O6:Q6"/>
    <mergeCell ref="S6:U6"/>
    <mergeCell ref="W6:Y6"/>
    <mergeCell ref="S7:U7"/>
    <mergeCell ref="W7:Y7"/>
    <mergeCell ref="V179:Z179"/>
    <mergeCell ref="V180:Z180"/>
    <mergeCell ref="K7:M7"/>
    <mergeCell ref="O7:Q7"/>
    <mergeCell ref="D178:K178"/>
    <mergeCell ref="N178:T178"/>
    <mergeCell ref="V178:Z178"/>
    <mergeCell ref="D179:K179"/>
    <mergeCell ref="N179:T179"/>
    <mergeCell ref="K16:L16"/>
    <mergeCell ref="M16:N16"/>
    <mergeCell ref="O16:P16"/>
    <mergeCell ref="Q16:R16"/>
    <mergeCell ref="S16:T16"/>
    <mergeCell ref="U16:V16"/>
    <mergeCell ref="S11:U11"/>
    <mergeCell ref="S12:U12"/>
    <mergeCell ref="A13:Z13"/>
    <mergeCell ref="A14:A16"/>
    <mergeCell ref="B14:B16"/>
    <mergeCell ref="S15:X15"/>
    <mergeCell ref="Y15:Z15"/>
    <mergeCell ref="W16:X16"/>
    <mergeCell ref="A1:A3"/>
    <mergeCell ref="B1:B3"/>
    <mergeCell ref="C1:Z3"/>
    <mergeCell ref="C4:F8"/>
    <mergeCell ref="G4:I8"/>
    <mergeCell ref="K4:M4"/>
    <mergeCell ref="K5:M5"/>
    <mergeCell ref="K10:M10"/>
    <mergeCell ref="K11:M11"/>
    <mergeCell ref="K9:M9"/>
    <mergeCell ref="K12:M12"/>
    <mergeCell ref="K8:M8"/>
    <mergeCell ref="O8:Q8"/>
    <mergeCell ref="C9:F12"/>
    <mergeCell ref="G9:I12"/>
    <mergeCell ref="O9:Q9"/>
    <mergeCell ref="O10:Q10"/>
    <mergeCell ref="O11:Q11"/>
    <mergeCell ref="O12:Q12"/>
    <mergeCell ref="S8:U8"/>
    <mergeCell ref="W8:Y8"/>
    <mergeCell ref="S9:U9"/>
    <mergeCell ref="W9:Y9"/>
    <mergeCell ref="S10:U10"/>
    <mergeCell ref="W10:Y10"/>
    <mergeCell ref="W11:Y11"/>
    <mergeCell ref="W12:Y12"/>
    <mergeCell ref="C16:D16"/>
    <mergeCell ref="E16:F16"/>
    <mergeCell ref="G16:H16"/>
    <mergeCell ref="I16:J16"/>
  </mergeCells>
  <conditionalFormatting sqref="C33:X33">
    <cfRule type="containsText" dxfId="21" priority="1" operator="containsText" text="R37">
      <formula>NOT(ISERROR(SEARCH(("R37"),(C33))))</formula>
    </cfRule>
  </conditionalFormatting>
  <conditionalFormatting sqref="C33:X33">
    <cfRule type="containsText" dxfId="1" priority="2" operator="containsText" text="R36">
      <formula>NOT(ISERROR(SEARCH(("R36"),(C33))))</formula>
    </cfRule>
  </conditionalFormatting>
  <conditionalFormatting sqref="C33:X33">
    <cfRule type="containsText" dxfId="28" priority="3" operator="containsText" text="R36">
      <formula>NOT(ISERROR(SEARCH(("R36"),(C33))))</formula>
    </cfRule>
  </conditionalFormatting>
  <conditionalFormatting sqref="C33:X33">
    <cfRule type="containsText" dxfId="23" priority="4" operator="containsText" text="R34">
      <formula>NOT(ISERROR(SEARCH(("R34"),(C33))))</formula>
    </cfRule>
  </conditionalFormatting>
  <conditionalFormatting sqref="C33:X33">
    <cfRule type="containsText" dxfId="24" priority="5" operator="containsText" text="R33">
      <formula>NOT(ISERROR(SEARCH(("R33"),(C33))))</formula>
    </cfRule>
  </conditionalFormatting>
  <conditionalFormatting sqref="C33:X33">
    <cfRule type="containsText" dxfId="27" priority="6" operator="containsText" text="R30">
      <formula>NOT(ISERROR(SEARCH(("R30"),(C33))))</formula>
    </cfRule>
  </conditionalFormatting>
  <conditionalFormatting sqref="C33:X33">
    <cfRule type="containsText" dxfId="25" priority="7" operator="containsText" text="R32">
      <formula>NOT(ISERROR(SEARCH(("R32"),(C33))))</formula>
    </cfRule>
  </conditionalFormatting>
  <conditionalFormatting sqref="C33:X33">
    <cfRule type="containsText" dxfId="39" priority="8" operator="containsText" text="R29">
      <formula>NOT(ISERROR(SEARCH(("R29"),(C33))))</formula>
    </cfRule>
  </conditionalFormatting>
  <conditionalFormatting sqref="C33:X33">
    <cfRule type="containsText" dxfId="2" priority="9" operator="containsText" text="R26">
      <formula>NOT(ISERROR(SEARCH(("R26"),(C33))))</formula>
    </cfRule>
  </conditionalFormatting>
  <conditionalFormatting sqref="C33:X33">
    <cfRule type="containsText" dxfId="3" priority="10" operator="containsText" text="R25">
      <formula>NOT(ISERROR(SEARCH(("R25"),(C33))))</formula>
    </cfRule>
  </conditionalFormatting>
  <conditionalFormatting sqref="C33:X33">
    <cfRule type="containsText" dxfId="40" priority="11" operator="containsText" text="R13">
      <formula>NOT(ISERROR(SEARCH(("R13"),(C33))))</formula>
    </cfRule>
  </conditionalFormatting>
  <conditionalFormatting sqref="C33:X33">
    <cfRule type="containsText" dxfId="31" priority="12" operator="containsText" text="R24">
      <formula>NOT(ISERROR(SEARCH(("R24"),(C33))))</formula>
    </cfRule>
  </conditionalFormatting>
  <conditionalFormatting sqref="C33:X33">
    <cfRule type="containsText" dxfId="4" priority="13" operator="containsText" text="R23">
      <formula>NOT(ISERROR(SEARCH(("R23"),(C33))))</formula>
    </cfRule>
  </conditionalFormatting>
  <conditionalFormatting sqref="C33:X33">
    <cfRule type="containsText" dxfId="8" priority="14" operator="containsText" text="R21">
      <formula>NOT(ISERROR(SEARCH(("R21"),(C33))))</formula>
    </cfRule>
  </conditionalFormatting>
  <conditionalFormatting sqref="C33:X33">
    <cfRule type="containsText" dxfId="9" priority="15" operator="containsText" text="R20">
      <formula>NOT(ISERROR(SEARCH(("R20"),(C33))))</formula>
    </cfRule>
  </conditionalFormatting>
  <conditionalFormatting sqref="C33:X33">
    <cfRule type="containsText" dxfId="41" priority="16" operator="containsText" text="R19">
      <formula>NOT(ISERROR(SEARCH(("R19"),(C33))))</formula>
    </cfRule>
  </conditionalFormatting>
  <conditionalFormatting sqref="C33:X33">
    <cfRule type="containsText" dxfId="35" priority="17" operator="containsText" text="R17">
      <formula>NOT(ISERROR(SEARCH(("R17"),(C33))))</formula>
    </cfRule>
  </conditionalFormatting>
  <conditionalFormatting sqref="C33:X33">
    <cfRule type="containsText" dxfId="11" priority="18" operator="containsText" text="R15">
      <formula>NOT(ISERROR(SEARCH(("R15"),(C33))))</formula>
    </cfRule>
  </conditionalFormatting>
  <conditionalFormatting sqref="C33:X33">
    <cfRule type="containsText" dxfId="42" priority="19" operator="containsText" text="R13">
      <formula>NOT(ISERROR(SEARCH(("R13"),(C33))))</formula>
    </cfRule>
  </conditionalFormatting>
  <conditionalFormatting sqref="C33:X33">
    <cfRule type="containsText" dxfId="12" priority="20" operator="containsText" text="R14">
      <formula>NOT(ISERROR(SEARCH(("R14"),(C33))))</formula>
    </cfRule>
  </conditionalFormatting>
  <conditionalFormatting sqref="C33:X33">
    <cfRule type="containsText" dxfId="1" priority="21" operator="containsText" text="R12">
      <formula>NOT(ISERROR(SEARCH(("R12"),(C33))))</formula>
    </cfRule>
  </conditionalFormatting>
  <conditionalFormatting sqref="C33:X33">
    <cfRule type="containsText" dxfId="43" priority="22" operator="containsText" text="R11">
      <formula>NOT(ISERROR(SEARCH(("R11"),(C33))))</formula>
    </cfRule>
  </conditionalFormatting>
  <conditionalFormatting sqref="C33:X33">
    <cfRule type="containsText" dxfId="14" priority="23" operator="containsText" text="R10">
      <formula>NOT(ISERROR(SEARCH(("R10"),(C33))))</formula>
    </cfRule>
  </conditionalFormatting>
  <conditionalFormatting sqref="C33:X33">
    <cfRule type="containsText" dxfId="17" priority="24" operator="containsText" text="R7">
      <formula>NOT(ISERROR(SEARCH(("R7"),(C33))))</formula>
    </cfRule>
  </conditionalFormatting>
  <conditionalFormatting sqref="C33:X33">
    <cfRule type="containsText" dxfId="19" priority="25" operator="containsText" text="R5">
      <formula>NOT(ISERROR(SEARCH(("R5"),(C33))))</formula>
    </cfRule>
  </conditionalFormatting>
  <conditionalFormatting sqref="C33:X33">
    <cfRule type="containsText" dxfId="20" priority="26" operator="containsText" text="R4">
      <formula>NOT(ISERROR(SEARCH(("R4"),(C33))))</formula>
    </cfRule>
  </conditionalFormatting>
  <conditionalFormatting sqref="C33:X33">
    <cfRule type="containsText" dxfId="38" priority="27" operator="containsText" text="R3">
      <formula>NOT(ISERROR(SEARCH(("R3"),(C33))))</formula>
    </cfRule>
  </conditionalFormatting>
  <conditionalFormatting sqref="C33:X33">
    <cfRule type="cellIs" dxfId="6" priority="28" stopIfTrue="1" operator="notEqual">
      <formula>0</formula>
    </cfRule>
  </conditionalFormatting>
  <conditionalFormatting sqref="C33:X33">
    <cfRule type="cellIs" dxfId="7" priority="29" stopIfTrue="1" operator="equal">
      <formula>0</formula>
    </cfRule>
  </conditionalFormatting>
  <conditionalFormatting sqref="C54:X54">
    <cfRule type="containsText" dxfId="21" priority="30" operator="containsText" text="R37">
      <formula>NOT(ISERROR(SEARCH(("R37"),(C54))))</formula>
    </cfRule>
  </conditionalFormatting>
  <conditionalFormatting sqref="C54:X54">
    <cfRule type="containsText" dxfId="1" priority="31" operator="containsText" text="R36">
      <formula>NOT(ISERROR(SEARCH(("R36"),(C54))))</formula>
    </cfRule>
  </conditionalFormatting>
  <conditionalFormatting sqref="C54:X54">
    <cfRule type="containsText" dxfId="28" priority="32" operator="containsText" text="R36">
      <formula>NOT(ISERROR(SEARCH(("R36"),(C54))))</formula>
    </cfRule>
  </conditionalFormatting>
  <conditionalFormatting sqref="C54:X54">
    <cfRule type="containsText" dxfId="23" priority="33" operator="containsText" text="R34">
      <formula>NOT(ISERROR(SEARCH(("R34"),(C54))))</formula>
    </cfRule>
  </conditionalFormatting>
  <conditionalFormatting sqref="C54:X54">
    <cfRule type="containsText" dxfId="24" priority="34" operator="containsText" text="R33">
      <formula>NOT(ISERROR(SEARCH(("R33"),(C54))))</formula>
    </cfRule>
  </conditionalFormatting>
  <conditionalFormatting sqref="C54:X54">
    <cfRule type="containsText" dxfId="27" priority="35" operator="containsText" text="R30">
      <formula>NOT(ISERROR(SEARCH(("R30"),(C54))))</formula>
    </cfRule>
  </conditionalFormatting>
  <conditionalFormatting sqref="C54:X54">
    <cfRule type="containsText" dxfId="25" priority="36" operator="containsText" text="R32">
      <formula>NOT(ISERROR(SEARCH(("R32"),(C54))))</formula>
    </cfRule>
  </conditionalFormatting>
  <conditionalFormatting sqref="C54:X54">
    <cfRule type="containsText" dxfId="39" priority="37" operator="containsText" text="R29">
      <formula>NOT(ISERROR(SEARCH(("R29"),(C54))))</formula>
    </cfRule>
  </conditionalFormatting>
  <conditionalFormatting sqref="C54:X54">
    <cfRule type="containsText" dxfId="2" priority="38" operator="containsText" text="R26">
      <formula>NOT(ISERROR(SEARCH(("R26"),(C54))))</formula>
    </cfRule>
  </conditionalFormatting>
  <conditionalFormatting sqref="C54:X54">
    <cfRule type="containsText" dxfId="3" priority="39" operator="containsText" text="R25">
      <formula>NOT(ISERROR(SEARCH(("R25"),(C54))))</formula>
    </cfRule>
  </conditionalFormatting>
  <conditionalFormatting sqref="C54:X54">
    <cfRule type="containsText" dxfId="40" priority="40" operator="containsText" text="R13">
      <formula>NOT(ISERROR(SEARCH(("R13"),(C54))))</formula>
    </cfRule>
  </conditionalFormatting>
  <conditionalFormatting sqref="C54:X54">
    <cfRule type="containsText" dxfId="31" priority="41" operator="containsText" text="R24">
      <formula>NOT(ISERROR(SEARCH(("R24"),(C54))))</formula>
    </cfRule>
  </conditionalFormatting>
  <conditionalFormatting sqref="C54:X54">
    <cfRule type="containsText" dxfId="4" priority="42" operator="containsText" text="R23">
      <formula>NOT(ISERROR(SEARCH(("R23"),(C54))))</formula>
    </cfRule>
  </conditionalFormatting>
  <conditionalFormatting sqref="C54:X54">
    <cfRule type="containsText" dxfId="8" priority="43" operator="containsText" text="R21">
      <formula>NOT(ISERROR(SEARCH(("R21"),(C54))))</formula>
    </cfRule>
  </conditionalFormatting>
  <conditionalFormatting sqref="C54:X54">
    <cfRule type="containsText" dxfId="9" priority="44" operator="containsText" text="R20">
      <formula>NOT(ISERROR(SEARCH(("R20"),(C54))))</formula>
    </cfRule>
  </conditionalFormatting>
  <conditionalFormatting sqref="C54:X54">
    <cfRule type="containsText" dxfId="41" priority="45" operator="containsText" text="R19">
      <formula>NOT(ISERROR(SEARCH(("R19"),(C54))))</formula>
    </cfRule>
  </conditionalFormatting>
  <conditionalFormatting sqref="C54:X54">
    <cfRule type="containsText" dxfId="35" priority="46" operator="containsText" text="R17">
      <formula>NOT(ISERROR(SEARCH(("R17"),(C54))))</formula>
    </cfRule>
  </conditionalFormatting>
  <conditionalFormatting sqref="C54:X54">
    <cfRule type="containsText" dxfId="11" priority="47" operator="containsText" text="R15">
      <formula>NOT(ISERROR(SEARCH(("R15"),(C54))))</formula>
    </cfRule>
  </conditionalFormatting>
  <conditionalFormatting sqref="C54:X54">
    <cfRule type="containsText" dxfId="42" priority="48" operator="containsText" text="R13">
      <formula>NOT(ISERROR(SEARCH(("R13"),(C54))))</formula>
    </cfRule>
  </conditionalFormatting>
  <conditionalFormatting sqref="C54:X54">
    <cfRule type="containsText" dxfId="12" priority="49" operator="containsText" text="R14">
      <formula>NOT(ISERROR(SEARCH(("R14"),(C54))))</formula>
    </cfRule>
  </conditionalFormatting>
  <conditionalFormatting sqref="C54:X54">
    <cfRule type="containsText" dxfId="1" priority="50" operator="containsText" text="R12">
      <formula>NOT(ISERROR(SEARCH(("R12"),(C54))))</formula>
    </cfRule>
  </conditionalFormatting>
  <conditionalFormatting sqref="C54:X54">
    <cfRule type="containsText" dxfId="43" priority="51" operator="containsText" text="R11">
      <formula>NOT(ISERROR(SEARCH(("R11"),(C54))))</formula>
    </cfRule>
  </conditionalFormatting>
  <conditionalFormatting sqref="C54:X54">
    <cfRule type="containsText" dxfId="14" priority="52" operator="containsText" text="R10">
      <formula>NOT(ISERROR(SEARCH(("R10"),(C54))))</formula>
    </cfRule>
  </conditionalFormatting>
  <conditionalFormatting sqref="C54:X54">
    <cfRule type="containsText" dxfId="17" priority="53" operator="containsText" text="R7">
      <formula>NOT(ISERROR(SEARCH(("R7"),(C54))))</formula>
    </cfRule>
  </conditionalFormatting>
  <conditionalFormatting sqref="C54:X54">
    <cfRule type="containsText" dxfId="19" priority="54" operator="containsText" text="R5">
      <formula>NOT(ISERROR(SEARCH(("R5"),(C54))))</formula>
    </cfRule>
  </conditionalFormatting>
  <conditionalFormatting sqref="C54:X54">
    <cfRule type="containsText" dxfId="20" priority="55" operator="containsText" text="R4">
      <formula>NOT(ISERROR(SEARCH(("R4"),(C54))))</formula>
    </cfRule>
  </conditionalFormatting>
  <conditionalFormatting sqref="C54:X54">
    <cfRule type="containsText" dxfId="38" priority="56" operator="containsText" text="R3">
      <formula>NOT(ISERROR(SEARCH(("R3"),(C54))))</formula>
    </cfRule>
  </conditionalFormatting>
  <conditionalFormatting sqref="C54:X54">
    <cfRule type="cellIs" dxfId="6" priority="57" stopIfTrue="1" operator="notEqual">
      <formula>0</formula>
    </cfRule>
  </conditionalFormatting>
  <conditionalFormatting sqref="C54:X54">
    <cfRule type="cellIs" dxfId="7" priority="58" stopIfTrue="1" operator="equal">
      <formula>0</formula>
    </cfRule>
  </conditionalFormatting>
  <conditionalFormatting sqref="C81:X81">
    <cfRule type="containsText" dxfId="21" priority="59" operator="containsText" text="R37">
      <formula>NOT(ISERROR(SEARCH(("R37"),(C81))))</formula>
    </cfRule>
  </conditionalFormatting>
  <conditionalFormatting sqref="C81:X81">
    <cfRule type="containsText" dxfId="1" priority="60" operator="containsText" text="R36">
      <formula>NOT(ISERROR(SEARCH(("R36"),(C81))))</formula>
    </cfRule>
  </conditionalFormatting>
  <conditionalFormatting sqref="C81:X81">
    <cfRule type="containsText" dxfId="28" priority="61" operator="containsText" text="R36">
      <formula>NOT(ISERROR(SEARCH(("R36"),(C81))))</formula>
    </cfRule>
  </conditionalFormatting>
  <conditionalFormatting sqref="C81:X81">
    <cfRule type="containsText" dxfId="23" priority="62" operator="containsText" text="R34">
      <formula>NOT(ISERROR(SEARCH(("R34"),(C81))))</formula>
    </cfRule>
  </conditionalFormatting>
  <conditionalFormatting sqref="C81:X81">
    <cfRule type="containsText" dxfId="24" priority="63" operator="containsText" text="R33">
      <formula>NOT(ISERROR(SEARCH(("R33"),(C81))))</formula>
    </cfRule>
  </conditionalFormatting>
  <conditionalFormatting sqref="C81:X81">
    <cfRule type="containsText" dxfId="27" priority="64" operator="containsText" text="R30">
      <formula>NOT(ISERROR(SEARCH(("R30"),(C81))))</formula>
    </cfRule>
  </conditionalFormatting>
  <conditionalFormatting sqref="C81:X81">
    <cfRule type="containsText" dxfId="25" priority="65" operator="containsText" text="R32">
      <formula>NOT(ISERROR(SEARCH(("R32"),(C81))))</formula>
    </cfRule>
  </conditionalFormatting>
  <conditionalFormatting sqref="C81:X81">
    <cfRule type="containsText" dxfId="39" priority="66" operator="containsText" text="R29">
      <formula>NOT(ISERROR(SEARCH(("R29"),(C81))))</formula>
    </cfRule>
  </conditionalFormatting>
  <conditionalFormatting sqref="C81:X81">
    <cfRule type="containsText" dxfId="2" priority="67" operator="containsText" text="R26">
      <formula>NOT(ISERROR(SEARCH(("R26"),(C81))))</formula>
    </cfRule>
  </conditionalFormatting>
  <conditionalFormatting sqref="C81:X81">
    <cfRule type="containsText" dxfId="3" priority="68" operator="containsText" text="R25">
      <formula>NOT(ISERROR(SEARCH(("R25"),(C81))))</formula>
    </cfRule>
  </conditionalFormatting>
  <conditionalFormatting sqref="C81:X81">
    <cfRule type="containsText" dxfId="40" priority="69" operator="containsText" text="R13">
      <formula>NOT(ISERROR(SEARCH(("R13"),(C81))))</formula>
    </cfRule>
  </conditionalFormatting>
  <conditionalFormatting sqref="C81:X81">
    <cfRule type="containsText" dxfId="31" priority="70" operator="containsText" text="R24">
      <formula>NOT(ISERROR(SEARCH(("R24"),(C81))))</formula>
    </cfRule>
  </conditionalFormatting>
  <conditionalFormatting sqref="C81:X81">
    <cfRule type="containsText" dxfId="4" priority="71" operator="containsText" text="R23">
      <formula>NOT(ISERROR(SEARCH(("R23"),(C81))))</formula>
    </cfRule>
  </conditionalFormatting>
  <conditionalFormatting sqref="C81:X81">
    <cfRule type="containsText" dxfId="8" priority="72" operator="containsText" text="R21">
      <formula>NOT(ISERROR(SEARCH(("R21"),(C81))))</formula>
    </cfRule>
  </conditionalFormatting>
  <conditionalFormatting sqref="C81:X81">
    <cfRule type="containsText" dxfId="9" priority="73" operator="containsText" text="R20">
      <formula>NOT(ISERROR(SEARCH(("R20"),(C81))))</formula>
    </cfRule>
  </conditionalFormatting>
  <conditionalFormatting sqref="C81:X81">
    <cfRule type="containsText" dxfId="41" priority="74" operator="containsText" text="R19">
      <formula>NOT(ISERROR(SEARCH(("R19"),(C81))))</formula>
    </cfRule>
  </conditionalFormatting>
  <conditionalFormatting sqref="C81:X81">
    <cfRule type="containsText" dxfId="35" priority="75" operator="containsText" text="R17">
      <formula>NOT(ISERROR(SEARCH(("R17"),(C81))))</formula>
    </cfRule>
  </conditionalFormatting>
  <conditionalFormatting sqref="C81:X81">
    <cfRule type="containsText" dxfId="11" priority="76" operator="containsText" text="R15">
      <formula>NOT(ISERROR(SEARCH(("R15"),(C81))))</formula>
    </cfRule>
  </conditionalFormatting>
  <conditionalFormatting sqref="C81:X81">
    <cfRule type="containsText" dxfId="42" priority="77" operator="containsText" text="R13">
      <formula>NOT(ISERROR(SEARCH(("R13"),(C81))))</formula>
    </cfRule>
  </conditionalFormatting>
  <conditionalFormatting sqref="C81:X81">
    <cfRule type="containsText" dxfId="12" priority="78" operator="containsText" text="R14">
      <formula>NOT(ISERROR(SEARCH(("R14"),(C81))))</formula>
    </cfRule>
  </conditionalFormatting>
  <conditionalFormatting sqref="C81:X81">
    <cfRule type="containsText" dxfId="1" priority="79" operator="containsText" text="R12">
      <formula>NOT(ISERROR(SEARCH(("R12"),(C81))))</formula>
    </cfRule>
  </conditionalFormatting>
  <conditionalFormatting sqref="C81:X81">
    <cfRule type="containsText" dxfId="43" priority="80" operator="containsText" text="R11">
      <formula>NOT(ISERROR(SEARCH(("R11"),(C81))))</formula>
    </cfRule>
  </conditionalFormatting>
  <conditionalFormatting sqref="C81:X81">
    <cfRule type="containsText" dxfId="14" priority="81" operator="containsText" text="R10">
      <formula>NOT(ISERROR(SEARCH(("R10"),(C81))))</formula>
    </cfRule>
  </conditionalFormatting>
  <conditionalFormatting sqref="C81:X81">
    <cfRule type="containsText" dxfId="17" priority="82" operator="containsText" text="R7">
      <formula>NOT(ISERROR(SEARCH(("R7"),(C81))))</formula>
    </cfRule>
  </conditionalFormatting>
  <conditionalFormatting sqref="C81:X81">
    <cfRule type="containsText" dxfId="19" priority="83" operator="containsText" text="R5">
      <formula>NOT(ISERROR(SEARCH(("R5"),(C81))))</formula>
    </cfRule>
  </conditionalFormatting>
  <conditionalFormatting sqref="C81:X81">
    <cfRule type="containsText" dxfId="20" priority="84" operator="containsText" text="R4">
      <formula>NOT(ISERROR(SEARCH(("R4"),(C81))))</formula>
    </cfRule>
  </conditionalFormatting>
  <conditionalFormatting sqref="C81:X81">
    <cfRule type="containsText" dxfId="38" priority="85" operator="containsText" text="R3">
      <formula>NOT(ISERROR(SEARCH(("R3"),(C81))))</formula>
    </cfRule>
  </conditionalFormatting>
  <conditionalFormatting sqref="G81">
    <cfRule type="cellIs" dxfId="6" priority="86" stopIfTrue="1" operator="notEqual">
      <formula>0</formula>
    </cfRule>
  </conditionalFormatting>
  <conditionalFormatting sqref="G81">
    <cfRule type="cellIs" dxfId="7" priority="87" stopIfTrue="1" operator="equal">
      <formula>0</formula>
    </cfRule>
  </conditionalFormatting>
  <conditionalFormatting sqref="G81">
    <cfRule type="cellIs" dxfId="6" priority="88" stopIfTrue="1" operator="notEqual">
      <formula>0</formula>
    </cfRule>
  </conditionalFormatting>
  <conditionalFormatting sqref="G81">
    <cfRule type="cellIs" dxfId="7" priority="89" stopIfTrue="1" operator="equal">
      <formula>0</formula>
    </cfRule>
  </conditionalFormatting>
  <conditionalFormatting sqref="G33:S33">
    <cfRule type="cellIs" dxfId="6" priority="90" stopIfTrue="1" operator="notEqual">
      <formula>0</formula>
    </cfRule>
  </conditionalFormatting>
  <conditionalFormatting sqref="G33:S33">
    <cfRule type="cellIs" dxfId="7" priority="91" stopIfTrue="1" operator="equal">
      <formula>0</formula>
    </cfRule>
  </conditionalFormatting>
  <conditionalFormatting sqref="I81 K81 M81 O81 U81 W81">
    <cfRule type="cellIs" dxfId="6" priority="92" stopIfTrue="1" operator="notEqual">
      <formula>0</formula>
    </cfRule>
  </conditionalFormatting>
  <conditionalFormatting sqref="I81 K81 M81 O81 U81 W81">
    <cfRule type="cellIs" dxfId="7" priority="93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9.88"/>
    <col customWidth="1" min="3" max="36" width="10.63"/>
    <col customWidth="1" min="37" max="38" width="14.88"/>
    <col customWidth="1" min="39" max="58" width="10.63"/>
  </cols>
  <sheetData>
    <row r="1" ht="34.5" customHeight="1">
      <c r="A1" s="260"/>
      <c r="B1" s="261" t="s">
        <v>0</v>
      </c>
      <c r="C1" s="26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543"/>
      <c r="AM1" s="543"/>
      <c r="AN1" s="543"/>
      <c r="AO1" s="544"/>
      <c r="AP1" s="8"/>
      <c r="AQ1" s="8"/>
    </row>
    <row r="2" ht="34.5" customHeight="1">
      <c r="A2" s="9"/>
      <c r="B2" s="9"/>
      <c r="C2" s="10"/>
      <c r="AK2" s="11"/>
      <c r="AL2" s="544"/>
      <c r="AM2" s="544"/>
      <c r="AN2" s="544"/>
      <c r="AO2" s="544"/>
      <c r="AP2" s="8"/>
      <c r="AQ2" s="8"/>
    </row>
    <row r="3" ht="62.25" customHeight="1">
      <c r="A3" s="12"/>
      <c r="B3" s="12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9"/>
      <c r="AL3" s="544"/>
      <c r="AM3" s="544"/>
      <c r="AN3" s="544"/>
      <c r="AO3" s="544"/>
      <c r="AP3" s="8"/>
      <c r="AQ3" s="8"/>
    </row>
    <row r="4" ht="33.75" customHeight="1">
      <c r="A4" s="265" t="s">
        <v>2</v>
      </c>
      <c r="B4" s="266" t="s">
        <v>3</v>
      </c>
      <c r="C4" s="316" t="s">
        <v>4</v>
      </c>
      <c r="D4" s="5"/>
      <c r="E4" s="5"/>
      <c r="F4" s="6"/>
      <c r="G4" s="268">
        <v>46037.0</v>
      </c>
      <c r="H4" s="5"/>
      <c r="I4" s="179"/>
      <c r="J4" s="545" t="s">
        <v>26</v>
      </c>
      <c r="K4" s="546">
        <v>45849.0</v>
      </c>
      <c r="L4" s="24"/>
      <c r="M4" s="25"/>
      <c r="N4" s="547" t="s">
        <v>47</v>
      </c>
      <c r="O4" s="548">
        <v>45947.0</v>
      </c>
      <c r="P4" s="24"/>
      <c r="Q4" s="25"/>
      <c r="R4" s="469" t="s">
        <v>38</v>
      </c>
      <c r="S4" s="470">
        <v>46010.0</v>
      </c>
      <c r="T4" s="24"/>
      <c r="U4" s="26"/>
      <c r="V4" s="549"/>
      <c r="W4" s="472"/>
      <c r="X4" s="24"/>
      <c r="Y4" s="26"/>
      <c r="Z4" s="471"/>
      <c r="AA4" s="472"/>
      <c r="AB4" s="24"/>
      <c r="AC4" s="25"/>
      <c r="AD4" s="550"/>
      <c r="AE4" s="551"/>
      <c r="AF4" s="24"/>
      <c r="AG4" s="26"/>
      <c r="AH4" s="471"/>
      <c r="AI4" s="472"/>
      <c r="AJ4" s="24"/>
      <c r="AK4" s="25"/>
      <c r="AL4" s="552"/>
      <c r="AM4" s="511"/>
      <c r="AN4" s="38"/>
      <c r="AO4" s="40"/>
      <c r="AP4" s="474"/>
      <c r="AQ4" s="474"/>
      <c r="AR4" s="475"/>
      <c r="AS4" s="475"/>
      <c r="AT4" s="404"/>
      <c r="AU4" s="404"/>
      <c r="AV4" s="404"/>
      <c r="AW4" s="404"/>
      <c r="AX4" s="404"/>
      <c r="AY4" s="404"/>
      <c r="AZ4" s="404"/>
      <c r="BA4" s="404"/>
      <c r="BB4" s="404"/>
      <c r="BC4" s="404"/>
      <c r="BD4" s="404"/>
      <c r="BE4" s="404"/>
      <c r="BF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553" t="s">
        <v>36</v>
      </c>
      <c r="K5" s="554">
        <v>45855.0</v>
      </c>
      <c r="L5" s="38"/>
      <c r="M5" s="39"/>
      <c r="N5" s="555" t="s">
        <v>56</v>
      </c>
      <c r="O5" s="479">
        <v>45954.0</v>
      </c>
      <c r="P5" s="38"/>
      <c r="Q5" s="40"/>
      <c r="R5" s="275" t="s">
        <v>48</v>
      </c>
      <c r="S5" s="276">
        <v>46015.0</v>
      </c>
      <c r="T5" s="38"/>
      <c r="U5" s="40"/>
      <c r="V5" s="556"/>
      <c r="W5" s="481"/>
      <c r="X5" s="38"/>
      <c r="Y5" s="40"/>
      <c r="Z5" s="480"/>
      <c r="AA5" s="481"/>
      <c r="AB5" s="38"/>
      <c r="AC5" s="39"/>
      <c r="AD5" s="552"/>
      <c r="AE5" s="511"/>
      <c r="AF5" s="38"/>
      <c r="AG5" s="40"/>
      <c r="AH5" s="480"/>
      <c r="AI5" s="481"/>
      <c r="AJ5" s="38"/>
      <c r="AK5" s="39"/>
      <c r="AL5" s="552"/>
      <c r="AM5" s="511"/>
      <c r="AN5" s="38"/>
      <c r="AO5" s="40"/>
      <c r="AP5" s="483"/>
      <c r="AQ5" s="483"/>
      <c r="AR5" s="475"/>
      <c r="AS5" s="475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557" t="s">
        <v>46</v>
      </c>
      <c r="K6" s="558">
        <v>45863.0</v>
      </c>
      <c r="L6" s="38"/>
      <c r="M6" s="39"/>
      <c r="N6" s="559" t="s">
        <v>67</v>
      </c>
      <c r="O6" s="560">
        <v>45960.0</v>
      </c>
      <c r="P6" s="24"/>
      <c r="Q6" s="25"/>
      <c r="R6" s="290" t="s">
        <v>57</v>
      </c>
      <c r="S6" s="291">
        <v>46022.0</v>
      </c>
      <c r="T6" s="38"/>
      <c r="U6" s="40"/>
      <c r="V6" s="561"/>
      <c r="W6" s="481"/>
      <c r="X6" s="38"/>
      <c r="Y6" s="40"/>
      <c r="Z6" s="480"/>
      <c r="AA6" s="481"/>
      <c r="AB6" s="38"/>
      <c r="AC6" s="39"/>
      <c r="AD6" s="552"/>
      <c r="AE6" s="511"/>
      <c r="AF6" s="38"/>
      <c r="AG6" s="40"/>
      <c r="AH6" s="480"/>
      <c r="AI6" s="481"/>
      <c r="AJ6" s="38"/>
      <c r="AK6" s="39"/>
      <c r="AL6" s="552"/>
      <c r="AM6" s="511"/>
      <c r="AN6" s="38"/>
      <c r="AO6" s="40"/>
      <c r="AP6" s="483"/>
      <c r="AQ6" s="483"/>
      <c r="AR6" s="475"/>
      <c r="AS6" s="475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562" t="s">
        <v>55</v>
      </c>
      <c r="K7" s="563">
        <v>45870.0</v>
      </c>
      <c r="L7" s="38"/>
      <c r="M7" s="39"/>
      <c r="N7" s="492" t="s">
        <v>76</v>
      </c>
      <c r="O7" s="493">
        <v>45968.0</v>
      </c>
      <c r="P7" s="38"/>
      <c r="Q7" s="39"/>
      <c r="R7" s="300" t="s">
        <v>68</v>
      </c>
      <c r="S7" s="301">
        <v>46031.0</v>
      </c>
      <c r="T7" s="38"/>
      <c r="U7" s="40"/>
      <c r="V7" s="561"/>
      <c r="W7" s="481"/>
      <c r="X7" s="38"/>
      <c r="Y7" s="40"/>
      <c r="Z7" s="480"/>
      <c r="AA7" s="481"/>
      <c r="AB7" s="38"/>
      <c r="AC7" s="39"/>
      <c r="AD7" s="552"/>
      <c r="AE7" s="511"/>
      <c r="AF7" s="38"/>
      <c r="AG7" s="40"/>
      <c r="AH7" s="480"/>
      <c r="AI7" s="481"/>
      <c r="AJ7" s="38"/>
      <c r="AK7" s="39"/>
      <c r="AL7" s="552"/>
      <c r="AM7" s="511"/>
      <c r="AN7" s="38"/>
      <c r="AO7" s="40"/>
      <c r="AP7" s="483"/>
      <c r="AQ7" s="483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</row>
    <row r="8" ht="33.75" customHeight="1">
      <c r="A8" s="282" t="s">
        <v>44</v>
      </c>
      <c r="B8" s="283" t="s">
        <v>54</v>
      </c>
      <c r="C8" s="10"/>
      <c r="F8" s="11"/>
      <c r="G8" s="10"/>
      <c r="I8" s="180"/>
      <c r="J8" s="490" t="s">
        <v>66</v>
      </c>
      <c r="K8" s="491">
        <v>45883.0</v>
      </c>
      <c r="L8" s="38"/>
      <c r="M8" s="39"/>
      <c r="N8" s="496" t="s">
        <v>84</v>
      </c>
      <c r="O8" s="497">
        <v>45975.0</v>
      </c>
      <c r="P8" s="38"/>
      <c r="Q8" s="39"/>
      <c r="R8" s="564" t="s">
        <v>77</v>
      </c>
      <c r="S8" s="565">
        <v>46038.0</v>
      </c>
      <c r="T8" s="38"/>
      <c r="U8" s="39"/>
      <c r="V8" s="561"/>
      <c r="W8" s="481"/>
      <c r="X8" s="38"/>
      <c r="Y8" s="40"/>
      <c r="Z8" s="480"/>
      <c r="AA8" s="481"/>
      <c r="AB8" s="38"/>
      <c r="AC8" s="39"/>
      <c r="AD8" s="552"/>
      <c r="AE8" s="511"/>
      <c r="AF8" s="38"/>
      <c r="AG8" s="40"/>
      <c r="AH8" s="480"/>
      <c r="AI8" s="481"/>
      <c r="AJ8" s="38"/>
      <c r="AK8" s="39"/>
      <c r="AL8" s="552"/>
      <c r="AM8" s="511"/>
      <c r="AN8" s="38"/>
      <c r="AO8" s="40"/>
      <c r="AP8" s="483"/>
      <c r="AQ8" s="483"/>
      <c r="AR8" s="475"/>
      <c r="AS8" s="475"/>
      <c r="AT8" s="404"/>
      <c r="AU8" s="404"/>
      <c r="AV8" s="404"/>
      <c r="AW8" s="404"/>
      <c r="AX8" s="404"/>
      <c r="AY8" s="404"/>
      <c r="AZ8" s="404"/>
      <c r="BA8" s="404"/>
      <c r="BB8" s="404"/>
      <c r="BC8" s="404"/>
      <c r="BD8" s="404"/>
      <c r="BE8" s="404"/>
      <c r="BF8" s="404"/>
    </row>
    <row r="9" ht="33.75" customHeight="1">
      <c r="A9" s="282" t="s">
        <v>62</v>
      </c>
      <c r="B9" s="283" t="s">
        <v>63</v>
      </c>
      <c r="C9" s="47"/>
      <c r="D9" s="48"/>
      <c r="E9" s="48"/>
      <c r="F9" s="49"/>
      <c r="G9" s="47"/>
      <c r="H9" s="48"/>
      <c r="I9" s="203"/>
      <c r="J9" s="494" t="s">
        <v>75</v>
      </c>
      <c r="K9" s="495">
        <v>45891.0</v>
      </c>
      <c r="L9" s="38"/>
      <c r="M9" s="39"/>
      <c r="N9" s="500" t="s">
        <v>92</v>
      </c>
      <c r="O9" s="501">
        <v>45982.0</v>
      </c>
      <c r="P9" s="38"/>
      <c r="Q9" s="39"/>
      <c r="R9" s="199" t="s">
        <v>85</v>
      </c>
      <c r="S9" s="200">
        <v>46045.0</v>
      </c>
      <c r="T9" s="38"/>
      <c r="U9" s="39"/>
      <c r="V9" s="561"/>
      <c r="W9" s="481"/>
      <c r="X9" s="38"/>
      <c r="Y9" s="40"/>
      <c r="Z9" s="480"/>
      <c r="AA9" s="481"/>
      <c r="AB9" s="38"/>
      <c r="AC9" s="39"/>
      <c r="AD9" s="552"/>
      <c r="AE9" s="511"/>
      <c r="AF9" s="38"/>
      <c r="AG9" s="40"/>
      <c r="AH9" s="480"/>
      <c r="AI9" s="481"/>
      <c r="AJ9" s="38"/>
      <c r="AK9" s="39"/>
      <c r="AL9" s="552"/>
      <c r="AM9" s="511"/>
      <c r="AN9" s="38"/>
      <c r="AO9" s="40"/>
      <c r="AP9" s="483"/>
      <c r="AQ9" s="483"/>
      <c r="AR9" s="475"/>
      <c r="AS9" s="475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</row>
    <row r="10" ht="33.75" customHeight="1">
      <c r="A10" s="282" t="s">
        <v>73</v>
      </c>
      <c r="B10" s="283" t="s">
        <v>74</v>
      </c>
      <c r="C10" s="316" t="s">
        <v>64</v>
      </c>
      <c r="D10" s="5"/>
      <c r="E10" s="5"/>
      <c r="F10" s="6"/>
      <c r="G10" s="316" t="s">
        <v>65</v>
      </c>
      <c r="H10" s="5"/>
      <c r="I10" s="179"/>
      <c r="J10" s="566" t="s">
        <v>7</v>
      </c>
      <c r="K10" s="567">
        <v>45916.0</v>
      </c>
      <c r="L10" s="38"/>
      <c r="M10" s="39"/>
      <c r="N10" s="504" t="s">
        <v>8</v>
      </c>
      <c r="O10" s="505">
        <v>45989.0</v>
      </c>
      <c r="P10" s="38"/>
      <c r="Q10" s="39"/>
      <c r="R10" s="323" t="s">
        <v>93</v>
      </c>
      <c r="S10" s="324">
        <v>46052.0</v>
      </c>
      <c r="T10" s="38"/>
      <c r="U10" s="39"/>
      <c r="V10" s="561"/>
      <c r="W10" s="481"/>
      <c r="X10" s="38"/>
      <c r="Y10" s="40"/>
      <c r="Z10" s="480"/>
      <c r="AA10" s="481"/>
      <c r="AB10" s="38"/>
      <c r="AC10" s="39"/>
      <c r="AD10" s="552"/>
      <c r="AE10" s="511"/>
      <c r="AF10" s="38"/>
      <c r="AG10" s="40"/>
      <c r="AH10" s="480"/>
      <c r="AI10" s="481"/>
      <c r="AJ10" s="38"/>
      <c r="AK10" s="39"/>
      <c r="AL10" s="552"/>
      <c r="AM10" s="511"/>
      <c r="AN10" s="38"/>
      <c r="AO10" s="40"/>
      <c r="AP10" s="483"/>
      <c r="AQ10" s="483"/>
      <c r="AR10" s="475"/>
      <c r="AS10" s="475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80"/>
      <c r="J11" s="506" t="s">
        <v>17</v>
      </c>
      <c r="K11" s="507">
        <v>45926.0</v>
      </c>
      <c r="L11" s="38"/>
      <c r="M11" s="39"/>
      <c r="N11" s="508" t="s">
        <v>18</v>
      </c>
      <c r="O11" s="509">
        <v>45996.0</v>
      </c>
      <c r="P11" s="38"/>
      <c r="Q11" s="39"/>
      <c r="R11" s="568"/>
      <c r="S11" s="481"/>
      <c r="T11" s="38"/>
      <c r="U11" s="39"/>
      <c r="V11" s="561"/>
      <c r="W11" s="481"/>
      <c r="X11" s="38"/>
      <c r="Y11" s="40"/>
      <c r="Z11" s="480"/>
      <c r="AA11" s="481"/>
      <c r="AB11" s="38"/>
      <c r="AC11" s="39"/>
      <c r="AD11" s="552"/>
      <c r="AE11" s="511"/>
      <c r="AF11" s="38"/>
      <c r="AG11" s="40"/>
      <c r="AH11" s="480"/>
      <c r="AI11" s="481"/>
      <c r="AJ11" s="38"/>
      <c r="AK11" s="39"/>
      <c r="AL11" s="552"/>
      <c r="AM11" s="511"/>
      <c r="AN11" s="38"/>
      <c r="AO11" s="40"/>
      <c r="AP11" s="483"/>
      <c r="AQ11" s="483"/>
      <c r="AR11" s="475"/>
      <c r="AS11" s="475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</row>
    <row r="12" ht="33.75" customHeight="1">
      <c r="A12" s="569" t="s">
        <v>90</v>
      </c>
      <c r="B12" s="570">
        <v>182948.0</v>
      </c>
      <c r="C12" s="10"/>
      <c r="F12" s="11"/>
      <c r="G12" s="10"/>
      <c r="I12" s="180"/>
      <c r="J12" s="571" t="s">
        <v>27</v>
      </c>
      <c r="K12" s="572">
        <v>45933.0</v>
      </c>
      <c r="L12" s="38"/>
      <c r="M12" s="39"/>
      <c r="N12" s="514" t="s">
        <v>28</v>
      </c>
      <c r="O12" s="515">
        <v>46003.0</v>
      </c>
      <c r="P12" s="56"/>
      <c r="Q12" s="57"/>
      <c r="R12" s="568"/>
      <c r="S12" s="481"/>
      <c r="T12" s="38"/>
      <c r="U12" s="39"/>
      <c r="V12" s="561"/>
      <c r="W12" s="511"/>
      <c r="X12" s="38"/>
      <c r="Y12" s="40"/>
      <c r="Z12" s="480"/>
      <c r="AA12" s="481"/>
      <c r="AB12" s="38"/>
      <c r="AC12" s="39"/>
      <c r="AD12" s="552"/>
      <c r="AE12" s="511"/>
      <c r="AF12" s="38"/>
      <c r="AG12" s="40"/>
      <c r="AH12" s="480"/>
      <c r="AI12" s="481"/>
      <c r="AJ12" s="38"/>
      <c r="AK12" s="39"/>
      <c r="AL12" s="552"/>
      <c r="AM12" s="511"/>
      <c r="AN12" s="38"/>
      <c r="AO12" s="40"/>
      <c r="AP12" s="483"/>
      <c r="AQ12" s="483"/>
      <c r="AR12" s="475"/>
      <c r="AS12" s="475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</row>
    <row r="13" ht="33.75" customHeight="1">
      <c r="A13" s="573"/>
      <c r="B13" s="404"/>
      <c r="C13" s="47"/>
      <c r="D13" s="48"/>
      <c r="E13" s="48"/>
      <c r="F13" s="49"/>
      <c r="G13" s="47"/>
      <c r="H13" s="48"/>
      <c r="I13" s="203"/>
      <c r="J13" s="574" t="s">
        <v>37</v>
      </c>
      <c r="K13" s="575">
        <v>45940.0</v>
      </c>
      <c r="L13" s="56"/>
      <c r="M13" s="57"/>
      <c r="N13" s="576"/>
      <c r="O13" s="519"/>
      <c r="P13" s="56"/>
      <c r="Q13" s="57"/>
      <c r="R13" s="576"/>
      <c r="S13" s="517"/>
      <c r="T13" s="56"/>
      <c r="U13" s="57"/>
      <c r="V13" s="577"/>
      <c r="W13" s="519"/>
      <c r="X13" s="56"/>
      <c r="Y13" s="58"/>
      <c r="Z13" s="578"/>
      <c r="AA13" s="517"/>
      <c r="AB13" s="56"/>
      <c r="AC13" s="57"/>
      <c r="AD13" s="579"/>
      <c r="AE13" s="519"/>
      <c r="AF13" s="56"/>
      <c r="AG13" s="58"/>
      <c r="AH13" s="578"/>
      <c r="AI13" s="517"/>
      <c r="AJ13" s="56"/>
      <c r="AK13" s="57"/>
      <c r="AL13" s="552"/>
      <c r="AM13" s="511"/>
      <c r="AN13" s="38"/>
      <c r="AO13" s="40"/>
      <c r="AP13" s="483"/>
      <c r="AQ13" s="483"/>
      <c r="AR13" s="475"/>
      <c r="AS13" s="475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</row>
    <row r="14" ht="33.75" customHeight="1">
      <c r="A14" s="521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5"/>
      <c r="AL14" s="350"/>
      <c r="AM14" s="350"/>
      <c r="AN14" s="350"/>
    </row>
    <row r="15" ht="33.75" customHeight="1">
      <c r="A15" s="351" t="s">
        <v>98</v>
      </c>
      <c r="B15" s="352" t="s">
        <v>99</v>
      </c>
      <c r="C15" s="580" t="s">
        <v>100</v>
      </c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R15" s="581"/>
      <c r="S15" s="581"/>
      <c r="T15" s="581"/>
      <c r="U15" s="581"/>
      <c r="V15" s="581"/>
      <c r="W15" s="581"/>
      <c r="X15" s="581"/>
      <c r="Y15" s="581"/>
      <c r="Z15" s="581"/>
      <c r="AA15" s="581"/>
      <c r="AB15" s="581"/>
      <c r="AC15" s="581"/>
      <c r="AD15" s="582"/>
      <c r="AE15" s="582"/>
      <c r="AF15" s="582"/>
      <c r="AG15" s="582"/>
      <c r="AH15" s="582"/>
      <c r="AI15" s="583"/>
      <c r="AJ15" s="584"/>
      <c r="AK15" s="585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</row>
    <row r="16" ht="33.75" customHeight="1">
      <c r="A16" s="74"/>
      <c r="B16" s="9"/>
      <c r="C16" s="360" t="s">
        <v>101</v>
      </c>
      <c r="D16" s="361"/>
      <c r="E16" s="362"/>
      <c r="F16" s="362"/>
      <c r="G16" s="363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5" t="s">
        <v>102</v>
      </c>
      <c r="AE16" s="64"/>
      <c r="AF16" s="64"/>
      <c r="AG16" s="64"/>
      <c r="AH16" s="64"/>
      <c r="AI16" s="65"/>
      <c r="AJ16" s="366" t="s">
        <v>414</v>
      </c>
      <c r="AK16" s="65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</row>
    <row r="17" ht="33.75" customHeight="1">
      <c r="A17" s="83"/>
      <c r="B17" s="84"/>
      <c r="C17" s="368">
        <v>1.0</v>
      </c>
      <c r="D17" s="86"/>
      <c r="E17" s="369">
        <v>2.0</v>
      </c>
      <c r="F17" s="86"/>
      <c r="G17" s="369">
        <v>3.0</v>
      </c>
      <c r="H17" s="86"/>
      <c r="I17" s="369">
        <v>4.0</v>
      </c>
      <c r="J17" s="86"/>
      <c r="K17" s="369">
        <v>5.0</v>
      </c>
      <c r="L17" s="86"/>
      <c r="M17" s="369">
        <v>6.0</v>
      </c>
      <c r="N17" s="86"/>
      <c r="O17" s="369">
        <v>7.0</v>
      </c>
      <c r="P17" s="86"/>
      <c r="Q17" s="369">
        <v>8.0</v>
      </c>
      <c r="R17" s="86"/>
      <c r="S17" s="369">
        <v>9.0</v>
      </c>
      <c r="T17" s="86"/>
      <c r="U17" s="369">
        <v>10.0</v>
      </c>
      <c r="V17" s="86"/>
      <c r="W17" s="369">
        <v>11.0</v>
      </c>
      <c r="X17" s="86"/>
      <c r="Y17" s="369">
        <v>12.0</v>
      </c>
      <c r="Z17" s="86"/>
      <c r="AA17" s="369">
        <v>13.0</v>
      </c>
      <c r="AB17" s="86"/>
      <c r="AC17" s="369">
        <v>14.0</v>
      </c>
      <c r="AD17" s="86"/>
      <c r="AE17" s="369">
        <v>15.0</v>
      </c>
      <c r="AF17" s="86"/>
      <c r="AG17" s="369">
        <v>16.0</v>
      </c>
      <c r="AH17" s="86"/>
      <c r="AI17" s="369">
        <v>17.0</v>
      </c>
      <c r="AJ17" s="86"/>
      <c r="AK17" s="370" t="s">
        <v>104</v>
      </c>
      <c r="AL17" s="371" t="s">
        <v>105</v>
      </c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</row>
    <row r="18" ht="39.75" customHeight="1">
      <c r="A18" s="586" t="s">
        <v>106</v>
      </c>
      <c r="B18" s="587" t="s">
        <v>107</v>
      </c>
      <c r="C18" s="588" t="s">
        <v>108</v>
      </c>
      <c r="D18" s="589" t="s">
        <v>109</v>
      </c>
      <c r="E18" s="590" t="s">
        <v>108</v>
      </c>
      <c r="F18" s="589" t="s">
        <v>109</v>
      </c>
      <c r="G18" s="590" t="s">
        <v>108</v>
      </c>
      <c r="H18" s="589" t="s">
        <v>109</v>
      </c>
      <c r="I18" s="590" t="s">
        <v>108</v>
      </c>
      <c r="J18" s="589" t="s">
        <v>109</v>
      </c>
      <c r="K18" s="590" t="s">
        <v>108</v>
      </c>
      <c r="L18" s="589" t="s">
        <v>109</v>
      </c>
      <c r="M18" s="590" t="s">
        <v>108</v>
      </c>
      <c r="N18" s="589" t="s">
        <v>109</v>
      </c>
      <c r="O18" s="590" t="s">
        <v>108</v>
      </c>
      <c r="P18" s="589" t="s">
        <v>109</v>
      </c>
      <c r="Q18" s="590" t="s">
        <v>108</v>
      </c>
      <c r="R18" s="589" t="s">
        <v>109</v>
      </c>
      <c r="S18" s="590" t="s">
        <v>108</v>
      </c>
      <c r="T18" s="589" t="s">
        <v>109</v>
      </c>
      <c r="U18" s="590" t="s">
        <v>108</v>
      </c>
      <c r="V18" s="589" t="s">
        <v>109</v>
      </c>
      <c r="W18" s="590" t="s">
        <v>108</v>
      </c>
      <c r="X18" s="589" t="s">
        <v>109</v>
      </c>
      <c r="Y18" s="590" t="s">
        <v>108</v>
      </c>
      <c r="Z18" s="589" t="s">
        <v>109</v>
      </c>
      <c r="AA18" s="590" t="s">
        <v>108</v>
      </c>
      <c r="AB18" s="589" t="s">
        <v>109</v>
      </c>
      <c r="AC18" s="590" t="s">
        <v>108</v>
      </c>
      <c r="AD18" s="589" t="s">
        <v>109</v>
      </c>
      <c r="AE18" s="590" t="s">
        <v>108</v>
      </c>
      <c r="AF18" s="589" t="s">
        <v>109</v>
      </c>
      <c r="AG18" s="590" t="s">
        <v>108</v>
      </c>
      <c r="AH18" s="589" t="s">
        <v>109</v>
      </c>
      <c r="AI18" s="590" t="s">
        <v>108</v>
      </c>
      <c r="AJ18" s="589" t="s">
        <v>109</v>
      </c>
      <c r="AK18" s="589"/>
      <c r="AL18" s="591"/>
    </row>
    <row r="19" ht="39.75" customHeight="1">
      <c r="A19" s="378" t="s">
        <v>110</v>
      </c>
      <c r="B19" s="379" t="s">
        <v>111</v>
      </c>
      <c r="C19" s="380"/>
      <c r="D19" s="381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83"/>
      <c r="AJ19" s="383"/>
      <c r="AK19" s="382"/>
      <c r="AL19" s="384"/>
      <c r="AM19" s="404"/>
      <c r="AN19" s="404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</row>
    <row r="20" ht="39.75" customHeight="1">
      <c r="A20" s="385" t="s">
        <v>112</v>
      </c>
      <c r="B20" s="386" t="s">
        <v>113</v>
      </c>
      <c r="C20" s="387" t="s">
        <v>37</v>
      </c>
      <c r="D20" s="388"/>
      <c r="E20" s="387" t="s">
        <v>37</v>
      </c>
      <c r="F20" s="389"/>
      <c r="G20" s="387" t="s">
        <v>37</v>
      </c>
      <c r="H20" s="389"/>
      <c r="I20" s="387" t="s">
        <v>37</v>
      </c>
      <c r="J20" s="389"/>
      <c r="K20" s="387" t="s">
        <v>27</v>
      </c>
      <c r="L20" s="389"/>
      <c r="M20" s="387" t="s">
        <v>27</v>
      </c>
      <c r="N20" s="389"/>
      <c r="O20" s="387" t="s">
        <v>27</v>
      </c>
      <c r="P20" s="389"/>
      <c r="Q20" s="387" t="s">
        <v>27</v>
      </c>
      <c r="R20" s="389"/>
      <c r="S20" s="387" t="s">
        <v>26</v>
      </c>
      <c r="T20" s="389"/>
      <c r="U20" s="387" t="s">
        <v>26</v>
      </c>
      <c r="V20" s="389"/>
      <c r="W20" s="387" t="s">
        <v>26</v>
      </c>
      <c r="X20" s="389"/>
      <c r="Y20" s="387" t="s">
        <v>26</v>
      </c>
      <c r="Z20" s="389"/>
      <c r="AA20" s="387" t="s">
        <v>26</v>
      </c>
      <c r="AB20" s="389"/>
      <c r="AC20" s="387" t="s">
        <v>26</v>
      </c>
      <c r="AD20" s="389"/>
      <c r="AE20" s="387" t="s">
        <v>26</v>
      </c>
      <c r="AF20" s="389"/>
      <c r="AG20" s="387" t="s">
        <v>26</v>
      </c>
      <c r="AH20" s="389"/>
      <c r="AI20" s="387" t="s">
        <v>26</v>
      </c>
      <c r="AJ20" s="389"/>
      <c r="AK20" s="391">
        <f t="shared" ref="AK20:AK26" si="1">COUNTIF(C20:AJ20,"&gt;=R")</f>
        <v>17</v>
      </c>
      <c r="AL20" s="392">
        <f t="shared" ref="AL20:AL26" si="2">AK20</f>
        <v>17</v>
      </c>
    </row>
    <row r="21" ht="39.75" customHeight="1">
      <c r="A21" s="385" t="s">
        <v>114</v>
      </c>
      <c r="B21" s="386" t="s">
        <v>115</v>
      </c>
      <c r="C21" s="387" t="s">
        <v>47</v>
      </c>
      <c r="D21" s="388"/>
      <c r="E21" s="387" t="s">
        <v>47</v>
      </c>
      <c r="F21" s="389"/>
      <c r="G21" s="387" t="s">
        <v>37</v>
      </c>
      <c r="H21" s="389"/>
      <c r="I21" s="387" t="s">
        <v>37</v>
      </c>
      <c r="J21" s="389"/>
      <c r="K21" s="387" t="s">
        <v>37</v>
      </c>
      <c r="L21" s="389"/>
      <c r="M21" s="387" t="s">
        <v>37</v>
      </c>
      <c r="N21" s="389"/>
      <c r="O21" s="387" t="s">
        <v>37</v>
      </c>
      <c r="P21" s="389"/>
      <c r="Q21" s="387" t="s">
        <v>37</v>
      </c>
      <c r="R21" s="389"/>
      <c r="S21" s="387" t="s">
        <v>26</v>
      </c>
      <c r="T21" s="389"/>
      <c r="U21" s="387" t="s">
        <v>26</v>
      </c>
      <c r="V21" s="389"/>
      <c r="W21" s="387" t="s">
        <v>26</v>
      </c>
      <c r="X21" s="389"/>
      <c r="Y21" s="387" t="s">
        <v>26</v>
      </c>
      <c r="Z21" s="389"/>
      <c r="AA21" s="387" t="s">
        <v>26</v>
      </c>
      <c r="AB21" s="389"/>
      <c r="AC21" s="387" t="s">
        <v>26</v>
      </c>
      <c r="AD21" s="389"/>
      <c r="AE21" s="387" t="s">
        <v>26</v>
      </c>
      <c r="AF21" s="389"/>
      <c r="AG21" s="387" t="s">
        <v>26</v>
      </c>
      <c r="AH21" s="389"/>
      <c r="AI21" s="387" t="s">
        <v>26</v>
      </c>
      <c r="AJ21" s="389"/>
      <c r="AK21" s="391">
        <f t="shared" si="1"/>
        <v>17</v>
      </c>
      <c r="AL21" s="392">
        <f t="shared" si="2"/>
        <v>17</v>
      </c>
    </row>
    <row r="22" ht="39.75" customHeight="1">
      <c r="A22" s="385" t="s">
        <v>116</v>
      </c>
      <c r="B22" s="386" t="s">
        <v>117</v>
      </c>
      <c r="C22" s="387" t="s">
        <v>47</v>
      </c>
      <c r="D22" s="388"/>
      <c r="E22" s="387" t="s">
        <v>47</v>
      </c>
      <c r="F22" s="389"/>
      <c r="G22" s="387" t="s">
        <v>37</v>
      </c>
      <c r="H22" s="389"/>
      <c r="I22" s="387" t="s">
        <v>37</v>
      </c>
      <c r="J22" s="389"/>
      <c r="K22" s="387" t="s">
        <v>37</v>
      </c>
      <c r="L22" s="389"/>
      <c r="M22" s="393" t="s">
        <v>84</v>
      </c>
      <c r="N22" s="389"/>
      <c r="O22" s="387" t="s">
        <v>37</v>
      </c>
      <c r="P22" s="389"/>
      <c r="Q22" s="387" t="s">
        <v>37</v>
      </c>
      <c r="R22" s="389"/>
      <c r="S22" s="387" t="s">
        <v>36</v>
      </c>
      <c r="T22" s="389"/>
      <c r="U22" s="387" t="s">
        <v>36</v>
      </c>
      <c r="V22" s="389"/>
      <c r="W22" s="387" t="s">
        <v>36</v>
      </c>
      <c r="X22" s="389"/>
      <c r="Y22" s="387" t="s">
        <v>26</v>
      </c>
      <c r="Z22" s="389"/>
      <c r="AA22" s="387" t="s">
        <v>26</v>
      </c>
      <c r="AB22" s="389"/>
      <c r="AC22" s="387" t="s">
        <v>26</v>
      </c>
      <c r="AD22" s="389"/>
      <c r="AE22" s="387" t="s">
        <v>26</v>
      </c>
      <c r="AF22" s="389"/>
      <c r="AG22" s="387" t="s">
        <v>26</v>
      </c>
      <c r="AH22" s="389"/>
      <c r="AI22" s="387" t="s">
        <v>26</v>
      </c>
      <c r="AJ22" s="389"/>
      <c r="AK22" s="391">
        <f t="shared" si="1"/>
        <v>17</v>
      </c>
      <c r="AL22" s="392">
        <f t="shared" si="2"/>
        <v>17</v>
      </c>
    </row>
    <row r="23" ht="39.75" customHeight="1">
      <c r="A23" s="385" t="s">
        <v>118</v>
      </c>
      <c r="B23" s="386" t="s">
        <v>119</v>
      </c>
      <c r="C23" s="387" t="s">
        <v>47</v>
      </c>
      <c r="D23" s="388"/>
      <c r="E23" s="387" t="s">
        <v>47</v>
      </c>
      <c r="F23" s="389"/>
      <c r="G23" s="387" t="s">
        <v>37</v>
      </c>
      <c r="H23" s="389"/>
      <c r="I23" s="387" t="s">
        <v>37</v>
      </c>
      <c r="J23" s="389"/>
      <c r="K23" s="387" t="s">
        <v>37</v>
      </c>
      <c r="L23" s="389"/>
      <c r="M23" s="393" t="s">
        <v>84</v>
      </c>
      <c r="N23" s="389"/>
      <c r="O23" s="387" t="s">
        <v>37</v>
      </c>
      <c r="P23" s="389"/>
      <c r="Q23" s="387" t="s">
        <v>37</v>
      </c>
      <c r="R23" s="389"/>
      <c r="S23" s="387" t="s">
        <v>36</v>
      </c>
      <c r="T23" s="389"/>
      <c r="U23" s="387" t="s">
        <v>36</v>
      </c>
      <c r="V23" s="389"/>
      <c r="W23" s="387" t="s">
        <v>36</v>
      </c>
      <c r="X23" s="389"/>
      <c r="Y23" s="387" t="s">
        <v>26</v>
      </c>
      <c r="Z23" s="389"/>
      <c r="AA23" s="387" t="s">
        <v>26</v>
      </c>
      <c r="AB23" s="389"/>
      <c r="AC23" s="387" t="s">
        <v>26</v>
      </c>
      <c r="AD23" s="389"/>
      <c r="AE23" s="387" t="s">
        <v>26</v>
      </c>
      <c r="AF23" s="389"/>
      <c r="AG23" s="387" t="s">
        <v>26</v>
      </c>
      <c r="AH23" s="389"/>
      <c r="AI23" s="387" t="s">
        <v>26</v>
      </c>
      <c r="AJ23" s="389"/>
      <c r="AK23" s="391">
        <f t="shared" si="1"/>
        <v>17</v>
      </c>
      <c r="AL23" s="392">
        <f t="shared" si="2"/>
        <v>17</v>
      </c>
    </row>
    <row r="24" ht="39.75" customHeight="1">
      <c r="A24" s="385" t="s">
        <v>120</v>
      </c>
      <c r="B24" s="386" t="s">
        <v>121</v>
      </c>
      <c r="C24" s="388" t="s">
        <v>56</v>
      </c>
      <c r="D24" s="388"/>
      <c r="E24" s="389" t="s">
        <v>56</v>
      </c>
      <c r="F24" s="389"/>
      <c r="G24" s="389" t="s">
        <v>56</v>
      </c>
      <c r="H24" s="389"/>
      <c r="I24" s="389" t="s">
        <v>56</v>
      </c>
      <c r="J24" s="389"/>
      <c r="K24" s="389" t="s">
        <v>47</v>
      </c>
      <c r="L24" s="389"/>
      <c r="M24" s="389" t="s">
        <v>47</v>
      </c>
      <c r="N24" s="389"/>
      <c r="O24" s="389" t="s">
        <v>47</v>
      </c>
      <c r="P24" s="389"/>
      <c r="Q24" s="389" t="s">
        <v>47</v>
      </c>
      <c r="R24" s="389"/>
      <c r="S24" s="389" t="s">
        <v>66</v>
      </c>
      <c r="T24" s="389"/>
      <c r="U24" s="389" t="s">
        <v>66</v>
      </c>
      <c r="V24" s="394"/>
      <c r="W24" s="389" t="s">
        <v>66</v>
      </c>
      <c r="X24" s="389"/>
      <c r="Y24" s="389" t="s">
        <v>66</v>
      </c>
      <c r="Z24" s="394"/>
      <c r="AA24" s="389" t="s">
        <v>66</v>
      </c>
      <c r="AB24" s="394"/>
      <c r="AC24" s="389" t="s">
        <v>66</v>
      </c>
      <c r="AD24" s="389"/>
      <c r="AE24" s="389" t="s">
        <v>66</v>
      </c>
      <c r="AF24" s="394"/>
      <c r="AG24" s="389" t="s">
        <v>66</v>
      </c>
      <c r="AH24" s="394"/>
      <c r="AI24" s="389" t="s">
        <v>66</v>
      </c>
      <c r="AJ24" s="394"/>
      <c r="AK24" s="391">
        <f t="shared" si="1"/>
        <v>17</v>
      </c>
      <c r="AL24" s="392">
        <f t="shared" si="2"/>
        <v>17</v>
      </c>
    </row>
    <row r="25" ht="39.75" customHeight="1">
      <c r="A25" s="385" t="s">
        <v>122</v>
      </c>
      <c r="B25" s="386" t="s">
        <v>123</v>
      </c>
      <c r="C25" s="388" t="s">
        <v>56</v>
      </c>
      <c r="D25" s="388"/>
      <c r="E25" s="389" t="s">
        <v>56</v>
      </c>
      <c r="F25" s="389"/>
      <c r="G25" s="389" t="s">
        <v>56</v>
      </c>
      <c r="H25" s="389"/>
      <c r="I25" s="389" t="s">
        <v>56</v>
      </c>
      <c r="J25" s="389"/>
      <c r="K25" s="389" t="s">
        <v>47</v>
      </c>
      <c r="L25" s="389"/>
      <c r="M25" s="389" t="s">
        <v>47</v>
      </c>
      <c r="N25" s="389"/>
      <c r="O25" s="389" t="s">
        <v>47</v>
      </c>
      <c r="P25" s="389"/>
      <c r="Q25" s="389" t="s">
        <v>47</v>
      </c>
      <c r="R25" s="389"/>
      <c r="S25" s="389" t="s">
        <v>66</v>
      </c>
      <c r="T25" s="389"/>
      <c r="U25" s="389" t="s">
        <v>66</v>
      </c>
      <c r="V25" s="394"/>
      <c r="W25" s="389" t="s">
        <v>66</v>
      </c>
      <c r="X25" s="389"/>
      <c r="Y25" s="389" t="s">
        <v>66</v>
      </c>
      <c r="Z25" s="394"/>
      <c r="AA25" s="389" t="s">
        <v>66</v>
      </c>
      <c r="AB25" s="394"/>
      <c r="AC25" s="389" t="s">
        <v>66</v>
      </c>
      <c r="AD25" s="389"/>
      <c r="AE25" s="389" t="s">
        <v>66</v>
      </c>
      <c r="AF25" s="394"/>
      <c r="AG25" s="389" t="s">
        <v>66</v>
      </c>
      <c r="AH25" s="394"/>
      <c r="AI25" s="389" t="s">
        <v>66</v>
      </c>
      <c r="AJ25" s="394"/>
      <c r="AK25" s="391">
        <f t="shared" si="1"/>
        <v>17</v>
      </c>
      <c r="AL25" s="392">
        <f t="shared" si="2"/>
        <v>17</v>
      </c>
    </row>
    <row r="26" ht="39.75" customHeight="1">
      <c r="A26" s="385" t="s">
        <v>124</v>
      </c>
      <c r="B26" s="386" t="s">
        <v>125</v>
      </c>
      <c r="C26" s="388" t="s">
        <v>56</v>
      </c>
      <c r="D26" s="388"/>
      <c r="E26" s="389" t="s">
        <v>56</v>
      </c>
      <c r="F26" s="389"/>
      <c r="G26" s="389" t="s">
        <v>56</v>
      </c>
      <c r="H26" s="389"/>
      <c r="I26" s="389" t="s">
        <v>56</v>
      </c>
      <c r="J26" s="389"/>
      <c r="K26" s="389" t="s">
        <v>47</v>
      </c>
      <c r="L26" s="389"/>
      <c r="M26" s="389" t="s">
        <v>47</v>
      </c>
      <c r="N26" s="389"/>
      <c r="O26" s="389" t="s">
        <v>47</v>
      </c>
      <c r="P26" s="389"/>
      <c r="Q26" s="389" t="s">
        <v>47</v>
      </c>
      <c r="R26" s="389"/>
      <c r="S26" s="389" t="s">
        <v>66</v>
      </c>
      <c r="T26" s="389"/>
      <c r="U26" s="389" t="s">
        <v>66</v>
      </c>
      <c r="V26" s="394"/>
      <c r="W26" s="389" t="s">
        <v>66</v>
      </c>
      <c r="X26" s="389"/>
      <c r="Y26" s="389" t="s">
        <v>66</v>
      </c>
      <c r="Z26" s="394"/>
      <c r="AA26" s="389" t="s">
        <v>66</v>
      </c>
      <c r="AB26" s="394"/>
      <c r="AC26" s="389" t="s">
        <v>66</v>
      </c>
      <c r="AD26" s="389"/>
      <c r="AE26" s="389" t="s">
        <v>66</v>
      </c>
      <c r="AF26" s="394"/>
      <c r="AG26" s="389" t="s">
        <v>66</v>
      </c>
      <c r="AH26" s="394"/>
      <c r="AI26" s="389" t="s">
        <v>66</v>
      </c>
      <c r="AJ26" s="394"/>
      <c r="AK26" s="391">
        <f t="shared" si="1"/>
        <v>17</v>
      </c>
      <c r="AL26" s="392">
        <f t="shared" si="2"/>
        <v>17</v>
      </c>
    </row>
    <row r="27" ht="39.75" customHeight="1">
      <c r="A27" s="395" t="s">
        <v>126</v>
      </c>
      <c r="B27" s="396" t="s">
        <v>127</v>
      </c>
      <c r="C27" s="397"/>
      <c r="D27" s="398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399"/>
      <c r="AC27" s="399"/>
      <c r="AD27" s="399"/>
      <c r="AE27" s="399"/>
      <c r="AF27" s="399"/>
      <c r="AG27" s="399"/>
      <c r="AH27" s="399"/>
      <c r="AI27" s="400"/>
      <c r="AJ27" s="400"/>
      <c r="AK27" s="529"/>
      <c r="AL27" s="530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04"/>
      <c r="BE27" s="404"/>
      <c r="BF27" s="404"/>
    </row>
    <row r="28" ht="39.75" customHeight="1">
      <c r="A28" s="385" t="s">
        <v>128</v>
      </c>
      <c r="B28" s="386" t="s">
        <v>129</v>
      </c>
      <c r="C28" s="388" t="s">
        <v>56</v>
      </c>
      <c r="D28" s="388"/>
      <c r="E28" s="389" t="s">
        <v>56</v>
      </c>
      <c r="F28" s="389"/>
      <c r="G28" s="389" t="s">
        <v>56</v>
      </c>
      <c r="H28" s="389"/>
      <c r="I28" s="389" t="s">
        <v>56</v>
      </c>
      <c r="J28" s="389"/>
      <c r="K28" s="389" t="s">
        <v>47</v>
      </c>
      <c r="L28" s="389"/>
      <c r="M28" s="389" t="s">
        <v>47</v>
      </c>
      <c r="N28" s="389"/>
      <c r="O28" s="389" t="s">
        <v>47</v>
      </c>
      <c r="P28" s="389"/>
      <c r="Q28" s="389" t="s">
        <v>47</v>
      </c>
      <c r="R28" s="389"/>
      <c r="S28" s="389" t="s">
        <v>66</v>
      </c>
      <c r="T28" s="389"/>
      <c r="U28" s="389" t="s">
        <v>66</v>
      </c>
      <c r="V28" s="394"/>
      <c r="W28" s="389" t="s">
        <v>66</v>
      </c>
      <c r="X28" s="389"/>
      <c r="Y28" s="389" t="s">
        <v>66</v>
      </c>
      <c r="Z28" s="394"/>
      <c r="AA28" s="389" t="s">
        <v>66</v>
      </c>
      <c r="AB28" s="394"/>
      <c r="AC28" s="389" t="s">
        <v>66</v>
      </c>
      <c r="AD28" s="389"/>
      <c r="AE28" s="389" t="s">
        <v>66</v>
      </c>
      <c r="AF28" s="394"/>
      <c r="AG28" s="389" t="s">
        <v>66</v>
      </c>
      <c r="AH28" s="394"/>
      <c r="AI28" s="389" t="s">
        <v>66</v>
      </c>
      <c r="AJ28" s="394"/>
      <c r="AK28" s="391">
        <f t="shared" ref="AK28:AK29" si="3">COUNTIF(B28:AJ28,"&gt;=R")</f>
        <v>17</v>
      </c>
      <c r="AL28" s="392">
        <f t="shared" ref="AL28:AL29" si="4">AK28</f>
        <v>17</v>
      </c>
    </row>
    <row r="29" ht="39.75" customHeight="1">
      <c r="A29" s="385" t="s">
        <v>130</v>
      </c>
      <c r="B29" s="386" t="s">
        <v>131</v>
      </c>
      <c r="C29" s="388" t="s">
        <v>56</v>
      </c>
      <c r="D29" s="388"/>
      <c r="E29" s="389" t="s">
        <v>56</v>
      </c>
      <c r="F29" s="389"/>
      <c r="G29" s="389" t="s">
        <v>56</v>
      </c>
      <c r="H29" s="389"/>
      <c r="I29" s="389" t="s">
        <v>56</v>
      </c>
      <c r="J29" s="389"/>
      <c r="K29" s="389" t="s">
        <v>47</v>
      </c>
      <c r="L29" s="389"/>
      <c r="M29" s="389" t="s">
        <v>47</v>
      </c>
      <c r="N29" s="389"/>
      <c r="O29" s="389" t="s">
        <v>47</v>
      </c>
      <c r="P29" s="389"/>
      <c r="Q29" s="389" t="s">
        <v>47</v>
      </c>
      <c r="R29" s="389"/>
      <c r="S29" s="389" t="s">
        <v>66</v>
      </c>
      <c r="T29" s="389"/>
      <c r="U29" s="389" t="s">
        <v>66</v>
      </c>
      <c r="V29" s="394"/>
      <c r="W29" s="389" t="s">
        <v>66</v>
      </c>
      <c r="X29" s="389"/>
      <c r="Y29" s="389" t="s">
        <v>66</v>
      </c>
      <c r="Z29" s="394"/>
      <c r="AA29" s="389" t="s">
        <v>66</v>
      </c>
      <c r="AB29" s="394"/>
      <c r="AC29" s="389" t="s">
        <v>66</v>
      </c>
      <c r="AD29" s="389"/>
      <c r="AE29" s="389" t="s">
        <v>66</v>
      </c>
      <c r="AF29" s="394"/>
      <c r="AG29" s="389" t="s">
        <v>66</v>
      </c>
      <c r="AH29" s="394"/>
      <c r="AI29" s="389" t="s">
        <v>66</v>
      </c>
      <c r="AJ29" s="394"/>
      <c r="AK29" s="391">
        <f t="shared" si="3"/>
        <v>17</v>
      </c>
      <c r="AL29" s="392">
        <f t="shared" si="4"/>
        <v>17</v>
      </c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</row>
    <row r="30" ht="39.75" customHeight="1">
      <c r="A30" s="395" t="s">
        <v>132</v>
      </c>
      <c r="B30" s="396" t="s">
        <v>133</v>
      </c>
      <c r="C30" s="397"/>
      <c r="D30" s="398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399"/>
      <c r="AI30" s="400"/>
      <c r="AJ30" s="400"/>
      <c r="AK30" s="529"/>
      <c r="AL30" s="530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</row>
    <row r="31" ht="39.75" customHeight="1">
      <c r="A31" s="402" t="s">
        <v>134</v>
      </c>
      <c r="B31" s="386" t="s">
        <v>135</v>
      </c>
      <c r="C31" s="387" t="s">
        <v>76</v>
      </c>
      <c r="D31" s="388"/>
      <c r="E31" s="387" t="s">
        <v>76</v>
      </c>
      <c r="F31" s="389"/>
      <c r="G31" s="387" t="s">
        <v>76</v>
      </c>
      <c r="H31" s="389"/>
      <c r="I31" s="389" t="s">
        <v>76</v>
      </c>
      <c r="J31" s="389"/>
      <c r="K31" s="389" t="s">
        <v>76</v>
      </c>
      <c r="L31" s="389"/>
      <c r="M31" s="389" t="s">
        <v>76</v>
      </c>
      <c r="N31" s="389"/>
      <c r="O31" s="389" t="s">
        <v>76</v>
      </c>
      <c r="P31" s="389"/>
      <c r="Q31" s="389" t="s">
        <v>76</v>
      </c>
      <c r="R31" s="389"/>
      <c r="S31" s="389" t="s">
        <v>37</v>
      </c>
      <c r="T31" s="389"/>
      <c r="U31" s="389" t="s">
        <v>37</v>
      </c>
      <c r="V31" s="389"/>
      <c r="W31" s="389" t="s">
        <v>37</v>
      </c>
      <c r="X31" s="389"/>
      <c r="Y31" s="389" t="s">
        <v>37</v>
      </c>
      <c r="Z31" s="389"/>
      <c r="AA31" s="389" t="s">
        <v>37</v>
      </c>
      <c r="AB31" s="389"/>
      <c r="AC31" s="389" t="s">
        <v>37</v>
      </c>
      <c r="AD31" s="389"/>
      <c r="AE31" s="389" t="s">
        <v>37</v>
      </c>
      <c r="AF31" s="389"/>
      <c r="AG31" s="389"/>
      <c r="AH31" s="389"/>
      <c r="AI31" s="389"/>
      <c r="AJ31" s="394"/>
      <c r="AK31" s="391">
        <f>COUNTIF(C31:AJ31,"&gt;=R")</f>
        <v>15</v>
      </c>
      <c r="AL31" s="392">
        <f>AK31</f>
        <v>15</v>
      </c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</row>
    <row r="32" ht="39.75" customHeight="1">
      <c r="A32" s="395" t="s">
        <v>136</v>
      </c>
      <c r="B32" s="396" t="s">
        <v>137</v>
      </c>
      <c r="C32" s="397"/>
      <c r="D32" s="398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399"/>
      <c r="AI32" s="400"/>
      <c r="AJ32" s="400"/>
      <c r="AK32" s="529"/>
      <c r="AL32" s="530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</row>
    <row r="33" ht="39.75" customHeight="1">
      <c r="A33" s="385" t="s">
        <v>138</v>
      </c>
      <c r="B33" s="386" t="s">
        <v>139</v>
      </c>
      <c r="C33" s="387" t="s">
        <v>76</v>
      </c>
      <c r="D33" s="388"/>
      <c r="E33" s="394" t="s">
        <v>76</v>
      </c>
      <c r="F33" s="389"/>
      <c r="G33" s="394" t="s">
        <v>76</v>
      </c>
      <c r="H33" s="389"/>
      <c r="I33" s="389" t="s">
        <v>76</v>
      </c>
      <c r="J33" s="389"/>
      <c r="K33" s="389" t="s">
        <v>76</v>
      </c>
      <c r="L33" s="389"/>
      <c r="M33" s="389" t="s">
        <v>76</v>
      </c>
      <c r="N33" s="389"/>
      <c r="O33" s="389" t="s">
        <v>76</v>
      </c>
      <c r="P33" s="389"/>
      <c r="Q33" s="389" t="s">
        <v>76</v>
      </c>
      <c r="R33" s="389"/>
      <c r="S33" s="389" t="s">
        <v>37</v>
      </c>
      <c r="T33" s="389"/>
      <c r="U33" s="389" t="s">
        <v>37</v>
      </c>
      <c r="V33" s="389"/>
      <c r="W33" s="389" t="s">
        <v>37</v>
      </c>
      <c r="X33" s="389"/>
      <c r="Y33" s="389" t="s">
        <v>37</v>
      </c>
      <c r="Z33" s="389"/>
      <c r="AA33" s="389" t="s">
        <v>37</v>
      </c>
      <c r="AB33" s="389"/>
      <c r="AC33" s="389" t="s">
        <v>37</v>
      </c>
      <c r="AD33" s="389"/>
      <c r="AE33" s="389" t="s">
        <v>37</v>
      </c>
      <c r="AF33" s="389"/>
      <c r="AG33" s="394"/>
      <c r="AH33" s="394"/>
      <c r="AI33" s="394"/>
      <c r="AJ33" s="394"/>
      <c r="AK33" s="391">
        <f t="shared" ref="AK33:AK34" si="5">COUNTIF(C33:AJ33,"&gt;=R")</f>
        <v>15</v>
      </c>
      <c r="AL33" s="392">
        <f t="shared" ref="AL33:AL34" si="6">AK33</f>
        <v>15</v>
      </c>
    </row>
    <row r="34" ht="39.75" customHeight="1">
      <c r="A34" s="404" t="s">
        <v>140</v>
      </c>
      <c r="B34" s="405" t="s">
        <v>141</v>
      </c>
      <c r="C34" s="387" t="s">
        <v>92</v>
      </c>
      <c r="D34" s="388"/>
      <c r="E34" s="387" t="s">
        <v>92</v>
      </c>
      <c r="F34" s="389"/>
      <c r="G34" s="387" t="s">
        <v>92</v>
      </c>
      <c r="H34" s="389"/>
      <c r="I34" s="389" t="s">
        <v>92</v>
      </c>
      <c r="J34" s="389"/>
      <c r="K34" s="389" t="s">
        <v>76</v>
      </c>
      <c r="L34" s="389"/>
      <c r="M34" s="389" t="s">
        <v>76</v>
      </c>
      <c r="N34" s="389"/>
      <c r="O34" s="389" t="s">
        <v>76</v>
      </c>
      <c r="P34" s="389"/>
      <c r="Q34" s="389" t="s">
        <v>76</v>
      </c>
      <c r="R34" s="389"/>
      <c r="S34" s="389" t="s">
        <v>37</v>
      </c>
      <c r="T34" s="389"/>
      <c r="U34" s="389" t="s">
        <v>37</v>
      </c>
      <c r="V34" s="389"/>
      <c r="W34" s="389" t="s">
        <v>37</v>
      </c>
      <c r="X34" s="389"/>
      <c r="Y34" s="389" t="s">
        <v>37</v>
      </c>
      <c r="Z34" s="389"/>
      <c r="AA34" s="389" t="s">
        <v>37</v>
      </c>
      <c r="AB34" s="389"/>
      <c r="AC34" s="389" t="s">
        <v>37</v>
      </c>
      <c r="AD34" s="389"/>
      <c r="AE34" s="389" t="s">
        <v>37</v>
      </c>
      <c r="AF34" s="389"/>
      <c r="AG34" s="394"/>
      <c r="AH34" s="394"/>
      <c r="AI34" s="394"/>
      <c r="AJ34" s="394"/>
      <c r="AK34" s="391">
        <f t="shared" si="5"/>
        <v>15</v>
      </c>
      <c r="AL34" s="392">
        <f t="shared" si="6"/>
        <v>15</v>
      </c>
    </row>
    <row r="35" ht="39.75" customHeight="1">
      <c r="A35" s="395" t="s">
        <v>142</v>
      </c>
      <c r="B35" s="396" t="s">
        <v>143</v>
      </c>
      <c r="C35" s="397"/>
      <c r="D35" s="398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400"/>
      <c r="AJ35" s="400"/>
      <c r="AK35" s="529"/>
      <c r="AL35" s="530"/>
    </row>
    <row r="36" ht="39.75" customHeight="1">
      <c r="A36" s="402" t="s">
        <v>144</v>
      </c>
      <c r="B36" s="386" t="s">
        <v>145</v>
      </c>
      <c r="C36" s="388" t="s">
        <v>38</v>
      </c>
      <c r="D36" s="388"/>
      <c r="E36" s="389" t="s">
        <v>38</v>
      </c>
      <c r="F36" s="389"/>
      <c r="G36" s="389" t="s">
        <v>38</v>
      </c>
      <c r="H36" s="389"/>
      <c r="I36" s="389" t="s">
        <v>38</v>
      </c>
      <c r="J36" s="389"/>
      <c r="K36" s="389" t="s">
        <v>38</v>
      </c>
      <c r="L36" s="389"/>
      <c r="M36" s="389" t="s">
        <v>76</v>
      </c>
      <c r="N36" s="389"/>
      <c r="O36" s="389" t="s">
        <v>38</v>
      </c>
      <c r="P36" s="389"/>
      <c r="Q36" s="389" t="s">
        <v>76</v>
      </c>
      <c r="R36" s="389"/>
      <c r="S36" s="389" t="s">
        <v>37</v>
      </c>
      <c r="T36" s="389"/>
      <c r="U36" s="389" t="s">
        <v>37</v>
      </c>
      <c r="V36" s="389"/>
      <c r="W36" s="389" t="s">
        <v>37</v>
      </c>
      <c r="X36" s="389"/>
      <c r="Y36" s="389" t="s">
        <v>37</v>
      </c>
      <c r="Z36" s="389"/>
      <c r="AA36" s="389" t="s">
        <v>37</v>
      </c>
      <c r="AB36" s="389"/>
      <c r="AC36" s="389" t="s">
        <v>37</v>
      </c>
      <c r="AD36" s="389"/>
      <c r="AE36" s="389" t="s">
        <v>37</v>
      </c>
      <c r="AF36" s="389"/>
      <c r="AG36" s="394"/>
      <c r="AH36" s="389"/>
      <c r="AI36" s="389"/>
      <c r="AJ36" s="394"/>
      <c r="AK36" s="391">
        <f>COUNTIF(C36:AJ36,"&gt;=R")</f>
        <v>15</v>
      </c>
      <c r="AL36" s="392">
        <f>AK36</f>
        <v>15</v>
      </c>
    </row>
    <row r="37" ht="39.75" customHeight="1">
      <c r="A37" s="395" t="s">
        <v>146</v>
      </c>
      <c r="B37" s="396" t="s">
        <v>147</v>
      </c>
      <c r="C37" s="397"/>
      <c r="D37" s="398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400"/>
      <c r="AJ37" s="400"/>
      <c r="AK37" s="529"/>
      <c r="AL37" s="530"/>
    </row>
    <row r="38" ht="39.75" customHeight="1">
      <c r="A38" s="385" t="s">
        <v>148</v>
      </c>
      <c r="B38" s="386" t="s">
        <v>139</v>
      </c>
      <c r="C38" s="388" t="s">
        <v>38</v>
      </c>
      <c r="D38" s="388"/>
      <c r="E38" s="389" t="s">
        <v>38</v>
      </c>
      <c r="F38" s="389"/>
      <c r="G38" s="394" t="s">
        <v>38</v>
      </c>
      <c r="H38" s="389"/>
      <c r="I38" s="389" t="s">
        <v>38</v>
      </c>
      <c r="J38" s="389"/>
      <c r="K38" s="389" t="s">
        <v>38</v>
      </c>
      <c r="L38" s="389"/>
      <c r="M38" s="389" t="s">
        <v>76</v>
      </c>
      <c r="N38" s="389"/>
      <c r="O38" s="389" t="s">
        <v>38</v>
      </c>
      <c r="P38" s="389"/>
      <c r="Q38" s="389" t="s">
        <v>76</v>
      </c>
      <c r="R38" s="389"/>
      <c r="S38" s="389" t="s">
        <v>27</v>
      </c>
      <c r="T38" s="389"/>
      <c r="U38" s="389" t="s">
        <v>27</v>
      </c>
      <c r="V38" s="389"/>
      <c r="W38" s="389" t="s">
        <v>27</v>
      </c>
      <c r="X38" s="389"/>
      <c r="Y38" s="389" t="s">
        <v>27</v>
      </c>
      <c r="Z38" s="389"/>
      <c r="AA38" s="394" t="s">
        <v>27</v>
      </c>
      <c r="AB38" s="389"/>
      <c r="AC38" s="389" t="s">
        <v>27</v>
      </c>
      <c r="AD38" s="389"/>
      <c r="AE38" s="389" t="s">
        <v>27</v>
      </c>
      <c r="AF38" s="389"/>
      <c r="AG38" s="389"/>
      <c r="AH38" s="389"/>
      <c r="AI38" s="394"/>
      <c r="AJ38" s="394"/>
      <c r="AK38" s="391">
        <f t="shared" ref="AK38:AK46" si="7">COUNTIF(C38:AJ38,"&gt;=R")</f>
        <v>15</v>
      </c>
      <c r="AL38" s="392">
        <f t="shared" ref="AL38:AL46" si="8">AK38</f>
        <v>15</v>
      </c>
    </row>
    <row r="39" ht="39.75" customHeight="1">
      <c r="A39" s="385" t="s">
        <v>149</v>
      </c>
      <c r="B39" s="386" t="s">
        <v>150</v>
      </c>
      <c r="C39" s="388" t="s">
        <v>48</v>
      </c>
      <c r="D39" s="388"/>
      <c r="E39" s="389" t="s">
        <v>48</v>
      </c>
      <c r="F39" s="389"/>
      <c r="G39" s="389" t="s">
        <v>48</v>
      </c>
      <c r="H39" s="389"/>
      <c r="I39" s="394" t="s">
        <v>38</v>
      </c>
      <c r="J39" s="389"/>
      <c r="K39" s="394" t="s">
        <v>38</v>
      </c>
      <c r="L39" s="389"/>
      <c r="M39" s="394" t="s">
        <v>76</v>
      </c>
      <c r="N39" s="389"/>
      <c r="O39" s="394" t="s">
        <v>38</v>
      </c>
      <c r="P39" s="389"/>
      <c r="Q39" s="389" t="s">
        <v>76</v>
      </c>
      <c r="R39" s="389"/>
      <c r="S39" s="389" t="s">
        <v>7</v>
      </c>
      <c r="T39" s="389"/>
      <c r="U39" s="389" t="s">
        <v>7</v>
      </c>
      <c r="V39" s="389"/>
      <c r="W39" s="389" t="s">
        <v>7</v>
      </c>
      <c r="X39" s="389"/>
      <c r="Y39" s="389" t="s">
        <v>7</v>
      </c>
      <c r="Z39" s="389"/>
      <c r="AA39" s="389" t="s">
        <v>7</v>
      </c>
      <c r="AB39" s="389"/>
      <c r="AC39" s="389" t="s">
        <v>7</v>
      </c>
      <c r="AD39" s="389"/>
      <c r="AE39" s="389" t="s">
        <v>7</v>
      </c>
      <c r="AF39" s="389"/>
      <c r="AG39" s="389"/>
      <c r="AH39" s="389"/>
      <c r="AI39" s="389"/>
      <c r="AJ39" s="394"/>
      <c r="AK39" s="391">
        <f t="shared" si="7"/>
        <v>15</v>
      </c>
      <c r="AL39" s="392">
        <f t="shared" si="8"/>
        <v>15</v>
      </c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</row>
    <row r="40" ht="39.75" customHeight="1">
      <c r="A40" s="407" t="s">
        <v>151</v>
      </c>
      <c r="B40" s="408" t="s">
        <v>152</v>
      </c>
      <c r="C40" s="387"/>
      <c r="D40" s="388"/>
      <c r="E40" s="389"/>
      <c r="F40" s="389"/>
      <c r="G40" s="389"/>
      <c r="H40" s="389"/>
      <c r="I40" s="389"/>
      <c r="J40" s="389"/>
      <c r="K40" s="389"/>
      <c r="L40" s="389"/>
      <c r="M40" s="394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94"/>
      <c r="AK40" s="391">
        <f t="shared" si="7"/>
        <v>0</v>
      </c>
      <c r="AL40" s="392">
        <f t="shared" si="8"/>
        <v>0</v>
      </c>
    </row>
    <row r="41" ht="39.75" customHeight="1">
      <c r="A41" s="385" t="s">
        <v>153</v>
      </c>
      <c r="B41" s="386" t="s">
        <v>154</v>
      </c>
      <c r="C41" s="387" t="s">
        <v>93</v>
      </c>
      <c r="D41" s="388"/>
      <c r="E41" s="387" t="s">
        <v>93</v>
      </c>
      <c r="F41" s="389"/>
      <c r="G41" s="387" t="s">
        <v>93</v>
      </c>
      <c r="H41" s="389"/>
      <c r="I41" s="387" t="s">
        <v>93</v>
      </c>
      <c r="J41" s="389"/>
      <c r="K41" s="387" t="s">
        <v>93</v>
      </c>
      <c r="L41" s="389"/>
      <c r="M41" s="389" t="s">
        <v>93</v>
      </c>
      <c r="N41" s="389"/>
      <c r="O41" s="389" t="s">
        <v>93</v>
      </c>
      <c r="P41" s="389"/>
      <c r="Q41" s="389" t="s">
        <v>93</v>
      </c>
      <c r="R41" s="389"/>
      <c r="S41" s="389" t="s">
        <v>93</v>
      </c>
      <c r="T41" s="389"/>
      <c r="U41" s="389" t="s">
        <v>93</v>
      </c>
      <c r="V41" s="389"/>
      <c r="W41" s="389" t="s">
        <v>93</v>
      </c>
      <c r="X41" s="389"/>
      <c r="Y41" s="389" t="s">
        <v>93</v>
      </c>
      <c r="Z41" s="389"/>
      <c r="AA41" s="389" t="s">
        <v>93</v>
      </c>
      <c r="AB41" s="389"/>
      <c r="AC41" s="389" t="s">
        <v>93</v>
      </c>
      <c r="AD41" s="389"/>
      <c r="AE41" s="389" t="s">
        <v>93</v>
      </c>
      <c r="AF41" s="389"/>
      <c r="AG41" s="389"/>
      <c r="AH41" s="389"/>
      <c r="AI41" s="389"/>
      <c r="AJ41" s="394"/>
      <c r="AK41" s="391">
        <f t="shared" si="7"/>
        <v>15</v>
      </c>
      <c r="AL41" s="392">
        <f t="shared" si="8"/>
        <v>15</v>
      </c>
    </row>
    <row r="42" ht="39.75" customHeight="1">
      <c r="A42" s="385" t="s">
        <v>155</v>
      </c>
      <c r="B42" s="386" t="s">
        <v>156</v>
      </c>
      <c r="C42" s="387"/>
      <c r="D42" s="388"/>
      <c r="E42" s="394"/>
      <c r="F42" s="389"/>
      <c r="G42" s="394"/>
      <c r="H42" s="389"/>
      <c r="I42" s="394"/>
      <c r="J42" s="389"/>
      <c r="K42" s="394"/>
      <c r="L42" s="389"/>
      <c r="M42" s="394"/>
      <c r="N42" s="389"/>
      <c r="O42" s="394"/>
      <c r="P42" s="389"/>
      <c r="Q42" s="394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94"/>
      <c r="AH42" s="389"/>
      <c r="AI42" s="394"/>
      <c r="AJ42" s="394"/>
      <c r="AK42" s="391">
        <f t="shared" si="7"/>
        <v>0</v>
      </c>
      <c r="AL42" s="392">
        <f t="shared" si="8"/>
        <v>0</v>
      </c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</row>
    <row r="43" ht="39.75" customHeight="1">
      <c r="A43" s="385" t="s">
        <v>157</v>
      </c>
      <c r="B43" s="386" t="s">
        <v>158</v>
      </c>
      <c r="C43" s="388" t="s">
        <v>48</v>
      </c>
      <c r="D43" s="388"/>
      <c r="E43" s="389" t="s">
        <v>48</v>
      </c>
      <c r="F43" s="389"/>
      <c r="G43" s="389" t="s">
        <v>48</v>
      </c>
      <c r="H43" s="389"/>
      <c r="I43" s="394" t="s">
        <v>48</v>
      </c>
      <c r="J43" s="389"/>
      <c r="K43" s="394" t="s">
        <v>48</v>
      </c>
      <c r="L43" s="389"/>
      <c r="M43" s="419" t="s">
        <v>84</v>
      </c>
      <c r="N43" s="389"/>
      <c r="O43" s="394" t="s">
        <v>48</v>
      </c>
      <c r="P43" s="389"/>
      <c r="Q43" s="389" t="s">
        <v>7</v>
      </c>
      <c r="R43" s="389"/>
      <c r="S43" s="389" t="s">
        <v>7</v>
      </c>
      <c r="T43" s="389"/>
      <c r="U43" s="389" t="s">
        <v>7</v>
      </c>
      <c r="V43" s="389"/>
      <c r="W43" s="389" t="s">
        <v>7</v>
      </c>
      <c r="X43" s="389"/>
      <c r="Y43" s="389" t="s">
        <v>7</v>
      </c>
      <c r="Z43" s="389"/>
      <c r="AA43" s="389" t="s">
        <v>7</v>
      </c>
      <c r="AB43" s="389"/>
      <c r="AC43" s="389" t="s">
        <v>7</v>
      </c>
      <c r="AD43" s="389"/>
      <c r="AE43" s="389" t="s">
        <v>7</v>
      </c>
      <c r="AF43" s="389"/>
      <c r="AG43" s="389"/>
      <c r="AH43" s="389"/>
      <c r="AI43" s="389"/>
      <c r="AJ43" s="394"/>
      <c r="AK43" s="391">
        <f t="shared" si="7"/>
        <v>15</v>
      </c>
      <c r="AL43" s="392">
        <f t="shared" si="8"/>
        <v>15</v>
      </c>
    </row>
    <row r="44" ht="39.75" customHeight="1">
      <c r="A44" s="385" t="s">
        <v>159</v>
      </c>
      <c r="B44" s="386" t="s">
        <v>160</v>
      </c>
      <c r="C44" s="387" t="s">
        <v>93</v>
      </c>
      <c r="D44" s="388"/>
      <c r="E44" s="389" t="s">
        <v>93</v>
      </c>
      <c r="F44" s="389"/>
      <c r="G44" s="389" t="s">
        <v>85</v>
      </c>
      <c r="H44" s="389"/>
      <c r="I44" s="389" t="s">
        <v>93</v>
      </c>
      <c r="J44" s="389"/>
      <c r="K44" s="389" t="s">
        <v>93</v>
      </c>
      <c r="L44" s="389"/>
      <c r="M44" s="389" t="s">
        <v>92</v>
      </c>
      <c r="N44" s="389"/>
      <c r="O44" s="389" t="s">
        <v>93</v>
      </c>
      <c r="P44" s="389"/>
      <c r="Q44" s="389" t="s">
        <v>93</v>
      </c>
      <c r="R44" s="389"/>
      <c r="S44" s="592" t="s">
        <v>37</v>
      </c>
      <c r="T44" s="389"/>
      <c r="U44" s="389" t="s">
        <v>93</v>
      </c>
      <c r="V44" s="389"/>
      <c r="W44" s="389" t="s">
        <v>93</v>
      </c>
      <c r="X44" s="389"/>
      <c r="Y44" s="389" t="s">
        <v>93</v>
      </c>
      <c r="Z44" s="389"/>
      <c r="AA44" s="389" t="s">
        <v>93</v>
      </c>
      <c r="AB44" s="389"/>
      <c r="AC44" s="592" t="s">
        <v>37</v>
      </c>
      <c r="AD44" s="389"/>
      <c r="AE44" s="592" t="s">
        <v>37</v>
      </c>
      <c r="AF44" s="389"/>
      <c r="AG44" s="389"/>
      <c r="AH44" s="389"/>
      <c r="AI44" s="389"/>
      <c r="AJ44" s="394"/>
      <c r="AK44" s="391">
        <f t="shared" si="7"/>
        <v>15</v>
      </c>
      <c r="AL44" s="392">
        <f t="shared" si="8"/>
        <v>15</v>
      </c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</row>
    <row r="45" ht="39.75" customHeight="1">
      <c r="A45" s="385" t="s">
        <v>161</v>
      </c>
      <c r="B45" s="386" t="s">
        <v>162</v>
      </c>
      <c r="C45" s="387" t="s">
        <v>85</v>
      </c>
      <c r="D45" s="388"/>
      <c r="E45" s="389" t="s">
        <v>93</v>
      </c>
      <c r="F45" s="389"/>
      <c r="G45" s="389" t="s">
        <v>85</v>
      </c>
      <c r="H45" s="389"/>
      <c r="I45" s="389" t="s">
        <v>93</v>
      </c>
      <c r="J45" s="389"/>
      <c r="K45" s="389" t="s">
        <v>93</v>
      </c>
      <c r="L45" s="389"/>
      <c r="M45" s="389" t="s">
        <v>92</v>
      </c>
      <c r="N45" s="389"/>
      <c r="O45" s="389" t="s">
        <v>85</v>
      </c>
      <c r="P45" s="389"/>
      <c r="Q45" s="389" t="s">
        <v>93</v>
      </c>
      <c r="R45" s="389"/>
      <c r="S45" s="389" t="s">
        <v>37</v>
      </c>
      <c r="T45" s="389"/>
      <c r="U45" s="389" t="s">
        <v>93</v>
      </c>
      <c r="V45" s="389"/>
      <c r="W45" s="389" t="s">
        <v>93</v>
      </c>
      <c r="X45" s="389"/>
      <c r="Y45" s="389" t="s">
        <v>93</v>
      </c>
      <c r="Z45" s="389"/>
      <c r="AA45" s="389" t="s">
        <v>93</v>
      </c>
      <c r="AB45" s="389"/>
      <c r="AC45" s="389" t="s">
        <v>37</v>
      </c>
      <c r="AD45" s="389"/>
      <c r="AE45" s="389" t="s">
        <v>37</v>
      </c>
      <c r="AF45" s="389"/>
      <c r="AG45" s="389"/>
      <c r="AH45" s="389"/>
      <c r="AI45" s="394"/>
      <c r="AJ45" s="394"/>
      <c r="AK45" s="391">
        <f t="shared" si="7"/>
        <v>15</v>
      </c>
      <c r="AL45" s="392">
        <f t="shared" si="8"/>
        <v>15</v>
      </c>
    </row>
    <row r="46" ht="39.75" customHeight="1">
      <c r="A46" s="385" t="s">
        <v>163</v>
      </c>
      <c r="B46" s="386" t="s">
        <v>164</v>
      </c>
      <c r="C46" s="387" t="s">
        <v>85</v>
      </c>
      <c r="D46" s="388"/>
      <c r="E46" s="394" t="s">
        <v>93</v>
      </c>
      <c r="F46" s="389"/>
      <c r="G46" s="389" t="s">
        <v>85</v>
      </c>
      <c r="H46" s="389"/>
      <c r="I46" s="389" t="s">
        <v>93</v>
      </c>
      <c r="J46" s="389"/>
      <c r="K46" s="389" t="s">
        <v>93</v>
      </c>
      <c r="L46" s="389"/>
      <c r="M46" s="394" t="s">
        <v>92</v>
      </c>
      <c r="N46" s="389"/>
      <c r="O46" s="389" t="s">
        <v>85</v>
      </c>
      <c r="P46" s="389"/>
      <c r="Q46" s="389" t="s">
        <v>93</v>
      </c>
      <c r="R46" s="389"/>
      <c r="S46" s="418" t="s">
        <v>84</v>
      </c>
      <c r="T46" s="389"/>
      <c r="U46" s="418" t="s">
        <v>84</v>
      </c>
      <c r="V46" s="389"/>
      <c r="W46" s="418" t="s">
        <v>84</v>
      </c>
      <c r="X46" s="389"/>
      <c r="Y46" s="418" t="s">
        <v>84</v>
      </c>
      <c r="Z46" s="389"/>
      <c r="AA46" s="389" t="s">
        <v>17</v>
      </c>
      <c r="AB46" s="389"/>
      <c r="AC46" s="389" t="s">
        <v>17</v>
      </c>
      <c r="AD46" s="389"/>
      <c r="AE46" s="389" t="s">
        <v>17</v>
      </c>
      <c r="AF46" s="389"/>
      <c r="AG46" s="389"/>
      <c r="AH46" s="389"/>
      <c r="AI46" s="389"/>
      <c r="AJ46" s="394"/>
      <c r="AK46" s="391">
        <f t="shared" si="7"/>
        <v>15</v>
      </c>
      <c r="AL46" s="392">
        <f t="shared" si="8"/>
        <v>15</v>
      </c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</row>
    <row r="47" ht="39.75" customHeight="1">
      <c r="A47" s="378" t="s">
        <v>165</v>
      </c>
      <c r="B47" s="379" t="s">
        <v>166</v>
      </c>
      <c r="C47" s="397"/>
      <c r="D47" s="398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400"/>
      <c r="AJ47" s="400"/>
      <c r="AK47" s="529"/>
      <c r="AL47" s="530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</row>
    <row r="48" ht="39.75" customHeight="1">
      <c r="A48" s="409" t="s">
        <v>167</v>
      </c>
      <c r="B48" s="410" t="s">
        <v>168</v>
      </c>
      <c r="C48" s="387"/>
      <c r="D48" s="388"/>
      <c r="E48" s="389"/>
      <c r="F48" s="389"/>
      <c r="G48" s="394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94"/>
      <c r="X48" s="389"/>
      <c r="Y48" s="394"/>
      <c r="Z48" s="389"/>
      <c r="AA48" s="394"/>
      <c r="AB48" s="389"/>
      <c r="AC48" s="394"/>
      <c r="AD48" s="389"/>
      <c r="AE48" s="394"/>
      <c r="AF48" s="389"/>
      <c r="AG48" s="389"/>
      <c r="AH48" s="389"/>
      <c r="AI48" s="389"/>
      <c r="AJ48" s="394"/>
      <c r="AK48" s="391">
        <f t="shared" ref="AK48:AK50" si="9">COUNTIF(C48:AJ48,"&gt;=R")</f>
        <v>0</v>
      </c>
      <c r="AL48" s="392">
        <f t="shared" ref="AL48:AL50" si="10">AK48</f>
        <v>0</v>
      </c>
    </row>
    <row r="49" ht="39.75" customHeight="1">
      <c r="A49" s="411" t="s">
        <v>169</v>
      </c>
      <c r="B49" s="412" t="s">
        <v>170</v>
      </c>
      <c r="C49" s="387" t="s">
        <v>85</v>
      </c>
      <c r="D49" s="388"/>
      <c r="E49" s="389" t="s">
        <v>85</v>
      </c>
      <c r="F49" s="389"/>
      <c r="G49" s="389" t="s">
        <v>85</v>
      </c>
      <c r="H49" s="389"/>
      <c r="I49" s="389"/>
      <c r="J49" s="389"/>
      <c r="K49" s="389"/>
      <c r="L49" s="389"/>
      <c r="M49" s="389" t="s">
        <v>92</v>
      </c>
      <c r="N49" s="389"/>
      <c r="O49" s="389" t="s">
        <v>85</v>
      </c>
      <c r="P49" s="389"/>
      <c r="Q49" s="389"/>
      <c r="R49" s="389"/>
      <c r="S49" s="389" t="s">
        <v>37</v>
      </c>
      <c r="T49" s="389"/>
      <c r="U49" s="389" t="s">
        <v>17</v>
      </c>
      <c r="V49" s="389"/>
      <c r="W49" s="389" t="s">
        <v>17</v>
      </c>
      <c r="X49" s="389"/>
      <c r="Y49" s="389" t="s">
        <v>17</v>
      </c>
      <c r="Z49" s="389"/>
      <c r="AA49" s="389" t="s">
        <v>7</v>
      </c>
      <c r="AB49" s="389"/>
      <c r="AC49" s="389" t="s">
        <v>7</v>
      </c>
      <c r="AD49" s="389"/>
      <c r="AE49" s="389" t="s">
        <v>7</v>
      </c>
      <c r="AF49" s="389"/>
      <c r="AG49" s="389"/>
      <c r="AH49" s="389"/>
      <c r="AI49" s="389"/>
      <c r="AJ49" s="394"/>
      <c r="AK49" s="391">
        <f t="shared" si="9"/>
        <v>12</v>
      </c>
      <c r="AL49" s="392">
        <f t="shared" si="10"/>
        <v>12</v>
      </c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</row>
    <row r="50" ht="39.75" customHeight="1">
      <c r="A50" s="411" t="s">
        <v>171</v>
      </c>
      <c r="B50" s="412" t="s">
        <v>172</v>
      </c>
      <c r="C50" s="387"/>
      <c r="D50" s="388"/>
      <c r="E50" s="387"/>
      <c r="F50" s="389"/>
      <c r="G50" s="387"/>
      <c r="H50" s="389"/>
      <c r="I50" s="387"/>
      <c r="J50" s="389"/>
      <c r="K50" s="387"/>
      <c r="L50" s="389"/>
      <c r="M50" s="387" t="s">
        <v>68</v>
      </c>
      <c r="N50" s="389"/>
      <c r="O50" s="387"/>
      <c r="P50" s="389"/>
      <c r="Q50" s="387" t="s">
        <v>68</v>
      </c>
      <c r="R50" s="389"/>
      <c r="S50" s="389" t="s">
        <v>68</v>
      </c>
      <c r="T50" s="389"/>
      <c r="U50" s="389" t="s">
        <v>68</v>
      </c>
      <c r="V50" s="389"/>
      <c r="W50" s="389" t="s">
        <v>68</v>
      </c>
      <c r="X50" s="389"/>
      <c r="Y50" s="389" t="s">
        <v>68</v>
      </c>
      <c r="Z50" s="389"/>
      <c r="AA50" s="389" t="s">
        <v>68</v>
      </c>
      <c r="AB50" s="389"/>
      <c r="AC50" s="389" t="s">
        <v>68</v>
      </c>
      <c r="AD50" s="389"/>
      <c r="AE50" s="389" t="s">
        <v>68</v>
      </c>
      <c r="AF50" s="389"/>
      <c r="AG50" s="389"/>
      <c r="AH50" s="389"/>
      <c r="AI50" s="389"/>
      <c r="AJ50" s="394"/>
      <c r="AK50" s="391">
        <f t="shared" si="9"/>
        <v>9</v>
      </c>
      <c r="AL50" s="392">
        <f t="shared" si="10"/>
        <v>9</v>
      </c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</row>
    <row r="51" ht="39.75" customHeight="1">
      <c r="A51" s="414" t="s">
        <v>173</v>
      </c>
      <c r="B51" s="415" t="s">
        <v>174</v>
      </c>
      <c r="C51" s="387"/>
      <c r="D51" s="388"/>
      <c r="E51" s="389"/>
      <c r="F51" s="389"/>
      <c r="G51" s="394"/>
      <c r="H51" s="389"/>
      <c r="I51" s="394"/>
      <c r="J51" s="389"/>
      <c r="K51" s="394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94"/>
      <c r="Z51" s="389"/>
      <c r="AA51" s="394"/>
      <c r="AB51" s="389"/>
      <c r="AC51" s="394"/>
      <c r="AD51" s="389"/>
      <c r="AE51" s="394"/>
      <c r="AF51" s="389"/>
      <c r="AG51" s="389"/>
      <c r="AH51" s="389"/>
      <c r="AI51" s="389"/>
      <c r="AJ51" s="394"/>
      <c r="AK51" s="391"/>
      <c r="AL51" s="392"/>
    </row>
    <row r="52" ht="39.75" customHeight="1">
      <c r="A52" s="411" t="s">
        <v>175</v>
      </c>
      <c r="B52" s="412" t="s">
        <v>176</v>
      </c>
      <c r="C52" s="387" t="s">
        <v>93</v>
      </c>
      <c r="D52" s="388"/>
      <c r="E52" s="387" t="s">
        <v>93</v>
      </c>
      <c r="F52" s="389"/>
      <c r="G52" s="389" t="s">
        <v>93</v>
      </c>
      <c r="H52" s="389"/>
      <c r="I52" s="389"/>
      <c r="J52" s="389"/>
      <c r="K52" s="389"/>
      <c r="L52" s="389"/>
      <c r="M52" s="389" t="s">
        <v>48</v>
      </c>
      <c r="N52" s="389"/>
      <c r="O52" s="389"/>
      <c r="P52" s="389"/>
      <c r="Q52" s="389"/>
      <c r="R52" s="389"/>
      <c r="S52" s="389" t="s">
        <v>38</v>
      </c>
      <c r="T52" s="389"/>
      <c r="U52" s="394"/>
      <c r="V52" s="389"/>
      <c r="W52" s="394"/>
      <c r="X52" s="389"/>
      <c r="Y52" s="394" t="s">
        <v>85</v>
      </c>
      <c r="Z52" s="389"/>
      <c r="AA52" s="394" t="s">
        <v>38</v>
      </c>
      <c r="AB52" s="389"/>
      <c r="AC52" s="394" t="s">
        <v>38</v>
      </c>
      <c r="AD52" s="389"/>
      <c r="AE52" s="389" t="s">
        <v>38</v>
      </c>
      <c r="AF52" s="389"/>
      <c r="AG52" s="389"/>
      <c r="AH52" s="389"/>
      <c r="AI52" s="394"/>
      <c r="AJ52" s="394"/>
      <c r="AK52" s="391">
        <f t="shared" ref="AK52:AK53" si="11">COUNTIF(C52:AJ52,"&gt;=R")</f>
        <v>9</v>
      </c>
      <c r="AL52" s="392">
        <f t="shared" ref="AL52:AL53" si="12">AK52</f>
        <v>9</v>
      </c>
    </row>
    <row r="53" ht="39.75" customHeight="1">
      <c r="A53" s="411" t="s">
        <v>177</v>
      </c>
      <c r="B53" s="412" t="s">
        <v>178</v>
      </c>
      <c r="C53" s="387"/>
      <c r="D53" s="388"/>
      <c r="E53" s="389"/>
      <c r="F53" s="389"/>
      <c r="G53" s="389"/>
      <c r="H53" s="389"/>
      <c r="I53" s="389"/>
      <c r="J53" s="389"/>
      <c r="K53" s="389"/>
      <c r="L53" s="389"/>
      <c r="M53" s="389" t="s">
        <v>57</v>
      </c>
      <c r="N53" s="389"/>
      <c r="O53" s="389"/>
      <c r="P53" s="389"/>
      <c r="Q53" s="389"/>
      <c r="R53" s="389"/>
      <c r="S53" s="389" t="s">
        <v>38</v>
      </c>
      <c r="T53" s="389"/>
      <c r="U53" s="389"/>
      <c r="V53" s="389"/>
      <c r="W53" s="389"/>
      <c r="X53" s="389"/>
      <c r="Y53" s="389" t="s">
        <v>85</v>
      </c>
      <c r="Z53" s="389"/>
      <c r="AA53" s="389" t="s">
        <v>48</v>
      </c>
      <c r="AB53" s="389"/>
      <c r="AC53" s="389" t="s">
        <v>48</v>
      </c>
      <c r="AD53" s="389"/>
      <c r="AE53" s="389" t="s">
        <v>48</v>
      </c>
      <c r="AF53" s="389"/>
      <c r="AG53" s="389"/>
      <c r="AH53" s="389"/>
      <c r="AI53" s="394"/>
      <c r="AJ53" s="394"/>
      <c r="AK53" s="391">
        <f t="shared" si="11"/>
        <v>6</v>
      </c>
      <c r="AL53" s="392">
        <f t="shared" si="12"/>
        <v>6</v>
      </c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</row>
    <row r="54" ht="39.75" customHeight="1">
      <c r="A54" s="414" t="s">
        <v>179</v>
      </c>
      <c r="B54" s="415" t="s">
        <v>180</v>
      </c>
      <c r="C54" s="387"/>
      <c r="D54" s="388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94"/>
      <c r="X54" s="389"/>
      <c r="Y54" s="394"/>
      <c r="Z54" s="389"/>
      <c r="AA54" s="394"/>
      <c r="AB54" s="389"/>
      <c r="AC54" s="394"/>
      <c r="AD54" s="389"/>
      <c r="AE54" s="389"/>
      <c r="AF54" s="389"/>
      <c r="AG54" s="394"/>
      <c r="AH54" s="389"/>
      <c r="AI54" s="394"/>
      <c r="AJ54" s="394"/>
      <c r="AK54" s="391"/>
      <c r="AL54" s="392"/>
    </row>
    <row r="55" ht="39.75" customHeight="1">
      <c r="A55" s="404" t="s">
        <v>181</v>
      </c>
      <c r="B55" s="405" t="s">
        <v>182</v>
      </c>
      <c r="C55" s="387"/>
      <c r="D55" s="388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94"/>
      <c r="X55" s="389"/>
      <c r="Y55" s="394"/>
      <c r="Z55" s="389"/>
      <c r="AA55" s="394"/>
      <c r="AB55" s="389"/>
      <c r="AC55" s="394"/>
      <c r="AD55" s="389"/>
      <c r="AE55" s="389"/>
      <c r="AF55" s="389"/>
      <c r="AG55" s="394"/>
      <c r="AH55" s="389"/>
      <c r="AI55" s="394"/>
      <c r="AJ55" s="394"/>
      <c r="AK55" s="391">
        <f>COUNTIF(C55:AJ55,"&gt;=R")</f>
        <v>0</v>
      </c>
      <c r="AL55" s="392">
        <f>AK55</f>
        <v>0</v>
      </c>
    </row>
    <row r="56" ht="39.75" customHeight="1">
      <c r="A56" s="395" t="s">
        <v>183</v>
      </c>
      <c r="B56" s="396" t="s">
        <v>184</v>
      </c>
      <c r="C56" s="397"/>
      <c r="D56" s="398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399"/>
      <c r="AC56" s="399"/>
      <c r="AD56" s="399"/>
      <c r="AE56" s="399"/>
      <c r="AF56" s="399"/>
      <c r="AG56" s="399"/>
      <c r="AH56" s="399"/>
      <c r="AI56" s="400"/>
      <c r="AJ56" s="400"/>
      <c r="AK56" s="529"/>
      <c r="AL56" s="53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</row>
    <row r="57" ht="39.75" customHeight="1">
      <c r="A57" s="385" t="s">
        <v>185</v>
      </c>
      <c r="B57" s="386" t="s">
        <v>186</v>
      </c>
      <c r="C57" s="387" t="s">
        <v>85</v>
      </c>
      <c r="D57" s="388"/>
      <c r="E57" s="389" t="s">
        <v>85</v>
      </c>
      <c r="F57" s="389"/>
      <c r="G57" s="389" t="s">
        <v>85</v>
      </c>
      <c r="H57" s="389"/>
      <c r="I57" s="389" t="s">
        <v>85</v>
      </c>
      <c r="J57" s="389"/>
      <c r="K57" s="389" t="s">
        <v>85</v>
      </c>
      <c r="L57" s="389"/>
      <c r="M57" s="389" t="s">
        <v>93</v>
      </c>
      <c r="N57" s="389"/>
      <c r="O57" s="389" t="s">
        <v>93</v>
      </c>
      <c r="P57" s="389"/>
      <c r="Q57" s="389" t="s">
        <v>93</v>
      </c>
      <c r="R57" s="389"/>
      <c r="S57" s="389" t="s">
        <v>85</v>
      </c>
      <c r="T57" s="389"/>
      <c r="U57" s="389" t="s">
        <v>85</v>
      </c>
      <c r="V57" s="389"/>
      <c r="W57" s="389" t="s">
        <v>85</v>
      </c>
      <c r="X57" s="389"/>
      <c r="Y57" s="389" t="s">
        <v>77</v>
      </c>
      <c r="Z57" s="389"/>
      <c r="AA57" s="389" t="s">
        <v>85</v>
      </c>
      <c r="AB57" s="389"/>
      <c r="AC57" s="389" t="s">
        <v>85</v>
      </c>
      <c r="AD57" s="389"/>
      <c r="AE57" s="389" t="s">
        <v>85</v>
      </c>
      <c r="AF57" s="389"/>
      <c r="AG57" s="389"/>
      <c r="AH57" s="389"/>
      <c r="AI57" s="394"/>
      <c r="AJ57" s="394"/>
      <c r="AK57" s="391">
        <f t="shared" ref="AK57:AK60" si="13">COUNTIF(C57:AJ57,"&gt;=R")</f>
        <v>15</v>
      </c>
      <c r="AL57" s="392">
        <f t="shared" ref="AL57:AL60" si="14">AK57</f>
        <v>15</v>
      </c>
      <c r="AM57" s="404"/>
      <c r="AN57" s="404"/>
      <c r="AO57" s="404"/>
      <c r="AP57" s="404"/>
      <c r="AQ57" s="404"/>
      <c r="AR57" s="404"/>
      <c r="AS57" s="404"/>
      <c r="AT57" s="404"/>
      <c r="AU57" s="404"/>
      <c r="AV57" s="404"/>
      <c r="AW57" s="404"/>
      <c r="AX57" s="404"/>
      <c r="AY57" s="404"/>
      <c r="AZ57" s="404"/>
      <c r="BA57" s="404"/>
      <c r="BB57" s="404"/>
      <c r="BC57" s="404"/>
      <c r="BD57" s="404"/>
      <c r="BE57" s="404"/>
      <c r="BF57" s="404"/>
    </row>
    <row r="58" ht="39.75" customHeight="1">
      <c r="A58" s="385" t="s">
        <v>187</v>
      </c>
      <c r="B58" s="386" t="s">
        <v>188</v>
      </c>
      <c r="C58" s="387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94"/>
      <c r="AJ58" s="394"/>
      <c r="AK58" s="391">
        <f t="shared" si="13"/>
        <v>0</v>
      </c>
      <c r="AL58" s="392">
        <f t="shared" si="14"/>
        <v>0</v>
      </c>
      <c r="AM58" s="404"/>
      <c r="AN58" s="404"/>
      <c r="AO58" s="404"/>
      <c r="AP58" s="404"/>
      <c r="AQ58" s="404"/>
      <c r="AR58" s="404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404"/>
      <c r="BD58" s="404"/>
      <c r="BE58" s="404"/>
      <c r="BF58" s="404"/>
    </row>
    <row r="59" ht="39.75" customHeight="1">
      <c r="A59" s="385" t="s">
        <v>189</v>
      </c>
      <c r="B59" s="386" t="s">
        <v>190</v>
      </c>
      <c r="C59" s="388" t="s">
        <v>85</v>
      </c>
      <c r="D59" s="388"/>
      <c r="E59" s="389" t="s">
        <v>85</v>
      </c>
      <c r="F59" s="389"/>
      <c r="G59" s="389" t="s">
        <v>85</v>
      </c>
      <c r="H59" s="389"/>
      <c r="I59" s="389"/>
      <c r="J59" s="389"/>
      <c r="K59" s="389"/>
      <c r="L59" s="389"/>
      <c r="M59" s="417" t="s">
        <v>8</v>
      </c>
      <c r="N59" s="389"/>
      <c r="O59" s="389" t="s">
        <v>85</v>
      </c>
      <c r="P59" s="389"/>
      <c r="Q59" s="593" t="s">
        <v>93</v>
      </c>
      <c r="R59" s="389"/>
      <c r="S59" s="389" t="s">
        <v>92</v>
      </c>
      <c r="T59" s="389"/>
      <c r="U59" s="389"/>
      <c r="V59" s="389"/>
      <c r="W59" s="389"/>
      <c r="X59" s="389"/>
      <c r="Y59" s="389" t="s">
        <v>77</v>
      </c>
      <c r="Z59" s="389"/>
      <c r="AA59" s="389" t="s">
        <v>92</v>
      </c>
      <c r="AB59" s="389"/>
      <c r="AC59" s="389" t="s">
        <v>92</v>
      </c>
      <c r="AD59" s="389"/>
      <c r="AE59" s="389" t="s">
        <v>415</v>
      </c>
      <c r="AF59" s="389"/>
      <c r="AG59" s="389"/>
      <c r="AH59" s="389"/>
      <c r="AI59" s="389"/>
      <c r="AJ59" s="394"/>
      <c r="AK59" s="391">
        <f t="shared" si="13"/>
        <v>11</v>
      </c>
      <c r="AL59" s="392">
        <f t="shared" si="14"/>
        <v>11</v>
      </c>
    </row>
    <row r="60" ht="39.75" customHeight="1">
      <c r="A60" s="385" t="s">
        <v>191</v>
      </c>
      <c r="B60" s="386" t="s">
        <v>192</v>
      </c>
      <c r="C60" s="388"/>
      <c r="D60" s="388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94"/>
      <c r="X60" s="389"/>
      <c r="Y60" s="394"/>
      <c r="Z60" s="389"/>
      <c r="AA60" s="389"/>
      <c r="AB60" s="389"/>
      <c r="AC60" s="389"/>
      <c r="AD60" s="389"/>
      <c r="AE60" s="394"/>
      <c r="AF60" s="389"/>
      <c r="AG60" s="389"/>
      <c r="AH60" s="389"/>
      <c r="AI60" s="389"/>
      <c r="AJ60" s="394"/>
      <c r="AK60" s="391">
        <f t="shared" si="13"/>
        <v>0</v>
      </c>
      <c r="AL60" s="392">
        <f t="shared" si="14"/>
        <v>0</v>
      </c>
      <c r="AM60" s="404"/>
      <c r="AN60" s="404"/>
      <c r="AO60" s="404"/>
      <c r="AP60" s="404"/>
      <c r="AQ60" s="404"/>
      <c r="AR60" s="404"/>
      <c r="AS60" s="404"/>
      <c r="AT60" s="404"/>
      <c r="AU60" s="404"/>
      <c r="AV60" s="404"/>
      <c r="AW60" s="404"/>
      <c r="AX60" s="404"/>
      <c r="AY60" s="404"/>
      <c r="AZ60" s="404"/>
      <c r="BA60" s="404"/>
      <c r="BB60" s="404"/>
      <c r="BC60" s="404"/>
      <c r="BD60" s="404"/>
      <c r="BE60" s="404"/>
      <c r="BF60" s="404"/>
    </row>
    <row r="61" ht="39.75" customHeight="1">
      <c r="A61" s="395" t="s">
        <v>193</v>
      </c>
      <c r="B61" s="396" t="s">
        <v>194</v>
      </c>
      <c r="C61" s="397"/>
      <c r="D61" s="398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399"/>
      <c r="AC61" s="399"/>
      <c r="AD61" s="399"/>
      <c r="AE61" s="399"/>
      <c r="AF61" s="399"/>
      <c r="AG61" s="399"/>
      <c r="AH61" s="399"/>
      <c r="AI61" s="400"/>
      <c r="AJ61" s="400"/>
      <c r="AK61" s="529"/>
      <c r="AL61" s="530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404"/>
      <c r="BD61" s="404"/>
      <c r="BE61" s="404"/>
      <c r="BF61" s="404"/>
    </row>
    <row r="62" ht="39.75" customHeight="1">
      <c r="A62" s="414" t="s">
        <v>195</v>
      </c>
      <c r="B62" s="415" t="s">
        <v>196</v>
      </c>
      <c r="C62" s="387"/>
      <c r="D62" s="388"/>
      <c r="E62" s="389"/>
      <c r="F62" s="389"/>
      <c r="G62" s="394"/>
      <c r="H62" s="389"/>
      <c r="I62" s="394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94"/>
      <c r="X62" s="389"/>
      <c r="Y62" s="394"/>
      <c r="Z62" s="389"/>
      <c r="AA62" s="394"/>
      <c r="AB62" s="389"/>
      <c r="AC62" s="394"/>
      <c r="AD62" s="389"/>
      <c r="AE62" s="394"/>
      <c r="AF62" s="389"/>
      <c r="AG62" s="389"/>
      <c r="AH62" s="389"/>
      <c r="AI62" s="389"/>
      <c r="AJ62" s="394"/>
      <c r="AK62" s="391">
        <f t="shared" ref="AK62:AK67" si="15">COUNTIF(C62:AJ62,"&gt;=R")</f>
        <v>0</v>
      </c>
      <c r="AL62" s="392">
        <f t="shared" ref="AL62:AL67" si="16">AK62</f>
        <v>0</v>
      </c>
    </row>
    <row r="63" ht="39.75" customHeight="1">
      <c r="A63" s="411" t="s">
        <v>197</v>
      </c>
      <c r="B63" s="412" t="s">
        <v>139</v>
      </c>
      <c r="C63" s="387" t="s">
        <v>77</v>
      </c>
      <c r="D63" s="388"/>
      <c r="E63" s="389" t="s">
        <v>77</v>
      </c>
      <c r="F63" s="389"/>
      <c r="G63" s="389" t="s">
        <v>68</v>
      </c>
      <c r="H63" s="389"/>
      <c r="I63" s="389" t="s">
        <v>68</v>
      </c>
      <c r="J63" s="389"/>
      <c r="K63" s="389" t="s">
        <v>68</v>
      </c>
      <c r="L63" s="389"/>
      <c r="M63" s="389" t="s">
        <v>92</v>
      </c>
      <c r="N63" s="389"/>
      <c r="O63" s="389" t="s">
        <v>68</v>
      </c>
      <c r="P63" s="389"/>
      <c r="Q63" s="389" t="s">
        <v>92</v>
      </c>
      <c r="R63" s="389"/>
      <c r="S63" s="389" t="s">
        <v>47</v>
      </c>
      <c r="T63" s="389"/>
      <c r="U63" s="389" t="s">
        <v>47</v>
      </c>
      <c r="V63" s="389"/>
      <c r="W63" s="418" t="s">
        <v>84</v>
      </c>
      <c r="X63" s="389"/>
      <c r="Y63" s="417" t="s">
        <v>8</v>
      </c>
      <c r="Z63" s="389"/>
      <c r="AA63" s="418" t="s">
        <v>84</v>
      </c>
      <c r="AB63" s="389"/>
      <c r="AC63" s="418" t="s">
        <v>84</v>
      </c>
      <c r="AD63" s="389"/>
      <c r="AE63" s="418" t="s">
        <v>84</v>
      </c>
      <c r="AF63" s="389"/>
      <c r="AG63" s="389"/>
      <c r="AH63" s="389"/>
      <c r="AI63" s="394"/>
      <c r="AJ63" s="394"/>
      <c r="AK63" s="391">
        <f t="shared" si="15"/>
        <v>15</v>
      </c>
      <c r="AL63" s="392">
        <f t="shared" si="16"/>
        <v>15</v>
      </c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</row>
    <row r="64" ht="39.75" customHeight="1">
      <c r="A64" s="414" t="s">
        <v>198</v>
      </c>
      <c r="B64" s="415" t="s">
        <v>199</v>
      </c>
      <c r="C64" s="387"/>
      <c r="D64" s="388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94"/>
      <c r="AJ64" s="394"/>
      <c r="AK64" s="391">
        <f t="shared" si="15"/>
        <v>0</v>
      </c>
      <c r="AL64" s="392">
        <f t="shared" si="16"/>
        <v>0</v>
      </c>
      <c r="AM64" s="404"/>
      <c r="AN64" s="404"/>
      <c r="AO64" s="404"/>
      <c r="AP64" s="404"/>
      <c r="AQ64" s="404"/>
      <c r="AR64" s="404"/>
      <c r="AS64" s="404"/>
      <c r="AT64" s="404"/>
      <c r="AU64" s="404"/>
      <c r="AV64" s="404"/>
      <c r="AW64" s="404"/>
      <c r="AX64" s="404"/>
      <c r="AY64" s="404"/>
      <c r="AZ64" s="404"/>
      <c r="BA64" s="404"/>
      <c r="BB64" s="404"/>
      <c r="BC64" s="404"/>
      <c r="BD64" s="404"/>
      <c r="BE64" s="404"/>
      <c r="BF64" s="404"/>
    </row>
    <row r="65" ht="39.75" customHeight="1">
      <c r="A65" s="411" t="s">
        <v>200</v>
      </c>
      <c r="B65" s="412" t="s">
        <v>176</v>
      </c>
      <c r="C65" s="387" t="s">
        <v>93</v>
      </c>
      <c r="D65" s="388"/>
      <c r="E65" s="387" t="s">
        <v>93</v>
      </c>
      <c r="F65" s="389"/>
      <c r="G65" s="394" t="s">
        <v>93</v>
      </c>
      <c r="H65" s="389"/>
      <c r="I65" s="389"/>
      <c r="J65" s="389"/>
      <c r="K65" s="389"/>
      <c r="L65" s="389"/>
      <c r="M65" s="389" t="s">
        <v>57</v>
      </c>
      <c r="N65" s="389"/>
      <c r="O65" s="389"/>
      <c r="P65" s="389"/>
      <c r="Q65" s="389"/>
      <c r="R65" s="389"/>
      <c r="S65" s="389" t="s">
        <v>38</v>
      </c>
      <c r="T65" s="389"/>
      <c r="U65" s="394"/>
      <c r="V65" s="389"/>
      <c r="W65" s="394"/>
      <c r="X65" s="389"/>
      <c r="Y65" s="394" t="s">
        <v>85</v>
      </c>
      <c r="Z65" s="389"/>
      <c r="AA65" s="394" t="s">
        <v>57</v>
      </c>
      <c r="AB65" s="389"/>
      <c r="AC65" s="394" t="s">
        <v>57</v>
      </c>
      <c r="AD65" s="389"/>
      <c r="AE65" s="389" t="s">
        <v>57</v>
      </c>
      <c r="AF65" s="389"/>
      <c r="AG65" s="389"/>
      <c r="AH65" s="389"/>
      <c r="AI65" s="394"/>
      <c r="AJ65" s="394"/>
      <c r="AK65" s="391">
        <f t="shared" si="15"/>
        <v>9</v>
      </c>
      <c r="AL65" s="392">
        <f t="shared" si="16"/>
        <v>9</v>
      </c>
    </row>
    <row r="66" ht="39.75" customHeight="1">
      <c r="A66" s="414" t="s">
        <v>201</v>
      </c>
      <c r="B66" s="415" t="s">
        <v>202</v>
      </c>
      <c r="C66" s="387"/>
      <c r="D66" s="388"/>
      <c r="E66" s="389"/>
      <c r="F66" s="389"/>
      <c r="G66" s="394"/>
      <c r="H66" s="389"/>
      <c r="I66" s="394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94"/>
      <c r="AF66" s="389"/>
      <c r="AG66" s="389"/>
      <c r="AH66" s="389"/>
      <c r="AI66" s="389"/>
      <c r="AJ66" s="394"/>
      <c r="AK66" s="391">
        <f t="shared" si="15"/>
        <v>0</v>
      </c>
      <c r="AL66" s="392">
        <f t="shared" si="16"/>
        <v>0</v>
      </c>
    </row>
    <row r="67" ht="39.75" customHeight="1">
      <c r="A67" s="411" t="s">
        <v>203</v>
      </c>
      <c r="B67" s="412" t="s">
        <v>204</v>
      </c>
      <c r="C67" s="387"/>
      <c r="D67" s="388"/>
      <c r="E67" s="389"/>
      <c r="F67" s="389"/>
      <c r="G67" s="389"/>
      <c r="H67" s="389"/>
      <c r="I67" s="389"/>
      <c r="J67" s="389"/>
      <c r="K67" s="389"/>
      <c r="L67" s="389"/>
      <c r="M67" s="389" t="s">
        <v>57</v>
      </c>
      <c r="N67" s="389"/>
      <c r="O67" s="389"/>
      <c r="P67" s="389"/>
      <c r="Q67" s="394"/>
      <c r="R67" s="389"/>
      <c r="S67" s="394" t="s">
        <v>38</v>
      </c>
      <c r="T67" s="389"/>
      <c r="U67" s="394"/>
      <c r="V67" s="389"/>
      <c r="W67" s="394"/>
      <c r="X67" s="389"/>
      <c r="Y67" s="394"/>
      <c r="Z67" s="389"/>
      <c r="AA67" s="394" t="s">
        <v>57</v>
      </c>
      <c r="AB67" s="389"/>
      <c r="AC67" s="394" t="s">
        <v>57</v>
      </c>
      <c r="AD67" s="389"/>
      <c r="AE67" s="394" t="s">
        <v>57</v>
      </c>
      <c r="AF67" s="389"/>
      <c r="AG67" s="389"/>
      <c r="AH67" s="389"/>
      <c r="AI67" s="389"/>
      <c r="AJ67" s="394"/>
      <c r="AK67" s="391">
        <f t="shared" si="15"/>
        <v>5</v>
      </c>
      <c r="AL67" s="392">
        <f t="shared" si="16"/>
        <v>5</v>
      </c>
    </row>
    <row r="68" ht="39.75" customHeight="1">
      <c r="A68" s="395" t="s">
        <v>205</v>
      </c>
      <c r="B68" s="396" t="s">
        <v>206</v>
      </c>
      <c r="C68" s="397"/>
      <c r="D68" s="398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400"/>
      <c r="AJ68" s="400"/>
      <c r="AK68" s="529"/>
      <c r="AL68" s="530"/>
      <c r="AM68" s="404"/>
      <c r="AN68" s="404"/>
      <c r="AO68" s="404"/>
      <c r="AP68" s="404"/>
      <c r="AQ68" s="404"/>
      <c r="AR68" s="404"/>
      <c r="AS68" s="404"/>
      <c r="AT68" s="404"/>
      <c r="AU68" s="404"/>
      <c r="AV68" s="404"/>
      <c r="AW68" s="404"/>
      <c r="AX68" s="404"/>
      <c r="AY68" s="404"/>
      <c r="AZ68" s="404"/>
      <c r="BA68" s="404"/>
      <c r="BB68" s="404"/>
      <c r="BC68" s="404"/>
      <c r="BD68" s="404"/>
      <c r="BE68" s="404"/>
      <c r="BF68" s="404"/>
    </row>
    <row r="69" ht="39.75" customHeight="1">
      <c r="A69" s="385" t="s">
        <v>207</v>
      </c>
      <c r="B69" s="386" t="s">
        <v>208</v>
      </c>
      <c r="C69" s="388" t="s">
        <v>85</v>
      </c>
      <c r="D69" s="388"/>
      <c r="E69" s="389" t="s">
        <v>85</v>
      </c>
      <c r="F69" s="389"/>
      <c r="G69" s="389" t="s">
        <v>85</v>
      </c>
      <c r="H69" s="389"/>
      <c r="I69" s="389"/>
      <c r="J69" s="389"/>
      <c r="K69" s="389"/>
      <c r="L69" s="389"/>
      <c r="M69" s="417" t="s">
        <v>8</v>
      </c>
      <c r="N69" s="389"/>
      <c r="O69" s="389" t="s">
        <v>85</v>
      </c>
      <c r="P69" s="389"/>
      <c r="Q69" s="389"/>
      <c r="R69" s="389"/>
      <c r="S69" s="389" t="s">
        <v>92</v>
      </c>
      <c r="T69" s="389"/>
      <c r="U69" s="389"/>
      <c r="V69" s="389"/>
      <c r="W69" s="389"/>
      <c r="X69" s="389"/>
      <c r="Y69" s="389" t="s">
        <v>77</v>
      </c>
      <c r="Z69" s="389"/>
      <c r="AA69" s="389" t="s">
        <v>92</v>
      </c>
      <c r="AB69" s="389"/>
      <c r="AC69" s="389" t="s">
        <v>92</v>
      </c>
      <c r="AD69" s="389"/>
      <c r="AE69" s="389" t="s">
        <v>92</v>
      </c>
      <c r="AF69" s="389"/>
      <c r="AG69" s="389"/>
      <c r="AH69" s="389"/>
      <c r="AI69" s="394"/>
      <c r="AJ69" s="394"/>
      <c r="AK69" s="391">
        <f>COUNTIF(C69:AJ69,"&gt;=R")</f>
        <v>10</v>
      </c>
      <c r="AL69" s="392">
        <f>AK69</f>
        <v>10</v>
      </c>
    </row>
    <row r="70" ht="39.75" customHeight="1">
      <c r="A70" s="395" t="s">
        <v>209</v>
      </c>
      <c r="B70" s="396" t="s">
        <v>210</v>
      </c>
      <c r="C70" s="397"/>
      <c r="D70" s="398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399"/>
      <c r="AC70" s="399"/>
      <c r="AD70" s="399"/>
      <c r="AE70" s="399"/>
      <c r="AF70" s="399"/>
      <c r="AG70" s="399"/>
      <c r="AH70" s="399"/>
      <c r="AI70" s="400"/>
      <c r="AJ70" s="400"/>
      <c r="AK70" s="529"/>
      <c r="AL70" s="530"/>
    </row>
    <row r="71" ht="39.75" customHeight="1">
      <c r="A71" s="385" t="s">
        <v>211</v>
      </c>
      <c r="B71" s="386" t="s">
        <v>212</v>
      </c>
      <c r="C71" s="387"/>
      <c r="D71" s="388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 t="s">
        <v>77</v>
      </c>
      <c r="AD71" s="389"/>
      <c r="AE71" s="389"/>
      <c r="AF71" s="389"/>
      <c r="AG71" s="389"/>
      <c r="AH71" s="389"/>
      <c r="AI71" s="394"/>
      <c r="AJ71" s="394"/>
      <c r="AK71" s="391">
        <f t="shared" ref="AK71:AK72" si="17">COUNTIF(C71:AJ71,"&gt;=R")</f>
        <v>1</v>
      </c>
      <c r="AL71" s="392">
        <f t="shared" ref="AL71:AL72" si="18">AK71</f>
        <v>1</v>
      </c>
    </row>
    <row r="72" ht="39.75" customHeight="1">
      <c r="A72" s="385" t="s">
        <v>213</v>
      </c>
      <c r="B72" s="386" t="s">
        <v>214</v>
      </c>
      <c r="C72" s="387"/>
      <c r="D72" s="388"/>
      <c r="E72" s="394" t="s">
        <v>93</v>
      </c>
      <c r="F72" s="389"/>
      <c r="G72" s="389"/>
      <c r="H72" s="389"/>
      <c r="I72" s="389"/>
      <c r="J72" s="389"/>
      <c r="K72" s="389"/>
      <c r="L72" s="389"/>
      <c r="M72" s="394" t="s">
        <v>93</v>
      </c>
      <c r="N72" s="389"/>
      <c r="O72" s="389"/>
      <c r="P72" s="389"/>
      <c r="Q72" s="389" t="s">
        <v>93</v>
      </c>
      <c r="R72" s="389"/>
      <c r="S72" s="389"/>
      <c r="T72" s="389"/>
      <c r="U72" s="389"/>
      <c r="V72" s="389"/>
      <c r="W72" s="389" t="s">
        <v>93</v>
      </c>
      <c r="X72" s="389"/>
      <c r="Y72" s="389" t="s">
        <v>93</v>
      </c>
      <c r="Z72" s="389"/>
      <c r="AA72" s="389" t="s">
        <v>93</v>
      </c>
      <c r="AB72" s="389"/>
      <c r="AC72" s="389" t="s">
        <v>93</v>
      </c>
      <c r="AD72" s="389"/>
      <c r="AE72" s="389" t="s">
        <v>93</v>
      </c>
      <c r="AF72" s="389"/>
      <c r="AG72" s="389"/>
      <c r="AH72" s="389"/>
      <c r="AI72" s="389"/>
      <c r="AJ72" s="394"/>
      <c r="AK72" s="391">
        <f t="shared" si="17"/>
        <v>8</v>
      </c>
      <c r="AL72" s="392">
        <f t="shared" si="18"/>
        <v>8</v>
      </c>
    </row>
    <row r="73" ht="39.75" customHeight="1">
      <c r="A73" s="395" t="s">
        <v>215</v>
      </c>
      <c r="B73" s="396" t="s">
        <v>216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400"/>
      <c r="AJ73" s="400"/>
      <c r="AK73" s="529"/>
      <c r="AL73" s="530"/>
      <c r="AM73" s="404"/>
      <c r="AN73" s="404"/>
      <c r="AO73" s="404"/>
      <c r="AP73" s="404"/>
      <c r="AQ73" s="404"/>
      <c r="AR73" s="404"/>
      <c r="AS73" s="404"/>
      <c r="AT73" s="404"/>
      <c r="AU73" s="404"/>
      <c r="AV73" s="404"/>
      <c r="AW73" s="404"/>
      <c r="AX73" s="404"/>
      <c r="AY73" s="404"/>
      <c r="AZ73" s="404"/>
      <c r="BA73" s="404"/>
      <c r="BB73" s="404"/>
      <c r="BC73" s="404"/>
      <c r="BD73" s="404"/>
      <c r="BE73" s="404"/>
      <c r="BF73" s="404"/>
    </row>
    <row r="74" ht="39.75" customHeight="1">
      <c r="A74" s="385" t="s">
        <v>217</v>
      </c>
      <c r="B74" s="386" t="s">
        <v>218</v>
      </c>
      <c r="C74" s="387"/>
      <c r="D74" s="388"/>
      <c r="E74" s="387"/>
      <c r="F74" s="389"/>
      <c r="G74" s="387"/>
      <c r="H74" s="389"/>
      <c r="I74" s="387" t="s">
        <v>93</v>
      </c>
      <c r="J74" s="389"/>
      <c r="K74" s="389" t="s">
        <v>93</v>
      </c>
      <c r="L74" s="389"/>
      <c r="M74" s="389"/>
      <c r="N74" s="389"/>
      <c r="O74" s="389"/>
      <c r="P74" s="389"/>
      <c r="Q74" s="389" t="s">
        <v>93</v>
      </c>
      <c r="R74" s="389"/>
      <c r="S74" s="389"/>
      <c r="T74" s="394"/>
      <c r="U74" s="389"/>
      <c r="V74" s="394"/>
      <c r="W74" s="389" t="s">
        <v>93</v>
      </c>
      <c r="X74" s="394"/>
      <c r="Y74" s="394" t="s">
        <v>93</v>
      </c>
      <c r="Z74" s="389"/>
      <c r="AA74" s="394" t="s">
        <v>85</v>
      </c>
      <c r="AB74" s="389"/>
      <c r="AC74" s="394" t="s">
        <v>85</v>
      </c>
      <c r="AD74" s="389"/>
      <c r="AE74" s="387" t="s">
        <v>85</v>
      </c>
      <c r="AF74" s="389"/>
      <c r="AG74" s="394"/>
      <c r="AH74" s="389"/>
      <c r="AI74" s="387"/>
      <c r="AJ74" s="394"/>
      <c r="AK74" s="391">
        <f>COUNTIF(C74:AJ74,"&gt;=R")</f>
        <v>8</v>
      </c>
      <c r="AL74" s="392">
        <f>AK74</f>
        <v>8</v>
      </c>
    </row>
    <row r="75" ht="39.75" customHeight="1">
      <c r="A75" s="395" t="s">
        <v>219</v>
      </c>
      <c r="B75" s="396" t="s">
        <v>220</v>
      </c>
      <c r="C75" s="397"/>
      <c r="D75" s="398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399"/>
      <c r="AC75" s="399"/>
      <c r="AD75" s="399"/>
      <c r="AE75" s="399"/>
      <c r="AF75" s="399"/>
      <c r="AG75" s="399"/>
      <c r="AH75" s="399"/>
      <c r="AI75" s="400"/>
      <c r="AJ75" s="400"/>
      <c r="AK75" s="529"/>
      <c r="AL75" s="530"/>
      <c r="AM75" s="404"/>
      <c r="AN75" s="404"/>
      <c r="AO75" s="404"/>
      <c r="AP75" s="404"/>
      <c r="AQ75" s="404"/>
      <c r="AR75" s="404"/>
      <c r="AS75" s="404"/>
      <c r="AT75" s="404"/>
      <c r="AU75" s="404"/>
      <c r="AV75" s="404"/>
      <c r="AW75" s="404"/>
      <c r="AX75" s="404"/>
      <c r="AY75" s="404"/>
      <c r="AZ75" s="404"/>
      <c r="BA75" s="404"/>
      <c r="BB75" s="404"/>
      <c r="BC75" s="404"/>
      <c r="BD75" s="404"/>
      <c r="BE75" s="404"/>
      <c r="BF75" s="404"/>
    </row>
    <row r="76" ht="39.75" customHeight="1">
      <c r="A76" s="385" t="s">
        <v>221</v>
      </c>
      <c r="B76" s="386" t="s">
        <v>222</v>
      </c>
      <c r="C76" s="388" t="s">
        <v>85</v>
      </c>
      <c r="D76" s="388"/>
      <c r="E76" s="389" t="s">
        <v>85</v>
      </c>
      <c r="F76" s="389"/>
      <c r="G76" s="389" t="s">
        <v>85</v>
      </c>
      <c r="H76" s="389"/>
      <c r="I76" s="389" t="s">
        <v>93</v>
      </c>
      <c r="J76" s="389"/>
      <c r="K76" s="389" t="s">
        <v>93</v>
      </c>
      <c r="L76" s="389"/>
      <c r="M76" s="389" t="s">
        <v>92</v>
      </c>
      <c r="N76" s="389"/>
      <c r="O76" s="389" t="s">
        <v>85</v>
      </c>
      <c r="P76" s="389"/>
      <c r="Q76" s="389" t="s">
        <v>93</v>
      </c>
      <c r="R76" s="389"/>
      <c r="S76" s="389" t="s">
        <v>37</v>
      </c>
      <c r="T76" s="389"/>
      <c r="U76" s="389" t="s">
        <v>17</v>
      </c>
      <c r="V76" s="389"/>
      <c r="W76" s="389" t="s">
        <v>17</v>
      </c>
      <c r="X76" s="389"/>
      <c r="Y76" s="389" t="s">
        <v>17</v>
      </c>
      <c r="Z76" s="389"/>
      <c r="AA76" s="394" t="s">
        <v>7</v>
      </c>
      <c r="AB76" s="389"/>
      <c r="AC76" s="389" t="s">
        <v>7</v>
      </c>
      <c r="AD76" s="389"/>
      <c r="AE76" s="389" t="s">
        <v>7</v>
      </c>
      <c r="AF76" s="389"/>
      <c r="AG76" s="389"/>
      <c r="AH76" s="389"/>
      <c r="AI76" s="394"/>
      <c r="AJ76" s="394"/>
      <c r="AK76" s="391">
        <f>COUNTIF(C76:AJ76,"&gt;=R")</f>
        <v>15</v>
      </c>
      <c r="AL76" s="392">
        <f>AK76</f>
        <v>15</v>
      </c>
    </row>
    <row r="77" ht="39.75" customHeight="1">
      <c r="A77" s="407" t="s">
        <v>223</v>
      </c>
      <c r="B77" s="408" t="s">
        <v>224</v>
      </c>
      <c r="C77" s="387"/>
      <c r="D77" s="388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94"/>
      <c r="AK77" s="391"/>
      <c r="AL77" s="392"/>
    </row>
    <row r="78" ht="39.75" customHeight="1">
      <c r="A78" s="385" t="s">
        <v>225</v>
      </c>
      <c r="B78" s="386" t="s">
        <v>226</v>
      </c>
      <c r="C78" s="387" t="s">
        <v>85</v>
      </c>
      <c r="D78" s="388"/>
      <c r="E78" s="389" t="s">
        <v>85</v>
      </c>
      <c r="F78" s="389"/>
      <c r="G78" s="389" t="s">
        <v>85</v>
      </c>
      <c r="H78" s="389"/>
      <c r="I78" s="389"/>
      <c r="J78" s="389"/>
      <c r="K78" s="389"/>
      <c r="L78" s="389"/>
      <c r="M78" s="389" t="s">
        <v>92</v>
      </c>
      <c r="N78" s="389"/>
      <c r="O78" s="389" t="s">
        <v>85</v>
      </c>
      <c r="P78" s="389"/>
      <c r="Q78" s="389"/>
      <c r="R78" s="389"/>
      <c r="S78" s="389" t="s">
        <v>37</v>
      </c>
      <c r="T78" s="389"/>
      <c r="U78" s="389" t="s">
        <v>17</v>
      </c>
      <c r="V78" s="389"/>
      <c r="W78" s="389" t="s">
        <v>17</v>
      </c>
      <c r="X78" s="389"/>
      <c r="Y78" s="389" t="s">
        <v>17</v>
      </c>
      <c r="Z78" s="389"/>
      <c r="AA78" s="394" t="s">
        <v>7</v>
      </c>
      <c r="AB78" s="389"/>
      <c r="AC78" s="389" t="s">
        <v>7</v>
      </c>
      <c r="AD78" s="389"/>
      <c r="AE78" s="389" t="s">
        <v>7</v>
      </c>
      <c r="AF78" s="389"/>
      <c r="AG78" s="389"/>
      <c r="AH78" s="389"/>
      <c r="AI78" s="389"/>
      <c r="AJ78" s="394"/>
      <c r="AK78" s="391">
        <f t="shared" ref="AK78:AK82" si="19">COUNTIF(C78:AJ78,"&gt;=R")</f>
        <v>12</v>
      </c>
      <c r="AL78" s="392">
        <f t="shared" ref="AL78:AL82" si="20">AK78</f>
        <v>12</v>
      </c>
    </row>
    <row r="79" ht="39.75" customHeight="1">
      <c r="A79" s="385" t="s">
        <v>227</v>
      </c>
      <c r="B79" s="386" t="s">
        <v>228</v>
      </c>
      <c r="C79" s="387"/>
      <c r="D79" s="388"/>
      <c r="E79" s="387"/>
      <c r="F79" s="389"/>
      <c r="G79" s="387"/>
      <c r="H79" s="389"/>
      <c r="I79" s="387"/>
      <c r="J79" s="389"/>
      <c r="K79" s="387"/>
      <c r="L79" s="389"/>
      <c r="M79" s="387"/>
      <c r="N79" s="389"/>
      <c r="O79" s="387"/>
      <c r="P79" s="389"/>
      <c r="Q79" s="387"/>
      <c r="R79" s="389"/>
      <c r="S79" s="387"/>
      <c r="T79" s="389"/>
      <c r="U79" s="387"/>
      <c r="V79" s="389"/>
      <c r="W79" s="387"/>
      <c r="X79" s="389"/>
      <c r="Y79" s="387"/>
      <c r="Z79" s="389"/>
      <c r="AA79" s="387"/>
      <c r="AB79" s="389"/>
      <c r="AC79" s="387"/>
      <c r="AD79" s="389"/>
      <c r="AE79" s="387"/>
      <c r="AF79" s="389"/>
      <c r="AG79" s="387"/>
      <c r="AH79" s="389"/>
      <c r="AI79" s="387"/>
      <c r="AJ79" s="394"/>
      <c r="AK79" s="391">
        <f t="shared" si="19"/>
        <v>0</v>
      </c>
      <c r="AL79" s="392">
        <f t="shared" si="20"/>
        <v>0</v>
      </c>
      <c r="AM79" s="404"/>
      <c r="AN79" s="404"/>
      <c r="AO79" s="404"/>
      <c r="AP79" s="404"/>
      <c r="AQ79" s="404"/>
      <c r="AR79" s="404"/>
      <c r="AS79" s="404"/>
      <c r="AT79" s="404"/>
      <c r="AU79" s="404"/>
      <c r="AV79" s="404"/>
      <c r="AW79" s="404"/>
      <c r="AX79" s="404"/>
      <c r="AY79" s="404"/>
      <c r="AZ79" s="404"/>
      <c r="BA79" s="404"/>
      <c r="BB79" s="404"/>
      <c r="BC79" s="404"/>
      <c r="BD79" s="404"/>
      <c r="BE79" s="404"/>
      <c r="BF79" s="404"/>
    </row>
    <row r="80" ht="39.75" customHeight="1">
      <c r="A80" s="385" t="s">
        <v>229</v>
      </c>
      <c r="B80" s="386" t="s">
        <v>230</v>
      </c>
      <c r="C80" s="387"/>
      <c r="D80" s="388"/>
      <c r="E80" s="387"/>
      <c r="F80" s="389"/>
      <c r="G80" s="387"/>
      <c r="H80" s="389"/>
      <c r="I80" s="387"/>
      <c r="J80" s="389"/>
      <c r="K80" s="387"/>
      <c r="L80" s="389"/>
      <c r="M80" s="387"/>
      <c r="N80" s="389"/>
      <c r="O80" s="387"/>
      <c r="P80" s="389"/>
      <c r="Q80" s="387"/>
      <c r="R80" s="389"/>
      <c r="S80" s="387"/>
      <c r="T80" s="389"/>
      <c r="U80" s="387"/>
      <c r="V80" s="389"/>
      <c r="W80" s="387"/>
      <c r="X80" s="389"/>
      <c r="Y80" s="387"/>
      <c r="Z80" s="389"/>
      <c r="AA80" s="387"/>
      <c r="AB80" s="389"/>
      <c r="AC80" s="387"/>
      <c r="AD80" s="389"/>
      <c r="AE80" s="387"/>
      <c r="AF80" s="389"/>
      <c r="AG80" s="387"/>
      <c r="AH80" s="389"/>
      <c r="AI80" s="387"/>
      <c r="AJ80" s="394"/>
      <c r="AK80" s="391">
        <f t="shared" si="19"/>
        <v>0</v>
      </c>
      <c r="AL80" s="392">
        <f t="shared" si="20"/>
        <v>0</v>
      </c>
    </row>
    <row r="81" ht="39.75" customHeight="1">
      <c r="A81" s="385" t="s">
        <v>231</v>
      </c>
      <c r="B81" s="386" t="s">
        <v>232</v>
      </c>
      <c r="C81" s="387" t="s">
        <v>85</v>
      </c>
      <c r="D81" s="387"/>
      <c r="E81" s="394" t="s">
        <v>93</v>
      </c>
      <c r="F81" s="389"/>
      <c r="G81" s="389" t="s">
        <v>85</v>
      </c>
      <c r="H81" s="389"/>
      <c r="I81" s="389"/>
      <c r="J81" s="389"/>
      <c r="K81" s="389"/>
      <c r="L81" s="389"/>
      <c r="M81" s="389" t="s">
        <v>92</v>
      </c>
      <c r="N81" s="389"/>
      <c r="O81" s="389" t="s">
        <v>85</v>
      </c>
      <c r="P81" s="389"/>
      <c r="Q81" s="389"/>
      <c r="R81" s="389"/>
      <c r="S81" s="389" t="s">
        <v>37</v>
      </c>
      <c r="T81" s="389"/>
      <c r="U81" s="389" t="s">
        <v>76</v>
      </c>
      <c r="V81" s="389"/>
      <c r="W81" s="389" t="s">
        <v>76</v>
      </c>
      <c r="X81" s="389"/>
      <c r="Y81" s="389" t="s">
        <v>76</v>
      </c>
      <c r="Z81" s="389"/>
      <c r="AA81" s="389" t="s">
        <v>17</v>
      </c>
      <c r="AB81" s="389"/>
      <c r="AC81" s="389" t="s">
        <v>17</v>
      </c>
      <c r="AD81" s="389"/>
      <c r="AE81" s="389" t="s">
        <v>17</v>
      </c>
      <c r="AF81" s="389"/>
      <c r="AG81" s="389"/>
      <c r="AH81" s="389"/>
      <c r="AI81" s="389"/>
      <c r="AJ81" s="394"/>
      <c r="AK81" s="391">
        <f t="shared" si="19"/>
        <v>12</v>
      </c>
      <c r="AL81" s="392">
        <f t="shared" si="20"/>
        <v>12</v>
      </c>
      <c r="AM81" s="404"/>
      <c r="AN81" s="404"/>
      <c r="AO81" s="404"/>
      <c r="AP81" s="404"/>
      <c r="AQ81" s="404"/>
      <c r="AR81" s="404"/>
      <c r="AS81" s="404"/>
      <c r="AT81" s="404"/>
      <c r="AU81" s="404"/>
      <c r="AV81" s="404"/>
      <c r="AW81" s="404"/>
      <c r="AX81" s="404"/>
      <c r="AY81" s="404"/>
      <c r="AZ81" s="404"/>
      <c r="BA81" s="404"/>
      <c r="BB81" s="404"/>
      <c r="BC81" s="404"/>
      <c r="BD81" s="404"/>
      <c r="BE81" s="404"/>
      <c r="BF81" s="404"/>
    </row>
    <row r="82" ht="39.75" customHeight="1">
      <c r="A82" s="404" t="s">
        <v>233</v>
      </c>
      <c r="B82" s="405" t="s">
        <v>234</v>
      </c>
      <c r="C82" s="387" t="s">
        <v>85</v>
      </c>
      <c r="D82" s="387"/>
      <c r="E82" s="394" t="s">
        <v>93</v>
      </c>
      <c r="F82" s="389"/>
      <c r="G82" s="389" t="s">
        <v>85</v>
      </c>
      <c r="H82" s="389"/>
      <c r="I82" s="389"/>
      <c r="J82" s="389"/>
      <c r="K82" s="389"/>
      <c r="L82" s="389"/>
      <c r="M82" s="389" t="s">
        <v>92</v>
      </c>
      <c r="N82" s="389"/>
      <c r="O82" s="389" t="s">
        <v>85</v>
      </c>
      <c r="P82" s="389"/>
      <c r="Q82" s="389"/>
      <c r="R82" s="389"/>
      <c r="S82" s="389" t="s">
        <v>37</v>
      </c>
      <c r="T82" s="389"/>
      <c r="U82" s="389" t="s">
        <v>76</v>
      </c>
      <c r="V82" s="389"/>
      <c r="W82" s="389" t="s">
        <v>76</v>
      </c>
      <c r="X82" s="389"/>
      <c r="Y82" s="389" t="s">
        <v>76</v>
      </c>
      <c r="Z82" s="389"/>
      <c r="AA82" s="389" t="s">
        <v>17</v>
      </c>
      <c r="AB82" s="389"/>
      <c r="AC82" s="389" t="s">
        <v>17</v>
      </c>
      <c r="AD82" s="389"/>
      <c r="AE82" s="389" t="s">
        <v>17</v>
      </c>
      <c r="AF82" s="389"/>
      <c r="AG82" s="389"/>
      <c r="AH82" s="389"/>
      <c r="AI82" s="389"/>
      <c r="AJ82" s="394"/>
      <c r="AK82" s="391">
        <f t="shared" si="19"/>
        <v>12</v>
      </c>
      <c r="AL82" s="392">
        <f t="shared" si="20"/>
        <v>12</v>
      </c>
    </row>
    <row r="83" ht="39.75" customHeight="1">
      <c r="A83" s="395" t="s">
        <v>235</v>
      </c>
      <c r="B83" s="396" t="s">
        <v>236</v>
      </c>
      <c r="C83" s="397"/>
      <c r="D83" s="398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400"/>
      <c r="AJ83" s="400"/>
      <c r="AK83" s="529"/>
      <c r="AL83" s="530"/>
    </row>
    <row r="84" ht="39.75" customHeight="1">
      <c r="A84" s="414" t="s">
        <v>237</v>
      </c>
      <c r="B84" s="415" t="s">
        <v>238</v>
      </c>
      <c r="C84" s="387"/>
      <c r="D84" s="387"/>
      <c r="E84" s="394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94"/>
      <c r="AJ84" s="394"/>
      <c r="AK84" s="391">
        <f t="shared" ref="AK84:AK85" si="21">COUNTIF(C84:AJ84,"&gt;=R")</f>
        <v>0</v>
      </c>
      <c r="AL84" s="392">
        <f t="shared" ref="AL84:AL85" si="22">AK84</f>
        <v>0</v>
      </c>
    </row>
    <row r="85" ht="39.75" customHeight="1">
      <c r="A85" s="385" t="s">
        <v>239</v>
      </c>
      <c r="B85" s="386" t="s">
        <v>139</v>
      </c>
      <c r="C85" s="388"/>
      <c r="D85" s="387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7"/>
      <c r="Z85" s="389"/>
      <c r="AA85" s="387"/>
      <c r="AB85" s="389"/>
      <c r="AC85" s="387"/>
      <c r="AD85" s="389"/>
      <c r="AE85" s="387"/>
      <c r="AF85" s="389"/>
      <c r="AG85" s="387"/>
      <c r="AH85" s="389"/>
      <c r="AI85" s="387"/>
      <c r="AJ85" s="394"/>
      <c r="AK85" s="391">
        <f t="shared" si="21"/>
        <v>0</v>
      </c>
      <c r="AL85" s="392">
        <f t="shared" si="22"/>
        <v>0</v>
      </c>
      <c r="AM85" s="404"/>
      <c r="AN85" s="404"/>
      <c r="AO85" s="404"/>
      <c r="AP85" s="404"/>
      <c r="AQ85" s="404"/>
      <c r="AR85" s="404"/>
      <c r="AS85" s="404"/>
      <c r="AT85" s="404"/>
      <c r="AU85" s="404"/>
      <c r="AV85" s="404"/>
      <c r="AW85" s="404"/>
      <c r="AX85" s="404"/>
      <c r="AY85" s="404"/>
      <c r="AZ85" s="404"/>
      <c r="BA85" s="404"/>
      <c r="BB85" s="404"/>
      <c r="BC85" s="404"/>
      <c r="BD85" s="404"/>
      <c r="BE85" s="404"/>
      <c r="BF85" s="404"/>
    </row>
    <row r="86" ht="39.75" customHeight="1">
      <c r="A86" s="414" t="s">
        <v>240</v>
      </c>
      <c r="B86" s="415" t="s">
        <v>241</v>
      </c>
      <c r="C86" s="387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94"/>
      <c r="AK86" s="391"/>
      <c r="AL86" s="392"/>
    </row>
    <row r="87" ht="39.75" customHeight="1">
      <c r="A87" s="411" t="s">
        <v>242</v>
      </c>
      <c r="B87" s="412" t="s">
        <v>243</v>
      </c>
      <c r="C87" s="388"/>
      <c r="D87" s="387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7"/>
      <c r="Z87" s="389"/>
      <c r="AA87" s="387"/>
      <c r="AB87" s="389"/>
      <c r="AC87" s="387"/>
      <c r="AD87" s="389"/>
      <c r="AE87" s="387"/>
      <c r="AF87" s="389"/>
      <c r="AG87" s="387"/>
      <c r="AH87" s="389"/>
      <c r="AI87" s="387"/>
      <c r="AJ87" s="394"/>
      <c r="AK87" s="391">
        <f t="shared" ref="AK87:AK91" si="23">COUNTIF(C87:AJ87,"&gt;=R")</f>
        <v>0</v>
      </c>
      <c r="AL87" s="392">
        <f t="shared" ref="AL87:AL91" si="24">AK87</f>
        <v>0</v>
      </c>
    </row>
    <row r="88" ht="39.75" customHeight="1">
      <c r="A88" s="411" t="s">
        <v>244</v>
      </c>
      <c r="B88" s="412" t="s">
        <v>245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94"/>
      <c r="AJ88" s="394"/>
      <c r="AK88" s="391">
        <f t="shared" si="23"/>
        <v>0</v>
      </c>
      <c r="AL88" s="392">
        <f t="shared" si="24"/>
        <v>0</v>
      </c>
    </row>
    <row r="89" ht="39.75" customHeight="1">
      <c r="A89" s="414" t="s">
        <v>246</v>
      </c>
      <c r="B89" s="415" t="s">
        <v>247</v>
      </c>
      <c r="C89" s="387"/>
      <c r="D89" s="387"/>
      <c r="E89" s="394"/>
      <c r="F89" s="389"/>
      <c r="G89" s="389"/>
      <c r="H89" s="389"/>
      <c r="I89" s="389"/>
      <c r="J89" s="389"/>
      <c r="K89" s="389"/>
      <c r="L89" s="389"/>
      <c r="M89" s="394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94"/>
      <c r="AK89" s="391">
        <f t="shared" si="23"/>
        <v>0</v>
      </c>
      <c r="AL89" s="392">
        <f t="shared" si="24"/>
        <v>0</v>
      </c>
    </row>
    <row r="90" ht="39.75" customHeight="1">
      <c r="A90" s="411" t="s">
        <v>248</v>
      </c>
      <c r="B90" s="412" t="s">
        <v>249</v>
      </c>
      <c r="C90" s="388" t="s">
        <v>77</v>
      </c>
      <c r="D90" s="387"/>
      <c r="E90" s="389" t="s">
        <v>77</v>
      </c>
      <c r="F90" s="389"/>
      <c r="G90" s="389" t="s">
        <v>77</v>
      </c>
      <c r="H90" s="389"/>
      <c r="I90" s="389" t="s">
        <v>77</v>
      </c>
      <c r="J90" s="389"/>
      <c r="K90" s="389" t="s">
        <v>77</v>
      </c>
      <c r="L90" s="389"/>
      <c r="M90" s="389" t="s">
        <v>77</v>
      </c>
      <c r="N90" s="389"/>
      <c r="O90" s="389" t="s">
        <v>77</v>
      </c>
      <c r="P90" s="389"/>
      <c r="Q90" s="389" t="s">
        <v>77</v>
      </c>
      <c r="R90" s="389"/>
      <c r="S90" s="389" t="s">
        <v>77</v>
      </c>
      <c r="T90" s="389"/>
      <c r="U90" s="389" t="s">
        <v>77</v>
      </c>
      <c r="V90" s="389"/>
      <c r="W90" s="389" t="s">
        <v>77</v>
      </c>
      <c r="X90" s="389"/>
      <c r="Y90" s="387" t="s">
        <v>77</v>
      </c>
      <c r="Z90" s="389"/>
      <c r="AA90" s="387" t="s">
        <v>77</v>
      </c>
      <c r="AB90" s="389"/>
      <c r="AC90" s="387" t="s">
        <v>77</v>
      </c>
      <c r="AD90" s="389"/>
      <c r="AE90" s="387" t="s">
        <v>77</v>
      </c>
      <c r="AF90" s="389"/>
      <c r="AG90" s="387"/>
      <c r="AH90" s="389"/>
      <c r="AI90" s="387"/>
      <c r="AJ90" s="394"/>
      <c r="AK90" s="391">
        <f t="shared" si="23"/>
        <v>15</v>
      </c>
      <c r="AL90" s="392">
        <f t="shared" si="24"/>
        <v>15</v>
      </c>
    </row>
    <row r="91" ht="39.75" customHeight="1">
      <c r="A91" s="411" t="s">
        <v>250</v>
      </c>
      <c r="B91" s="412" t="s">
        <v>251</v>
      </c>
      <c r="C91" s="388" t="s">
        <v>77</v>
      </c>
      <c r="D91" s="387"/>
      <c r="E91" s="389" t="s">
        <v>77</v>
      </c>
      <c r="F91" s="389"/>
      <c r="G91" s="389" t="s">
        <v>77</v>
      </c>
      <c r="H91" s="389"/>
      <c r="I91" s="389" t="s">
        <v>77</v>
      </c>
      <c r="J91" s="389"/>
      <c r="K91" s="389" t="s">
        <v>77</v>
      </c>
      <c r="L91" s="389"/>
      <c r="M91" s="389" t="s">
        <v>77</v>
      </c>
      <c r="N91" s="389"/>
      <c r="O91" s="389" t="s">
        <v>77</v>
      </c>
      <c r="P91" s="389"/>
      <c r="Q91" s="389" t="s">
        <v>77</v>
      </c>
      <c r="R91" s="389"/>
      <c r="S91" s="389" t="s">
        <v>77</v>
      </c>
      <c r="T91" s="389"/>
      <c r="U91" s="389" t="s">
        <v>77</v>
      </c>
      <c r="V91" s="389"/>
      <c r="W91" s="389" t="s">
        <v>77</v>
      </c>
      <c r="X91" s="389"/>
      <c r="Y91" s="387" t="s">
        <v>77</v>
      </c>
      <c r="Z91" s="389"/>
      <c r="AA91" s="387" t="s">
        <v>77</v>
      </c>
      <c r="AB91" s="389"/>
      <c r="AC91" s="387" t="s">
        <v>77</v>
      </c>
      <c r="AD91" s="389"/>
      <c r="AE91" s="387" t="s">
        <v>77</v>
      </c>
      <c r="AF91" s="389"/>
      <c r="AG91" s="387"/>
      <c r="AH91" s="389"/>
      <c r="AI91" s="387"/>
      <c r="AJ91" s="394"/>
      <c r="AK91" s="391">
        <f t="shared" si="23"/>
        <v>15</v>
      </c>
      <c r="AL91" s="392">
        <f t="shared" si="24"/>
        <v>15</v>
      </c>
    </row>
    <row r="92" ht="39.75" customHeight="1">
      <c r="A92" s="414" t="s">
        <v>252</v>
      </c>
      <c r="B92" s="415" t="s">
        <v>253</v>
      </c>
      <c r="C92" s="387"/>
      <c r="D92" s="387"/>
      <c r="E92" s="394"/>
      <c r="F92" s="389"/>
      <c r="G92" s="394"/>
      <c r="H92" s="389"/>
      <c r="I92" s="394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94"/>
      <c r="AJ92" s="394"/>
      <c r="AK92" s="391"/>
      <c r="AL92" s="392"/>
      <c r="AM92" s="404"/>
      <c r="AN92" s="404"/>
      <c r="AO92" s="404"/>
      <c r="AP92" s="404"/>
      <c r="AQ92" s="404"/>
      <c r="AR92" s="404"/>
      <c r="AS92" s="404"/>
      <c r="AT92" s="404"/>
      <c r="AU92" s="404"/>
      <c r="AV92" s="404"/>
      <c r="AW92" s="404"/>
      <c r="AX92" s="404"/>
      <c r="AY92" s="404"/>
      <c r="AZ92" s="404"/>
      <c r="BA92" s="404"/>
      <c r="BB92" s="404"/>
      <c r="BC92" s="404"/>
      <c r="BD92" s="404"/>
      <c r="BE92" s="404"/>
      <c r="BF92" s="404"/>
    </row>
    <row r="93" ht="39.75" customHeight="1">
      <c r="A93" s="385" t="s">
        <v>254</v>
      </c>
      <c r="B93" s="386" t="s">
        <v>255</v>
      </c>
      <c r="C93" s="387"/>
      <c r="D93" s="387"/>
      <c r="E93" s="387"/>
      <c r="F93" s="389"/>
      <c r="G93" s="387"/>
      <c r="H93" s="389"/>
      <c r="I93" s="387"/>
      <c r="J93" s="389"/>
      <c r="K93" s="387"/>
      <c r="L93" s="389"/>
      <c r="M93" s="387"/>
      <c r="N93" s="389"/>
      <c r="O93" s="387"/>
      <c r="P93" s="389"/>
      <c r="Q93" s="387"/>
      <c r="R93" s="389"/>
      <c r="S93" s="387"/>
      <c r="T93" s="389"/>
      <c r="U93" s="387"/>
      <c r="V93" s="389"/>
      <c r="W93" s="387"/>
      <c r="X93" s="389"/>
      <c r="Y93" s="387"/>
      <c r="Z93" s="389"/>
      <c r="AA93" s="387"/>
      <c r="AB93" s="389"/>
      <c r="AC93" s="387"/>
      <c r="AD93" s="389"/>
      <c r="AE93" s="387"/>
      <c r="AF93" s="389"/>
      <c r="AG93" s="387"/>
      <c r="AH93" s="389"/>
      <c r="AI93" s="387"/>
      <c r="AJ93" s="394"/>
      <c r="AK93" s="391">
        <f t="shared" ref="AK93:AK96" si="25">COUNTIF(C93:AJ93,"&gt;=R")</f>
        <v>0</v>
      </c>
      <c r="AL93" s="392">
        <f t="shared" ref="AL93:AL96" si="26">AK93</f>
        <v>0</v>
      </c>
      <c r="AM93" s="404"/>
      <c r="AN93" s="404"/>
      <c r="AO93" s="404"/>
      <c r="AP93" s="404"/>
      <c r="AQ93" s="404"/>
      <c r="AR93" s="404"/>
      <c r="AS93" s="404"/>
      <c r="AT93" s="404"/>
      <c r="AU93" s="404"/>
      <c r="AV93" s="404"/>
      <c r="AW93" s="404"/>
      <c r="AX93" s="404"/>
      <c r="AY93" s="404"/>
      <c r="AZ93" s="404"/>
      <c r="BA93" s="404"/>
      <c r="BB93" s="404"/>
      <c r="BC93" s="404"/>
      <c r="BD93" s="404"/>
      <c r="BE93" s="404"/>
      <c r="BF93" s="404"/>
    </row>
    <row r="94" ht="39.75" customHeight="1">
      <c r="A94" s="385" t="s">
        <v>256</v>
      </c>
      <c r="B94" s="386" t="s">
        <v>257</v>
      </c>
      <c r="C94" s="387"/>
      <c r="D94" s="388"/>
      <c r="E94" s="387"/>
      <c r="F94" s="389"/>
      <c r="G94" s="387"/>
      <c r="H94" s="389"/>
      <c r="I94" s="387"/>
      <c r="J94" s="389"/>
      <c r="K94" s="387"/>
      <c r="L94" s="389"/>
      <c r="M94" s="387"/>
      <c r="N94" s="389"/>
      <c r="O94" s="387"/>
      <c r="P94" s="389"/>
      <c r="Q94" s="387"/>
      <c r="R94" s="389"/>
      <c r="S94" s="387"/>
      <c r="T94" s="389"/>
      <c r="U94" s="387"/>
      <c r="V94" s="389"/>
      <c r="W94" s="387"/>
      <c r="X94" s="389"/>
      <c r="Y94" s="387"/>
      <c r="Z94" s="389"/>
      <c r="AA94" s="387"/>
      <c r="AB94" s="389"/>
      <c r="AC94" s="387"/>
      <c r="AD94" s="389"/>
      <c r="AE94" s="387"/>
      <c r="AF94" s="389"/>
      <c r="AG94" s="387"/>
      <c r="AH94" s="389"/>
      <c r="AI94" s="387"/>
      <c r="AJ94" s="394"/>
      <c r="AK94" s="391">
        <f t="shared" si="25"/>
        <v>0</v>
      </c>
      <c r="AL94" s="392">
        <f t="shared" si="26"/>
        <v>0</v>
      </c>
    </row>
    <row r="95" ht="39.75" customHeight="1">
      <c r="A95" s="385" t="s">
        <v>258</v>
      </c>
      <c r="B95" s="386" t="s">
        <v>259</v>
      </c>
      <c r="C95" s="387"/>
      <c r="D95" s="388"/>
      <c r="E95" s="387"/>
      <c r="F95" s="389"/>
      <c r="G95" s="387"/>
      <c r="H95" s="389"/>
      <c r="I95" s="387"/>
      <c r="J95" s="389"/>
      <c r="K95" s="387"/>
      <c r="L95" s="389"/>
      <c r="M95" s="387"/>
      <c r="N95" s="389"/>
      <c r="O95" s="387"/>
      <c r="P95" s="389"/>
      <c r="Q95" s="387"/>
      <c r="R95" s="389"/>
      <c r="S95" s="387"/>
      <c r="T95" s="389"/>
      <c r="U95" s="387"/>
      <c r="V95" s="389"/>
      <c r="W95" s="387"/>
      <c r="X95" s="389"/>
      <c r="Y95" s="387"/>
      <c r="Z95" s="389"/>
      <c r="AA95" s="387"/>
      <c r="AB95" s="389"/>
      <c r="AC95" s="387"/>
      <c r="AD95" s="389"/>
      <c r="AE95" s="387"/>
      <c r="AF95" s="389"/>
      <c r="AG95" s="387"/>
      <c r="AH95" s="389"/>
      <c r="AI95" s="387"/>
      <c r="AJ95" s="394"/>
      <c r="AK95" s="391">
        <f t="shared" si="25"/>
        <v>0</v>
      </c>
      <c r="AL95" s="392">
        <f t="shared" si="26"/>
        <v>0</v>
      </c>
      <c r="AM95" s="404"/>
      <c r="AN95" s="404"/>
      <c r="AO95" s="404"/>
      <c r="AP95" s="404"/>
      <c r="AQ95" s="404"/>
      <c r="AR95" s="404"/>
      <c r="AS95" s="404"/>
      <c r="AT95" s="404"/>
      <c r="AU95" s="404"/>
      <c r="AV95" s="404"/>
      <c r="AW95" s="404"/>
      <c r="AX95" s="404"/>
      <c r="AY95" s="404"/>
      <c r="AZ95" s="404"/>
      <c r="BA95" s="404"/>
      <c r="BB95" s="404"/>
      <c r="BC95" s="404"/>
      <c r="BD95" s="404"/>
      <c r="BE95" s="404"/>
      <c r="BF95" s="404"/>
    </row>
    <row r="96" ht="39.75" customHeight="1">
      <c r="A96" s="385" t="s">
        <v>260</v>
      </c>
      <c r="B96" s="386" t="s">
        <v>261</v>
      </c>
      <c r="C96" s="387"/>
      <c r="D96" s="388"/>
      <c r="E96" s="387"/>
      <c r="F96" s="389"/>
      <c r="G96" s="387"/>
      <c r="H96" s="389"/>
      <c r="I96" s="387"/>
      <c r="J96" s="389"/>
      <c r="K96" s="387"/>
      <c r="L96" s="389"/>
      <c r="M96" s="387"/>
      <c r="N96" s="389"/>
      <c r="O96" s="387"/>
      <c r="P96" s="389"/>
      <c r="Q96" s="387"/>
      <c r="R96" s="389"/>
      <c r="S96" s="387"/>
      <c r="T96" s="389"/>
      <c r="U96" s="387"/>
      <c r="V96" s="389"/>
      <c r="W96" s="387"/>
      <c r="X96" s="389"/>
      <c r="Y96" s="387"/>
      <c r="Z96" s="389"/>
      <c r="AA96" s="387"/>
      <c r="AB96" s="389"/>
      <c r="AC96" s="387"/>
      <c r="AD96" s="389"/>
      <c r="AE96" s="387"/>
      <c r="AF96" s="389"/>
      <c r="AG96" s="387"/>
      <c r="AH96" s="389"/>
      <c r="AI96" s="387"/>
      <c r="AJ96" s="394"/>
      <c r="AK96" s="391">
        <f t="shared" si="25"/>
        <v>0</v>
      </c>
      <c r="AL96" s="392">
        <f t="shared" si="26"/>
        <v>0</v>
      </c>
      <c r="AM96" s="404"/>
      <c r="AN96" s="404"/>
      <c r="AO96" s="404"/>
      <c r="AP96" s="404"/>
      <c r="AQ96" s="404"/>
      <c r="AR96" s="404"/>
      <c r="AS96" s="404"/>
      <c r="AT96" s="404"/>
      <c r="AU96" s="404"/>
      <c r="AV96" s="404"/>
      <c r="AW96" s="404"/>
      <c r="AX96" s="404"/>
      <c r="AY96" s="404"/>
      <c r="AZ96" s="404"/>
      <c r="BA96" s="404"/>
      <c r="BB96" s="404"/>
      <c r="BC96" s="404"/>
      <c r="BD96" s="404"/>
      <c r="BE96" s="404"/>
      <c r="BF96" s="404"/>
    </row>
    <row r="97" ht="39.75" customHeight="1">
      <c r="A97" s="414" t="s">
        <v>262</v>
      </c>
      <c r="B97" s="415" t="s">
        <v>263</v>
      </c>
      <c r="C97" s="387"/>
      <c r="D97" s="388"/>
      <c r="E97" s="389"/>
      <c r="F97" s="389"/>
      <c r="G97" s="394"/>
      <c r="H97" s="389"/>
      <c r="I97" s="394"/>
      <c r="J97" s="389"/>
      <c r="K97" s="394"/>
      <c r="L97" s="389"/>
      <c r="M97" s="389"/>
      <c r="N97" s="389"/>
      <c r="O97" s="389"/>
      <c r="P97" s="389"/>
      <c r="Q97" s="389"/>
      <c r="R97" s="389"/>
      <c r="S97" s="389"/>
      <c r="T97" s="389"/>
      <c r="U97" s="394"/>
      <c r="V97" s="389"/>
      <c r="W97" s="394"/>
      <c r="X97" s="389"/>
      <c r="Y97" s="394"/>
      <c r="Z97" s="389"/>
      <c r="AA97" s="394"/>
      <c r="AB97" s="389"/>
      <c r="AC97" s="389"/>
      <c r="AD97" s="389"/>
      <c r="AE97" s="389"/>
      <c r="AF97" s="389"/>
      <c r="AG97" s="389"/>
      <c r="AH97" s="389"/>
      <c r="AI97" s="389"/>
      <c r="AJ97" s="394"/>
      <c r="AK97" s="391"/>
      <c r="AL97" s="392"/>
    </row>
    <row r="98" ht="39.75" customHeight="1">
      <c r="A98" s="411" t="s">
        <v>264</v>
      </c>
      <c r="B98" s="412" t="s">
        <v>265</v>
      </c>
      <c r="C98" s="387"/>
      <c r="D98" s="388"/>
      <c r="E98" s="389"/>
      <c r="F98" s="389"/>
      <c r="G98" s="389"/>
      <c r="H98" s="389"/>
      <c r="I98" s="389"/>
      <c r="J98" s="389"/>
      <c r="K98" s="389"/>
      <c r="L98" s="389"/>
      <c r="M98" s="389" t="s">
        <v>57</v>
      </c>
      <c r="N98" s="389"/>
      <c r="O98" s="389"/>
      <c r="P98" s="389"/>
      <c r="Q98" s="389"/>
      <c r="R98" s="389"/>
      <c r="S98" s="389" t="s">
        <v>57</v>
      </c>
      <c r="T98" s="389"/>
      <c r="U98" s="389"/>
      <c r="V98" s="389"/>
      <c r="W98" s="389" t="s">
        <v>57</v>
      </c>
      <c r="X98" s="389"/>
      <c r="Y98" s="389" t="s">
        <v>57</v>
      </c>
      <c r="Z98" s="389"/>
      <c r="AA98" s="389" t="s">
        <v>7</v>
      </c>
      <c r="AB98" s="389"/>
      <c r="AC98" s="389" t="s">
        <v>7</v>
      </c>
      <c r="AD98" s="389"/>
      <c r="AE98" s="389" t="s">
        <v>7</v>
      </c>
      <c r="AF98" s="389"/>
      <c r="AG98" s="389"/>
      <c r="AH98" s="389"/>
      <c r="AI98" s="389"/>
      <c r="AJ98" s="394"/>
      <c r="AK98" s="391">
        <f>COUNTIF(C98:AJ98,"&gt;=R")</f>
        <v>7</v>
      </c>
      <c r="AL98" s="392">
        <f>AK98</f>
        <v>7</v>
      </c>
    </row>
    <row r="99" ht="39.75" customHeight="1">
      <c r="A99" s="421" t="s">
        <v>266</v>
      </c>
      <c r="B99" s="396" t="s">
        <v>267</v>
      </c>
      <c r="C99" s="397"/>
      <c r="D99" s="398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399"/>
      <c r="AC99" s="399"/>
      <c r="AD99" s="399"/>
      <c r="AE99" s="399"/>
      <c r="AF99" s="399"/>
      <c r="AG99" s="399"/>
      <c r="AH99" s="399"/>
      <c r="AI99" s="400"/>
      <c r="AJ99" s="400"/>
      <c r="AK99" s="529"/>
      <c r="AL99" s="530"/>
    </row>
    <row r="100" ht="39.75" customHeight="1">
      <c r="A100" s="385" t="s">
        <v>268</v>
      </c>
      <c r="B100" s="386" t="s">
        <v>269</v>
      </c>
      <c r="C100" s="388"/>
      <c r="D100" s="388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94"/>
      <c r="AK100" s="391">
        <f t="shared" ref="AK100:AK101" si="27">COUNTIF(C100:AJ100,"&gt;=R")</f>
        <v>0</v>
      </c>
      <c r="AL100" s="392">
        <f t="shared" ref="AL100:AL101" si="28">AK100</f>
        <v>0</v>
      </c>
    </row>
    <row r="101" ht="39.75" customHeight="1">
      <c r="A101" s="385" t="s">
        <v>270</v>
      </c>
      <c r="B101" s="386" t="s">
        <v>271</v>
      </c>
      <c r="C101" s="388"/>
      <c r="D101" s="388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94"/>
      <c r="AK101" s="391">
        <f t="shared" si="27"/>
        <v>0</v>
      </c>
      <c r="AL101" s="392">
        <f t="shared" si="28"/>
        <v>0</v>
      </c>
    </row>
    <row r="102" ht="39.75" customHeight="1">
      <c r="A102" s="421" t="s">
        <v>272</v>
      </c>
      <c r="B102" s="396" t="s">
        <v>273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400"/>
      <c r="AJ102" s="400"/>
      <c r="AK102" s="529"/>
      <c r="AL102" s="530"/>
      <c r="AM102" s="404"/>
      <c r="AN102" s="404"/>
      <c r="AO102" s="404"/>
      <c r="AP102" s="404"/>
      <c r="AQ102" s="404"/>
      <c r="AR102" s="404"/>
      <c r="AS102" s="404"/>
      <c r="AT102" s="404"/>
      <c r="AU102" s="404"/>
      <c r="AV102" s="404"/>
      <c r="AW102" s="404"/>
      <c r="AX102" s="404"/>
      <c r="AY102" s="404"/>
      <c r="AZ102" s="404"/>
      <c r="BA102" s="404"/>
      <c r="BB102" s="404"/>
      <c r="BC102" s="404"/>
      <c r="BD102" s="404"/>
      <c r="BE102" s="404"/>
      <c r="BF102" s="404"/>
    </row>
    <row r="103" ht="39.75" customHeight="1">
      <c r="A103" s="385" t="s">
        <v>274</v>
      </c>
      <c r="B103" s="386" t="s">
        <v>275</v>
      </c>
      <c r="C103" s="387"/>
      <c r="D103" s="387"/>
      <c r="E103" s="387"/>
      <c r="F103" s="389"/>
      <c r="G103" s="387"/>
      <c r="H103" s="389"/>
      <c r="I103" s="387"/>
      <c r="J103" s="389"/>
      <c r="K103" s="387"/>
      <c r="L103" s="389"/>
      <c r="M103" s="387"/>
      <c r="N103" s="389"/>
      <c r="O103" s="387"/>
      <c r="P103" s="389"/>
      <c r="Q103" s="387"/>
      <c r="R103" s="389"/>
      <c r="S103" s="387"/>
      <c r="T103" s="389"/>
      <c r="U103" s="387"/>
      <c r="V103" s="389"/>
      <c r="W103" s="387"/>
      <c r="X103" s="389"/>
      <c r="Y103" s="387"/>
      <c r="Z103" s="389"/>
      <c r="AA103" s="387"/>
      <c r="AB103" s="389"/>
      <c r="AC103" s="387"/>
      <c r="AD103" s="389"/>
      <c r="AE103" s="387"/>
      <c r="AF103" s="389"/>
      <c r="AG103" s="387"/>
      <c r="AH103" s="389"/>
      <c r="AI103" s="387"/>
      <c r="AJ103" s="394"/>
      <c r="AK103" s="391">
        <f t="shared" ref="AK103:AK104" si="29">COUNTIF(C103:AJ103,"&gt;=R")</f>
        <v>0</v>
      </c>
      <c r="AL103" s="392">
        <f t="shared" ref="AL103:AL104" si="30">AK103</f>
        <v>0</v>
      </c>
    </row>
    <row r="104" ht="39.75" customHeight="1">
      <c r="A104" s="385" t="s">
        <v>276</v>
      </c>
      <c r="B104" s="386" t="s">
        <v>277</v>
      </c>
      <c r="C104" s="387"/>
      <c r="D104" s="388"/>
      <c r="E104" s="387"/>
      <c r="F104" s="389"/>
      <c r="G104" s="387"/>
      <c r="H104" s="389"/>
      <c r="I104" s="387"/>
      <c r="J104" s="389"/>
      <c r="K104" s="394"/>
      <c r="L104" s="389"/>
      <c r="M104" s="394"/>
      <c r="N104" s="389"/>
      <c r="O104" s="394"/>
      <c r="P104" s="389"/>
      <c r="Q104" s="394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7"/>
      <c r="AH104" s="389"/>
      <c r="AI104" s="387"/>
      <c r="AJ104" s="394"/>
      <c r="AK104" s="391">
        <f t="shared" si="29"/>
        <v>0</v>
      </c>
      <c r="AL104" s="392">
        <f t="shared" si="30"/>
        <v>0</v>
      </c>
      <c r="AM104" s="404"/>
      <c r="AN104" s="404"/>
      <c r="AO104" s="404"/>
      <c r="AP104" s="404"/>
      <c r="AQ104" s="404"/>
      <c r="AR104" s="404"/>
      <c r="AS104" s="404"/>
      <c r="AT104" s="404"/>
      <c r="AU104" s="404"/>
      <c r="AV104" s="404"/>
      <c r="AW104" s="404"/>
      <c r="AX104" s="404"/>
      <c r="AY104" s="404"/>
      <c r="AZ104" s="404"/>
      <c r="BA104" s="404"/>
      <c r="BB104" s="404"/>
      <c r="BC104" s="404"/>
      <c r="BD104" s="404"/>
      <c r="BE104" s="404"/>
      <c r="BF104" s="404"/>
    </row>
    <row r="105" ht="39.75" customHeight="1">
      <c r="A105" s="395" t="s">
        <v>278</v>
      </c>
      <c r="B105" s="396" t="s">
        <v>279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400"/>
      <c r="AJ105" s="400"/>
      <c r="AK105" s="529"/>
      <c r="AL105" s="530"/>
      <c r="AM105" s="404"/>
      <c r="AN105" s="404"/>
      <c r="AO105" s="404"/>
      <c r="AP105" s="404"/>
      <c r="AQ105" s="404"/>
      <c r="AR105" s="404"/>
      <c r="AS105" s="404"/>
      <c r="AT105" s="404"/>
      <c r="AU105" s="404"/>
      <c r="AV105" s="404"/>
      <c r="AW105" s="404"/>
      <c r="AX105" s="404"/>
      <c r="AY105" s="404"/>
      <c r="AZ105" s="404"/>
      <c r="BA105" s="404"/>
      <c r="BB105" s="404"/>
      <c r="BC105" s="404"/>
      <c r="BD105" s="404"/>
      <c r="BE105" s="404"/>
      <c r="BF105" s="404"/>
    </row>
    <row r="106" ht="39.75" customHeight="1">
      <c r="A106" s="414" t="s">
        <v>280</v>
      </c>
      <c r="B106" s="415" t="s">
        <v>281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94"/>
      <c r="AJ106" s="394"/>
      <c r="AK106" s="391">
        <f t="shared" ref="AK106:AK112" si="31">COUNTIF(C106:AJ106,"&gt;=R")</f>
        <v>0</v>
      </c>
      <c r="AL106" s="392">
        <f t="shared" ref="AL106:AL112" si="32">AK106</f>
        <v>0</v>
      </c>
    </row>
    <row r="107" ht="39.75" customHeight="1">
      <c r="A107" s="404" t="s">
        <v>282</v>
      </c>
      <c r="B107" s="405" t="s">
        <v>283</v>
      </c>
      <c r="C107" s="387"/>
      <c r="D107" s="388"/>
      <c r="E107" s="389"/>
      <c r="F107" s="389"/>
      <c r="G107" s="394"/>
      <c r="H107" s="389"/>
      <c r="I107" s="394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94"/>
      <c r="AJ107" s="394"/>
      <c r="AK107" s="391">
        <f t="shared" si="31"/>
        <v>0</v>
      </c>
      <c r="AL107" s="392">
        <f t="shared" si="32"/>
        <v>0</v>
      </c>
    </row>
    <row r="108" ht="39.75" customHeight="1">
      <c r="A108" s="411" t="s">
        <v>284</v>
      </c>
      <c r="B108" s="412" t="s">
        <v>285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94"/>
      <c r="AJ108" s="394"/>
      <c r="AK108" s="391">
        <f t="shared" si="31"/>
        <v>0</v>
      </c>
      <c r="AL108" s="392">
        <f t="shared" si="32"/>
        <v>0</v>
      </c>
      <c r="AM108" s="404"/>
      <c r="AN108" s="404"/>
      <c r="AO108" s="404"/>
      <c r="AP108" s="404"/>
      <c r="AQ108" s="404"/>
      <c r="AR108" s="404"/>
      <c r="AS108" s="404"/>
      <c r="AT108" s="404"/>
      <c r="AU108" s="404"/>
      <c r="AV108" s="404"/>
      <c r="AW108" s="404"/>
      <c r="AX108" s="404"/>
      <c r="AY108" s="404"/>
      <c r="AZ108" s="404"/>
      <c r="BA108" s="404"/>
      <c r="BB108" s="404"/>
      <c r="BC108" s="404"/>
      <c r="BD108" s="404"/>
      <c r="BE108" s="404"/>
      <c r="BF108" s="404"/>
    </row>
    <row r="109" ht="39.75" customHeight="1">
      <c r="A109" s="414" t="s">
        <v>286</v>
      </c>
      <c r="B109" s="415" t="s">
        <v>287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94"/>
      <c r="AJ109" s="394"/>
      <c r="AK109" s="391">
        <f t="shared" si="31"/>
        <v>0</v>
      </c>
      <c r="AL109" s="392">
        <f t="shared" si="32"/>
        <v>0</v>
      </c>
    </row>
    <row r="110" ht="39.75" customHeight="1">
      <c r="A110" s="385" t="s">
        <v>288</v>
      </c>
      <c r="B110" s="386" t="s">
        <v>289</v>
      </c>
      <c r="C110" s="388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94"/>
      <c r="AK110" s="391">
        <f t="shared" si="31"/>
        <v>0</v>
      </c>
      <c r="AL110" s="392">
        <f t="shared" si="32"/>
        <v>0</v>
      </c>
      <c r="AM110" s="404"/>
      <c r="AN110" s="404"/>
      <c r="AO110" s="404"/>
      <c r="AP110" s="404"/>
      <c r="AQ110" s="404"/>
      <c r="AR110" s="404"/>
      <c r="AS110" s="404"/>
      <c r="AT110" s="404"/>
      <c r="AU110" s="404"/>
      <c r="AV110" s="404"/>
      <c r="AW110" s="404"/>
      <c r="AX110" s="404"/>
      <c r="AY110" s="404"/>
      <c r="AZ110" s="404"/>
      <c r="BA110" s="404"/>
      <c r="BB110" s="404"/>
      <c r="BC110" s="404"/>
      <c r="BD110" s="404"/>
      <c r="BE110" s="404"/>
      <c r="BF110" s="404"/>
    </row>
    <row r="111" ht="39.75" customHeight="1">
      <c r="A111" s="385" t="s">
        <v>290</v>
      </c>
      <c r="B111" s="386" t="s">
        <v>291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87"/>
      <c r="V111" s="389"/>
      <c r="W111" s="387"/>
      <c r="X111" s="389"/>
      <c r="Y111" s="387"/>
      <c r="Z111" s="389"/>
      <c r="AA111" s="387"/>
      <c r="AB111" s="389"/>
      <c r="AC111" s="387"/>
      <c r="AD111" s="389"/>
      <c r="AE111" s="387"/>
      <c r="AF111" s="389"/>
      <c r="AG111" s="387"/>
      <c r="AH111" s="389"/>
      <c r="AI111" s="387"/>
      <c r="AJ111" s="394"/>
      <c r="AK111" s="391">
        <f t="shared" si="31"/>
        <v>0</v>
      </c>
      <c r="AL111" s="392">
        <f t="shared" si="32"/>
        <v>0</v>
      </c>
    </row>
    <row r="112" ht="39.75" customHeight="1">
      <c r="A112" s="404" t="s">
        <v>292</v>
      </c>
      <c r="B112" s="405" t="s">
        <v>293</v>
      </c>
      <c r="C112" s="387"/>
      <c r="D112" s="388"/>
      <c r="E112" s="389"/>
      <c r="F112" s="389"/>
      <c r="G112" s="394"/>
      <c r="H112" s="389"/>
      <c r="I112" s="394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94"/>
      <c r="AJ112" s="394"/>
      <c r="AK112" s="391">
        <f t="shared" si="31"/>
        <v>0</v>
      </c>
      <c r="AL112" s="392">
        <f t="shared" si="32"/>
        <v>0</v>
      </c>
    </row>
    <row r="113" ht="39.75" customHeight="1">
      <c r="A113" s="395" t="s">
        <v>294</v>
      </c>
      <c r="B113" s="422" t="s">
        <v>295</v>
      </c>
      <c r="C113" s="397"/>
      <c r="D113" s="398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  <c r="AA113" s="399"/>
      <c r="AB113" s="399"/>
      <c r="AC113" s="399"/>
      <c r="AD113" s="399"/>
      <c r="AE113" s="399"/>
      <c r="AF113" s="399"/>
      <c r="AG113" s="399"/>
      <c r="AH113" s="399"/>
      <c r="AI113" s="400"/>
      <c r="AJ113" s="400"/>
      <c r="AK113" s="529"/>
      <c r="AL113" s="530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</row>
    <row r="114" ht="39.75" customHeight="1">
      <c r="A114" s="402" t="s">
        <v>296</v>
      </c>
      <c r="B114" s="386" t="s">
        <v>297</v>
      </c>
      <c r="C114" s="387" t="s">
        <v>85</v>
      </c>
      <c r="D114" s="388"/>
      <c r="E114" s="389" t="s">
        <v>85</v>
      </c>
      <c r="F114" s="389"/>
      <c r="G114" s="389" t="s">
        <v>93</v>
      </c>
      <c r="H114" s="389"/>
      <c r="I114" s="389"/>
      <c r="J114" s="389"/>
      <c r="K114" s="389" t="s">
        <v>93</v>
      </c>
      <c r="L114" s="389"/>
      <c r="M114" s="389" t="s">
        <v>28</v>
      </c>
      <c r="N114" s="389"/>
      <c r="O114" s="389" t="s">
        <v>93</v>
      </c>
      <c r="P114" s="389"/>
      <c r="Q114" s="389" t="s">
        <v>93</v>
      </c>
      <c r="R114" s="389"/>
      <c r="S114" s="389" t="s">
        <v>28</v>
      </c>
      <c r="T114" s="389"/>
      <c r="U114" s="389" t="s">
        <v>93</v>
      </c>
      <c r="V114" s="389"/>
      <c r="W114" s="389" t="s">
        <v>93</v>
      </c>
      <c r="X114" s="389"/>
      <c r="Y114" s="389" t="s">
        <v>77</v>
      </c>
      <c r="Z114" s="389"/>
      <c r="AA114" s="389" t="s">
        <v>28</v>
      </c>
      <c r="AB114" s="389"/>
      <c r="AC114" s="389" t="s">
        <v>18</v>
      </c>
      <c r="AD114" s="389"/>
      <c r="AE114" s="389" t="s">
        <v>18</v>
      </c>
      <c r="AF114" s="389"/>
      <c r="AG114" s="389"/>
      <c r="AH114" s="389"/>
      <c r="AI114" s="389"/>
      <c r="AJ114" s="394"/>
      <c r="AK114" s="391">
        <f t="shared" ref="AK114:AK125" si="33">COUNTIF(C114:AJ114,"&gt;=R")</f>
        <v>14</v>
      </c>
      <c r="AL114" s="392">
        <f t="shared" ref="AL114:AL125" si="34">AK114</f>
        <v>14</v>
      </c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</row>
    <row r="115" ht="39.75" customHeight="1">
      <c r="A115" s="402" t="s">
        <v>298</v>
      </c>
      <c r="B115" s="386" t="s">
        <v>299</v>
      </c>
      <c r="C115" s="387" t="s">
        <v>85</v>
      </c>
      <c r="D115" s="388"/>
      <c r="E115" s="389" t="s">
        <v>85</v>
      </c>
      <c r="F115" s="389"/>
      <c r="G115" s="394" t="s">
        <v>85</v>
      </c>
      <c r="H115" s="389"/>
      <c r="I115" s="394" t="s">
        <v>93</v>
      </c>
      <c r="J115" s="389"/>
      <c r="K115" s="394" t="s">
        <v>93</v>
      </c>
      <c r="L115" s="389"/>
      <c r="M115" s="417" t="s">
        <v>8</v>
      </c>
      <c r="N115" s="389"/>
      <c r="O115" s="389" t="s">
        <v>85</v>
      </c>
      <c r="P115" s="389"/>
      <c r="Q115" s="394" t="s">
        <v>93</v>
      </c>
      <c r="R115" s="389"/>
      <c r="S115" s="394" t="s">
        <v>37</v>
      </c>
      <c r="T115" s="389"/>
      <c r="U115" s="394" t="s">
        <v>37</v>
      </c>
      <c r="V115" s="389"/>
      <c r="W115" s="394" t="s">
        <v>37</v>
      </c>
      <c r="X115" s="389"/>
      <c r="Y115" s="394" t="s">
        <v>37</v>
      </c>
      <c r="Z115" s="389"/>
      <c r="AA115" s="394" t="s">
        <v>37</v>
      </c>
      <c r="AB115" s="389"/>
      <c r="AC115" s="394" t="s">
        <v>37</v>
      </c>
      <c r="AD115" s="389"/>
      <c r="AE115" s="394" t="s">
        <v>37</v>
      </c>
      <c r="AF115" s="389"/>
      <c r="AG115" s="389"/>
      <c r="AH115" s="389"/>
      <c r="AI115" s="389"/>
      <c r="AJ115" s="394"/>
      <c r="AK115" s="391">
        <f t="shared" si="33"/>
        <v>15</v>
      </c>
      <c r="AL115" s="392">
        <f t="shared" si="34"/>
        <v>15</v>
      </c>
    </row>
    <row r="116" ht="39.75" customHeight="1">
      <c r="A116" s="402" t="s">
        <v>300</v>
      </c>
      <c r="B116" s="386" t="s">
        <v>301</v>
      </c>
      <c r="C116" s="387"/>
      <c r="D116" s="388"/>
      <c r="E116" s="387"/>
      <c r="F116" s="389"/>
      <c r="G116" s="387"/>
      <c r="H116" s="389"/>
      <c r="I116" s="387"/>
      <c r="J116" s="389"/>
      <c r="K116" s="387"/>
      <c r="L116" s="389"/>
      <c r="M116" s="387"/>
      <c r="N116" s="389"/>
      <c r="O116" s="387"/>
      <c r="P116" s="389"/>
      <c r="Q116" s="387"/>
      <c r="R116" s="389"/>
      <c r="S116" s="387"/>
      <c r="T116" s="389"/>
      <c r="U116" s="387"/>
      <c r="V116" s="389"/>
      <c r="W116" s="387"/>
      <c r="X116" s="389"/>
      <c r="Y116" s="387"/>
      <c r="Z116" s="389"/>
      <c r="AA116" s="387"/>
      <c r="AB116" s="389"/>
      <c r="AC116" s="387"/>
      <c r="AD116" s="389"/>
      <c r="AE116" s="387"/>
      <c r="AF116" s="389"/>
      <c r="AG116" s="387"/>
      <c r="AH116" s="389"/>
      <c r="AI116" s="387"/>
      <c r="AJ116" s="389"/>
      <c r="AK116" s="391">
        <f t="shared" si="33"/>
        <v>0</v>
      </c>
      <c r="AL116" s="392">
        <f t="shared" si="34"/>
        <v>0</v>
      </c>
    </row>
    <row r="117" ht="39.75" customHeight="1">
      <c r="A117" s="402" t="s">
        <v>302</v>
      </c>
      <c r="B117" s="386" t="s">
        <v>303</v>
      </c>
      <c r="C117" s="388"/>
      <c r="D117" s="388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7"/>
      <c r="Z117" s="389"/>
      <c r="AA117" s="387"/>
      <c r="AB117" s="389"/>
      <c r="AC117" s="387"/>
      <c r="AD117" s="389"/>
      <c r="AE117" s="387"/>
      <c r="AF117" s="389"/>
      <c r="AG117" s="387"/>
      <c r="AH117" s="389"/>
      <c r="AI117" s="387"/>
      <c r="AJ117" s="394"/>
      <c r="AK117" s="391">
        <f t="shared" si="33"/>
        <v>0</v>
      </c>
      <c r="AL117" s="392">
        <f t="shared" si="34"/>
        <v>0</v>
      </c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</row>
    <row r="118" ht="39.75" customHeight="1">
      <c r="A118" s="402" t="s">
        <v>304</v>
      </c>
      <c r="B118" s="386" t="s">
        <v>305</v>
      </c>
      <c r="C118" s="387"/>
      <c r="D118" s="388"/>
      <c r="E118" s="389"/>
      <c r="F118" s="389"/>
      <c r="G118" s="394"/>
      <c r="H118" s="389"/>
      <c r="I118" s="394"/>
      <c r="J118" s="389"/>
      <c r="K118" s="394"/>
      <c r="L118" s="389"/>
      <c r="M118" s="389"/>
      <c r="N118" s="389"/>
      <c r="O118" s="389"/>
      <c r="P118" s="389"/>
      <c r="Q118" s="394"/>
      <c r="R118" s="389"/>
      <c r="S118" s="394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94"/>
      <c r="AK118" s="391">
        <f t="shared" si="33"/>
        <v>0</v>
      </c>
      <c r="AL118" s="392">
        <f t="shared" si="34"/>
        <v>0</v>
      </c>
    </row>
    <row r="119" ht="39.75" customHeight="1">
      <c r="A119" s="402" t="s">
        <v>306</v>
      </c>
      <c r="B119" s="386" t="s">
        <v>307</v>
      </c>
      <c r="C119" s="387"/>
      <c r="D119" s="388"/>
      <c r="E119" s="394"/>
      <c r="F119" s="389"/>
      <c r="G119" s="394"/>
      <c r="H119" s="389"/>
      <c r="I119" s="394"/>
      <c r="J119" s="389"/>
      <c r="K119" s="394"/>
      <c r="L119" s="389"/>
      <c r="M119" s="394"/>
      <c r="N119" s="389"/>
      <c r="O119" s="394"/>
      <c r="P119" s="389"/>
      <c r="Q119" s="394"/>
      <c r="R119" s="389"/>
      <c r="S119" s="394"/>
      <c r="T119" s="389"/>
      <c r="U119" s="394"/>
      <c r="V119" s="394"/>
      <c r="W119" s="394"/>
      <c r="X119" s="394"/>
      <c r="Y119" s="394"/>
      <c r="Z119" s="394"/>
      <c r="AA119" s="394"/>
      <c r="AB119" s="394"/>
      <c r="AC119" s="394"/>
      <c r="AD119" s="394"/>
      <c r="AE119" s="394"/>
      <c r="AF119" s="394"/>
      <c r="AG119" s="394"/>
      <c r="AH119" s="394"/>
      <c r="AI119" s="394"/>
      <c r="AJ119" s="394"/>
      <c r="AK119" s="391">
        <f t="shared" si="33"/>
        <v>0</v>
      </c>
      <c r="AL119" s="392">
        <f t="shared" si="34"/>
        <v>0</v>
      </c>
    </row>
    <row r="120" ht="39.75" customHeight="1">
      <c r="A120" s="402" t="s">
        <v>308</v>
      </c>
      <c r="B120" s="386" t="s">
        <v>309</v>
      </c>
      <c r="C120" s="387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94"/>
      <c r="V120" s="394"/>
      <c r="W120" s="394"/>
      <c r="X120" s="394"/>
      <c r="Y120" s="394"/>
      <c r="Z120" s="394"/>
      <c r="AA120" s="394"/>
      <c r="AB120" s="394"/>
      <c r="AC120" s="394"/>
      <c r="AD120" s="394"/>
      <c r="AE120" s="394"/>
      <c r="AF120" s="394"/>
      <c r="AG120" s="394"/>
      <c r="AH120" s="394"/>
      <c r="AI120" s="394"/>
      <c r="AJ120" s="394"/>
      <c r="AK120" s="391">
        <f t="shared" si="33"/>
        <v>0</v>
      </c>
      <c r="AL120" s="392">
        <f t="shared" si="34"/>
        <v>0</v>
      </c>
    </row>
    <row r="121" ht="39.75" customHeight="1">
      <c r="A121" s="402" t="s">
        <v>310</v>
      </c>
      <c r="B121" s="386" t="s">
        <v>311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  <c r="AA121" s="394"/>
      <c r="AB121" s="394"/>
      <c r="AC121" s="394"/>
      <c r="AD121" s="394"/>
      <c r="AE121" s="394"/>
      <c r="AF121" s="394"/>
      <c r="AG121" s="394"/>
      <c r="AH121" s="394"/>
      <c r="AI121" s="394"/>
      <c r="AJ121" s="394"/>
      <c r="AK121" s="391">
        <f t="shared" si="33"/>
        <v>0</v>
      </c>
      <c r="AL121" s="392">
        <f t="shared" si="34"/>
        <v>0</v>
      </c>
    </row>
    <row r="122" ht="39.75" customHeight="1">
      <c r="A122" s="402" t="s">
        <v>312</v>
      </c>
      <c r="B122" s="386" t="s">
        <v>313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  <c r="AA122" s="394"/>
      <c r="AB122" s="394"/>
      <c r="AC122" s="394"/>
      <c r="AD122" s="394"/>
      <c r="AE122" s="394"/>
      <c r="AF122" s="394"/>
      <c r="AG122" s="394"/>
      <c r="AH122" s="394"/>
      <c r="AI122" s="394"/>
      <c r="AJ122" s="394"/>
      <c r="AK122" s="391">
        <f t="shared" si="33"/>
        <v>0</v>
      </c>
      <c r="AL122" s="392">
        <f t="shared" si="34"/>
        <v>0</v>
      </c>
    </row>
    <row r="123" ht="39.75" customHeight="1">
      <c r="A123" s="402" t="s">
        <v>314</v>
      </c>
      <c r="B123" s="386" t="s">
        <v>315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94"/>
      <c r="AG123" s="394"/>
      <c r="AH123" s="394"/>
      <c r="AI123" s="394"/>
      <c r="AJ123" s="394"/>
      <c r="AK123" s="391">
        <f t="shared" si="33"/>
        <v>0</v>
      </c>
      <c r="AL123" s="392">
        <f t="shared" si="34"/>
        <v>0</v>
      </c>
    </row>
    <row r="124" ht="39.75" customHeight="1">
      <c r="A124" s="402" t="s">
        <v>316</v>
      </c>
      <c r="B124" s="386" t="s">
        <v>317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4"/>
      <c r="AB124" s="394"/>
      <c r="AC124" s="394"/>
      <c r="AD124" s="394"/>
      <c r="AE124" s="394"/>
      <c r="AF124" s="394"/>
      <c r="AG124" s="394"/>
      <c r="AH124" s="394"/>
      <c r="AI124" s="394"/>
      <c r="AJ124" s="394"/>
      <c r="AK124" s="391">
        <f t="shared" si="33"/>
        <v>0</v>
      </c>
      <c r="AL124" s="392">
        <f t="shared" si="34"/>
        <v>0</v>
      </c>
    </row>
    <row r="125" ht="39.75" customHeight="1">
      <c r="A125" s="402" t="s">
        <v>318</v>
      </c>
      <c r="B125" s="386" t="s">
        <v>319</v>
      </c>
      <c r="C125" s="387"/>
      <c r="D125" s="387"/>
      <c r="E125" s="387"/>
      <c r="F125" s="394"/>
      <c r="G125" s="387"/>
      <c r="H125" s="394"/>
      <c r="I125" s="387"/>
      <c r="J125" s="394"/>
      <c r="K125" s="387"/>
      <c r="L125" s="394"/>
      <c r="M125" s="387"/>
      <c r="N125" s="394"/>
      <c r="O125" s="387"/>
      <c r="P125" s="394"/>
      <c r="Q125" s="387"/>
      <c r="R125" s="394"/>
      <c r="S125" s="387"/>
      <c r="T125" s="394"/>
      <c r="U125" s="387"/>
      <c r="V125" s="394"/>
      <c r="W125" s="387"/>
      <c r="X125" s="394"/>
      <c r="Y125" s="387"/>
      <c r="Z125" s="394"/>
      <c r="AA125" s="387"/>
      <c r="AB125" s="394"/>
      <c r="AC125" s="387"/>
      <c r="AD125" s="394"/>
      <c r="AE125" s="387"/>
      <c r="AF125" s="394"/>
      <c r="AG125" s="387"/>
      <c r="AH125" s="394"/>
      <c r="AI125" s="387"/>
      <c r="AJ125" s="394"/>
      <c r="AK125" s="391">
        <f t="shared" si="33"/>
        <v>0</v>
      </c>
      <c r="AL125" s="392">
        <f t="shared" si="34"/>
        <v>0</v>
      </c>
    </row>
    <row r="126" ht="39.75" customHeight="1">
      <c r="A126" s="423" t="s">
        <v>320</v>
      </c>
      <c r="B126" s="424" t="s">
        <v>321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399"/>
      <c r="AC126" s="399"/>
      <c r="AD126" s="399"/>
      <c r="AE126" s="399"/>
      <c r="AF126" s="399"/>
      <c r="AG126" s="399"/>
      <c r="AH126" s="399"/>
      <c r="AI126" s="400"/>
      <c r="AJ126" s="400"/>
      <c r="AK126" s="529"/>
      <c r="AL126" s="530"/>
    </row>
    <row r="127" ht="39.75" customHeight="1">
      <c r="A127" s="378" t="s">
        <v>322</v>
      </c>
      <c r="B127" s="425" t="s">
        <v>323</v>
      </c>
      <c r="C127" s="397"/>
      <c r="D127" s="398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400"/>
      <c r="AJ127" s="400"/>
      <c r="AK127" s="529"/>
      <c r="AL127" s="530"/>
    </row>
    <row r="128" ht="39.75" customHeight="1">
      <c r="A128" s="411" t="s">
        <v>324</v>
      </c>
      <c r="B128" s="426" t="s">
        <v>325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87"/>
      <c r="Z128" s="394"/>
      <c r="AA128" s="387"/>
      <c r="AB128" s="394"/>
      <c r="AC128" s="387"/>
      <c r="AD128" s="394"/>
      <c r="AE128" s="387"/>
      <c r="AF128" s="394"/>
      <c r="AG128" s="387"/>
      <c r="AH128" s="394"/>
      <c r="AI128" s="387"/>
      <c r="AJ128" s="394"/>
      <c r="AK128" s="391">
        <f t="shared" ref="AK128:AK139" si="35">COUNTIF(C128:AJ128,"&gt;=R")</f>
        <v>0</v>
      </c>
      <c r="AL128" s="392">
        <f t="shared" ref="AL128:AL139" si="36">AK128</f>
        <v>0</v>
      </c>
    </row>
    <row r="129" ht="39.75" customHeight="1">
      <c r="A129" s="427" t="s">
        <v>326</v>
      </c>
      <c r="B129" s="428" t="s">
        <v>327</v>
      </c>
      <c r="C129" s="387"/>
      <c r="D129" s="387"/>
      <c r="E129" s="387"/>
      <c r="F129" s="394"/>
      <c r="G129" s="387"/>
      <c r="H129" s="394"/>
      <c r="I129" s="387"/>
      <c r="J129" s="394"/>
      <c r="K129" s="387"/>
      <c r="L129" s="394"/>
      <c r="M129" s="387"/>
      <c r="N129" s="394"/>
      <c r="O129" s="387"/>
      <c r="P129" s="394"/>
      <c r="Q129" s="387"/>
      <c r="R129" s="394"/>
      <c r="S129" s="387"/>
      <c r="T129" s="394"/>
      <c r="U129" s="387"/>
      <c r="V129" s="394"/>
      <c r="W129" s="387"/>
      <c r="X129" s="394"/>
      <c r="Y129" s="387"/>
      <c r="Z129" s="394"/>
      <c r="AA129" s="387"/>
      <c r="AB129" s="394"/>
      <c r="AC129" s="387"/>
      <c r="AD129" s="394"/>
      <c r="AE129" s="387"/>
      <c r="AF129" s="394"/>
      <c r="AG129" s="387"/>
      <c r="AH129" s="394"/>
      <c r="AI129" s="387"/>
      <c r="AJ129" s="394"/>
      <c r="AK129" s="391">
        <f t="shared" si="35"/>
        <v>0</v>
      </c>
      <c r="AL129" s="392">
        <f t="shared" si="36"/>
        <v>0</v>
      </c>
    </row>
    <row r="130" ht="39.75" customHeight="1">
      <c r="A130" s="411" t="s">
        <v>328</v>
      </c>
      <c r="B130" s="426" t="s">
        <v>329</v>
      </c>
      <c r="C130" s="387"/>
      <c r="D130" s="387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89"/>
      <c r="P130" s="394"/>
      <c r="Q130" s="389"/>
      <c r="R130" s="394"/>
      <c r="S130" s="389"/>
      <c r="T130" s="394"/>
      <c r="U130" s="389"/>
      <c r="V130" s="394"/>
      <c r="W130" s="389"/>
      <c r="X130" s="394"/>
      <c r="Y130" s="389"/>
      <c r="Z130" s="394"/>
      <c r="AA130" s="389"/>
      <c r="AB130" s="394"/>
      <c r="AC130" s="389"/>
      <c r="AD130" s="394"/>
      <c r="AE130" s="389"/>
      <c r="AF130" s="394"/>
      <c r="AG130" s="389"/>
      <c r="AH130" s="394"/>
      <c r="AI130" s="389"/>
      <c r="AJ130" s="394"/>
      <c r="AK130" s="391">
        <f t="shared" si="35"/>
        <v>0</v>
      </c>
      <c r="AL130" s="392">
        <f t="shared" si="36"/>
        <v>0</v>
      </c>
    </row>
    <row r="131" ht="39.75" customHeight="1">
      <c r="A131" s="411" t="s">
        <v>330</v>
      </c>
      <c r="B131" s="426" t="s">
        <v>331</v>
      </c>
      <c r="C131" s="388"/>
      <c r="D131" s="387"/>
      <c r="E131" s="389"/>
      <c r="F131" s="394"/>
      <c r="G131" s="389"/>
      <c r="H131" s="394"/>
      <c r="I131" s="389"/>
      <c r="J131" s="394"/>
      <c r="K131" s="389"/>
      <c r="L131" s="394"/>
      <c r="M131" s="389"/>
      <c r="N131" s="394"/>
      <c r="O131" s="389"/>
      <c r="P131" s="394"/>
      <c r="Q131" s="389"/>
      <c r="R131" s="394"/>
      <c r="S131" s="389"/>
      <c r="T131" s="394"/>
      <c r="U131" s="389"/>
      <c r="V131" s="394"/>
      <c r="W131" s="389"/>
      <c r="X131" s="394"/>
      <c r="Y131" s="389"/>
      <c r="Z131" s="394"/>
      <c r="AA131" s="389"/>
      <c r="AB131" s="394"/>
      <c r="AC131" s="389"/>
      <c r="AD131" s="394"/>
      <c r="AE131" s="389"/>
      <c r="AF131" s="394"/>
      <c r="AG131" s="389"/>
      <c r="AH131" s="394"/>
      <c r="AI131" s="389"/>
      <c r="AJ131" s="394"/>
      <c r="AK131" s="391">
        <f t="shared" si="35"/>
        <v>0</v>
      </c>
      <c r="AL131" s="392">
        <f t="shared" si="36"/>
        <v>0</v>
      </c>
    </row>
    <row r="132" ht="39.75" customHeight="1">
      <c r="A132" s="411" t="s">
        <v>332</v>
      </c>
      <c r="B132" s="426" t="s">
        <v>333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  <c r="AA132" s="394"/>
      <c r="AB132" s="394"/>
      <c r="AC132" s="394"/>
      <c r="AD132" s="394"/>
      <c r="AE132" s="394"/>
      <c r="AF132" s="394"/>
      <c r="AG132" s="394"/>
      <c r="AH132" s="394"/>
      <c r="AI132" s="394"/>
      <c r="AJ132" s="394"/>
      <c r="AK132" s="391">
        <f t="shared" si="35"/>
        <v>0</v>
      </c>
      <c r="AL132" s="392">
        <f t="shared" si="36"/>
        <v>0</v>
      </c>
    </row>
    <row r="133" ht="39.75" customHeight="1">
      <c r="A133" s="411" t="s">
        <v>334</v>
      </c>
      <c r="B133" s="426" t="s">
        <v>335</v>
      </c>
      <c r="C133" s="387"/>
      <c r="D133" s="388"/>
      <c r="E133" s="387"/>
      <c r="F133" s="389"/>
      <c r="G133" s="387"/>
      <c r="H133" s="389"/>
      <c r="I133" s="387"/>
      <c r="J133" s="389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87"/>
      <c r="Z133" s="394"/>
      <c r="AA133" s="387"/>
      <c r="AB133" s="394"/>
      <c r="AC133" s="387"/>
      <c r="AD133" s="394"/>
      <c r="AE133" s="387"/>
      <c r="AF133" s="394"/>
      <c r="AG133" s="387"/>
      <c r="AH133" s="394"/>
      <c r="AI133" s="387"/>
      <c r="AJ133" s="394"/>
      <c r="AK133" s="391">
        <f t="shared" si="35"/>
        <v>0</v>
      </c>
      <c r="AL133" s="392">
        <f t="shared" si="36"/>
        <v>0</v>
      </c>
    </row>
    <row r="134" ht="39.75" customHeight="1">
      <c r="A134" s="411" t="s">
        <v>336</v>
      </c>
      <c r="B134" s="426" t="s">
        <v>337</v>
      </c>
      <c r="C134" s="387"/>
      <c r="D134" s="387"/>
      <c r="E134" s="387"/>
      <c r="F134" s="394"/>
      <c r="G134" s="387"/>
      <c r="H134" s="394"/>
      <c r="I134" s="387"/>
      <c r="J134" s="394"/>
      <c r="K134" s="387"/>
      <c r="L134" s="394"/>
      <c r="M134" s="387"/>
      <c r="N134" s="394"/>
      <c r="O134" s="387"/>
      <c r="P134" s="394"/>
      <c r="Q134" s="387"/>
      <c r="R134" s="394"/>
      <c r="S134" s="387"/>
      <c r="T134" s="394"/>
      <c r="U134" s="387"/>
      <c r="V134" s="394"/>
      <c r="W134" s="387"/>
      <c r="X134" s="394"/>
      <c r="Y134" s="387"/>
      <c r="Z134" s="394"/>
      <c r="AA134" s="387"/>
      <c r="AB134" s="394"/>
      <c r="AC134" s="387"/>
      <c r="AD134" s="394"/>
      <c r="AE134" s="387"/>
      <c r="AF134" s="394"/>
      <c r="AG134" s="387"/>
      <c r="AH134" s="394"/>
      <c r="AI134" s="387"/>
      <c r="AJ134" s="394"/>
      <c r="AK134" s="391">
        <f t="shared" si="35"/>
        <v>0</v>
      </c>
      <c r="AL134" s="392">
        <f t="shared" si="36"/>
        <v>0</v>
      </c>
    </row>
    <row r="135" ht="39.75" customHeight="1">
      <c r="A135" s="411" t="s">
        <v>338</v>
      </c>
      <c r="B135" s="426" t="s">
        <v>339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4"/>
      <c r="AB135" s="394"/>
      <c r="AC135" s="394"/>
      <c r="AD135" s="394"/>
      <c r="AE135" s="394"/>
      <c r="AF135" s="394"/>
      <c r="AG135" s="394"/>
      <c r="AH135" s="394"/>
      <c r="AI135" s="394"/>
      <c r="AJ135" s="394"/>
      <c r="AK135" s="391">
        <f t="shared" si="35"/>
        <v>0</v>
      </c>
      <c r="AL135" s="392">
        <f t="shared" si="36"/>
        <v>0</v>
      </c>
    </row>
    <row r="136" ht="39.75" customHeight="1">
      <c r="A136" s="411" t="s">
        <v>340</v>
      </c>
      <c r="B136" s="426" t="s">
        <v>341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  <c r="AA136" s="394"/>
      <c r="AB136" s="394"/>
      <c r="AC136" s="394"/>
      <c r="AD136" s="394"/>
      <c r="AE136" s="394"/>
      <c r="AF136" s="394"/>
      <c r="AG136" s="394"/>
      <c r="AH136" s="394"/>
      <c r="AI136" s="394"/>
      <c r="AJ136" s="394"/>
      <c r="AK136" s="391">
        <f t="shared" si="35"/>
        <v>0</v>
      </c>
      <c r="AL136" s="392">
        <f t="shared" si="36"/>
        <v>0</v>
      </c>
    </row>
    <row r="137" ht="39.75" customHeight="1">
      <c r="A137" s="411" t="s">
        <v>342</v>
      </c>
      <c r="B137" s="426" t="s">
        <v>343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4"/>
      <c r="AB137" s="394"/>
      <c r="AC137" s="394"/>
      <c r="AD137" s="394"/>
      <c r="AE137" s="394"/>
      <c r="AF137" s="394"/>
      <c r="AG137" s="394"/>
      <c r="AH137" s="394"/>
      <c r="AI137" s="394"/>
      <c r="AJ137" s="394"/>
      <c r="AK137" s="391">
        <f t="shared" si="35"/>
        <v>0</v>
      </c>
      <c r="AL137" s="392">
        <f t="shared" si="36"/>
        <v>0</v>
      </c>
    </row>
    <row r="138" ht="39.75" customHeight="1">
      <c r="A138" s="411" t="s">
        <v>344</v>
      </c>
      <c r="B138" s="426" t="s">
        <v>345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4"/>
      <c r="AB138" s="394"/>
      <c r="AC138" s="394"/>
      <c r="AD138" s="394"/>
      <c r="AE138" s="394"/>
      <c r="AF138" s="394"/>
      <c r="AG138" s="394"/>
      <c r="AH138" s="394"/>
      <c r="AI138" s="394"/>
      <c r="AJ138" s="394"/>
      <c r="AK138" s="391">
        <f t="shared" si="35"/>
        <v>0</v>
      </c>
      <c r="AL138" s="392">
        <f t="shared" si="36"/>
        <v>0</v>
      </c>
    </row>
    <row r="139" ht="39.75" customHeight="1">
      <c r="A139" s="411" t="s">
        <v>346</v>
      </c>
      <c r="B139" s="426" t="s">
        <v>347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4"/>
      <c r="AB139" s="394"/>
      <c r="AC139" s="394"/>
      <c r="AD139" s="394"/>
      <c r="AE139" s="394"/>
      <c r="AF139" s="394"/>
      <c r="AG139" s="394"/>
      <c r="AH139" s="394"/>
      <c r="AI139" s="394"/>
      <c r="AJ139" s="394"/>
      <c r="AK139" s="391">
        <f t="shared" si="35"/>
        <v>0</v>
      </c>
      <c r="AL139" s="392">
        <f t="shared" si="36"/>
        <v>0</v>
      </c>
    </row>
    <row r="140" ht="39.75" customHeight="1">
      <c r="A140" s="395" t="s">
        <v>348</v>
      </c>
      <c r="B140" s="422" t="s">
        <v>349</v>
      </c>
      <c r="C140" s="397"/>
      <c r="D140" s="398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399"/>
      <c r="AC140" s="399"/>
      <c r="AD140" s="399"/>
      <c r="AE140" s="399"/>
      <c r="AF140" s="399"/>
      <c r="AG140" s="399"/>
      <c r="AH140" s="399"/>
      <c r="AI140" s="400"/>
      <c r="AJ140" s="400"/>
      <c r="AK140" s="529"/>
      <c r="AL140" s="530"/>
    </row>
    <row r="141" ht="39.75" customHeight="1">
      <c r="A141" s="411" t="s">
        <v>350</v>
      </c>
      <c r="B141" s="412" t="s">
        <v>351</v>
      </c>
      <c r="C141" s="387"/>
      <c r="D141" s="387"/>
      <c r="E141" s="387"/>
      <c r="F141" s="394"/>
      <c r="G141" s="387"/>
      <c r="H141" s="394"/>
      <c r="I141" s="387"/>
      <c r="J141" s="394"/>
      <c r="K141" s="387"/>
      <c r="L141" s="394"/>
      <c r="M141" s="387"/>
      <c r="N141" s="394"/>
      <c r="O141" s="387"/>
      <c r="P141" s="394"/>
      <c r="Q141" s="387"/>
      <c r="R141" s="394"/>
      <c r="S141" s="387"/>
      <c r="T141" s="394"/>
      <c r="U141" s="387"/>
      <c r="V141" s="394"/>
      <c r="W141" s="387"/>
      <c r="X141" s="394"/>
      <c r="Y141" s="387"/>
      <c r="Z141" s="394"/>
      <c r="AA141" s="387"/>
      <c r="AB141" s="394"/>
      <c r="AC141" s="387"/>
      <c r="AD141" s="394"/>
      <c r="AE141" s="387"/>
      <c r="AF141" s="394"/>
      <c r="AG141" s="387"/>
      <c r="AH141" s="394"/>
      <c r="AI141" s="387"/>
      <c r="AJ141" s="394"/>
      <c r="AK141" s="391">
        <f t="shared" ref="AK141:AK143" si="37">COUNTIF(C141:AJ141,"&gt;=R")</f>
        <v>0</v>
      </c>
      <c r="AL141" s="392">
        <f t="shared" ref="AL141:AL143" si="38">AK141</f>
        <v>0</v>
      </c>
    </row>
    <row r="142" ht="39.75" customHeight="1">
      <c r="A142" s="411" t="s">
        <v>352</v>
      </c>
      <c r="B142" s="412" t="s">
        <v>353</v>
      </c>
      <c r="C142" s="387" t="s">
        <v>93</v>
      </c>
      <c r="D142" s="387"/>
      <c r="E142" s="394" t="s">
        <v>93</v>
      </c>
      <c r="F142" s="394"/>
      <c r="G142" s="394" t="s">
        <v>93</v>
      </c>
      <c r="H142" s="394"/>
      <c r="I142" s="394" t="s">
        <v>77</v>
      </c>
      <c r="J142" s="394"/>
      <c r="K142" s="394" t="s">
        <v>77</v>
      </c>
      <c r="L142" s="394"/>
      <c r="M142" s="394" t="s">
        <v>48</v>
      </c>
      <c r="N142" s="394"/>
      <c r="O142" s="394" t="s">
        <v>68</v>
      </c>
      <c r="P142" s="394"/>
      <c r="Q142" s="394" t="s">
        <v>77</v>
      </c>
      <c r="R142" s="394"/>
      <c r="S142" s="394" t="s">
        <v>56</v>
      </c>
      <c r="T142" s="394"/>
      <c r="U142" s="389" t="s">
        <v>37</v>
      </c>
      <c r="V142" s="394"/>
      <c r="W142" s="389" t="s">
        <v>37</v>
      </c>
      <c r="X142" s="394"/>
      <c r="Y142" s="389" t="s">
        <v>37</v>
      </c>
      <c r="Z142" s="394"/>
      <c r="AA142" s="394" t="s">
        <v>37</v>
      </c>
      <c r="AB142" s="394"/>
      <c r="AC142" s="389" t="s">
        <v>37</v>
      </c>
      <c r="AD142" s="394"/>
      <c r="AE142" s="389" t="s">
        <v>37</v>
      </c>
      <c r="AF142" s="394"/>
      <c r="AG142" s="389"/>
      <c r="AH142" s="394"/>
      <c r="AI142" s="389"/>
      <c r="AJ142" s="394"/>
      <c r="AK142" s="391">
        <f t="shared" si="37"/>
        <v>15</v>
      </c>
      <c r="AL142" s="392">
        <f t="shared" si="38"/>
        <v>15</v>
      </c>
    </row>
    <row r="143" ht="39.75" customHeight="1">
      <c r="A143" s="411" t="s">
        <v>354</v>
      </c>
      <c r="B143" s="412" t="s">
        <v>355</v>
      </c>
      <c r="C143" s="387" t="s">
        <v>93</v>
      </c>
      <c r="D143" s="387"/>
      <c r="E143" s="394" t="s">
        <v>93</v>
      </c>
      <c r="F143" s="394"/>
      <c r="G143" s="394" t="s">
        <v>93</v>
      </c>
      <c r="H143" s="394"/>
      <c r="I143" s="394" t="s">
        <v>77</v>
      </c>
      <c r="J143" s="394"/>
      <c r="K143" s="394" t="s">
        <v>77</v>
      </c>
      <c r="L143" s="394"/>
      <c r="M143" s="394" t="s">
        <v>48</v>
      </c>
      <c r="N143" s="394"/>
      <c r="O143" s="394" t="s">
        <v>68</v>
      </c>
      <c r="P143" s="394"/>
      <c r="Q143" s="394" t="s">
        <v>77</v>
      </c>
      <c r="R143" s="394"/>
      <c r="S143" s="394" t="s">
        <v>56</v>
      </c>
      <c r="T143" s="394"/>
      <c r="U143" s="389" t="s">
        <v>37</v>
      </c>
      <c r="V143" s="394"/>
      <c r="W143" s="389" t="s">
        <v>37</v>
      </c>
      <c r="X143" s="394"/>
      <c r="Y143" s="389" t="s">
        <v>37</v>
      </c>
      <c r="Z143" s="394"/>
      <c r="AA143" s="394" t="s">
        <v>37</v>
      </c>
      <c r="AB143" s="394"/>
      <c r="AC143" s="389" t="s">
        <v>37</v>
      </c>
      <c r="AD143" s="394"/>
      <c r="AE143" s="389" t="s">
        <v>37</v>
      </c>
      <c r="AF143" s="394"/>
      <c r="AG143" s="389"/>
      <c r="AH143" s="394"/>
      <c r="AI143" s="389"/>
      <c r="AJ143" s="394"/>
      <c r="AK143" s="391">
        <f t="shared" si="37"/>
        <v>15</v>
      </c>
      <c r="AL143" s="392">
        <f t="shared" si="38"/>
        <v>15</v>
      </c>
    </row>
    <row r="144" ht="39.75" customHeight="1">
      <c r="A144" s="395" t="s">
        <v>356</v>
      </c>
      <c r="B144" s="422" t="s">
        <v>357</v>
      </c>
      <c r="C144" s="397"/>
      <c r="D144" s="398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  <c r="AA144" s="399"/>
      <c r="AB144" s="399"/>
      <c r="AC144" s="399"/>
      <c r="AD144" s="399"/>
      <c r="AE144" s="399"/>
      <c r="AF144" s="399"/>
      <c r="AG144" s="399"/>
      <c r="AH144" s="399"/>
      <c r="AI144" s="400"/>
      <c r="AJ144" s="400"/>
      <c r="AK144" s="529"/>
      <c r="AL144" s="530"/>
    </row>
    <row r="145" ht="39.75" customHeight="1">
      <c r="A145" s="411" t="s">
        <v>358</v>
      </c>
      <c r="B145" s="412" t="s">
        <v>359</v>
      </c>
      <c r="C145" s="420" t="s">
        <v>8</v>
      </c>
      <c r="D145" s="387"/>
      <c r="E145" s="420" t="s">
        <v>8</v>
      </c>
      <c r="F145" s="394"/>
      <c r="G145" s="420" t="s">
        <v>8</v>
      </c>
      <c r="H145" s="394"/>
      <c r="I145" s="420" t="s">
        <v>8</v>
      </c>
      <c r="J145" s="394"/>
      <c r="K145" s="420" t="s">
        <v>8</v>
      </c>
      <c r="L145" s="394"/>
      <c r="M145" s="420" t="s">
        <v>8</v>
      </c>
      <c r="N145" s="394"/>
      <c r="O145" s="420" t="s">
        <v>8</v>
      </c>
      <c r="P145" s="394"/>
      <c r="Q145" s="420" t="s">
        <v>8</v>
      </c>
      <c r="R145" s="394"/>
      <c r="S145" s="420" t="s">
        <v>8</v>
      </c>
      <c r="T145" s="394"/>
      <c r="U145" s="420" t="s">
        <v>8</v>
      </c>
      <c r="V145" s="394"/>
      <c r="W145" s="594" t="s">
        <v>8</v>
      </c>
      <c r="X145" s="394"/>
      <c r="Y145" s="594" t="s">
        <v>8</v>
      </c>
      <c r="Z145" s="394"/>
      <c r="AA145" s="594" t="s">
        <v>8</v>
      </c>
      <c r="AB145" s="394"/>
      <c r="AC145" s="594" t="s">
        <v>8</v>
      </c>
      <c r="AD145" s="394"/>
      <c r="AE145" s="594" t="s">
        <v>8</v>
      </c>
      <c r="AF145" s="394"/>
      <c r="AG145" s="594" t="s">
        <v>8</v>
      </c>
      <c r="AH145" s="394"/>
      <c r="AI145" s="594" t="s">
        <v>8</v>
      </c>
      <c r="AJ145" s="394"/>
      <c r="AK145" s="391">
        <f t="shared" ref="AK145:AK147" si="39">COUNTIF(C145:AJ145,"&gt;=R")</f>
        <v>17</v>
      </c>
      <c r="AL145" s="392">
        <f t="shared" ref="AL145:AL147" si="40">AK145</f>
        <v>17</v>
      </c>
    </row>
    <row r="146" ht="39.75" customHeight="1">
      <c r="A146" s="411" t="s">
        <v>360</v>
      </c>
      <c r="B146" s="412" t="s">
        <v>361</v>
      </c>
      <c r="C146" s="388" t="s">
        <v>56</v>
      </c>
      <c r="D146" s="387"/>
      <c r="E146" s="389" t="s">
        <v>56</v>
      </c>
      <c r="F146" s="394"/>
      <c r="G146" s="389" t="s">
        <v>37</v>
      </c>
      <c r="H146" s="394"/>
      <c r="I146" s="389" t="s">
        <v>37</v>
      </c>
      <c r="J146" s="394"/>
      <c r="K146" s="389" t="s">
        <v>37</v>
      </c>
      <c r="L146" s="394"/>
      <c r="M146" s="389" t="s">
        <v>37</v>
      </c>
      <c r="N146" s="394"/>
      <c r="O146" s="389" t="s">
        <v>37</v>
      </c>
      <c r="P146" s="394"/>
      <c r="Q146" s="389" t="s">
        <v>37</v>
      </c>
      <c r="R146" s="394"/>
      <c r="S146" s="389" t="s">
        <v>55</v>
      </c>
      <c r="T146" s="394"/>
      <c r="U146" s="389" t="s">
        <v>55</v>
      </c>
      <c r="V146" s="394"/>
      <c r="W146" s="389" t="s">
        <v>55</v>
      </c>
      <c r="X146" s="394"/>
      <c r="Y146" s="389" t="s">
        <v>36</v>
      </c>
      <c r="Z146" s="394"/>
      <c r="AA146" s="389" t="s">
        <v>36</v>
      </c>
      <c r="AB146" s="394"/>
      <c r="AC146" s="389" t="s">
        <v>36</v>
      </c>
      <c r="AD146" s="394"/>
      <c r="AE146" s="389" t="s">
        <v>36</v>
      </c>
      <c r="AF146" s="394"/>
      <c r="AG146" s="389" t="s">
        <v>36</v>
      </c>
      <c r="AH146" s="394"/>
      <c r="AI146" s="389" t="s">
        <v>36</v>
      </c>
      <c r="AJ146" s="394"/>
      <c r="AK146" s="391">
        <f t="shared" si="39"/>
        <v>17</v>
      </c>
      <c r="AL146" s="392">
        <f t="shared" si="40"/>
        <v>17</v>
      </c>
    </row>
    <row r="147" ht="39.75" customHeight="1">
      <c r="A147" s="411" t="s">
        <v>362</v>
      </c>
      <c r="B147" s="412" t="s">
        <v>363</v>
      </c>
      <c r="C147" s="387"/>
      <c r="D147" s="387"/>
      <c r="E147" s="387"/>
      <c r="F147" s="394"/>
      <c r="G147" s="387"/>
      <c r="H147" s="394"/>
      <c r="I147" s="387"/>
      <c r="J147" s="394"/>
      <c r="K147" s="387"/>
      <c r="L147" s="394"/>
      <c r="M147" s="387"/>
      <c r="N147" s="394"/>
      <c r="O147" s="387"/>
      <c r="P147" s="394"/>
      <c r="Q147" s="387"/>
      <c r="R147" s="394"/>
      <c r="S147" s="387"/>
      <c r="T147" s="394"/>
      <c r="U147" s="387"/>
      <c r="V147" s="394"/>
      <c r="W147" s="387"/>
      <c r="X147" s="394"/>
      <c r="Y147" s="387"/>
      <c r="Z147" s="394"/>
      <c r="AA147" s="387"/>
      <c r="AB147" s="394"/>
      <c r="AC147" s="387"/>
      <c r="AD147" s="394"/>
      <c r="AE147" s="387"/>
      <c r="AF147" s="394"/>
      <c r="AG147" s="387"/>
      <c r="AH147" s="394"/>
      <c r="AI147" s="387"/>
      <c r="AJ147" s="394"/>
      <c r="AK147" s="391">
        <f t="shared" si="39"/>
        <v>0</v>
      </c>
      <c r="AL147" s="392">
        <f t="shared" si="40"/>
        <v>0</v>
      </c>
    </row>
    <row r="148" ht="39.75" customHeight="1">
      <c r="A148" s="395" t="s">
        <v>364</v>
      </c>
      <c r="B148" s="396" t="s">
        <v>365</v>
      </c>
      <c r="C148" s="397"/>
      <c r="D148" s="398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  <c r="AA148" s="399"/>
      <c r="AB148" s="399"/>
      <c r="AC148" s="399"/>
      <c r="AD148" s="399"/>
      <c r="AE148" s="399"/>
      <c r="AF148" s="399"/>
      <c r="AG148" s="399"/>
      <c r="AH148" s="399"/>
      <c r="AI148" s="400"/>
      <c r="AJ148" s="400"/>
      <c r="AK148" s="529"/>
      <c r="AL148" s="530"/>
    </row>
    <row r="149" ht="39.75" customHeight="1">
      <c r="A149" s="429" t="s">
        <v>366</v>
      </c>
      <c r="B149" s="430" t="s">
        <v>367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  <c r="AA149" s="394"/>
      <c r="AB149" s="394"/>
      <c r="AC149" s="394"/>
      <c r="AD149" s="394"/>
      <c r="AE149" s="394"/>
      <c r="AF149" s="394"/>
      <c r="AG149" s="394"/>
      <c r="AH149" s="394"/>
      <c r="AI149" s="394"/>
      <c r="AJ149" s="394"/>
      <c r="AK149" s="391">
        <f t="shared" ref="AK149:AK156" si="41">COUNTIF(C149:AJ149,"&gt;=R")</f>
        <v>0</v>
      </c>
      <c r="AL149" s="392">
        <f t="shared" ref="AL149:AL156" si="42">AK149</f>
        <v>0</v>
      </c>
    </row>
    <row r="150" ht="39.75" customHeight="1">
      <c r="A150" s="429" t="s">
        <v>368</v>
      </c>
      <c r="B150" s="430" t="s">
        <v>369</v>
      </c>
      <c r="C150" s="387"/>
      <c r="D150" s="387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  <c r="AA150" s="394"/>
      <c r="AB150" s="394"/>
      <c r="AC150" s="394"/>
      <c r="AD150" s="394"/>
      <c r="AE150" s="394"/>
      <c r="AF150" s="394"/>
      <c r="AG150" s="394"/>
      <c r="AH150" s="394"/>
      <c r="AI150" s="394"/>
      <c r="AJ150" s="394"/>
      <c r="AK150" s="391">
        <f t="shared" si="41"/>
        <v>0</v>
      </c>
      <c r="AL150" s="392">
        <f t="shared" si="42"/>
        <v>0</v>
      </c>
    </row>
    <row r="151" ht="39.75" customHeight="1">
      <c r="A151" s="429" t="s">
        <v>370</v>
      </c>
      <c r="B151" s="430" t="s">
        <v>371</v>
      </c>
      <c r="C151" s="388"/>
      <c r="D151" s="387"/>
      <c r="E151" s="389"/>
      <c r="F151" s="394"/>
      <c r="G151" s="389"/>
      <c r="H151" s="394"/>
      <c r="I151" s="389"/>
      <c r="J151" s="394"/>
      <c r="K151" s="389"/>
      <c r="L151" s="394"/>
      <c r="M151" s="389"/>
      <c r="N151" s="394"/>
      <c r="O151" s="389"/>
      <c r="P151" s="394"/>
      <c r="Q151" s="389"/>
      <c r="R151" s="394"/>
      <c r="S151" s="389"/>
      <c r="T151" s="394"/>
      <c r="U151" s="389"/>
      <c r="V151" s="394"/>
      <c r="W151" s="389"/>
      <c r="X151" s="394"/>
      <c r="Y151" s="389"/>
      <c r="Z151" s="394"/>
      <c r="AA151" s="389"/>
      <c r="AB151" s="394"/>
      <c r="AC151" s="389"/>
      <c r="AD151" s="394"/>
      <c r="AE151" s="389"/>
      <c r="AF151" s="394"/>
      <c r="AG151" s="389"/>
      <c r="AH151" s="394"/>
      <c r="AI151" s="389"/>
      <c r="AJ151" s="394"/>
      <c r="AK151" s="391">
        <f t="shared" si="41"/>
        <v>0</v>
      </c>
      <c r="AL151" s="392">
        <f t="shared" si="42"/>
        <v>0</v>
      </c>
    </row>
    <row r="152" ht="39.75" customHeight="1">
      <c r="A152" s="431" t="s">
        <v>372</v>
      </c>
      <c r="B152" s="432" t="s">
        <v>373</v>
      </c>
      <c r="C152" s="388" t="s">
        <v>68</v>
      </c>
      <c r="D152" s="387"/>
      <c r="E152" s="394" t="s">
        <v>68</v>
      </c>
      <c r="F152" s="394"/>
      <c r="G152" s="394" t="s">
        <v>68</v>
      </c>
      <c r="H152" s="394"/>
      <c r="I152" s="595" t="s">
        <v>68</v>
      </c>
      <c r="J152" s="394"/>
      <c r="K152" s="389" t="s">
        <v>68</v>
      </c>
      <c r="L152" s="394"/>
      <c r="M152" s="417" t="s">
        <v>8</v>
      </c>
      <c r="N152" s="394"/>
      <c r="O152" s="389" t="s">
        <v>68</v>
      </c>
      <c r="P152" s="394"/>
      <c r="Q152" s="417" t="s">
        <v>8</v>
      </c>
      <c r="R152" s="394"/>
      <c r="S152" s="418" t="s">
        <v>84</v>
      </c>
      <c r="T152" s="394"/>
      <c r="U152" s="418" t="s">
        <v>84</v>
      </c>
      <c r="V152" s="394"/>
      <c r="W152" s="419" t="s">
        <v>84</v>
      </c>
      <c r="X152" s="394"/>
      <c r="Y152" s="416" t="s">
        <v>8</v>
      </c>
      <c r="Z152" s="394"/>
      <c r="AA152" s="419" t="s">
        <v>84</v>
      </c>
      <c r="AB152" s="394"/>
      <c r="AC152" s="419" t="s">
        <v>84</v>
      </c>
      <c r="AD152" s="394"/>
      <c r="AE152" s="419" t="s">
        <v>84</v>
      </c>
      <c r="AF152" s="394"/>
      <c r="AG152" s="394"/>
      <c r="AH152" s="394"/>
      <c r="AI152" s="394"/>
      <c r="AJ152" s="394"/>
      <c r="AK152" s="391">
        <f t="shared" si="41"/>
        <v>15</v>
      </c>
      <c r="AL152" s="392">
        <f t="shared" si="42"/>
        <v>15</v>
      </c>
    </row>
    <row r="153" ht="39.75" customHeight="1">
      <c r="A153" s="431" t="s">
        <v>374</v>
      </c>
      <c r="B153" s="432" t="s">
        <v>375</v>
      </c>
      <c r="C153" s="388"/>
      <c r="D153" s="387"/>
      <c r="E153" s="394"/>
      <c r="F153" s="394"/>
      <c r="G153" s="394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94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4"/>
      <c r="AI153" s="394"/>
      <c r="AJ153" s="394"/>
      <c r="AK153" s="391">
        <f t="shared" si="41"/>
        <v>0</v>
      </c>
      <c r="AL153" s="392">
        <f t="shared" si="42"/>
        <v>0</v>
      </c>
    </row>
    <row r="154" ht="39.75" customHeight="1">
      <c r="A154" s="431" t="s">
        <v>376</v>
      </c>
      <c r="B154" s="432" t="s">
        <v>377</v>
      </c>
      <c r="C154" s="388"/>
      <c r="D154" s="387"/>
      <c r="E154" s="389"/>
      <c r="F154" s="394"/>
      <c r="G154" s="389"/>
      <c r="H154" s="394"/>
      <c r="I154" s="389"/>
      <c r="J154" s="394"/>
      <c r="K154" s="389"/>
      <c r="L154" s="394"/>
      <c r="M154" s="389"/>
      <c r="N154" s="394"/>
      <c r="O154" s="389"/>
      <c r="P154" s="394"/>
      <c r="Q154" s="389"/>
      <c r="R154" s="394"/>
      <c r="S154" s="389"/>
      <c r="T154" s="394"/>
      <c r="U154" s="389"/>
      <c r="V154" s="394"/>
      <c r="W154" s="389"/>
      <c r="X154" s="394"/>
      <c r="Y154" s="389"/>
      <c r="Z154" s="394"/>
      <c r="AA154" s="389"/>
      <c r="AB154" s="394"/>
      <c r="AC154" s="389"/>
      <c r="AD154" s="394"/>
      <c r="AE154" s="389"/>
      <c r="AF154" s="394"/>
      <c r="AG154" s="389"/>
      <c r="AH154" s="394"/>
      <c r="AI154" s="389"/>
      <c r="AJ154" s="394"/>
      <c r="AK154" s="391">
        <f t="shared" si="41"/>
        <v>0</v>
      </c>
      <c r="AL154" s="392">
        <f t="shared" si="42"/>
        <v>0</v>
      </c>
    </row>
    <row r="155" ht="39.75" customHeight="1">
      <c r="A155" s="431" t="s">
        <v>374</v>
      </c>
      <c r="B155" s="433" t="s">
        <v>375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  <c r="AA155" s="394"/>
      <c r="AB155" s="394"/>
      <c r="AC155" s="394"/>
      <c r="AD155" s="394"/>
      <c r="AE155" s="394"/>
      <c r="AF155" s="394"/>
      <c r="AG155" s="394"/>
      <c r="AH155" s="394"/>
      <c r="AI155" s="394"/>
      <c r="AJ155" s="394"/>
      <c r="AK155" s="391">
        <f t="shared" si="41"/>
        <v>0</v>
      </c>
      <c r="AL155" s="392">
        <f t="shared" si="42"/>
        <v>0</v>
      </c>
    </row>
    <row r="156" ht="39.75" customHeight="1">
      <c r="A156" s="404" t="s">
        <v>378</v>
      </c>
      <c r="B156" s="405" t="s">
        <v>379</v>
      </c>
      <c r="C156" s="387"/>
      <c r="D156" s="387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  <c r="AA156" s="394"/>
      <c r="AB156" s="394"/>
      <c r="AC156" s="394"/>
      <c r="AD156" s="394"/>
      <c r="AE156" s="394"/>
      <c r="AF156" s="394"/>
      <c r="AG156" s="394"/>
      <c r="AH156" s="394"/>
      <c r="AI156" s="394"/>
      <c r="AJ156" s="394"/>
      <c r="AK156" s="391">
        <f t="shared" si="41"/>
        <v>0</v>
      </c>
      <c r="AL156" s="392">
        <f t="shared" si="42"/>
        <v>0</v>
      </c>
    </row>
    <row r="157" ht="39.75" customHeight="1">
      <c r="A157" s="395" t="s">
        <v>380</v>
      </c>
      <c r="B157" s="396" t="s">
        <v>381</v>
      </c>
      <c r="C157" s="397"/>
      <c r="D157" s="398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  <c r="AA157" s="399"/>
      <c r="AB157" s="399"/>
      <c r="AC157" s="399"/>
      <c r="AD157" s="399"/>
      <c r="AE157" s="399"/>
      <c r="AF157" s="399"/>
      <c r="AG157" s="399"/>
      <c r="AH157" s="399"/>
      <c r="AI157" s="400"/>
      <c r="AJ157" s="400"/>
      <c r="AK157" s="529"/>
      <c r="AL157" s="530"/>
    </row>
    <row r="158" ht="39.75" customHeight="1">
      <c r="A158" s="411" t="s">
        <v>382</v>
      </c>
      <c r="B158" s="412" t="s">
        <v>383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  <c r="AA158" s="394"/>
      <c r="AB158" s="394"/>
      <c r="AC158" s="394"/>
      <c r="AD158" s="394"/>
      <c r="AE158" s="394"/>
      <c r="AF158" s="394"/>
      <c r="AG158" s="394"/>
      <c r="AH158" s="394"/>
      <c r="AI158" s="394"/>
      <c r="AJ158" s="394"/>
      <c r="AK158" s="391">
        <f t="shared" ref="AK158:AK161" si="43">COUNTIF(C158:AJ158,"&gt;=R")</f>
        <v>0</v>
      </c>
      <c r="AL158" s="392">
        <f t="shared" ref="AL158:AL161" si="44">AK158</f>
        <v>0</v>
      </c>
    </row>
    <row r="159" ht="39.75" customHeight="1">
      <c r="A159" s="411" t="s">
        <v>384</v>
      </c>
      <c r="B159" s="412" t="s">
        <v>385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87"/>
      <c r="Z159" s="394"/>
      <c r="AA159" s="387"/>
      <c r="AB159" s="394"/>
      <c r="AC159" s="387"/>
      <c r="AD159" s="394"/>
      <c r="AE159" s="387"/>
      <c r="AF159" s="394"/>
      <c r="AG159" s="387"/>
      <c r="AH159" s="394"/>
      <c r="AI159" s="387"/>
      <c r="AJ159" s="394"/>
      <c r="AK159" s="391">
        <f t="shared" si="43"/>
        <v>0</v>
      </c>
      <c r="AL159" s="392">
        <f t="shared" si="44"/>
        <v>0</v>
      </c>
    </row>
    <row r="160" ht="39.75" customHeight="1">
      <c r="A160" s="411" t="s">
        <v>386</v>
      </c>
      <c r="B160" s="412" t="s">
        <v>387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87"/>
      <c r="Z160" s="394"/>
      <c r="AA160" s="387"/>
      <c r="AB160" s="394"/>
      <c r="AC160" s="387"/>
      <c r="AD160" s="394"/>
      <c r="AE160" s="387"/>
      <c r="AF160" s="394"/>
      <c r="AG160" s="387"/>
      <c r="AH160" s="394"/>
      <c r="AI160" s="387"/>
      <c r="AJ160" s="394"/>
      <c r="AK160" s="391">
        <f t="shared" si="43"/>
        <v>0</v>
      </c>
      <c r="AL160" s="392">
        <f t="shared" si="44"/>
        <v>0</v>
      </c>
    </row>
    <row r="161" ht="39.75" customHeight="1">
      <c r="A161" s="411" t="s">
        <v>388</v>
      </c>
      <c r="B161" s="412" t="s">
        <v>389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87"/>
      <c r="V161" s="394"/>
      <c r="W161" s="387"/>
      <c r="X161" s="394"/>
      <c r="Y161" s="387"/>
      <c r="Z161" s="394"/>
      <c r="AA161" s="387"/>
      <c r="AB161" s="394"/>
      <c r="AC161" s="387"/>
      <c r="AD161" s="394"/>
      <c r="AE161" s="387"/>
      <c r="AF161" s="394"/>
      <c r="AG161" s="387"/>
      <c r="AH161" s="394"/>
      <c r="AI161" s="387"/>
      <c r="AJ161" s="394"/>
      <c r="AK161" s="391">
        <f t="shared" si="43"/>
        <v>0</v>
      </c>
      <c r="AL161" s="392">
        <f t="shared" si="44"/>
        <v>0</v>
      </c>
    </row>
    <row r="162" ht="39.75" customHeight="1">
      <c r="A162" s="395" t="s">
        <v>390</v>
      </c>
      <c r="B162" s="422" t="s">
        <v>391</v>
      </c>
      <c r="C162" s="397"/>
      <c r="D162" s="398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  <c r="AA162" s="399"/>
      <c r="AB162" s="399"/>
      <c r="AC162" s="399"/>
      <c r="AD162" s="399"/>
      <c r="AE162" s="399"/>
      <c r="AF162" s="399"/>
      <c r="AG162" s="399"/>
      <c r="AH162" s="399"/>
      <c r="AI162" s="400"/>
      <c r="AJ162" s="400"/>
      <c r="AK162" s="529"/>
      <c r="AL162" s="530"/>
    </row>
    <row r="163" ht="39.75" customHeight="1">
      <c r="A163" s="429" t="s">
        <v>392</v>
      </c>
      <c r="B163" s="430" t="s">
        <v>393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87"/>
      <c r="Z163" s="394"/>
      <c r="AA163" s="387"/>
      <c r="AB163" s="394"/>
      <c r="AC163" s="387"/>
      <c r="AD163" s="394"/>
      <c r="AE163" s="387"/>
      <c r="AF163" s="394"/>
      <c r="AG163" s="387"/>
      <c r="AH163" s="394"/>
      <c r="AI163" s="387"/>
      <c r="AJ163" s="394"/>
      <c r="AK163" s="391">
        <f t="shared" ref="AK163:AK165" si="45">COUNTIF(C163:AJ163,"&gt;=R")</f>
        <v>0</v>
      </c>
      <c r="AL163" s="392">
        <f t="shared" ref="AL163:AL165" si="46">AK163</f>
        <v>0</v>
      </c>
    </row>
    <row r="164" ht="39.75" customHeight="1">
      <c r="A164" s="429" t="s">
        <v>394</v>
      </c>
      <c r="B164" s="430" t="s">
        <v>395</v>
      </c>
      <c r="C164" s="387"/>
      <c r="D164" s="387"/>
      <c r="E164" s="387"/>
      <c r="F164" s="394"/>
      <c r="G164" s="387"/>
      <c r="H164" s="394"/>
      <c r="I164" s="394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87"/>
      <c r="V164" s="394"/>
      <c r="W164" s="387"/>
      <c r="X164" s="394"/>
      <c r="Y164" s="387"/>
      <c r="Z164" s="394"/>
      <c r="AA164" s="387"/>
      <c r="AB164" s="394"/>
      <c r="AC164" s="387"/>
      <c r="AD164" s="394"/>
      <c r="AE164" s="387"/>
      <c r="AF164" s="394"/>
      <c r="AG164" s="387"/>
      <c r="AH164" s="394"/>
      <c r="AI164" s="387"/>
      <c r="AJ164" s="394"/>
      <c r="AK164" s="391">
        <f t="shared" si="45"/>
        <v>0</v>
      </c>
      <c r="AL164" s="392">
        <f t="shared" si="46"/>
        <v>0</v>
      </c>
      <c r="AM164" s="449"/>
      <c r="AN164" s="449"/>
      <c r="AO164" s="449"/>
      <c r="AP164" s="449"/>
      <c r="AQ164" s="449"/>
      <c r="AR164" s="449"/>
      <c r="AS164" s="449"/>
      <c r="AT164" s="449"/>
      <c r="AU164" s="449"/>
      <c r="AV164" s="449"/>
      <c r="AW164" s="449"/>
      <c r="AX164" s="449"/>
      <c r="AY164" s="449"/>
      <c r="AZ164" s="449"/>
      <c r="BA164" s="449"/>
      <c r="BB164" s="449"/>
      <c r="BC164" s="449"/>
      <c r="BD164" s="449"/>
      <c r="BE164" s="449"/>
      <c r="BF164" s="449"/>
    </row>
    <row r="165" ht="39.75" customHeight="1">
      <c r="A165" s="434" t="s">
        <v>396</v>
      </c>
      <c r="B165" s="435" t="s">
        <v>397</v>
      </c>
      <c r="C165" s="436"/>
      <c r="D165" s="436"/>
      <c r="E165" s="436"/>
      <c r="F165" s="437"/>
      <c r="G165" s="436"/>
      <c r="H165" s="437"/>
      <c r="I165" s="437"/>
      <c r="J165" s="437"/>
      <c r="K165" s="436"/>
      <c r="L165" s="437"/>
      <c r="M165" s="436"/>
      <c r="N165" s="437"/>
      <c r="O165" s="436"/>
      <c r="P165" s="437"/>
      <c r="Q165" s="436"/>
      <c r="R165" s="437"/>
      <c r="S165" s="436"/>
      <c r="T165" s="437"/>
      <c r="U165" s="436"/>
      <c r="V165" s="437"/>
      <c r="W165" s="436"/>
      <c r="X165" s="437"/>
      <c r="Y165" s="436"/>
      <c r="Z165" s="437"/>
      <c r="AA165" s="436"/>
      <c r="AB165" s="437"/>
      <c r="AC165" s="436"/>
      <c r="AD165" s="437"/>
      <c r="AE165" s="436"/>
      <c r="AF165" s="437"/>
      <c r="AG165" s="436"/>
      <c r="AH165" s="437"/>
      <c r="AI165" s="436"/>
      <c r="AJ165" s="437"/>
      <c r="AK165" s="391">
        <f t="shared" si="45"/>
        <v>0</v>
      </c>
      <c r="AL165" s="392">
        <f t="shared" si="46"/>
        <v>0</v>
      </c>
      <c r="AM165" s="449"/>
      <c r="AN165" s="449"/>
      <c r="AO165" s="449"/>
      <c r="AP165" s="449"/>
      <c r="AQ165" s="449"/>
      <c r="AR165" s="449"/>
      <c r="AS165" s="449"/>
      <c r="AT165" s="449"/>
      <c r="AU165" s="449"/>
      <c r="AV165" s="449"/>
      <c r="AW165" s="449"/>
      <c r="AX165" s="449"/>
      <c r="AY165" s="449"/>
      <c r="AZ165" s="449"/>
      <c r="BA165" s="449"/>
      <c r="BB165" s="449"/>
      <c r="BC165" s="449"/>
      <c r="BD165" s="449"/>
      <c r="BE165" s="449"/>
      <c r="BF165" s="449"/>
    </row>
    <row r="166" ht="24.75" customHeight="1">
      <c r="A166" s="438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  <c r="AB166" s="440"/>
      <c r="AC166" s="440"/>
      <c r="AD166" s="440"/>
      <c r="AE166" s="440"/>
      <c r="AF166" s="440"/>
      <c r="AG166" s="440"/>
      <c r="AH166" s="440"/>
      <c r="AI166" s="440"/>
      <c r="AJ166" s="440"/>
      <c r="AK166" s="440"/>
      <c r="AL166" s="440"/>
      <c r="AM166" s="440"/>
      <c r="AN166" s="44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ht="24.75" customHeight="1">
      <c r="A167" s="438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  <c r="AB167" s="440"/>
      <c r="AC167" s="440"/>
      <c r="AD167" s="440"/>
      <c r="AE167" s="440"/>
      <c r="AF167" s="440"/>
      <c r="AG167" s="440"/>
      <c r="AH167" s="440"/>
      <c r="AI167" s="440"/>
      <c r="AJ167" s="440"/>
      <c r="AK167" s="440"/>
      <c r="AL167" s="440"/>
      <c r="AM167" s="440"/>
      <c r="AN167" s="44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ht="24.75" customHeight="1">
      <c r="A168" s="438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440"/>
      <c r="AD168" s="440"/>
      <c r="AE168" s="440"/>
      <c r="AF168" s="440"/>
      <c r="AG168" s="440"/>
      <c r="AH168" s="440"/>
      <c r="AI168" s="440"/>
      <c r="AJ168" s="440"/>
      <c r="AK168" s="440"/>
      <c r="AL168" s="440"/>
      <c r="AM168" s="440"/>
      <c r="AN168" s="44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ht="24.75" customHeight="1">
      <c r="A169" s="438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440"/>
      <c r="AD169" s="440"/>
      <c r="AE169" s="440"/>
      <c r="AF169" s="440"/>
      <c r="AG169" s="440"/>
      <c r="AH169" s="440"/>
      <c r="AI169" s="440"/>
      <c r="AJ169" s="440"/>
      <c r="AK169" s="440"/>
      <c r="AL169" s="440"/>
      <c r="AM169" s="440"/>
      <c r="AN169" s="44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ht="24.75" customHeight="1">
      <c r="A170" s="438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440"/>
      <c r="AD170" s="440"/>
      <c r="AE170" s="440"/>
      <c r="AF170" s="440"/>
      <c r="AG170" s="440"/>
      <c r="AH170" s="440"/>
      <c r="AI170" s="440"/>
      <c r="AJ170" s="440"/>
      <c r="AK170" s="440"/>
      <c r="AL170" s="440"/>
      <c r="AM170" s="440"/>
      <c r="AN170" s="44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ht="24.75" customHeight="1">
      <c r="A171" s="438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440"/>
      <c r="AD171" s="440"/>
      <c r="AE171" s="440"/>
      <c r="AF171" s="440"/>
      <c r="AG171" s="440"/>
      <c r="AH171" s="440"/>
      <c r="AI171" s="440"/>
      <c r="AJ171" s="440"/>
      <c r="AK171" s="440"/>
      <c r="AL171" s="440"/>
      <c r="AM171" s="440"/>
      <c r="AN171" s="44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ht="24.75" customHeight="1">
      <c r="A172" s="438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440"/>
      <c r="AD172" s="440"/>
      <c r="AE172" s="440"/>
      <c r="AF172" s="440"/>
      <c r="AG172" s="440"/>
      <c r="AH172" s="440"/>
      <c r="AI172" s="440"/>
      <c r="AJ172" s="440"/>
      <c r="AK172" s="440"/>
      <c r="AL172" s="440"/>
      <c r="AM172" s="440"/>
      <c r="AN172" s="44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ht="24.75" customHeight="1">
      <c r="A173" s="44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440"/>
      <c r="AD173" s="440"/>
      <c r="AE173" s="440"/>
      <c r="AF173" s="440"/>
      <c r="AG173" s="440"/>
      <c r="AH173" s="440"/>
      <c r="AI173" s="440"/>
      <c r="AJ173" s="440"/>
      <c r="AK173" s="440"/>
      <c r="AL173" s="440"/>
      <c r="AM173" s="440"/>
      <c r="AN173" s="44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ht="24.75" customHeight="1">
      <c r="A174" s="44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440"/>
      <c r="AD174" s="440"/>
      <c r="AE174" s="440"/>
      <c r="AF174" s="440"/>
      <c r="AG174" s="440"/>
      <c r="AH174" s="440"/>
      <c r="AI174" s="440"/>
      <c r="AJ174" s="440"/>
      <c r="AK174" s="440"/>
      <c r="AL174" s="440"/>
      <c r="AM174" s="440"/>
      <c r="AN174" s="44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ht="24.75" customHeight="1">
      <c r="A175" s="44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440"/>
      <c r="AD175" s="440"/>
      <c r="AE175" s="440"/>
      <c r="AF175" s="440"/>
      <c r="AG175" s="440"/>
      <c r="AH175" s="440"/>
      <c r="AI175" s="440"/>
      <c r="AJ175" s="440"/>
      <c r="AK175" s="440"/>
      <c r="AL175" s="440"/>
      <c r="AM175" s="440"/>
      <c r="AN175" s="44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ht="24.75" customHeight="1">
      <c r="A176" s="441"/>
      <c r="B176" s="439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440"/>
      <c r="AD176" s="440"/>
      <c r="AE176" s="440"/>
      <c r="AF176" s="440"/>
      <c r="AG176" s="440"/>
      <c r="AH176" s="440"/>
      <c r="AI176" s="440"/>
      <c r="AJ176" s="440"/>
      <c r="AK176" s="440"/>
      <c r="AL176" s="440"/>
      <c r="AM176" s="440"/>
      <c r="AN176" s="44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ht="24.75" customHeight="1">
      <c r="A177" s="442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  <c r="AB177" s="440"/>
      <c r="AC177" s="440"/>
      <c r="AD177" s="440"/>
      <c r="AE177" s="440"/>
      <c r="AF177" s="440"/>
      <c r="AG177" s="440"/>
      <c r="AH177" s="440"/>
      <c r="AI177" s="440"/>
      <c r="AJ177" s="440"/>
      <c r="AK177" s="440"/>
      <c r="AL177" s="440"/>
      <c r="AM177" s="440"/>
      <c r="AN177" s="44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ht="24.75" customHeight="1">
      <c r="A178" s="443"/>
      <c r="B178" s="444"/>
      <c r="C178" s="45"/>
      <c r="D178" s="45"/>
      <c r="E178" s="45"/>
      <c r="F178" s="444"/>
      <c r="G178" s="444"/>
      <c r="H178" s="444"/>
      <c r="I178" s="445"/>
      <c r="J178" s="445"/>
      <c r="K178" s="445"/>
      <c r="L178" s="445"/>
      <c r="M178" s="445"/>
      <c r="N178" s="445"/>
      <c r="O178" s="440"/>
      <c r="P178" s="45"/>
      <c r="Q178" s="45"/>
      <c r="R178" s="45"/>
      <c r="S178" s="45"/>
      <c r="T178" s="45"/>
      <c r="U178" s="45"/>
      <c r="V178" s="444"/>
      <c r="W178" s="444"/>
      <c r="X178" s="444"/>
      <c r="Y178" s="444"/>
      <c r="Z178" s="445"/>
      <c r="AA178" s="445"/>
      <c r="AB178" s="445"/>
      <c r="AC178" s="444"/>
      <c r="AD178" s="45"/>
      <c r="AE178" s="263"/>
      <c r="AF178" s="263"/>
      <c r="AG178" s="263"/>
      <c r="AH178" s="263"/>
      <c r="AI178" s="596"/>
      <c r="AJ178" s="597"/>
      <c r="AK178" s="597"/>
      <c r="AL178" s="597"/>
      <c r="AM178" s="597"/>
      <c r="AN178" s="597"/>
      <c r="AO178" s="598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ht="24.75" customHeight="1">
      <c r="A179" s="446"/>
      <c r="B179" s="447" t="s">
        <v>398</v>
      </c>
      <c r="C179" s="447"/>
      <c r="D179" s="447"/>
      <c r="E179" s="447"/>
      <c r="F179" s="448" t="s">
        <v>44</v>
      </c>
      <c r="G179" s="163"/>
      <c r="H179" s="163"/>
      <c r="I179" s="163"/>
      <c r="J179" s="163"/>
      <c r="K179" s="163"/>
      <c r="L179" s="163"/>
      <c r="M179" s="163"/>
      <c r="N179" s="164"/>
      <c r="O179" s="449"/>
      <c r="P179" s="450"/>
      <c r="Q179" s="450"/>
      <c r="R179" s="450"/>
      <c r="S179" s="450"/>
      <c r="T179" s="449"/>
      <c r="U179" s="449"/>
      <c r="V179" s="404"/>
      <c r="W179" s="538" t="s">
        <v>399</v>
      </c>
      <c r="X179" s="38"/>
      <c r="Y179" s="38"/>
      <c r="Z179" s="38"/>
      <c r="AA179" s="38"/>
      <c r="AB179" s="40"/>
      <c r="AC179" s="447"/>
      <c r="AD179" s="449"/>
      <c r="AE179" s="449"/>
      <c r="AF179" s="449"/>
      <c r="AG179" s="449"/>
      <c r="AH179" s="449"/>
      <c r="AI179" s="599" t="s">
        <v>73</v>
      </c>
      <c r="AJ179" s="38"/>
      <c r="AK179" s="38"/>
      <c r="AL179" s="38"/>
      <c r="AM179" s="38"/>
      <c r="AN179" s="38"/>
      <c r="AO179" s="40"/>
      <c r="AP179" s="452"/>
      <c r="AQ179" s="452"/>
      <c r="AR179" s="452"/>
      <c r="AS179" s="452"/>
      <c r="AT179" s="452"/>
      <c r="AU179" s="452"/>
      <c r="AV179" s="452"/>
      <c r="AW179" s="452"/>
      <c r="AX179" s="452"/>
      <c r="AY179" s="449"/>
      <c r="AZ179" s="449"/>
      <c r="BA179" s="449"/>
      <c r="BB179" s="449"/>
      <c r="BC179" s="449"/>
      <c r="BD179" s="449"/>
      <c r="BE179" s="449"/>
      <c r="BF179" s="449"/>
    </row>
    <row r="180" ht="24.75" customHeight="1">
      <c r="A180" s="446"/>
      <c r="B180" s="453" t="s">
        <v>35</v>
      </c>
      <c r="C180" s="453"/>
      <c r="D180" s="453"/>
      <c r="E180" s="453"/>
      <c r="F180" s="454" t="s">
        <v>54</v>
      </c>
      <c r="G180" s="38"/>
      <c r="H180" s="38"/>
      <c r="I180" s="38"/>
      <c r="J180" s="38"/>
      <c r="K180" s="38"/>
      <c r="L180" s="38"/>
      <c r="M180" s="38"/>
      <c r="N180" s="40"/>
      <c r="O180" s="455"/>
      <c r="P180" s="455"/>
      <c r="Q180" s="455"/>
      <c r="R180" s="455"/>
      <c r="S180" s="455"/>
      <c r="T180" s="449"/>
      <c r="U180" s="449"/>
      <c r="V180" s="456" t="s">
        <v>400</v>
      </c>
      <c r="W180" s="38"/>
      <c r="X180" s="38"/>
      <c r="Y180" s="38"/>
      <c r="Z180" s="38"/>
      <c r="AA180" s="38"/>
      <c r="AB180" s="38"/>
      <c r="AC180" s="40"/>
      <c r="AD180" s="449"/>
      <c r="AE180" s="449"/>
      <c r="AF180" s="449"/>
      <c r="AG180" s="449"/>
      <c r="AH180" s="449"/>
      <c r="AI180" s="600" t="s">
        <v>74</v>
      </c>
      <c r="AJ180" s="38"/>
      <c r="AK180" s="38"/>
      <c r="AL180" s="38"/>
      <c r="AM180" s="38"/>
      <c r="AN180" s="38"/>
      <c r="AO180" s="40"/>
      <c r="AP180" s="540"/>
      <c r="AQ180" s="540"/>
      <c r="AR180" s="540"/>
      <c r="AS180" s="540"/>
      <c r="AT180" s="540"/>
      <c r="AU180" s="458"/>
      <c r="AV180" s="458"/>
      <c r="AW180" s="458"/>
      <c r="AX180" s="458"/>
      <c r="AY180" s="449"/>
      <c r="AZ180" s="449"/>
      <c r="BA180" s="449"/>
      <c r="BB180" s="449"/>
      <c r="BC180" s="449"/>
      <c r="BD180" s="449"/>
      <c r="BE180" s="449"/>
      <c r="BF180" s="449"/>
    </row>
    <row r="181" ht="24.75" customHeight="1">
      <c r="A181" s="459"/>
      <c r="B181" s="460"/>
      <c r="C181" s="460"/>
      <c r="D181" s="460"/>
      <c r="E181" s="460"/>
      <c r="F181" s="460"/>
      <c r="G181" s="461"/>
      <c r="H181" s="461"/>
      <c r="I181" s="440"/>
      <c r="J181" s="44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2"/>
      <c r="W181" s="38"/>
      <c r="X181" s="38"/>
      <c r="Y181" s="38"/>
      <c r="Z181" s="38"/>
      <c r="AA181" s="40"/>
      <c r="AB181" s="440"/>
      <c r="AC181" s="461"/>
      <c r="AD181" s="440"/>
      <c r="AE181" s="440"/>
      <c r="AF181" s="440"/>
      <c r="AG181" s="440"/>
      <c r="AH181" s="440"/>
      <c r="AI181" s="460"/>
      <c r="AJ181" s="460"/>
      <c r="AK181" s="460"/>
      <c r="AL181" s="460"/>
      <c r="AM181" s="460"/>
      <c r="AN181" s="460"/>
      <c r="AO181" s="170"/>
      <c r="AP181" s="173"/>
      <c r="AQ181" s="173"/>
      <c r="AR181" s="173"/>
      <c r="AS181" s="173"/>
      <c r="AT181" s="173"/>
      <c r="AU181" s="173"/>
      <c r="AV181" s="173"/>
      <c r="AW181" s="173"/>
      <c r="AX181" s="173"/>
      <c r="AY181" s="1"/>
      <c r="AZ181" s="1"/>
      <c r="BA181" s="1"/>
      <c r="BB181" s="1"/>
      <c r="BC181" s="1"/>
      <c r="BD181" s="1"/>
      <c r="BE181" s="1"/>
      <c r="BF181" s="1"/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7">
    <mergeCell ref="S4:U4"/>
    <mergeCell ref="W4:Y4"/>
    <mergeCell ref="AA4:AC4"/>
    <mergeCell ref="AE4:AG4"/>
    <mergeCell ref="AM4:AO4"/>
    <mergeCell ref="K4:M4"/>
    <mergeCell ref="K5:M5"/>
    <mergeCell ref="O5:Q5"/>
    <mergeCell ref="S5:U5"/>
    <mergeCell ref="W5:Y5"/>
    <mergeCell ref="AA5:AC5"/>
    <mergeCell ref="AI4:AK4"/>
    <mergeCell ref="AI5:AK5"/>
    <mergeCell ref="AM5:AO5"/>
    <mergeCell ref="AM6:AO6"/>
    <mergeCell ref="AM7:AO7"/>
    <mergeCell ref="K6:M6"/>
    <mergeCell ref="O6:Q6"/>
    <mergeCell ref="S6:U6"/>
    <mergeCell ref="W6:Y6"/>
    <mergeCell ref="AE5:AG5"/>
    <mergeCell ref="AE6:AG6"/>
    <mergeCell ref="O7:Q7"/>
    <mergeCell ref="S7:U7"/>
    <mergeCell ref="AA6:AC6"/>
    <mergeCell ref="AA7:AC7"/>
    <mergeCell ref="AI6:AK6"/>
    <mergeCell ref="AI7:AK7"/>
    <mergeCell ref="O8:Q8"/>
    <mergeCell ref="S8:U8"/>
    <mergeCell ref="W8:Y8"/>
    <mergeCell ref="AA8:AC8"/>
    <mergeCell ref="AM8:AO8"/>
    <mergeCell ref="AM9:AO9"/>
    <mergeCell ref="AM10:AO10"/>
    <mergeCell ref="AM11:AO11"/>
    <mergeCell ref="AM12:AO12"/>
    <mergeCell ref="AM13:AO13"/>
    <mergeCell ref="W12:Y12"/>
    <mergeCell ref="W13:Y13"/>
    <mergeCell ref="AI178:AO178"/>
    <mergeCell ref="W179:AB179"/>
    <mergeCell ref="AI179:AO179"/>
    <mergeCell ref="V180:AC180"/>
    <mergeCell ref="AI180:AO180"/>
    <mergeCell ref="V181:AA181"/>
    <mergeCell ref="W9:Y9"/>
    <mergeCell ref="AA9:AC9"/>
    <mergeCell ref="W10:Y10"/>
    <mergeCell ref="AA10:AC10"/>
    <mergeCell ref="W11:Y11"/>
    <mergeCell ref="AA11:AC11"/>
    <mergeCell ref="AA12:AC12"/>
    <mergeCell ref="AA13:AC13"/>
    <mergeCell ref="K11:M11"/>
    <mergeCell ref="K12:M12"/>
    <mergeCell ref="F179:N179"/>
    <mergeCell ref="F180:N180"/>
    <mergeCell ref="G4:I9"/>
    <mergeCell ref="K7:M7"/>
    <mergeCell ref="K8:M8"/>
    <mergeCell ref="K9:M9"/>
    <mergeCell ref="G10:I13"/>
    <mergeCell ref="K10:M10"/>
    <mergeCell ref="K13:M13"/>
    <mergeCell ref="C10:F13"/>
    <mergeCell ref="A15:A17"/>
    <mergeCell ref="B15:B17"/>
    <mergeCell ref="C17:D17"/>
    <mergeCell ref="E17:F17"/>
    <mergeCell ref="G17:H17"/>
    <mergeCell ref="I17:J17"/>
    <mergeCell ref="Y17:Z17"/>
    <mergeCell ref="AA17:AB17"/>
    <mergeCell ref="AC17:AD17"/>
    <mergeCell ref="AE17:AF17"/>
    <mergeCell ref="AG17:AH17"/>
    <mergeCell ref="AI17:AJ17"/>
    <mergeCell ref="K17:L17"/>
    <mergeCell ref="M17:N17"/>
    <mergeCell ref="O17:P17"/>
    <mergeCell ref="Q17:R17"/>
    <mergeCell ref="S17:T17"/>
    <mergeCell ref="U17:V17"/>
    <mergeCell ref="W17:X17"/>
    <mergeCell ref="AE8:AG8"/>
    <mergeCell ref="AI8:AK8"/>
    <mergeCell ref="A1:A3"/>
    <mergeCell ref="B1:B3"/>
    <mergeCell ref="C1:AK3"/>
    <mergeCell ref="C4:F9"/>
    <mergeCell ref="O4:Q4"/>
    <mergeCell ref="W7:Y7"/>
    <mergeCell ref="AE7:AG7"/>
    <mergeCell ref="O12:Q12"/>
    <mergeCell ref="O13:Q13"/>
    <mergeCell ref="O9:Q9"/>
    <mergeCell ref="S9:U9"/>
    <mergeCell ref="O10:Q10"/>
    <mergeCell ref="S10:U10"/>
    <mergeCell ref="O11:Q11"/>
    <mergeCell ref="S11:U11"/>
    <mergeCell ref="S12:U12"/>
    <mergeCell ref="S13:U13"/>
    <mergeCell ref="AE12:AG12"/>
    <mergeCell ref="AE13:AG13"/>
    <mergeCell ref="A14:AK14"/>
    <mergeCell ref="AI13:AK13"/>
    <mergeCell ref="AD16:AI16"/>
    <mergeCell ref="AJ16:AK16"/>
    <mergeCell ref="AE9:AG9"/>
    <mergeCell ref="AI9:AK9"/>
    <mergeCell ref="AE10:AG10"/>
    <mergeCell ref="AI10:AK10"/>
    <mergeCell ref="AE11:AG11"/>
    <mergeCell ref="AI11:AK11"/>
    <mergeCell ref="AI12:AK12"/>
  </mergeCells>
  <conditionalFormatting sqref="C34:AB34">
    <cfRule type="cellIs" dxfId="6" priority="1" stopIfTrue="1" operator="notEqual">
      <formula>0</formula>
    </cfRule>
  </conditionalFormatting>
  <conditionalFormatting sqref="C34:AB34">
    <cfRule type="cellIs" dxfId="7" priority="2" stopIfTrue="1" operator="equal">
      <formula>0</formula>
    </cfRule>
  </conditionalFormatting>
  <conditionalFormatting sqref="C34:AJ34">
    <cfRule type="containsText" dxfId="21" priority="3" operator="containsText" text="R37">
      <formula>NOT(ISERROR(SEARCH(("R37"),(C34))))</formula>
    </cfRule>
  </conditionalFormatting>
  <conditionalFormatting sqref="C34:AJ34">
    <cfRule type="containsText" dxfId="1" priority="4" operator="containsText" text="R36">
      <formula>NOT(ISERROR(SEARCH(("R36"),(C34))))</formula>
    </cfRule>
  </conditionalFormatting>
  <conditionalFormatting sqref="C34:AJ34">
    <cfRule type="containsText" dxfId="22" priority="5" operator="containsText" text="R35">
      <formula>NOT(ISERROR(SEARCH(("R35"),(C34))))</formula>
    </cfRule>
  </conditionalFormatting>
  <conditionalFormatting sqref="C34:AJ34">
    <cfRule type="containsText" dxfId="23" priority="6" operator="containsText" text="R34">
      <formula>NOT(ISERROR(SEARCH(("R34"),(C34))))</formula>
    </cfRule>
  </conditionalFormatting>
  <conditionalFormatting sqref="C34:AJ34">
    <cfRule type="containsText" dxfId="24" priority="7" operator="containsText" text="R33">
      <formula>NOT(ISERROR(SEARCH(("R33"),(C34))))</formula>
    </cfRule>
  </conditionalFormatting>
  <conditionalFormatting sqref="C34:AJ34">
    <cfRule type="containsText" dxfId="25" priority="8" operator="containsText" text="R32">
      <formula>NOT(ISERROR(SEARCH(("R32"),(C34))))</formula>
    </cfRule>
  </conditionalFormatting>
  <conditionalFormatting sqref="C34:AJ34">
    <cfRule type="containsText" dxfId="26" priority="9" operator="containsText" text="R31">
      <formula>NOT(ISERROR(SEARCH(("R31"),(C34))))</formula>
    </cfRule>
  </conditionalFormatting>
  <conditionalFormatting sqref="C34:AJ34">
    <cfRule type="containsText" dxfId="27" priority="10" operator="containsText" text="R30">
      <formula>NOT(ISERROR(SEARCH(("R30"),(C34))))</formula>
    </cfRule>
  </conditionalFormatting>
  <conditionalFormatting sqref="C34:AJ34">
    <cfRule type="containsText" dxfId="39" priority="11" operator="containsText" text="R29">
      <formula>NOT(ISERROR(SEARCH(("R29"),(C34))))</formula>
    </cfRule>
  </conditionalFormatting>
  <conditionalFormatting sqref="C34:AJ34">
    <cfRule type="containsText" dxfId="30" priority="12" operator="containsText" text="R27">
      <formula>NOT(ISERROR(SEARCH(("R27"),(C34))))</formula>
    </cfRule>
  </conditionalFormatting>
  <conditionalFormatting sqref="C34:AJ34">
    <cfRule type="containsText" dxfId="44" priority="13" operator="containsText" text="R27">
      <formula>NOT(ISERROR(SEARCH(("R27"),(C34))))</formula>
    </cfRule>
  </conditionalFormatting>
  <conditionalFormatting sqref="C34:AJ34">
    <cfRule type="containsText" dxfId="3" priority="14" operator="containsText" text="R25">
      <formula>NOT(ISERROR(SEARCH(("R25"),(C34))))</formula>
    </cfRule>
  </conditionalFormatting>
  <conditionalFormatting sqref="C34:AJ34">
    <cfRule type="containsText" dxfId="42" priority="15" operator="containsText" text="R13">
      <formula>NOT(ISERROR(SEARCH(("R13"),(C34))))</formula>
    </cfRule>
  </conditionalFormatting>
  <conditionalFormatting sqref="C34:AJ34">
    <cfRule type="containsText" dxfId="4" priority="16" operator="containsText" text="R23">
      <formula>NOT(ISERROR(SEARCH(("R23"),(C34))))</formula>
    </cfRule>
  </conditionalFormatting>
  <conditionalFormatting sqref="C34:AJ34">
    <cfRule type="containsText" dxfId="32" priority="17" operator="containsText" text="R22">
      <formula>NOT(ISERROR(SEARCH(("R22"),(C34))))</formula>
    </cfRule>
  </conditionalFormatting>
  <conditionalFormatting sqref="C34:AJ34">
    <cfRule type="containsText" dxfId="28" priority="18" operator="containsText" text="R22">
      <formula>NOT(ISERROR(SEARCH(("R22"),(C34))))</formula>
    </cfRule>
  </conditionalFormatting>
  <conditionalFormatting sqref="C34:AJ34">
    <cfRule type="containsText" dxfId="8" priority="19" operator="containsText" text="R21">
      <formula>NOT(ISERROR(SEARCH(("R21"),(C34))))</formula>
    </cfRule>
  </conditionalFormatting>
  <conditionalFormatting sqref="C34:AJ34">
    <cfRule type="containsText" dxfId="9" priority="20" operator="containsText" text="R20">
      <formula>NOT(ISERROR(SEARCH(("R20"),(C34))))</formula>
    </cfRule>
  </conditionalFormatting>
  <conditionalFormatting sqref="C34:AJ34">
    <cfRule type="containsText" dxfId="41" priority="21" operator="containsText" text="R19">
      <formula>NOT(ISERROR(SEARCH(("R19"),(C34))))</formula>
    </cfRule>
  </conditionalFormatting>
  <conditionalFormatting sqref="C34:AJ34">
    <cfRule type="containsText" dxfId="34" priority="22" operator="containsText" text="R18">
      <formula>NOT(ISERROR(SEARCH(("R18"),(C34))))</formula>
    </cfRule>
  </conditionalFormatting>
  <conditionalFormatting sqref="C34:AJ34">
    <cfRule type="containsText" dxfId="12" priority="23" operator="containsText" text="R14">
      <formula>NOT(ISERROR(SEARCH(("R14"),(C34))))</formula>
    </cfRule>
  </conditionalFormatting>
  <conditionalFormatting sqref="C34:AJ34">
    <cfRule type="containsText" dxfId="42" priority="24" operator="containsText" text="R13">
      <formula>NOT(ISERROR(SEARCH(("R13"),(C34))))</formula>
    </cfRule>
  </conditionalFormatting>
  <conditionalFormatting sqref="C34:AJ34">
    <cfRule type="containsText" dxfId="37" priority="25" operator="containsText" text="R12">
      <formula>NOT(ISERROR(SEARCH(("R12"),(C34))))</formula>
    </cfRule>
  </conditionalFormatting>
  <conditionalFormatting sqref="C34:AJ34">
    <cfRule type="containsText" dxfId="14" priority="26" operator="containsText" text="R10">
      <formula>NOT(ISERROR(SEARCH(("R10"),(C34))))</formula>
    </cfRule>
  </conditionalFormatting>
  <conditionalFormatting sqref="C34:AJ34">
    <cfRule type="containsText" dxfId="15" priority="27" operator="containsText" text="R9">
      <formula>NOT(ISERROR(SEARCH(("R9"),(C34))))</formula>
    </cfRule>
  </conditionalFormatting>
  <conditionalFormatting sqref="C166:AJ166">
    <cfRule type="containsText" dxfId="42" priority="28" operator="containsText" text="R13">
      <formula>NOT(ISERROR(SEARCH(("R13"),(C166))))</formula>
    </cfRule>
  </conditionalFormatting>
  <conditionalFormatting sqref="N34:Q34">
    <cfRule type="cellIs" dxfId="6" priority="29" stopIfTrue="1" operator="notEqual">
      <formula>0</formula>
    </cfRule>
  </conditionalFormatting>
  <conditionalFormatting sqref="N34:Q34">
    <cfRule type="cellIs" dxfId="7" priority="30" stopIfTrue="1" operator="equal">
      <formula>0</formula>
    </cfRule>
  </conditionalFormatting>
  <conditionalFormatting sqref="S34:AF34">
    <cfRule type="cellIs" dxfId="6" priority="31" stopIfTrue="1" operator="notEqual">
      <formula>0</formula>
    </cfRule>
  </conditionalFormatting>
  <conditionalFormatting sqref="S34:AF34">
    <cfRule type="cellIs" dxfId="7" priority="32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8.25"/>
    <col customWidth="1" min="3" max="26" width="10.63"/>
    <col customWidth="1" min="27" max="28" width="12.63"/>
    <col customWidth="1" min="29" max="48" width="10.63"/>
  </cols>
  <sheetData>
    <row r="1" ht="69.0" customHeight="1">
      <c r="A1" s="601"/>
      <c r="B1" s="602" t="s">
        <v>0</v>
      </c>
      <c r="C1" s="603" t="s">
        <v>1</v>
      </c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5"/>
      <c r="AC1" s="606"/>
      <c r="AD1" s="606"/>
      <c r="AE1" s="606"/>
      <c r="AF1" s="607"/>
      <c r="AG1" s="607"/>
      <c r="AH1" s="608"/>
      <c r="AI1" s="608"/>
    </row>
    <row r="2" ht="39.0" customHeight="1">
      <c r="A2" s="609"/>
      <c r="B2" s="610"/>
      <c r="C2" s="610"/>
      <c r="AB2" s="611"/>
      <c r="AC2" s="606"/>
      <c r="AD2" s="606"/>
      <c r="AE2" s="606"/>
      <c r="AF2" s="607"/>
      <c r="AG2" s="607"/>
      <c r="AH2" s="608"/>
      <c r="AI2" s="608"/>
    </row>
    <row r="3" ht="33.75" customHeight="1">
      <c r="A3" s="265" t="s">
        <v>2</v>
      </c>
      <c r="B3" s="266" t="s">
        <v>3</v>
      </c>
      <c r="C3" s="612" t="s">
        <v>4</v>
      </c>
      <c r="D3" s="19"/>
      <c r="E3" s="19"/>
      <c r="F3" s="20"/>
      <c r="G3" s="613">
        <v>46037.0</v>
      </c>
      <c r="H3" s="5"/>
      <c r="I3" s="179"/>
      <c r="J3" s="614" t="s">
        <v>16</v>
      </c>
      <c r="K3" s="615">
        <v>45835.0</v>
      </c>
      <c r="L3" s="24"/>
      <c r="M3" s="25"/>
      <c r="N3" s="616" t="s">
        <v>91</v>
      </c>
      <c r="O3" s="617">
        <v>45905.0</v>
      </c>
      <c r="P3" s="24"/>
      <c r="Q3" s="25"/>
      <c r="R3" s="504" t="s">
        <v>8</v>
      </c>
      <c r="S3" s="505">
        <v>45989.0</v>
      </c>
      <c r="T3" s="38"/>
      <c r="U3" s="39"/>
      <c r="V3" s="323" t="s">
        <v>93</v>
      </c>
      <c r="W3" s="324">
        <v>46052.0</v>
      </c>
      <c r="X3" s="38"/>
      <c r="Y3" s="39"/>
      <c r="Z3" s="618"/>
      <c r="AA3" s="619"/>
      <c r="AB3" s="25"/>
      <c r="AC3" s="474"/>
      <c r="AD3" s="474"/>
      <c r="AE3" s="475"/>
      <c r="AF3" s="404"/>
      <c r="AG3" s="404"/>
      <c r="AH3" s="404"/>
      <c r="AI3" s="404"/>
      <c r="AJ3" s="404"/>
      <c r="AK3" s="404"/>
      <c r="AL3" s="404"/>
      <c r="AM3" s="404"/>
      <c r="AN3" s="404"/>
      <c r="AO3" s="404"/>
      <c r="AP3" s="404"/>
      <c r="AQ3" s="404"/>
      <c r="AR3" s="404"/>
      <c r="AS3" s="404"/>
      <c r="AT3" s="404"/>
      <c r="AU3" s="404"/>
      <c r="AV3" s="404"/>
    </row>
    <row r="4" ht="33.75" customHeight="1">
      <c r="A4" s="282" t="s">
        <v>14</v>
      </c>
      <c r="B4" s="283" t="s">
        <v>15</v>
      </c>
      <c r="C4" s="10"/>
      <c r="F4" s="11"/>
      <c r="G4" s="10"/>
      <c r="I4" s="180"/>
      <c r="J4" s="620" t="s">
        <v>411</v>
      </c>
      <c r="K4" s="621">
        <v>45842.0</v>
      </c>
      <c r="L4" s="38"/>
      <c r="M4" s="39"/>
      <c r="N4" s="502" t="s">
        <v>410</v>
      </c>
      <c r="O4" s="503">
        <v>45912.0</v>
      </c>
      <c r="P4" s="38"/>
      <c r="Q4" s="39"/>
      <c r="R4" s="508" t="s">
        <v>18</v>
      </c>
      <c r="S4" s="509">
        <v>45996.0</v>
      </c>
      <c r="T4" s="38"/>
      <c r="U4" s="39"/>
      <c r="V4" s="622"/>
      <c r="W4" s="623"/>
      <c r="X4" s="38"/>
      <c r="Y4" s="39"/>
      <c r="Z4" s="624"/>
      <c r="AA4" s="625"/>
      <c r="AB4" s="39"/>
      <c r="AC4" s="483"/>
      <c r="AD4" s="483"/>
      <c r="AE4" s="475"/>
      <c r="AF4" s="404"/>
      <c r="AG4" s="404"/>
      <c r="AH4" s="404"/>
      <c r="AI4" s="404"/>
      <c r="AJ4" s="404"/>
      <c r="AK4" s="404"/>
      <c r="AL4" s="404"/>
      <c r="AM4" s="404"/>
      <c r="AN4" s="404"/>
      <c r="AO4" s="404"/>
      <c r="AP4" s="404"/>
      <c r="AQ4" s="404"/>
      <c r="AR4" s="404"/>
      <c r="AS4" s="404"/>
      <c r="AT4" s="404"/>
      <c r="AU4" s="404"/>
      <c r="AV4" s="404"/>
    </row>
    <row r="5" ht="33.75" customHeight="1">
      <c r="A5" s="282" t="s">
        <v>24</v>
      </c>
      <c r="B5" s="283" t="s">
        <v>25</v>
      </c>
      <c r="C5" s="10"/>
      <c r="F5" s="11"/>
      <c r="G5" s="10"/>
      <c r="I5" s="180"/>
      <c r="J5" s="626" t="s">
        <v>26</v>
      </c>
      <c r="K5" s="627">
        <v>45849.0</v>
      </c>
      <c r="L5" s="38"/>
      <c r="M5" s="39"/>
      <c r="N5" s="566" t="s">
        <v>7</v>
      </c>
      <c r="O5" s="567">
        <v>45916.0</v>
      </c>
      <c r="P5" s="38"/>
      <c r="Q5" s="39"/>
      <c r="R5" s="514" t="s">
        <v>28</v>
      </c>
      <c r="S5" s="515">
        <v>46003.0</v>
      </c>
      <c r="T5" s="56"/>
      <c r="U5" s="57"/>
      <c r="V5" s="628"/>
      <c r="W5" s="623"/>
      <c r="X5" s="38"/>
      <c r="Y5" s="39"/>
      <c r="Z5" s="624"/>
      <c r="AA5" s="625"/>
      <c r="AB5" s="39"/>
      <c r="AC5" s="483"/>
      <c r="AD5" s="483"/>
      <c r="AE5" s="475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</row>
    <row r="6" ht="33.75" customHeight="1">
      <c r="A6" s="282" t="s">
        <v>34</v>
      </c>
      <c r="B6" s="283" t="s">
        <v>35</v>
      </c>
      <c r="C6" s="10"/>
      <c r="F6" s="11"/>
      <c r="G6" s="10"/>
      <c r="I6" s="180"/>
      <c r="J6" s="553" t="s">
        <v>36</v>
      </c>
      <c r="K6" s="554">
        <v>45855.0</v>
      </c>
      <c r="L6" s="38"/>
      <c r="M6" s="39"/>
      <c r="N6" s="629" t="s">
        <v>37</v>
      </c>
      <c r="O6" s="630">
        <v>45940.0</v>
      </c>
      <c r="P6" s="38"/>
      <c r="Q6" s="39"/>
      <c r="R6" s="469" t="s">
        <v>38</v>
      </c>
      <c r="S6" s="470">
        <v>46010.0</v>
      </c>
      <c r="T6" s="24"/>
      <c r="U6" s="26"/>
      <c r="V6" s="628"/>
      <c r="W6" s="623"/>
      <c r="X6" s="38"/>
      <c r="Y6" s="39"/>
      <c r="Z6" s="631"/>
      <c r="AA6" s="625"/>
      <c r="AB6" s="39"/>
      <c r="AC6" s="483"/>
      <c r="AD6" s="483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</row>
    <row r="7" ht="33.75" customHeight="1">
      <c r="A7" s="282" t="s">
        <v>44</v>
      </c>
      <c r="B7" s="283" t="s">
        <v>54</v>
      </c>
      <c r="C7" s="10"/>
      <c r="F7" s="11"/>
      <c r="G7" s="10"/>
      <c r="I7" s="180"/>
      <c r="J7" s="557" t="s">
        <v>46</v>
      </c>
      <c r="K7" s="558">
        <v>45863.0</v>
      </c>
      <c r="L7" s="38"/>
      <c r="M7" s="39"/>
      <c r="N7" s="555" t="s">
        <v>56</v>
      </c>
      <c r="O7" s="479">
        <v>45954.0</v>
      </c>
      <c r="P7" s="38"/>
      <c r="Q7" s="40"/>
      <c r="R7" s="275" t="s">
        <v>48</v>
      </c>
      <c r="S7" s="276">
        <v>46015.0</v>
      </c>
      <c r="T7" s="38"/>
      <c r="U7" s="40"/>
      <c r="V7" s="628"/>
      <c r="W7" s="623"/>
      <c r="X7" s="38"/>
      <c r="Y7" s="39"/>
      <c r="Z7" s="631"/>
      <c r="AA7" s="625"/>
      <c r="AB7" s="39"/>
      <c r="AC7" s="483"/>
      <c r="AD7" s="483"/>
      <c r="AE7" s="475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</row>
    <row r="8" ht="33.75" customHeight="1">
      <c r="A8" s="282" t="s">
        <v>62</v>
      </c>
      <c r="B8" s="283" t="s">
        <v>63</v>
      </c>
      <c r="C8" s="47"/>
      <c r="D8" s="48"/>
      <c r="E8" s="48"/>
      <c r="F8" s="49"/>
      <c r="G8" s="47"/>
      <c r="H8" s="48"/>
      <c r="I8" s="203"/>
      <c r="J8" s="562" t="s">
        <v>55</v>
      </c>
      <c r="K8" s="563">
        <v>45870.0</v>
      </c>
      <c r="L8" s="38"/>
      <c r="M8" s="39"/>
      <c r="N8" s="559" t="s">
        <v>67</v>
      </c>
      <c r="O8" s="560">
        <v>45960.0</v>
      </c>
      <c r="P8" s="24"/>
      <c r="Q8" s="25"/>
      <c r="R8" s="290" t="s">
        <v>57</v>
      </c>
      <c r="S8" s="291">
        <v>46022.0</v>
      </c>
      <c r="T8" s="38"/>
      <c r="U8" s="40"/>
      <c r="V8" s="628"/>
      <c r="W8" s="623"/>
      <c r="X8" s="38"/>
      <c r="Y8" s="39"/>
      <c r="Z8" s="631"/>
      <c r="AA8" s="625"/>
      <c r="AB8" s="39"/>
      <c r="AC8" s="483"/>
      <c r="AD8" s="483"/>
      <c r="AE8" s="475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</row>
    <row r="9" ht="33.75" customHeight="1">
      <c r="A9" s="282" t="s">
        <v>73</v>
      </c>
      <c r="B9" s="283" t="s">
        <v>74</v>
      </c>
      <c r="C9" s="632" t="s">
        <v>64</v>
      </c>
      <c r="D9" s="5"/>
      <c r="E9" s="5"/>
      <c r="F9" s="6"/>
      <c r="G9" s="632" t="s">
        <v>65</v>
      </c>
      <c r="H9" s="5"/>
      <c r="I9" s="6"/>
      <c r="J9" s="490" t="s">
        <v>66</v>
      </c>
      <c r="K9" s="491">
        <v>45883.0</v>
      </c>
      <c r="L9" s="38"/>
      <c r="M9" s="39"/>
      <c r="N9" s="492" t="s">
        <v>76</v>
      </c>
      <c r="O9" s="493">
        <v>45968.0</v>
      </c>
      <c r="P9" s="38"/>
      <c r="Q9" s="39"/>
      <c r="R9" s="300" t="s">
        <v>68</v>
      </c>
      <c r="S9" s="301">
        <v>46031.0</v>
      </c>
      <c r="T9" s="38"/>
      <c r="U9" s="40"/>
      <c r="V9" s="628"/>
      <c r="W9" s="623"/>
      <c r="X9" s="38"/>
      <c r="Y9" s="39"/>
      <c r="Z9" s="631"/>
      <c r="AA9" s="625"/>
      <c r="AB9" s="39"/>
      <c r="AC9" s="483"/>
      <c r="AD9" s="483"/>
      <c r="AE9" s="475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</row>
    <row r="10" ht="33.75" customHeight="1">
      <c r="A10" s="282" t="s">
        <v>82</v>
      </c>
      <c r="B10" s="283" t="s">
        <v>400</v>
      </c>
      <c r="C10" s="10"/>
      <c r="F10" s="11"/>
      <c r="G10" s="10"/>
      <c r="I10" s="11"/>
      <c r="J10" s="494" t="s">
        <v>75</v>
      </c>
      <c r="K10" s="495">
        <v>45891.0</v>
      </c>
      <c r="L10" s="38"/>
      <c r="M10" s="39"/>
      <c r="N10" s="496" t="s">
        <v>84</v>
      </c>
      <c r="O10" s="497">
        <v>45975.0</v>
      </c>
      <c r="P10" s="38"/>
      <c r="Q10" s="39"/>
      <c r="R10" s="308" t="s">
        <v>77</v>
      </c>
      <c r="S10" s="309">
        <v>46038.0</v>
      </c>
      <c r="T10" s="38"/>
      <c r="U10" s="39"/>
      <c r="V10" s="628"/>
      <c r="W10" s="623"/>
      <c r="X10" s="38"/>
      <c r="Y10" s="39"/>
      <c r="Z10" s="631"/>
      <c r="AA10" s="625"/>
      <c r="AB10" s="39"/>
      <c r="AC10" s="483"/>
      <c r="AD10" s="483"/>
      <c r="AE10" s="475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</row>
    <row r="11" ht="33.75" customHeight="1">
      <c r="A11" s="569" t="s">
        <v>90</v>
      </c>
      <c r="B11" s="570">
        <v>182948.0</v>
      </c>
      <c r="C11" s="47"/>
      <c r="D11" s="48"/>
      <c r="E11" s="48"/>
      <c r="F11" s="49"/>
      <c r="G11" s="47"/>
      <c r="H11" s="48"/>
      <c r="I11" s="49"/>
      <c r="J11" s="633" t="s">
        <v>83</v>
      </c>
      <c r="K11" s="634">
        <v>45898.0</v>
      </c>
      <c r="L11" s="56"/>
      <c r="M11" s="57"/>
      <c r="N11" s="500" t="s">
        <v>92</v>
      </c>
      <c r="O11" s="501">
        <v>45982.0</v>
      </c>
      <c r="P11" s="38"/>
      <c r="Q11" s="39"/>
      <c r="R11" s="199" t="s">
        <v>85</v>
      </c>
      <c r="S11" s="200">
        <v>46045.0</v>
      </c>
      <c r="T11" s="38"/>
      <c r="U11" s="39"/>
      <c r="V11" s="635"/>
      <c r="W11" s="636"/>
      <c r="X11" s="56"/>
      <c r="Y11" s="57"/>
      <c r="Z11" s="637"/>
      <c r="AA11" s="636"/>
      <c r="AB11" s="57"/>
      <c r="AC11" s="483"/>
      <c r="AD11" s="483"/>
      <c r="AE11" s="475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</row>
    <row r="12" ht="33.75" customHeight="1">
      <c r="A12" s="638"/>
      <c r="B12" s="639"/>
      <c r="C12" s="640"/>
      <c r="D12" s="641"/>
      <c r="E12" s="641"/>
      <c r="F12" s="641"/>
      <c r="G12" s="641"/>
      <c r="H12" s="641"/>
      <c r="I12" s="641"/>
      <c r="J12" s="642"/>
      <c r="K12" s="642"/>
      <c r="L12" s="642"/>
      <c r="M12" s="642"/>
      <c r="N12" s="642"/>
      <c r="O12" s="642"/>
      <c r="P12" s="642"/>
      <c r="Q12" s="642"/>
      <c r="R12" s="642"/>
      <c r="S12" s="642"/>
      <c r="T12" s="642"/>
      <c r="U12" s="642"/>
      <c r="V12" s="642"/>
      <c r="W12" s="642"/>
      <c r="X12" s="642"/>
      <c r="Y12" s="642"/>
      <c r="Z12" s="642"/>
      <c r="AA12" s="642"/>
      <c r="AB12" s="643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</row>
    <row r="13" ht="33.75" customHeight="1">
      <c r="A13" s="351" t="s">
        <v>98</v>
      </c>
      <c r="B13" s="352" t="s">
        <v>99</v>
      </c>
      <c r="C13" s="644" t="s">
        <v>100</v>
      </c>
      <c r="D13" s="645"/>
      <c r="E13" s="645"/>
      <c r="F13" s="645"/>
      <c r="G13" s="645"/>
      <c r="H13" s="645"/>
      <c r="I13" s="645"/>
      <c r="J13" s="645"/>
      <c r="K13" s="645"/>
      <c r="L13" s="645"/>
      <c r="M13" s="645"/>
      <c r="N13" s="645"/>
      <c r="O13" s="645"/>
      <c r="P13" s="645"/>
      <c r="Q13" s="645"/>
      <c r="R13" s="645"/>
      <c r="S13" s="645"/>
      <c r="T13" s="645"/>
      <c r="U13" s="645"/>
      <c r="V13" s="645"/>
      <c r="W13" s="645"/>
      <c r="X13" s="645"/>
      <c r="Y13" s="645"/>
      <c r="Z13" s="645"/>
      <c r="AA13" s="645"/>
      <c r="AB13" s="645"/>
      <c r="AC13" s="404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</row>
    <row r="14" ht="33.75" customHeight="1">
      <c r="A14" s="74"/>
      <c r="B14" s="9"/>
      <c r="C14" s="646" t="s">
        <v>101</v>
      </c>
      <c r="D14" s="647"/>
      <c r="E14" s="648"/>
      <c r="F14" s="648"/>
      <c r="G14" s="649"/>
      <c r="H14" s="650"/>
      <c r="I14" s="650"/>
      <c r="J14" s="650"/>
      <c r="K14" s="650"/>
      <c r="L14" s="650"/>
      <c r="M14" s="650"/>
      <c r="N14" s="650"/>
      <c r="O14" s="650"/>
      <c r="P14" s="650"/>
      <c r="Q14" s="650"/>
      <c r="R14" s="650"/>
      <c r="S14" s="650"/>
      <c r="T14" s="650"/>
      <c r="U14" s="651" t="s">
        <v>102</v>
      </c>
      <c r="V14" s="64"/>
      <c r="W14" s="64"/>
      <c r="X14" s="64"/>
      <c r="Y14" s="64"/>
      <c r="Z14" s="65"/>
      <c r="AA14" s="215" t="s">
        <v>416</v>
      </c>
      <c r="AB14" s="65"/>
      <c r="AC14" s="404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</row>
    <row r="15" ht="33.75" customHeight="1">
      <c r="A15" s="83"/>
      <c r="B15" s="84"/>
      <c r="C15" s="652">
        <v>1.0</v>
      </c>
      <c r="D15" s="86"/>
      <c r="E15" s="653">
        <v>2.0</v>
      </c>
      <c r="F15" s="86"/>
      <c r="G15" s="653">
        <v>3.0</v>
      </c>
      <c r="H15" s="86"/>
      <c r="I15" s="653">
        <v>4.0</v>
      </c>
      <c r="J15" s="86"/>
      <c r="K15" s="653">
        <v>5.0</v>
      </c>
      <c r="L15" s="86"/>
      <c r="M15" s="653">
        <v>6.0</v>
      </c>
      <c r="N15" s="86"/>
      <c r="O15" s="653">
        <v>7.0</v>
      </c>
      <c r="P15" s="86"/>
      <c r="Q15" s="653">
        <v>8.0</v>
      </c>
      <c r="R15" s="86"/>
      <c r="S15" s="653">
        <v>9.0</v>
      </c>
      <c r="T15" s="86"/>
      <c r="U15" s="653">
        <v>10.0</v>
      </c>
      <c r="V15" s="86"/>
      <c r="W15" s="653">
        <v>11.0</v>
      </c>
      <c r="X15" s="86"/>
      <c r="Y15" s="653">
        <v>12.0</v>
      </c>
      <c r="Z15" s="86"/>
      <c r="AA15" s="654" t="s">
        <v>104</v>
      </c>
      <c r="AB15" s="655" t="s">
        <v>105</v>
      </c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</row>
    <row r="16" ht="57.75" customHeight="1">
      <c r="A16" s="656"/>
      <c r="B16" s="657"/>
      <c r="C16" s="658">
        <v>1.0</v>
      </c>
      <c r="D16" s="659"/>
      <c r="E16" s="660">
        <v>2.0</v>
      </c>
      <c r="F16" s="659"/>
      <c r="G16" s="660">
        <v>3.0</v>
      </c>
      <c r="H16" s="659"/>
      <c r="I16" s="660">
        <v>4.0</v>
      </c>
      <c r="J16" s="659"/>
      <c r="K16" s="660">
        <v>5.0</v>
      </c>
      <c r="L16" s="659"/>
      <c r="M16" s="660">
        <v>6.0</v>
      </c>
      <c r="N16" s="659"/>
      <c r="O16" s="660">
        <v>7.0</v>
      </c>
      <c r="P16" s="659"/>
      <c r="Q16" s="660">
        <v>8.0</v>
      </c>
      <c r="R16" s="659"/>
      <c r="S16" s="660">
        <v>9.0</v>
      </c>
      <c r="T16" s="659"/>
      <c r="U16" s="660">
        <v>10.0</v>
      </c>
      <c r="V16" s="659"/>
      <c r="W16" s="660">
        <v>11.0</v>
      </c>
      <c r="X16" s="659"/>
      <c r="Y16" s="660">
        <v>12.0</v>
      </c>
      <c r="Z16" s="659"/>
      <c r="AA16" s="654" t="s">
        <v>104</v>
      </c>
      <c r="AB16" s="655" t="s">
        <v>105</v>
      </c>
    </row>
    <row r="17" ht="39.75" customHeight="1">
      <c r="A17" s="661" t="s">
        <v>106</v>
      </c>
      <c r="B17" s="662" t="s">
        <v>107</v>
      </c>
      <c r="C17" s="663" t="s">
        <v>108</v>
      </c>
      <c r="D17" s="664" t="s">
        <v>109</v>
      </c>
      <c r="E17" s="663" t="s">
        <v>108</v>
      </c>
      <c r="F17" s="664" t="s">
        <v>109</v>
      </c>
      <c r="G17" s="663" t="s">
        <v>108</v>
      </c>
      <c r="H17" s="664" t="s">
        <v>109</v>
      </c>
      <c r="I17" s="663" t="s">
        <v>108</v>
      </c>
      <c r="J17" s="664" t="s">
        <v>109</v>
      </c>
      <c r="K17" s="663" t="s">
        <v>108</v>
      </c>
      <c r="L17" s="664" t="s">
        <v>109</v>
      </c>
      <c r="M17" s="663" t="s">
        <v>108</v>
      </c>
      <c r="N17" s="664" t="s">
        <v>109</v>
      </c>
      <c r="O17" s="663" t="s">
        <v>108</v>
      </c>
      <c r="P17" s="664" t="s">
        <v>109</v>
      </c>
      <c r="Q17" s="663" t="s">
        <v>108</v>
      </c>
      <c r="R17" s="664" t="s">
        <v>109</v>
      </c>
      <c r="S17" s="663" t="s">
        <v>108</v>
      </c>
      <c r="T17" s="664" t="s">
        <v>109</v>
      </c>
      <c r="U17" s="663" t="s">
        <v>108</v>
      </c>
      <c r="V17" s="664" t="s">
        <v>109</v>
      </c>
      <c r="W17" s="663" t="s">
        <v>108</v>
      </c>
      <c r="X17" s="664" t="s">
        <v>109</v>
      </c>
      <c r="Y17" s="663" t="s">
        <v>108</v>
      </c>
      <c r="Z17" s="664" t="s">
        <v>109</v>
      </c>
      <c r="AA17" s="664"/>
      <c r="AB17" s="665"/>
    </row>
    <row r="18" ht="39.75" customHeight="1">
      <c r="A18" s="378" t="s">
        <v>110</v>
      </c>
      <c r="B18" s="379" t="s">
        <v>111</v>
      </c>
      <c r="C18" s="666"/>
      <c r="D18" s="667"/>
      <c r="E18" s="668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68"/>
      <c r="Q18" s="668"/>
      <c r="R18" s="668"/>
      <c r="S18" s="668"/>
      <c r="T18" s="668"/>
      <c r="U18" s="668"/>
      <c r="V18" s="668"/>
      <c r="W18" s="668"/>
      <c r="X18" s="668"/>
      <c r="Y18" s="668"/>
      <c r="Z18" s="668"/>
      <c r="AA18" s="668"/>
      <c r="AB18" s="669"/>
      <c r="AC18" s="404"/>
      <c r="AD18" s="404"/>
      <c r="AE18" s="404"/>
      <c r="AF18" s="404"/>
      <c r="AG18" s="404"/>
      <c r="AH18" s="404"/>
      <c r="AI18" s="404"/>
      <c r="AJ18" s="404"/>
      <c r="AK18" s="404"/>
      <c r="AL18" s="404"/>
    </row>
    <row r="19" ht="39.75" customHeight="1">
      <c r="A19" s="385" t="s">
        <v>112</v>
      </c>
      <c r="B19" s="386" t="s">
        <v>113</v>
      </c>
      <c r="C19" s="670" t="s">
        <v>26</v>
      </c>
      <c r="D19" s="671"/>
      <c r="E19" s="672" t="s">
        <v>26</v>
      </c>
      <c r="F19" s="673"/>
      <c r="G19" s="672" t="s">
        <v>84</v>
      </c>
      <c r="H19" s="673"/>
      <c r="I19" s="674" t="s">
        <v>16</v>
      </c>
      <c r="J19" s="673"/>
      <c r="K19" s="674" t="s">
        <v>16</v>
      </c>
      <c r="L19" s="673"/>
      <c r="M19" s="674" t="s">
        <v>16</v>
      </c>
      <c r="N19" s="673"/>
      <c r="O19" s="674" t="s">
        <v>16</v>
      </c>
      <c r="P19" s="673"/>
      <c r="Q19" s="674" t="s">
        <v>16</v>
      </c>
      <c r="R19" s="673"/>
      <c r="S19" s="674" t="s">
        <v>16</v>
      </c>
      <c r="T19" s="673"/>
      <c r="U19" s="674" t="s">
        <v>16</v>
      </c>
      <c r="V19" s="673"/>
      <c r="W19" s="672" t="s">
        <v>84</v>
      </c>
      <c r="X19" s="673"/>
      <c r="Y19" s="672" t="s">
        <v>84</v>
      </c>
      <c r="Z19" s="673"/>
      <c r="AA19" s="391">
        <f t="shared" ref="AA19:AA23" si="1">COUNTIF(C19:Z19,"&gt;=R")</f>
        <v>12</v>
      </c>
      <c r="AB19" s="392">
        <f t="shared" ref="AB19:AB25" si="2">AA19</f>
        <v>12</v>
      </c>
    </row>
    <row r="20" ht="39.75" customHeight="1">
      <c r="A20" s="385" t="s">
        <v>114</v>
      </c>
      <c r="B20" s="386" t="s">
        <v>115</v>
      </c>
      <c r="C20" s="670" t="s">
        <v>26</v>
      </c>
      <c r="D20" s="671"/>
      <c r="E20" s="672" t="s">
        <v>26</v>
      </c>
      <c r="F20" s="673"/>
      <c r="G20" s="674" t="s">
        <v>16</v>
      </c>
      <c r="H20" s="673"/>
      <c r="I20" s="674" t="s">
        <v>16</v>
      </c>
      <c r="J20" s="673"/>
      <c r="K20" s="674" t="s">
        <v>16</v>
      </c>
      <c r="L20" s="673"/>
      <c r="M20" s="674" t="s">
        <v>16</v>
      </c>
      <c r="N20" s="673"/>
      <c r="O20" s="674" t="s">
        <v>16</v>
      </c>
      <c r="P20" s="673"/>
      <c r="Q20" s="674" t="s">
        <v>16</v>
      </c>
      <c r="R20" s="673"/>
      <c r="S20" s="674" t="s">
        <v>16</v>
      </c>
      <c r="T20" s="673"/>
      <c r="U20" s="674" t="s">
        <v>16</v>
      </c>
      <c r="V20" s="673"/>
      <c r="W20" s="672" t="s">
        <v>26</v>
      </c>
      <c r="X20" s="673"/>
      <c r="Y20" s="672" t="s">
        <v>26</v>
      </c>
      <c r="Z20" s="673"/>
      <c r="AA20" s="391">
        <f t="shared" si="1"/>
        <v>12</v>
      </c>
      <c r="AB20" s="392">
        <f t="shared" si="2"/>
        <v>12</v>
      </c>
    </row>
    <row r="21" ht="39.75" customHeight="1">
      <c r="A21" s="385" t="s">
        <v>116</v>
      </c>
      <c r="B21" s="386" t="s">
        <v>117</v>
      </c>
      <c r="C21" s="670" t="s">
        <v>75</v>
      </c>
      <c r="D21" s="671"/>
      <c r="E21" s="672" t="s">
        <v>26</v>
      </c>
      <c r="F21" s="673"/>
      <c r="G21" s="674" t="s">
        <v>16</v>
      </c>
      <c r="H21" s="673"/>
      <c r="I21" s="674" t="s">
        <v>16</v>
      </c>
      <c r="J21" s="673"/>
      <c r="K21" s="674" t="s">
        <v>16</v>
      </c>
      <c r="L21" s="673"/>
      <c r="M21" s="672" t="s">
        <v>26</v>
      </c>
      <c r="N21" s="673"/>
      <c r="O21" s="672" t="s">
        <v>26</v>
      </c>
      <c r="P21" s="673"/>
      <c r="Q21" s="674" t="s">
        <v>16</v>
      </c>
      <c r="R21" s="673"/>
      <c r="S21" s="674" t="s">
        <v>16</v>
      </c>
      <c r="T21" s="673"/>
      <c r="U21" s="674" t="s">
        <v>16</v>
      </c>
      <c r="V21" s="673"/>
      <c r="W21" s="672" t="s">
        <v>26</v>
      </c>
      <c r="X21" s="673"/>
      <c r="Y21" s="672" t="s">
        <v>26</v>
      </c>
      <c r="Z21" s="673"/>
      <c r="AA21" s="391">
        <f t="shared" si="1"/>
        <v>12</v>
      </c>
      <c r="AB21" s="392">
        <f t="shared" si="2"/>
        <v>12</v>
      </c>
    </row>
    <row r="22" ht="39.75" customHeight="1">
      <c r="A22" s="385" t="s">
        <v>118</v>
      </c>
      <c r="B22" s="386" t="s">
        <v>119</v>
      </c>
      <c r="C22" s="670" t="s">
        <v>75</v>
      </c>
      <c r="D22" s="671"/>
      <c r="E22" s="672" t="s">
        <v>26</v>
      </c>
      <c r="F22" s="673"/>
      <c r="G22" s="674" t="s">
        <v>16</v>
      </c>
      <c r="H22" s="673"/>
      <c r="I22" s="674" t="s">
        <v>16</v>
      </c>
      <c r="J22" s="673"/>
      <c r="K22" s="674" t="s">
        <v>16</v>
      </c>
      <c r="L22" s="673"/>
      <c r="M22" s="672" t="s">
        <v>26</v>
      </c>
      <c r="N22" s="673"/>
      <c r="O22" s="672" t="s">
        <v>26</v>
      </c>
      <c r="P22" s="673"/>
      <c r="Q22" s="674" t="s">
        <v>16</v>
      </c>
      <c r="R22" s="673"/>
      <c r="S22" s="674" t="s">
        <v>16</v>
      </c>
      <c r="T22" s="673"/>
      <c r="U22" s="674" t="s">
        <v>16</v>
      </c>
      <c r="V22" s="673"/>
      <c r="W22" s="672" t="s">
        <v>26</v>
      </c>
      <c r="X22" s="673"/>
      <c r="Y22" s="672" t="s">
        <v>26</v>
      </c>
      <c r="Z22" s="673"/>
      <c r="AA22" s="391">
        <f t="shared" si="1"/>
        <v>12</v>
      </c>
      <c r="AB22" s="392">
        <f t="shared" si="2"/>
        <v>12</v>
      </c>
    </row>
    <row r="23" ht="39.75" customHeight="1">
      <c r="A23" s="385" t="s">
        <v>120</v>
      </c>
      <c r="B23" s="386" t="s">
        <v>121</v>
      </c>
      <c r="C23" s="675" t="s">
        <v>37</v>
      </c>
      <c r="D23" s="671"/>
      <c r="E23" s="673" t="s">
        <v>55</v>
      </c>
      <c r="F23" s="673"/>
      <c r="G23" s="673" t="s">
        <v>66</v>
      </c>
      <c r="H23" s="673"/>
      <c r="I23" s="673" t="s">
        <v>36</v>
      </c>
      <c r="J23" s="673"/>
      <c r="K23" s="673" t="s">
        <v>36</v>
      </c>
      <c r="L23" s="673"/>
      <c r="M23" s="673" t="s">
        <v>66</v>
      </c>
      <c r="N23" s="673"/>
      <c r="O23" s="673" t="s">
        <v>66</v>
      </c>
      <c r="P23" s="673"/>
      <c r="Q23" s="673" t="s">
        <v>36</v>
      </c>
      <c r="R23" s="673"/>
      <c r="S23" s="673" t="s">
        <v>55</v>
      </c>
      <c r="T23" s="673"/>
      <c r="U23" s="673" t="s">
        <v>66</v>
      </c>
      <c r="V23" s="676"/>
      <c r="W23" s="673" t="s">
        <v>66</v>
      </c>
      <c r="X23" s="673"/>
      <c r="Y23" s="673" t="s">
        <v>55</v>
      </c>
      <c r="Z23" s="676"/>
      <c r="AA23" s="391">
        <f t="shared" si="1"/>
        <v>12</v>
      </c>
      <c r="AB23" s="392">
        <f t="shared" si="2"/>
        <v>12</v>
      </c>
    </row>
    <row r="24" ht="39.75" customHeight="1">
      <c r="A24" s="385" t="s">
        <v>122</v>
      </c>
      <c r="B24" s="386" t="s">
        <v>123</v>
      </c>
      <c r="C24" s="675" t="s">
        <v>37</v>
      </c>
      <c r="D24" s="671"/>
      <c r="E24" s="673" t="s">
        <v>55</v>
      </c>
      <c r="F24" s="673"/>
      <c r="G24" s="673" t="s">
        <v>66</v>
      </c>
      <c r="H24" s="673"/>
      <c r="I24" s="673" t="s">
        <v>36</v>
      </c>
      <c r="J24" s="673"/>
      <c r="K24" s="673" t="s">
        <v>36</v>
      </c>
      <c r="L24" s="673"/>
      <c r="M24" s="673" t="s">
        <v>66</v>
      </c>
      <c r="N24" s="673"/>
      <c r="O24" s="673" t="s">
        <v>66</v>
      </c>
      <c r="P24" s="673"/>
      <c r="Q24" s="673" t="s">
        <v>36</v>
      </c>
      <c r="R24" s="673"/>
      <c r="S24" s="673" t="s">
        <v>55</v>
      </c>
      <c r="T24" s="673"/>
      <c r="U24" s="673" t="s">
        <v>66</v>
      </c>
      <c r="V24" s="676"/>
      <c r="W24" s="673" t="s">
        <v>66</v>
      </c>
      <c r="X24" s="673"/>
      <c r="Y24" s="673" t="s">
        <v>55</v>
      </c>
      <c r="Z24" s="673"/>
      <c r="AA24" s="391">
        <f>COUNTIF(E24:Z24,"&gt;=R")</f>
        <v>11</v>
      </c>
      <c r="AB24" s="392">
        <f t="shared" si="2"/>
        <v>11</v>
      </c>
    </row>
    <row r="25" ht="39.75" customHeight="1">
      <c r="A25" s="385" t="s">
        <v>124</v>
      </c>
      <c r="B25" s="386" t="s">
        <v>125</v>
      </c>
      <c r="C25" s="675" t="s">
        <v>37</v>
      </c>
      <c r="D25" s="671"/>
      <c r="E25" s="673" t="s">
        <v>55</v>
      </c>
      <c r="F25" s="673"/>
      <c r="G25" s="673" t="s">
        <v>66</v>
      </c>
      <c r="H25" s="673"/>
      <c r="I25" s="673" t="s">
        <v>36</v>
      </c>
      <c r="J25" s="673"/>
      <c r="K25" s="673" t="s">
        <v>36</v>
      </c>
      <c r="L25" s="673"/>
      <c r="M25" s="673" t="s">
        <v>66</v>
      </c>
      <c r="N25" s="673"/>
      <c r="O25" s="673" t="s">
        <v>66</v>
      </c>
      <c r="P25" s="673"/>
      <c r="Q25" s="673" t="s">
        <v>36</v>
      </c>
      <c r="R25" s="673"/>
      <c r="S25" s="673" t="s">
        <v>55</v>
      </c>
      <c r="T25" s="673"/>
      <c r="U25" s="673" t="s">
        <v>66</v>
      </c>
      <c r="V25" s="676"/>
      <c r="W25" s="673" t="s">
        <v>66</v>
      </c>
      <c r="X25" s="673"/>
      <c r="Y25" s="673" t="s">
        <v>55</v>
      </c>
      <c r="Z25" s="673"/>
      <c r="AA25" s="391">
        <f>COUNTIF(C25:Z25,"&gt;=R")</f>
        <v>12</v>
      </c>
      <c r="AB25" s="392">
        <f t="shared" si="2"/>
        <v>12</v>
      </c>
    </row>
    <row r="26" ht="39.75" customHeight="1">
      <c r="A26" s="395" t="s">
        <v>126</v>
      </c>
      <c r="B26" s="396" t="s">
        <v>127</v>
      </c>
      <c r="C26" s="677"/>
      <c r="D26" s="677"/>
      <c r="E26" s="677"/>
      <c r="F26" s="677"/>
      <c r="G26" s="677"/>
      <c r="H26" s="677"/>
      <c r="I26" s="677"/>
      <c r="J26" s="677"/>
      <c r="K26" s="677"/>
      <c r="L26" s="677"/>
      <c r="M26" s="677"/>
      <c r="N26" s="677"/>
      <c r="O26" s="677"/>
      <c r="P26" s="677"/>
      <c r="Q26" s="677"/>
      <c r="R26" s="677"/>
      <c r="S26" s="677"/>
      <c r="T26" s="677"/>
      <c r="U26" s="677"/>
      <c r="V26" s="677"/>
      <c r="W26" s="677"/>
      <c r="X26" s="677"/>
      <c r="Y26" s="677"/>
      <c r="Z26" s="677"/>
      <c r="AA26" s="529"/>
      <c r="AB26" s="530"/>
      <c r="AC26" s="404"/>
      <c r="AD26" s="404"/>
      <c r="AE26" s="404"/>
      <c r="AF26" s="404"/>
      <c r="AG26" s="404"/>
      <c r="AH26" s="404"/>
      <c r="AI26" s="404"/>
      <c r="AJ26" s="404"/>
      <c r="AK26" s="404"/>
      <c r="AL26" s="404"/>
    </row>
    <row r="27" ht="39.75" customHeight="1">
      <c r="A27" s="385" t="s">
        <v>128</v>
      </c>
      <c r="B27" s="386" t="s">
        <v>129</v>
      </c>
      <c r="C27" s="675" t="s">
        <v>37</v>
      </c>
      <c r="D27" s="671"/>
      <c r="E27" s="673" t="s">
        <v>55</v>
      </c>
      <c r="F27" s="673"/>
      <c r="G27" s="673" t="s">
        <v>66</v>
      </c>
      <c r="H27" s="673"/>
      <c r="I27" s="673" t="s">
        <v>36</v>
      </c>
      <c r="J27" s="673"/>
      <c r="K27" s="673" t="s">
        <v>36</v>
      </c>
      <c r="L27" s="673"/>
      <c r="M27" s="673" t="s">
        <v>66</v>
      </c>
      <c r="N27" s="673"/>
      <c r="O27" s="673" t="s">
        <v>66</v>
      </c>
      <c r="P27" s="673"/>
      <c r="Q27" s="673" t="s">
        <v>36</v>
      </c>
      <c r="R27" s="673"/>
      <c r="S27" s="673" t="s">
        <v>55</v>
      </c>
      <c r="T27" s="673"/>
      <c r="U27" s="673" t="s">
        <v>66</v>
      </c>
      <c r="V27" s="676"/>
      <c r="W27" s="673" t="s">
        <v>66</v>
      </c>
      <c r="X27" s="673"/>
      <c r="Y27" s="673" t="s">
        <v>55</v>
      </c>
      <c r="Z27" s="673"/>
      <c r="AA27" s="391">
        <f t="shared" ref="AA27:AA28" si="3">COUNTIF(C27:Z27,"&gt;=R")</f>
        <v>12</v>
      </c>
      <c r="AB27" s="392">
        <f t="shared" ref="AB27:AB28" si="4">AA27</f>
        <v>12</v>
      </c>
    </row>
    <row r="28" ht="39.75" customHeight="1">
      <c r="A28" s="385" t="s">
        <v>130</v>
      </c>
      <c r="B28" s="386" t="s">
        <v>131</v>
      </c>
      <c r="C28" s="675" t="s">
        <v>37</v>
      </c>
      <c r="D28" s="671"/>
      <c r="E28" s="673" t="s">
        <v>55</v>
      </c>
      <c r="F28" s="673"/>
      <c r="G28" s="673" t="s">
        <v>66</v>
      </c>
      <c r="H28" s="673"/>
      <c r="I28" s="673" t="s">
        <v>36</v>
      </c>
      <c r="J28" s="673"/>
      <c r="K28" s="673" t="s">
        <v>36</v>
      </c>
      <c r="L28" s="673"/>
      <c r="M28" s="673" t="s">
        <v>66</v>
      </c>
      <c r="N28" s="673"/>
      <c r="O28" s="673" t="s">
        <v>66</v>
      </c>
      <c r="P28" s="673"/>
      <c r="Q28" s="673" t="s">
        <v>36</v>
      </c>
      <c r="R28" s="673"/>
      <c r="S28" s="673" t="s">
        <v>55</v>
      </c>
      <c r="T28" s="673"/>
      <c r="U28" s="673" t="s">
        <v>66</v>
      </c>
      <c r="V28" s="676"/>
      <c r="W28" s="673" t="s">
        <v>66</v>
      </c>
      <c r="X28" s="673"/>
      <c r="Y28" s="673" t="s">
        <v>55</v>
      </c>
      <c r="Z28" s="673"/>
      <c r="AA28" s="391">
        <f t="shared" si="3"/>
        <v>12</v>
      </c>
      <c r="AB28" s="392">
        <f t="shared" si="4"/>
        <v>12</v>
      </c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</row>
    <row r="29" ht="39.75" customHeight="1">
      <c r="A29" s="395" t="s">
        <v>132</v>
      </c>
      <c r="B29" s="396" t="s">
        <v>133</v>
      </c>
      <c r="C29" s="678"/>
      <c r="D29" s="677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  <c r="AA29" s="529"/>
      <c r="AB29" s="530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</row>
    <row r="30" ht="39.75" customHeight="1">
      <c r="A30" s="402" t="s">
        <v>134</v>
      </c>
      <c r="B30" s="386" t="s">
        <v>135</v>
      </c>
      <c r="C30" s="670" t="s">
        <v>57</v>
      </c>
      <c r="D30" s="671"/>
      <c r="E30" s="672" t="s">
        <v>410</v>
      </c>
      <c r="F30" s="673"/>
      <c r="G30" s="672" t="s">
        <v>410</v>
      </c>
      <c r="H30" s="673"/>
      <c r="I30" s="673" t="s">
        <v>410</v>
      </c>
      <c r="J30" s="673"/>
      <c r="K30" s="673" t="s">
        <v>410</v>
      </c>
      <c r="L30" s="673"/>
      <c r="M30" s="673" t="s">
        <v>410</v>
      </c>
      <c r="N30" s="673"/>
      <c r="O30" s="673" t="s">
        <v>410</v>
      </c>
      <c r="P30" s="673"/>
      <c r="Q30" s="673" t="s">
        <v>57</v>
      </c>
      <c r="R30" s="673"/>
      <c r="S30" s="673" t="s">
        <v>410</v>
      </c>
      <c r="T30" s="673"/>
      <c r="U30" s="673" t="s">
        <v>410</v>
      </c>
      <c r="V30" s="673"/>
      <c r="W30" s="673" t="s">
        <v>410</v>
      </c>
      <c r="X30" s="673"/>
      <c r="Y30" s="673" t="s">
        <v>410</v>
      </c>
      <c r="Z30" s="673"/>
      <c r="AA30" s="391">
        <f>COUNTIF(C30:Z30,"&gt;=R")</f>
        <v>12</v>
      </c>
      <c r="AB30" s="392">
        <f>AA30</f>
        <v>12</v>
      </c>
      <c r="AC30" s="404"/>
      <c r="AD30" s="404"/>
      <c r="AE30" s="404"/>
      <c r="AF30" s="404"/>
      <c r="AG30" s="404"/>
      <c r="AH30" s="404"/>
      <c r="AI30" s="404"/>
      <c r="AJ30" s="404"/>
      <c r="AK30" s="404"/>
      <c r="AL30" s="404"/>
    </row>
    <row r="31" ht="39.75" customHeight="1">
      <c r="A31" s="395" t="s">
        <v>136</v>
      </c>
      <c r="B31" s="396" t="s">
        <v>137</v>
      </c>
      <c r="C31" s="678"/>
      <c r="D31" s="677"/>
      <c r="E31" s="677"/>
      <c r="F31" s="677"/>
      <c r="G31" s="677"/>
      <c r="H31" s="677"/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Y31" s="677"/>
      <c r="Z31" s="679"/>
      <c r="AA31" s="529"/>
      <c r="AB31" s="530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</row>
    <row r="32" ht="39.75" customHeight="1">
      <c r="A32" s="385" t="s">
        <v>138</v>
      </c>
      <c r="B32" s="386" t="s">
        <v>139</v>
      </c>
      <c r="C32" s="670"/>
      <c r="D32" s="671"/>
      <c r="E32" s="672" t="s">
        <v>410</v>
      </c>
      <c r="F32" s="673"/>
      <c r="G32" s="672" t="s">
        <v>410</v>
      </c>
      <c r="H32" s="673"/>
      <c r="I32" s="673" t="s">
        <v>410</v>
      </c>
      <c r="J32" s="673"/>
      <c r="K32" s="673" t="s">
        <v>410</v>
      </c>
      <c r="L32" s="673"/>
      <c r="M32" s="673" t="s">
        <v>410</v>
      </c>
      <c r="N32" s="673"/>
      <c r="O32" s="673" t="s">
        <v>410</v>
      </c>
      <c r="P32" s="673"/>
      <c r="Q32" s="673"/>
      <c r="R32" s="673"/>
      <c r="S32" s="673" t="s">
        <v>410</v>
      </c>
      <c r="T32" s="673"/>
      <c r="U32" s="673" t="s">
        <v>410</v>
      </c>
      <c r="V32" s="673"/>
      <c r="W32" s="673" t="s">
        <v>410</v>
      </c>
      <c r="X32" s="673"/>
      <c r="Y32" s="673" t="s">
        <v>410</v>
      </c>
      <c r="Z32" s="673"/>
      <c r="AA32" s="391">
        <f t="shared" ref="AA32:AA33" si="5">COUNTIF(C32:Z32,"&gt;=R")</f>
        <v>10</v>
      </c>
      <c r="AB32" s="392">
        <f t="shared" ref="AB32:AB33" si="6">AA32</f>
        <v>10</v>
      </c>
    </row>
    <row r="33" ht="39.75" customHeight="1">
      <c r="A33" s="404" t="s">
        <v>140</v>
      </c>
      <c r="B33" s="405" t="s">
        <v>141</v>
      </c>
      <c r="C33" s="670"/>
      <c r="D33" s="671"/>
      <c r="E33" s="672" t="s">
        <v>410</v>
      </c>
      <c r="F33" s="673"/>
      <c r="G33" s="672" t="s">
        <v>410</v>
      </c>
      <c r="H33" s="673"/>
      <c r="I33" s="673" t="s">
        <v>410</v>
      </c>
      <c r="J33" s="673"/>
      <c r="K33" s="673" t="s">
        <v>410</v>
      </c>
      <c r="L33" s="673"/>
      <c r="M33" s="673" t="s">
        <v>410</v>
      </c>
      <c r="N33" s="673"/>
      <c r="O33" s="673" t="s">
        <v>410</v>
      </c>
      <c r="P33" s="673"/>
      <c r="Q33" s="673"/>
      <c r="R33" s="673"/>
      <c r="S33" s="673" t="s">
        <v>410</v>
      </c>
      <c r="T33" s="673"/>
      <c r="U33" s="673" t="s">
        <v>410</v>
      </c>
      <c r="V33" s="673"/>
      <c r="W33" s="673" t="s">
        <v>410</v>
      </c>
      <c r="X33" s="673"/>
      <c r="Y33" s="673" t="s">
        <v>410</v>
      </c>
      <c r="Z33" s="673"/>
      <c r="AA33" s="391">
        <f t="shared" si="5"/>
        <v>10</v>
      </c>
      <c r="AB33" s="392">
        <f t="shared" si="6"/>
        <v>10</v>
      </c>
    </row>
    <row r="34" ht="39.75" customHeight="1">
      <c r="A34" s="395" t="s">
        <v>142</v>
      </c>
      <c r="B34" s="396" t="s">
        <v>143</v>
      </c>
      <c r="C34" s="678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9"/>
      <c r="AA34" s="529"/>
      <c r="AB34" s="530"/>
    </row>
    <row r="35" ht="39.75" customHeight="1">
      <c r="A35" s="402" t="s">
        <v>144</v>
      </c>
      <c r="B35" s="386" t="s">
        <v>145</v>
      </c>
      <c r="C35" s="680"/>
      <c r="D35" s="671"/>
      <c r="E35" s="672" t="s">
        <v>410</v>
      </c>
      <c r="F35" s="673"/>
      <c r="G35" s="672" t="s">
        <v>410</v>
      </c>
      <c r="H35" s="673"/>
      <c r="I35" s="673" t="s">
        <v>410</v>
      </c>
      <c r="J35" s="673"/>
      <c r="K35" s="673" t="s">
        <v>410</v>
      </c>
      <c r="L35" s="673"/>
      <c r="M35" s="673" t="s">
        <v>410</v>
      </c>
      <c r="N35" s="673"/>
      <c r="O35" s="673" t="s">
        <v>410</v>
      </c>
      <c r="P35" s="673"/>
      <c r="Q35" s="673"/>
      <c r="R35" s="673"/>
      <c r="S35" s="673" t="s">
        <v>410</v>
      </c>
      <c r="T35" s="673"/>
      <c r="U35" s="673" t="s">
        <v>410</v>
      </c>
      <c r="V35" s="673"/>
      <c r="W35" s="673" t="s">
        <v>410</v>
      </c>
      <c r="X35" s="673"/>
      <c r="Y35" s="673" t="s">
        <v>410</v>
      </c>
      <c r="Z35" s="673"/>
      <c r="AA35" s="391">
        <f>COUNTIF(C35:Z35,"&gt;=R")</f>
        <v>10</v>
      </c>
      <c r="AB35" s="392">
        <f>AA35</f>
        <v>10</v>
      </c>
    </row>
    <row r="36" ht="39.75" customHeight="1">
      <c r="A36" s="395" t="s">
        <v>146</v>
      </c>
      <c r="B36" s="396" t="s">
        <v>147</v>
      </c>
      <c r="C36" s="678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9"/>
      <c r="AA36" s="529"/>
      <c r="AB36" s="530"/>
    </row>
    <row r="37" ht="39.75" customHeight="1">
      <c r="A37" s="385" t="s">
        <v>148</v>
      </c>
      <c r="B37" s="386" t="s">
        <v>139</v>
      </c>
      <c r="C37" s="680" t="s">
        <v>57</v>
      </c>
      <c r="D37" s="671"/>
      <c r="E37" s="672" t="s">
        <v>410</v>
      </c>
      <c r="F37" s="673"/>
      <c r="G37" s="672" t="s">
        <v>410</v>
      </c>
      <c r="H37" s="673"/>
      <c r="I37" s="673" t="s">
        <v>410</v>
      </c>
      <c r="J37" s="673"/>
      <c r="K37" s="673" t="s">
        <v>410</v>
      </c>
      <c r="L37" s="673"/>
      <c r="M37" s="673" t="s">
        <v>410</v>
      </c>
      <c r="N37" s="673"/>
      <c r="O37" s="673" t="s">
        <v>410</v>
      </c>
      <c r="P37" s="673"/>
      <c r="Q37" s="673" t="s">
        <v>18</v>
      </c>
      <c r="R37" s="673"/>
      <c r="S37" s="673" t="s">
        <v>410</v>
      </c>
      <c r="T37" s="673"/>
      <c r="U37" s="673" t="s">
        <v>410</v>
      </c>
      <c r="V37" s="673"/>
      <c r="W37" s="673" t="s">
        <v>410</v>
      </c>
      <c r="X37" s="673"/>
      <c r="Y37" s="673" t="s">
        <v>410</v>
      </c>
      <c r="Z37" s="673"/>
      <c r="AA37" s="391">
        <f t="shared" ref="AA37:AA38" si="7">COUNTIF(C37:Z37,"&gt;=R")</f>
        <v>12</v>
      </c>
      <c r="AB37" s="392">
        <f t="shared" ref="AB37:AB38" si="8">AA37</f>
        <v>12</v>
      </c>
    </row>
    <row r="38" ht="39.75" customHeight="1">
      <c r="A38" s="385" t="s">
        <v>149</v>
      </c>
      <c r="B38" s="386" t="s">
        <v>150</v>
      </c>
      <c r="C38" s="680" t="s">
        <v>57</v>
      </c>
      <c r="D38" s="671"/>
      <c r="E38" s="673" t="s">
        <v>91</v>
      </c>
      <c r="F38" s="673"/>
      <c r="G38" s="673" t="s">
        <v>91</v>
      </c>
      <c r="H38" s="673"/>
      <c r="I38" s="676" t="s">
        <v>91</v>
      </c>
      <c r="J38" s="673"/>
      <c r="K38" s="676" t="s">
        <v>91</v>
      </c>
      <c r="L38" s="673"/>
      <c r="M38" s="676" t="s">
        <v>91</v>
      </c>
      <c r="N38" s="673"/>
      <c r="O38" s="676" t="s">
        <v>91</v>
      </c>
      <c r="P38" s="673"/>
      <c r="Q38" s="673" t="s">
        <v>28</v>
      </c>
      <c r="R38" s="673"/>
      <c r="S38" s="673" t="s">
        <v>91</v>
      </c>
      <c r="T38" s="673"/>
      <c r="U38" s="676" t="s">
        <v>91</v>
      </c>
      <c r="V38" s="673"/>
      <c r="W38" s="676" t="s">
        <v>91</v>
      </c>
      <c r="X38" s="673"/>
      <c r="Y38" s="676" t="s">
        <v>91</v>
      </c>
      <c r="Z38" s="673"/>
      <c r="AA38" s="391">
        <f t="shared" si="7"/>
        <v>12</v>
      </c>
      <c r="AB38" s="392">
        <f t="shared" si="8"/>
        <v>12</v>
      </c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</row>
    <row r="39" ht="39.75" customHeight="1">
      <c r="A39" s="407" t="s">
        <v>151</v>
      </c>
      <c r="B39" s="408" t="s">
        <v>152</v>
      </c>
      <c r="C39" s="670"/>
      <c r="D39" s="671"/>
      <c r="E39" s="673"/>
      <c r="F39" s="673"/>
      <c r="G39" s="673"/>
      <c r="H39" s="673"/>
      <c r="I39" s="673"/>
      <c r="J39" s="673"/>
      <c r="K39" s="673"/>
      <c r="L39" s="673"/>
      <c r="M39" s="676"/>
      <c r="N39" s="673"/>
      <c r="O39" s="673"/>
      <c r="P39" s="673"/>
      <c r="Q39" s="673"/>
      <c r="R39" s="673"/>
      <c r="S39" s="673"/>
      <c r="T39" s="673"/>
      <c r="U39" s="676"/>
      <c r="V39" s="673"/>
      <c r="W39" s="673"/>
      <c r="X39" s="673"/>
      <c r="Y39" s="676"/>
      <c r="Z39" s="673"/>
      <c r="AA39" s="391"/>
      <c r="AB39" s="392"/>
    </row>
    <row r="40" ht="39.75" customHeight="1">
      <c r="A40" s="385" t="s">
        <v>153</v>
      </c>
      <c r="B40" s="386" t="s">
        <v>154</v>
      </c>
      <c r="C40" s="670"/>
      <c r="D40" s="671"/>
      <c r="E40" s="672" t="s">
        <v>93</v>
      </c>
      <c r="F40" s="673"/>
      <c r="G40" s="672" t="s">
        <v>93</v>
      </c>
      <c r="H40" s="673"/>
      <c r="I40" s="672" t="s">
        <v>93</v>
      </c>
      <c r="J40" s="673"/>
      <c r="K40" s="672" t="s">
        <v>93</v>
      </c>
      <c r="L40" s="673"/>
      <c r="M40" s="673" t="s">
        <v>93</v>
      </c>
      <c r="N40" s="673"/>
      <c r="O40" s="673" t="s">
        <v>93</v>
      </c>
      <c r="P40" s="673"/>
      <c r="Q40" s="673"/>
      <c r="R40" s="673"/>
      <c r="S40" s="673" t="s">
        <v>93</v>
      </c>
      <c r="T40" s="673"/>
      <c r="U40" s="673" t="s">
        <v>93</v>
      </c>
      <c r="V40" s="673"/>
      <c r="W40" s="673" t="s">
        <v>93</v>
      </c>
      <c r="X40" s="673"/>
      <c r="Y40" s="673" t="s">
        <v>93</v>
      </c>
      <c r="Z40" s="673"/>
      <c r="AA40" s="391">
        <f t="shared" ref="AA40:AA45" si="9">COUNTIF(C40:Z40,"&gt;=R")</f>
        <v>10</v>
      </c>
      <c r="AB40" s="392">
        <f t="shared" ref="AB40:AB45" si="10">AA40</f>
        <v>10</v>
      </c>
    </row>
    <row r="41" ht="39.75" customHeight="1">
      <c r="A41" s="385" t="s">
        <v>155</v>
      </c>
      <c r="B41" s="386" t="s">
        <v>156</v>
      </c>
      <c r="C41" s="670"/>
      <c r="D41" s="671"/>
      <c r="E41" s="676"/>
      <c r="F41" s="673"/>
      <c r="G41" s="676"/>
      <c r="H41" s="673"/>
      <c r="I41" s="676"/>
      <c r="J41" s="673"/>
      <c r="K41" s="676"/>
      <c r="L41" s="673"/>
      <c r="M41" s="676"/>
      <c r="N41" s="673"/>
      <c r="O41" s="676"/>
      <c r="P41" s="673"/>
      <c r="Q41" s="676"/>
      <c r="R41" s="673"/>
      <c r="S41" s="676"/>
      <c r="T41" s="673"/>
      <c r="U41" s="676"/>
      <c r="V41" s="673"/>
      <c r="W41" s="676"/>
      <c r="X41" s="673"/>
      <c r="Y41" s="676"/>
      <c r="Z41" s="673"/>
      <c r="AA41" s="391">
        <f t="shared" si="9"/>
        <v>0</v>
      </c>
      <c r="AB41" s="392">
        <f t="shared" si="10"/>
        <v>0</v>
      </c>
      <c r="AC41" s="404"/>
      <c r="AD41" s="404"/>
      <c r="AE41" s="404"/>
      <c r="AF41" s="404"/>
      <c r="AG41" s="404"/>
      <c r="AH41" s="404"/>
      <c r="AI41" s="404"/>
      <c r="AJ41" s="404"/>
      <c r="AK41" s="404"/>
      <c r="AL41" s="404"/>
    </row>
    <row r="42" ht="39.75" customHeight="1">
      <c r="A42" s="385" t="s">
        <v>157</v>
      </c>
      <c r="B42" s="386" t="s">
        <v>158</v>
      </c>
      <c r="C42" s="680" t="s">
        <v>77</v>
      </c>
      <c r="D42" s="671"/>
      <c r="E42" s="673" t="s">
        <v>91</v>
      </c>
      <c r="F42" s="673"/>
      <c r="G42" s="673" t="s">
        <v>91</v>
      </c>
      <c r="H42" s="673"/>
      <c r="I42" s="676" t="s">
        <v>91</v>
      </c>
      <c r="J42" s="673"/>
      <c r="K42" s="676" t="s">
        <v>91</v>
      </c>
      <c r="L42" s="673"/>
      <c r="M42" s="676" t="s">
        <v>91</v>
      </c>
      <c r="N42" s="673"/>
      <c r="O42" s="676" t="s">
        <v>91</v>
      </c>
      <c r="P42" s="673"/>
      <c r="Q42" s="673" t="s">
        <v>28</v>
      </c>
      <c r="R42" s="673"/>
      <c r="S42" s="673" t="s">
        <v>91</v>
      </c>
      <c r="T42" s="673"/>
      <c r="U42" s="676" t="s">
        <v>91</v>
      </c>
      <c r="V42" s="673"/>
      <c r="W42" s="676" t="s">
        <v>91</v>
      </c>
      <c r="X42" s="673"/>
      <c r="Y42" s="676" t="s">
        <v>91</v>
      </c>
      <c r="Z42" s="673"/>
      <c r="AA42" s="391">
        <f t="shared" si="9"/>
        <v>12</v>
      </c>
      <c r="AB42" s="392">
        <f t="shared" si="10"/>
        <v>12</v>
      </c>
    </row>
    <row r="43" ht="39.75" customHeight="1">
      <c r="A43" s="385" t="s">
        <v>159</v>
      </c>
      <c r="B43" s="386" t="s">
        <v>160</v>
      </c>
      <c r="C43" s="670" t="s">
        <v>93</v>
      </c>
      <c r="D43" s="671"/>
      <c r="E43" s="673" t="s">
        <v>410</v>
      </c>
      <c r="F43" s="673"/>
      <c r="G43" s="673" t="s">
        <v>410</v>
      </c>
      <c r="H43" s="673"/>
      <c r="I43" s="673" t="s">
        <v>410</v>
      </c>
      <c r="J43" s="673"/>
      <c r="K43" s="673" t="s">
        <v>410</v>
      </c>
      <c r="L43" s="673"/>
      <c r="M43" s="673" t="s">
        <v>83</v>
      </c>
      <c r="N43" s="673"/>
      <c r="O43" s="673" t="s">
        <v>410</v>
      </c>
      <c r="P43" s="673"/>
      <c r="Q43" s="673" t="s">
        <v>68</v>
      </c>
      <c r="R43" s="673"/>
      <c r="S43" s="673" t="s">
        <v>410</v>
      </c>
      <c r="T43" s="673"/>
      <c r="U43" s="673" t="s">
        <v>37</v>
      </c>
      <c r="V43" s="673"/>
      <c r="W43" s="673" t="s">
        <v>37</v>
      </c>
      <c r="X43" s="673"/>
      <c r="Y43" s="673" t="s">
        <v>410</v>
      </c>
      <c r="Z43" s="673"/>
      <c r="AA43" s="391">
        <f t="shared" si="9"/>
        <v>12</v>
      </c>
      <c r="AB43" s="392">
        <f t="shared" si="10"/>
        <v>12</v>
      </c>
      <c r="AC43" s="404"/>
      <c r="AD43" s="404"/>
      <c r="AE43" s="404"/>
      <c r="AF43" s="404"/>
      <c r="AG43" s="404"/>
      <c r="AH43" s="404"/>
      <c r="AI43" s="404"/>
      <c r="AJ43" s="404"/>
      <c r="AK43" s="404"/>
      <c r="AL43" s="404"/>
    </row>
    <row r="44" ht="39.75" customHeight="1">
      <c r="A44" s="385" t="s">
        <v>161</v>
      </c>
      <c r="B44" s="386" t="s">
        <v>162</v>
      </c>
      <c r="C44" s="670" t="s">
        <v>57</v>
      </c>
      <c r="D44" s="671"/>
      <c r="E44" s="673" t="s">
        <v>37</v>
      </c>
      <c r="F44" s="673"/>
      <c r="G44" s="673" t="s">
        <v>83</v>
      </c>
      <c r="H44" s="673"/>
      <c r="I44" s="673" t="s">
        <v>37</v>
      </c>
      <c r="J44" s="673"/>
      <c r="K44" s="673" t="s">
        <v>37</v>
      </c>
      <c r="L44" s="673"/>
      <c r="M44" s="673" t="s">
        <v>83</v>
      </c>
      <c r="N44" s="673"/>
      <c r="O44" s="673" t="s">
        <v>37</v>
      </c>
      <c r="P44" s="673"/>
      <c r="Q44" s="673" t="s">
        <v>57</v>
      </c>
      <c r="R44" s="673"/>
      <c r="S44" s="673" t="s">
        <v>37</v>
      </c>
      <c r="T44" s="673"/>
      <c r="U44" s="673" t="s">
        <v>84</v>
      </c>
      <c r="V44" s="673"/>
      <c r="W44" s="673" t="s">
        <v>37</v>
      </c>
      <c r="X44" s="673"/>
      <c r="Y44" s="673" t="s">
        <v>37</v>
      </c>
      <c r="Z44" s="673"/>
      <c r="AA44" s="391">
        <f t="shared" si="9"/>
        <v>12</v>
      </c>
      <c r="AB44" s="392">
        <f t="shared" si="10"/>
        <v>12</v>
      </c>
    </row>
    <row r="45" ht="39.75" customHeight="1">
      <c r="A45" s="385" t="s">
        <v>163</v>
      </c>
      <c r="B45" s="386" t="s">
        <v>164</v>
      </c>
      <c r="C45" s="670" t="s">
        <v>57</v>
      </c>
      <c r="D45" s="671"/>
      <c r="E45" s="676" t="s">
        <v>83</v>
      </c>
      <c r="F45" s="673"/>
      <c r="G45" s="673" t="s">
        <v>83</v>
      </c>
      <c r="H45" s="673"/>
      <c r="I45" s="673" t="s">
        <v>83</v>
      </c>
      <c r="J45" s="673"/>
      <c r="K45" s="673" t="s">
        <v>83</v>
      </c>
      <c r="L45" s="673"/>
      <c r="M45" s="676" t="s">
        <v>83</v>
      </c>
      <c r="N45" s="673"/>
      <c r="O45" s="673" t="s">
        <v>83</v>
      </c>
      <c r="P45" s="673"/>
      <c r="Q45" s="673" t="s">
        <v>57</v>
      </c>
      <c r="R45" s="673"/>
      <c r="S45" s="673" t="s">
        <v>410</v>
      </c>
      <c r="T45" s="673"/>
      <c r="U45" s="673" t="s">
        <v>410</v>
      </c>
      <c r="V45" s="673"/>
      <c r="W45" s="673" t="s">
        <v>410</v>
      </c>
      <c r="X45" s="673"/>
      <c r="Y45" s="673" t="s">
        <v>83</v>
      </c>
      <c r="Z45" s="673"/>
      <c r="AA45" s="391">
        <f t="shared" si="9"/>
        <v>12</v>
      </c>
      <c r="AB45" s="392">
        <f t="shared" si="10"/>
        <v>12</v>
      </c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</row>
    <row r="46" ht="39.75" customHeight="1">
      <c r="A46" s="378" t="s">
        <v>165</v>
      </c>
      <c r="B46" s="379" t="s">
        <v>166</v>
      </c>
      <c r="C46" s="678"/>
      <c r="D46" s="677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  <c r="AA46" s="529"/>
      <c r="AB46" s="530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</row>
    <row r="47" ht="39.75" customHeight="1">
      <c r="A47" s="409" t="s">
        <v>167</v>
      </c>
      <c r="B47" s="410" t="s">
        <v>168</v>
      </c>
      <c r="C47" s="670"/>
      <c r="D47" s="671"/>
      <c r="E47" s="673"/>
      <c r="F47" s="673"/>
      <c r="G47" s="676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6"/>
      <c r="X47" s="673"/>
      <c r="Y47" s="676"/>
      <c r="Z47" s="673"/>
      <c r="AA47" s="391">
        <f t="shared" ref="AA47:AA54" si="11">COUNTIF(C47:Z47,"&gt;=R")</f>
        <v>0</v>
      </c>
      <c r="AB47" s="392">
        <f t="shared" ref="AB47:AB54" si="12">AA47</f>
        <v>0</v>
      </c>
    </row>
    <row r="48" ht="39.75" customHeight="1">
      <c r="A48" s="411" t="s">
        <v>169</v>
      </c>
      <c r="B48" s="412" t="s">
        <v>170</v>
      </c>
      <c r="C48" s="670" t="s">
        <v>57</v>
      </c>
      <c r="D48" s="671"/>
      <c r="E48" s="673" t="s">
        <v>410</v>
      </c>
      <c r="F48" s="673"/>
      <c r="G48" s="673" t="s">
        <v>410</v>
      </c>
      <c r="H48" s="673"/>
      <c r="I48" s="673" t="s">
        <v>410</v>
      </c>
      <c r="J48" s="673"/>
      <c r="K48" s="673" t="s">
        <v>410</v>
      </c>
      <c r="L48" s="673"/>
      <c r="M48" s="673" t="s">
        <v>410</v>
      </c>
      <c r="N48" s="673"/>
      <c r="O48" s="673" t="s">
        <v>410</v>
      </c>
      <c r="P48" s="673"/>
      <c r="Q48" s="673" t="s">
        <v>57</v>
      </c>
      <c r="R48" s="673"/>
      <c r="S48" s="673" t="s">
        <v>410</v>
      </c>
      <c r="T48" s="673"/>
      <c r="U48" s="673" t="s">
        <v>410</v>
      </c>
      <c r="V48" s="673"/>
      <c r="W48" s="673" t="s">
        <v>410</v>
      </c>
      <c r="X48" s="673"/>
      <c r="Y48" s="673" t="s">
        <v>410</v>
      </c>
      <c r="Z48" s="673"/>
      <c r="AA48" s="391">
        <f t="shared" si="11"/>
        <v>12</v>
      </c>
      <c r="AB48" s="392">
        <f t="shared" si="12"/>
        <v>12</v>
      </c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</row>
    <row r="49" ht="39.75" customHeight="1">
      <c r="A49" s="411" t="s">
        <v>171</v>
      </c>
      <c r="B49" s="412" t="s">
        <v>172</v>
      </c>
      <c r="C49" s="670"/>
      <c r="D49" s="671"/>
      <c r="E49" s="672" t="s">
        <v>28</v>
      </c>
      <c r="F49" s="673"/>
      <c r="G49" s="672" t="s">
        <v>28</v>
      </c>
      <c r="H49" s="673"/>
      <c r="I49" s="672" t="s">
        <v>28</v>
      </c>
      <c r="J49" s="673"/>
      <c r="K49" s="672" t="s">
        <v>28</v>
      </c>
      <c r="L49" s="673"/>
      <c r="M49" s="672" t="s">
        <v>28</v>
      </c>
      <c r="N49" s="673"/>
      <c r="O49" s="672" t="s">
        <v>28</v>
      </c>
      <c r="P49" s="673"/>
      <c r="Q49" s="672"/>
      <c r="R49" s="673"/>
      <c r="S49" s="673" t="s">
        <v>28</v>
      </c>
      <c r="T49" s="673"/>
      <c r="U49" s="673" t="s">
        <v>28</v>
      </c>
      <c r="V49" s="673"/>
      <c r="W49" s="673" t="s">
        <v>28</v>
      </c>
      <c r="X49" s="673"/>
      <c r="Y49" s="673" t="s">
        <v>28</v>
      </c>
      <c r="Z49" s="673"/>
      <c r="AA49" s="391">
        <f t="shared" si="11"/>
        <v>10</v>
      </c>
      <c r="AB49" s="392">
        <f t="shared" si="12"/>
        <v>10</v>
      </c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</row>
    <row r="50" ht="39.75" customHeight="1">
      <c r="A50" s="414" t="s">
        <v>173</v>
      </c>
      <c r="B50" s="415" t="s">
        <v>174</v>
      </c>
      <c r="C50" s="670"/>
      <c r="D50" s="671"/>
      <c r="E50" s="673"/>
      <c r="F50" s="673"/>
      <c r="G50" s="676"/>
      <c r="H50" s="673"/>
      <c r="I50" s="676"/>
      <c r="J50" s="673"/>
      <c r="K50" s="676"/>
      <c r="L50" s="673"/>
      <c r="M50" s="673"/>
      <c r="N50" s="673"/>
      <c r="O50" s="673"/>
      <c r="P50" s="673"/>
      <c r="Q50" s="673"/>
      <c r="R50" s="673"/>
      <c r="S50" s="673"/>
      <c r="T50" s="673"/>
      <c r="U50" s="673"/>
      <c r="V50" s="673"/>
      <c r="W50" s="673"/>
      <c r="X50" s="673"/>
      <c r="Y50" s="676"/>
      <c r="Z50" s="673"/>
      <c r="AA50" s="391">
        <f t="shared" si="11"/>
        <v>0</v>
      </c>
      <c r="AB50" s="392">
        <f t="shared" si="12"/>
        <v>0</v>
      </c>
    </row>
    <row r="51" ht="39.75" customHeight="1">
      <c r="A51" s="411" t="s">
        <v>175</v>
      </c>
      <c r="B51" s="412" t="s">
        <v>176</v>
      </c>
      <c r="C51" s="670"/>
      <c r="D51" s="671"/>
      <c r="E51" s="681" t="s">
        <v>8</v>
      </c>
      <c r="F51" s="673"/>
      <c r="G51" s="682" t="s">
        <v>8</v>
      </c>
      <c r="H51" s="673"/>
      <c r="I51" s="682" t="s">
        <v>8</v>
      </c>
      <c r="J51" s="673"/>
      <c r="K51" s="682" t="s">
        <v>8</v>
      </c>
      <c r="L51" s="673"/>
      <c r="M51" s="682" t="s">
        <v>8</v>
      </c>
      <c r="N51" s="673"/>
      <c r="O51" s="682" t="s">
        <v>8</v>
      </c>
      <c r="P51" s="673"/>
      <c r="Q51" s="673"/>
      <c r="R51" s="673"/>
      <c r="S51" s="673"/>
      <c r="T51" s="673"/>
      <c r="U51" s="676"/>
      <c r="V51" s="673"/>
      <c r="W51" s="683" t="s">
        <v>8</v>
      </c>
      <c r="X51" s="673"/>
      <c r="Y51" s="683" t="s">
        <v>8</v>
      </c>
      <c r="Z51" s="673"/>
      <c r="AA51" s="391">
        <f t="shared" si="11"/>
        <v>8</v>
      </c>
      <c r="AB51" s="392">
        <f t="shared" si="12"/>
        <v>8</v>
      </c>
    </row>
    <row r="52" ht="39.75" customHeight="1">
      <c r="A52" s="411" t="s">
        <v>177</v>
      </c>
      <c r="B52" s="412" t="s">
        <v>178</v>
      </c>
      <c r="C52" s="670"/>
      <c r="D52" s="671"/>
      <c r="E52" s="673" t="s">
        <v>57</v>
      </c>
      <c r="F52" s="673"/>
      <c r="G52" s="673" t="s">
        <v>57</v>
      </c>
      <c r="H52" s="673"/>
      <c r="I52" s="673" t="s">
        <v>57</v>
      </c>
      <c r="J52" s="673"/>
      <c r="K52" s="673" t="s">
        <v>57</v>
      </c>
      <c r="L52" s="673"/>
      <c r="M52" s="673" t="s">
        <v>57</v>
      </c>
      <c r="N52" s="673"/>
      <c r="O52" s="673" t="s">
        <v>57</v>
      </c>
      <c r="P52" s="673"/>
      <c r="Q52" s="673"/>
      <c r="R52" s="673"/>
      <c r="S52" s="673"/>
      <c r="T52" s="673"/>
      <c r="U52" s="673"/>
      <c r="V52" s="673"/>
      <c r="W52" s="673" t="s">
        <v>57</v>
      </c>
      <c r="X52" s="673"/>
      <c r="Y52" s="673" t="s">
        <v>57</v>
      </c>
      <c r="Z52" s="673"/>
      <c r="AA52" s="391">
        <f t="shared" si="11"/>
        <v>8</v>
      </c>
      <c r="AB52" s="392">
        <f t="shared" si="12"/>
        <v>8</v>
      </c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</row>
    <row r="53" ht="39.75" customHeight="1">
      <c r="A53" s="414" t="s">
        <v>179</v>
      </c>
      <c r="B53" s="415" t="s">
        <v>180</v>
      </c>
      <c r="C53" s="670"/>
      <c r="D53" s="671"/>
      <c r="E53" s="673"/>
      <c r="F53" s="673"/>
      <c r="G53" s="673"/>
      <c r="H53" s="673"/>
      <c r="I53" s="673"/>
      <c r="J53" s="673"/>
      <c r="K53" s="673"/>
      <c r="L53" s="673"/>
      <c r="M53" s="673"/>
      <c r="N53" s="673"/>
      <c r="O53" s="673"/>
      <c r="P53" s="673"/>
      <c r="Q53" s="673"/>
      <c r="R53" s="673"/>
      <c r="S53" s="673"/>
      <c r="T53" s="673"/>
      <c r="U53" s="673"/>
      <c r="V53" s="673"/>
      <c r="W53" s="676"/>
      <c r="X53" s="673"/>
      <c r="Y53" s="676"/>
      <c r="Z53" s="673"/>
      <c r="AA53" s="391">
        <f t="shared" si="11"/>
        <v>0</v>
      </c>
      <c r="AB53" s="392">
        <f t="shared" si="12"/>
        <v>0</v>
      </c>
    </row>
    <row r="54" ht="39.75" customHeight="1">
      <c r="A54" s="404" t="s">
        <v>181</v>
      </c>
      <c r="B54" s="405" t="s">
        <v>182</v>
      </c>
      <c r="C54" s="670"/>
      <c r="D54" s="671"/>
      <c r="E54" s="681" t="s">
        <v>8</v>
      </c>
      <c r="F54" s="673"/>
      <c r="G54" s="672" t="s">
        <v>18</v>
      </c>
      <c r="H54" s="673"/>
      <c r="I54" s="672" t="s">
        <v>18</v>
      </c>
      <c r="J54" s="673"/>
      <c r="K54" s="673" t="s">
        <v>18</v>
      </c>
      <c r="L54" s="673"/>
      <c r="M54" s="682" t="s">
        <v>8</v>
      </c>
      <c r="N54" s="673"/>
      <c r="O54" s="682" t="s">
        <v>8</v>
      </c>
      <c r="P54" s="673"/>
      <c r="Q54" s="673"/>
      <c r="R54" s="673"/>
      <c r="S54" s="672"/>
      <c r="T54" s="673"/>
      <c r="U54" s="672"/>
      <c r="V54" s="673"/>
      <c r="W54" s="681" t="s">
        <v>8</v>
      </c>
      <c r="X54" s="673"/>
      <c r="Y54" s="681" t="s">
        <v>8</v>
      </c>
      <c r="Z54" s="673"/>
      <c r="AA54" s="391">
        <f t="shared" si="11"/>
        <v>8</v>
      </c>
      <c r="AB54" s="392">
        <f t="shared" si="12"/>
        <v>8</v>
      </c>
    </row>
    <row r="55" ht="39.75" customHeight="1">
      <c r="A55" s="395" t="s">
        <v>183</v>
      </c>
      <c r="B55" s="396" t="s">
        <v>184</v>
      </c>
      <c r="C55" s="678"/>
      <c r="D55" s="677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679"/>
      <c r="X55" s="679"/>
      <c r="Y55" s="679"/>
      <c r="Z55" s="679"/>
      <c r="AA55" s="529"/>
      <c r="AB55" s="530"/>
      <c r="AC55" s="404"/>
      <c r="AD55" s="404"/>
      <c r="AE55" s="404"/>
      <c r="AF55" s="404"/>
      <c r="AG55" s="404"/>
      <c r="AH55" s="404"/>
      <c r="AI55" s="404"/>
      <c r="AJ55" s="404"/>
      <c r="AK55" s="404"/>
      <c r="AL55" s="404"/>
    </row>
    <row r="56" ht="39.75" customHeight="1">
      <c r="A56" s="385" t="s">
        <v>185</v>
      </c>
      <c r="B56" s="386" t="s">
        <v>186</v>
      </c>
      <c r="C56" s="670"/>
      <c r="D56" s="671"/>
      <c r="E56" s="673" t="s">
        <v>76</v>
      </c>
      <c r="F56" s="673"/>
      <c r="G56" s="673" t="s">
        <v>76</v>
      </c>
      <c r="H56" s="673"/>
      <c r="I56" s="673" t="s">
        <v>84</v>
      </c>
      <c r="J56" s="673"/>
      <c r="K56" s="673" t="s">
        <v>92</v>
      </c>
      <c r="L56" s="673"/>
      <c r="M56" s="673" t="s">
        <v>92</v>
      </c>
      <c r="N56" s="673"/>
      <c r="O56" s="673" t="s">
        <v>92</v>
      </c>
      <c r="P56" s="673"/>
      <c r="Q56" s="673"/>
      <c r="R56" s="673"/>
      <c r="S56" s="673" t="s">
        <v>84</v>
      </c>
      <c r="T56" s="673"/>
      <c r="U56" s="673" t="s">
        <v>84</v>
      </c>
      <c r="V56" s="673"/>
      <c r="W56" s="673" t="s">
        <v>84</v>
      </c>
      <c r="X56" s="673"/>
      <c r="Y56" s="673" t="s">
        <v>84</v>
      </c>
      <c r="Z56" s="673"/>
      <c r="AA56" s="391">
        <f t="shared" ref="AA56:AA59" si="13">COUNTIF(C56:Z56,"&gt;=R")</f>
        <v>10</v>
      </c>
      <c r="AB56" s="392">
        <f t="shared" ref="AB56:AB59" si="14">AA56</f>
        <v>10</v>
      </c>
      <c r="AC56" s="404"/>
      <c r="AD56" s="404"/>
      <c r="AE56" s="404"/>
      <c r="AF56" s="404"/>
      <c r="AG56" s="404"/>
      <c r="AH56" s="404"/>
      <c r="AI56" s="404"/>
      <c r="AJ56" s="404"/>
      <c r="AK56" s="404"/>
      <c r="AL56" s="404"/>
    </row>
    <row r="57" ht="39.75" customHeight="1">
      <c r="A57" s="385" t="s">
        <v>187</v>
      </c>
      <c r="B57" s="386" t="s">
        <v>188</v>
      </c>
      <c r="C57" s="670"/>
      <c r="D57" s="671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391">
        <f t="shared" si="13"/>
        <v>0</v>
      </c>
      <c r="AB57" s="392">
        <f t="shared" si="14"/>
        <v>0</v>
      </c>
      <c r="AC57" s="404"/>
      <c r="AD57" s="404"/>
      <c r="AE57" s="404"/>
      <c r="AF57" s="404"/>
      <c r="AG57" s="404"/>
      <c r="AH57" s="404"/>
      <c r="AI57" s="404"/>
      <c r="AJ57" s="404"/>
      <c r="AK57" s="404"/>
      <c r="AL57" s="404"/>
    </row>
    <row r="58" ht="39.75" customHeight="1">
      <c r="A58" s="385" t="s">
        <v>189</v>
      </c>
      <c r="B58" s="386" t="s">
        <v>190</v>
      </c>
      <c r="C58" s="680"/>
      <c r="D58" s="671"/>
      <c r="E58" s="673" t="s">
        <v>76</v>
      </c>
      <c r="F58" s="673"/>
      <c r="G58" s="673" t="s">
        <v>76</v>
      </c>
      <c r="H58" s="673"/>
      <c r="I58" s="673" t="s">
        <v>67</v>
      </c>
      <c r="J58" s="673"/>
      <c r="K58" s="673" t="s">
        <v>76</v>
      </c>
      <c r="L58" s="673"/>
      <c r="M58" s="673" t="s">
        <v>76</v>
      </c>
      <c r="N58" s="673"/>
      <c r="O58" s="673" t="s">
        <v>84</v>
      </c>
      <c r="P58" s="673"/>
      <c r="Q58" s="673"/>
      <c r="R58" s="673"/>
      <c r="S58" s="673"/>
      <c r="T58" s="673"/>
      <c r="U58" s="673"/>
      <c r="V58" s="673"/>
      <c r="W58" s="673" t="s">
        <v>76</v>
      </c>
      <c r="X58" s="673"/>
      <c r="Y58" s="673" t="s">
        <v>76</v>
      </c>
      <c r="Z58" s="673"/>
      <c r="AA58" s="391">
        <f t="shared" si="13"/>
        <v>8</v>
      </c>
      <c r="AB58" s="392">
        <f t="shared" si="14"/>
        <v>8</v>
      </c>
    </row>
    <row r="59" ht="39.75" customHeight="1">
      <c r="A59" s="385" t="s">
        <v>191</v>
      </c>
      <c r="B59" s="386" t="s">
        <v>192</v>
      </c>
      <c r="C59" s="680"/>
      <c r="D59" s="671"/>
      <c r="E59" s="673"/>
      <c r="F59" s="673"/>
      <c r="G59" s="673"/>
      <c r="H59" s="673"/>
      <c r="I59" s="673"/>
      <c r="J59" s="673"/>
      <c r="K59" s="673"/>
      <c r="L59" s="673"/>
      <c r="M59" s="673"/>
      <c r="N59" s="673"/>
      <c r="O59" s="673"/>
      <c r="P59" s="673"/>
      <c r="Q59" s="673"/>
      <c r="R59" s="673"/>
      <c r="S59" s="673"/>
      <c r="T59" s="673"/>
      <c r="U59" s="673"/>
      <c r="V59" s="673"/>
      <c r="W59" s="676" t="s">
        <v>76</v>
      </c>
      <c r="X59" s="673"/>
      <c r="Y59" s="676"/>
      <c r="Z59" s="673"/>
      <c r="AA59" s="391">
        <f t="shared" si="13"/>
        <v>1</v>
      </c>
      <c r="AB59" s="392">
        <f t="shared" si="14"/>
        <v>1</v>
      </c>
      <c r="AC59" s="404"/>
      <c r="AD59" s="404"/>
      <c r="AE59" s="404"/>
      <c r="AF59" s="404"/>
      <c r="AG59" s="404"/>
      <c r="AH59" s="404"/>
      <c r="AI59" s="404"/>
      <c r="AJ59" s="404"/>
      <c r="AK59" s="404"/>
      <c r="AL59" s="404"/>
    </row>
    <row r="60" ht="39.75" customHeight="1">
      <c r="A60" s="395" t="s">
        <v>193</v>
      </c>
      <c r="B60" s="396" t="s">
        <v>194</v>
      </c>
      <c r="C60" s="678"/>
      <c r="D60" s="677"/>
      <c r="E60" s="679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679"/>
      <c r="X60" s="679"/>
      <c r="Y60" s="679"/>
      <c r="Z60" s="679"/>
      <c r="AA60" s="529"/>
      <c r="AB60" s="530"/>
      <c r="AC60" s="404"/>
      <c r="AD60" s="404"/>
      <c r="AE60" s="404"/>
      <c r="AF60" s="404"/>
      <c r="AG60" s="404"/>
      <c r="AH60" s="404"/>
      <c r="AI60" s="404"/>
      <c r="AJ60" s="404"/>
      <c r="AK60" s="404"/>
      <c r="AL60" s="404"/>
    </row>
    <row r="61" ht="39.75" customHeight="1">
      <c r="A61" s="414" t="s">
        <v>195</v>
      </c>
      <c r="B61" s="415" t="s">
        <v>196</v>
      </c>
      <c r="C61" s="670"/>
      <c r="D61" s="671"/>
      <c r="E61" s="673"/>
      <c r="F61" s="673"/>
      <c r="G61" s="676"/>
      <c r="H61" s="673"/>
      <c r="I61" s="676"/>
      <c r="J61" s="673"/>
      <c r="K61" s="673"/>
      <c r="L61" s="673"/>
      <c r="M61" s="673"/>
      <c r="N61" s="673"/>
      <c r="O61" s="673"/>
      <c r="P61" s="673"/>
      <c r="Q61" s="673"/>
      <c r="R61" s="673"/>
      <c r="S61" s="673"/>
      <c r="T61" s="673"/>
      <c r="U61" s="673"/>
      <c r="V61" s="673"/>
      <c r="W61" s="676"/>
      <c r="X61" s="673"/>
      <c r="Y61" s="676"/>
      <c r="Z61" s="673"/>
      <c r="AA61" s="391">
        <f t="shared" ref="AA61:AA62" si="15">COUNTIF(C61:Z61,"&gt;=R")</f>
        <v>0</v>
      </c>
      <c r="AB61" s="392">
        <f t="shared" ref="AB61:AB62" si="16">AA61</f>
        <v>0</v>
      </c>
    </row>
    <row r="62" ht="39.75" customHeight="1">
      <c r="A62" s="411" t="s">
        <v>197</v>
      </c>
      <c r="B62" s="412" t="s">
        <v>139</v>
      </c>
      <c r="C62" s="670"/>
      <c r="D62" s="671"/>
      <c r="E62" s="673" t="s">
        <v>67</v>
      </c>
      <c r="F62" s="673"/>
      <c r="G62" s="673" t="s">
        <v>67</v>
      </c>
      <c r="H62" s="673"/>
      <c r="I62" s="673" t="s">
        <v>67</v>
      </c>
      <c r="J62" s="673"/>
      <c r="K62" s="673" t="s">
        <v>67</v>
      </c>
      <c r="L62" s="673"/>
      <c r="M62" s="673" t="s">
        <v>67</v>
      </c>
      <c r="N62" s="673"/>
      <c r="O62" s="673" t="s">
        <v>67</v>
      </c>
      <c r="P62" s="673"/>
      <c r="Q62" s="673"/>
      <c r="R62" s="673"/>
      <c r="S62" s="673" t="s">
        <v>67</v>
      </c>
      <c r="T62" s="673"/>
      <c r="U62" s="673" t="s">
        <v>67</v>
      </c>
      <c r="V62" s="673"/>
      <c r="W62" s="673" t="s">
        <v>67</v>
      </c>
      <c r="X62" s="673"/>
      <c r="Y62" s="673" t="s">
        <v>67</v>
      </c>
      <c r="Z62" s="673"/>
      <c r="AA62" s="391">
        <f t="shared" si="15"/>
        <v>10</v>
      </c>
      <c r="AB62" s="392">
        <f t="shared" si="16"/>
        <v>10</v>
      </c>
      <c r="AC62" s="404"/>
      <c r="AD62" s="404"/>
      <c r="AE62" s="404"/>
      <c r="AF62" s="404"/>
      <c r="AG62" s="404"/>
      <c r="AH62" s="404"/>
      <c r="AI62" s="404"/>
      <c r="AJ62" s="404"/>
      <c r="AK62" s="404"/>
      <c r="AL62" s="404"/>
    </row>
    <row r="63" ht="39.75" customHeight="1">
      <c r="A63" s="414" t="s">
        <v>198</v>
      </c>
      <c r="B63" s="415" t="s">
        <v>199</v>
      </c>
      <c r="C63" s="670"/>
      <c r="D63" s="671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3"/>
      <c r="P63" s="673"/>
      <c r="Q63" s="673"/>
      <c r="R63" s="673"/>
      <c r="S63" s="673"/>
      <c r="T63" s="673"/>
      <c r="U63" s="673"/>
      <c r="V63" s="673"/>
      <c r="W63" s="673"/>
      <c r="X63" s="673"/>
      <c r="Y63" s="673"/>
      <c r="Z63" s="673"/>
      <c r="AA63" s="391"/>
      <c r="AB63" s="392"/>
      <c r="AC63" s="404"/>
      <c r="AD63" s="404"/>
      <c r="AE63" s="404"/>
      <c r="AF63" s="404"/>
      <c r="AG63" s="404"/>
      <c r="AH63" s="404"/>
      <c r="AI63" s="404"/>
      <c r="AJ63" s="404"/>
      <c r="AK63" s="404"/>
      <c r="AL63" s="404"/>
    </row>
    <row r="64" ht="39.75" customHeight="1">
      <c r="A64" s="411" t="s">
        <v>200</v>
      </c>
      <c r="B64" s="412" t="s">
        <v>176</v>
      </c>
      <c r="C64" s="670"/>
      <c r="D64" s="671"/>
      <c r="E64" s="672"/>
      <c r="F64" s="673"/>
      <c r="G64" s="676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6"/>
      <c r="V64" s="673"/>
      <c r="W64" s="676"/>
      <c r="X64" s="673"/>
      <c r="Y64" s="676"/>
      <c r="Z64" s="673"/>
      <c r="AA64" s="391">
        <f>COUNTIF(C64:Z64,"&gt;=R")</f>
        <v>0</v>
      </c>
      <c r="AB64" s="392">
        <f>AA64</f>
        <v>0</v>
      </c>
    </row>
    <row r="65" ht="39.75" customHeight="1">
      <c r="A65" s="414" t="s">
        <v>201</v>
      </c>
      <c r="B65" s="415" t="s">
        <v>202</v>
      </c>
      <c r="C65" s="670"/>
      <c r="D65" s="671"/>
      <c r="E65" s="673"/>
      <c r="F65" s="673"/>
      <c r="G65" s="676"/>
      <c r="H65" s="673"/>
      <c r="I65" s="676"/>
      <c r="J65" s="673"/>
      <c r="K65" s="673"/>
      <c r="L65" s="673"/>
      <c r="M65" s="673"/>
      <c r="N65" s="673"/>
      <c r="O65" s="673"/>
      <c r="P65" s="673"/>
      <c r="Q65" s="673"/>
      <c r="R65" s="673"/>
      <c r="S65" s="673"/>
      <c r="T65" s="673"/>
      <c r="U65" s="673"/>
      <c r="V65" s="673"/>
      <c r="W65" s="673"/>
      <c r="X65" s="673"/>
      <c r="Y65" s="673"/>
      <c r="Z65" s="673"/>
      <c r="AA65" s="391"/>
      <c r="AB65" s="392"/>
    </row>
    <row r="66" ht="39.75" customHeight="1">
      <c r="A66" s="411" t="s">
        <v>203</v>
      </c>
      <c r="B66" s="412" t="s">
        <v>204</v>
      </c>
      <c r="C66" s="670"/>
      <c r="D66" s="671"/>
      <c r="E66" s="673" t="s">
        <v>84</v>
      </c>
      <c r="F66" s="673"/>
      <c r="G66" s="673"/>
      <c r="H66" s="673"/>
      <c r="I66" s="673"/>
      <c r="J66" s="673"/>
      <c r="K66" s="673"/>
      <c r="L66" s="673"/>
      <c r="M66" s="673"/>
      <c r="N66" s="673"/>
      <c r="O66" s="673"/>
      <c r="P66" s="673"/>
      <c r="Q66" s="676"/>
      <c r="R66" s="673"/>
      <c r="S66" s="676"/>
      <c r="T66" s="673"/>
      <c r="U66" s="676"/>
      <c r="V66" s="673"/>
      <c r="W66" s="676"/>
      <c r="X66" s="673"/>
      <c r="Y66" s="676"/>
      <c r="Z66" s="673"/>
      <c r="AA66" s="391">
        <f>COUNTIF(C66:Z66,"&gt;=R")</f>
        <v>1</v>
      </c>
      <c r="AB66" s="392">
        <f>AA66</f>
        <v>1</v>
      </c>
    </row>
    <row r="67" ht="39.75" customHeight="1">
      <c r="A67" s="395" t="s">
        <v>205</v>
      </c>
      <c r="B67" s="396" t="s">
        <v>206</v>
      </c>
      <c r="C67" s="678"/>
      <c r="D67" s="677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  <c r="AA67" s="529"/>
      <c r="AB67" s="530"/>
      <c r="AC67" s="404"/>
      <c r="AD67" s="404"/>
      <c r="AE67" s="404"/>
      <c r="AF67" s="404"/>
      <c r="AG67" s="404"/>
      <c r="AH67" s="404"/>
      <c r="AI67" s="404"/>
      <c r="AJ67" s="404"/>
      <c r="AK67" s="404"/>
      <c r="AL67" s="404"/>
    </row>
    <row r="68" ht="39.75" customHeight="1">
      <c r="A68" s="385" t="s">
        <v>207</v>
      </c>
      <c r="B68" s="386" t="s">
        <v>208</v>
      </c>
      <c r="C68" s="680"/>
      <c r="D68" s="671"/>
      <c r="E68" s="673" t="s">
        <v>76</v>
      </c>
      <c r="F68" s="673"/>
      <c r="G68" s="673" t="s">
        <v>76</v>
      </c>
      <c r="H68" s="673"/>
      <c r="I68" s="673" t="s">
        <v>67</v>
      </c>
      <c r="J68" s="673"/>
      <c r="K68" s="673" t="s">
        <v>76</v>
      </c>
      <c r="L68" s="673"/>
      <c r="M68" s="673" t="s">
        <v>76</v>
      </c>
      <c r="N68" s="673"/>
      <c r="O68" s="673" t="s">
        <v>84</v>
      </c>
      <c r="P68" s="673"/>
      <c r="Q68" s="673"/>
      <c r="R68" s="673"/>
      <c r="S68" s="673"/>
      <c r="T68" s="673"/>
      <c r="U68" s="673"/>
      <c r="V68" s="673"/>
      <c r="W68" s="673" t="s">
        <v>76</v>
      </c>
      <c r="X68" s="673"/>
      <c r="Y68" s="673" t="s">
        <v>76</v>
      </c>
      <c r="Z68" s="673"/>
      <c r="AA68" s="391">
        <f>COUNTIF(C68:Z68,"&gt;=R")</f>
        <v>8</v>
      </c>
      <c r="AB68" s="392">
        <f>AA68</f>
        <v>8</v>
      </c>
    </row>
    <row r="69" ht="39.75" customHeight="1">
      <c r="A69" s="395" t="s">
        <v>209</v>
      </c>
      <c r="B69" s="396" t="s">
        <v>210</v>
      </c>
      <c r="C69" s="678"/>
      <c r="D69" s="677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79"/>
      <c r="AB69" s="530"/>
    </row>
    <row r="70" ht="39.75" customHeight="1">
      <c r="A70" s="385" t="s">
        <v>211</v>
      </c>
      <c r="B70" s="386" t="s">
        <v>212</v>
      </c>
      <c r="C70" s="670"/>
      <c r="D70" s="671"/>
      <c r="E70" s="673" t="s">
        <v>68</v>
      </c>
      <c r="F70" s="673"/>
      <c r="G70" s="673" t="s">
        <v>57</v>
      </c>
      <c r="H70" s="673"/>
      <c r="I70" s="673" t="s">
        <v>57</v>
      </c>
      <c r="J70" s="673"/>
      <c r="K70" s="673" t="s">
        <v>48</v>
      </c>
      <c r="L70" s="673"/>
      <c r="M70" s="673" t="s">
        <v>48</v>
      </c>
      <c r="N70" s="673"/>
      <c r="O70" s="673" t="s">
        <v>48</v>
      </c>
      <c r="P70" s="673"/>
      <c r="Q70" s="673"/>
      <c r="R70" s="673"/>
      <c r="S70" s="673"/>
      <c r="T70" s="673"/>
      <c r="U70" s="673"/>
      <c r="V70" s="673"/>
      <c r="W70" s="673" t="s">
        <v>68</v>
      </c>
      <c r="X70" s="673"/>
      <c r="Y70" s="673" t="s">
        <v>68</v>
      </c>
      <c r="Z70" s="673"/>
      <c r="AA70" s="391">
        <f t="shared" ref="AA70:AA71" si="17">COUNTIF(C70:Z70,"&gt;=R")</f>
        <v>8</v>
      </c>
      <c r="AB70" s="392">
        <f t="shared" ref="AB70:AB71" si="18">AA70</f>
        <v>8</v>
      </c>
    </row>
    <row r="71" ht="39.75" customHeight="1">
      <c r="A71" s="385" t="s">
        <v>213</v>
      </c>
      <c r="B71" s="386" t="s">
        <v>214</v>
      </c>
      <c r="C71" s="670"/>
      <c r="D71" s="671"/>
      <c r="E71" s="676" t="s">
        <v>85</v>
      </c>
      <c r="F71" s="673"/>
      <c r="G71" s="673" t="s">
        <v>85</v>
      </c>
      <c r="H71" s="673"/>
      <c r="I71" s="673" t="s">
        <v>77</v>
      </c>
      <c r="J71" s="673"/>
      <c r="K71" s="673" t="s">
        <v>77</v>
      </c>
      <c r="L71" s="673"/>
      <c r="M71" s="676" t="s">
        <v>77</v>
      </c>
      <c r="N71" s="673"/>
      <c r="O71" s="673" t="s">
        <v>93</v>
      </c>
      <c r="P71" s="673"/>
      <c r="Q71" s="673"/>
      <c r="R71" s="673"/>
      <c r="S71" s="673"/>
      <c r="T71" s="673"/>
      <c r="U71" s="673"/>
      <c r="V71" s="673"/>
      <c r="W71" s="673" t="s">
        <v>85</v>
      </c>
      <c r="X71" s="673"/>
      <c r="Y71" s="673" t="s">
        <v>85</v>
      </c>
      <c r="Z71" s="673"/>
      <c r="AA71" s="391">
        <f t="shared" si="17"/>
        <v>8</v>
      </c>
      <c r="AB71" s="392">
        <f t="shared" si="18"/>
        <v>8</v>
      </c>
    </row>
    <row r="72" ht="39.75" customHeight="1">
      <c r="A72" s="395" t="s">
        <v>215</v>
      </c>
      <c r="B72" s="396" t="s">
        <v>216</v>
      </c>
      <c r="C72" s="678"/>
      <c r="D72" s="677"/>
      <c r="E72" s="679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  <c r="AA72" s="679"/>
      <c r="AB72" s="530"/>
      <c r="AC72" s="404"/>
      <c r="AD72" s="404"/>
      <c r="AE72" s="404"/>
      <c r="AF72" s="404"/>
      <c r="AG72" s="404"/>
      <c r="AH72" s="404"/>
      <c r="AI72" s="404"/>
      <c r="AJ72" s="404"/>
      <c r="AK72" s="404"/>
      <c r="AL72" s="404"/>
    </row>
    <row r="73" ht="39.75" customHeight="1">
      <c r="A73" s="385" t="s">
        <v>217</v>
      </c>
      <c r="B73" s="386" t="s">
        <v>218</v>
      </c>
      <c r="C73" s="670"/>
      <c r="D73" s="671"/>
      <c r="E73" s="672" t="s">
        <v>77</v>
      </c>
      <c r="F73" s="673"/>
      <c r="G73" s="672" t="s">
        <v>77</v>
      </c>
      <c r="H73" s="673"/>
      <c r="I73" s="672" t="s">
        <v>68</v>
      </c>
      <c r="J73" s="673"/>
      <c r="K73" s="673" t="s">
        <v>77</v>
      </c>
      <c r="L73" s="673"/>
      <c r="M73" s="684" t="s">
        <v>68</v>
      </c>
      <c r="N73" s="673"/>
      <c r="O73" s="673" t="s">
        <v>68</v>
      </c>
      <c r="P73" s="673"/>
      <c r="Q73" s="673"/>
      <c r="R73" s="673"/>
      <c r="S73" s="673"/>
      <c r="T73" s="676"/>
      <c r="U73" s="673"/>
      <c r="V73" s="676"/>
      <c r="W73" s="673" t="s">
        <v>77</v>
      </c>
      <c r="X73" s="676"/>
      <c r="Y73" s="676" t="s">
        <v>77</v>
      </c>
      <c r="Z73" s="673"/>
      <c r="AA73" s="391">
        <f>COUNTIF(C73:Z73,"&gt;=R")</f>
        <v>8</v>
      </c>
      <c r="AB73" s="392">
        <f>AA73</f>
        <v>8</v>
      </c>
    </row>
    <row r="74" ht="39.75" customHeight="1">
      <c r="A74" s="395" t="s">
        <v>219</v>
      </c>
      <c r="B74" s="396" t="s">
        <v>220</v>
      </c>
      <c r="C74" s="678"/>
      <c r="D74" s="677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679"/>
      <c r="X74" s="679"/>
      <c r="Y74" s="679"/>
      <c r="Z74" s="679"/>
      <c r="AA74" s="679"/>
      <c r="AB74" s="530"/>
      <c r="AC74" s="404"/>
      <c r="AD74" s="404"/>
      <c r="AE74" s="404"/>
      <c r="AF74" s="404"/>
      <c r="AG74" s="404"/>
      <c r="AH74" s="404"/>
      <c r="AI74" s="404"/>
      <c r="AJ74" s="404"/>
      <c r="AK74" s="404"/>
      <c r="AL74" s="404"/>
    </row>
    <row r="75" ht="39.75" customHeight="1">
      <c r="A75" s="385" t="s">
        <v>221</v>
      </c>
      <c r="B75" s="386" t="s">
        <v>222</v>
      </c>
      <c r="C75" s="680" t="s">
        <v>57</v>
      </c>
      <c r="D75" s="671"/>
      <c r="E75" s="673" t="s">
        <v>410</v>
      </c>
      <c r="F75" s="673"/>
      <c r="G75" s="673" t="s">
        <v>410</v>
      </c>
      <c r="H75" s="673"/>
      <c r="I75" s="673" t="s">
        <v>410</v>
      </c>
      <c r="J75" s="673"/>
      <c r="K75" s="673" t="s">
        <v>410</v>
      </c>
      <c r="L75" s="673"/>
      <c r="M75" s="673" t="s">
        <v>410</v>
      </c>
      <c r="N75" s="673"/>
      <c r="O75" s="673" t="s">
        <v>410</v>
      </c>
      <c r="P75" s="673"/>
      <c r="Q75" s="673" t="s">
        <v>57</v>
      </c>
      <c r="R75" s="673"/>
      <c r="S75" s="673" t="s">
        <v>410</v>
      </c>
      <c r="T75" s="673"/>
      <c r="U75" s="673" t="s">
        <v>410</v>
      </c>
      <c r="V75" s="673"/>
      <c r="W75" s="673" t="s">
        <v>410</v>
      </c>
      <c r="X75" s="673"/>
      <c r="Y75" s="673" t="s">
        <v>410</v>
      </c>
      <c r="Z75" s="673"/>
      <c r="AA75" s="391">
        <f>COUNTIF(C75:Z75,"&gt;=R")</f>
        <v>12</v>
      </c>
      <c r="AB75" s="392">
        <f>AA75</f>
        <v>12</v>
      </c>
    </row>
    <row r="76" ht="39.75" customHeight="1">
      <c r="A76" s="407" t="s">
        <v>223</v>
      </c>
      <c r="B76" s="408" t="s">
        <v>224</v>
      </c>
      <c r="C76" s="670"/>
      <c r="D76" s="671"/>
      <c r="E76" s="673"/>
      <c r="F76" s="673"/>
      <c r="G76" s="673"/>
      <c r="H76" s="673"/>
      <c r="I76" s="673"/>
      <c r="J76" s="673"/>
      <c r="K76" s="673"/>
      <c r="L76" s="673"/>
      <c r="M76" s="673"/>
      <c r="N76" s="673"/>
      <c r="O76" s="673"/>
      <c r="P76" s="673"/>
      <c r="Q76" s="673"/>
      <c r="R76" s="673"/>
      <c r="S76" s="673"/>
      <c r="T76" s="673"/>
      <c r="U76" s="673"/>
      <c r="V76" s="673"/>
      <c r="W76" s="673"/>
      <c r="X76" s="673"/>
      <c r="Y76" s="673"/>
      <c r="Z76" s="673"/>
      <c r="AA76" s="391"/>
      <c r="AB76" s="392"/>
    </row>
    <row r="77" ht="39.75" customHeight="1">
      <c r="A77" s="385" t="s">
        <v>225</v>
      </c>
      <c r="B77" s="386" t="s">
        <v>226</v>
      </c>
      <c r="C77" s="670" t="s">
        <v>57</v>
      </c>
      <c r="D77" s="671"/>
      <c r="E77" s="685" t="s">
        <v>410</v>
      </c>
      <c r="F77" s="673"/>
      <c r="G77" s="685" t="s">
        <v>410</v>
      </c>
      <c r="H77" s="673"/>
      <c r="I77" s="673" t="s">
        <v>410</v>
      </c>
      <c r="J77" s="673"/>
      <c r="K77" s="673" t="s">
        <v>410</v>
      </c>
      <c r="L77" s="673"/>
      <c r="M77" s="673" t="s">
        <v>410</v>
      </c>
      <c r="N77" s="673"/>
      <c r="O77" s="673" t="s">
        <v>410</v>
      </c>
      <c r="P77" s="673"/>
      <c r="Q77" s="673" t="s">
        <v>57</v>
      </c>
      <c r="R77" s="673"/>
      <c r="S77" s="673" t="s">
        <v>410</v>
      </c>
      <c r="T77" s="673"/>
      <c r="U77" s="673" t="s">
        <v>410</v>
      </c>
      <c r="V77" s="673"/>
      <c r="W77" s="673" t="s">
        <v>410</v>
      </c>
      <c r="X77" s="673"/>
      <c r="Y77" s="673" t="s">
        <v>410</v>
      </c>
      <c r="Z77" s="673"/>
      <c r="AA77" s="391">
        <f t="shared" ref="AA77:AA81" si="19">COUNTIF(C77:Z77,"&gt;=R")</f>
        <v>12</v>
      </c>
      <c r="AB77" s="392">
        <f t="shared" ref="AB77:AB81" si="20">AA77</f>
        <v>12</v>
      </c>
    </row>
    <row r="78" ht="39.75" customHeight="1">
      <c r="A78" s="385" t="s">
        <v>227</v>
      </c>
      <c r="B78" s="386" t="s">
        <v>228</v>
      </c>
      <c r="C78" s="670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1"/>
      <c r="P78" s="671"/>
      <c r="Q78" s="671"/>
      <c r="R78" s="671"/>
      <c r="S78" s="671"/>
      <c r="T78" s="671"/>
      <c r="U78" s="671"/>
      <c r="V78" s="671"/>
      <c r="W78" s="671"/>
      <c r="X78" s="671"/>
      <c r="Y78" s="671"/>
      <c r="Z78" s="673"/>
      <c r="AA78" s="391">
        <f t="shared" si="19"/>
        <v>0</v>
      </c>
      <c r="AB78" s="392">
        <f t="shared" si="20"/>
        <v>0</v>
      </c>
      <c r="AC78" s="404"/>
      <c r="AD78" s="404"/>
      <c r="AE78" s="404"/>
      <c r="AF78" s="404"/>
      <c r="AG78" s="404"/>
      <c r="AH78" s="404"/>
      <c r="AI78" s="404"/>
      <c r="AJ78" s="404"/>
      <c r="AK78" s="404"/>
      <c r="AL78" s="404"/>
    </row>
    <row r="79" ht="39.75" customHeight="1">
      <c r="A79" s="385" t="s">
        <v>229</v>
      </c>
      <c r="B79" s="386" t="s">
        <v>230</v>
      </c>
      <c r="C79" s="670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3"/>
      <c r="AA79" s="391">
        <f t="shared" si="19"/>
        <v>0</v>
      </c>
      <c r="AB79" s="392">
        <f t="shared" si="20"/>
        <v>0</v>
      </c>
    </row>
    <row r="80" ht="39.75" customHeight="1">
      <c r="A80" s="385" t="s">
        <v>231</v>
      </c>
      <c r="B80" s="386" t="s">
        <v>232</v>
      </c>
      <c r="C80" s="670" t="s">
        <v>57</v>
      </c>
      <c r="D80" s="672"/>
      <c r="E80" s="685" t="s">
        <v>410</v>
      </c>
      <c r="F80" s="673"/>
      <c r="G80" s="685" t="s">
        <v>410</v>
      </c>
      <c r="H80" s="673"/>
      <c r="I80" s="673" t="s">
        <v>410</v>
      </c>
      <c r="J80" s="673"/>
      <c r="K80" s="673" t="s">
        <v>410</v>
      </c>
      <c r="L80" s="673"/>
      <c r="M80" s="673" t="s">
        <v>410</v>
      </c>
      <c r="N80" s="673"/>
      <c r="O80" s="673" t="s">
        <v>410</v>
      </c>
      <c r="P80" s="673"/>
      <c r="Q80" s="673" t="s">
        <v>57</v>
      </c>
      <c r="R80" s="673"/>
      <c r="S80" s="673" t="s">
        <v>410</v>
      </c>
      <c r="T80" s="673"/>
      <c r="U80" s="673" t="s">
        <v>410</v>
      </c>
      <c r="V80" s="673"/>
      <c r="W80" s="673" t="s">
        <v>410</v>
      </c>
      <c r="X80" s="673"/>
      <c r="Y80" s="673" t="s">
        <v>410</v>
      </c>
      <c r="Z80" s="673"/>
      <c r="AA80" s="391">
        <f t="shared" si="19"/>
        <v>12</v>
      </c>
      <c r="AB80" s="392">
        <f t="shared" si="20"/>
        <v>12</v>
      </c>
      <c r="AC80" s="404"/>
      <c r="AD80" s="404"/>
      <c r="AE80" s="404"/>
      <c r="AF80" s="404"/>
      <c r="AG80" s="404"/>
      <c r="AH80" s="404"/>
      <c r="AI80" s="404"/>
      <c r="AJ80" s="404"/>
      <c r="AK80" s="404"/>
      <c r="AL80" s="404"/>
    </row>
    <row r="81" ht="39.75" customHeight="1">
      <c r="A81" s="404" t="s">
        <v>233</v>
      </c>
      <c r="B81" s="405" t="s">
        <v>234</v>
      </c>
      <c r="C81" s="670" t="s">
        <v>57</v>
      </c>
      <c r="D81" s="671"/>
      <c r="E81" s="685" t="s">
        <v>410</v>
      </c>
      <c r="F81" s="673"/>
      <c r="G81" s="685" t="s">
        <v>410</v>
      </c>
      <c r="H81" s="673"/>
      <c r="I81" s="673" t="s">
        <v>410</v>
      </c>
      <c r="J81" s="673"/>
      <c r="K81" s="673" t="s">
        <v>410</v>
      </c>
      <c r="L81" s="673"/>
      <c r="M81" s="673" t="s">
        <v>410</v>
      </c>
      <c r="N81" s="673"/>
      <c r="O81" s="673" t="s">
        <v>410</v>
      </c>
      <c r="P81" s="673"/>
      <c r="Q81" s="673" t="s">
        <v>57</v>
      </c>
      <c r="R81" s="673"/>
      <c r="S81" s="673" t="s">
        <v>410</v>
      </c>
      <c r="T81" s="673"/>
      <c r="U81" s="673" t="s">
        <v>410</v>
      </c>
      <c r="V81" s="673"/>
      <c r="W81" s="673" t="s">
        <v>410</v>
      </c>
      <c r="X81" s="673"/>
      <c r="Y81" s="673" t="s">
        <v>410</v>
      </c>
      <c r="Z81" s="673"/>
      <c r="AA81" s="391">
        <f t="shared" si="19"/>
        <v>12</v>
      </c>
      <c r="AB81" s="392">
        <f t="shared" si="20"/>
        <v>12</v>
      </c>
    </row>
    <row r="82" ht="39.75" customHeight="1">
      <c r="A82" s="395" t="s">
        <v>235</v>
      </c>
      <c r="B82" s="396" t="s">
        <v>236</v>
      </c>
      <c r="C82" s="678"/>
      <c r="D82" s="677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79"/>
      <c r="Z82" s="679"/>
      <c r="AA82" s="679"/>
      <c r="AB82" s="530"/>
    </row>
    <row r="83" ht="39.75" customHeight="1">
      <c r="A83" s="414" t="s">
        <v>237</v>
      </c>
      <c r="B83" s="415" t="s">
        <v>238</v>
      </c>
      <c r="C83" s="670"/>
      <c r="D83" s="672"/>
      <c r="E83" s="676"/>
      <c r="F83" s="673"/>
      <c r="G83" s="673"/>
      <c r="H83" s="673"/>
      <c r="I83" s="673"/>
      <c r="J83" s="673"/>
      <c r="K83" s="673"/>
      <c r="L83" s="673"/>
      <c r="M83" s="673"/>
      <c r="N83" s="673"/>
      <c r="O83" s="673"/>
      <c r="P83" s="673"/>
      <c r="Q83" s="673"/>
      <c r="R83" s="673"/>
      <c r="S83" s="673"/>
      <c r="T83" s="673"/>
      <c r="U83" s="673"/>
      <c r="V83" s="673"/>
      <c r="W83" s="673"/>
      <c r="X83" s="673"/>
      <c r="Y83" s="673"/>
      <c r="Z83" s="673"/>
      <c r="AA83" s="391"/>
      <c r="AB83" s="392"/>
    </row>
    <row r="84" ht="39.75" customHeight="1">
      <c r="A84" s="385" t="s">
        <v>239</v>
      </c>
      <c r="B84" s="386" t="s">
        <v>139</v>
      </c>
      <c r="C84" s="680"/>
      <c r="D84" s="672"/>
      <c r="E84" s="673"/>
      <c r="F84" s="673"/>
      <c r="G84" s="673"/>
      <c r="H84" s="673"/>
      <c r="I84" s="673" t="s">
        <v>77</v>
      </c>
      <c r="J84" s="673"/>
      <c r="K84" s="673" t="s">
        <v>77</v>
      </c>
      <c r="L84" s="673"/>
      <c r="M84" s="673" t="s">
        <v>77</v>
      </c>
      <c r="N84" s="673"/>
      <c r="O84" s="673"/>
      <c r="P84" s="673"/>
      <c r="Q84" s="673"/>
      <c r="R84" s="673"/>
      <c r="S84" s="673"/>
      <c r="T84" s="673"/>
      <c r="U84" s="673"/>
      <c r="V84" s="673"/>
      <c r="W84" s="673"/>
      <c r="X84" s="673"/>
      <c r="Y84" s="672"/>
      <c r="Z84" s="673"/>
      <c r="AA84" s="391">
        <f>COUNTIF(C84:Z84,"&gt;=R")</f>
        <v>3</v>
      </c>
      <c r="AB84" s="392">
        <f>AA84</f>
        <v>3</v>
      </c>
      <c r="AC84" s="404"/>
      <c r="AD84" s="404"/>
      <c r="AE84" s="404"/>
      <c r="AF84" s="404"/>
      <c r="AG84" s="404"/>
      <c r="AH84" s="404"/>
      <c r="AI84" s="404"/>
      <c r="AJ84" s="404"/>
      <c r="AK84" s="404"/>
      <c r="AL84" s="404"/>
    </row>
    <row r="85" ht="39.75" customHeight="1">
      <c r="A85" s="414" t="s">
        <v>240</v>
      </c>
      <c r="B85" s="415" t="s">
        <v>241</v>
      </c>
      <c r="C85" s="670"/>
      <c r="D85" s="672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391"/>
      <c r="AB85" s="392"/>
    </row>
    <row r="86" ht="39.75" customHeight="1">
      <c r="A86" s="411" t="s">
        <v>242</v>
      </c>
      <c r="B86" s="412" t="s">
        <v>243</v>
      </c>
      <c r="C86" s="680"/>
      <c r="D86" s="672"/>
      <c r="E86" s="673"/>
      <c r="F86" s="673"/>
      <c r="G86" s="673"/>
      <c r="H86" s="673"/>
      <c r="I86" s="673" t="s">
        <v>77</v>
      </c>
      <c r="J86" s="673"/>
      <c r="K86" s="673" t="s">
        <v>77</v>
      </c>
      <c r="L86" s="673"/>
      <c r="M86" s="673" t="s">
        <v>77</v>
      </c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2"/>
      <c r="Z86" s="673"/>
      <c r="AA86" s="391">
        <f t="shared" ref="AA86:AA87" si="21">COUNTIF(C86:Z86,"&gt;=R")</f>
        <v>3</v>
      </c>
      <c r="AB86" s="392">
        <f t="shared" ref="AB86:AB87" si="22">AA86</f>
        <v>3</v>
      </c>
    </row>
    <row r="87" ht="39.75" customHeight="1">
      <c r="A87" s="411" t="s">
        <v>244</v>
      </c>
      <c r="B87" s="412" t="s">
        <v>245</v>
      </c>
      <c r="C87" s="670"/>
      <c r="D87" s="672"/>
      <c r="E87" s="676"/>
      <c r="F87" s="673"/>
      <c r="G87" s="673"/>
      <c r="H87" s="673"/>
      <c r="I87" s="673"/>
      <c r="J87" s="673"/>
      <c r="K87" s="673"/>
      <c r="L87" s="673"/>
      <c r="M87" s="673"/>
      <c r="N87" s="673"/>
      <c r="O87" s="673"/>
      <c r="P87" s="673"/>
      <c r="Q87" s="673"/>
      <c r="R87" s="673"/>
      <c r="S87" s="673"/>
      <c r="T87" s="673"/>
      <c r="U87" s="673"/>
      <c r="V87" s="673"/>
      <c r="W87" s="673"/>
      <c r="X87" s="673"/>
      <c r="Y87" s="673"/>
      <c r="Z87" s="673"/>
      <c r="AA87" s="391">
        <f t="shared" si="21"/>
        <v>0</v>
      </c>
      <c r="AB87" s="392">
        <f t="shared" si="22"/>
        <v>0</v>
      </c>
    </row>
    <row r="88" ht="39.75" customHeight="1">
      <c r="A88" s="414" t="s">
        <v>246</v>
      </c>
      <c r="B88" s="415" t="s">
        <v>247</v>
      </c>
      <c r="C88" s="670"/>
      <c r="D88" s="672"/>
      <c r="E88" s="676"/>
      <c r="F88" s="673"/>
      <c r="G88" s="673"/>
      <c r="H88" s="673"/>
      <c r="I88" s="673"/>
      <c r="J88" s="673"/>
      <c r="K88" s="673"/>
      <c r="L88" s="673"/>
      <c r="M88" s="676"/>
      <c r="N88" s="673"/>
      <c r="O88" s="673"/>
      <c r="P88" s="673"/>
      <c r="Q88" s="673"/>
      <c r="R88" s="673"/>
      <c r="S88" s="673"/>
      <c r="T88" s="673"/>
      <c r="U88" s="673"/>
      <c r="V88" s="673"/>
      <c r="W88" s="673"/>
      <c r="X88" s="673"/>
      <c r="Y88" s="673"/>
      <c r="Z88" s="673"/>
      <c r="AA88" s="391"/>
      <c r="AB88" s="392"/>
    </row>
    <row r="89" ht="39.75" customHeight="1">
      <c r="A89" s="411" t="s">
        <v>248</v>
      </c>
      <c r="B89" s="412" t="s">
        <v>249</v>
      </c>
      <c r="C89" s="680"/>
      <c r="D89" s="672"/>
      <c r="E89" s="673" t="s">
        <v>68</v>
      </c>
      <c r="F89" s="673"/>
      <c r="G89" s="673" t="s">
        <v>18</v>
      </c>
      <c r="H89" s="673"/>
      <c r="I89" s="673" t="s">
        <v>68</v>
      </c>
      <c r="J89" s="673"/>
      <c r="K89" s="673" t="s">
        <v>68</v>
      </c>
      <c r="L89" s="673"/>
      <c r="M89" s="673" t="s">
        <v>68</v>
      </c>
      <c r="N89" s="673"/>
      <c r="O89" s="673" t="s">
        <v>68</v>
      </c>
      <c r="P89" s="673"/>
      <c r="Q89" s="673"/>
      <c r="R89" s="673"/>
      <c r="S89" s="673"/>
      <c r="T89" s="673"/>
      <c r="U89" s="673"/>
      <c r="V89" s="673"/>
      <c r="W89" s="673" t="s">
        <v>68</v>
      </c>
      <c r="X89" s="673"/>
      <c r="Y89" s="672" t="s">
        <v>68</v>
      </c>
      <c r="Z89" s="673"/>
      <c r="AA89" s="391">
        <f t="shared" ref="AA89:AA90" si="23">COUNTIF(C89:Z89,"&gt;=R")</f>
        <v>8</v>
      </c>
      <c r="AB89" s="392">
        <f t="shared" ref="AB89:AB90" si="24">AA89</f>
        <v>8</v>
      </c>
    </row>
    <row r="90" ht="39.75" customHeight="1">
      <c r="A90" s="411" t="s">
        <v>250</v>
      </c>
      <c r="B90" s="412" t="s">
        <v>251</v>
      </c>
      <c r="C90" s="680"/>
      <c r="D90" s="672"/>
      <c r="E90" s="673" t="s">
        <v>68</v>
      </c>
      <c r="F90" s="673"/>
      <c r="G90" s="673" t="s">
        <v>18</v>
      </c>
      <c r="H90" s="673"/>
      <c r="I90" s="673" t="s">
        <v>68</v>
      </c>
      <c r="J90" s="673"/>
      <c r="K90" s="673" t="s">
        <v>68</v>
      </c>
      <c r="L90" s="673"/>
      <c r="M90" s="673" t="s">
        <v>68</v>
      </c>
      <c r="N90" s="673"/>
      <c r="O90" s="673" t="s">
        <v>68</v>
      </c>
      <c r="P90" s="673"/>
      <c r="Q90" s="673"/>
      <c r="R90" s="673"/>
      <c r="S90" s="673"/>
      <c r="T90" s="673"/>
      <c r="U90" s="673"/>
      <c r="V90" s="673"/>
      <c r="W90" s="673" t="s">
        <v>68</v>
      </c>
      <c r="X90" s="673"/>
      <c r="Y90" s="672" t="s">
        <v>68</v>
      </c>
      <c r="Z90" s="673"/>
      <c r="AA90" s="391">
        <f t="shared" si="23"/>
        <v>8</v>
      </c>
      <c r="AB90" s="392">
        <f t="shared" si="24"/>
        <v>8</v>
      </c>
    </row>
    <row r="91" ht="39.75" customHeight="1">
      <c r="A91" s="414" t="s">
        <v>252</v>
      </c>
      <c r="B91" s="415" t="s">
        <v>253</v>
      </c>
      <c r="C91" s="670"/>
      <c r="D91" s="672"/>
      <c r="E91" s="676"/>
      <c r="F91" s="673"/>
      <c r="G91" s="676"/>
      <c r="H91" s="673"/>
      <c r="I91" s="676"/>
      <c r="J91" s="673"/>
      <c r="K91" s="673"/>
      <c r="L91" s="673"/>
      <c r="M91" s="673"/>
      <c r="N91" s="673"/>
      <c r="O91" s="673"/>
      <c r="P91" s="673"/>
      <c r="Q91" s="673"/>
      <c r="R91" s="673"/>
      <c r="S91" s="673"/>
      <c r="T91" s="673"/>
      <c r="U91" s="673"/>
      <c r="V91" s="673"/>
      <c r="W91" s="673"/>
      <c r="X91" s="673"/>
      <c r="Y91" s="673"/>
      <c r="Z91" s="673"/>
      <c r="AA91" s="391"/>
      <c r="AB91" s="392"/>
      <c r="AC91" s="404"/>
      <c r="AD91" s="404"/>
      <c r="AE91" s="404"/>
      <c r="AF91" s="404"/>
      <c r="AG91" s="404"/>
      <c r="AH91" s="404"/>
      <c r="AI91" s="404"/>
      <c r="AJ91" s="404"/>
      <c r="AK91" s="404"/>
      <c r="AL91" s="404"/>
    </row>
    <row r="92" ht="39.75" customHeight="1">
      <c r="A92" s="385" t="s">
        <v>254</v>
      </c>
      <c r="B92" s="386" t="s">
        <v>255</v>
      </c>
      <c r="C92" s="670"/>
      <c r="D92" s="672"/>
      <c r="E92" s="672" t="s">
        <v>68</v>
      </c>
      <c r="F92" s="673"/>
      <c r="G92" s="672" t="s">
        <v>77</v>
      </c>
      <c r="H92" s="673"/>
      <c r="I92" s="672" t="s">
        <v>68</v>
      </c>
      <c r="J92" s="673"/>
      <c r="K92" s="672" t="s">
        <v>68</v>
      </c>
      <c r="L92" s="673"/>
      <c r="M92" s="672" t="s">
        <v>68</v>
      </c>
      <c r="N92" s="673"/>
      <c r="O92" s="672" t="s">
        <v>68</v>
      </c>
      <c r="P92" s="673"/>
      <c r="Q92" s="672"/>
      <c r="R92" s="673"/>
      <c r="S92" s="672"/>
      <c r="T92" s="673"/>
      <c r="U92" s="672"/>
      <c r="V92" s="673"/>
      <c r="W92" s="672" t="s">
        <v>68</v>
      </c>
      <c r="X92" s="673"/>
      <c r="Y92" s="672" t="s">
        <v>68</v>
      </c>
      <c r="Z92" s="673"/>
      <c r="AA92" s="391">
        <f t="shared" ref="AA92:AA95" si="25">COUNTIF(C92:Z92,"&gt;=R")</f>
        <v>8</v>
      </c>
      <c r="AB92" s="392">
        <f t="shared" ref="AB92:AB95" si="26">AA92</f>
        <v>8</v>
      </c>
      <c r="AC92" s="404"/>
      <c r="AD92" s="404"/>
      <c r="AE92" s="404"/>
      <c r="AF92" s="404"/>
      <c r="AG92" s="404"/>
      <c r="AH92" s="404"/>
      <c r="AI92" s="404"/>
      <c r="AJ92" s="404"/>
      <c r="AK92" s="404"/>
      <c r="AL92" s="404"/>
    </row>
    <row r="93" ht="39.75" customHeight="1">
      <c r="A93" s="385" t="s">
        <v>256</v>
      </c>
      <c r="B93" s="386" t="s">
        <v>257</v>
      </c>
      <c r="C93" s="670"/>
      <c r="D93" s="671"/>
      <c r="E93" s="672"/>
      <c r="F93" s="673"/>
      <c r="G93" s="672"/>
      <c r="H93" s="673"/>
      <c r="I93" s="672" t="s">
        <v>77</v>
      </c>
      <c r="J93" s="673"/>
      <c r="K93" s="672" t="s">
        <v>77</v>
      </c>
      <c r="L93" s="673"/>
      <c r="M93" s="672" t="s">
        <v>77</v>
      </c>
      <c r="N93" s="673"/>
      <c r="O93" s="672"/>
      <c r="P93" s="673"/>
      <c r="Q93" s="672"/>
      <c r="R93" s="673"/>
      <c r="S93" s="672"/>
      <c r="T93" s="673"/>
      <c r="U93" s="672"/>
      <c r="V93" s="673"/>
      <c r="W93" s="672"/>
      <c r="X93" s="673"/>
      <c r="Y93" s="672"/>
      <c r="Z93" s="673"/>
      <c r="AA93" s="391">
        <f t="shared" si="25"/>
        <v>3</v>
      </c>
      <c r="AB93" s="392">
        <f t="shared" si="26"/>
        <v>3</v>
      </c>
    </row>
    <row r="94" ht="39.75" customHeight="1">
      <c r="A94" s="385" t="s">
        <v>258</v>
      </c>
      <c r="B94" s="386" t="s">
        <v>259</v>
      </c>
      <c r="C94" s="670"/>
      <c r="D94" s="671"/>
      <c r="E94" s="672"/>
      <c r="F94" s="673"/>
      <c r="G94" s="672"/>
      <c r="H94" s="673"/>
      <c r="I94" s="672" t="s">
        <v>77</v>
      </c>
      <c r="J94" s="673"/>
      <c r="K94" s="672" t="s">
        <v>77</v>
      </c>
      <c r="L94" s="673"/>
      <c r="M94" s="672" t="s">
        <v>77</v>
      </c>
      <c r="N94" s="673"/>
      <c r="O94" s="672"/>
      <c r="P94" s="673"/>
      <c r="Q94" s="672"/>
      <c r="R94" s="673"/>
      <c r="S94" s="672"/>
      <c r="T94" s="673"/>
      <c r="U94" s="672"/>
      <c r="V94" s="673"/>
      <c r="W94" s="672"/>
      <c r="X94" s="673"/>
      <c r="Y94" s="672"/>
      <c r="Z94" s="673"/>
      <c r="AA94" s="391">
        <f t="shared" si="25"/>
        <v>3</v>
      </c>
      <c r="AB94" s="392">
        <f t="shared" si="26"/>
        <v>3</v>
      </c>
      <c r="AC94" s="404"/>
      <c r="AD94" s="404"/>
      <c r="AE94" s="404"/>
      <c r="AF94" s="404"/>
      <c r="AG94" s="404"/>
      <c r="AH94" s="404"/>
      <c r="AI94" s="404"/>
      <c r="AJ94" s="404"/>
      <c r="AK94" s="404"/>
      <c r="AL94" s="404"/>
    </row>
    <row r="95" ht="39.75" customHeight="1">
      <c r="A95" s="385" t="s">
        <v>260</v>
      </c>
      <c r="B95" s="386" t="s">
        <v>261</v>
      </c>
      <c r="C95" s="670"/>
      <c r="D95" s="671"/>
      <c r="E95" s="672" t="s">
        <v>68</v>
      </c>
      <c r="F95" s="673"/>
      <c r="G95" s="672"/>
      <c r="H95" s="673"/>
      <c r="I95" s="672" t="s">
        <v>68</v>
      </c>
      <c r="J95" s="673"/>
      <c r="K95" s="672" t="s">
        <v>68</v>
      </c>
      <c r="L95" s="673"/>
      <c r="M95" s="672" t="s">
        <v>68</v>
      </c>
      <c r="N95" s="673"/>
      <c r="O95" s="672" t="s">
        <v>68</v>
      </c>
      <c r="P95" s="673"/>
      <c r="Q95" s="672"/>
      <c r="R95" s="673"/>
      <c r="S95" s="672"/>
      <c r="T95" s="673"/>
      <c r="U95" s="672"/>
      <c r="V95" s="673"/>
      <c r="W95" s="672" t="s">
        <v>68</v>
      </c>
      <c r="X95" s="673"/>
      <c r="Y95" s="672" t="s">
        <v>68</v>
      </c>
      <c r="Z95" s="673"/>
      <c r="AA95" s="391">
        <f t="shared" si="25"/>
        <v>7</v>
      </c>
      <c r="AB95" s="392">
        <f t="shared" si="26"/>
        <v>7</v>
      </c>
      <c r="AC95" s="404"/>
      <c r="AD95" s="404"/>
      <c r="AE95" s="404"/>
      <c r="AF95" s="404"/>
      <c r="AG95" s="404"/>
      <c r="AH95" s="404"/>
      <c r="AI95" s="404"/>
      <c r="AJ95" s="404"/>
      <c r="AK95" s="404"/>
      <c r="AL95" s="404"/>
    </row>
    <row r="96" ht="39.75" customHeight="1">
      <c r="A96" s="414" t="s">
        <v>262</v>
      </c>
      <c r="B96" s="415" t="s">
        <v>263</v>
      </c>
      <c r="C96" s="670"/>
      <c r="D96" s="671"/>
      <c r="E96" s="673"/>
      <c r="F96" s="673"/>
      <c r="G96" s="676"/>
      <c r="H96" s="673"/>
      <c r="I96" s="676"/>
      <c r="J96" s="673"/>
      <c r="K96" s="676"/>
      <c r="L96" s="673"/>
      <c r="M96" s="673"/>
      <c r="N96" s="673"/>
      <c r="O96" s="673"/>
      <c r="P96" s="673"/>
      <c r="Q96" s="673"/>
      <c r="R96" s="673"/>
      <c r="S96" s="673"/>
      <c r="T96" s="673"/>
      <c r="U96" s="676"/>
      <c r="V96" s="673"/>
      <c r="W96" s="676"/>
      <c r="X96" s="673"/>
      <c r="Y96" s="676"/>
      <c r="Z96" s="673"/>
      <c r="AA96" s="391"/>
      <c r="AB96" s="392"/>
    </row>
    <row r="97" ht="39.75" customHeight="1">
      <c r="A97" s="411" t="s">
        <v>264</v>
      </c>
      <c r="B97" s="412" t="s">
        <v>265</v>
      </c>
      <c r="C97" s="670" t="s">
        <v>57</v>
      </c>
      <c r="D97" s="671"/>
      <c r="E97" s="673" t="s">
        <v>83</v>
      </c>
      <c r="F97" s="673"/>
      <c r="G97" s="673" t="s">
        <v>83</v>
      </c>
      <c r="H97" s="673"/>
      <c r="I97" s="673" t="s">
        <v>91</v>
      </c>
      <c r="J97" s="673"/>
      <c r="K97" s="673" t="s">
        <v>83</v>
      </c>
      <c r="L97" s="673"/>
      <c r="M97" s="673" t="s">
        <v>83</v>
      </c>
      <c r="N97" s="673"/>
      <c r="O97" s="673" t="s">
        <v>83</v>
      </c>
      <c r="P97" s="673"/>
      <c r="Q97" s="673" t="s">
        <v>57</v>
      </c>
      <c r="R97" s="673"/>
      <c r="S97" s="673" t="s">
        <v>91</v>
      </c>
      <c r="T97" s="673"/>
      <c r="U97" s="673" t="s">
        <v>91</v>
      </c>
      <c r="V97" s="673"/>
      <c r="W97" s="673" t="s">
        <v>91</v>
      </c>
      <c r="X97" s="673"/>
      <c r="Y97" s="673" t="s">
        <v>83</v>
      </c>
      <c r="Z97" s="673"/>
      <c r="AA97" s="391">
        <f>COUNTIF(C97:Z97,"&gt;=R")</f>
        <v>12</v>
      </c>
      <c r="AB97" s="392">
        <f>AA97</f>
        <v>12</v>
      </c>
    </row>
    <row r="98" ht="39.75" customHeight="1">
      <c r="A98" s="421" t="s">
        <v>266</v>
      </c>
      <c r="B98" s="396" t="s">
        <v>267</v>
      </c>
      <c r="C98" s="678"/>
      <c r="D98" s="677"/>
      <c r="E98" s="679"/>
      <c r="F98" s="679"/>
      <c r="G98" s="679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  <c r="AA98" s="679"/>
      <c r="AB98" s="530"/>
    </row>
    <row r="99" ht="39.75" customHeight="1">
      <c r="A99" s="385" t="s">
        <v>268</v>
      </c>
      <c r="B99" s="386" t="s">
        <v>269</v>
      </c>
      <c r="C99" s="680"/>
      <c r="D99" s="671"/>
      <c r="E99" s="673" t="s">
        <v>93</v>
      </c>
      <c r="F99" s="673"/>
      <c r="G99" s="673" t="s">
        <v>93</v>
      </c>
      <c r="H99" s="673"/>
      <c r="I99" s="673" t="s">
        <v>77</v>
      </c>
      <c r="J99" s="673"/>
      <c r="K99" s="673" t="s">
        <v>77</v>
      </c>
      <c r="L99" s="673"/>
      <c r="M99" s="673" t="s">
        <v>77</v>
      </c>
      <c r="N99" s="673"/>
      <c r="O99" s="673" t="s">
        <v>93</v>
      </c>
      <c r="P99" s="673"/>
      <c r="Q99" s="673"/>
      <c r="R99" s="673"/>
      <c r="S99" s="673"/>
      <c r="T99" s="673"/>
      <c r="U99" s="673"/>
      <c r="V99" s="673"/>
      <c r="W99" s="673" t="s">
        <v>93</v>
      </c>
      <c r="X99" s="673"/>
      <c r="Y99" s="673" t="s">
        <v>93</v>
      </c>
      <c r="Z99" s="673"/>
      <c r="AA99" s="391">
        <f t="shared" ref="AA99:AA100" si="27">COUNTIF(C99:Z99,"&gt;=R")</f>
        <v>8</v>
      </c>
      <c r="AB99" s="392">
        <f t="shared" ref="AB99:AB100" si="28">AA99</f>
        <v>8</v>
      </c>
    </row>
    <row r="100" ht="39.75" customHeight="1">
      <c r="A100" s="385" t="s">
        <v>270</v>
      </c>
      <c r="B100" s="386" t="s">
        <v>271</v>
      </c>
      <c r="C100" s="680"/>
      <c r="D100" s="671"/>
      <c r="E100" s="673" t="s">
        <v>93</v>
      </c>
      <c r="F100" s="673"/>
      <c r="G100" s="673" t="s">
        <v>93</v>
      </c>
      <c r="H100" s="673"/>
      <c r="I100" s="673" t="s">
        <v>77</v>
      </c>
      <c r="J100" s="673"/>
      <c r="K100" s="673" t="s">
        <v>77</v>
      </c>
      <c r="L100" s="673"/>
      <c r="M100" s="673" t="s">
        <v>77</v>
      </c>
      <c r="N100" s="673"/>
      <c r="O100" s="673" t="s">
        <v>93</v>
      </c>
      <c r="P100" s="673"/>
      <c r="Q100" s="673"/>
      <c r="R100" s="673"/>
      <c r="S100" s="673"/>
      <c r="T100" s="673"/>
      <c r="U100" s="673"/>
      <c r="V100" s="673"/>
      <c r="W100" s="673" t="s">
        <v>93</v>
      </c>
      <c r="X100" s="673"/>
      <c r="Y100" s="673" t="s">
        <v>93</v>
      </c>
      <c r="Z100" s="673"/>
      <c r="AA100" s="391">
        <f t="shared" si="27"/>
        <v>8</v>
      </c>
      <c r="AB100" s="392">
        <f t="shared" si="28"/>
        <v>8</v>
      </c>
    </row>
    <row r="101" ht="39.75" customHeight="1">
      <c r="A101" s="421" t="s">
        <v>272</v>
      </c>
      <c r="B101" s="396" t="s">
        <v>273</v>
      </c>
      <c r="C101" s="678"/>
      <c r="D101" s="677"/>
      <c r="E101" s="679"/>
      <c r="F101" s="679"/>
      <c r="G101" s="679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  <c r="AA101" s="679"/>
      <c r="AB101" s="530"/>
      <c r="AC101" s="404"/>
      <c r="AD101" s="404"/>
      <c r="AE101" s="404"/>
      <c r="AF101" s="404"/>
      <c r="AG101" s="404"/>
      <c r="AH101" s="404"/>
      <c r="AI101" s="404"/>
      <c r="AJ101" s="404"/>
      <c r="AK101" s="404"/>
      <c r="AL101" s="404"/>
    </row>
    <row r="102" ht="39.75" customHeight="1">
      <c r="A102" s="385" t="s">
        <v>274</v>
      </c>
      <c r="B102" s="386" t="s">
        <v>275</v>
      </c>
      <c r="C102" s="670"/>
      <c r="D102" s="672"/>
      <c r="E102" s="672"/>
      <c r="F102" s="673"/>
      <c r="G102" s="672" t="s">
        <v>93</v>
      </c>
      <c r="H102" s="673"/>
      <c r="I102" s="672" t="s">
        <v>93</v>
      </c>
      <c r="J102" s="673"/>
      <c r="K102" s="672" t="s">
        <v>93</v>
      </c>
      <c r="L102" s="673"/>
      <c r="M102" s="672" t="s">
        <v>93</v>
      </c>
      <c r="N102" s="673"/>
      <c r="O102" s="672" t="s">
        <v>93</v>
      </c>
      <c r="P102" s="673"/>
      <c r="Q102" s="672"/>
      <c r="R102" s="673"/>
      <c r="S102" s="672"/>
      <c r="T102" s="673"/>
      <c r="U102" s="672"/>
      <c r="V102" s="673"/>
      <c r="W102" s="672" t="s">
        <v>93</v>
      </c>
      <c r="X102" s="673"/>
      <c r="Y102" s="672" t="s">
        <v>93</v>
      </c>
      <c r="Z102" s="673"/>
      <c r="AA102" s="391">
        <f t="shared" ref="AA102:AA103" si="29">COUNTIF(C102:Z102,"&gt;=R")</f>
        <v>7</v>
      </c>
      <c r="AB102" s="392">
        <f t="shared" ref="AB102:AB103" si="30">AA102</f>
        <v>7</v>
      </c>
    </row>
    <row r="103" ht="39.75" customHeight="1">
      <c r="A103" s="385" t="s">
        <v>276</v>
      </c>
      <c r="B103" s="386" t="s">
        <v>277</v>
      </c>
      <c r="C103" s="670" t="s">
        <v>68</v>
      </c>
      <c r="D103" s="671"/>
      <c r="E103" s="672" t="s">
        <v>28</v>
      </c>
      <c r="F103" s="673"/>
      <c r="G103" s="672" t="s">
        <v>28</v>
      </c>
      <c r="H103" s="673"/>
      <c r="I103" s="672" t="s">
        <v>28</v>
      </c>
      <c r="J103" s="673"/>
      <c r="K103" s="676" t="s">
        <v>28</v>
      </c>
      <c r="L103" s="673"/>
      <c r="M103" s="676" t="s">
        <v>28</v>
      </c>
      <c r="N103" s="673"/>
      <c r="O103" s="676" t="s">
        <v>28</v>
      </c>
      <c r="P103" s="673"/>
      <c r="Q103" s="676" t="s">
        <v>68</v>
      </c>
      <c r="R103" s="673"/>
      <c r="S103" s="673" t="s">
        <v>28</v>
      </c>
      <c r="T103" s="673"/>
      <c r="U103" s="673" t="s">
        <v>28</v>
      </c>
      <c r="V103" s="673"/>
      <c r="W103" s="673" t="s">
        <v>28</v>
      </c>
      <c r="X103" s="673"/>
      <c r="Y103" s="673" t="s">
        <v>28</v>
      </c>
      <c r="Z103" s="673"/>
      <c r="AA103" s="391">
        <f t="shared" si="29"/>
        <v>12</v>
      </c>
      <c r="AB103" s="392">
        <f t="shared" si="30"/>
        <v>12</v>
      </c>
      <c r="AC103" s="404"/>
      <c r="AD103" s="404"/>
      <c r="AE103" s="404"/>
      <c r="AF103" s="404"/>
      <c r="AG103" s="404"/>
      <c r="AH103" s="404"/>
      <c r="AI103" s="404"/>
      <c r="AJ103" s="404"/>
      <c r="AK103" s="404"/>
      <c r="AL103" s="404"/>
    </row>
    <row r="104" ht="39.75" customHeight="1">
      <c r="A104" s="395" t="s">
        <v>278</v>
      </c>
      <c r="B104" s="396" t="s">
        <v>279</v>
      </c>
      <c r="C104" s="678"/>
      <c r="D104" s="677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79"/>
      <c r="AB104" s="530"/>
      <c r="AC104" s="404"/>
      <c r="AD104" s="404"/>
      <c r="AE104" s="404"/>
      <c r="AF104" s="404"/>
      <c r="AG104" s="404"/>
      <c r="AH104" s="404"/>
      <c r="AI104" s="404"/>
      <c r="AJ104" s="404"/>
      <c r="AK104" s="404"/>
      <c r="AL104" s="404"/>
    </row>
    <row r="105" ht="39.75" customHeight="1">
      <c r="A105" s="414" t="s">
        <v>280</v>
      </c>
      <c r="B105" s="415" t="s">
        <v>281</v>
      </c>
      <c r="C105" s="670"/>
      <c r="D105" s="671"/>
      <c r="E105" s="673"/>
      <c r="F105" s="673"/>
      <c r="G105" s="676"/>
      <c r="H105" s="673"/>
      <c r="I105" s="676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391">
        <f t="shared" ref="AA105:AA111" si="31">COUNTIF(C105:Z105,"&gt;=R")</f>
        <v>0</v>
      </c>
      <c r="AB105" s="392">
        <f t="shared" ref="AB105:AB107" si="32">AA105</f>
        <v>0</v>
      </c>
    </row>
    <row r="106" ht="39.75" customHeight="1">
      <c r="A106" s="404" t="s">
        <v>282</v>
      </c>
      <c r="B106" s="405" t="s">
        <v>283</v>
      </c>
      <c r="C106" s="680"/>
      <c r="D106" s="671"/>
      <c r="E106" s="673"/>
      <c r="F106" s="673"/>
      <c r="G106" s="673"/>
      <c r="H106" s="673"/>
      <c r="I106" s="673"/>
      <c r="J106" s="673"/>
      <c r="K106" s="673"/>
      <c r="L106" s="673"/>
      <c r="M106" s="673"/>
      <c r="N106" s="673"/>
      <c r="O106" s="673"/>
      <c r="P106" s="673"/>
      <c r="Q106" s="673"/>
      <c r="R106" s="673"/>
      <c r="S106" s="673"/>
      <c r="T106" s="673"/>
      <c r="U106" s="673"/>
      <c r="V106" s="673"/>
      <c r="W106" s="673"/>
      <c r="X106" s="673"/>
      <c r="Y106" s="673"/>
      <c r="Z106" s="673"/>
      <c r="AA106" s="391">
        <f t="shared" si="31"/>
        <v>0</v>
      </c>
      <c r="AB106" s="392">
        <f t="shared" si="32"/>
        <v>0</v>
      </c>
    </row>
    <row r="107" ht="39.75" customHeight="1">
      <c r="A107" s="411" t="s">
        <v>284</v>
      </c>
      <c r="B107" s="412" t="s">
        <v>285</v>
      </c>
      <c r="C107" s="670"/>
      <c r="D107" s="671"/>
      <c r="E107" s="673"/>
      <c r="F107" s="673"/>
      <c r="G107" s="673"/>
      <c r="H107" s="673"/>
      <c r="I107" s="673"/>
      <c r="J107" s="673"/>
      <c r="K107" s="673"/>
      <c r="L107" s="673"/>
      <c r="M107" s="673"/>
      <c r="N107" s="673"/>
      <c r="O107" s="673"/>
      <c r="P107" s="673"/>
      <c r="Q107" s="673"/>
      <c r="R107" s="673"/>
      <c r="S107" s="673"/>
      <c r="T107" s="673"/>
      <c r="U107" s="673"/>
      <c r="V107" s="673"/>
      <c r="W107" s="673"/>
      <c r="X107" s="673"/>
      <c r="Y107" s="673"/>
      <c r="Z107" s="673"/>
      <c r="AA107" s="391">
        <f t="shared" si="31"/>
        <v>0</v>
      </c>
      <c r="AB107" s="392">
        <f t="shared" si="32"/>
        <v>0</v>
      </c>
      <c r="AC107" s="404"/>
      <c r="AD107" s="404"/>
      <c r="AE107" s="404"/>
      <c r="AF107" s="404"/>
      <c r="AG107" s="404"/>
      <c r="AH107" s="404"/>
      <c r="AI107" s="404"/>
      <c r="AJ107" s="404"/>
      <c r="AK107" s="404"/>
      <c r="AL107" s="404"/>
    </row>
    <row r="108" ht="39.75" customHeight="1">
      <c r="A108" s="414" t="s">
        <v>286</v>
      </c>
      <c r="B108" s="415" t="s">
        <v>287</v>
      </c>
      <c r="C108" s="670"/>
      <c r="D108" s="671"/>
      <c r="E108" s="673"/>
      <c r="F108" s="673"/>
      <c r="G108" s="673"/>
      <c r="H108" s="673"/>
      <c r="I108" s="673"/>
      <c r="J108" s="673"/>
      <c r="K108" s="673"/>
      <c r="L108" s="673"/>
      <c r="M108" s="673"/>
      <c r="N108" s="673"/>
      <c r="O108" s="673"/>
      <c r="P108" s="673"/>
      <c r="Q108" s="673"/>
      <c r="R108" s="673"/>
      <c r="S108" s="673"/>
      <c r="T108" s="673"/>
      <c r="U108" s="673"/>
      <c r="V108" s="673"/>
      <c r="W108" s="673"/>
      <c r="X108" s="673"/>
      <c r="Y108" s="673"/>
      <c r="Z108" s="673"/>
      <c r="AA108" s="391">
        <f t="shared" si="31"/>
        <v>0</v>
      </c>
      <c r="AB108" s="392"/>
    </row>
    <row r="109" ht="39.75" customHeight="1">
      <c r="A109" s="385" t="s">
        <v>288</v>
      </c>
      <c r="B109" s="386" t="s">
        <v>289</v>
      </c>
      <c r="C109" s="680"/>
      <c r="D109" s="671"/>
      <c r="E109" s="673"/>
      <c r="F109" s="673"/>
      <c r="G109" s="673"/>
      <c r="H109" s="673"/>
      <c r="I109" s="673"/>
      <c r="J109" s="673"/>
      <c r="K109" s="673"/>
      <c r="L109" s="673"/>
      <c r="M109" s="673"/>
      <c r="N109" s="673"/>
      <c r="O109" s="673"/>
      <c r="P109" s="673"/>
      <c r="Q109" s="673"/>
      <c r="R109" s="673"/>
      <c r="S109" s="673"/>
      <c r="T109" s="673"/>
      <c r="U109" s="673"/>
      <c r="V109" s="673"/>
      <c r="W109" s="673"/>
      <c r="X109" s="673"/>
      <c r="Y109" s="673"/>
      <c r="Z109" s="673"/>
      <c r="AA109" s="391">
        <f t="shared" si="31"/>
        <v>0</v>
      </c>
      <c r="AB109" s="392">
        <f t="shared" ref="AB109:AB111" si="33">AA109</f>
        <v>0</v>
      </c>
      <c r="AC109" s="404"/>
      <c r="AD109" s="404"/>
      <c r="AE109" s="404"/>
      <c r="AF109" s="404"/>
      <c r="AG109" s="404"/>
      <c r="AH109" s="404"/>
      <c r="AI109" s="404"/>
      <c r="AJ109" s="404"/>
      <c r="AK109" s="404"/>
      <c r="AL109" s="404"/>
    </row>
    <row r="110" ht="39.75" customHeight="1">
      <c r="A110" s="385" t="s">
        <v>290</v>
      </c>
      <c r="B110" s="386" t="s">
        <v>291</v>
      </c>
      <c r="C110" s="670"/>
      <c r="D110" s="671"/>
      <c r="E110" s="672"/>
      <c r="F110" s="673"/>
      <c r="G110" s="672"/>
      <c r="H110" s="673"/>
      <c r="I110" s="672"/>
      <c r="J110" s="673"/>
      <c r="K110" s="672"/>
      <c r="L110" s="673"/>
      <c r="M110" s="672"/>
      <c r="N110" s="673"/>
      <c r="O110" s="672"/>
      <c r="P110" s="673"/>
      <c r="Q110" s="672"/>
      <c r="R110" s="673"/>
      <c r="S110" s="672"/>
      <c r="T110" s="673"/>
      <c r="U110" s="672"/>
      <c r="V110" s="673"/>
      <c r="W110" s="672"/>
      <c r="X110" s="673"/>
      <c r="Y110" s="672"/>
      <c r="Z110" s="673"/>
      <c r="AA110" s="391">
        <f t="shared" si="31"/>
        <v>0</v>
      </c>
      <c r="AB110" s="392">
        <f t="shared" si="33"/>
        <v>0</v>
      </c>
    </row>
    <row r="111" ht="39.75" customHeight="1">
      <c r="A111" s="404" t="s">
        <v>292</v>
      </c>
      <c r="B111" s="405" t="s">
        <v>293</v>
      </c>
      <c r="C111" s="680"/>
      <c r="D111" s="671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3"/>
      <c r="P111" s="673"/>
      <c r="Q111" s="673"/>
      <c r="R111" s="673"/>
      <c r="S111" s="673"/>
      <c r="T111" s="673"/>
      <c r="U111" s="673"/>
      <c r="V111" s="673"/>
      <c r="W111" s="673"/>
      <c r="X111" s="673"/>
      <c r="Y111" s="673"/>
      <c r="Z111" s="673"/>
      <c r="AA111" s="391">
        <f t="shared" si="31"/>
        <v>0</v>
      </c>
      <c r="AB111" s="392">
        <f t="shared" si="33"/>
        <v>0</v>
      </c>
    </row>
    <row r="112" ht="39.75" customHeight="1">
      <c r="A112" s="395" t="s">
        <v>294</v>
      </c>
      <c r="B112" s="422" t="s">
        <v>295</v>
      </c>
      <c r="C112" s="678"/>
      <c r="D112" s="677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79"/>
      <c r="AB112" s="530"/>
      <c r="AC112" s="404"/>
      <c r="AD112" s="404"/>
      <c r="AE112" s="404"/>
      <c r="AF112" s="404"/>
      <c r="AG112" s="404"/>
      <c r="AH112" s="404"/>
      <c r="AI112" s="404"/>
      <c r="AJ112" s="404"/>
      <c r="AK112" s="404"/>
      <c r="AL112" s="404"/>
    </row>
    <row r="113" ht="39.75" customHeight="1">
      <c r="A113" s="402" t="s">
        <v>296</v>
      </c>
      <c r="B113" s="386" t="s">
        <v>297</v>
      </c>
      <c r="C113" s="670"/>
      <c r="D113" s="671"/>
      <c r="E113" s="673" t="s">
        <v>84</v>
      </c>
      <c r="F113" s="673"/>
      <c r="G113" s="673" t="s">
        <v>84</v>
      </c>
      <c r="H113" s="673"/>
      <c r="I113" s="673" t="s">
        <v>84</v>
      </c>
      <c r="J113" s="673"/>
      <c r="K113" s="673" t="s">
        <v>84</v>
      </c>
      <c r="L113" s="673"/>
      <c r="M113" s="673" t="s">
        <v>84</v>
      </c>
      <c r="N113" s="673"/>
      <c r="O113" s="673" t="s">
        <v>84</v>
      </c>
      <c r="P113" s="673"/>
      <c r="Q113" s="673"/>
      <c r="R113" s="673"/>
      <c r="S113" s="673"/>
      <c r="T113" s="673"/>
      <c r="U113" s="673"/>
      <c r="V113" s="673"/>
      <c r="W113" s="673" t="s">
        <v>84</v>
      </c>
      <c r="X113" s="673"/>
      <c r="Y113" s="673" t="s">
        <v>84</v>
      </c>
      <c r="Z113" s="673"/>
      <c r="AA113" s="391">
        <f t="shared" ref="AA113:AA124" si="34">COUNTIF(C113:Z113,"&gt;=R")</f>
        <v>8</v>
      </c>
      <c r="AB113" s="392">
        <f t="shared" ref="AB113:AB124" si="35">AA113</f>
        <v>8</v>
      </c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</row>
    <row r="114" ht="39.75" customHeight="1">
      <c r="A114" s="402" t="s">
        <v>298</v>
      </c>
      <c r="B114" s="386" t="s">
        <v>299</v>
      </c>
      <c r="C114" s="670" t="s">
        <v>68</v>
      </c>
      <c r="D114" s="671"/>
      <c r="E114" s="673" t="s">
        <v>37</v>
      </c>
      <c r="F114" s="673"/>
      <c r="G114" s="676" t="s">
        <v>37</v>
      </c>
      <c r="H114" s="673"/>
      <c r="I114" s="676" t="s">
        <v>37</v>
      </c>
      <c r="J114" s="673"/>
      <c r="K114" s="676" t="s">
        <v>37</v>
      </c>
      <c r="L114" s="673"/>
      <c r="M114" s="673" t="s">
        <v>37</v>
      </c>
      <c r="N114" s="673"/>
      <c r="O114" s="673" t="s">
        <v>37</v>
      </c>
      <c r="P114" s="673"/>
      <c r="Q114" s="676" t="s">
        <v>68</v>
      </c>
      <c r="R114" s="673"/>
      <c r="S114" s="676" t="s">
        <v>37</v>
      </c>
      <c r="T114" s="673"/>
      <c r="U114" s="676" t="s">
        <v>37</v>
      </c>
      <c r="V114" s="673"/>
      <c r="W114" s="676" t="s">
        <v>37</v>
      </c>
      <c r="X114" s="673"/>
      <c r="Y114" s="676" t="s">
        <v>37</v>
      </c>
      <c r="Z114" s="673"/>
      <c r="AA114" s="391">
        <f t="shared" si="34"/>
        <v>12</v>
      </c>
      <c r="AB114" s="392">
        <f t="shared" si="35"/>
        <v>12</v>
      </c>
    </row>
    <row r="115" ht="39.75" customHeight="1">
      <c r="A115" s="402" t="s">
        <v>300</v>
      </c>
      <c r="B115" s="386" t="s">
        <v>301</v>
      </c>
      <c r="C115" s="670"/>
      <c r="D115" s="671"/>
      <c r="E115" s="672"/>
      <c r="F115" s="673"/>
      <c r="G115" s="672"/>
      <c r="H115" s="673"/>
      <c r="I115" s="672"/>
      <c r="J115" s="673"/>
      <c r="K115" s="672"/>
      <c r="L115" s="673"/>
      <c r="M115" s="672"/>
      <c r="N115" s="673"/>
      <c r="O115" s="672"/>
      <c r="P115" s="673"/>
      <c r="Q115" s="672"/>
      <c r="R115" s="673"/>
      <c r="S115" s="672"/>
      <c r="T115" s="673"/>
      <c r="U115" s="672"/>
      <c r="V115" s="673"/>
      <c r="W115" s="672"/>
      <c r="X115" s="673"/>
      <c r="Y115" s="672"/>
      <c r="Z115" s="673"/>
      <c r="AA115" s="391">
        <f t="shared" si="34"/>
        <v>0</v>
      </c>
      <c r="AB115" s="392">
        <f t="shared" si="35"/>
        <v>0</v>
      </c>
    </row>
    <row r="116" ht="39.75" customHeight="1">
      <c r="A116" s="402" t="s">
        <v>302</v>
      </c>
      <c r="B116" s="386" t="s">
        <v>303</v>
      </c>
      <c r="C116" s="680"/>
      <c r="D116" s="671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3"/>
      <c r="P116" s="673"/>
      <c r="Q116" s="673"/>
      <c r="R116" s="673"/>
      <c r="S116" s="673"/>
      <c r="T116" s="673"/>
      <c r="U116" s="673"/>
      <c r="V116" s="673"/>
      <c r="W116" s="673"/>
      <c r="X116" s="673"/>
      <c r="Y116" s="672"/>
      <c r="Z116" s="673"/>
      <c r="AA116" s="391">
        <f t="shared" si="34"/>
        <v>0</v>
      </c>
      <c r="AB116" s="392">
        <f t="shared" si="35"/>
        <v>0</v>
      </c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</row>
    <row r="117" ht="39.75" customHeight="1">
      <c r="A117" s="402" t="s">
        <v>304</v>
      </c>
      <c r="B117" s="386" t="s">
        <v>305</v>
      </c>
      <c r="C117" s="670"/>
      <c r="D117" s="671"/>
      <c r="E117" s="673" t="s">
        <v>93</v>
      </c>
      <c r="F117" s="673"/>
      <c r="G117" s="676" t="s">
        <v>93</v>
      </c>
      <c r="H117" s="673"/>
      <c r="I117" s="676" t="s">
        <v>77</v>
      </c>
      <c r="J117" s="673"/>
      <c r="K117" s="676" t="s">
        <v>77</v>
      </c>
      <c r="L117" s="673"/>
      <c r="M117" s="673" t="s">
        <v>93</v>
      </c>
      <c r="N117" s="673"/>
      <c r="O117" s="673" t="s">
        <v>93</v>
      </c>
      <c r="P117" s="673"/>
      <c r="Q117" s="676"/>
      <c r="R117" s="673"/>
      <c r="S117" s="676"/>
      <c r="T117" s="673"/>
      <c r="U117" s="673"/>
      <c r="V117" s="673"/>
      <c r="W117" s="673" t="s">
        <v>93</v>
      </c>
      <c r="X117" s="673"/>
      <c r="Y117" s="673" t="s">
        <v>93</v>
      </c>
      <c r="Z117" s="673"/>
      <c r="AA117" s="391">
        <f t="shared" si="34"/>
        <v>8</v>
      </c>
      <c r="AB117" s="392">
        <f t="shared" si="35"/>
        <v>8</v>
      </c>
    </row>
    <row r="118" ht="39.75" customHeight="1">
      <c r="A118" s="402" t="s">
        <v>306</v>
      </c>
      <c r="B118" s="386" t="s">
        <v>307</v>
      </c>
      <c r="C118" s="670"/>
      <c r="D118" s="671"/>
      <c r="E118" s="676" t="s">
        <v>93</v>
      </c>
      <c r="F118" s="673"/>
      <c r="G118" s="676" t="s">
        <v>93</v>
      </c>
      <c r="H118" s="673"/>
      <c r="I118" s="676" t="s">
        <v>77</v>
      </c>
      <c r="J118" s="673"/>
      <c r="K118" s="676" t="s">
        <v>77</v>
      </c>
      <c r="L118" s="673"/>
      <c r="M118" s="676" t="s">
        <v>77</v>
      </c>
      <c r="N118" s="673"/>
      <c r="O118" s="676" t="s">
        <v>93</v>
      </c>
      <c r="P118" s="673"/>
      <c r="Q118" s="676"/>
      <c r="R118" s="673"/>
      <c r="S118" s="676"/>
      <c r="T118" s="673"/>
      <c r="U118" s="676"/>
      <c r="V118" s="676"/>
      <c r="W118" s="676" t="s">
        <v>93</v>
      </c>
      <c r="X118" s="676"/>
      <c r="Y118" s="676" t="s">
        <v>93</v>
      </c>
      <c r="Z118" s="676"/>
      <c r="AA118" s="391">
        <f t="shared" si="34"/>
        <v>8</v>
      </c>
      <c r="AB118" s="392">
        <f t="shared" si="35"/>
        <v>8</v>
      </c>
    </row>
    <row r="119" ht="39.75" customHeight="1">
      <c r="A119" s="402" t="s">
        <v>308</v>
      </c>
      <c r="B119" s="386" t="s">
        <v>309</v>
      </c>
      <c r="C119" s="670"/>
      <c r="D119" s="671"/>
      <c r="E119" s="673"/>
      <c r="F119" s="673"/>
      <c r="G119" s="673"/>
      <c r="H119" s="673"/>
      <c r="I119" s="673"/>
      <c r="J119" s="673"/>
      <c r="K119" s="673"/>
      <c r="L119" s="673"/>
      <c r="M119" s="673"/>
      <c r="N119" s="673"/>
      <c r="O119" s="673"/>
      <c r="P119" s="673"/>
      <c r="Q119" s="673"/>
      <c r="R119" s="673"/>
      <c r="S119" s="673"/>
      <c r="T119" s="673"/>
      <c r="U119" s="676"/>
      <c r="V119" s="676"/>
      <c r="W119" s="676"/>
      <c r="X119" s="676"/>
      <c r="Y119" s="676"/>
      <c r="Z119" s="676"/>
      <c r="AA119" s="391">
        <f t="shared" si="34"/>
        <v>0</v>
      </c>
      <c r="AB119" s="392">
        <f t="shared" si="35"/>
        <v>0</v>
      </c>
    </row>
    <row r="120" ht="39.75" customHeight="1">
      <c r="A120" s="402" t="s">
        <v>310</v>
      </c>
      <c r="B120" s="386" t="s">
        <v>311</v>
      </c>
      <c r="C120" s="670"/>
      <c r="D120" s="672"/>
      <c r="E120" s="676"/>
      <c r="F120" s="676"/>
      <c r="G120" s="676"/>
      <c r="H120" s="676"/>
      <c r="I120" s="676"/>
      <c r="J120" s="676"/>
      <c r="K120" s="676"/>
      <c r="L120" s="676"/>
      <c r="M120" s="676"/>
      <c r="N120" s="676"/>
      <c r="O120" s="676"/>
      <c r="P120" s="676"/>
      <c r="Q120" s="676"/>
      <c r="R120" s="676"/>
      <c r="S120" s="676"/>
      <c r="T120" s="676"/>
      <c r="U120" s="676"/>
      <c r="V120" s="676"/>
      <c r="W120" s="676"/>
      <c r="X120" s="676"/>
      <c r="Y120" s="676"/>
      <c r="Z120" s="676"/>
      <c r="AA120" s="391">
        <f t="shared" si="34"/>
        <v>0</v>
      </c>
      <c r="AB120" s="392">
        <f t="shared" si="35"/>
        <v>0</v>
      </c>
    </row>
    <row r="121" ht="39.75" customHeight="1">
      <c r="A121" s="402" t="s">
        <v>312</v>
      </c>
      <c r="B121" s="386" t="s">
        <v>313</v>
      </c>
      <c r="C121" s="670"/>
      <c r="D121" s="672"/>
      <c r="E121" s="676"/>
      <c r="F121" s="676"/>
      <c r="G121" s="676"/>
      <c r="H121" s="676"/>
      <c r="I121" s="676"/>
      <c r="J121" s="676"/>
      <c r="K121" s="676"/>
      <c r="L121" s="676"/>
      <c r="M121" s="676"/>
      <c r="N121" s="676"/>
      <c r="O121" s="676"/>
      <c r="P121" s="676"/>
      <c r="Q121" s="676"/>
      <c r="R121" s="676"/>
      <c r="S121" s="676"/>
      <c r="T121" s="676"/>
      <c r="U121" s="676"/>
      <c r="V121" s="676"/>
      <c r="W121" s="676"/>
      <c r="X121" s="676"/>
      <c r="Y121" s="676"/>
      <c r="Z121" s="676"/>
      <c r="AA121" s="391">
        <f t="shared" si="34"/>
        <v>0</v>
      </c>
      <c r="AB121" s="392">
        <f t="shared" si="35"/>
        <v>0</v>
      </c>
    </row>
    <row r="122" ht="39.75" customHeight="1">
      <c r="A122" s="402" t="s">
        <v>314</v>
      </c>
      <c r="B122" s="386" t="s">
        <v>315</v>
      </c>
      <c r="C122" s="670"/>
      <c r="D122" s="672"/>
      <c r="E122" s="676"/>
      <c r="F122" s="676"/>
      <c r="G122" s="676"/>
      <c r="H122" s="676"/>
      <c r="I122" s="676"/>
      <c r="J122" s="676"/>
      <c r="K122" s="676"/>
      <c r="L122" s="676"/>
      <c r="M122" s="676"/>
      <c r="N122" s="676"/>
      <c r="O122" s="676"/>
      <c r="P122" s="676"/>
      <c r="Q122" s="676"/>
      <c r="R122" s="676"/>
      <c r="S122" s="676"/>
      <c r="T122" s="676"/>
      <c r="U122" s="676"/>
      <c r="V122" s="676"/>
      <c r="W122" s="676"/>
      <c r="X122" s="676"/>
      <c r="Y122" s="676"/>
      <c r="Z122" s="676"/>
      <c r="AA122" s="391">
        <f t="shared" si="34"/>
        <v>0</v>
      </c>
      <c r="AB122" s="392">
        <f t="shared" si="35"/>
        <v>0</v>
      </c>
    </row>
    <row r="123" ht="39.75" customHeight="1">
      <c r="A123" s="402" t="s">
        <v>316</v>
      </c>
      <c r="B123" s="386" t="s">
        <v>317</v>
      </c>
      <c r="C123" s="670"/>
      <c r="D123" s="672"/>
      <c r="E123" s="676"/>
      <c r="F123" s="676"/>
      <c r="G123" s="676"/>
      <c r="H123" s="676"/>
      <c r="I123" s="676"/>
      <c r="J123" s="676"/>
      <c r="K123" s="676"/>
      <c r="L123" s="676"/>
      <c r="M123" s="676"/>
      <c r="N123" s="676"/>
      <c r="O123" s="676"/>
      <c r="P123" s="676"/>
      <c r="Q123" s="676"/>
      <c r="R123" s="676"/>
      <c r="S123" s="676"/>
      <c r="T123" s="676"/>
      <c r="U123" s="676"/>
      <c r="V123" s="676"/>
      <c r="W123" s="676"/>
      <c r="X123" s="676"/>
      <c r="Y123" s="676"/>
      <c r="Z123" s="676"/>
      <c r="AA123" s="391">
        <f t="shared" si="34"/>
        <v>0</v>
      </c>
      <c r="AB123" s="392">
        <f t="shared" si="35"/>
        <v>0</v>
      </c>
    </row>
    <row r="124" ht="39.75" customHeight="1">
      <c r="A124" s="402" t="s">
        <v>318</v>
      </c>
      <c r="B124" s="386" t="s">
        <v>319</v>
      </c>
      <c r="C124" s="670"/>
      <c r="D124" s="672"/>
      <c r="E124" s="672"/>
      <c r="F124" s="676"/>
      <c r="G124" s="672"/>
      <c r="H124" s="676"/>
      <c r="I124" s="672"/>
      <c r="J124" s="676"/>
      <c r="K124" s="672"/>
      <c r="L124" s="676"/>
      <c r="M124" s="672"/>
      <c r="N124" s="676"/>
      <c r="O124" s="672"/>
      <c r="P124" s="676"/>
      <c r="Q124" s="672"/>
      <c r="R124" s="676"/>
      <c r="S124" s="672"/>
      <c r="T124" s="676"/>
      <c r="U124" s="672"/>
      <c r="V124" s="676"/>
      <c r="W124" s="672"/>
      <c r="X124" s="676"/>
      <c r="Y124" s="672"/>
      <c r="Z124" s="676"/>
      <c r="AA124" s="391">
        <f t="shared" si="34"/>
        <v>0</v>
      </c>
      <c r="AB124" s="392">
        <f t="shared" si="35"/>
        <v>0</v>
      </c>
    </row>
    <row r="125" ht="39.75" customHeight="1">
      <c r="A125" s="423" t="s">
        <v>320</v>
      </c>
      <c r="B125" s="424" t="s">
        <v>321</v>
      </c>
      <c r="C125" s="678"/>
      <c r="D125" s="677"/>
      <c r="E125" s="679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  <c r="AA125" s="679"/>
      <c r="AB125" s="530"/>
    </row>
    <row r="126" ht="39.75" customHeight="1">
      <c r="A126" s="378" t="s">
        <v>322</v>
      </c>
      <c r="B126" s="425" t="s">
        <v>323</v>
      </c>
      <c r="C126" s="678"/>
      <c r="D126" s="677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  <c r="AA126" s="679"/>
      <c r="AB126" s="530"/>
    </row>
    <row r="127" ht="39.75" customHeight="1">
      <c r="A127" s="411" t="s">
        <v>324</v>
      </c>
      <c r="B127" s="426" t="s">
        <v>325</v>
      </c>
      <c r="C127" s="670"/>
      <c r="D127" s="672"/>
      <c r="E127" s="672"/>
      <c r="F127" s="676"/>
      <c r="G127" s="672"/>
      <c r="H127" s="676"/>
      <c r="I127" s="672"/>
      <c r="J127" s="676"/>
      <c r="K127" s="672"/>
      <c r="L127" s="676"/>
      <c r="M127" s="672"/>
      <c r="N127" s="676"/>
      <c r="O127" s="672"/>
      <c r="P127" s="676"/>
      <c r="Q127" s="672"/>
      <c r="R127" s="676"/>
      <c r="S127" s="672"/>
      <c r="T127" s="676"/>
      <c r="U127" s="672"/>
      <c r="V127" s="676"/>
      <c r="W127" s="672"/>
      <c r="X127" s="676"/>
      <c r="Y127" s="672"/>
      <c r="Z127" s="676"/>
      <c r="AA127" s="391">
        <f t="shared" ref="AA127:AA138" si="36">COUNTIF(C127:Z127,"&gt;=R")</f>
        <v>0</v>
      </c>
      <c r="AB127" s="392">
        <f t="shared" ref="AB127:AB138" si="37">AA127</f>
        <v>0</v>
      </c>
    </row>
    <row r="128" ht="39.75" customHeight="1">
      <c r="A128" s="427" t="s">
        <v>326</v>
      </c>
      <c r="B128" s="428" t="s">
        <v>327</v>
      </c>
      <c r="C128" s="670"/>
      <c r="D128" s="672"/>
      <c r="E128" s="672"/>
      <c r="F128" s="676"/>
      <c r="G128" s="672"/>
      <c r="H128" s="676"/>
      <c r="I128" s="672"/>
      <c r="J128" s="676"/>
      <c r="K128" s="672"/>
      <c r="L128" s="676"/>
      <c r="M128" s="672"/>
      <c r="N128" s="676"/>
      <c r="O128" s="672"/>
      <c r="P128" s="676"/>
      <c r="Q128" s="672"/>
      <c r="R128" s="676"/>
      <c r="S128" s="672"/>
      <c r="T128" s="676"/>
      <c r="U128" s="672"/>
      <c r="V128" s="676"/>
      <c r="W128" s="672"/>
      <c r="X128" s="676"/>
      <c r="Y128" s="672"/>
      <c r="Z128" s="676"/>
      <c r="AA128" s="391">
        <f t="shared" si="36"/>
        <v>0</v>
      </c>
      <c r="AB128" s="392">
        <f t="shared" si="37"/>
        <v>0</v>
      </c>
    </row>
    <row r="129" ht="39.75" customHeight="1">
      <c r="A129" s="411" t="s">
        <v>328</v>
      </c>
      <c r="B129" s="426" t="s">
        <v>329</v>
      </c>
      <c r="C129" s="670"/>
      <c r="D129" s="672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3"/>
      <c r="P129" s="676"/>
      <c r="Q129" s="673"/>
      <c r="R129" s="676"/>
      <c r="S129" s="673"/>
      <c r="T129" s="676"/>
      <c r="U129" s="673"/>
      <c r="V129" s="676"/>
      <c r="W129" s="673"/>
      <c r="X129" s="676"/>
      <c r="Y129" s="673"/>
      <c r="Z129" s="676"/>
      <c r="AA129" s="391">
        <f t="shared" si="36"/>
        <v>0</v>
      </c>
      <c r="AB129" s="392">
        <f t="shared" si="37"/>
        <v>0</v>
      </c>
    </row>
    <row r="130" ht="39.75" customHeight="1">
      <c r="A130" s="411" t="s">
        <v>330</v>
      </c>
      <c r="B130" s="426" t="s">
        <v>331</v>
      </c>
      <c r="C130" s="680"/>
      <c r="D130" s="672"/>
      <c r="E130" s="673"/>
      <c r="F130" s="676"/>
      <c r="G130" s="673"/>
      <c r="H130" s="676"/>
      <c r="I130" s="673"/>
      <c r="J130" s="676"/>
      <c r="K130" s="673"/>
      <c r="L130" s="676"/>
      <c r="M130" s="673"/>
      <c r="N130" s="676"/>
      <c r="O130" s="673"/>
      <c r="P130" s="676"/>
      <c r="Q130" s="673"/>
      <c r="R130" s="676"/>
      <c r="S130" s="673"/>
      <c r="T130" s="676"/>
      <c r="U130" s="673"/>
      <c r="V130" s="676"/>
      <c r="W130" s="673"/>
      <c r="X130" s="676"/>
      <c r="Y130" s="673"/>
      <c r="Z130" s="676"/>
      <c r="AA130" s="391">
        <f t="shared" si="36"/>
        <v>0</v>
      </c>
      <c r="AB130" s="392">
        <f t="shared" si="37"/>
        <v>0</v>
      </c>
    </row>
    <row r="131" ht="39.75" customHeight="1">
      <c r="A131" s="411" t="s">
        <v>332</v>
      </c>
      <c r="B131" s="426" t="s">
        <v>333</v>
      </c>
      <c r="C131" s="670"/>
      <c r="D131" s="672"/>
      <c r="E131" s="676"/>
      <c r="F131" s="676"/>
      <c r="G131" s="676"/>
      <c r="H131" s="676"/>
      <c r="I131" s="676"/>
      <c r="J131" s="676"/>
      <c r="K131" s="676"/>
      <c r="L131" s="676"/>
      <c r="M131" s="676"/>
      <c r="N131" s="676"/>
      <c r="O131" s="676"/>
      <c r="P131" s="676"/>
      <c r="Q131" s="676"/>
      <c r="R131" s="676"/>
      <c r="S131" s="676"/>
      <c r="T131" s="676"/>
      <c r="U131" s="676"/>
      <c r="V131" s="676"/>
      <c r="W131" s="676"/>
      <c r="X131" s="676"/>
      <c r="Y131" s="676"/>
      <c r="Z131" s="676"/>
      <c r="AA131" s="391">
        <f t="shared" si="36"/>
        <v>0</v>
      </c>
      <c r="AB131" s="392">
        <f t="shared" si="37"/>
        <v>0</v>
      </c>
    </row>
    <row r="132" ht="39.75" customHeight="1">
      <c r="A132" s="411" t="s">
        <v>334</v>
      </c>
      <c r="B132" s="426" t="s">
        <v>335</v>
      </c>
      <c r="C132" s="670"/>
      <c r="D132" s="671"/>
      <c r="E132" s="672"/>
      <c r="F132" s="673"/>
      <c r="G132" s="672"/>
      <c r="H132" s="673"/>
      <c r="I132" s="672"/>
      <c r="J132" s="673"/>
      <c r="K132" s="672"/>
      <c r="L132" s="676"/>
      <c r="M132" s="672"/>
      <c r="N132" s="676"/>
      <c r="O132" s="672"/>
      <c r="P132" s="676"/>
      <c r="Q132" s="672"/>
      <c r="R132" s="676"/>
      <c r="S132" s="672"/>
      <c r="T132" s="676"/>
      <c r="U132" s="672"/>
      <c r="V132" s="676"/>
      <c r="W132" s="672"/>
      <c r="X132" s="676"/>
      <c r="Y132" s="672"/>
      <c r="Z132" s="676"/>
      <c r="AA132" s="391">
        <f t="shared" si="36"/>
        <v>0</v>
      </c>
      <c r="AB132" s="392">
        <f t="shared" si="37"/>
        <v>0</v>
      </c>
    </row>
    <row r="133" ht="39.75" customHeight="1">
      <c r="A133" s="411" t="s">
        <v>336</v>
      </c>
      <c r="B133" s="426" t="s">
        <v>337</v>
      </c>
      <c r="C133" s="670"/>
      <c r="D133" s="672"/>
      <c r="E133" s="672"/>
      <c r="F133" s="676"/>
      <c r="G133" s="672"/>
      <c r="H133" s="676"/>
      <c r="I133" s="672"/>
      <c r="J133" s="676"/>
      <c r="K133" s="672"/>
      <c r="L133" s="676"/>
      <c r="M133" s="672"/>
      <c r="N133" s="676"/>
      <c r="O133" s="672"/>
      <c r="P133" s="676"/>
      <c r="Q133" s="672"/>
      <c r="R133" s="676"/>
      <c r="S133" s="672"/>
      <c r="T133" s="676"/>
      <c r="U133" s="672"/>
      <c r="V133" s="676"/>
      <c r="W133" s="672"/>
      <c r="X133" s="676"/>
      <c r="Y133" s="672"/>
      <c r="Z133" s="676"/>
      <c r="AA133" s="391">
        <f t="shared" si="36"/>
        <v>0</v>
      </c>
      <c r="AB133" s="392">
        <f t="shared" si="37"/>
        <v>0</v>
      </c>
    </row>
    <row r="134" ht="39.75" customHeight="1">
      <c r="A134" s="411" t="s">
        <v>338</v>
      </c>
      <c r="B134" s="426" t="s">
        <v>339</v>
      </c>
      <c r="C134" s="670"/>
      <c r="D134" s="672"/>
      <c r="E134" s="676"/>
      <c r="F134" s="676"/>
      <c r="G134" s="676"/>
      <c r="H134" s="676"/>
      <c r="I134" s="676"/>
      <c r="J134" s="676"/>
      <c r="K134" s="676"/>
      <c r="L134" s="676"/>
      <c r="M134" s="676"/>
      <c r="N134" s="676"/>
      <c r="O134" s="676"/>
      <c r="P134" s="676"/>
      <c r="Q134" s="676"/>
      <c r="R134" s="676"/>
      <c r="S134" s="676"/>
      <c r="T134" s="676"/>
      <c r="U134" s="676"/>
      <c r="V134" s="676"/>
      <c r="W134" s="676"/>
      <c r="X134" s="676"/>
      <c r="Y134" s="676"/>
      <c r="Z134" s="676"/>
      <c r="AA134" s="391">
        <f t="shared" si="36"/>
        <v>0</v>
      </c>
      <c r="AB134" s="392">
        <f t="shared" si="37"/>
        <v>0</v>
      </c>
    </row>
    <row r="135" ht="39.75" customHeight="1">
      <c r="A135" s="411" t="s">
        <v>340</v>
      </c>
      <c r="B135" s="426" t="s">
        <v>341</v>
      </c>
      <c r="C135" s="670"/>
      <c r="D135" s="672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6"/>
      <c r="P135" s="676"/>
      <c r="Q135" s="676"/>
      <c r="R135" s="676"/>
      <c r="S135" s="676"/>
      <c r="T135" s="676"/>
      <c r="U135" s="676"/>
      <c r="V135" s="676"/>
      <c r="W135" s="676"/>
      <c r="X135" s="676"/>
      <c r="Y135" s="676"/>
      <c r="Z135" s="676"/>
      <c r="AA135" s="391">
        <f t="shared" si="36"/>
        <v>0</v>
      </c>
      <c r="AB135" s="392">
        <f t="shared" si="37"/>
        <v>0</v>
      </c>
    </row>
    <row r="136" ht="39.75" customHeight="1">
      <c r="A136" s="411" t="s">
        <v>342</v>
      </c>
      <c r="B136" s="426" t="s">
        <v>343</v>
      </c>
      <c r="C136" s="670"/>
      <c r="D136" s="672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6"/>
      <c r="P136" s="676"/>
      <c r="Q136" s="676"/>
      <c r="R136" s="676"/>
      <c r="S136" s="676"/>
      <c r="T136" s="676"/>
      <c r="U136" s="676"/>
      <c r="V136" s="676"/>
      <c r="W136" s="676"/>
      <c r="X136" s="676"/>
      <c r="Y136" s="676"/>
      <c r="Z136" s="676"/>
      <c r="AA136" s="391">
        <f t="shared" si="36"/>
        <v>0</v>
      </c>
      <c r="AB136" s="392">
        <f t="shared" si="37"/>
        <v>0</v>
      </c>
    </row>
    <row r="137" ht="39.75" customHeight="1">
      <c r="A137" s="411" t="s">
        <v>344</v>
      </c>
      <c r="B137" s="426" t="s">
        <v>345</v>
      </c>
      <c r="C137" s="670"/>
      <c r="D137" s="672"/>
      <c r="E137" s="676"/>
      <c r="F137" s="676"/>
      <c r="G137" s="676"/>
      <c r="H137" s="676"/>
      <c r="I137" s="676"/>
      <c r="J137" s="676"/>
      <c r="K137" s="676"/>
      <c r="L137" s="676"/>
      <c r="M137" s="676"/>
      <c r="N137" s="676"/>
      <c r="O137" s="676"/>
      <c r="P137" s="676"/>
      <c r="Q137" s="676"/>
      <c r="R137" s="676"/>
      <c r="S137" s="676"/>
      <c r="T137" s="676"/>
      <c r="U137" s="676"/>
      <c r="V137" s="676"/>
      <c r="W137" s="676"/>
      <c r="X137" s="676"/>
      <c r="Y137" s="676"/>
      <c r="Z137" s="676"/>
      <c r="AA137" s="391">
        <f t="shared" si="36"/>
        <v>0</v>
      </c>
      <c r="AB137" s="392">
        <f t="shared" si="37"/>
        <v>0</v>
      </c>
    </row>
    <row r="138" ht="39.75" customHeight="1">
      <c r="A138" s="411" t="s">
        <v>346</v>
      </c>
      <c r="B138" s="426" t="s">
        <v>347</v>
      </c>
      <c r="C138" s="670"/>
      <c r="D138" s="672"/>
      <c r="E138" s="676"/>
      <c r="F138" s="676"/>
      <c r="G138" s="676"/>
      <c r="H138" s="676"/>
      <c r="I138" s="676"/>
      <c r="J138" s="676"/>
      <c r="K138" s="676"/>
      <c r="L138" s="676"/>
      <c r="M138" s="676"/>
      <c r="N138" s="676"/>
      <c r="O138" s="676"/>
      <c r="P138" s="676"/>
      <c r="Q138" s="676"/>
      <c r="R138" s="676"/>
      <c r="S138" s="676"/>
      <c r="T138" s="676"/>
      <c r="U138" s="676"/>
      <c r="V138" s="676"/>
      <c r="W138" s="676"/>
      <c r="X138" s="676"/>
      <c r="Y138" s="676"/>
      <c r="Z138" s="676"/>
      <c r="AA138" s="391">
        <f t="shared" si="36"/>
        <v>0</v>
      </c>
      <c r="AB138" s="392">
        <f t="shared" si="37"/>
        <v>0</v>
      </c>
    </row>
    <row r="139" ht="39.75" customHeight="1">
      <c r="A139" s="395" t="s">
        <v>348</v>
      </c>
      <c r="B139" s="422" t="s">
        <v>349</v>
      </c>
      <c r="C139" s="678"/>
      <c r="D139" s="677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79"/>
      <c r="AB139" s="530"/>
    </row>
    <row r="140" ht="39.75" customHeight="1">
      <c r="A140" s="411" t="s">
        <v>350</v>
      </c>
      <c r="B140" s="412" t="s">
        <v>351</v>
      </c>
      <c r="C140" s="670"/>
      <c r="D140" s="672"/>
      <c r="E140" s="672"/>
      <c r="F140" s="676"/>
      <c r="G140" s="672"/>
      <c r="H140" s="676"/>
      <c r="I140" s="672"/>
      <c r="J140" s="676"/>
      <c r="K140" s="672"/>
      <c r="L140" s="676"/>
      <c r="M140" s="672"/>
      <c r="N140" s="676"/>
      <c r="O140" s="672"/>
      <c r="P140" s="676"/>
      <c r="Q140" s="672"/>
      <c r="R140" s="676"/>
      <c r="S140" s="672"/>
      <c r="T140" s="676"/>
      <c r="U140" s="672"/>
      <c r="V140" s="676"/>
      <c r="W140" s="672"/>
      <c r="X140" s="676"/>
      <c r="Y140" s="672"/>
      <c r="Z140" s="676"/>
      <c r="AA140" s="391">
        <f t="shared" ref="AA140:AA142" si="38">COUNTIF(C140:Z140,"&gt;=R")</f>
        <v>0</v>
      </c>
      <c r="AB140" s="392">
        <f t="shared" ref="AB140:AB142" si="39">AA140</f>
        <v>0</v>
      </c>
    </row>
    <row r="141" ht="39.75" customHeight="1">
      <c r="A141" s="411" t="s">
        <v>352</v>
      </c>
      <c r="B141" s="412" t="s">
        <v>353</v>
      </c>
      <c r="C141" s="670"/>
      <c r="D141" s="672"/>
      <c r="E141" s="686" t="s">
        <v>37</v>
      </c>
      <c r="F141" s="676"/>
      <c r="G141" s="686" t="s">
        <v>37</v>
      </c>
      <c r="H141" s="676"/>
      <c r="I141" s="686" t="s">
        <v>37</v>
      </c>
      <c r="J141" s="676"/>
      <c r="K141" s="686" t="s">
        <v>37</v>
      </c>
      <c r="L141" s="676"/>
      <c r="M141" s="686" t="s">
        <v>37</v>
      </c>
      <c r="N141" s="676"/>
      <c r="O141" s="686" t="s">
        <v>37</v>
      </c>
      <c r="P141" s="676"/>
      <c r="Q141" s="676"/>
      <c r="R141" s="676"/>
      <c r="S141" s="686" t="s">
        <v>37</v>
      </c>
      <c r="T141" s="676"/>
      <c r="U141" s="687" t="s">
        <v>37</v>
      </c>
      <c r="V141" s="676"/>
      <c r="W141" s="687" t="s">
        <v>37</v>
      </c>
      <c r="X141" s="676"/>
      <c r="Y141" s="687" t="s">
        <v>37</v>
      </c>
      <c r="Z141" s="676"/>
      <c r="AA141" s="391">
        <f t="shared" si="38"/>
        <v>10</v>
      </c>
      <c r="AB141" s="392">
        <f t="shared" si="39"/>
        <v>10</v>
      </c>
    </row>
    <row r="142" ht="39.75" customHeight="1">
      <c r="A142" s="411" t="s">
        <v>354</v>
      </c>
      <c r="B142" s="412" t="s">
        <v>355</v>
      </c>
      <c r="C142" s="670"/>
      <c r="D142" s="672"/>
      <c r="E142" s="686" t="s">
        <v>37</v>
      </c>
      <c r="F142" s="676"/>
      <c r="G142" s="686" t="s">
        <v>37</v>
      </c>
      <c r="H142" s="676"/>
      <c r="I142" s="686" t="s">
        <v>37</v>
      </c>
      <c r="J142" s="676"/>
      <c r="K142" s="686" t="s">
        <v>37</v>
      </c>
      <c r="L142" s="676"/>
      <c r="M142" s="686" t="s">
        <v>37</v>
      </c>
      <c r="N142" s="676"/>
      <c r="O142" s="686" t="s">
        <v>37</v>
      </c>
      <c r="P142" s="676"/>
      <c r="Q142" s="676"/>
      <c r="R142" s="676"/>
      <c r="S142" s="686" t="s">
        <v>37</v>
      </c>
      <c r="T142" s="676"/>
      <c r="U142" s="687" t="s">
        <v>37</v>
      </c>
      <c r="V142" s="676"/>
      <c r="W142" s="687" t="s">
        <v>37</v>
      </c>
      <c r="X142" s="676"/>
      <c r="Y142" s="687" t="s">
        <v>37</v>
      </c>
      <c r="Z142" s="676"/>
      <c r="AA142" s="391">
        <f t="shared" si="38"/>
        <v>10</v>
      </c>
      <c r="AB142" s="392">
        <f t="shared" si="39"/>
        <v>10</v>
      </c>
    </row>
    <row r="143" ht="39.75" customHeight="1">
      <c r="A143" s="395" t="s">
        <v>356</v>
      </c>
      <c r="B143" s="422" t="s">
        <v>357</v>
      </c>
      <c r="C143" s="678"/>
      <c r="D143" s="677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  <c r="AA143" s="679"/>
      <c r="AB143" s="530"/>
    </row>
    <row r="144" ht="39.75" customHeight="1">
      <c r="A144" s="411" t="s">
        <v>358</v>
      </c>
      <c r="B144" s="412" t="s">
        <v>359</v>
      </c>
      <c r="C144" s="688" t="s">
        <v>8</v>
      </c>
      <c r="D144" s="672"/>
      <c r="E144" s="681" t="s">
        <v>8</v>
      </c>
      <c r="F144" s="676"/>
      <c r="G144" s="672" t="s">
        <v>76</v>
      </c>
      <c r="H144" s="676"/>
      <c r="I144" s="672" t="s">
        <v>76</v>
      </c>
      <c r="J144" s="676"/>
      <c r="K144" s="672" t="s">
        <v>76</v>
      </c>
      <c r="L144" s="676"/>
      <c r="M144" s="672" t="s">
        <v>76</v>
      </c>
      <c r="N144" s="676"/>
      <c r="O144" s="672" t="s">
        <v>76</v>
      </c>
      <c r="P144" s="676"/>
      <c r="Q144" s="672" t="s">
        <v>76</v>
      </c>
      <c r="R144" s="676"/>
      <c r="S144" s="672" t="s">
        <v>76</v>
      </c>
      <c r="T144" s="676"/>
      <c r="U144" s="672" t="s">
        <v>76</v>
      </c>
      <c r="V144" s="676"/>
      <c r="W144" s="689" t="s">
        <v>8</v>
      </c>
      <c r="X144" s="676"/>
      <c r="Y144" s="689" t="s">
        <v>8</v>
      </c>
      <c r="Z144" s="676"/>
      <c r="AA144" s="391">
        <f t="shared" ref="AA144:AA146" si="40">COUNTIF(C144:Z144,"&gt;=R")</f>
        <v>12</v>
      </c>
      <c r="AB144" s="392">
        <f t="shared" ref="AB144:AB146" si="41">AA144</f>
        <v>12</v>
      </c>
    </row>
    <row r="145" ht="39.75" customHeight="1">
      <c r="A145" s="411" t="s">
        <v>360</v>
      </c>
      <c r="B145" s="412" t="s">
        <v>361</v>
      </c>
      <c r="C145" s="680" t="s">
        <v>91</v>
      </c>
      <c r="D145" s="672"/>
      <c r="E145" s="673" t="s">
        <v>26</v>
      </c>
      <c r="F145" s="676"/>
      <c r="G145" s="673" t="s">
        <v>26</v>
      </c>
      <c r="H145" s="676"/>
      <c r="I145" s="673" t="s">
        <v>26</v>
      </c>
      <c r="J145" s="676"/>
      <c r="K145" s="673" t="s">
        <v>26</v>
      </c>
      <c r="L145" s="676"/>
      <c r="M145" s="673" t="s">
        <v>26</v>
      </c>
      <c r="N145" s="676"/>
      <c r="O145" s="673" t="s">
        <v>26</v>
      </c>
      <c r="P145" s="676"/>
      <c r="Q145" s="673" t="s">
        <v>26</v>
      </c>
      <c r="R145" s="676"/>
      <c r="S145" s="673" t="s">
        <v>26</v>
      </c>
      <c r="T145" s="676"/>
      <c r="U145" s="673" t="s">
        <v>26</v>
      </c>
      <c r="V145" s="676"/>
      <c r="W145" s="673" t="s">
        <v>26</v>
      </c>
      <c r="X145" s="676"/>
      <c r="Y145" s="673" t="s">
        <v>26</v>
      </c>
      <c r="Z145" s="676"/>
      <c r="AA145" s="391">
        <f t="shared" si="40"/>
        <v>12</v>
      </c>
      <c r="AB145" s="392">
        <f t="shared" si="41"/>
        <v>12</v>
      </c>
    </row>
    <row r="146" ht="39.75" customHeight="1">
      <c r="A146" s="411" t="s">
        <v>362</v>
      </c>
      <c r="B146" s="412" t="s">
        <v>363</v>
      </c>
      <c r="C146" s="670" t="s">
        <v>85</v>
      </c>
      <c r="D146" s="672"/>
      <c r="E146" s="672" t="s">
        <v>85</v>
      </c>
      <c r="F146" s="676"/>
      <c r="G146" s="672" t="s">
        <v>85</v>
      </c>
      <c r="H146" s="676"/>
      <c r="I146" s="672" t="s">
        <v>85</v>
      </c>
      <c r="J146" s="676"/>
      <c r="K146" s="672" t="s">
        <v>85</v>
      </c>
      <c r="L146" s="676"/>
      <c r="M146" s="672" t="s">
        <v>85</v>
      </c>
      <c r="N146" s="676"/>
      <c r="O146" s="672" t="s">
        <v>85</v>
      </c>
      <c r="P146" s="676"/>
      <c r="Q146" s="672" t="s">
        <v>85</v>
      </c>
      <c r="R146" s="676"/>
      <c r="S146" s="672" t="s">
        <v>85</v>
      </c>
      <c r="T146" s="676"/>
      <c r="U146" s="672" t="s">
        <v>85</v>
      </c>
      <c r="V146" s="676"/>
      <c r="W146" s="672" t="s">
        <v>85</v>
      </c>
      <c r="X146" s="676"/>
      <c r="Y146" s="672" t="s">
        <v>85</v>
      </c>
      <c r="Z146" s="676"/>
      <c r="AA146" s="391">
        <f t="shared" si="40"/>
        <v>12</v>
      </c>
      <c r="AB146" s="392">
        <f t="shared" si="41"/>
        <v>12</v>
      </c>
    </row>
    <row r="147" ht="39.75" customHeight="1">
      <c r="A147" s="395" t="s">
        <v>364</v>
      </c>
      <c r="B147" s="396" t="s">
        <v>365</v>
      </c>
      <c r="C147" s="678"/>
      <c r="D147" s="677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  <c r="AA147" s="679"/>
      <c r="AB147" s="530"/>
    </row>
    <row r="148" ht="39.75" customHeight="1">
      <c r="A148" s="429" t="s">
        <v>366</v>
      </c>
      <c r="B148" s="430" t="s">
        <v>367</v>
      </c>
      <c r="C148" s="670"/>
      <c r="D148" s="672"/>
      <c r="E148" s="676"/>
      <c r="F148" s="676"/>
      <c r="G148" s="676"/>
      <c r="H148" s="676"/>
      <c r="I148" s="676"/>
      <c r="J148" s="676"/>
      <c r="K148" s="676"/>
      <c r="L148" s="676"/>
      <c r="M148" s="676"/>
      <c r="N148" s="676"/>
      <c r="O148" s="676"/>
      <c r="P148" s="676"/>
      <c r="Q148" s="676"/>
      <c r="R148" s="676"/>
      <c r="S148" s="676"/>
      <c r="T148" s="676"/>
      <c r="U148" s="676"/>
      <c r="V148" s="676"/>
      <c r="W148" s="676"/>
      <c r="X148" s="676"/>
      <c r="Y148" s="676"/>
      <c r="Z148" s="676"/>
      <c r="AA148" s="391">
        <f t="shared" ref="AA148:AA155" si="42">COUNTIF(C148:Z148,"&gt;=R")</f>
        <v>0</v>
      </c>
      <c r="AB148" s="392">
        <f t="shared" ref="AB148:AB155" si="43">AA148</f>
        <v>0</v>
      </c>
    </row>
    <row r="149" ht="39.75" customHeight="1">
      <c r="A149" s="429" t="s">
        <v>368</v>
      </c>
      <c r="B149" s="430" t="s">
        <v>369</v>
      </c>
      <c r="C149" s="670"/>
      <c r="D149" s="672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391">
        <f t="shared" si="42"/>
        <v>0</v>
      </c>
      <c r="AB149" s="392">
        <f t="shared" si="43"/>
        <v>0</v>
      </c>
    </row>
    <row r="150" ht="39.75" customHeight="1">
      <c r="A150" s="429" t="s">
        <v>370</v>
      </c>
      <c r="B150" s="430" t="s">
        <v>371</v>
      </c>
      <c r="C150" s="680"/>
      <c r="D150" s="672"/>
      <c r="E150" s="673"/>
      <c r="F150" s="676"/>
      <c r="G150" s="673"/>
      <c r="H150" s="676"/>
      <c r="I150" s="673"/>
      <c r="J150" s="676"/>
      <c r="K150" s="673"/>
      <c r="L150" s="676"/>
      <c r="M150" s="673"/>
      <c r="N150" s="676"/>
      <c r="O150" s="673"/>
      <c r="P150" s="676"/>
      <c r="Q150" s="673"/>
      <c r="R150" s="676"/>
      <c r="S150" s="673"/>
      <c r="T150" s="676"/>
      <c r="U150" s="673"/>
      <c r="V150" s="676"/>
      <c r="W150" s="673"/>
      <c r="X150" s="676"/>
      <c r="Y150" s="673"/>
      <c r="Z150" s="676"/>
      <c r="AA150" s="391">
        <f t="shared" si="42"/>
        <v>0</v>
      </c>
      <c r="AB150" s="392">
        <f t="shared" si="43"/>
        <v>0</v>
      </c>
    </row>
    <row r="151" ht="39.75" customHeight="1">
      <c r="A151" s="431" t="s">
        <v>372</v>
      </c>
      <c r="B151" s="432" t="s">
        <v>373</v>
      </c>
      <c r="C151" s="680"/>
      <c r="D151" s="672"/>
      <c r="E151" s="676" t="s">
        <v>67</v>
      </c>
      <c r="F151" s="676"/>
      <c r="G151" s="676" t="s">
        <v>56</v>
      </c>
      <c r="H151" s="676"/>
      <c r="I151" s="673" t="s">
        <v>56</v>
      </c>
      <c r="J151" s="676"/>
      <c r="K151" s="673" t="s">
        <v>56</v>
      </c>
      <c r="L151" s="676"/>
      <c r="M151" s="673" t="s">
        <v>56</v>
      </c>
      <c r="N151" s="676"/>
      <c r="O151" s="673" t="s">
        <v>56</v>
      </c>
      <c r="P151" s="676"/>
      <c r="Q151" s="673"/>
      <c r="R151" s="676"/>
      <c r="S151" s="673"/>
      <c r="T151" s="676"/>
      <c r="U151" s="673"/>
      <c r="V151" s="676"/>
      <c r="W151" s="683" t="s">
        <v>8</v>
      </c>
      <c r="X151" s="676"/>
      <c r="Y151" s="676" t="s">
        <v>67</v>
      </c>
      <c r="Z151" s="676"/>
      <c r="AA151" s="391">
        <f t="shared" si="42"/>
        <v>8</v>
      </c>
      <c r="AB151" s="392">
        <f t="shared" si="43"/>
        <v>8</v>
      </c>
    </row>
    <row r="152" ht="39.75" customHeight="1">
      <c r="A152" s="431" t="s">
        <v>374</v>
      </c>
      <c r="B152" s="432" t="s">
        <v>375</v>
      </c>
      <c r="C152" s="680"/>
      <c r="D152" s="672"/>
      <c r="E152" s="676"/>
      <c r="F152" s="676"/>
      <c r="G152" s="676"/>
      <c r="H152" s="676"/>
      <c r="I152" s="673"/>
      <c r="J152" s="676"/>
      <c r="K152" s="673"/>
      <c r="L152" s="676"/>
      <c r="M152" s="673"/>
      <c r="N152" s="676"/>
      <c r="O152" s="673"/>
      <c r="P152" s="676"/>
      <c r="Q152" s="673"/>
      <c r="R152" s="676"/>
      <c r="S152" s="673"/>
      <c r="T152" s="676"/>
      <c r="U152" s="673"/>
      <c r="V152" s="676"/>
      <c r="W152" s="676"/>
      <c r="X152" s="676"/>
      <c r="Y152" s="676"/>
      <c r="Z152" s="676"/>
      <c r="AA152" s="391">
        <f t="shared" si="42"/>
        <v>0</v>
      </c>
      <c r="AB152" s="392">
        <f t="shared" si="43"/>
        <v>0</v>
      </c>
    </row>
    <row r="153" ht="39.75" customHeight="1">
      <c r="A153" s="431" t="s">
        <v>376</v>
      </c>
      <c r="B153" s="432" t="s">
        <v>377</v>
      </c>
      <c r="C153" s="680"/>
      <c r="D153" s="672"/>
      <c r="E153" s="673"/>
      <c r="F153" s="676"/>
      <c r="G153" s="673"/>
      <c r="H153" s="676"/>
      <c r="I153" s="673"/>
      <c r="J153" s="676"/>
      <c r="K153" s="673"/>
      <c r="L153" s="676"/>
      <c r="M153" s="673"/>
      <c r="N153" s="676"/>
      <c r="O153" s="673"/>
      <c r="P153" s="676"/>
      <c r="Q153" s="673"/>
      <c r="R153" s="676"/>
      <c r="S153" s="673"/>
      <c r="T153" s="676"/>
      <c r="U153" s="673"/>
      <c r="V153" s="676"/>
      <c r="W153" s="673"/>
      <c r="X153" s="676"/>
      <c r="Y153" s="673"/>
      <c r="Z153" s="676"/>
      <c r="AA153" s="391">
        <f t="shared" si="42"/>
        <v>0</v>
      </c>
      <c r="AB153" s="392">
        <f t="shared" si="43"/>
        <v>0</v>
      </c>
    </row>
    <row r="154" ht="39.75" customHeight="1">
      <c r="A154" s="431" t="s">
        <v>374</v>
      </c>
      <c r="B154" s="433" t="s">
        <v>375</v>
      </c>
      <c r="C154" s="670"/>
      <c r="D154" s="672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6"/>
      <c r="P154" s="676"/>
      <c r="Q154" s="676"/>
      <c r="R154" s="676"/>
      <c r="S154" s="676"/>
      <c r="T154" s="676"/>
      <c r="U154" s="676"/>
      <c r="V154" s="676"/>
      <c r="W154" s="676"/>
      <c r="X154" s="676"/>
      <c r="Y154" s="676"/>
      <c r="Z154" s="676"/>
      <c r="AA154" s="391">
        <f t="shared" si="42"/>
        <v>0</v>
      </c>
      <c r="AB154" s="392">
        <f t="shared" si="43"/>
        <v>0</v>
      </c>
    </row>
    <row r="155" ht="39.75" customHeight="1">
      <c r="A155" s="404" t="s">
        <v>378</v>
      </c>
      <c r="B155" s="405" t="s">
        <v>379</v>
      </c>
      <c r="C155" s="670"/>
      <c r="D155" s="672"/>
      <c r="E155" s="676"/>
      <c r="F155" s="676"/>
      <c r="G155" s="676"/>
      <c r="H155" s="676"/>
      <c r="I155" s="676"/>
      <c r="J155" s="676"/>
      <c r="K155" s="676"/>
      <c r="L155" s="676"/>
      <c r="M155" s="676"/>
      <c r="N155" s="676"/>
      <c r="O155" s="676"/>
      <c r="P155" s="676"/>
      <c r="Q155" s="676"/>
      <c r="R155" s="676"/>
      <c r="S155" s="676"/>
      <c r="T155" s="676"/>
      <c r="U155" s="676"/>
      <c r="V155" s="676"/>
      <c r="W155" s="676"/>
      <c r="X155" s="676"/>
      <c r="Y155" s="676"/>
      <c r="Z155" s="676"/>
      <c r="AA155" s="391">
        <f t="shared" si="42"/>
        <v>0</v>
      </c>
      <c r="AB155" s="392">
        <f t="shared" si="43"/>
        <v>0</v>
      </c>
    </row>
    <row r="156" ht="39.75" customHeight="1">
      <c r="A156" s="395" t="s">
        <v>380</v>
      </c>
      <c r="B156" s="396" t="s">
        <v>381</v>
      </c>
      <c r="C156" s="678"/>
      <c r="D156" s="677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79"/>
      <c r="AB156" s="530"/>
    </row>
    <row r="157" ht="39.75" customHeight="1">
      <c r="A157" s="411" t="s">
        <v>382</v>
      </c>
      <c r="B157" s="412" t="s">
        <v>383</v>
      </c>
      <c r="C157" s="670"/>
      <c r="D157" s="672"/>
      <c r="E157" s="676"/>
      <c r="F157" s="676"/>
      <c r="G157" s="676"/>
      <c r="H157" s="676"/>
      <c r="I157" s="676"/>
      <c r="J157" s="676"/>
      <c r="K157" s="676"/>
      <c r="L157" s="676"/>
      <c r="M157" s="676"/>
      <c r="N157" s="676"/>
      <c r="O157" s="676"/>
      <c r="P157" s="676"/>
      <c r="Q157" s="676"/>
      <c r="R157" s="676"/>
      <c r="S157" s="676"/>
      <c r="T157" s="676"/>
      <c r="U157" s="676"/>
      <c r="V157" s="676"/>
      <c r="W157" s="676"/>
      <c r="X157" s="676"/>
      <c r="Y157" s="676"/>
      <c r="Z157" s="676"/>
      <c r="AA157" s="391">
        <f t="shared" ref="AA157:AA160" si="44">COUNTIF(C157:Z157,"&gt;=R")</f>
        <v>0</v>
      </c>
      <c r="AB157" s="392">
        <f t="shared" ref="AB157:AB160" si="45">AA157</f>
        <v>0</v>
      </c>
    </row>
    <row r="158" ht="39.75" customHeight="1">
      <c r="A158" s="411" t="s">
        <v>384</v>
      </c>
      <c r="B158" s="412" t="s">
        <v>385</v>
      </c>
      <c r="C158" s="670"/>
      <c r="D158" s="672"/>
      <c r="E158" s="672"/>
      <c r="F158" s="676"/>
      <c r="G158" s="672"/>
      <c r="H158" s="676"/>
      <c r="I158" s="672"/>
      <c r="J158" s="676"/>
      <c r="K158" s="672"/>
      <c r="L158" s="676"/>
      <c r="M158" s="672"/>
      <c r="N158" s="676"/>
      <c r="O158" s="672"/>
      <c r="P158" s="676"/>
      <c r="Q158" s="672"/>
      <c r="R158" s="676"/>
      <c r="S158" s="672"/>
      <c r="T158" s="676"/>
      <c r="U158" s="672"/>
      <c r="V158" s="676"/>
      <c r="W158" s="672"/>
      <c r="X158" s="676"/>
      <c r="Y158" s="672"/>
      <c r="Z158" s="676"/>
      <c r="AA158" s="391">
        <f t="shared" si="44"/>
        <v>0</v>
      </c>
      <c r="AB158" s="392">
        <f t="shared" si="45"/>
        <v>0</v>
      </c>
    </row>
    <row r="159" ht="39.75" customHeight="1">
      <c r="A159" s="411" t="s">
        <v>386</v>
      </c>
      <c r="B159" s="412" t="s">
        <v>387</v>
      </c>
      <c r="C159" s="670"/>
      <c r="D159" s="672"/>
      <c r="E159" s="672"/>
      <c r="F159" s="676"/>
      <c r="G159" s="672"/>
      <c r="H159" s="676"/>
      <c r="I159" s="672"/>
      <c r="J159" s="676"/>
      <c r="K159" s="672"/>
      <c r="L159" s="676"/>
      <c r="M159" s="672"/>
      <c r="N159" s="676"/>
      <c r="O159" s="672"/>
      <c r="P159" s="676"/>
      <c r="Q159" s="672"/>
      <c r="R159" s="676"/>
      <c r="S159" s="672"/>
      <c r="T159" s="676"/>
      <c r="U159" s="672"/>
      <c r="V159" s="676"/>
      <c r="W159" s="672"/>
      <c r="X159" s="676"/>
      <c r="Y159" s="672"/>
      <c r="Z159" s="676"/>
      <c r="AA159" s="391">
        <f t="shared" si="44"/>
        <v>0</v>
      </c>
      <c r="AB159" s="392">
        <f t="shared" si="45"/>
        <v>0</v>
      </c>
    </row>
    <row r="160" ht="39.75" customHeight="1">
      <c r="A160" s="411" t="s">
        <v>388</v>
      </c>
      <c r="B160" s="412" t="s">
        <v>389</v>
      </c>
      <c r="C160" s="670"/>
      <c r="D160" s="672"/>
      <c r="E160" s="672"/>
      <c r="F160" s="676"/>
      <c r="G160" s="672"/>
      <c r="H160" s="676"/>
      <c r="I160" s="672"/>
      <c r="J160" s="676"/>
      <c r="K160" s="672"/>
      <c r="L160" s="676"/>
      <c r="M160" s="672"/>
      <c r="N160" s="676"/>
      <c r="O160" s="672"/>
      <c r="P160" s="676"/>
      <c r="Q160" s="672"/>
      <c r="R160" s="676"/>
      <c r="S160" s="672"/>
      <c r="T160" s="676"/>
      <c r="U160" s="672"/>
      <c r="V160" s="676"/>
      <c r="W160" s="672"/>
      <c r="X160" s="676"/>
      <c r="Y160" s="672"/>
      <c r="Z160" s="676"/>
      <c r="AA160" s="391">
        <f t="shared" si="44"/>
        <v>0</v>
      </c>
      <c r="AB160" s="392">
        <f t="shared" si="45"/>
        <v>0</v>
      </c>
    </row>
    <row r="161" ht="39.75" customHeight="1">
      <c r="A161" s="395" t="s">
        <v>390</v>
      </c>
      <c r="B161" s="422" t="s">
        <v>391</v>
      </c>
      <c r="C161" s="678"/>
      <c r="D161" s="677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  <c r="AA161" s="679"/>
      <c r="AB161" s="530"/>
    </row>
    <row r="162" ht="39.75" customHeight="1">
      <c r="A162" s="429" t="s">
        <v>392</v>
      </c>
      <c r="B162" s="430" t="s">
        <v>393</v>
      </c>
      <c r="C162" s="670"/>
      <c r="D162" s="672"/>
      <c r="E162" s="672"/>
      <c r="F162" s="676"/>
      <c r="G162" s="672"/>
      <c r="H162" s="676"/>
      <c r="I162" s="676"/>
      <c r="J162" s="676"/>
      <c r="K162" s="672"/>
      <c r="L162" s="676"/>
      <c r="M162" s="672"/>
      <c r="N162" s="676"/>
      <c r="O162" s="672"/>
      <c r="P162" s="676"/>
      <c r="Q162" s="672"/>
      <c r="R162" s="676"/>
      <c r="S162" s="672"/>
      <c r="T162" s="676"/>
      <c r="U162" s="672"/>
      <c r="V162" s="676"/>
      <c r="W162" s="672"/>
      <c r="X162" s="676"/>
      <c r="Y162" s="672"/>
      <c r="Z162" s="676"/>
      <c r="AA162" s="391">
        <f t="shared" ref="AA162:AA164" si="46">COUNTIF(C162:Z162,"&gt;=R")</f>
        <v>0</v>
      </c>
      <c r="AB162" s="392">
        <f t="shared" ref="AB162:AB164" si="47">AA162</f>
        <v>0</v>
      </c>
    </row>
    <row r="163" ht="39.75" customHeight="1">
      <c r="A163" s="429" t="s">
        <v>394</v>
      </c>
      <c r="B163" s="430" t="s">
        <v>395</v>
      </c>
      <c r="C163" s="670"/>
      <c r="D163" s="672"/>
      <c r="E163" s="672"/>
      <c r="F163" s="676"/>
      <c r="G163" s="672"/>
      <c r="H163" s="676"/>
      <c r="I163" s="676"/>
      <c r="J163" s="676"/>
      <c r="K163" s="672"/>
      <c r="L163" s="676"/>
      <c r="M163" s="672"/>
      <c r="N163" s="676"/>
      <c r="O163" s="672"/>
      <c r="P163" s="676"/>
      <c r="Q163" s="672"/>
      <c r="R163" s="676"/>
      <c r="S163" s="672"/>
      <c r="T163" s="676"/>
      <c r="U163" s="672"/>
      <c r="V163" s="676"/>
      <c r="W163" s="672"/>
      <c r="X163" s="676"/>
      <c r="Y163" s="672"/>
      <c r="Z163" s="676"/>
      <c r="AA163" s="391">
        <f t="shared" si="46"/>
        <v>0</v>
      </c>
      <c r="AB163" s="392">
        <f t="shared" si="47"/>
        <v>0</v>
      </c>
      <c r="AC163" s="449"/>
      <c r="AD163" s="449"/>
      <c r="AE163" s="449"/>
      <c r="AF163" s="449"/>
      <c r="AG163" s="449"/>
      <c r="AH163" s="449"/>
      <c r="AI163" s="449"/>
      <c r="AJ163" s="449"/>
      <c r="AK163" s="449"/>
      <c r="AL163" s="449"/>
    </row>
    <row r="164" ht="39.75" customHeight="1">
      <c r="A164" s="434" t="s">
        <v>396</v>
      </c>
      <c r="B164" s="435" t="s">
        <v>397</v>
      </c>
      <c r="C164" s="690"/>
      <c r="D164" s="691"/>
      <c r="E164" s="691"/>
      <c r="F164" s="692"/>
      <c r="G164" s="691"/>
      <c r="H164" s="692"/>
      <c r="I164" s="692"/>
      <c r="J164" s="692"/>
      <c r="K164" s="691"/>
      <c r="L164" s="692"/>
      <c r="M164" s="691"/>
      <c r="N164" s="692"/>
      <c r="O164" s="691"/>
      <c r="P164" s="692"/>
      <c r="Q164" s="691"/>
      <c r="R164" s="692"/>
      <c r="S164" s="691"/>
      <c r="T164" s="692"/>
      <c r="U164" s="691"/>
      <c r="V164" s="692"/>
      <c r="W164" s="691"/>
      <c r="X164" s="692"/>
      <c r="Y164" s="691"/>
      <c r="Z164" s="692"/>
      <c r="AA164" s="391">
        <f t="shared" si="46"/>
        <v>0</v>
      </c>
      <c r="AB164" s="392">
        <f t="shared" si="47"/>
        <v>0</v>
      </c>
      <c r="AC164" s="449"/>
      <c r="AD164" s="449"/>
      <c r="AE164" s="449"/>
      <c r="AF164" s="449"/>
      <c r="AG164" s="449"/>
      <c r="AH164" s="449"/>
      <c r="AI164" s="449"/>
      <c r="AJ164" s="449"/>
      <c r="AK164" s="449"/>
      <c r="AL164" s="449"/>
    </row>
    <row r="165" ht="24.75" customHeight="1">
      <c r="A165" s="438"/>
      <c r="B165" s="439"/>
      <c r="C165" s="693"/>
      <c r="D165" s="693"/>
      <c r="E165" s="693"/>
      <c r="F165" s="693"/>
      <c r="G165" s="693"/>
      <c r="H165" s="693"/>
      <c r="I165" s="693"/>
      <c r="J165" s="693"/>
      <c r="K165" s="693"/>
      <c r="L165" s="693"/>
      <c r="M165" s="693"/>
      <c r="N165" s="693"/>
      <c r="O165" s="693"/>
      <c r="P165" s="693"/>
      <c r="Q165" s="693"/>
      <c r="R165" s="693"/>
      <c r="S165" s="693"/>
      <c r="T165" s="693"/>
      <c r="U165" s="693"/>
      <c r="V165" s="693"/>
      <c r="W165" s="693"/>
      <c r="X165" s="693"/>
      <c r="Y165" s="693"/>
      <c r="Z165" s="693"/>
      <c r="AA165" s="693"/>
      <c r="AB165" s="693"/>
      <c r="AC165" s="694"/>
      <c r="AD165" s="694"/>
      <c r="AE165" s="694"/>
      <c r="AF165" s="694"/>
      <c r="AG165" s="694"/>
      <c r="AH165" s="694"/>
      <c r="AI165" s="694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4.75" customHeight="1">
      <c r="A166" s="438"/>
      <c r="B166" s="439"/>
      <c r="C166" s="693"/>
      <c r="D166" s="693"/>
      <c r="E166" s="693"/>
      <c r="F166" s="693"/>
      <c r="G166" s="693"/>
      <c r="H166" s="693"/>
      <c r="I166" s="693"/>
      <c r="J166" s="693"/>
      <c r="K166" s="693"/>
      <c r="L166" s="693"/>
      <c r="M166" s="693"/>
      <c r="N166" s="693"/>
      <c r="O166" s="693"/>
      <c r="P166" s="693"/>
      <c r="Q166" s="693"/>
      <c r="R166" s="693"/>
      <c r="S166" s="693"/>
      <c r="T166" s="693"/>
      <c r="U166" s="693"/>
      <c r="V166" s="693"/>
      <c r="W166" s="693"/>
      <c r="X166" s="693"/>
      <c r="Y166" s="693"/>
      <c r="Z166" s="693"/>
      <c r="AA166" s="693"/>
      <c r="AB166" s="693"/>
      <c r="AC166" s="694"/>
      <c r="AD166" s="694"/>
      <c r="AE166" s="694"/>
      <c r="AF166" s="694"/>
      <c r="AG166" s="694"/>
      <c r="AH166" s="694"/>
      <c r="AI166" s="694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4.75" customHeight="1">
      <c r="A167" s="438"/>
      <c r="B167" s="439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  <c r="R167" s="693"/>
      <c r="S167" s="693"/>
      <c r="T167" s="693"/>
      <c r="U167" s="693"/>
      <c r="V167" s="693"/>
      <c r="W167" s="693"/>
      <c r="X167" s="693"/>
      <c r="Y167" s="693"/>
      <c r="Z167" s="693"/>
      <c r="AA167" s="693"/>
      <c r="AB167" s="693"/>
      <c r="AC167" s="694"/>
      <c r="AD167" s="694"/>
      <c r="AE167" s="694"/>
      <c r="AF167" s="694"/>
      <c r="AG167" s="694"/>
      <c r="AH167" s="694"/>
      <c r="AI167" s="694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4.75" customHeight="1">
      <c r="A168" s="438"/>
      <c r="B168" s="439"/>
      <c r="C168" s="693"/>
      <c r="D168" s="693"/>
      <c r="E168" s="693"/>
      <c r="F168" s="693"/>
      <c r="G168" s="693"/>
      <c r="H168" s="693"/>
      <c r="I168" s="693"/>
      <c r="J168" s="693"/>
      <c r="K168" s="693"/>
      <c r="L168" s="693"/>
      <c r="M168" s="693"/>
      <c r="N168" s="693"/>
      <c r="O168" s="693"/>
      <c r="P168" s="693"/>
      <c r="Q168" s="693"/>
      <c r="R168" s="693"/>
      <c r="S168" s="693"/>
      <c r="T168" s="693"/>
      <c r="U168" s="693"/>
      <c r="V168" s="693"/>
      <c r="W168" s="693"/>
      <c r="X168" s="693"/>
      <c r="Y168" s="693"/>
      <c r="Z168" s="693"/>
      <c r="AA168" s="693"/>
      <c r="AB168" s="693"/>
      <c r="AC168" s="694"/>
      <c r="AD168" s="694"/>
      <c r="AE168" s="694"/>
      <c r="AF168" s="694"/>
      <c r="AG168" s="694"/>
      <c r="AH168" s="694"/>
      <c r="AI168" s="694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4.75" customHeight="1">
      <c r="A169" s="438"/>
      <c r="B169" s="439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3"/>
      <c r="N169" s="693"/>
      <c r="O169" s="693"/>
      <c r="P169" s="693"/>
      <c r="Q169" s="693"/>
      <c r="R169" s="693"/>
      <c r="S169" s="693"/>
      <c r="T169" s="693"/>
      <c r="U169" s="693"/>
      <c r="V169" s="693"/>
      <c r="W169" s="693"/>
      <c r="X169" s="693"/>
      <c r="Y169" s="693"/>
      <c r="Z169" s="693"/>
      <c r="AA169" s="693"/>
      <c r="AB169" s="693"/>
      <c r="AC169" s="694"/>
      <c r="AD169" s="694"/>
      <c r="AE169" s="694"/>
      <c r="AF169" s="694"/>
      <c r="AG169" s="694"/>
      <c r="AH169" s="694"/>
      <c r="AI169" s="694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4.75" customHeight="1">
      <c r="A170" s="438"/>
      <c r="B170" s="439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3"/>
      <c r="N170" s="693"/>
      <c r="O170" s="693"/>
      <c r="P170" s="693"/>
      <c r="Q170" s="693"/>
      <c r="R170" s="693"/>
      <c r="S170" s="693"/>
      <c r="T170" s="693"/>
      <c r="U170" s="693"/>
      <c r="V170" s="693"/>
      <c r="W170" s="693"/>
      <c r="X170" s="693"/>
      <c r="Y170" s="693"/>
      <c r="Z170" s="693"/>
      <c r="AA170" s="693"/>
      <c r="AB170" s="693"/>
      <c r="AC170" s="694"/>
      <c r="AD170" s="694"/>
      <c r="AE170" s="694"/>
      <c r="AF170" s="694"/>
      <c r="AG170" s="694"/>
      <c r="AH170" s="694"/>
      <c r="AI170" s="694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4.75" customHeight="1">
      <c r="A171" s="438"/>
      <c r="B171" s="439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3"/>
      <c r="N171" s="693"/>
      <c r="O171" s="693"/>
      <c r="P171" s="693"/>
      <c r="Q171" s="693"/>
      <c r="R171" s="693"/>
      <c r="S171" s="693"/>
      <c r="T171" s="693"/>
      <c r="U171" s="693"/>
      <c r="V171" s="693"/>
      <c r="W171" s="693"/>
      <c r="X171" s="693"/>
      <c r="Y171" s="693"/>
      <c r="Z171" s="693"/>
      <c r="AA171" s="693"/>
      <c r="AB171" s="693"/>
      <c r="AC171" s="694"/>
      <c r="AD171" s="694"/>
      <c r="AE171" s="694"/>
      <c r="AF171" s="694"/>
      <c r="AG171" s="694"/>
      <c r="AH171" s="694"/>
      <c r="AI171" s="694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4.75" customHeight="1">
      <c r="A172" s="441"/>
      <c r="B172" s="439"/>
      <c r="C172" s="693"/>
      <c r="D172" s="693"/>
      <c r="E172" s="693"/>
      <c r="F172" s="693"/>
      <c r="G172" s="693"/>
      <c r="H172" s="693"/>
      <c r="I172" s="693"/>
      <c r="J172" s="693"/>
      <c r="K172" s="693"/>
      <c r="L172" s="693"/>
      <c r="M172" s="693"/>
      <c r="N172" s="693"/>
      <c r="O172" s="693"/>
      <c r="P172" s="693"/>
      <c r="Q172" s="693"/>
      <c r="R172" s="693"/>
      <c r="S172" s="693"/>
      <c r="T172" s="693"/>
      <c r="U172" s="693"/>
      <c r="V172" s="693"/>
      <c r="W172" s="693"/>
      <c r="X172" s="693"/>
      <c r="Y172" s="693"/>
      <c r="Z172" s="693"/>
      <c r="AA172" s="693"/>
      <c r="AB172" s="693"/>
      <c r="AC172" s="694"/>
      <c r="AD172" s="694"/>
      <c r="AE172" s="694"/>
      <c r="AF172" s="694"/>
      <c r="AG172" s="694"/>
      <c r="AH172" s="694"/>
      <c r="AI172" s="694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4.75" customHeight="1">
      <c r="A173" s="441"/>
      <c r="B173" s="439"/>
      <c r="C173" s="693"/>
      <c r="D173" s="693"/>
      <c r="E173" s="693"/>
      <c r="F173" s="693"/>
      <c r="G173" s="693"/>
      <c r="H173" s="693"/>
      <c r="I173" s="693"/>
      <c r="J173" s="693"/>
      <c r="K173" s="693"/>
      <c r="L173" s="693"/>
      <c r="M173" s="693"/>
      <c r="N173" s="693"/>
      <c r="O173" s="693"/>
      <c r="P173" s="693"/>
      <c r="Q173" s="693"/>
      <c r="R173" s="693"/>
      <c r="S173" s="693"/>
      <c r="T173" s="693"/>
      <c r="U173" s="693"/>
      <c r="V173" s="693"/>
      <c r="W173" s="693"/>
      <c r="X173" s="693"/>
      <c r="Y173" s="693"/>
      <c r="Z173" s="693"/>
      <c r="AA173" s="693"/>
      <c r="AB173" s="693"/>
      <c r="AC173" s="694"/>
      <c r="AD173" s="694"/>
      <c r="AE173" s="694"/>
      <c r="AF173" s="694"/>
      <c r="AG173" s="694"/>
      <c r="AH173" s="694"/>
      <c r="AI173" s="694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4.75" customHeight="1">
      <c r="A174" s="441"/>
      <c r="B174" s="439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3"/>
      <c r="N174" s="693"/>
      <c r="O174" s="693"/>
      <c r="P174" s="693"/>
      <c r="Q174" s="693"/>
      <c r="R174" s="693"/>
      <c r="S174" s="693"/>
      <c r="T174" s="693"/>
      <c r="U174" s="693"/>
      <c r="V174" s="693"/>
      <c r="W174" s="693"/>
      <c r="X174" s="693"/>
      <c r="Y174" s="693"/>
      <c r="Z174" s="693"/>
      <c r="AA174" s="693"/>
      <c r="AB174" s="693"/>
      <c r="AC174" s="694"/>
      <c r="AD174" s="694"/>
      <c r="AE174" s="694"/>
      <c r="AF174" s="694"/>
      <c r="AG174" s="694"/>
      <c r="AH174" s="694"/>
      <c r="AI174" s="694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4.75" customHeight="1">
      <c r="A175" s="441"/>
      <c r="B175" s="439"/>
      <c r="C175" s="693"/>
      <c r="D175" s="693"/>
      <c r="E175" s="693"/>
      <c r="F175" s="693"/>
      <c r="G175" s="693"/>
      <c r="H175" s="693"/>
      <c r="I175" s="693"/>
      <c r="J175" s="693"/>
      <c r="K175" s="693"/>
      <c r="L175" s="693"/>
      <c r="M175" s="693"/>
      <c r="N175" s="693"/>
      <c r="O175" s="693"/>
      <c r="P175" s="693"/>
      <c r="Q175" s="693"/>
      <c r="R175" s="693"/>
      <c r="S175" s="693"/>
      <c r="T175" s="693"/>
      <c r="U175" s="693"/>
      <c r="V175" s="693"/>
      <c r="W175" s="693"/>
      <c r="X175" s="693"/>
      <c r="Y175" s="693"/>
      <c r="Z175" s="693"/>
      <c r="AA175" s="693"/>
      <c r="AB175" s="693"/>
      <c r="AC175" s="694"/>
      <c r="AD175" s="694"/>
      <c r="AE175" s="694"/>
      <c r="AF175" s="694"/>
      <c r="AG175" s="694"/>
      <c r="AH175" s="694"/>
      <c r="AI175" s="694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4.75" customHeight="1">
      <c r="A176" s="442"/>
      <c r="B176" s="440"/>
      <c r="C176" s="693"/>
      <c r="D176" s="693"/>
      <c r="E176" s="693"/>
      <c r="F176" s="693"/>
      <c r="G176" s="693"/>
      <c r="H176" s="693"/>
      <c r="I176" s="693"/>
      <c r="J176" s="693"/>
      <c r="K176" s="693"/>
      <c r="L176" s="693"/>
      <c r="M176" s="693"/>
      <c r="N176" s="693"/>
      <c r="O176" s="693"/>
      <c r="P176" s="693"/>
      <c r="Q176" s="693"/>
      <c r="R176" s="693"/>
      <c r="S176" s="693"/>
      <c r="T176" s="693"/>
      <c r="U176" s="693"/>
      <c r="V176" s="693"/>
      <c r="W176" s="693"/>
      <c r="X176" s="693"/>
      <c r="Y176" s="693"/>
      <c r="Z176" s="693"/>
      <c r="AA176" s="693"/>
      <c r="AB176" s="693"/>
      <c r="AC176" s="694"/>
      <c r="AD176" s="694"/>
      <c r="AE176" s="694"/>
      <c r="AF176" s="694"/>
      <c r="AG176" s="694"/>
      <c r="AH176" s="694"/>
      <c r="AI176" s="694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4.75" customHeight="1">
      <c r="A177" s="443"/>
      <c r="B177" s="444"/>
      <c r="C177" s="695"/>
      <c r="D177" s="696"/>
      <c r="E177" s="696"/>
      <c r="F177" s="696"/>
      <c r="G177" s="697"/>
      <c r="H177" s="697"/>
      <c r="I177" s="697"/>
      <c r="J177" s="697"/>
      <c r="K177" s="697"/>
      <c r="L177" s="697"/>
      <c r="M177" s="684"/>
      <c r="N177" s="696"/>
      <c r="O177" s="696"/>
      <c r="P177" s="696"/>
      <c r="Q177" s="696"/>
      <c r="R177" s="697"/>
      <c r="S177" s="697"/>
      <c r="T177" s="697"/>
      <c r="U177" s="684"/>
      <c r="V177" s="684"/>
      <c r="W177" s="697"/>
      <c r="X177" s="696"/>
      <c r="Y177" s="698"/>
      <c r="Z177" s="698"/>
      <c r="AA177" s="698"/>
      <c r="AB177" s="698"/>
      <c r="AC177" s="694"/>
      <c r="AD177" s="694"/>
      <c r="AE177" s="694"/>
      <c r="AF177" s="694"/>
      <c r="AG177" s="694"/>
      <c r="AH177" s="694"/>
      <c r="AI177" s="694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4.75" customHeight="1">
      <c r="A178" s="446"/>
      <c r="B178" s="447" t="s">
        <v>398</v>
      </c>
      <c r="C178" s="699"/>
      <c r="D178" s="700" t="s">
        <v>44</v>
      </c>
      <c r="E178" s="163"/>
      <c r="F178" s="163"/>
      <c r="G178" s="163"/>
      <c r="H178" s="163"/>
      <c r="I178" s="163"/>
      <c r="J178" s="163"/>
      <c r="K178" s="163"/>
      <c r="L178" s="164"/>
      <c r="M178" s="684"/>
      <c r="N178" s="700" t="s">
        <v>399</v>
      </c>
      <c r="O178" s="163"/>
      <c r="P178" s="163"/>
      <c r="Q178" s="163"/>
      <c r="R178" s="163"/>
      <c r="S178" s="163"/>
      <c r="T178" s="164"/>
      <c r="U178" s="684"/>
      <c r="V178" s="684"/>
      <c r="W178" s="701" t="s">
        <v>73</v>
      </c>
      <c r="X178" s="163"/>
      <c r="Y178" s="163"/>
      <c r="Z178" s="163"/>
      <c r="AA178" s="163"/>
      <c r="AB178" s="164"/>
      <c r="AC178" s="452"/>
      <c r="AD178" s="452"/>
      <c r="AE178" s="452"/>
      <c r="AF178" s="452"/>
      <c r="AG178" s="452"/>
      <c r="AH178" s="452"/>
      <c r="AI178" s="452"/>
      <c r="AJ178" s="452"/>
      <c r="AK178" s="452"/>
      <c r="AL178" s="452"/>
      <c r="AM178" s="452"/>
      <c r="AN178" s="452"/>
      <c r="AO178" s="449"/>
      <c r="AP178" s="449"/>
      <c r="AQ178" s="449"/>
      <c r="AR178" s="449"/>
      <c r="AS178" s="449"/>
      <c r="AT178" s="449"/>
      <c r="AU178" s="449"/>
      <c r="AV178" s="449"/>
    </row>
    <row r="179" ht="24.75" customHeight="1">
      <c r="A179" s="446"/>
      <c r="B179" s="453" t="s">
        <v>35</v>
      </c>
      <c r="C179" s="702"/>
      <c r="D179" s="703" t="s">
        <v>54</v>
      </c>
      <c r="E179" s="38"/>
      <c r="F179" s="38"/>
      <c r="G179" s="38"/>
      <c r="H179" s="38"/>
      <c r="I179" s="38"/>
      <c r="J179" s="38"/>
      <c r="K179" s="38"/>
      <c r="L179" s="40"/>
      <c r="M179" s="684"/>
      <c r="N179" s="704" t="s">
        <v>400</v>
      </c>
      <c r="O179" s="38"/>
      <c r="P179" s="38"/>
      <c r="Q179" s="38"/>
      <c r="R179" s="38"/>
      <c r="S179" s="38"/>
      <c r="T179" s="40"/>
      <c r="U179" s="684"/>
      <c r="V179" s="684"/>
      <c r="W179" s="705" t="s">
        <v>74</v>
      </c>
      <c r="X179" s="38"/>
      <c r="Y179" s="38"/>
      <c r="Z179" s="38"/>
      <c r="AA179" s="38"/>
      <c r="AB179" s="40"/>
      <c r="AC179" s="455"/>
      <c r="AD179" s="455"/>
      <c r="AE179" s="404"/>
      <c r="AF179" s="540"/>
      <c r="AG179" s="540"/>
      <c r="AH179" s="540"/>
      <c r="AI179" s="540"/>
      <c r="AJ179" s="540"/>
      <c r="AK179" s="458"/>
      <c r="AL179" s="458"/>
      <c r="AM179" s="458"/>
      <c r="AN179" s="458"/>
      <c r="AO179" s="449"/>
      <c r="AP179" s="449"/>
      <c r="AQ179" s="449"/>
      <c r="AR179" s="449"/>
      <c r="AS179" s="449"/>
      <c r="AT179" s="449"/>
      <c r="AU179" s="449"/>
      <c r="AV179" s="449"/>
    </row>
    <row r="180" ht="24.75" customHeight="1">
      <c r="A180" s="459"/>
      <c r="B180" s="460"/>
      <c r="C180" s="706"/>
      <c r="D180" s="706"/>
      <c r="E180" s="706"/>
      <c r="F180" s="706"/>
      <c r="G180" s="707"/>
      <c r="H180" s="707"/>
      <c r="I180" s="693"/>
      <c r="J180" s="693"/>
      <c r="K180" s="706"/>
      <c r="L180" s="706"/>
      <c r="M180" s="706"/>
      <c r="N180" s="706"/>
      <c r="O180" s="706"/>
      <c r="P180" s="706"/>
      <c r="Q180" s="706"/>
      <c r="R180" s="706"/>
      <c r="S180" s="706"/>
      <c r="T180" s="706"/>
      <c r="U180" s="706"/>
      <c r="V180" s="704"/>
      <c r="W180" s="38"/>
      <c r="X180" s="38"/>
      <c r="Y180" s="38"/>
      <c r="Z180" s="38"/>
      <c r="AA180" s="40"/>
      <c r="AB180" s="693"/>
      <c r="AC180" s="708"/>
      <c r="AD180" s="708"/>
      <c r="AE180" s="708"/>
      <c r="AF180" s="709"/>
      <c r="AG180" s="709"/>
      <c r="AH180" s="709"/>
      <c r="AI180" s="709"/>
      <c r="AJ180" s="173"/>
      <c r="AK180" s="173"/>
      <c r="AL180" s="173"/>
      <c r="AM180" s="173"/>
      <c r="AN180" s="173"/>
      <c r="AO180" s="1"/>
      <c r="AP180" s="1"/>
      <c r="AQ180" s="1"/>
      <c r="AR180" s="1"/>
      <c r="AS180" s="1"/>
      <c r="AT180" s="1"/>
      <c r="AU180" s="1"/>
      <c r="AV180" s="1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2">
    <mergeCell ref="S6:U6"/>
    <mergeCell ref="S7:U7"/>
    <mergeCell ref="S9:U9"/>
    <mergeCell ref="S10:U10"/>
    <mergeCell ref="S11:U11"/>
    <mergeCell ref="AA6:AB6"/>
    <mergeCell ref="AA7:AB7"/>
    <mergeCell ref="AA9:AB9"/>
    <mergeCell ref="AA10:AB10"/>
    <mergeCell ref="AA11:AB11"/>
    <mergeCell ref="AA14:AB14"/>
    <mergeCell ref="O7:Q7"/>
    <mergeCell ref="O8:Q8"/>
    <mergeCell ref="O9:Q9"/>
    <mergeCell ref="O10:Q10"/>
    <mergeCell ref="O11:Q11"/>
    <mergeCell ref="W7:Y7"/>
    <mergeCell ref="W8:Y8"/>
    <mergeCell ref="W9:Y9"/>
    <mergeCell ref="W10:Y10"/>
    <mergeCell ref="W11:Y11"/>
    <mergeCell ref="U14:Z14"/>
    <mergeCell ref="C3:F8"/>
    <mergeCell ref="G3:I8"/>
    <mergeCell ref="K3:M3"/>
    <mergeCell ref="S3:U3"/>
    <mergeCell ref="AA3:AB3"/>
    <mergeCell ref="K8:M8"/>
    <mergeCell ref="S8:U8"/>
    <mergeCell ref="AA8:AB8"/>
    <mergeCell ref="K6:M6"/>
    <mergeCell ref="K7:M7"/>
    <mergeCell ref="C9:F11"/>
    <mergeCell ref="G9:I11"/>
    <mergeCell ref="K9:M9"/>
    <mergeCell ref="K10:M10"/>
    <mergeCell ref="K11:M11"/>
    <mergeCell ref="M15:N15"/>
    <mergeCell ref="O15:P15"/>
    <mergeCell ref="Q15:R15"/>
    <mergeCell ref="S15:T15"/>
    <mergeCell ref="U15:V15"/>
    <mergeCell ref="W15:X15"/>
    <mergeCell ref="Y15:Z15"/>
    <mergeCell ref="A13:A15"/>
    <mergeCell ref="B13:B15"/>
    <mergeCell ref="C15:D15"/>
    <mergeCell ref="E15:F15"/>
    <mergeCell ref="G15:H15"/>
    <mergeCell ref="I15:J15"/>
    <mergeCell ref="K15:L15"/>
    <mergeCell ref="O3:Q3"/>
    <mergeCell ref="O4:Q4"/>
    <mergeCell ref="W3:Y3"/>
    <mergeCell ref="W4:Y4"/>
    <mergeCell ref="K4:M4"/>
    <mergeCell ref="K5:M5"/>
    <mergeCell ref="D178:L178"/>
    <mergeCell ref="D179:L179"/>
    <mergeCell ref="S4:U4"/>
    <mergeCell ref="S5:U5"/>
    <mergeCell ref="AA4:AB4"/>
    <mergeCell ref="AA5:AB5"/>
    <mergeCell ref="O5:Q5"/>
    <mergeCell ref="O6:Q6"/>
    <mergeCell ref="N178:T178"/>
    <mergeCell ref="N179:T179"/>
    <mergeCell ref="W5:Y5"/>
    <mergeCell ref="W6:Y6"/>
    <mergeCell ref="W178:AB178"/>
    <mergeCell ref="W179:AB179"/>
    <mergeCell ref="V180:AA180"/>
  </mergeCells>
  <conditionalFormatting sqref="C106 E106 G106 I106">
    <cfRule type="cellIs" dxfId="6" priority="1" stopIfTrue="1" operator="notEqual">
      <formula>0</formula>
    </cfRule>
  </conditionalFormatting>
  <conditionalFormatting sqref="C106 E106 G106 I106">
    <cfRule type="cellIs" dxfId="7" priority="2" stopIfTrue="1" operator="equal">
      <formula>0</formula>
    </cfRule>
  </conditionalFormatting>
  <conditionalFormatting sqref="C111 E111 G111 I111">
    <cfRule type="cellIs" dxfId="6" priority="3" stopIfTrue="1" operator="notEqual">
      <formula>0</formula>
    </cfRule>
  </conditionalFormatting>
  <conditionalFormatting sqref="C111 E111 G111 I111">
    <cfRule type="cellIs" dxfId="7" priority="4" stopIfTrue="1" operator="equal">
      <formula>0</formula>
    </cfRule>
  </conditionalFormatting>
  <conditionalFormatting sqref="C33:H33">
    <cfRule type="cellIs" dxfId="6" priority="5" stopIfTrue="1" operator="notEqual">
      <formula>0</formula>
    </cfRule>
  </conditionalFormatting>
  <conditionalFormatting sqref="C33:H33">
    <cfRule type="cellIs" dxfId="7" priority="6" stopIfTrue="1" operator="equal">
      <formula>0</formula>
    </cfRule>
  </conditionalFormatting>
  <conditionalFormatting sqref="C33:Z33">
    <cfRule type="containsText" dxfId="21" priority="7" operator="containsText" text="R37">
      <formula>NOT(ISERROR(SEARCH(("R37"),(C33))))</formula>
    </cfRule>
  </conditionalFormatting>
  <conditionalFormatting sqref="C33:Z33">
    <cfRule type="containsText" dxfId="1" priority="8" operator="containsText" text="R36">
      <formula>NOT(ISERROR(SEARCH(("R36"),(C33))))</formula>
    </cfRule>
  </conditionalFormatting>
  <conditionalFormatting sqref="C33:Z33">
    <cfRule type="containsText" dxfId="22" priority="9" operator="containsText" text="R35">
      <formula>NOT(ISERROR(SEARCH(("R35"),(C33))))</formula>
    </cfRule>
  </conditionalFormatting>
  <conditionalFormatting sqref="C33:Z33">
    <cfRule type="containsText" dxfId="23" priority="10" operator="containsText" text="R34">
      <formula>NOT(ISERROR(SEARCH(("R34"),(C33))))</formula>
    </cfRule>
  </conditionalFormatting>
  <conditionalFormatting sqref="C33:Z33">
    <cfRule type="containsText" dxfId="24" priority="11" operator="containsText" text="R33">
      <formula>NOT(ISERROR(SEARCH(("R33"),(C33))))</formula>
    </cfRule>
  </conditionalFormatting>
  <conditionalFormatting sqref="C33:Z33">
    <cfRule type="containsText" dxfId="25" priority="12" operator="containsText" text="R32">
      <formula>NOT(ISERROR(SEARCH(("R32"),(C33))))</formula>
    </cfRule>
  </conditionalFormatting>
  <conditionalFormatting sqref="C33:Z33">
    <cfRule type="containsText" dxfId="27" priority="13" operator="containsText" text="R30">
      <formula>NOT(ISERROR(SEARCH(("R30"),(C33))))</formula>
    </cfRule>
  </conditionalFormatting>
  <conditionalFormatting sqref="C33:Z33">
    <cfRule type="containsText" dxfId="29" priority="14" operator="containsText" text="R29">
      <formula>NOT(ISERROR(SEARCH(("R29"),(C33))))</formula>
    </cfRule>
  </conditionalFormatting>
  <conditionalFormatting sqref="C33:Z33">
    <cfRule type="containsText" dxfId="30" priority="15" operator="containsText" text="R27">
      <formula>NOT(ISERROR(SEARCH(("R27"),(C33))))</formula>
    </cfRule>
  </conditionalFormatting>
  <conditionalFormatting sqref="C33:Z33">
    <cfRule type="containsText" dxfId="2" priority="16" operator="containsText" text="R26">
      <formula>NOT(ISERROR(SEARCH(("R26"),(C33))))</formula>
    </cfRule>
  </conditionalFormatting>
  <conditionalFormatting sqref="C33:Z33">
    <cfRule type="containsText" dxfId="3" priority="17" operator="containsText" text="R25">
      <formula>NOT(ISERROR(SEARCH(("R25"),(C33))))</formula>
    </cfRule>
  </conditionalFormatting>
  <conditionalFormatting sqref="C33:Z33">
    <cfRule type="containsText" dxfId="31" priority="18" operator="containsText" text="R24">
      <formula>NOT(ISERROR(SEARCH(("R24"),(C33))))</formula>
    </cfRule>
  </conditionalFormatting>
  <conditionalFormatting sqref="C33:Z33">
    <cfRule type="containsText" dxfId="4" priority="19" operator="containsText" text="R23">
      <formula>NOT(ISERROR(SEARCH(("R23"),(C33))))</formula>
    </cfRule>
  </conditionalFormatting>
  <conditionalFormatting sqref="C33:Z33">
    <cfRule type="containsText" dxfId="8" priority="20" operator="containsText" text="R21">
      <formula>NOT(ISERROR(SEARCH(("R21"),(C33))))</formula>
    </cfRule>
  </conditionalFormatting>
  <conditionalFormatting sqref="C33:Z33">
    <cfRule type="containsText" dxfId="35" priority="21" operator="containsText" text="R17">
      <formula>NOT(ISERROR(SEARCH(("R17"),(C33))))</formula>
    </cfRule>
  </conditionalFormatting>
  <conditionalFormatting sqref="C33:Z33">
    <cfRule type="containsText" dxfId="10" priority="22" operator="containsText" text="R16">
      <formula>NOT(ISERROR(SEARCH(("R16"),(C33))))</formula>
    </cfRule>
  </conditionalFormatting>
  <conditionalFormatting sqref="C33:Z33">
    <cfRule type="containsText" dxfId="11" priority="23" operator="containsText" text="R15">
      <formula>NOT(ISERROR(SEARCH(("R15"),(C33))))</formula>
    </cfRule>
  </conditionalFormatting>
  <conditionalFormatting sqref="C33:Z33">
    <cfRule type="containsText" dxfId="12" priority="24" operator="containsText" text="R14">
      <formula>NOT(ISERROR(SEARCH(("R14"),(C33))))</formula>
    </cfRule>
  </conditionalFormatting>
  <conditionalFormatting sqref="C33:Z33">
    <cfRule type="containsText" dxfId="42" priority="25" operator="containsText" text="R13">
      <formula>NOT(ISERROR(SEARCH(("R13"),(C33))))</formula>
    </cfRule>
  </conditionalFormatting>
  <conditionalFormatting sqref="C33:Z33">
    <cfRule type="containsText" dxfId="37" priority="26" operator="containsText" text="R12">
      <formula>NOT(ISERROR(SEARCH(("R12"),(C33))))</formula>
    </cfRule>
  </conditionalFormatting>
  <conditionalFormatting sqref="C33:Z33">
    <cfRule type="containsText" dxfId="14" priority="27" operator="containsText" text="R10">
      <formula>NOT(ISERROR(SEARCH(("R10"),(C33))))</formula>
    </cfRule>
  </conditionalFormatting>
  <conditionalFormatting sqref="C33:Z33">
    <cfRule type="containsText" dxfId="15" priority="28" operator="containsText" text="R9">
      <formula>NOT(ISERROR(SEARCH(("R9"),(C33))))</formula>
    </cfRule>
  </conditionalFormatting>
  <conditionalFormatting sqref="C33:Z33">
    <cfRule type="containsText" dxfId="16" priority="29" operator="containsText" text="R8">
      <formula>NOT(ISERROR(SEARCH(("R8"),(C33))))</formula>
    </cfRule>
  </conditionalFormatting>
  <conditionalFormatting sqref="C33:Z33">
    <cfRule type="containsText" dxfId="17" priority="30" operator="containsText" text="R7">
      <formula>NOT(ISERROR(SEARCH(("R7"),(C33))))</formula>
    </cfRule>
  </conditionalFormatting>
  <conditionalFormatting sqref="C54:Z54">
    <cfRule type="containsText" dxfId="21" priority="31" operator="containsText" text="R37">
      <formula>NOT(ISERROR(SEARCH(("R37"),(C54))))</formula>
    </cfRule>
  </conditionalFormatting>
  <conditionalFormatting sqref="C54:Z54">
    <cfRule type="containsText" dxfId="1" priority="32" operator="containsText" text="R36">
      <formula>NOT(ISERROR(SEARCH(("R36"),(C54))))</formula>
    </cfRule>
  </conditionalFormatting>
  <conditionalFormatting sqref="C54:Z54">
    <cfRule type="containsText" dxfId="22" priority="33" operator="containsText" text="R35">
      <formula>NOT(ISERROR(SEARCH(("R35"),(C54))))</formula>
    </cfRule>
  </conditionalFormatting>
  <conditionalFormatting sqref="C54:Z54">
    <cfRule type="containsText" dxfId="23" priority="34" operator="containsText" text="R34">
      <formula>NOT(ISERROR(SEARCH(("R34"),(C54))))</formula>
    </cfRule>
  </conditionalFormatting>
  <conditionalFormatting sqref="C54:Z54">
    <cfRule type="containsText" dxfId="24" priority="35" operator="containsText" text="R33">
      <formula>NOT(ISERROR(SEARCH(("R33"),(C54))))</formula>
    </cfRule>
  </conditionalFormatting>
  <conditionalFormatting sqref="C54:Z54">
    <cfRule type="containsText" dxfId="25" priority="36" operator="containsText" text="R32">
      <formula>NOT(ISERROR(SEARCH(("R32"),(C54))))</formula>
    </cfRule>
  </conditionalFormatting>
  <conditionalFormatting sqref="C54:Z54">
    <cfRule type="containsText" dxfId="27" priority="37" operator="containsText" text="R30">
      <formula>NOT(ISERROR(SEARCH(("R30"),(C54))))</formula>
    </cfRule>
  </conditionalFormatting>
  <conditionalFormatting sqref="C54:Z54">
    <cfRule type="containsText" dxfId="29" priority="38" operator="containsText" text="R29">
      <formula>NOT(ISERROR(SEARCH(("R29"),(C54))))</formula>
    </cfRule>
  </conditionalFormatting>
  <conditionalFormatting sqref="C54:Z54">
    <cfRule type="containsText" dxfId="30" priority="39" operator="containsText" text="R27">
      <formula>NOT(ISERROR(SEARCH(("R27"),(C54))))</formula>
    </cfRule>
  </conditionalFormatting>
  <conditionalFormatting sqref="C54:Z54">
    <cfRule type="containsText" dxfId="2" priority="40" operator="containsText" text="R26">
      <formula>NOT(ISERROR(SEARCH(("R26"),(C54))))</formula>
    </cfRule>
  </conditionalFormatting>
  <conditionalFormatting sqref="C54:Z54">
    <cfRule type="containsText" dxfId="3" priority="41" operator="containsText" text="R25">
      <formula>NOT(ISERROR(SEARCH(("R25"),(C54))))</formula>
    </cfRule>
  </conditionalFormatting>
  <conditionalFormatting sqref="C54:Z54">
    <cfRule type="containsText" dxfId="31" priority="42" operator="containsText" text="R24">
      <formula>NOT(ISERROR(SEARCH(("R24"),(C54))))</formula>
    </cfRule>
  </conditionalFormatting>
  <conditionalFormatting sqref="C54:Z54">
    <cfRule type="containsText" dxfId="4" priority="43" operator="containsText" text="R23">
      <formula>NOT(ISERROR(SEARCH(("R23"),(C54))))</formula>
    </cfRule>
  </conditionalFormatting>
  <conditionalFormatting sqref="C54:Z54">
    <cfRule type="containsText" dxfId="8" priority="44" operator="containsText" text="R21">
      <formula>NOT(ISERROR(SEARCH(("R21"),(C54))))</formula>
    </cfRule>
  </conditionalFormatting>
  <conditionalFormatting sqref="C54:Z54">
    <cfRule type="containsText" dxfId="35" priority="45" operator="containsText" text="R17">
      <formula>NOT(ISERROR(SEARCH(("R17"),(C54))))</formula>
    </cfRule>
  </conditionalFormatting>
  <conditionalFormatting sqref="C54:Z54">
    <cfRule type="containsText" dxfId="10" priority="46" operator="containsText" text="R16">
      <formula>NOT(ISERROR(SEARCH(("R16"),(C54))))</formula>
    </cfRule>
  </conditionalFormatting>
  <conditionalFormatting sqref="C54:Z54">
    <cfRule type="containsText" dxfId="11" priority="47" operator="containsText" text="R15">
      <formula>NOT(ISERROR(SEARCH(("R15"),(C54))))</formula>
    </cfRule>
  </conditionalFormatting>
  <conditionalFormatting sqref="C54:Z54">
    <cfRule type="containsText" dxfId="12" priority="48" operator="containsText" text="R14">
      <formula>NOT(ISERROR(SEARCH(("R14"),(C54))))</formula>
    </cfRule>
  </conditionalFormatting>
  <conditionalFormatting sqref="C54:Z54">
    <cfRule type="containsText" dxfId="42" priority="49" operator="containsText" text="R13">
      <formula>NOT(ISERROR(SEARCH(("R13"),(C54))))</formula>
    </cfRule>
  </conditionalFormatting>
  <conditionalFormatting sqref="C54:Z54">
    <cfRule type="containsText" dxfId="37" priority="50" operator="containsText" text="R12">
      <formula>NOT(ISERROR(SEARCH(("R12"),(C54))))</formula>
    </cfRule>
  </conditionalFormatting>
  <conditionalFormatting sqref="C54:Z54">
    <cfRule type="containsText" dxfId="14" priority="51" operator="containsText" text="R10">
      <formula>NOT(ISERROR(SEARCH(("R10"),(C54))))</formula>
    </cfRule>
  </conditionalFormatting>
  <conditionalFormatting sqref="C54:Z54">
    <cfRule type="containsText" dxfId="15" priority="52" operator="containsText" text="R9">
      <formula>NOT(ISERROR(SEARCH(("R9"),(C54))))</formula>
    </cfRule>
  </conditionalFormatting>
  <conditionalFormatting sqref="C54:Z54">
    <cfRule type="containsText" dxfId="16" priority="53" operator="containsText" text="R8">
      <formula>NOT(ISERROR(SEARCH(("R8"),(C54))))</formula>
    </cfRule>
  </conditionalFormatting>
  <conditionalFormatting sqref="C54:Z54">
    <cfRule type="containsText" dxfId="17" priority="54" operator="containsText" text="R7">
      <formula>NOT(ISERROR(SEARCH(("R7"),(C54))))</formula>
    </cfRule>
  </conditionalFormatting>
  <conditionalFormatting sqref="C54:Z54">
    <cfRule type="cellIs" dxfId="6" priority="55" stopIfTrue="1" operator="notEqual">
      <formula>0</formula>
    </cfRule>
  </conditionalFormatting>
  <conditionalFormatting sqref="C54:Z54">
    <cfRule type="cellIs" dxfId="7" priority="56" stopIfTrue="1" operator="equal">
      <formula>0</formula>
    </cfRule>
  </conditionalFormatting>
  <conditionalFormatting sqref="C81:Z81">
    <cfRule type="containsText" dxfId="21" priority="57" operator="containsText" text="R37">
      <formula>NOT(ISERROR(SEARCH(("R37"),(C81))))</formula>
    </cfRule>
  </conditionalFormatting>
  <conditionalFormatting sqref="C81:Z81">
    <cfRule type="containsText" dxfId="1" priority="58" operator="containsText" text="R36">
      <formula>NOT(ISERROR(SEARCH(("R36"),(C81))))</formula>
    </cfRule>
  </conditionalFormatting>
  <conditionalFormatting sqref="C81:Z81">
    <cfRule type="containsText" dxfId="22" priority="59" operator="containsText" text="R35">
      <formula>NOT(ISERROR(SEARCH(("R35"),(C81))))</formula>
    </cfRule>
  </conditionalFormatting>
  <conditionalFormatting sqref="C81:Z81">
    <cfRule type="containsText" dxfId="23" priority="60" operator="containsText" text="R34">
      <formula>NOT(ISERROR(SEARCH(("R34"),(C81))))</formula>
    </cfRule>
  </conditionalFormatting>
  <conditionalFormatting sqref="C81:Z81">
    <cfRule type="containsText" dxfId="24" priority="61" operator="containsText" text="R33">
      <formula>NOT(ISERROR(SEARCH(("R33"),(C81))))</formula>
    </cfRule>
  </conditionalFormatting>
  <conditionalFormatting sqref="C81:Z81">
    <cfRule type="containsText" dxfId="25" priority="62" operator="containsText" text="R32">
      <formula>NOT(ISERROR(SEARCH(("R32"),(C81))))</formula>
    </cfRule>
  </conditionalFormatting>
  <conditionalFormatting sqref="C81:Z81">
    <cfRule type="containsText" dxfId="27" priority="63" operator="containsText" text="R30">
      <formula>NOT(ISERROR(SEARCH(("R30"),(C81))))</formula>
    </cfRule>
  </conditionalFormatting>
  <conditionalFormatting sqref="C81:Z81">
    <cfRule type="containsText" dxfId="29" priority="64" operator="containsText" text="R29">
      <formula>NOT(ISERROR(SEARCH(("R29"),(C81))))</formula>
    </cfRule>
  </conditionalFormatting>
  <conditionalFormatting sqref="C81:Z81">
    <cfRule type="containsText" dxfId="30" priority="65" operator="containsText" text="R27">
      <formula>NOT(ISERROR(SEARCH(("R27"),(C81))))</formula>
    </cfRule>
  </conditionalFormatting>
  <conditionalFormatting sqref="C81:Z81">
    <cfRule type="containsText" dxfId="2" priority="66" operator="containsText" text="R26">
      <formula>NOT(ISERROR(SEARCH(("R26"),(C81))))</formula>
    </cfRule>
  </conditionalFormatting>
  <conditionalFormatting sqref="C81:Z81">
    <cfRule type="containsText" dxfId="3" priority="67" operator="containsText" text="R25">
      <formula>NOT(ISERROR(SEARCH(("R25"),(C81))))</formula>
    </cfRule>
  </conditionalFormatting>
  <conditionalFormatting sqref="C81:Z81">
    <cfRule type="containsText" dxfId="4" priority="68" operator="containsText" text="R23">
      <formula>NOT(ISERROR(SEARCH(("R23"),(C81))))</formula>
    </cfRule>
  </conditionalFormatting>
  <conditionalFormatting sqref="C81:Z81">
    <cfRule type="containsText" dxfId="8" priority="69" operator="containsText" text="R21">
      <formula>NOT(ISERROR(SEARCH(("R21"),(C81))))</formula>
    </cfRule>
  </conditionalFormatting>
  <conditionalFormatting sqref="C81:Z81">
    <cfRule type="containsText" dxfId="31" priority="70" operator="containsText" text="R24">
      <formula>NOT(ISERROR(SEARCH(("R24"),(C81))))</formula>
    </cfRule>
  </conditionalFormatting>
  <conditionalFormatting sqref="C81:Z81">
    <cfRule type="containsText" dxfId="35" priority="71" operator="containsText" text="R17">
      <formula>NOT(ISERROR(SEARCH(("R17"),(C81))))</formula>
    </cfRule>
  </conditionalFormatting>
  <conditionalFormatting sqref="C81:Z81">
    <cfRule type="containsText" dxfId="10" priority="72" operator="containsText" text="R16">
      <formula>NOT(ISERROR(SEARCH(("R16"),(C81))))</formula>
    </cfRule>
  </conditionalFormatting>
  <conditionalFormatting sqref="C81:Z81">
    <cfRule type="containsText" dxfId="11" priority="73" operator="containsText" text="R15">
      <formula>NOT(ISERROR(SEARCH(("R15"),(C81))))</formula>
    </cfRule>
  </conditionalFormatting>
  <conditionalFormatting sqref="C81:Z81">
    <cfRule type="containsText" dxfId="12" priority="74" operator="containsText" text="R14">
      <formula>NOT(ISERROR(SEARCH(("R14"),(C81))))</formula>
    </cfRule>
  </conditionalFormatting>
  <conditionalFormatting sqref="C81:Z81">
    <cfRule type="containsText" dxfId="42" priority="75" operator="containsText" text="R13">
      <formula>NOT(ISERROR(SEARCH(("R13"),(C81))))</formula>
    </cfRule>
  </conditionalFormatting>
  <conditionalFormatting sqref="C81:Z81">
    <cfRule type="containsText" dxfId="37" priority="76" operator="containsText" text="R12">
      <formula>NOT(ISERROR(SEARCH(("R12"),(C81))))</formula>
    </cfRule>
  </conditionalFormatting>
  <conditionalFormatting sqref="C81:Z81">
    <cfRule type="containsText" dxfId="14" priority="77" operator="containsText" text="R10">
      <formula>NOT(ISERROR(SEARCH(("R10"),(C81))))</formula>
    </cfRule>
  </conditionalFormatting>
  <conditionalFormatting sqref="C81:Z81">
    <cfRule type="containsText" dxfId="15" priority="78" operator="containsText" text="R9">
      <formula>NOT(ISERROR(SEARCH(("R9"),(C81))))</formula>
    </cfRule>
  </conditionalFormatting>
  <conditionalFormatting sqref="C81:Z81">
    <cfRule type="containsText" dxfId="16" priority="79" operator="containsText" text="R8">
      <formula>NOT(ISERROR(SEARCH(("R8"),(C81))))</formula>
    </cfRule>
  </conditionalFormatting>
  <conditionalFormatting sqref="C81:Z81">
    <cfRule type="containsText" dxfId="17" priority="80" operator="containsText" text="R7">
      <formula>NOT(ISERROR(SEARCH(("R7"),(C81))))</formula>
    </cfRule>
  </conditionalFormatting>
  <conditionalFormatting sqref="C106:Z106">
    <cfRule type="containsText" dxfId="21" priority="81" operator="containsText" text="R37">
      <formula>NOT(ISERROR(SEARCH(("R37"),(C106))))</formula>
    </cfRule>
  </conditionalFormatting>
  <conditionalFormatting sqref="C106:Z106">
    <cfRule type="containsText" dxfId="1" priority="82" operator="containsText" text="R36">
      <formula>NOT(ISERROR(SEARCH(("R36"),(C106))))</formula>
    </cfRule>
  </conditionalFormatting>
  <conditionalFormatting sqref="C106:Z106">
    <cfRule type="containsText" dxfId="22" priority="83" operator="containsText" text="R35">
      <formula>NOT(ISERROR(SEARCH(("R35"),(C106))))</formula>
    </cfRule>
  </conditionalFormatting>
  <conditionalFormatting sqref="C106:Z106">
    <cfRule type="containsText" dxfId="23" priority="84" operator="containsText" text="R34">
      <formula>NOT(ISERROR(SEARCH(("R34"),(C106))))</formula>
    </cfRule>
  </conditionalFormatting>
  <conditionalFormatting sqref="C106:Z106">
    <cfRule type="containsText" dxfId="24" priority="85" operator="containsText" text="R33">
      <formula>NOT(ISERROR(SEARCH(("R33"),(C106))))</formula>
    </cfRule>
  </conditionalFormatting>
  <conditionalFormatting sqref="C106:Z106">
    <cfRule type="containsText" dxfId="25" priority="86" operator="containsText" text="R32">
      <formula>NOT(ISERROR(SEARCH(("R32"),(C106))))</formula>
    </cfRule>
  </conditionalFormatting>
  <conditionalFormatting sqref="C106:Z106">
    <cfRule type="containsText" dxfId="27" priority="87" operator="containsText" text="R30">
      <formula>NOT(ISERROR(SEARCH(("R30"),(C106))))</formula>
    </cfRule>
  </conditionalFormatting>
  <conditionalFormatting sqref="C106:Z106">
    <cfRule type="containsText" dxfId="29" priority="88" operator="containsText" text="R29">
      <formula>NOT(ISERROR(SEARCH(("R29"),(C106))))</formula>
    </cfRule>
  </conditionalFormatting>
  <conditionalFormatting sqref="C106:Z106">
    <cfRule type="containsText" dxfId="30" priority="89" operator="containsText" text="R27">
      <formula>NOT(ISERROR(SEARCH(("R27"),(C106))))</formula>
    </cfRule>
  </conditionalFormatting>
  <conditionalFormatting sqref="C106:Z106">
    <cfRule type="containsText" dxfId="2" priority="90" operator="containsText" text="R26">
      <formula>NOT(ISERROR(SEARCH(("R26"),(C106))))</formula>
    </cfRule>
  </conditionalFormatting>
  <conditionalFormatting sqref="C106:Z106">
    <cfRule type="containsText" dxfId="3" priority="91" operator="containsText" text="R25">
      <formula>NOT(ISERROR(SEARCH(("R25"),(C106))))</formula>
    </cfRule>
  </conditionalFormatting>
  <conditionalFormatting sqref="C106:Z106">
    <cfRule type="containsText" dxfId="4" priority="92" operator="containsText" text="R23">
      <formula>NOT(ISERROR(SEARCH(("R23"),(C106))))</formula>
    </cfRule>
  </conditionalFormatting>
  <conditionalFormatting sqref="C106:Z106">
    <cfRule type="containsText" dxfId="8" priority="93" operator="containsText" text="R21">
      <formula>NOT(ISERROR(SEARCH(("R21"),(C106))))</formula>
    </cfRule>
  </conditionalFormatting>
  <conditionalFormatting sqref="C106:Z106">
    <cfRule type="containsText" dxfId="31" priority="94" operator="containsText" text="R24">
      <formula>NOT(ISERROR(SEARCH(("R24"),(C106))))</formula>
    </cfRule>
  </conditionalFormatting>
  <conditionalFormatting sqref="C106:Z106">
    <cfRule type="containsText" dxfId="35" priority="95" operator="containsText" text="R17">
      <formula>NOT(ISERROR(SEARCH(("R17"),(C106))))</formula>
    </cfRule>
  </conditionalFormatting>
  <conditionalFormatting sqref="C106:Z106">
    <cfRule type="containsText" dxfId="10" priority="96" operator="containsText" text="R16">
      <formula>NOT(ISERROR(SEARCH(("R16"),(C106))))</formula>
    </cfRule>
  </conditionalFormatting>
  <conditionalFormatting sqref="C106:Z106">
    <cfRule type="containsText" dxfId="11" priority="97" operator="containsText" text="R15">
      <formula>NOT(ISERROR(SEARCH(("R15"),(C106))))</formula>
    </cfRule>
  </conditionalFormatting>
  <conditionalFormatting sqref="C106:Z106">
    <cfRule type="containsText" dxfId="12" priority="98" operator="containsText" text="R14">
      <formula>NOT(ISERROR(SEARCH(("R14"),(C106))))</formula>
    </cfRule>
  </conditionalFormatting>
  <conditionalFormatting sqref="C106:Z106">
    <cfRule type="containsText" dxfId="42" priority="99" operator="containsText" text="R13">
      <formula>NOT(ISERROR(SEARCH(("R13"),(C106))))</formula>
    </cfRule>
  </conditionalFormatting>
  <conditionalFormatting sqref="C106:Z106">
    <cfRule type="containsText" dxfId="37" priority="100" operator="containsText" text="R12">
      <formula>NOT(ISERROR(SEARCH(("R12"),(C106))))</formula>
    </cfRule>
  </conditionalFormatting>
  <conditionalFormatting sqref="C106:Z106">
    <cfRule type="containsText" dxfId="14" priority="101" operator="containsText" text="R10">
      <formula>NOT(ISERROR(SEARCH(("R10"),(C106))))</formula>
    </cfRule>
  </conditionalFormatting>
  <conditionalFormatting sqref="C106:Z106">
    <cfRule type="containsText" dxfId="15" priority="102" operator="containsText" text="R9">
      <formula>NOT(ISERROR(SEARCH(("R9"),(C106))))</formula>
    </cfRule>
  </conditionalFormatting>
  <conditionalFormatting sqref="C106:Z106">
    <cfRule type="containsText" dxfId="16" priority="103" operator="containsText" text="R8">
      <formula>NOT(ISERROR(SEARCH(("R8"),(C106))))</formula>
    </cfRule>
  </conditionalFormatting>
  <conditionalFormatting sqref="C106:Z106">
    <cfRule type="containsText" dxfId="17" priority="104" operator="containsText" text="R7">
      <formula>NOT(ISERROR(SEARCH(("R7"),(C106))))</formula>
    </cfRule>
  </conditionalFormatting>
  <conditionalFormatting sqref="C111:Z111">
    <cfRule type="containsText" dxfId="21" priority="105" operator="containsText" text="R37">
      <formula>NOT(ISERROR(SEARCH(("R37"),(C111))))</formula>
    </cfRule>
  </conditionalFormatting>
  <conditionalFormatting sqref="C111:Z111">
    <cfRule type="containsText" dxfId="1" priority="106" operator="containsText" text="R36">
      <formula>NOT(ISERROR(SEARCH(("R36"),(C111))))</formula>
    </cfRule>
  </conditionalFormatting>
  <conditionalFormatting sqref="C111:Z111">
    <cfRule type="containsText" dxfId="22" priority="107" operator="containsText" text="R35">
      <formula>NOT(ISERROR(SEARCH(("R35"),(C111))))</formula>
    </cfRule>
  </conditionalFormatting>
  <conditionalFormatting sqref="C111:Z111">
    <cfRule type="containsText" dxfId="23" priority="108" operator="containsText" text="R34">
      <formula>NOT(ISERROR(SEARCH(("R34"),(C111))))</formula>
    </cfRule>
  </conditionalFormatting>
  <conditionalFormatting sqref="C111:Z111">
    <cfRule type="containsText" dxfId="24" priority="109" operator="containsText" text="R33">
      <formula>NOT(ISERROR(SEARCH(("R33"),(C111))))</formula>
    </cfRule>
  </conditionalFormatting>
  <conditionalFormatting sqref="C111:Z111">
    <cfRule type="containsText" dxfId="25" priority="110" operator="containsText" text="R32">
      <formula>NOT(ISERROR(SEARCH(("R32"),(C111))))</formula>
    </cfRule>
  </conditionalFormatting>
  <conditionalFormatting sqref="C111:Z111">
    <cfRule type="containsText" dxfId="27" priority="111" operator="containsText" text="R30">
      <formula>NOT(ISERROR(SEARCH(("R30"),(C111))))</formula>
    </cfRule>
  </conditionalFormatting>
  <conditionalFormatting sqref="C111:Z111">
    <cfRule type="containsText" dxfId="29" priority="112" operator="containsText" text="R29">
      <formula>NOT(ISERROR(SEARCH(("R29"),(C111))))</formula>
    </cfRule>
  </conditionalFormatting>
  <conditionalFormatting sqref="C111:Z111">
    <cfRule type="containsText" dxfId="30" priority="113" operator="containsText" text="R27">
      <formula>NOT(ISERROR(SEARCH(("R27"),(C111))))</formula>
    </cfRule>
  </conditionalFormatting>
  <conditionalFormatting sqref="C111:Z111">
    <cfRule type="containsText" dxfId="2" priority="114" operator="containsText" text="R26">
      <formula>NOT(ISERROR(SEARCH(("R26"),(C111))))</formula>
    </cfRule>
  </conditionalFormatting>
  <conditionalFormatting sqref="C111:Z111">
    <cfRule type="containsText" dxfId="3" priority="115" operator="containsText" text="R25">
      <formula>NOT(ISERROR(SEARCH(("R25"),(C111))))</formula>
    </cfRule>
  </conditionalFormatting>
  <conditionalFormatting sqref="C111:Z111">
    <cfRule type="containsText" dxfId="4" priority="116" operator="containsText" text="R23">
      <formula>NOT(ISERROR(SEARCH(("R23"),(C111))))</formula>
    </cfRule>
  </conditionalFormatting>
  <conditionalFormatting sqref="C111:Z111">
    <cfRule type="containsText" dxfId="8" priority="117" operator="containsText" text="R21">
      <formula>NOT(ISERROR(SEARCH(("R21"),(C111))))</formula>
    </cfRule>
  </conditionalFormatting>
  <conditionalFormatting sqref="C111:Z111">
    <cfRule type="containsText" dxfId="31" priority="118" operator="containsText" text="R24">
      <formula>NOT(ISERROR(SEARCH(("R24"),(C111))))</formula>
    </cfRule>
  </conditionalFormatting>
  <conditionalFormatting sqref="C111:Z111">
    <cfRule type="containsText" dxfId="35" priority="119" operator="containsText" text="R17">
      <formula>NOT(ISERROR(SEARCH(("R17"),(C111))))</formula>
    </cfRule>
  </conditionalFormatting>
  <conditionalFormatting sqref="C111:Z111">
    <cfRule type="containsText" dxfId="10" priority="120" operator="containsText" text="R16">
      <formula>NOT(ISERROR(SEARCH(("R16"),(C111))))</formula>
    </cfRule>
  </conditionalFormatting>
  <conditionalFormatting sqref="C111:Z111">
    <cfRule type="containsText" dxfId="11" priority="121" operator="containsText" text="R15">
      <formula>NOT(ISERROR(SEARCH(("R15"),(C111))))</formula>
    </cfRule>
  </conditionalFormatting>
  <conditionalFormatting sqref="C111:Z111">
    <cfRule type="containsText" dxfId="12" priority="122" operator="containsText" text="R14">
      <formula>NOT(ISERROR(SEARCH(("R14"),(C111))))</formula>
    </cfRule>
  </conditionalFormatting>
  <conditionalFormatting sqref="C111:Z111">
    <cfRule type="containsText" dxfId="42" priority="123" operator="containsText" text="R13">
      <formula>NOT(ISERROR(SEARCH(("R13"),(C111))))</formula>
    </cfRule>
  </conditionalFormatting>
  <conditionalFormatting sqref="C111:Z111">
    <cfRule type="containsText" dxfId="37" priority="124" operator="containsText" text="R12">
      <formula>NOT(ISERROR(SEARCH(("R12"),(C111))))</formula>
    </cfRule>
  </conditionalFormatting>
  <conditionalFormatting sqref="C111:Z111">
    <cfRule type="containsText" dxfId="14" priority="125" operator="containsText" text="R10">
      <formula>NOT(ISERROR(SEARCH(("R10"),(C111))))</formula>
    </cfRule>
  </conditionalFormatting>
  <conditionalFormatting sqref="C111:Z111">
    <cfRule type="containsText" dxfId="15" priority="126" operator="containsText" text="R9">
      <formula>NOT(ISERROR(SEARCH(("R9"),(C111))))</formula>
    </cfRule>
  </conditionalFormatting>
  <conditionalFormatting sqref="C111:Z111">
    <cfRule type="containsText" dxfId="16" priority="127" operator="containsText" text="R8">
      <formula>NOT(ISERROR(SEARCH(("R8"),(C111))))</formula>
    </cfRule>
  </conditionalFormatting>
  <conditionalFormatting sqref="C111:Z111">
    <cfRule type="containsText" dxfId="17" priority="128" operator="containsText" text="R7">
      <formula>NOT(ISERROR(SEARCH(("R7"),(C111))))</formula>
    </cfRule>
  </conditionalFormatting>
  <conditionalFormatting sqref="E81 G81">
    <cfRule type="cellIs" dxfId="6" priority="129" stopIfTrue="1" operator="notEqual">
      <formula>0</formula>
    </cfRule>
  </conditionalFormatting>
  <conditionalFormatting sqref="E81 G81">
    <cfRule type="cellIs" dxfId="7" priority="130" stopIfTrue="1" operator="equal">
      <formula>0</formula>
    </cfRule>
  </conditionalFormatting>
  <conditionalFormatting sqref="E33:Z33">
    <cfRule type="cellIs" dxfId="6" priority="131" stopIfTrue="1" operator="notEqual">
      <formula>0</formula>
    </cfRule>
  </conditionalFormatting>
  <conditionalFormatting sqref="E33:Z33">
    <cfRule type="cellIs" dxfId="7" priority="132" stopIfTrue="1" operator="equal">
      <formula>0</formula>
    </cfRule>
  </conditionalFormatting>
  <conditionalFormatting sqref="F33">
    <cfRule type="cellIs" dxfId="6" priority="133" stopIfTrue="1" operator="notEqual">
      <formula>0</formula>
    </cfRule>
  </conditionalFormatting>
  <conditionalFormatting sqref="F33">
    <cfRule type="cellIs" dxfId="7" priority="134" stopIfTrue="1" operator="equal">
      <formula>0</formula>
    </cfRule>
  </conditionalFormatting>
  <conditionalFormatting sqref="G81">
    <cfRule type="cellIs" dxfId="6" priority="135" stopIfTrue="1" operator="notEqual">
      <formula>0</formula>
    </cfRule>
  </conditionalFormatting>
  <conditionalFormatting sqref="G81">
    <cfRule type="cellIs" dxfId="7" priority="136" stopIfTrue="1" operator="equal">
      <formula>0</formula>
    </cfRule>
  </conditionalFormatting>
  <conditionalFormatting sqref="I81 K81 M81 O81 Q81 S81 U81 W81 Y81">
    <cfRule type="cellIs" dxfId="6" priority="137" stopIfTrue="1" operator="notEqual">
      <formula>0</formula>
    </cfRule>
  </conditionalFormatting>
  <conditionalFormatting sqref="I81 K81 M81 O81 Q81 S81 U81 W81 Y81">
    <cfRule type="cellIs" dxfId="7" priority="138" stopIfTrue="1" operator="equal">
      <formula>0</formula>
    </cfRule>
  </conditionalFormatting>
  <conditionalFormatting sqref="I33:Z33">
    <cfRule type="cellIs" dxfId="6" priority="139" stopIfTrue="1" operator="notEqual">
      <formula>0</formula>
    </cfRule>
  </conditionalFormatting>
  <conditionalFormatting sqref="I33:Z33">
    <cfRule type="cellIs" dxfId="7" priority="140" stopIfTrue="1" operator="equal">
      <formula>0</formula>
    </cfRule>
  </conditionalFormatting>
  <conditionalFormatting sqref="K106 Q106">
    <cfRule type="cellIs" dxfId="6" priority="141" stopIfTrue="1" operator="notEqual">
      <formula>0</formula>
    </cfRule>
  </conditionalFormatting>
  <conditionalFormatting sqref="K106 Q106">
    <cfRule type="cellIs" dxfId="7" priority="142" stopIfTrue="1" operator="equal">
      <formula>0</formula>
    </cfRule>
  </conditionalFormatting>
  <conditionalFormatting sqref="K111 Q111">
    <cfRule type="cellIs" dxfId="6" priority="143" stopIfTrue="1" operator="notEqual">
      <formula>0</formula>
    </cfRule>
  </conditionalFormatting>
  <conditionalFormatting sqref="K111 Q111">
    <cfRule type="cellIs" dxfId="7" priority="144" stopIfTrue="1" operator="equal">
      <formula>0</formula>
    </cfRule>
  </conditionalFormatting>
  <conditionalFormatting sqref="M106 O106 S106 U106 W106 Y106">
    <cfRule type="cellIs" dxfId="6" priority="145" stopIfTrue="1" operator="notEqual">
      <formula>0</formula>
    </cfRule>
  </conditionalFormatting>
  <conditionalFormatting sqref="M106 O106 S106 U106 W106 Y106">
    <cfRule type="cellIs" dxfId="7" priority="146" stopIfTrue="1" operator="equal">
      <formula>0</formula>
    </cfRule>
  </conditionalFormatting>
  <conditionalFormatting sqref="M111 O111 S111 U111 W111 Y111">
    <cfRule type="cellIs" dxfId="6" priority="147" stopIfTrue="1" operator="notEqual">
      <formula>0</formula>
    </cfRule>
  </conditionalFormatting>
  <conditionalFormatting sqref="M111 O111 S111 U111 W111 Y111">
    <cfRule type="cellIs" dxfId="7" priority="148" stopIfTrue="1" operator="equal">
      <formula>0</formula>
    </cfRule>
  </conditionalFormatting>
  <conditionalFormatting sqref="N33:S33 U33 W33 Y33">
    <cfRule type="cellIs" dxfId="6" priority="149" stopIfTrue="1" operator="notEqual">
      <formula>0</formula>
    </cfRule>
  </conditionalFormatting>
  <conditionalFormatting sqref="N33:S33 U33 W33 Y33">
    <cfRule type="cellIs" dxfId="7" priority="150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153.38"/>
    <col customWidth="1" min="3" max="44" width="10.63"/>
    <col customWidth="1" min="45" max="46" width="14.88"/>
    <col customWidth="1" min="47" max="66" width="10.63"/>
  </cols>
  <sheetData>
    <row r="1" ht="23.25" customHeight="1">
      <c r="A1" s="710"/>
      <c r="B1" s="261" t="s">
        <v>0</v>
      </c>
      <c r="C1" s="26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250"/>
      <c r="AV1" s="250"/>
      <c r="AW1" s="250"/>
      <c r="AX1" s="250"/>
      <c r="AY1" s="250"/>
    </row>
    <row r="2" ht="23.25" customHeight="1">
      <c r="A2" s="9"/>
      <c r="B2" s="9"/>
      <c r="C2" s="10"/>
      <c r="AT2" s="11"/>
      <c r="AU2" s="250"/>
      <c r="AV2" s="250"/>
      <c r="AW2" s="250"/>
      <c r="AX2" s="250"/>
      <c r="AY2" s="250"/>
    </row>
    <row r="3" ht="23.25" customHeight="1">
      <c r="A3" s="9"/>
      <c r="B3" s="9"/>
      <c r="C3" s="10"/>
      <c r="AT3" s="11"/>
      <c r="AU3" s="250"/>
      <c r="AV3" s="250"/>
      <c r="AW3" s="250"/>
      <c r="AX3" s="250"/>
      <c r="AY3" s="250"/>
    </row>
    <row r="4" ht="23.25" customHeight="1">
      <c r="A4" s="9"/>
      <c r="B4" s="9"/>
      <c r="C4" s="10"/>
      <c r="AT4" s="11"/>
      <c r="AU4" s="250"/>
      <c r="AV4" s="250"/>
      <c r="AW4" s="250"/>
      <c r="AX4" s="250"/>
      <c r="AY4" s="250"/>
    </row>
    <row r="5" ht="23.25" customHeight="1">
      <c r="A5" s="9"/>
      <c r="B5" s="9"/>
      <c r="C5" s="10"/>
      <c r="AT5" s="11"/>
      <c r="AU5" s="250"/>
      <c r="AV5" s="250"/>
      <c r="AW5" s="250"/>
      <c r="AX5" s="250"/>
      <c r="AY5" s="250"/>
    </row>
    <row r="6" ht="24.0" customHeight="1">
      <c r="A6" s="84"/>
      <c r="B6" s="84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9"/>
      <c r="AU6" s="250"/>
      <c r="AV6" s="250"/>
      <c r="AW6" s="250"/>
      <c r="AX6" s="250"/>
      <c r="AY6" s="250"/>
    </row>
    <row r="7" ht="33.75" customHeight="1">
      <c r="A7" s="711" t="s">
        <v>2</v>
      </c>
      <c r="B7" s="266" t="s">
        <v>3</v>
      </c>
      <c r="C7" s="267" t="s">
        <v>4</v>
      </c>
      <c r="D7" s="19"/>
      <c r="E7" s="19"/>
      <c r="F7" s="20"/>
      <c r="G7" s="268">
        <v>46037.0</v>
      </c>
      <c r="H7" s="5"/>
      <c r="I7" s="179"/>
      <c r="J7" s="712" t="s">
        <v>417</v>
      </c>
      <c r="K7" s="713">
        <v>45797.0</v>
      </c>
      <c r="L7" s="24"/>
      <c r="M7" s="26"/>
      <c r="N7" s="714" t="s">
        <v>46</v>
      </c>
      <c r="O7" s="715">
        <v>45863.0</v>
      </c>
      <c r="P7" s="24"/>
      <c r="Q7" s="25"/>
      <c r="R7" s="716" t="s">
        <v>47</v>
      </c>
      <c r="S7" s="548">
        <v>45947.0</v>
      </c>
      <c r="T7" s="24"/>
      <c r="U7" s="26"/>
      <c r="V7" s="469" t="s">
        <v>38</v>
      </c>
      <c r="W7" s="470">
        <v>46010.0</v>
      </c>
      <c r="X7" s="24"/>
      <c r="Y7" s="26"/>
      <c r="Z7" s="717"/>
      <c r="AA7" s="551"/>
      <c r="AB7" s="24"/>
      <c r="AC7" s="26"/>
      <c r="AD7" s="718"/>
      <c r="AE7" s="551"/>
      <c r="AF7" s="24"/>
      <c r="AG7" s="25"/>
      <c r="AH7" s="550"/>
      <c r="AI7" s="551"/>
      <c r="AJ7" s="24"/>
      <c r="AK7" s="26"/>
      <c r="AL7" s="718"/>
      <c r="AM7" s="551"/>
      <c r="AN7" s="24"/>
      <c r="AO7" s="25"/>
      <c r="AP7" s="719"/>
      <c r="AQ7" s="719"/>
      <c r="AR7" s="720"/>
      <c r="AS7" s="720"/>
      <c r="AT7" s="359"/>
      <c r="AU7" s="404"/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  <c r="BG7" s="404"/>
      <c r="BH7" s="404"/>
      <c r="BI7" s="404"/>
      <c r="BJ7" s="404"/>
      <c r="BK7" s="404"/>
      <c r="BL7" s="404"/>
      <c r="BM7" s="404"/>
      <c r="BN7" s="404"/>
    </row>
    <row r="8" ht="33.75" customHeight="1">
      <c r="A8" s="721" t="s">
        <v>14</v>
      </c>
      <c r="B8" s="283" t="s">
        <v>15</v>
      </c>
      <c r="C8" s="10"/>
      <c r="F8" s="11"/>
      <c r="G8" s="10"/>
      <c r="I8" s="180"/>
      <c r="J8" s="722" t="s">
        <v>6</v>
      </c>
      <c r="K8" s="723">
        <v>45807.0</v>
      </c>
      <c r="L8" s="38"/>
      <c r="M8" s="40"/>
      <c r="N8" s="484" t="s">
        <v>55</v>
      </c>
      <c r="O8" s="485">
        <v>45870.0</v>
      </c>
      <c r="P8" s="38"/>
      <c r="Q8" s="39"/>
      <c r="R8" s="555" t="s">
        <v>56</v>
      </c>
      <c r="S8" s="479">
        <v>45954.0</v>
      </c>
      <c r="T8" s="38"/>
      <c r="U8" s="40"/>
      <c r="V8" s="275" t="s">
        <v>48</v>
      </c>
      <c r="W8" s="276">
        <v>46015.0</v>
      </c>
      <c r="X8" s="38"/>
      <c r="Y8" s="40"/>
      <c r="Z8" s="561"/>
      <c r="AA8" s="511"/>
      <c r="AB8" s="38"/>
      <c r="AC8" s="40"/>
      <c r="AD8" s="724"/>
      <c r="AE8" s="511"/>
      <c r="AF8" s="38"/>
      <c r="AG8" s="39"/>
      <c r="AH8" s="552"/>
      <c r="AI8" s="511"/>
      <c r="AJ8" s="38"/>
      <c r="AK8" s="40"/>
      <c r="AL8" s="724"/>
      <c r="AM8" s="511"/>
      <c r="AN8" s="38"/>
      <c r="AO8" s="39"/>
      <c r="AP8" s="447"/>
      <c r="AQ8" s="447"/>
      <c r="AR8" s="725"/>
      <c r="AS8" s="725"/>
      <c r="AT8" s="367"/>
      <c r="AU8" s="404"/>
      <c r="AV8" s="404"/>
      <c r="AW8" s="404"/>
      <c r="AX8" s="404"/>
      <c r="AY8" s="404"/>
      <c r="AZ8" s="404"/>
      <c r="BA8" s="404"/>
      <c r="BB8" s="404"/>
      <c r="BC8" s="404"/>
      <c r="BD8" s="404"/>
      <c r="BE8" s="404"/>
      <c r="BF8" s="404"/>
      <c r="BG8" s="404"/>
      <c r="BH8" s="404"/>
      <c r="BI8" s="404"/>
      <c r="BJ8" s="404"/>
      <c r="BK8" s="404"/>
      <c r="BL8" s="404"/>
      <c r="BM8" s="404"/>
      <c r="BN8" s="404"/>
    </row>
    <row r="9" ht="33.75" customHeight="1">
      <c r="A9" s="721" t="s">
        <v>24</v>
      </c>
      <c r="B9" s="283" t="s">
        <v>25</v>
      </c>
      <c r="C9" s="10"/>
      <c r="F9" s="11"/>
      <c r="G9" s="10"/>
      <c r="I9" s="180"/>
      <c r="J9" s="726" t="s">
        <v>407</v>
      </c>
      <c r="K9" s="727">
        <v>45814.0</v>
      </c>
      <c r="L9" s="38"/>
      <c r="M9" s="40"/>
      <c r="N9" s="490" t="s">
        <v>66</v>
      </c>
      <c r="O9" s="491">
        <v>45883.0</v>
      </c>
      <c r="P9" s="38"/>
      <c r="Q9" s="39"/>
      <c r="R9" s="559" t="s">
        <v>67</v>
      </c>
      <c r="S9" s="560">
        <v>45960.0</v>
      </c>
      <c r="T9" s="24"/>
      <c r="U9" s="25"/>
      <c r="V9" s="290" t="s">
        <v>57</v>
      </c>
      <c r="W9" s="291">
        <v>46022.0</v>
      </c>
      <c r="X9" s="38"/>
      <c r="Y9" s="40"/>
      <c r="Z9" s="561"/>
      <c r="AA9" s="511"/>
      <c r="AB9" s="38"/>
      <c r="AC9" s="40"/>
      <c r="AD9" s="724"/>
      <c r="AE9" s="511"/>
      <c r="AF9" s="38"/>
      <c r="AG9" s="39"/>
      <c r="AH9" s="552"/>
      <c r="AI9" s="511"/>
      <c r="AJ9" s="38"/>
      <c r="AK9" s="40"/>
      <c r="AL9" s="724"/>
      <c r="AM9" s="511"/>
      <c r="AN9" s="38"/>
      <c r="AO9" s="39"/>
      <c r="AP9" s="447"/>
      <c r="AQ9" s="447"/>
      <c r="AR9" s="725"/>
      <c r="AS9" s="725"/>
      <c r="AT9" s="367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</row>
    <row r="10" ht="33.75" customHeight="1">
      <c r="A10" s="721" t="s">
        <v>34</v>
      </c>
      <c r="B10" s="283" t="s">
        <v>35</v>
      </c>
      <c r="C10" s="10"/>
      <c r="F10" s="11"/>
      <c r="G10" s="10"/>
      <c r="I10" s="180"/>
      <c r="J10" s="728" t="s">
        <v>408</v>
      </c>
      <c r="K10" s="729">
        <v>45821.0</v>
      </c>
      <c r="L10" s="38"/>
      <c r="M10" s="40"/>
      <c r="N10" s="494" t="s">
        <v>75</v>
      </c>
      <c r="O10" s="495">
        <v>45891.0</v>
      </c>
      <c r="P10" s="38"/>
      <c r="Q10" s="39"/>
      <c r="R10" s="492" t="s">
        <v>76</v>
      </c>
      <c r="S10" s="493">
        <v>45968.0</v>
      </c>
      <c r="T10" s="38"/>
      <c r="U10" s="39"/>
      <c r="V10" s="300" t="s">
        <v>68</v>
      </c>
      <c r="W10" s="301">
        <v>46031.0</v>
      </c>
      <c r="X10" s="38"/>
      <c r="Y10" s="40"/>
      <c r="Z10" s="552"/>
      <c r="AA10" s="511"/>
      <c r="AB10" s="38"/>
      <c r="AC10" s="40"/>
      <c r="AD10" s="724"/>
      <c r="AE10" s="511"/>
      <c r="AF10" s="38"/>
      <c r="AG10" s="39"/>
      <c r="AH10" s="552"/>
      <c r="AI10" s="511"/>
      <c r="AJ10" s="38"/>
      <c r="AK10" s="40"/>
      <c r="AL10" s="724"/>
      <c r="AM10" s="511"/>
      <c r="AN10" s="38"/>
      <c r="AO10" s="39"/>
      <c r="AP10" s="447"/>
      <c r="AQ10" s="447"/>
      <c r="AR10" s="404"/>
      <c r="AS10" s="404"/>
      <c r="AT10" s="367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</row>
    <row r="11" ht="33.75" customHeight="1">
      <c r="A11" s="721" t="s">
        <v>44</v>
      </c>
      <c r="B11" s="283" t="s">
        <v>54</v>
      </c>
      <c r="C11" s="47"/>
      <c r="D11" s="48"/>
      <c r="E11" s="48"/>
      <c r="F11" s="49"/>
      <c r="G11" s="47"/>
      <c r="H11" s="48"/>
      <c r="I11" s="203"/>
      <c r="J11" s="730" t="s">
        <v>409</v>
      </c>
      <c r="K11" s="731">
        <v>45827.0</v>
      </c>
      <c r="L11" s="38"/>
      <c r="M11" s="40"/>
      <c r="N11" s="732" t="s">
        <v>91</v>
      </c>
      <c r="O11" s="733">
        <v>45905.0</v>
      </c>
      <c r="P11" s="38"/>
      <c r="Q11" s="39"/>
      <c r="R11" s="496" t="s">
        <v>84</v>
      </c>
      <c r="S11" s="497">
        <v>45975.0</v>
      </c>
      <c r="T11" s="38"/>
      <c r="U11" s="39"/>
      <c r="V11" s="308" t="s">
        <v>77</v>
      </c>
      <c r="W11" s="309">
        <v>46038.0</v>
      </c>
      <c r="X11" s="38"/>
      <c r="Y11" s="39"/>
      <c r="Z11" s="552"/>
      <c r="AA11" s="511"/>
      <c r="AB11" s="38"/>
      <c r="AC11" s="40"/>
      <c r="AD11" s="724"/>
      <c r="AE11" s="511"/>
      <c r="AF11" s="38"/>
      <c r="AG11" s="39"/>
      <c r="AH11" s="552"/>
      <c r="AI11" s="511"/>
      <c r="AJ11" s="38"/>
      <c r="AK11" s="40"/>
      <c r="AL11" s="724"/>
      <c r="AM11" s="511"/>
      <c r="AN11" s="38"/>
      <c r="AO11" s="39"/>
      <c r="AP11" s="447"/>
      <c r="AQ11" s="447"/>
      <c r="AR11" s="725"/>
      <c r="AS11" s="725"/>
      <c r="AT11" s="367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</row>
    <row r="12" ht="33.75" customHeight="1">
      <c r="A12" s="721" t="s">
        <v>62</v>
      </c>
      <c r="B12" s="283" t="s">
        <v>63</v>
      </c>
      <c r="C12" s="316" t="s">
        <v>64</v>
      </c>
      <c r="D12" s="5"/>
      <c r="E12" s="5"/>
      <c r="F12" s="6"/>
      <c r="G12" s="316" t="s">
        <v>65</v>
      </c>
      <c r="H12" s="5"/>
      <c r="I12" s="6"/>
      <c r="J12" s="734" t="s">
        <v>16</v>
      </c>
      <c r="K12" s="735">
        <v>45835.0</v>
      </c>
      <c r="L12" s="38"/>
      <c r="M12" s="40"/>
      <c r="N12" s="502" t="s">
        <v>410</v>
      </c>
      <c r="O12" s="503">
        <v>45912.0</v>
      </c>
      <c r="P12" s="38"/>
      <c r="Q12" s="39"/>
      <c r="R12" s="500" t="s">
        <v>92</v>
      </c>
      <c r="S12" s="501">
        <v>45982.0</v>
      </c>
      <c r="T12" s="38"/>
      <c r="U12" s="39"/>
      <c r="V12" s="199" t="s">
        <v>85</v>
      </c>
      <c r="W12" s="200">
        <v>46045.0</v>
      </c>
      <c r="X12" s="38"/>
      <c r="Y12" s="39"/>
      <c r="Z12" s="552"/>
      <c r="AA12" s="511"/>
      <c r="AB12" s="38"/>
      <c r="AC12" s="40"/>
      <c r="AD12" s="724"/>
      <c r="AE12" s="511"/>
      <c r="AF12" s="38"/>
      <c r="AG12" s="39"/>
      <c r="AH12" s="552"/>
      <c r="AI12" s="511"/>
      <c r="AJ12" s="38"/>
      <c r="AK12" s="40"/>
      <c r="AL12" s="724"/>
      <c r="AM12" s="511"/>
      <c r="AN12" s="38"/>
      <c r="AO12" s="39"/>
      <c r="AP12" s="447"/>
      <c r="AQ12" s="447"/>
      <c r="AR12" s="725"/>
      <c r="AS12" s="725"/>
      <c r="AT12" s="367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</row>
    <row r="13" ht="33.75" customHeight="1">
      <c r="A13" s="721" t="s">
        <v>73</v>
      </c>
      <c r="B13" s="283" t="s">
        <v>74</v>
      </c>
      <c r="C13" s="10"/>
      <c r="F13" s="11"/>
      <c r="G13" s="10"/>
      <c r="I13" s="11"/>
      <c r="J13" s="620" t="s">
        <v>411</v>
      </c>
      <c r="K13" s="621">
        <v>45842.0</v>
      </c>
      <c r="L13" s="38"/>
      <c r="M13" s="40"/>
      <c r="N13" s="506" t="s">
        <v>17</v>
      </c>
      <c r="O13" s="507">
        <v>45926.0</v>
      </c>
      <c r="P13" s="38"/>
      <c r="Q13" s="39"/>
      <c r="R13" s="504" t="s">
        <v>8</v>
      </c>
      <c r="S13" s="505">
        <v>45989.0</v>
      </c>
      <c r="T13" s="38"/>
      <c r="U13" s="39"/>
      <c r="V13" s="323" t="s">
        <v>93</v>
      </c>
      <c r="W13" s="324">
        <v>46052.0</v>
      </c>
      <c r="X13" s="38"/>
      <c r="Y13" s="39"/>
      <c r="Z13" s="552"/>
      <c r="AA13" s="511"/>
      <c r="AB13" s="38"/>
      <c r="AC13" s="40"/>
      <c r="AD13" s="724"/>
      <c r="AE13" s="511"/>
      <c r="AF13" s="38"/>
      <c r="AG13" s="39"/>
      <c r="AH13" s="552"/>
      <c r="AI13" s="511"/>
      <c r="AJ13" s="38"/>
      <c r="AK13" s="40"/>
      <c r="AL13" s="724"/>
      <c r="AM13" s="511"/>
      <c r="AN13" s="38"/>
      <c r="AO13" s="39"/>
      <c r="AP13" s="447"/>
      <c r="AQ13" s="447"/>
      <c r="AR13" s="725"/>
      <c r="AS13" s="725"/>
      <c r="AT13" s="367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</row>
    <row r="14" ht="33.75" customHeight="1">
      <c r="A14" s="721" t="s">
        <v>82</v>
      </c>
      <c r="B14" s="283" t="s">
        <v>400</v>
      </c>
      <c r="C14" s="10"/>
      <c r="F14" s="11"/>
      <c r="G14" s="10"/>
      <c r="I14" s="11"/>
      <c r="J14" s="736" t="s">
        <v>26</v>
      </c>
      <c r="K14" s="737">
        <v>45849.0</v>
      </c>
      <c r="L14" s="38"/>
      <c r="M14" s="40"/>
      <c r="N14" s="571" t="s">
        <v>27</v>
      </c>
      <c r="O14" s="572">
        <v>45933.0</v>
      </c>
      <c r="P14" s="38"/>
      <c r="Q14" s="39"/>
      <c r="R14" s="508" t="s">
        <v>18</v>
      </c>
      <c r="S14" s="509">
        <v>45996.0</v>
      </c>
      <c r="T14" s="38"/>
      <c r="U14" s="39"/>
      <c r="V14" s="738"/>
      <c r="W14" s="511"/>
      <c r="X14" s="38"/>
      <c r="Y14" s="39"/>
      <c r="Z14" s="552"/>
      <c r="AA14" s="511"/>
      <c r="AB14" s="38"/>
      <c r="AC14" s="40"/>
      <c r="AD14" s="724"/>
      <c r="AE14" s="511"/>
      <c r="AF14" s="38"/>
      <c r="AG14" s="39"/>
      <c r="AH14" s="552"/>
      <c r="AI14" s="511"/>
      <c r="AJ14" s="38"/>
      <c r="AK14" s="40"/>
      <c r="AL14" s="724"/>
      <c r="AM14" s="511"/>
      <c r="AN14" s="38"/>
      <c r="AO14" s="39"/>
      <c r="AP14" s="447"/>
      <c r="AQ14" s="447"/>
      <c r="AR14" s="725"/>
      <c r="AS14" s="725"/>
      <c r="AT14" s="367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</row>
    <row r="15" ht="33.75" customHeight="1">
      <c r="A15" s="739" t="s">
        <v>90</v>
      </c>
      <c r="B15" s="339">
        <v>182948.0</v>
      </c>
      <c r="C15" s="47"/>
      <c r="D15" s="48"/>
      <c r="E15" s="48"/>
      <c r="F15" s="49"/>
      <c r="G15" s="47"/>
      <c r="H15" s="48"/>
      <c r="I15" s="49"/>
      <c r="J15" s="740" t="s">
        <v>36</v>
      </c>
      <c r="K15" s="741">
        <v>45855.0</v>
      </c>
      <c r="L15" s="56"/>
      <c r="M15" s="58"/>
      <c r="N15" s="742" t="s">
        <v>37</v>
      </c>
      <c r="O15" s="743">
        <v>45940.0</v>
      </c>
      <c r="P15" s="56"/>
      <c r="Q15" s="57"/>
      <c r="R15" s="514" t="s">
        <v>28</v>
      </c>
      <c r="S15" s="515">
        <v>46003.0</v>
      </c>
      <c r="T15" s="56"/>
      <c r="U15" s="57"/>
      <c r="V15" s="744"/>
      <c r="W15" s="519"/>
      <c r="X15" s="56"/>
      <c r="Y15" s="57"/>
      <c r="Z15" s="579"/>
      <c r="AA15" s="519"/>
      <c r="AB15" s="56"/>
      <c r="AC15" s="58"/>
      <c r="AD15" s="745"/>
      <c r="AE15" s="519"/>
      <c r="AF15" s="56"/>
      <c r="AG15" s="57"/>
      <c r="AH15" s="579"/>
      <c r="AI15" s="519"/>
      <c r="AJ15" s="56"/>
      <c r="AK15" s="58"/>
      <c r="AL15" s="745"/>
      <c r="AM15" s="519"/>
      <c r="AN15" s="56"/>
      <c r="AO15" s="57"/>
      <c r="AP15" s="746"/>
      <c r="AQ15" s="746"/>
      <c r="AR15" s="747"/>
      <c r="AS15" s="747"/>
      <c r="AT15" s="748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</row>
    <row r="16" ht="33.75" customHeight="1">
      <c r="A16" s="749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</row>
    <row r="17" ht="33.75" customHeight="1">
      <c r="A17" s="750" t="s">
        <v>98</v>
      </c>
      <c r="B17" s="352" t="s">
        <v>99</v>
      </c>
      <c r="C17" s="751" t="s">
        <v>100</v>
      </c>
      <c r="D17" s="64"/>
      <c r="E17" s="64"/>
      <c r="F17" s="64"/>
      <c r="G17" s="218"/>
      <c r="H17" s="752"/>
      <c r="I17" s="752"/>
      <c r="J17" s="752"/>
      <c r="K17" s="752"/>
      <c r="L17" s="752"/>
      <c r="M17" s="752"/>
      <c r="N17" s="752"/>
      <c r="O17" s="752"/>
      <c r="P17" s="752"/>
      <c r="Q17" s="752"/>
      <c r="R17" s="752"/>
      <c r="S17" s="752"/>
      <c r="T17" s="752"/>
      <c r="U17" s="752"/>
      <c r="V17" s="752"/>
      <c r="W17" s="752"/>
      <c r="X17" s="752"/>
      <c r="Y17" s="752"/>
      <c r="Z17" s="752"/>
      <c r="AA17" s="752"/>
      <c r="AB17" s="752"/>
      <c r="AC17" s="752"/>
      <c r="AD17" s="752"/>
      <c r="AE17" s="752"/>
      <c r="AF17" s="752"/>
      <c r="AG17" s="752"/>
      <c r="AH17" s="752"/>
      <c r="AI17" s="753"/>
      <c r="AJ17" s="639"/>
      <c r="AK17" s="639"/>
      <c r="AL17" s="754"/>
      <c r="AM17" s="754"/>
      <c r="AN17" s="754"/>
      <c r="AO17" s="754"/>
      <c r="AP17" s="754"/>
      <c r="AQ17" s="754"/>
      <c r="AR17" s="754"/>
      <c r="AS17" s="754"/>
      <c r="AT17" s="755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</row>
    <row r="18" ht="33.75" customHeight="1">
      <c r="A18" s="74"/>
      <c r="B18" s="9"/>
      <c r="C18" s="756" t="s">
        <v>101</v>
      </c>
      <c r="D18" s="757"/>
      <c r="E18" s="758"/>
      <c r="F18" s="758"/>
      <c r="G18" s="759"/>
      <c r="H18" s="760"/>
      <c r="I18" s="760"/>
      <c r="J18" s="760"/>
      <c r="K18" s="760"/>
      <c r="L18" s="760"/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60"/>
      <c r="AA18" s="760"/>
      <c r="AB18" s="760"/>
      <c r="AC18" s="760"/>
      <c r="AD18" s="761"/>
      <c r="AE18" s="761"/>
      <c r="AF18" s="761"/>
      <c r="AG18" s="761"/>
      <c r="AH18" s="761"/>
      <c r="AI18" s="761"/>
      <c r="AJ18" s="761"/>
      <c r="AK18" s="761"/>
      <c r="AL18" s="761"/>
      <c r="AM18" s="762" t="s">
        <v>102</v>
      </c>
      <c r="AN18" s="56"/>
      <c r="AO18" s="56"/>
      <c r="AP18" s="56"/>
      <c r="AQ18" s="56"/>
      <c r="AR18" s="57"/>
      <c r="AS18" s="763" t="s">
        <v>418</v>
      </c>
      <c r="AT18" s="57"/>
      <c r="AU18" s="404"/>
      <c r="AV18" s="404"/>
      <c r="AW18" s="404"/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  <c r="BK18" s="404"/>
      <c r="BL18" s="404"/>
      <c r="BM18" s="404"/>
      <c r="BN18" s="404"/>
    </row>
    <row r="19" ht="33.75" customHeight="1">
      <c r="A19" s="83"/>
      <c r="B19" s="84"/>
      <c r="C19" s="368">
        <v>1.0</v>
      </c>
      <c r="D19" s="86"/>
      <c r="E19" s="369">
        <v>2.0</v>
      </c>
      <c r="F19" s="86"/>
      <c r="G19" s="369">
        <v>3.0</v>
      </c>
      <c r="H19" s="86"/>
      <c r="I19" s="369">
        <v>4.0</v>
      </c>
      <c r="J19" s="86"/>
      <c r="K19" s="369">
        <v>5.0</v>
      </c>
      <c r="L19" s="86"/>
      <c r="M19" s="369">
        <v>6.0</v>
      </c>
      <c r="N19" s="86"/>
      <c r="O19" s="369">
        <v>7.0</v>
      </c>
      <c r="P19" s="86"/>
      <c r="Q19" s="369">
        <v>8.0</v>
      </c>
      <c r="R19" s="86"/>
      <c r="S19" s="369">
        <v>9.0</v>
      </c>
      <c r="T19" s="86"/>
      <c r="U19" s="369">
        <v>10.0</v>
      </c>
      <c r="V19" s="86"/>
      <c r="W19" s="369">
        <v>11.0</v>
      </c>
      <c r="X19" s="86"/>
      <c r="Y19" s="369">
        <v>12.0</v>
      </c>
      <c r="Z19" s="86"/>
      <c r="AA19" s="369">
        <v>13.0</v>
      </c>
      <c r="AB19" s="86"/>
      <c r="AC19" s="369">
        <v>14.0</v>
      </c>
      <c r="AD19" s="86"/>
      <c r="AE19" s="369">
        <v>15.0</v>
      </c>
      <c r="AF19" s="86"/>
      <c r="AG19" s="369">
        <v>16.0</v>
      </c>
      <c r="AH19" s="86"/>
      <c r="AI19" s="369">
        <v>17.0</v>
      </c>
      <c r="AJ19" s="86"/>
      <c r="AK19" s="369">
        <v>18.0</v>
      </c>
      <c r="AL19" s="86"/>
      <c r="AM19" s="369">
        <v>19.0</v>
      </c>
      <c r="AN19" s="86"/>
      <c r="AO19" s="369">
        <v>20.0</v>
      </c>
      <c r="AP19" s="86"/>
      <c r="AQ19" s="369">
        <v>21.0</v>
      </c>
      <c r="AR19" s="86"/>
      <c r="AS19" s="370" t="s">
        <v>104</v>
      </c>
      <c r="AT19" s="371" t="s">
        <v>105</v>
      </c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  <c r="BK19" s="404"/>
      <c r="BL19" s="404"/>
      <c r="BM19" s="404"/>
      <c r="BN19" s="404"/>
    </row>
    <row r="20" ht="39.75" customHeight="1">
      <c r="A20" s="764" t="s">
        <v>106</v>
      </c>
      <c r="B20" s="765" t="s">
        <v>107</v>
      </c>
      <c r="C20" s="766" t="s">
        <v>108</v>
      </c>
      <c r="D20" s="767" t="s">
        <v>109</v>
      </c>
      <c r="E20" s="768" t="s">
        <v>108</v>
      </c>
      <c r="F20" s="767" t="s">
        <v>109</v>
      </c>
      <c r="G20" s="768" t="s">
        <v>108</v>
      </c>
      <c r="H20" s="767" t="s">
        <v>109</v>
      </c>
      <c r="I20" s="768" t="s">
        <v>108</v>
      </c>
      <c r="J20" s="767" t="s">
        <v>109</v>
      </c>
      <c r="K20" s="768" t="s">
        <v>108</v>
      </c>
      <c r="L20" s="767" t="s">
        <v>109</v>
      </c>
      <c r="M20" s="768" t="s">
        <v>108</v>
      </c>
      <c r="N20" s="767" t="s">
        <v>109</v>
      </c>
      <c r="O20" s="768" t="s">
        <v>108</v>
      </c>
      <c r="P20" s="767" t="s">
        <v>109</v>
      </c>
      <c r="Q20" s="768" t="s">
        <v>108</v>
      </c>
      <c r="R20" s="767" t="s">
        <v>109</v>
      </c>
      <c r="S20" s="768" t="s">
        <v>108</v>
      </c>
      <c r="T20" s="767" t="s">
        <v>109</v>
      </c>
      <c r="U20" s="768" t="s">
        <v>108</v>
      </c>
      <c r="V20" s="767" t="s">
        <v>109</v>
      </c>
      <c r="W20" s="768" t="s">
        <v>108</v>
      </c>
      <c r="X20" s="767" t="s">
        <v>109</v>
      </c>
      <c r="Y20" s="768" t="s">
        <v>108</v>
      </c>
      <c r="Z20" s="767" t="s">
        <v>109</v>
      </c>
      <c r="AA20" s="768" t="s">
        <v>108</v>
      </c>
      <c r="AB20" s="767" t="s">
        <v>109</v>
      </c>
      <c r="AC20" s="768" t="s">
        <v>108</v>
      </c>
      <c r="AD20" s="767" t="s">
        <v>109</v>
      </c>
      <c r="AE20" s="768" t="s">
        <v>108</v>
      </c>
      <c r="AF20" s="767" t="s">
        <v>109</v>
      </c>
      <c r="AG20" s="768" t="s">
        <v>108</v>
      </c>
      <c r="AH20" s="767" t="s">
        <v>109</v>
      </c>
      <c r="AI20" s="768" t="s">
        <v>108</v>
      </c>
      <c r="AJ20" s="767" t="s">
        <v>109</v>
      </c>
      <c r="AK20" s="768" t="s">
        <v>108</v>
      </c>
      <c r="AL20" s="767" t="s">
        <v>109</v>
      </c>
      <c r="AM20" s="768" t="s">
        <v>108</v>
      </c>
      <c r="AN20" s="767" t="s">
        <v>109</v>
      </c>
      <c r="AO20" s="768" t="s">
        <v>108</v>
      </c>
      <c r="AP20" s="767" t="s">
        <v>109</v>
      </c>
      <c r="AQ20" s="768" t="s">
        <v>108</v>
      </c>
      <c r="AR20" s="767" t="s">
        <v>109</v>
      </c>
      <c r="AS20" s="767"/>
      <c r="AT20" s="769"/>
      <c r="AY20" s="770"/>
    </row>
    <row r="21" ht="39.75" customHeight="1">
      <c r="A21" s="771" t="s">
        <v>110</v>
      </c>
      <c r="B21" s="772" t="s">
        <v>111</v>
      </c>
      <c r="C21" s="773"/>
      <c r="D21" s="774"/>
      <c r="E21" s="775"/>
      <c r="F21" s="775"/>
      <c r="G21" s="775"/>
      <c r="H21" s="775"/>
      <c r="I21" s="775"/>
      <c r="J21" s="775"/>
      <c r="K21" s="775"/>
      <c r="L21" s="775"/>
      <c r="M21" s="775"/>
      <c r="N21" s="775"/>
      <c r="O21" s="775"/>
      <c r="P21" s="775"/>
      <c r="Q21" s="775"/>
      <c r="R21" s="775"/>
      <c r="S21" s="775"/>
      <c r="T21" s="775"/>
      <c r="U21" s="775"/>
      <c r="V21" s="775"/>
      <c r="W21" s="775"/>
      <c r="X21" s="775"/>
      <c r="Y21" s="775"/>
      <c r="Z21" s="775"/>
      <c r="AA21" s="775"/>
      <c r="AB21" s="775"/>
      <c r="AC21" s="775"/>
      <c r="AD21" s="775"/>
      <c r="AE21" s="775"/>
      <c r="AF21" s="775"/>
      <c r="AG21" s="775"/>
      <c r="AH21" s="775"/>
      <c r="AI21" s="776"/>
      <c r="AJ21" s="776"/>
      <c r="AK21" s="776"/>
      <c r="AL21" s="776"/>
      <c r="AM21" s="776"/>
      <c r="AN21" s="776"/>
      <c r="AO21" s="776"/>
      <c r="AP21" s="776"/>
      <c r="AQ21" s="776"/>
      <c r="AR21" s="776"/>
      <c r="AS21" s="775"/>
      <c r="AT21" s="777"/>
      <c r="AU21" s="404"/>
      <c r="AV21" s="404"/>
      <c r="AW21" s="404"/>
      <c r="AX21" s="404"/>
      <c r="AY21" s="770"/>
      <c r="BE21" s="404"/>
      <c r="BF21" s="404"/>
      <c r="BG21" s="404"/>
      <c r="BH21" s="404"/>
      <c r="BI21" s="404"/>
      <c r="BJ21" s="404"/>
      <c r="BK21" s="404"/>
      <c r="BL21" s="404"/>
      <c r="BM21" s="404"/>
      <c r="BN21" s="404"/>
    </row>
    <row r="22" ht="39.75" customHeight="1">
      <c r="A22" s="778" t="s">
        <v>112</v>
      </c>
      <c r="B22" s="386" t="s">
        <v>113</v>
      </c>
      <c r="C22" s="387"/>
      <c r="D22" s="388"/>
      <c r="E22" s="387"/>
      <c r="F22" s="389"/>
      <c r="G22" s="387" t="s">
        <v>6</v>
      </c>
      <c r="H22" s="389"/>
      <c r="I22" s="387" t="s">
        <v>6</v>
      </c>
      <c r="J22" s="389"/>
      <c r="K22" s="387" t="s">
        <v>6</v>
      </c>
      <c r="L22" s="389"/>
      <c r="M22" s="387" t="s">
        <v>6</v>
      </c>
      <c r="N22" s="389"/>
      <c r="O22" s="387" t="s">
        <v>6</v>
      </c>
      <c r="P22" s="389"/>
      <c r="Q22" s="387" t="s">
        <v>6</v>
      </c>
      <c r="R22" s="389"/>
      <c r="S22" s="387" t="s">
        <v>6</v>
      </c>
      <c r="T22" s="389"/>
      <c r="U22" s="389" t="s">
        <v>417</v>
      </c>
      <c r="V22" s="389"/>
      <c r="W22" s="779" t="s">
        <v>417</v>
      </c>
      <c r="X22" s="389"/>
      <c r="Y22" s="779" t="s">
        <v>417</v>
      </c>
      <c r="Z22" s="389"/>
      <c r="AA22" s="779" t="s">
        <v>417</v>
      </c>
      <c r="AB22" s="389"/>
      <c r="AC22" s="779" t="s">
        <v>417</v>
      </c>
      <c r="AD22" s="389"/>
      <c r="AE22" s="779" t="s">
        <v>417</v>
      </c>
      <c r="AF22" s="389"/>
      <c r="AG22" s="779" t="s">
        <v>417</v>
      </c>
      <c r="AH22" s="389"/>
      <c r="AI22" s="779" t="s">
        <v>417</v>
      </c>
      <c r="AJ22" s="389"/>
      <c r="AK22" s="779" t="s">
        <v>417</v>
      </c>
      <c r="AL22" s="389"/>
      <c r="AM22" s="779" t="s">
        <v>417</v>
      </c>
      <c r="AN22" s="389"/>
      <c r="AO22" s="779" t="s">
        <v>417</v>
      </c>
      <c r="AP22" s="389"/>
      <c r="AQ22" s="779" t="s">
        <v>417</v>
      </c>
      <c r="AR22" s="394"/>
      <c r="AS22" s="391">
        <f t="shared" ref="AS22:AS28" si="1">COUNTIF(C22:AR22,"&gt;=R")</f>
        <v>19</v>
      </c>
      <c r="AT22" s="392">
        <f t="shared" ref="AT22:AT28" si="2">AS22</f>
        <v>19</v>
      </c>
      <c r="AY22" s="770"/>
    </row>
    <row r="23" ht="39.75" customHeight="1">
      <c r="A23" s="778" t="s">
        <v>114</v>
      </c>
      <c r="B23" s="386" t="s">
        <v>115</v>
      </c>
      <c r="C23" s="387"/>
      <c r="D23" s="388"/>
      <c r="E23" s="387"/>
      <c r="F23" s="389"/>
      <c r="G23" s="387" t="s">
        <v>6</v>
      </c>
      <c r="H23" s="389"/>
      <c r="I23" s="387" t="s">
        <v>6</v>
      </c>
      <c r="J23" s="389"/>
      <c r="K23" s="387" t="s">
        <v>6</v>
      </c>
      <c r="L23" s="389"/>
      <c r="M23" s="387" t="s">
        <v>6</v>
      </c>
      <c r="N23" s="389"/>
      <c r="O23" s="387" t="s">
        <v>6</v>
      </c>
      <c r="P23" s="389"/>
      <c r="Q23" s="387" t="s">
        <v>6</v>
      </c>
      <c r="R23" s="389"/>
      <c r="S23" s="387" t="s">
        <v>6</v>
      </c>
      <c r="T23" s="389"/>
      <c r="U23" s="387" t="s">
        <v>6</v>
      </c>
      <c r="V23" s="389"/>
      <c r="W23" s="779" t="s">
        <v>417</v>
      </c>
      <c r="X23" s="389"/>
      <c r="Y23" s="779" t="s">
        <v>417</v>
      </c>
      <c r="Z23" s="389"/>
      <c r="AA23" s="779" t="s">
        <v>417</v>
      </c>
      <c r="AB23" s="389"/>
      <c r="AC23" s="779" t="s">
        <v>417</v>
      </c>
      <c r="AD23" s="389"/>
      <c r="AE23" s="779" t="s">
        <v>417</v>
      </c>
      <c r="AF23" s="389"/>
      <c r="AG23" s="779" t="s">
        <v>417</v>
      </c>
      <c r="AH23" s="389"/>
      <c r="AI23" s="779" t="s">
        <v>417</v>
      </c>
      <c r="AJ23" s="389"/>
      <c r="AK23" s="779" t="s">
        <v>417</v>
      </c>
      <c r="AL23" s="389"/>
      <c r="AM23" s="779" t="s">
        <v>417</v>
      </c>
      <c r="AN23" s="389"/>
      <c r="AO23" s="779" t="s">
        <v>417</v>
      </c>
      <c r="AP23" s="389"/>
      <c r="AQ23" s="779" t="s">
        <v>417</v>
      </c>
      <c r="AR23" s="394"/>
      <c r="AS23" s="391">
        <f t="shared" si="1"/>
        <v>19</v>
      </c>
      <c r="AT23" s="392">
        <f t="shared" si="2"/>
        <v>19</v>
      </c>
      <c r="AY23" s="770"/>
    </row>
    <row r="24" ht="39.75" customHeight="1">
      <c r="A24" s="778" t="s">
        <v>116</v>
      </c>
      <c r="B24" s="386" t="s">
        <v>117</v>
      </c>
      <c r="C24" s="387"/>
      <c r="D24" s="388"/>
      <c r="E24" s="387"/>
      <c r="F24" s="389"/>
      <c r="G24" s="387" t="s">
        <v>6</v>
      </c>
      <c r="H24" s="389"/>
      <c r="I24" s="387" t="s">
        <v>6</v>
      </c>
      <c r="J24" s="389"/>
      <c r="K24" s="387" t="s">
        <v>6</v>
      </c>
      <c r="L24" s="389"/>
      <c r="M24" s="387" t="s">
        <v>6</v>
      </c>
      <c r="N24" s="389"/>
      <c r="O24" s="387" t="s">
        <v>6</v>
      </c>
      <c r="P24" s="389"/>
      <c r="Q24" s="387" t="s">
        <v>6</v>
      </c>
      <c r="R24" s="389"/>
      <c r="S24" s="387" t="s">
        <v>6</v>
      </c>
      <c r="T24" s="389"/>
      <c r="U24" s="387" t="s">
        <v>6</v>
      </c>
      <c r="V24" s="389"/>
      <c r="W24" s="779" t="s">
        <v>417</v>
      </c>
      <c r="X24" s="389"/>
      <c r="Y24" s="779" t="s">
        <v>417</v>
      </c>
      <c r="Z24" s="389"/>
      <c r="AA24" s="779" t="s">
        <v>417</v>
      </c>
      <c r="AB24" s="389"/>
      <c r="AC24" s="779" t="s">
        <v>417</v>
      </c>
      <c r="AD24" s="389"/>
      <c r="AE24" s="779" t="s">
        <v>417</v>
      </c>
      <c r="AF24" s="389"/>
      <c r="AG24" s="779" t="s">
        <v>417</v>
      </c>
      <c r="AH24" s="389"/>
      <c r="AI24" s="779" t="s">
        <v>417</v>
      </c>
      <c r="AJ24" s="389"/>
      <c r="AK24" s="779" t="s">
        <v>417</v>
      </c>
      <c r="AL24" s="389"/>
      <c r="AM24" s="779" t="s">
        <v>417</v>
      </c>
      <c r="AN24" s="389"/>
      <c r="AO24" s="779" t="s">
        <v>417</v>
      </c>
      <c r="AP24" s="389"/>
      <c r="AQ24" s="779" t="s">
        <v>417</v>
      </c>
      <c r="AR24" s="394"/>
      <c r="AS24" s="391">
        <f t="shared" si="1"/>
        <v>19</v>
      </c>
      <c r="AT24" s="392">
        <f t="shared" si="2"/>
        <v>19</v>
      </c>
      <c r="AY24" s="770"/>
    </row>
    <row r="25" ht="39.75" customHeight="1">
      <c r="A25" s="778" t="s">
        <v>118</v>
      </c>
      <c r="B25" s="386" t="s">
        <v>119</v>
      </c>
      <c r="C25" s="387"/>
      <c r="D25" s="388"/>
      <c r="E25" s="387"/>
      <c r="F25" s="389"/>
      <c r="G25" s="387" t="s">
        <v>6</v>
      </c>
      <c r="H25" s="389"/>
      <c r="I25" s="387" t="s">
        <v>6</v>
      </c>
      <c r="J25" s="389"/>
      <c r="K25" s="387" t="s">
        <v>6</v>
      </c>
      <c r="L25" s="389"/>
      <c r="M25" s="387" t="s">
        <v>6</v>
      </c>
      <c r="N25" s="389"/>
      <c r="O25" s="387" t="s">
        <v>6</v>
      </c>
      <c r="P25" s="389"/>
      <c r="Q25" s="387" t="s">
        <v>6</v>
      </c>
      <c r="R25" s="389"/>
      <c r="S25" s="387" t="s">
        <v>6</v>
      </c>
      <c r="T25" s="389"/>
      <c r="U25" s="387" t="s">
        <v>6</v>
      </c>
      <c r="V25" s="389"/>
      <c r="W25" s="779" t="s">
        <v>417</v>
      </c>
      <c r="X25" s="389"/>
      <c r="Y25" s="779" t="s">
        <v>417</v>
      </c>
      <c r="Z25" s="389"/>
      <c r="AA25" s="779" t="s">
        <v>417</v>
      </c>
      <c r="AB25" s="389"/>
      <c r="AC25" s="779" t="s">
        <v>417</v>
      </c>
      <c r="AD25" s="389"/>
      <c r="AE25" s="779" t="s">
        <v>417</v>
      </c>
      <c r="AF25" s="389"/>
      <c r="AG25" s="779" t="s">
        <v>417</v>
      </c>
      <c r="AH25" s="389"/>
      <c r="AI25" s="779" t="s">
        <v>417</v>
      </c>
      <c r="AJ25" s="389"/>
      <c r="AK25" s="779" t="s">
        <v>417</v>
      </c>
      <c r="AL25" s="389"/>
      <c r="AM25" s="779" t="s">
        <v>417</v>
      </c>
      <c r="AN25" s="389"/>
      <c r="AO25" s="779" t="s">
        <v>417</v>
      </c>
      <c r="AP25" s="389"/>
      <c r="AQ25" s="779" t="s">
        <v>417</v>
      </c>
      <c r="AR25" s="394"/>
      <c r="AS25" s="391">
        <f t="shared" si="1"/>
        <v>19</v>
      </c>
      <c r="AT25" s="392">
        <f t="shared" si="2"/>
        <v>19</v>
      </c>
      <c r="AY25" s="770"/>
    </row>
    <row r="26" ht="39.75" customHeight="1">
      <c r="A26" s="778" t="s">
        <v>120</v>
      </c>
      <c r="B26" s="386" t="s">
        <v>121</v>
      </c>
      <c r="C26" s="388"/>
      <c r="D26" s="388"/>
      <c r="E26" s="389"/>
      <c r="F26" s="389"/>
      <c r="G26" s="389" t="s">
        <v>407</v>
      </c>
      <c r="H26" s="389"/>
      <c r="I26" s="389" t="s">
        <v>407</v>
      </c>
      <c r="J26" s="389"/>
      <c r="K26" s="387" t="s">
        <v>6</v>
      </c>
      <c r="L26" s="389"/>
      <c r="M26" s="387" t="s">
        <v>6</v>
      </c>
      <c r="N26" s="389"/>
      <c r="O26" s="387" t="s">
        <v>6</v>
      </c>
      <c r="P26" s="389"/>
      <c r="Q26" s="387" t="s">
        <v>6</v>
      </c>
      <c r="R26" s="389"/>
      <c r="S26" s="387" t="s">
        <v>6</v>
      </c>
      <c r="T26" s="389"/>
      <c r="U26" s="387" t="s">
        <v>6</v>
      </c>
      <c r="V26" s="389"/>
      <c r="W26" s="387" t="s">
        <v>6</v>
      </c>
      <c r="X26" s="389"/>
      <c r="Y26" s="780" t="s">
        <v>6</v>
      </c>
      <c r="Z26" s="389"/>
      <c r="AA26" s="780" t="s">
        <v>6</v>
      </c>
      <c r="AB26" s="389"/>
      <c r="AC26" s="387" t="s">
        <v>6</v>
      </c>
      <c r="AD26" s="389"/>
      <c r="AE26" s="780" t="s">
        <v>6</v>
      </c>
      <c r="AF26" s="389"/>
      <c r="AG26" s="780" t="s">
        <v>6</v>
      </c>
      <c r="AH26" s="389"/>
      <c r="AI26" s="780" t="s">
        <v>6</v>
      </c>
      <c r="AJ26" s="389"/>
      <c r="AK26" s="780" t="s">
        <v>6</v>
      </c>
      <c r="AL26" s="389"/>
      <c r="AM26" s="389" t="s">
        <v>407</v>
      </c>
      <c r="AN26" s="389"/>
      <c r="AO26" s="389" t="s">
        <v>417</v>
      </c>
      <c r="AP26" s="389"/>
      <c r="AQ26" s="389" t="s">
        <v>417</v>
      </c>
      <c r="AR26" s="394"/>
      <c r="AS26" s="391">
        <f t="shared" si="1"/>
        <v>19</v>
      </c>
      <c r="AT26" s="392">
        <f t="shared" si="2"/>
        <v>19</v>
      </c>
      <c r="AY26" s="770"/>
    </row>
    <row r="27" ht="39.75" customHeight="1">
      <c r="A27" s="778" t="s">
        <v>122</v>
      </c>
      <c r="B27" s="386" t="s">
        <v>123</v>
      </c>
      <c r="C27" s="388"/>
      <c r="D27" s="388"/>
      <c r="E27" s="389"/>
      <c r="F27" s="389"/>
      <c r="G27" s="389" t="s">
        <v>407</v>
      </c>
      <c r="H27" s="389"/>
      <c r="I27" s="389" t="s">
        <v>407</v>
      </c>
      <c r="J27" s="389"/>
      <c r="K27" s="387" t="s">
        <v>6</v>
      </c>
      <c r="L27" s="389"/>
      <c r="M27" s="387" t="s">
        <v>6</v>
      </c>
      <c r="N27" s="389"/>
      <c r="O27" s="387" t="s">
        <v>6</v>
      </c>
      <c r="P27" s="389"/>
      <c r="Q27" s="387" t="s">
        <v>6</v>
      </c>
      <c r="R27" s="389"/>
      <c r="S27" s="387" t="s">
        <v>6</v>
      </c>
      <c r="T27" s="389"/>
      <c r="U27" s="387" t="s">
        <v>6</v>
      </c>
      <c r="V27" s="389"/>
      <c r="W27" s="387" t="s">
        <v>6</v>
      </c>
      <c r="X27" s="389"/>
      <c r="Y27" s="780" t="s">
        <v>6</v>
      </c>
      <c r="Z27" s="389"/>
      <c r="AA27" s="780" t="s">
        <v>6</v>
      </c>
      <c r="AB27" s="389"/>
      <c r="AC27" s="387" t="s">
        <v>6</v>
      </c>
      <c r="AD27" s="389"/>
      <c r="AE27" s="780" t="s">
        <v>6</v>
      </c>
      <c r="AF27" s="389"/>
      <c r="AG27" s="780" t="s">
        <v>6</v>
      </c>
      <c r="AH27" s="389"/>
      <c r="AI27" s="387" t="s">
        <v>6</v>
      </c>
      <c r="AJ27" s="389"/>
      <c r="AK27" s="389" t="s">
        <v>417</v>
      </c>
      <c r="AL27" s="389"/>
      <c r="AM27" s="389" t="s">
        <v>417</v>
      </c>
      <c r="AN27" s="389"/>
      <c r="AO27" s="389" t="s">
        <v>417</v>
      </c>
      <c r="AP27" s="389"/>
      <c r="AQ27" s="389" t="s">
        <v>417</v>
      </c>
      <c r="AR27" s="394"/>
      <c r="AS27" s="391">
        <f t="shared" si="1"/>
        <v>19</v>
      </c>
      <c r="AT27" s="392">
        <f t="shared" si="2"/>
        <v>19</v>
      </c>
      <c r="AY27" s="770"/>
    </row>
    <row r="28" ht="39.75" customHeight="1">
      <c r="A28" s="778" t="s">
        <v>124</v>
      </c>
      <c r="B28" s="386" t="s">
        <v>125</v>
      </c>
      <c r="C28" s="388"/>
      <c r="D28" s="388"/>
      <c r="E28" s="389"/>
      <c r="F28" s="389"/>
      <c r="G28" s="389" t="s">
        <v>407</v>
      </c>
      <c r="H28" s="389"/>
      <c r="I28" s="389" t="s">
        <v>407</v>
      </c>
      <c r="J28" s="389"/>
      <c r="K28" s="387" t="s">
        <v>6</v>
      </c>
      <c r="L28" s="389"/>
      <c r="M28" s="387" t="s">
        <v>6</v>
      </c>
      <c r="N28" s="389"/>
      <c r="O28" s="387" t="s">
        <v>6</v>
      </c>
      <c r="P28" s="389"/>
      <c r="Q28" s="387" t="s">
        <v>6</v>
      </c>
      <c r="R28" s="389"/>
      <c r="S28" s="387" t="s">
        <v>6</v>
      </c>
      <c r="T28" s="389"/>
      <c r="U28" s="387" t="s">
        <v>6</v>
      </c>
      <c r="V28" s="389"/>
      <c r="W28" s="387" t="s">
        <v>6</v>
      </c>
      <c r="X28" s="389"/>
      <c r="Y28" s="780" t="s">
        <v>6</v>
      </c>
      <c r="Z28" s="389"/>
      <c r="AA28" s="780" t="s">
        <v>6</v>
      </c>
      <c r="AB28" s="389"/>
      <c r="AC28" s="387" t="s">
        <v>6</v>
      </c>
      <c r="AD28" s="389"/>
      <c r="AE28" s="780" t="s">
        <v>6</v>
      </c>
      <c r="AF28" s="389"/>
      <c r="AG28" s="780" t="s">
        <v>6</v>
      </c>
      <c r="AH28" s="389"/>
      <c r="AI28" s="387" t="s">
        <v>6</v>
      </c>
      <c r="AJ28" s="389"/>
      <c r="AK28" s="389" t="s">
        <v>417</v>
      </c>
      <c r="AL28" s="389"/>
      <c r="AM28" s="389" t="s">
        <v>417</v>
      </c>
      <c r="AN28" s="389"/>
      <c r="AO28" s="389" t="s">
        <v>417</v>
      </c>
      <c r="AP28" s="389"/>
      <c r="AQ28" s="389" t="s">
        <v>417</v>
      </c>
      <c r="AR28" s="394"/>
      <c r="AS28" s="391">
        <f t="shared" si="1"/>
        <v>19</v>
      </c>
      <c r="AT28" s="392">
        <f t="shared" si="2"/>
        <v>19</v>
      </c>
      <c r="AY28" s="770"/>
    </row>
    <row r="29" ht="39.75" customHeight="1">
      <c r="A29" s="781" t="s">
        <v>126</v>
      </c>
      <c r="B29" s="782" t="s">
        <v>127</v>
      </c>
      <c r="C29" s="783"/>
      <c r="D29" s="784"/>
      <c r="E29" s="785"/>
      <c r="F29" s="785"/>
      <c r="G29" s="785"/>
      <c r="H29" s="785"/>
      <c r="I29" s="785"/>
      <c r="J29" s="785"/>
      <c r="K29" s="785"/>
      <c r="L29" s="785"/>
      <c r="M29" s="785"/>
      <c r="N29" s="785"/>
      <c r="O29" s="785"/>
      <c r="P29" s="785"/>
      <c r="Q29" s="785"/>
      <c r="R29" s="785"/>
      <c r="S29" s="785"/>
      <c r="T29" s="785"/>
      <c r="U29" s="785"/>
      <c r="V29" s="785"/>
      <c r="W29" s="785"/>
      <c r="X29" s="785"/>
      <c r="Y29" s="785"/>
      <c r="Z29" s="785"/>
      <c r="AA29" s="785"/>
      <c r="AB29" s="785"/>
      <c r="AC29" s="785"/>
      <c r="AD29" s="785"/>
      <c r="AE29" s="785"/>
      <c r="AF29" s="785"/>
      <c r="AG29" s="785"/>
      <c r="AH29" s="785"/>
      <c r="AI29" s="786"/>
      <c r="AJ29" s="786"/>
      <c r="AK29" s="786"/>
      <c r="AL29" s="786"/>
      <c r="AM29" s="786"/>
      <c r="AN29" s="786"/>
      <c r="AO29" s="786"/>
      <c r="AP29" s="786"/>
      <c r="AQ29" s="786"/>
      <c r="AR29" s="786"/>
      <c r="AS29" s="786"/>
      <c r="AT29" s="787"/>
      <c r="AU29" s="404"/>
      <c r="AV29" s="404"/>
      <c r="AW29" s="404"/>
      <c r="AX29" s="404"/>
      <c r="AY29" s="770"/>
      <c r="BE29" s="404"/>
      <c r="BF29" s="404"/>
      <c r="BG29" s="404"/>
      <c r="BH29" s="404"/>
      <c r="BI29" s="404"/>
      <c r="BJ29" s="404"/>
      <c r="BK29" s="404"/>
      <c r="BL29" s="404"/>
      <c r="BM29" s="404"/>
      <c r="BN29" s="404"/>
    </row>
    <row r="30" ht="39.75" customHeight="1">
      <c r="A30" s="778" t="s">
        <v>128</v>
      </c>
      <c r="B30" s="386" t="s">
        <v>129</v>
      </c>
      <c r="C30" s="388"/>
      <c r="D30" s="388"/>
      <c r="E30" s="389"/>
      <c r="F30" s="389"/>
      <c r="G30" s="788" t="s">
        <v>407</v>
      </c>
      <c r="H30" s="389"/>
      <c r="I30" s="788" t="s">
        <v>407</v>
      </c>
      <c r="J30" s="389"/>
      <c r="K30" s="780" t="s">
        <v>6</v>
      </c>
      <c r="L30" s="389"/>
      <c r="M30" s="780" t="s">
        <v>6</v>
      </c>
      <c r="N30" s="389"/>
      <c r="O30" s="780" t="s">
        <v>6</v>
      </c>
      <c r="P30" s="389"/>
      <c r="Q30" s="780" t="s">
        <v>6</v>
      </c>
      <c r="R30" s="389"/>
      <c r="S30" s="780" t="s">
        <v>6</v>
      </c>
      <c r="T30" s="389"/>
      <c r="U30" s="780" t="s">
        <v>6</v>
      </c>
      <c r="V30" s="389"/>
      <c r="W30" s="780" t="s">
        <v>6</v>
      </c>
      <c r="X30" s="389"/>
      <c r="Y30" s="780" t="s">
        <v>6</v>
      </c>
      <c r="Z30" s="389"/>
      <c r="AA30" s="780" t="s">
        <v>6</v>
      </c>
      <c r="AB30" s="389"/>
      <c r="AC30" s="780" t="s">
        <v>6</v>
      </c>
      <c r="AD30" s="389"/>
      <c r="AE30" s="780" t="s">
        <v>6</v>
      </c>
      <c r="AF30" s="389"/>
      <c r="AG30" s="780" t="s">
        <v>6</v>
      </c>
      <c r="AH30" s="389"/>
      <c r="AI30" s="780" t="s">
        <v>6</v>
      </c>
      <c r="AJ30" s="389"/>
      <c r="AK30" s="780" t="s">
        <v>6</v>
      </c>
      <c r="AL30" s="394"/>
      <c r="AM30" s="389" t="s">
        <v>407</v>
      </c>
      <c r="AN30" s="394"/>
      <c r="AO30" s="394" t="s">
        <v>417</v>
      </c>
      <c r="AP30" s="394"/>
      <c r="AQ30" s="394" t="s">
        <v>417</v>
      </c>
      <c r="AR30" s="394"/>
      <c r="AS30" s="391">
        <f t="shared" ref="AS30:AS31" si="3">COUNTIF(C30:AR30,"&gt;=R")</f>
        <v>19</v>
      </c>
      <c r="AT30" s="392">
        <f t="shared" ref="AT30:AT31" si="4">AS30</f>
        <v>19</v>
      </c>
      <c r="AY30" s="770"/>
    </row>
    <row r="31" ht="39.75" customHeight="1">
      <c r="A31" s="778" t="s">
        <v>130</v>
      </c>
      <c r="B31" s="386" t="s">
        <v>131</v>
      </c>
      <c r="C31" s="388"/>
      <c r="D31" s="388"/>
      <c r="E31" s="389"/>
      <c r="F31" s="389"/>
      <c r="G31" s="389" t="s">
        <v>407</v>
      </c>
      <c r="H31" s="389"/>
      <c r="I31" s="389" t="s">
        <v>407</v>
      </c>
      <c r="J31" s="389"/>
      <c r="K31" s="780" t="s">
        <v>6</v>
      </c>
      <c r="L31" s="389"/>
      <c r="M31" s="780" t="s">
        <v>6</v>
      </c>
      <c r="N31" s="389"/>
      <c r="O31" s="780" t="s">
        <v>6</v>
      </c>
      <c r="P31" s="389"/>
      <c r="Q31" s="780" t="s">
        <v>6</v>
      </c>
      <c r="R31" s="389"/>
      <c r="S31" s="780" t="s">
        <v>6</v>
      </c>
      <c r="T31" s="389"/>
      <c r="U31" s="780" t="s">
        <v>6</v>
      </c>
      <c r="V31" s="389"/>
      <c r="W31" s="780" t="s">
        <v>6</v>
      </c>
      <c r="X31" s="389"/>
      <c r="Y31" s="780" t="s">
        <v>6</v>
      </c>
      <c r="Z31" s="389"/>
      <c r="AA31" s="780" t="s">
        <v>6</v>
      </c>
      <c r="AB31" s="389"/>
      <c r="AC31" s="780" t="s">
        <v>6</v>
      </c>
      <c r="AD31" s="389"/>
      <c r="AE31" s="780" t="s">
        <v>6</v>
      </c>
      <c r="AF31" s="389"/>
      <c r="AG31" s="780" t="s">
        <v>6</v>
      </c>
      <c r="AH31" s="389"/>
      <c r="AI31" s="780" t="s">
        <v>6</v>
      </c>
      <c r="AJ31" s="389"/>
      <c r="AK31" s="780" t="s">
        <v>6</v>
      </c>
      <c r="AL31" s="394"/>
      <c r="AM31" s="389" t="s">
        <v>407</v>
      </c>
      <c r="AN31" s="394"/>
      <c r="AO31" s="394" t="s">
        <v>417</v>
      </c>
      <c r="AP31" s="394"/>
      <c r="AQ31" s="394" t="s">
        <v>417</v>
      </c>
      <c r="AR31" s="394"/>
      <c r="AS31" s="391">
        <f t="shared" si="3"/>
        <v>19</v>
      </c>
      <c r="AT31" s="392">
        <f t="shared" si="4"/>
        <v>19</v>
      </c>
      <c r="AU31" s="404"/>
      <c r="AV31" s="404"/>
      <c r="AW31" s="404"/>
      <c r="AX31" s="404"/>
      <c r="AY31" s="770"/>
      <c r="BE31" s="404"/>
      <c r="BF31" s="404"/>
      <c r="BG31" s="404"/>
      <c r="BH31" s="404"/>
      <c r="BI31" s="404"/>
      <c r="BJ31" s="404"/>
      <c r="BK31" s="404"/>
      <c r="BL31" s="404"/>
      <c r="BM31" s="404"/>
      <c r="BN31" s="404"/>
    </row>
    <row r="32" ht="39.75" customHeight="1">
      <c r="A32" s="781" t="s">
        <v>132</v>
      </c>
      <c r="B32" s="782" t="s">
        <v>133</v>
      </c>
      <c r="C32" s="783"/>
      <c r="D32" s="784"/>
      <c r="E32" s="785"/>
      <c r="F32" s="785"/>
      <c r="G32" s="785"/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5"/>
      <c r="Z32" s="785"/>
      <c r="AA32" s="785"/>
      <c r="AB32" s="785"/>
      <c r="AC32" s="785"/>
      <c r="AD32" s="785"/>
      <c r="AE32" s="785"/>
      <c r="AF32" s="785"/>
      <c r="AG32" s="785"/>
      <c r="AH32" s="785"/>
      <c r="AI32" s="786"/>
      <c r="AJ32" s="786"/>
      <c r="AK32" s="786"/>
      <c r="AL32" s="786"/>
      <c r="AM32" s="786"/>
      <c r="AN32" s="786"/>
      <c r="AO32" s="786"/>
      <c r="AP32" s="786"/>
      <c r="AQ32" s="786"/>
      <c r="AR32" s="786"/>
      <c r="AS32" s="786"/>
      <c r="AT32" s="787"/>
      <c r="AU32" s="404"/>
      <c r="AV32" s="404"/>
      <c r="AW32" s="404"/>
      <c r="AX32" s="404"/>
      <c r="AY32" s="770"/>
      <c r="BE32" s="404"/>
      <c r="BF32" s="404"/>
      <c r="BG32" s="404"/>
      <c r="BH32" s="404"/>
      <c r="BI32" s="404"/>
      <c r="BJ32" s="404"/>
      <c r="BK32" s="404"/>
      <c r="BL32" s="404"/>
      <c r="BM32" s="404"/>
      <c r="BN32" s="404"/>
    </row>
    <row r="33" ht="39.75" customHeight="1">
      <c r="A33" s="789" t="s">
        <v>134</v>
      </c>
      <c r="B33" s="386" t="s">
        <v>135</v>
      </c>
      <c r="C33" s="387"/>
      <c r="D33" s="388"/>
      <c r="E33" s="387"/>
      <c r="F33" s="389"/>
      <c r="G33" s="387"/>
      <c r="H33" s="389"/>
      <c r="I33" s="389" t="s">
        <v>409</v>
      </c>
      <c r="J33" s="389"/>
      <c r="K33" s="389" t="s">
        <v>409</v>
      </c>
      <c r="L33" s="389"/>
      <c r="M33" s="389" t="s">
        <v>409</v>
      </c>
      <c r="N33" s="389"/>
      <c r="O33" s="389" t="s">
        <v>409</v>
      </c>
      <c r="P33" s="389"/>
      <c r="Q33" s="389" t="s">
        <v>409</v>
      </c>
      <c r="R33" s="389"/>
      <c r="S33" s="389" t="s">
        <v>409</v>
      </c>
      <c r="T33" s="389"/>
      <c r="U33" s="389" t="s">
        <v>408</v>
      </c>
      <c r="V33" s="389"/>
      <c r="W33" s="389" t="s">
        <v>408</v>
      </c>
      <c r="X33" s="389"/>
      <c r="Y33" s="389" t="s">
        <v>408</v>
      </c>
      <c r="Z33" s="389"/>
      <c r="AA33" s="389" t="s">
        <v>408</v>
      </c>
      <c r="AB33" s="389"/>
      <c r="AC33" s="389" t="s">
        <v>408</v>
      </c>
      <c r="AD33" s="389"/>
      <c r="AE33" s="389" t="s">
        <v>408</v>
      </c>
      <c r="AF33" s="389"/>
      <c r="AG33" s="389" t="s">
        <v>408</v>
      </c>
      <c r="AH33" s="389"/>
      <c r="AI33" s="389" t="s">
        <v>408</v>
      </c>
      <c r="AJ33" s="394"/>
      <c r="AK33" s="389" t="s">
        <v>408</v>
      </c>
      <c r="AL33" s="394"/>
      <c r="AM33" s="394" t="s">
        <v>408</v>
      </c>
      <c r="AN33" s="394"/>
      <c r="AO33" s="389" t="s">
        <v>408</v>
      </c>
      <c r="AP33" s="389"/>
      <c r="AQ33" s="389" t="s">
        <v>26</v>
      </c>
      <c r="AR33" s="394"/>
      <c r="AS33" s="391">
        <f>COUNTIF(C33:AR33,"&gt;=R")</f>
        <v>18</v>
      </c>
      <c r="AT33" s="392">
        <f>AS33</f>
        <v>18</v>
      </c>
      <c r="AU33" s="404"/>
      <c r="AV33" s="404"/>
      <c r="AW33" s="404"/>
      <c r="AX33" s="404"/>
      <c r="AY33" s="770"/>
      <c r="BE33" s="404"/>
      <c r="BF33" s="404"/>
      <c r="BG33" s="404"/>
      <c r="BH33" s="404"/>
      <c r="BI33" s="404"/>
      <c r="BJ33" s="404"/>
      <c r="BK33" s="404"/>
      <c r="BL33" s="404"/>
      <c r="BM33" s="404"/>
      <c r="BN33" s="404"/>
    </row>
    <row r="34" ht="39.75" customHeight="1">
      <c r="A34" s="781" t="s">
        <v>136</v>
      </c>
      <c r="B34" s="782" t="s">
        <v>137</v>
      </c>
      <c r="C34" s="783"/>
      <c r="D34" s="784"/>
      <c r="E34" s="785"/>
      <c r="F34" s="785"/>
      <c r="G34" s="785"/>
      <c r="H34" s="785"/>
      <c r="I34" s="785"/>
      <c r="J34" s="785"/>
      <c r="K34" s="785"/>
      <c r="L34" s="785"/>
      <c r="M34" s="785"/>
      <c r="N34" s="785"/>
      <c r="O34" s="785"/>
      <c r="P34" s="785"/>
      <c r="Q34" s="785"/>
      <c r="R34" s="785"/>
      <c r="S34" s="785"/>
      <c r="T34" s="785"/>
      <c r="U34" s="785"/>
      <c r="V34" s="785"/>
      <c r="W34" s="785"/>
      <c r="X34" s="785"/>
      <c r="Y34" s="785"/>
      <c r="Z34" s="785"/>
      <c r="AA34" s="785"/>
      <c r="AB34" s="785"/>
      <c r="AC34" s="785"/>
      <c r="AD34" s="785"/>
      <c r="AE34" s="785"/>
      <c r="AF34" s="785"/>
      <c r="AG34" s="785"/>
      <c r="AH34" s="785"/>
      <c r="AI34" s="786"/>
      <c r="AJ34" s="786"/>
      <c r="AK34" s="786"/>
      <c r="AL34" s="786"/>
      <c r="AM34" s="786"/>
      <c r="AN34" s="786"/>
      <c r="AO34" s="786"/>
      <c r="AP34" s="786"/>
      <c r="AQ34" s="786"/>
      <c r="AR34" s="786"/>
      <c r="AS34" s="786"/>
      <c r="AT34" s="787"/>
      <c r="AU34" s="404"/>
      <c r="AV34" s="404"/>
      <c r="AW34" s="404"/>
      <c r="AX34" s="404"/>
      <c r="AY34" s="770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</row>
    <row r="35" ht="39.75" customHeight="1">
      <c r="A35" s="778" t="s">
        <v>138</v>
      </c>
      <c r="B35" s="386" t="s">
        <v>139</v>
      </c>
      <c r="C35" s="387"/>
      <c r="D35" s="388"/>
      <c r="E35" s="394"/>
      <c r="F35" s="389"/>
      <c r="G35" s="394"/>
      <c r="H35" s="389"/>
      <c r="I35" s="403" t="s">
        <v>409</v>
      </c>
      <c r="J35" s="389"/>
      <c r="K35" s="403" t="s">
        <v>409</v>
      </c>
      <c r="L35" s="389"/>
      <c r="M35" s="403" t="s">
        <v>409</v>
      </c>
      <c r="N35" s="389"/>
      <c r="O35" s="403" t="s">
        <v>409</v>
      </c>
      <c r="P35" s="389"/>
      <c r="Q35" s="403" t="s">
        <v>409</v>
      </c>
      <c r="R35" s="389"/>
      <c r="S35" s="403" t="s">
        <v>409</v>
      </c>
      <c r="T35" s="394"/>
      <c r="U35" s="790" t="s">
        <v>408</v>
      </c>
      <c r="V35" s="389"/>
      <c r="W35" s="790" t="s">
        <v>408</v>
      </c>
      <c r="X35" s="389"/>
      <c r="Y35" s="790" t="s">
        <v>408</v>
      </c>
      <c r="Z35" s="389"/>
      <c r="AA35" s="790" t="s">
        <v>408</v>
      </c>
      <c r="AB35" s="389"/>
      <c r="AC35" s="790" t="s">
        <v>408</v>
      </c>
      <c r="AD35" s="389"/>
      <c r="AE35" s="790" t="s">
        <v>408</v>
      </c>
      <c r="AF35" s="389"/>
      <c r="AG35" s="790" t="s">
        <v>408</v>
      </c>
      <c r="AH35" s="389"/>
      <c r="AI35" s="790" t="s">
        <v>408</v>
      </c>
      <c r="AJ35" s="394"/>
      <c r="AK35" s="790" t="s">
        <v>408</v>
      </c>
      <c r="AL35" s="394"/>
      <c r="AM35" s="394" t="s">
        <v>408</v>
      </c>
      <c r="AN35" s="394"/>
      <c r="AO35" s="790" t="s">
        <v>408</v>
      </c>
      <c r="AP35" s="394"/>
      <c r="AQ35" s="394" t="s">
        <v>26</v>
      </c>
      <c r="AR35" s="394"/>
      <c r="AS35" s="391">
        <f t="shared" ref="AS35:AS36" si="5">COUNTIF(C35:AR35,"&gt;=R")</f>
        <v>18</v>
      </c>
      <c r="AT35" s="392">
        <f t="shared" ref="AT35:AT36" si="6">AS35</f>
        <v>18</v>
      </c>
      <c r="AY35" s="770"/>
    </row>
    <row r="36" ht="39.75" customHeight="1">
      <c r="A36" s="778" t="s">
        <v>140</v>
      </c>
      <c r="B36" s="386" t="s">
        <v>141</v>
      </c>
      <c r="C36" s="387"/>
      <c r="D36" s="388"/>
      <c r="E36" s="387"/>
      <c r="F36" s="389"/>
      <c r="G36" s="394"/>
      <c r="H36" s="389"/>
      <c r="I36" s="403" t="s">
        <v>409</v>
      </c>
      <c r="J36" s="389"/>
      <c r="K36" s="403" t="s">
        <v>409</v>
      </c>
      <c r="L36" s="389"/>
      <c r="M36" s="403" t="s">
        <v>409</v>
      </c>
      <c r="N36" s="389"/>
      <c r="O36" s="403" t="s">
        <v>409</v>
      </c>
      <c r="P36" s="389"/>
      <c r="Q36" s="403" t="s">
        <v>409</v>
      </c>
      <c r="R36" s="389"/>
      <c r="S36" s="403" t="s">
        <v>409</v>
      </c>
      <c r="T36" s="389"/>
      <c r="U36" s="790" t="s">
        <v>408</v>
      </c>
      <c r="V36" s="389"/>
      <c r="W36" s="790" t="s">
        <v>408</v>
      </c>
      <c r="X36" s="389"/>
      <c r="Y36" s="790" t="s">
        <v>408</v>
      </c>
      <c r="Z36" s="389"/>
      <c r="AA36" s="790" t="s">
        <v>408</v>
      </c>
      <c r="AB36" s="389"/>
      <c r="AC36" s="790" t="s">
        <v>408</v>
      </c>
      <c r="AD36" s="389"/>
      <c r="AE36" s="790" t="s">
        <v>408</v>
      </c>
      <c r="AF36" s="389"/>
      <c r="AG36" s="790" t="s">
        <v>408</v>
      </c>
      <c r="AH36" s="389"/>
      <c r="AI36" s="790" t="s">
        <v>408</v>
      </c>
      <c r="AJ36" s="394"/>
      <c r="AK36" s="790" t="s">
        <v>408</v>
      </c>
      <c r="AL36" s="394"/>
      <c r="AM36" s="394" t="s">
        <v>408</v>
      </c>
      <c r="AN36" s="394"/>
      <c r="AO36" s="790" t="s">
        <v>408</v>
      </c>
      <c r="AP36" s="394"/>
      <c r="AQ36" s="394" t="s">
        <v>26</v>
      </c>
      <c r="AR36" s="394"/>
      <c r="AS36" s="391">
        <f t="shared" si="5"/>
        <v>18</v>
      </c>
      <c r="AT36" s="392">
        <f t="shared" si="6"/>
        <v>18</v>
      </c>
      <c r="AU36" s="404"/>
      <c r="AV36" s="404"/>
      <c r="AW36" s="404"/>
      <c r="AX36" s="404"/>
      <c r="AY36" s="770"/>
      <c r="BE36" s="404"/>
      <c r="BF36" s="404"/>
      <c r="BG36" s="404"/>
      <c r="BH36" s="404"/>
      <c r="BI36" s="404"/>
      <c r="BJ36" s="404"/>
      <c r="BK36" s="404"/>
      <c r="BL36" s="404"/>
      <c r="BM36" s="404"/>
      <c r="BN36" s="404"/>
    </row>
    <row r="37" ht="39.75" customHeight="1">
      <c r="A37" s="781" t="s">
        <v>142</v>
      </c>
      <c r="B37" s="782" t="s">
        <v>143</v>
      </c>
      <c r="C37" s="783"/>
      <c r="D37" s="784"/>
      <c r="E37" s="785"/>
      <c r="F37" s="785"/>
      <c r="G37" s="785"/>
      <c r="H37" s="785"/>
      <c r="I37" s="785"/>
      <c r="J37" s="785"/>
      <c r="K37" s="785"/>
      <c r="L37" s="785"/>
      <c r="M37" s="785"/>
      <c r="N37" s="785"/>
      <c r="O37" s="785"/>
      <c r="P37" s="785"/>
      <c r="Q37" s="785"/>
      <c r="R37" s="785"/>
      <c r="S37" s="785"/>
      <c r="T37" s="785"/>
      <c r="U37" s="785"/>
      <c r="V37" s="785"/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6"/>
      <c r="AJ37" s="786"/>
      <c r="AK37" s="786"/>
      <c r="AL37" s="786"/>
      <c r="AM37" s="786"/>
      <c r="AN37" s="786"/>
      <c r="AO37" s="786"/>
      <c r="AP37" s="786"/>
      <c r="AQ37" s="786"/>
      <c r="AR37" s="786"/>
      <c r="AS37" s="786"/>
      <c r="AT37" s="787"/>
      <c r="AY37" s="770"/>
    </row>
    <row r="38" ht="39.75" customHeight="1">
      <c r="A38" s="789" t="s">
        <v>144</v>
      </c>
      <c r="B38" s="386" t="s">
        <v>145</v>
      </c>
      <c r="C38" s="388"/>
      <c r="D38" s="388"/>
      <c r="E38" s="389"/>
      <c r="F38" s="389"/>
      <c r="G38" s="389"/>
      <c r="H38" s="389"/>
      <c r="I38" s="403" t="s">
        <v>409</v>
      </c>
      <c r="J38" s="389"/>
      <c r="K38" s="403" t="s">
        <v>409</v>
      </c>
      <c r="L38" s="389"/>
      <c r="M38" s="403" t="s">
        <v>409</v>
      </c>
      <c r="N38" s="389"/>
      <c r="O38" s="403" t="s">
        <v>409</v>
      </c>
      <c r="P38" s="389"/>
      <c r="Q38" s="403" t="s">
        <v>409</v>
      </c>
      <c r="R38" s="389"/>
      <c r="S38" s="403" t="s">
        <v>409</v>
      </c>
      <c r="T38" s="389"/>
      <c r="U38" s="790" t="s">
        <v>408</v>
      </c>
      <c r="V38" s="389"/>
      <c r="W38" s="790" t="s">
        <v>408</v>
      </c>
      <c r="X38" s="389"/>
      <c r="Y38" s="790" t="s">
        <v>408</v>
      </c>
      <c r="Z38" s="389"/>
      <c r="AA38" s="790" t="s">
        <v>408</v>
      </c>
      <c r="AB38" s="389"/>
      <c r="AC38" s="790" t="s">
        <v>408</v>
      </c>
      <c r="AD38" s="389"/>
      <c r="AE38" s="790" t="s">
        <v>408</v>
      </c>
      <c r="AF38" s="389"/>
      <c r="AG38" s="790" t="s">
        <v>408</v>
      </c>
      <c r="AH38" s="389"/>
      <c r="AI38" s="790" t="s">
        <v>408</v>
      </c>
      <c r="AJ38" s="394"/>
      <c r="AK38" s="790" t="s">
        <v>408</v>
      </c>
      <c r="AL38" s="394"/>
      <c r="AM38" s="394" t="s">
        <v>408</v>
      </c>
      <c r="AN38" s="394"/>
      <c r="AO38" s="790" t="s">
        <v>408</v>
      </c>
      <c r="AP38" s="394"/>
      <c r="AQ38" s="394" t="s">
        <v>26</v>
      </c>
      <c r="AR38" s="394"/>
      <c r="AS38" s="391">
        <f>COUNTIF(C38:AR38,"&gt;=R")</f>
        <v>18</v>
      </c>
      <c r="AT38" s="392">
        <f>AS38</f>
        <v>18</v>
      </c>
      <c r="AY38" s="770"/>
    </row>
    <row r="39" ht="39.75" customHeight="1">
      <c r="A39" s="781" t="s">
        <v>146</v>
      </c>
      <c r="B39" s="782" t="s">
        <v>147</v>
      </c>
      <c r="C39" s="783"/>
      <c r="D39" s="784"/>
      <c r="E39" s="785"/>
      <c r="F39" s="785"/>
      <c r="G39" s="785"/>
      <c r="H39" s="785"/>
      <c r="I39" s="785"/>
      <c r="J39" s="785"/>
      <c r="K39" s="785"/>
      <c r="L39" s="785"/>
      <c r="M39" s="785"/>
      <c r="N39" s="785"/>
      <c r="O39" s="785"/>
      <c r="P39" s="785"/>
      <c r="Q39" s="785"/>
      <c r="R39" s="785"/>
      <c r="S39" s="785"/>
      <c r="T39" s="785"/>
      <c r="U39" s="785"/>
      <c r="V39" s="785"/>
      <c r="W39" s="785"/>
      <c r="X39" s="785"/>
      <c r="Y39" s="785"/>
      <c r="Z39" s="785"/>
      <c r="AA39" s="785"/>
      <c r="AB39" s="785"/>
      <c r="AC39" s="785"/>
      <c r="AD39" s="785"/>
      <c r="AE39" s="785"/>
      <c r="AF39" s="785"/>
      <c r="AG39" s="785"/>
      <c r="AH39" s="785"/>
      <c r="AI39" s="786"/>
      <c r="AJ39" s="786"/>
      <c r="AK39" s="786"/>
      <c r="AL39" s="786"/>
      <c r="AM39" s="786"/>
      <c r="AN39" s="786"/>
      <c r="AO39" s="786"/>
      <c r="AP39" s="786"/>
      <c r="AQ39" s="786"/>
      <c r="AR39" s="786"/>
      <c r="AS39" s="786"/>
      <c r="AT39" s="787"/>
      <c r="AY39" s="770"/>
    </row>
    <row r="40" ht="39.75" customHeight="1">
      <c r="A40" s="778" t="s">
        <v>148</v>
      </c>
      <c r="B40" s="386" t="s">
        <v>139</v>
      </c>
      <c r="C40" s="388"/>
      <c r="D40" s="388"/>
      <c r="E40" s="389"/>
      <c r="F40" s="389"/>
      <c r="G40" s="394"/>
      <c r="H40" s="389"/>
      <c r="I40" s="390" t="s">
        <v>16</v>
      </c>
      <c r="J40" s="389"/>
      <c r="K40" s="390" t="s">
        <v>16</v>
      </c>
      <c r="L40" s="389"/>
      <c r="M40" s="390" t="s">
        <v>16</v>
      </c>
      <c r="N40" s="389"/>
      <c r="O40" s="390" t="s">
        <v>16</v>
      </c>
      <c r="P40" s="389"/>
      <c r="Q40" s="390" t="s">
        <v>16</v>
      </c>
      <c r="R40" s="389"/>
      <c r="S40" s="403" t="s">
        <v>409</v>
      </c>
      <c r="T40" s="389"/>
      <c r="U40" s="403" t="s">
        <v>409</v>
      </c>
      <c r="V40" s="389"/>
      <c r="W40" s="403" t="s">
        <v>409</v>
      </c>
      <c r="X40" s="389"/>
      <c r="Y40" s="403" t="s">
        <v>409</v>
      </c>
      <c r="Z40" s="389"/>
      <c r="AA40" s="394" t="s">
        <v>408</v>
      </c>
      <c r="AB40" s="389"/>
      <c r="AC40" s="389" t="s">
        <v>408</v>
      </c>
      <c r="AD40" s="389"/>
      <c r="AE40" s="389" t="s">
        <v>408</v>
      </c>
      <c r="AF40" s="389"/>
      <c r="AG40" s="389" t="s">
        <v>408</v>
      </c>
      <c r="AH40" s="389"/>
      <c r="AI40" s="394" t="s">
        <v>408</v>
      </c>
      <c r="AJ40" s="394"/>
      <c r="AK40" s="389" t="s">
        <v>408</v>
      </c>
      <c r="AL40" s="394"/>
      <c r="AM40" s="394" t="s">
        <v>408</v>
      </c>
      <c r="AN40" s="394"/>
      <c r="AO40" s="394" t="s">
        <v>408</v>
      </c>
      <c r="AP40" s="394"/>
      <c r="AQ40" s="394" t="s">
        <v>26</v>
      </c>
      <c r="AR40" s="394"/>
      <c r="AS40" s="391">
        <f t="shared" ref="AS40:AS41" si="7">COUNTIF(C40:AR40,"&gt;=R")</f>
        <v>18</v>
      </c>
      <c r="AT40" s="392">
        <f t="shared" ref="AT40:AT41" si="8">AS40</f>
        <v>18</v>
      </c>
      <c r="AY40" s="770"/>
    </row>
    <row r="41" ht="39.75" customHeight="1">
      <c r="A41" s="778" t="s">
        <v>149</v>
      </c>
      <c r="B41" s="386" t="s">
        <v>150</v>
      </c>
      <c r="C41" s="388"/>
      <c r="D41" s="388"/>
      <c r="E41" s="389"/>
      <c r="F41" s="389"/>
      <c r="G41" s="389"/>
      <c r="H41" s="389"/>
      <c r="I41" s="390" t="s">
        <v>16</v>
      </c>
      <c r="J41" s="389"/>
      <c r="K41" s="390" t="s">
        <v>16</v>
      </c>
      <c r="L41" s="389"/>
      <c r="M41" s="390" t="s">
        <v>16</v>
      </c>
      <c r="N41" s="389"/>
      <c r="O41" s="390" t="s">
        <v>16</v>
      </c>
      <c r="P41" s="389"/>
      <c r="Q41" s="390" t="s">
        <v>16</v>
      </c>
      <c r="R41" s="389"/>
      <c r="S41" s="390" t="s">
        <v>16</v>
      </c>
      <c r="T41" s="389"/>
      <c r="U41" s="390" t="s">
        <v>16</v>
      </c>
      <c r="V41" s="389"/>
      <c r="W41" s="390" t="s">
        <v>16</v>
      </c>
      <c r="X41" s="389"/>
      <c r="Y41" s="390" t="s">
        <v>16</v>
      </c>
      <c r="Z41" s="389"/>
      <c r="AA41" s="390" t="s">
        <v>16</v>
      </c>
      <c r="AB41" s="389"/>
      <c r="AC41" s="390" t="s">
        <v>16</v>
      </c>
      <c r="AD41" s="389"/>
      <c r="AE41" s="389" t="s">
        <v>26</v>
      </c>
      <c r="AF41" s="389"/>
      <c r="AG41" s="389" t="s">
        <v>26</v>
      </c>
      <c r="AH41" s="389"/>
      <c r="AI41" s="389" t="s">
        <v>26</v>
      </c>
      <c r="AJ41" s="394"/>
      <c r="AK41" s="389" t="s">
        <v>26</v>
      </c>
      <c r="AL41" s="394"/>
      <c r="AM41" s="389" t="s">
        <v>26</v>
      </c>
      <c r="AN41" s="394"/>
      <c r="AO41" s="394" t="s">
        <v>408</v>
      </c>
      <c r="AP41" s="394"/>
      <c r="AQ41" s="394" t="s">
        <v>46</v>
      </c>
      <c r="AR41" s="394"/>
      <c r="AS41" s="391">
        <f t="shared" si="7"/>
        <v>18</v>
      </c>
      <c r="AT41" s="392">
        <f t="shared" si="8"/>
        <v>18</v>
      </c>
      <c r="AU41" s="404"/>
      <c r="AV41" s="404"/>
      <c r="AW41" s="404"/>
      <c r="AX41" s="404"/>
      <c r="AY41" s="770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</row>
    <row r="42" ht="39.75" customHeight="1">
      <c r="A42" s="781" t="s">
        <v>151</v>
      </c>
      <c r="B42" s="782" t="s">
        <v>152</v>
      </c>
      <c r="C42" s="783"/>
      <c r="D42" s="784"/>
      <c r="E42" s="785"/>
      <c r="F42" s="785"/>
      <c r="G42" s="785"/>
      <c r="H42" s="785"/>
      <c r="I42" s="785"/>
      <c r="J42" s="785"/>
      <c r="K42" s="785"/>
      <c r="L42" s="785"/>
      <c r="M42" s="786"/>
      <c r="N42" s="785"/>
      <c r="O42" s="785"/>
      <c r="P42" s="785"/>
      <c r="Q42" s="785"/>
      <c r="R42" s="785"/>
      <c r="S42" s="785"/>
      <c r="T42" s="785"/>
      <c r="U42" s="786"/>
      <c r="V42" s="785"/>
      <c r="W42" s="785"/>
      <c r="X42" s="785"/>
      <c r="Y42" s="786"/>
      <c r="Z42" s="785"/>
      <c r="AA42" s="785"/>
      <c r="AB42" s="785"/>
      <c r="AC42" s="785"/>
      <c r="AD42" s="785"/>
      <c r="AE42" s="785"/>
      <c r="AF42" s="785"/>
      <c r="AG42" s="785"/>
      <c r="AH42" s="785"/>
      <c r="AI42" s="785"/>
      <c r="AJ42" s="786"/>
      <c r="AK42" s="785"/>
      <c r="AL42" s="786"/>
      <c r="AM42" s="785"/>
      <c r="AN42" s="786"/>
      <c r="AO42" s="785"/>
      <c r="AP42" s="785"/>
      <c r="AQ42" s="785"/>
      <c r="AR42" s="786"/>
      <c r="AS42" s="786"/>
      <c r="AT42" s="787"/>
      <c r="AY42" s="770"/>
    </row>
    <row r="43" ht="39.75" customHeight="1">
      <c r="A43" s="778" t="s">
        <v>153</v>
      </c>
      <c r="B43" s="386" t="s">
        <v>154</v>
      </c>
      <c r="C43" s="387"/>
      <c r="D43" s="388"/>
      <c r="E43" s="387"/>
      <c r="F43" s="389"/>
      <c r="G43" s="387"/>
      <c r="H43" s="389"/>
      <c r="I43" s="387" t="s">
        <v>85</v>
      </c>
      <c r="J43" s="389"/>
      <c r="K43" s="387" t="s">
        <v>85</v>
      </c>
      <c r="L43" s="389"/>
      <c r="M43" s="389" t="s">
        <v>85</v>
      </c>
      <c r="N43" s="389"/>
      <c r="O43" s="389" t="s">
        <v>85</v>
      </c>
      <c r="P43" s="389"/>
      <c r="Q43" s="389" t="s">
        <v>85</v>
      </c>
      <c r="R43" s="389"/>
      <c r="S43" s="389" t="s">
        <v>85</v>
      </c>
      <c r="T43" s="389"/>
      <c r="U43" s="389" t="s">
        <v>85</v>
      </c>
      <c r="V43" s="389"/>
      <c r="W43" s="389" t="s">
        <v>85</v>
      </c>
      <c r="X43" s="389"/>
      <c r="Y43" s="389" t="s">
        <v>85</v>
      </c>
      <c r="Z43" s="389"/>
      <c r="AA43" s="389" t="s">
        <v>85</v>
      </c>
      <c r="AB43" s="389"/>
      <c r="AC43" s="389" t="s">
        <v>85</v>
      </c>
      <c r="AD43" s="389"/>
      <c r="AE43" s="389" t="s">
        <v>85</v>
      </c>
      <c r="AF43" s="389"/>
      <c r="AG43" s="389" t="s">
        <v>85</v>
      </c>
      <c r="AH43" s="389"/>
      <c r="AI43" s="389" t="s">
        <v>85</v>
      </c>
      <c r="AJ43" s="394"/>
      <c r="AK43" s="389" t="s">
        <v>85</v>
      </c>
      <c r="AL43" s="394"/>
      <c r="AM43" s="389" t="s">
        <v>85</v>
      </c>
      <c r="AN43" s="394"/>
      <c r="AO43" s="389" t="s">
        <v>36</v>
      </c>
      <c r="AP43" s="389"/>
      <c r="AQ43" s="389" t="s">
        <v>85</v>
      </c>
      <c r="AR43" s="394"/>
      <c r="AS43" s="391">
        <f t="shared" ref="AS43:AS48" si="9">COUNTIF(C43:AR43,"&gt;=R")</f>
        <v>18</v>
      </c>
      <c r="AT43" s="392">
        <f t="shared" ref="AT43:AT48" si="10">AS43</f>
        <v>18</v>
      </c>
      <c r="AY43" s="770"/>
    </row>
    <row r="44" ht="39.75" customHeight="1">
      <c r="A44" s="778" t="s">
        <v>155</v>
      </c>
      <c r="B44" s="386" t="s">
        <v>156</v>
      </c>
      <c r="C44" s="387"/>
      <c r="D44" s="388"/>
      <c r="E44" s="394"/>
      <c r="F44" s="389"/>
      <c r="G44" s="394"/>
      <c r="H44" s="389"/>
      <c r="I44" s="394"/>
      <c r="J44" s="389"/>
      <c r="K44" s="394"/>
      <c r="L44" s="389"/>
      <c r="M44" s="394"/>
      <c r="N44" s="389"/>
      <c r="O44" s="394"/>
      <c r="P44" s="389"/>
      <c r="Q44" s="394"/>
      <c r="R44" s="389"/>
      <c r="S44" s="394"/>
      <c r="T44" s="389"/>
      <c r="U44" s="394"/>
      <c r="V44" s="389"/>
      <c r="W44" s="394"/>
      <c r="X44" s="389"/>
      <c r="Y44" s="394"/>
      <c r="Z44" s="389"/>
      <c r="AA44" s="394"/>
      <c r="AB44" s="389"/>
      <c r="AC44" s="394"/>
      <c r="AD44" s="389"/>
      <c r="AE44" s="394"/>
      <c r="AF44" s="389"/>
      <c r="AG44" s="394"/>
      <c r="AH44" s="389"/>
      <c r="AI44" s="394"/>
      <c r="AJ44" s="394"/>
      <c r="AK44" s="394"/>
      <c r="AL44" s="394"/>
      <c r="AM44" s="389"/>
      <c r="AN44" s="394"/>
      <c r="AO44" s="389"/>
      <c r="AP44" s="389"/>
      <c r="AQ44" s="389"/>
      <c r="AR44" s="394"/>
      <c r="AS44" s="391">
        <f t="shared" si="9"/>
        <v>0</v>
      </c>
      <c r="AT44" s="392">
        <f t="shared" si="10"/>
        <v>0</v>
      </c>
      <c r="AU44" s="404"/>
      <c r="AV44" s="404"/>
      <c r="AW44" s="404"/>
      <c r="AX44" s="404"/>
      <c r="AY44" s="770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</row>
    <row r="45" ht="39.75" customHeight="1">
      <c r="A45" s="778" t="s">
        <v>157</v>
      </c>
      <c r="B45" s="386" t="s">
        <v>158</v>
      </c>
      <c r="C45" s="388"/>
      <c r="D45" s="388"/>
      <c r="E45" s="389"/>
      <c r="F45" s="389"/>
      <c r="G45" s="389"/>
      <c r="H45" s="389"/>
      <c r="I45" s="394" t="s">
        <v>26</v>
      </c>
      <c r="J45" s="389"/>
      <c r="K45" s="394" t="s">
        <v>26</v>
      </c>
      <c r="L45" s="389"/>
      <c r="M45" s="419" t="s">
        <v>84</v>
      </c>
      <c r="N45" s="389"/>
      <c r="O45" s="419" t="s">
        <v>84</v>
      </c>
      <c r="P45" s="389"/>
      <c r="Q45" s="418" t="s">
        <v>84</v>
      </c>
      <c r="R45" s="389"/>
      <c r="S45" s="389" t="s">
        <v>26</v>
      </c>
      <c r="T45" s="389"/>
      <c r="U45" s="394" t="s">
        <v>26</v>
      </c>
      <c r="V45" s="389"/>
      <c r="W45" s="394" t="s">
        <v>26</v>
      </c>
      <c r="X45" s="389"/>
      <c r="Y45" s="394" t="s">
        <v>26</v>
      </c>
      <c r="Z45" s="389"/>
      <c r="AA45" s="394" t="s">
        <v>26</v>
      </c>
      <c r="AB45" s="389"/>
      <c r="AC45" s="394" t="s">
        <v>26</v>
      </c>
      <c r="AD45" s="389"/>
      <c r="AE45" s="389" t="s">
        <v>26</v>
      </c>
      <c r="AF45" s="389"/>
      <c r="AG45" s="389" t="s">
        <v>26</v>
      </c>
      <c r="AH45" s="389"/>
      <c r="AI45" s="389" t="s">
        <v>26</v>
      </c>
      <c r="AJ45" s="394"/>
      <c r="AK45" s="389" t="s">
        <v>26</v>
      </c>
      <c r="AL45" s="394"/>
      <c r="AM45" s="394" t="s">
        <v>26</v>
      </c>
      <c r="AN45" s="394"/>
      <c r="AO45" s="394" t="s">
        <v>408</v>
      </c>
      <c r="AP45" s="394"/>
      <c r="AQ45" s="394" t="s">
        <v>37</v>
      </c>
      <c r="AR45" s="394"/>
      <c r="AS45" s="391">
        <f t="shared" si="9"/>
        <v>18</v>
      </c>
      <c r="AT45" s="392">
        <f t="shared" si="10"/>
        <v>18</v>
      </c>
      <c r="AY45" s="770"/>
    </row>
    <row r="46" ht="39.75" customHeight="1">
      <c r="A46" s="778" t="s">
        <v>159</v>
      </c>
      <c r="B46" s="386" t="s">
        <v>160</v>
      </c>
      <c r="C46" s="387"/>
      <c r="D46" s="388"/>
      <c r="E46" s="389"/>
      <c r="F46" s="389"/>
      <c r="G46" s="389"/>
      <c r="H46" s="389"/>
      <c r="I46" s="389" t="s">
        <v>83</v>
      </c>
      <c r="J46" s="389"/>
      <c r="K46" s="389" t="s">
        <v>67</v>
      </c>
      <c r="L46" s="389"/>
      <c r="M46" s="389" t="s">
        <v>83</v>
      </c>
      <c r="N46" s="389"/>
      <c r="O46" s="389" t="s">
        <v>67</v>
      </c>
      <c r="P46" s="389"/>
      <c r="Q46" s="389" t="s">
        <v>67</v>
      </c>
      <c r="R46" s="389"/>
      <c r="S46" s="389" t="s">
        <v>83</v>
      </c>
      <c r="T46" s="389"/>
      <c r="U46" s="389" t="s">
        <v>83</v>
      </c>
      <c r="V46" s="389"/>
      <c r="W46" s="389" t="s">
        <v>67</v>
      </c>
      <c r="X46" s="389"/>
      <c r="Y46" s="389" t="s">
        <v>67</v>
      </c>
      <c r="Z46" s="389"/>
      <c r="AA46" s="389" t="s">
        <v>67</v>
      </c>
      <c r="AB46" s="389"/>
      <c r="AC46" s="389" t="s">
        <v>67</v>
      </c>
      <c r="AD46" s="389"/>
      <c r="AE46" s="389" t="s">
        <v>83</v>
      </c>
      <c r="AF46" s="389"/>
      <c r="AG46" s="389" t="s">
        <v>83</v>
      </c>
      <c r="AH46" s="389"/>
      <c r="AI46" s="390" t="s">
        <v>16</v>
      </c>
      <c r="AJ46" s="394"/>
      <c r="AK46" s="390" t="s">
        <v>16</v>
      </c>
      <c r="AL46" s="394"/>
      <c r="AM46" s="390" t="s">
        <v>16</v>
      </c>
      <c r="AN46" s="394"/>
      <c r="AO46" s="390" t="s">
        <v>16</v>
      </c>
      <c r="AP46" s="394"/>
      <c r="AQ46" s="394" t="s">
        <v>83</v>
      </c>
      <c r="AR46" s="394"/>
      <c r="AS46" s="391">
        <f t="shared" si="9"/>
        <v>18</v>
      </c>
      <c r="AT46" s="392">
        <f t="shared" si="10"/>
        <v>18</v>
      </c>
      <c r="AU46" s="404"/>
      <c r="AV46" s="404"/>
      <c r="AW46" s="404"/>
      <c r="AX46" s="404"/>
      <c r="AY46" s="770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</row>
    <row r="47" ht="39.75" customHeight="1">
      <c r="A47" s="778" t="s">
        <v>161</v>
      </c>
      <c r="B47" s="386" t="s">
        <v>162</v>
      </c>
      <c r="C47" s="387"/>
      <c r="D47" s="388"/>
      <c r="E47" s="389"/>
      <c r="F47" s="389"/>
      <c r="G47" s="389"/>
      <c r="H47" s="389"/>
      <c r="I47" s="389" t="s">
        <v>83</v>
      </c>
      <c r="J47" s="389"/>
      <c r="K47" s="389" t="s">
        <v>84</v>
      </c>
      <c r="L47" s="389"/>
      <c r="M47" s="389" t="s">
        <v>83</v>
      </c>
      <c r="N47" s="389"/>
      <c r="O47" s="389" t="s">
        <v>83</v>
      </c>
      <c r="P47" s="389"/>
      <c r="Q47" s="389" t="s">
        <v>83</v>
      </c>
      <c r="R47" s="389"/>
      <c r="S47" s="389" t="s">
        <v>83</v>
      </c>
      <c r="T47" s="389"/>
      <c r="U47" s="389" t="s">
        <v>83</v>
      </c>
      <c r="V47" s="389"/>
      <c r="W47" s="389" t="s">
        <v>37</v>
      </c>
      <c r="X47" s="389"/>
      <c r="Y47" s="389" t="s">
        <v>84</v>
      </c>
      <c r="Z47" s="389"/>
      <c r="AA47" s="389" t="s">
        <v>84</v>
      </c>
      <c r="AB47" s="389"/>
      <c r="AC47" s="389" t="s">
        <v>84</v>
      </c>
      <c r="AD47" s="389"/>
      <c r="AE47" s="389" t="s">
        <v>83</v>
      </c>
      <c r="AF47" s="389"/>
      <c r="AG47" s="389" t="s">
        <v>83</v>
      </c>
      <c r="AH47" s="389"/>
      <c r="AI47" s="394" t="s">
        <v>83</v>
      </c>
      <c r="AJ47" s="394"/>
      <c r="AK47" s="394" t="s">
        <v>83</v>
      </c>
      <c r="AL47" s="394"/>
      <c r="AM47" s="394" t="s">
        <v>83</v>
      </c>
      <c r="AN47" s="394"/>
      <c r="AO47" s="394" t="s">
        <v>408</v>
      </c>
      <c r="AP47" s="394"/>
      <c r="AQ47" s="394" t="s">
        <v>83</v>
      </c>
      <c r="AR47" s="394"/>
      <c r="AS47" s="391">
        <f t="shared" si="9"/>
        <v>18</v>
      </c>
      <c r="AT47" s="392">
        <f t="shared" si="10"/>
        <v>18</v>
      </c>
      <c r="AY47" s="770"/>
    </row>
    <row r="48" ht="39.75" customHeight="1">
      <c r="A48" s="778" t="s">
        <v>163</v>
      </c>
      <c r="B48" s="386" t="s">
        <v>164</v>
      </c>
      <c r="C48" s="387"/>
      <c r="D48" s="388"/>
      <c r="E48" s="394"/>
      <c r="F48" s="389"/>
      <c r="G48" s="389"/>
      <c r="H48" s="389"/>
      <c r="I48" s="389" t="s">
        <v>26</v>
      </c>
      <c r="J48" s="389"/>
      <c r="K48" s="389" t="s">
        <v>26</v>
      </c>
      <c r="L48" s="389"/>
      <c r="M48" s="394" t="s">
        <v>26</v>
      </c>
      <c r="N48" s="389"/>
      <c r="O48" s="389" t="s">
        <v>26</v>
      </c>
      <c r="P48" s="389"/>
      <c r="Q48" s="390" t="s">
        <v>16</v>
      </c>
      <c r="R48" s="389"/>
      <c r="S48" s="390" t="s">
        <v>16</v>
      </c>
      <c r="T48" s="389"/>
      <c r="U48" s="390" t="s">
        <v>16</v>
      </c>
      <c r="V48" s="389"/>
      <c r="W48" s="390" t="s">
        <v>16</v>
      </c>
      <c r="X48" s="389"/>
      <c r="Y48" s="390" t="s">
        <v>16</v>
      </c>
      <c r="Z48" s="389"/>
      <c r="AA48" s="390" t="s">
        <v>16</v>
      </c>
      <c r="AB48" s="389"/>
      <c r="AC48" s="390" t="s">
        <v>16</v>
      </c>
      <c r="AD48" s="389"/>
      <c r="AE48" s="390" t="s">
        <v>16</v>
      </c>
      <c r="AF48" s="389"/>
      <c r="AG48" s="390" t="s">
        <v>16</v>
      </c>
      <c r="AH48" s="389"/>
      <c r="AI48" s="390" t="s">
        <v>16</v>
      </c>
      <c r="AJ48" s="394"/>
      <c r="AK48" s="390" t="s">
        <v>16</v>
      </c>
      <c r="AL48" s="394"/>
      <c r="AM48" s="390" t="s">
        <v>16</v>
      </c>
      <c r="AN48" s="394"/>
      <c r="AO48" s="394" t="s">
        <v>408</v>
      </c>
      <c r="AP48" s="394"/>
      <c r="AQ48" s="394" t="s">
        <v>36</v>
      </c>
      <c r="AR48" s="394"/>
      <c r="AS48" s="391">
        <f t="shared" si="9"/>
        <v>18</v>
      </c>
      <c r="AT48" s="392">
        <f t="shared" si="10"/>
        <v>18</v>
      </c>
      <c r="AU48" s="404"/>
      <c r="AV48" s="404"/>
      <c r="AW48" s="404"/>
      <c r="AX48" s="404"/>
      <c r="AY48" s="770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</row>
    <row r="49" ht="39.75" customHeight="1">
      <c r="A49" s="771" t="s">
        <v>165</v>
      </c>
      <c r="B49" s="772" t="s">
        <v>166</v>
      </c>
      <c r="C49" s="783"/>
      <c r="D49" s="784"/>
      <c r="E49" s="785"/>
      <c r="F49" s="785"/>
      <c r="G49" s="785"/>
      <c r="H49" s="785"/>
      <c r="I49" s="785"/>
      <c r="J49" s="785"/>
      <c r="K49" s="785"/>
      <c r="L49" s="785"/>
      <c r="M49" s="785"/>
      <c r="N49" s="785"/>
      <c r="O49" s="785"/>
      <c r="P49" s="785"/>
      <c r="Q49" s="785"/>
      <c r="R49" s="785"/>
      <c r="S49" s="785"/>
      <c r="T49" s="785"/>
      <c r="U49" s="785"/>
      <c r="V49" s="785"/>
      <c r="W49" s="785"/>
      <c r="X49" s="785"/>
      <c r="Y49" s="785"/>
      <c r="Z49" s="785"/>
      <c r="AA49" s="785"/>
      <c r="AB49" s="785"/>
      <c r="AC49" s="785"/>
      <c r="AD49" s="785"/>
      <c r="AE49" s="785"/>
      <c r="AF49" s="785"/>
      <c r="AG49" s="785"/>
      <c r="AH49" s="785"/>
      <c r="AI49" s="786"/>
      <c r="AJ49" s="786"/>
      <c r="AK49" s="786"/>
      <c r="AL49" s="786"/>
      <c r="AM49" s="786"/>
      <c r="AN49" s="786"/>
      <c r="AO49" s="786"/>
      <c r="AP49" s="786"/>
      <c r="AQ49" s="786"/>
      <c r="AR49" s="786"/>
      <c r="AS49" s="786"/>
      <c r="AT49" s="787"/>
      <c r="AU49" s="404"/>
      <c r="AV49" s="404"/>
      <c r="AW49" s="404"/>
      <c r="AX49" s="404"/>
      <c r="AY49" s="770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</row>
    <row r="50" ht="39.75" customHeight="1">
      <c r="A50" s="791" t="s">
        <v>167</v>
      </c>
      <c r="B50" s="792" t="s">
        <v>168</v>
      </c>
      <c r="C50" s="783"/>
      <c r="D50" s="784"/>
      <c r="E50" s="785"/>
      <c r="F50" s="785"/>
      <c r="G50" s="786"/>
      <c r="H50" s="785"/>
      <c r="I50" s="785"/>
      <c r="J50" s="785"/>
      <c r="K50" s="785"/>
      <c r="L50" s="785"/>
      <c r="M50" s="785"/>
      <c r="N50" s="785"/>
      <c r="O50" s="785"/>
      <c r="P50" s="785"/>
      <c r="Q50" s="785"/>
      <c r="R50" s="785"/>
      <c r="S50" s="785"/>
      <c r="T50" s="785"/>
      <c r="U50" s="785"/>
      <c r="V50" s="785"/>
      <c r="W50" s="786"/>
      <c r="X50" s="785"/>
      <c r="Y50" s="786"/>
      <c r="Z50" s="785"/>
      <c r="AA50" s="786"/>
      <c r="AB50" s="785"/>
      <c r="AC50" s="786"/>
      <c r="AD50" s="785"/>
      <c r="AE50" s="786"/>
      <c r="AF50" s="785"/>
      <c r="AG50" s="785"/>
      <c r="AH50" s="785"/>
      <c r="AI50" s="785"/>
      <c r="AJ50" s="786"/>
      <c r="AK50" s="785"/>
      <c r="AL50" s="786"/>
      <c r="AM50" s="785"/>
      <c r="AN50" s="786"/>
      <c r="AO50" s="785"/>
      <c r="AP50" s="785"/>
      <c r="AQ50" s="785"/>
      <c r="AR50" s="786"/>
      <c r="AS50" s="786"/>
      <c r="AT50" s="787"/>
      <c r="AY50" s="770"/>
    </row>
    <row r="51" ht="39.75" customHeight="1">
      <c r="A51" s="793" t="s">
        <v>169</v>
      </c>
      <c r="B51" s="412" t="s">
        <v>170</v>
      </c>
      <c r="C51" s="387"/>
      <c r="D51" s="388"/>
      <c r="E51" s="389"/>
      <c r="F51" s="389"/>
      <c r="G51" s="389"/>
      <c r="H51" s="389"/>
      <c r="I51" s="389" t="s">
        <v>17</v>
      </c>
      <c r="J51" s="389"/>
      <c r="K51" s="389" t="s">
        <v>17</v>
      </c>
      <c r="L51" s="389"/>
      <c r="M51" s="389" t="s">
        <v>17</v>
      </c>
      <c r="N51" s="389"/>
      <c r="O51" s="389" t="s">
        <v>17</v>
      </c>
      <c r="P51" s="389"/>
      <c r="Q51" s="389" t="s">
        <v>17</v>
      </c>
      <c r="R51" s="389"/>
      <c r="S51" s="403" t="s">
        <v>409</v>
      </c>
      <c r="T51" s="389"/>
      <c r="U51" s="403" t="s">
        <v>409</v>
      </c>
      <c r="V51" s="389"/>
      <c r="W51" s="403" t="s">
        <v>409</v>
      </c>
      <c r="X51" s="389"/>
      <c r="Y51" s="403" t="s">
        <v>409</v>
      </c>
      <c r="Z51" s="389"/>
      <c r="AA51" s="389" t="s">
        <v>55</v>
      </c>
      <c r="AB51" s="389"/>
      <c r="AC51" s="389" t="s">
        <v>55</v>
      </c>
      <c r="AD51" s="389"/>
      <c r="AE51" s="389" t="s">
        <v>55</v>
      </c>
      <c r="AF51" s="389"/>
      <c r="AG51" s="390" t="s">
        <v>16</v>
      </c>
      <c r="AH51" s="389"/>
      <c r="AI51" s="390" t="s">
        <v>16</v>
      </c>
      <c r="AJ51" s="394"/>
      <c r="AK51" s="389" t="s">
        <v>409</v>
      </c>
      <c r="AL51" s="394"/>
      <c r="AM51" s="394" t="s">
        <v>409</v>
      </c>
      <c r="AN51" s="394"/>
      <c r="AO51" s="394" t="s">
        <v>408</v>
      </c>
      <c r="AP51" s="394"/>
      <c r="AQ51" s="394" t="s">
        <v>17</v>
      </c>
      <c r="AR51" s="394"/>
      <c r="AS51" s="391">
        <f t="shared" ref="AS51:AS52" si="11">COUNTIF(C51:AR51,"&gt;=R")</f>
        <v>18</v>
      </c>
      <c r="AT51" s="392">
        <f t="shared" ref="AT51:AT52" si="12">AS51</f>
        <v>18</v>
      </c>
      <c r="AU51" s="404"/>
      <c r="AV51" s="404"/>
      <c r="AW51" s="404"/>
      <c r="AX51" s="404"/>
      <c r="AY51" s="770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</row>
    <row r="52" ht="39.75" customHeight="1">
      <c r="A52" s="793" t="s">
        <v>171</v>
      </c>
      <c r="B52" s="412" t="s">
        <v>172</v>
      </c>
      <c r="C52" s="387"/>
      <c r="D52" s="388"/>
      <c r="E52" s="387"/>
      <c r="F52" s="389"/>
      <c r="G52" s="387"/>
      <c r="H52" s="389"/>
      <c r="I52" s="413" t="s">
        <v>28</v>
      </c>
      <c r="J52" s="389"/>
      <c r="K52" s="413" t="s">
        <v>28</v>
      </c>
      <c r="L52" s="389"/>
      <c r="M52" s="413" t="s">
        <v>28</v>
      </c>
      <c r="N52" s="389"/>
      <c r="O52" s="413" t="s">
        <v>28</v>
      </c>
      <c r="P52" s="389"/>
      <c r="Q52" s="413" t="s">
        <v>28</v>
      </c>
      <c r="R52" s="389"/>
      <c r="S52" s="413" t="s">
        <v>28</v>
      </c>
      <c r="T52" s="389"/>
      <c r="U52" s="413" t="s">
        <v>28</v>
      </c>
      <c r="V52" s="389"/>
      <c r="W52" s="413" t="s">
        <v>28</v>
      </c>
      <c r="X52" s="389"/>
      <c r="Y52" s="413" t="s">
        <v>28</v>
      </c>
      <c r="Z52" s="389"/>
      <c r="AA52" s="413" t="s">
        <v>28</v>
      </c>
      <c r="AB52" s="389"/>
      <c r="AC52" s="413" t="s">
        <v>28</v>
      </c>
      <c r="AD52" s="389"/>
      <c r="AE52" s="413" t="s">
        <v>28</v>
      </c>
      <c r="AF52" s="389"/>
      <c r="AG52" s="413" t="s">
        <v>28</v>
      </c>
      <c r="AH52" s="389"/>
      <c r="AI52" s="413" t="s">
        <v>28</v>
      </c>
      <c r="AJ52" s="394"/>
      <c r="AK52" s="413" t="s">
        <v>28</v>
      </c>
      <c r="AL52" s="394"/>
      <c r="AM52" s="413" t="s">
        <v>28</v>
      </c>
      <c r="AN52" s="394"/>
      <c r="AO52" s="389" t="s">
        <v>68</v>
      </c>
      <c r="AP52" s="389"/>
      <c r="AQ52" s="413" t="s">
        <v>28</v>
      </c>
      <c r="AR52" s="394"/>
      <c r="AS52" s="391">
        <f t="shared" si="11"/>
        <v>18</v>
      </c>
      <c r="AT52" s="392">
        <f t="shared" si="12"/>
        <v>18</v>
      </c>
      <c r="AU52" s="404"/>
      <c r="AV52" s="404"/>
      <c r="AW52" s="404"/>
      <c r="AX52" s="404"/>
      <c r="AY52" s="770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</row>
    <row r="53" ht="39.75" customHeight="1">
      <c r="A53" s="781" t="s">
        <v>173</v>
      </c>
      <c r="B53" s="782" t="s">
        <v>174</v>
      </c>
      <c r="C53" s="783"/>
      <c r="D53" s="784"/>
      <c r="E53" s="785"/>
      <c r="F53" s="785"/>
      <c r="G53" s="786"/>
      <c r="H53" s="785"/>
      <c r="I53" s="786"/>
      <c r="J53" s="785"/>
      <c r="K53" s="786"/>
      <c r="L53" s="785"/>
      <c r="M53" s="785"/>
      <c r="N53" s="785"/>
      <c r="O53" s="785"/>
      <c r="P53" s="785"/>
      <c r="Q53" s="785"/>
      <c r="R53" s="785"/>
      <c r="S53" s="785"/>
      <c r="T53" s="785"/>
      <c r="U53" s="785"/>
      <c r="V53" s="785"/>
      <c r="W53" s="785"/>
      <c r="X53" s="785"/>
      <c r="Y53" s="786"/>
      <c r="Z53" s="785"/>
      <c r="AA53" s="786"/>
      <c r="AB53" s="785"/>
      <c r="AC53" s="786"/>
      <c r="AD53" s="785"/>
      <c r="AE53" s="786"/>
      <c r="AF53" s="785"/>
      <c r="AG53" s="785"/>
      <c r="AH53" s="785"/>
      <c r="AI53" s="785"/>
      <c r="AJ53" s="786"/>
      <c r="AK53" s="785"/>
      <c r="AL53" s="786"/>
      <c r="AM53" s="785"/>
      <c r="AN53" s="786"/>
      <c r="AO53" s="785"/>
      <c r="AP53" s="785"/>
      <c r="AQ53" s="785"/>
      <c r="AR53" s="786"/>
      <c r="AS53" s="786"/>
      <c r="AT53" s="787"/>
      <c r="AY53" s="770"/>
    </row>
    <row r="54" ht="39.75" customHeight="1">
      <c r="A54" s="793" t="s">
        <v>175</v>
      </c>
      <c r="B54" s="412" t="s">
        <v>176</v>
      </c>
      <c r="C54" s="387"/>
      <c r="D54" s="388"/>
      <c r="E54" s="387"/>
      <c r="F54" s="389"/>
      <c r="G54" s="389"/>
      <c r="H54" s="389"/>
      <c r="I54" s="389" t="s">
        <v>56</v>
      </c>
      <c r="J54" s="389"/>
      <c r="K54" s="389" t="s">
        <v>56</v>
      </c>
      <c r="L54" s="389"/>
      <c r="M54" s="389" t="s">
        <v>56</v>
      </c>
      <c r="N54" s="389"/>
      <c r="O54" s="389" t="s">
        <v>56</v>
      </c>
      <c r="P54" s="389"/>
      <c r="Q54" s="389" t="s">
        <v>47</v>
      </c>
      <c r="R54" s="389"/>
      <c r="S54" s="389" t="s">
        <v>37</v>
      </c>
      <c r="T54" s="389"/>
      <c r="U54" s="394" t="s">
        <v>37</v>
      </c>
      <c r="V54" s="389"/>
      <c r="W54" s="394" t="s">
        <v>27</v>
      </c>
      <c r="X54" s="389"/>
      <c r="Y54" s="394" t="s">
        <v>27</v>
      </c>
      <c r="Z54" s="389"/>
      <c r="AA54" s="394" t="s">
        <v>27</v>
      </c>
      <c r="AB54" s="389"/>
      <c r="AC54" s="394" t="s">
        <v>27</v>
      </c>
      <c r="AD54" s="389"/>
      <c r="AE54" s="389" t="s">
        <v>27</v>
      </c>
      <c r="AF54" s="389"/>
      <c r="AG54" s="389" t="s">
        <v>27</v>
      </c>
      <c r="AH54" s="389"/>
      <c r="AI54" s="394" t="s">
        <v>17</v>
      </c>
      <c r="AJ54" s="394"/>
      <c r="AK54" s="394" t="s">
        <v>17</v>
      </c>
      <c r="AL54" s="394"/>
      <c r="AM54" s="394" t="s">
        <v>17</v>
      </c>
      <c r="AN54" s="394"/>
      <c r="AO54" s="403" t="s">
        <v>409</v>
      </c>
      <c r="AP54" s="394"/>
      <c r="AQ54" s="394" t="s">
        <v>68</v>
      </c>
      <c r="AR54" s="394"/>
      <c r="AS54" s="391">
        <f t="shared" ref="AS54:AS55" si="13">COUNTIF(C54:AR54,"&gt;=R")</f>
        <v>18</v>
      </c>
      <c r="AT54" s="392">
        <f t="shared" ref="AT54:AT55" si="14">AS54</f>
        <v>18</v>
      </c>
      <c r="AY54" s="770"/>
    </row>
    <row r="55" ht="39.75" customHeight="1">
      <c r="A55" s="793" t="s">
        <v>177</v>
      </c>
      <c r="B55" s="412" t="s">
        <v>178</v>
      </c>
      <c r="C55" s="387"/>
      <c r="D55" s="388"/>
      <c r="E55" s="389"/>
      <c r="F55" s="389"/>
      <c r="G55" s="389"/>
      <c r="H55" s="389"/>
      <c r="I55" s="389" t="s">
        <v>56</v>
      </c>
      <c r="J55" s="389"/>
      <c r="K55" s="389" t="s">
        <v>56</v>
      </c>
      <c r="L55" s="389"/>
      <c r="M55" s="389" t="s">
        <v>47</v>
      </c>
      <c r="N55" s="389"/>
      <c r="O55" s="389" t="s">
        <v>47</v>
      </c>
      <c r="P55" s="389"/>
      <c r="Q55" s="389" t="s">
        <v>47</v>
      </c>
      <c r="R55" s="389"/>
      <c r="S55" s="389" t="s">
        <v>37</v>
      </c>
      <c r="T55" s="389"/>
      <c r="U55" s="394" t="s">
        <v>37</v>
      </c>
      <c r="V55" s="389"/>
      <c r="W55" s="394" t="s">
        <v>27</v>
      </c>
      <c r="X55" s="389"/>
      <c r="Y55" s="394" t="s">
        <v>27</v>
      </c>
      <c r="Z55" s="389"/>
      <c r="AA55" s="394" t="s">
        <v>27</v>
      </c>
      <c r="AB55" s="389"/>
      <c r="AC55" s="394" t="s">
        <v>27</v>
      </c>
      <c r="AD55" s="389"/>
      <c r="AE55" s="389" t="s">
        <v>27</v>
      </c>
      <c r="AF55" s="389"/>
      <c r="AG55" s="389" t="s">
        <v>27</v>
      </c>
      <c r="AH55" s="389"/>
      <c r="AI55" s="394" t="s">
        <v>17</v>
      </c>
      <c r="AJ55" s="394"/>
      <c r="AK55" s="394" t="s">
        <v>17</v>
      </c>
      <c r="AL55" s="394"/>
      <c r="AM55" s="394" t="s">
        <v>17</v>
      </c>
      <c r="AN55" s="394"/>
      <c r="AO55" s="403" t="s">
        <v>409</v>
      </c>
      <c r="AP55" s="394"/>
      <c r="AQ55" s="394" t="s">
        <v>68</v>
      </c>
      <c r="AR55" s="394"/>
      <c r="AS55" s="391">
        <f t="shared" si="13"/>
        <v>18</v>
      </c>
      <c r="AT55" s="392">
        <f t="shared" si="14"/>
        <v>18</v>
      </c>
      <c r="AU55" s="404"/>
      <c r="AV55" s="404"/>
      <c r="AW55" s="404"/>
      <c r="AX55" s="404"/>
      <c r="AY55" s="770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</row>
    <row r="56" ht="39.75" customHeight="1">
      <c r="A56" s="781" t="s">
        <v>179</v>
      </c>
      <c r="B56" s="782" t="s">
        <v>180</v>
      </c>
      <c r="C56" s="783"/>
      <c r="D56" s="784"/>
      <c r="E56" s="785"/>
      <c r="F56" s="785"/>
      <c r="G56" s="785"/>
      <c r="H56" s="785"/>
      <c r="I56" s="785"/>
      <c r="J56" s="785"/>
      <c r="K56" s="785"/>
      <c r="L56" s="785"/>
      <c r="M56" s="785"/>
      <c r="N56" s="785"/>
      <c r="O56" s="785"/>
      <c r="P56" s="785"/>
      <c r="Q56" s="785"/>
      <c r="R56" s="785"/>
      <c r="S56" s="785"/>
      <c r="T56" s="785"/>
      <c r="U56" s="785"/>
      <c r="V56" s="785"/>
      <c r="W56" s="786"/>
      <c r="X56" s="785"/>
      <c r="Y56" s="786"/>
      <c r="Z56" s="785"/>
      <c r="AA56" s="785"/>
      <c r="AB56" s="785"/>
      <c r="AC56" s="785"/>
      <c r="AD56" s="785"/>
      <c r="AE56" s="785"/>
      <c r="AF56" s="785"/>
      <c r="AG56" s="785"/>
      <c r="AH56" s="785"/>
      <c r="AI56" s="785"/>
      <c r="AJ56" s="785"/>
      <c r="AK56" s="785"/>
      <c r="AL56" s="785"/>
      <c r="AM56" s="785"/>
      <c r="AN56" s="786"/>
      <c r="AO56" s="785"/>
      <c r="AP56" s="785"/>
      <c r="AQ56" s="785"/>
      <c r="AR56" s="786"/>
      <c r="AS56" s="786"/>
      <c r="AT56" s="787"/>
      <c r="AY56" s="770"/>
    </row>
    <row r="57" ht="39.75" customHeight="1">
      <c r="A57" s="404" t="s">
        <v>181</v>
      </c>
      <c r="B57" s="405" t="s">
        <v>182</v>
      </c>
      <c r="C57" s="387"/>
      <c r="D57" s="388"/>
      <c r="E57" s="387"/>
      <c r="F57" s="389"/>
      <c r="G57" s="387"/>
      <c r="H57" s="389"/>
      <c r="I57" s="387" t="s">
        <v>56</v>
      </c>
      <c r="J57" s="389"/>
      <c r="K57" s="389" t="s">
        <v>56</v>
      </c>
      <c r="L57" s="389"/>
      <c r="M57" s="389" t="s">
        <v>56</v>
      </c>
      <c r="N57" s="389"/>
      <c r="O57" s="389" t="s">
        <v>56</v>
      </c>
      <c r="P57" s="389"/>
      <c r="Q57" s="389" t="s">
        <v>47</v>
      </c>
      <c r="R57" s="389"/>
      <c r="S57" s="387" t="s">
        <v>37</v>
      </c>
      <c r="T57" s="389"/>
      <c r="U57" s="387" t="s">
        <v>37</v>
      </c>
      <c r="V57" s="389"/>
      <c r="W57" s="387" t="s">
        <v>37</v>
      </c>
      <c r="X57" s="389"/>
      <c r="Y57" s="387" t="s">
        <v>37</v>
      </c>
      <c r="Z57" s="389"/>
      <c r="AA57" s="394" t="s">
        <v>27</v>
      </c>
      <c r="AB57" s="389"/>
      <c r="AC57" s="394" t="s">
        <v>27</v>
      </c>
      <c r="AD57" s="389"/>
      <c r="AE57" s="389" t="s">
        <v>27</v>
      </c>
      <c r="AF57" s="389"/>
      <c r="AG57" s="389" t="s">
        <v>27</v>
      </c>
      <c r="AH57" s="389"/>
      <c r="AI57" s="394" t="s">
        <v>17</v>
      </c>
      <c r="AJ57" s="394"/>
      <c r="AK57" s="394" t="s">
        <v>17</v>
      </c>
      <c r="AL57" s="394"/>
      <c r="AM57" s="394" t="s">
        <v>17</v>
      </c>
      <c r="AN57" s="394"/>
      <c r="AO57" s="394" t="s">
        <v>55</v>
      </c>
      <c r="AP57" s="394"/>
      <c r="AQ57" s="394"/>
      <c r="AR57" s="394"/>
      <c r="AS57" s="391">
        <f>COUNTIF(C57:AR57,"&gt;=R")</f>
        <v>17</v>
      </c>
      <c r="AT57" s="392">
        <f>AS57</f>
        <v>17</v>
      </c>
      <c r="AU57" s="250"/>
      <c r="AV57" s="250"/>
      <c r="AW57" s="250"/>
      <c r="AX57" s="250"/>
      <c r="AY57" s="250"/>
      <c r="AZ57" s="250"/>
      <c r="BA57" s="250"/>
      <c r="BB57" s="250"/>
      <c r="BC57" s="250"/>
      <c r="BD57" s="250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</row>
    <row r="58" ht="39.75" customHeight="1">
      <c r="A58" s="781" t="s">
        <v>183</v>
      </c>
      <c r="B58" s="782" t="s">
        <v>184</v>
      </c>
      <c r="C58" s="783"/>
      <c r="D58" s="784"/>
      <c r="E58" s="785"/>
      <c r="F58" s="785"/>
      <c r="G58" s="785"/>
      <c r="H58" s="785"/>
      <c r="I58" s="785"/>
      <c r="J58" s="785"/>
      <c r="K58" s="785"/>
      <c r="L58" s="785"/>
      <c r="M58" s="785"/>
      <c r="N58" s="785"/>
      <c r="O58" s="785"/>
      <c r="P58" s="785"/>
      <c r="Q58" s="785"/>
      <c r="R58" s="785"/>
      <c r="S58" s="785"/>
      <c r="T58" s="785"/>
      <c r="U58" s="785"/>
      <c r="V58" s="785"/>
      <c r="W58" s="785"/>
      <c r="X58" s="785"/>
      <c r="Y58" s="785"/>
      <c r="Z58" s="785"/>
      <c r="AA58" s="785"/>
      <c r="AB58" s="785"/>
      <c r="AC58" s="785"/>
      <c r="AD58" s="785"/>
      <c r="AE58" s="785"/>
      <c r="AF58" s="785"/>
      <c r="AG58" s="785"/>
      <c r="AH58" s="785"/>
      <c r="AI58" s="786"/>
      <c r="AJ58" s="786"/>
      <c r="AK58" s="786"/>
      <c r="AL58" s="786"/>
      <c r="AM58" s="786"/>
      <c r="AN58" s="786"/>
      <c r="AO58" s="786"/>
      <c r="AP58" s="786"/>
      <c r="AQ58" s="786"/>
      <c r="AR58" s="786"/>
      <c r="AS58" s="786"/>
      <c r="AT58" s="787"/>
      <c r="AU58" s="404"/>
      <c r="AV58" s="404"/>
      <c r="AW58" s="404"/>
      <c r="AX58" s="404"/>
      <c r="AY58" s="770"/>
      <c r="BE58" s="404"/>
      <c r="BF58" s="404"/>
      <c r="BG58" s="404"/>
      <c r="BH58" s="404"/>
      <c r="BI58" s="404"/>
      <c r="BJ58" s="404"/>
      <c r="BK58" s="404"/>
      <c r="BL58" s="404"/>
      <c r="BM58" s="404"/>
      <c r="BN58" s="404"/>
    </row>
    <row r="59" ht="39.75" customHeight="1">
      <c r="A59" s="778" t="s">
        <v>185</v>
      </c>
      <c r="B59" s="386" t="s">
        <v>186</v>
      </c>
      <c r="C59" s="387"/>
      <c r="D59" s="388"/>
      <c r="E59" s="389"/>
      <c r="F59" s="389"/>
      <c r="G59" s="389"/>
      <c r="H59" s="389"/>
      <c r="I59" s="389" t="s">
        <v>56</v>
      </c>
      <c r="J59" s="389"/>
      <c r="K59" s="389" t="s">
        <v>56</v>
      </c>
      <c r="L59" s="389"/>
      <c r="M59" s="389" t="s">
        <v>56</v>
      </c>
      <c r="N59" s="389"/>
      <c r="O59" s="389" t="s">
        <v>56</v>
      </c>
      <c r="P59" s="389"/>
      <c r="Q59" s="389" t="s">
        <v>56</v>
      </c>
      <c r="R59" s="389"/>
      <c r="S59" s="389" t="s">
        <v>56</v>
      </c>
      <c r="T59" s="389"/>
      <c r="U59" s="389" t="s">
        <v>56</v>
      </c>
      <c r="V59" s="389"/>
      <c r="W59" s="389" t="s">
        <v>93</v>
      </c>
      <c r="X59" s="389"/>
      <c r="Y59" s="389" t="s">
        <v>93</v>
      </c>
      <c r="Z59" s="389"/>
      <c r="AA59" s="389" t="s">
        <v>93</v>
      </c>
      <c r="AB59" s="389"/>
      <c r="AC59" s="389" t="s">
        <v>93</v>
      </c>
      <c r="AD59" s="389"/>
      <c r="AE59" s="389" t="s">
        <v>93</v>
      </c>
      <c r="AF59" s="389"/>
      <c r="AG59" s="389" t="s">
        <v>93</v>
      </c>
      <c r="AH59" s="389"/>
      <c r="AI59" s="394" t="s">
        <v>93</v>
      </c>
      <c r="AJ59" s="394"/>
      <c r="AK59" s="394" t="s">
        <v>93</v>
      </c>
      <c r="AL59" s="394"/>
      <c r="AM59" s="394" t="s">
        <v>93</v>
      </c>
      <c r="AN59" s="394"/>
      <c r="AO59" s="394" t="s">
        <v>55</v>
      </c>
      <c r="AP59" s="394"/>
      <c r="AQ59" s="394" t="s">
        <v>93</v>
      </c>
      <c r="AR59" s="394"/>
      <c r="AS59" s="391">
        <f t="shared" ref="AS59:AS62" si="15">COUNTIF(C59:AR59,"&gt;=R")</f>
        <v>18</v>
      </c>
      <c r="AT59" s="392">
        <f t="shared" ref="AT59:AT62" si="16">AS59</f>
        <v>18</v>
      </c>
      <c r="AU59" s="404"/>
      <c r="AV59" s="404"/>
      <c r="AW59" s="404"/>
      <c r="AX59" s="404"/>
      <c r="AY59" s="770"/>
      <c r="BE59" s="404"/>
      <c r="BF59" s="404"/>
      <c r="BG59" s="404"/>
      <c r="BH59" s="404"/>
      <c r="BI59" s="404"/>
      <c r="BJ59" s="404"/>
      <c r="BK59" s="404"/>
      <c r="BL59" s="404"/>
      <c r="BM59" s="404"/>
      <c r="BN59" s="404"/>
    </row>
    <row r="60" ht="39.75" customHeight="1">
      <c r="A60" s="778" t="s">
        <v>187</v>
      </c>
      <c r="B60" s="386" t="s">
        <v>188</v>
      </c>
      <c r="C60" s="387"/>
      <c r="D60" s="388"/>
      <c r="E60" s="389"/>
      <c r="F60" s="389"/>
      <c r="G60" s="389"/>
      <c r="H60" s="389"/>
      <c r="I60" s="389" t="s">
        <v>56</v>
      </c>
      <c r="J60" s="389"/>
      <c r="K60" s="389" t="s">
        <v>56</v>
      </c>
      <c r="L60" s="389"/>
      <c r="M60" s="389" t="s">
        <v>56</v>
      </c>
      <c r="N60" s="389"/>
      <c r="O60" s="389" t="s">
        <v>56</v>
      </c>
      <c r="P60" s="389"/>
      <c r="Q60" s="389" t="s">
        <v>56</v>
      </c>
      <c r="R60" s="389"/>
      <c r="S60" s="389" t="s">
        <v>56</v>
      </c>
      <c r="T60" s="389"/>
      <c r="U60" s="389" t="s">
        <v>56</v>
      </c>
      <c r="V60" s="389"/>
      <c r="W60" s="389" t="s">
        <v>67</v>
      </c>
      <c r="X60" s="389"/>
      <c r="Y60" s="389" t="s">
        <v>67</v>
      </c>
      <c r="Z60" s="389"/>
      <c r="AA60" s="389" t="s">
        <v>67</v>
      </c>
      <c r="AB60" s="389"/>
      <c r="AC60" s="389" t="s">
        <v>67</v>
      </c>
      <c r="AD60" s="389"/>
      <c r="AE60" s="389" t="s">
        <v>67</v>
      </c>
      <c r="AF60" s="389"/>
      <c r="AG60" s="389" t="s">
        <v>67</v>
      </c>
      <c r="AH60" s="389"/>
      <c r="AI60" s="394" t="s">
        <v>67</v>
      </c>
      <c r="AJ60" s="394"/>
      <c r="AK60" s="394" t="s">
        <v>67</v>
      </c>
      <c r="AL60" s="394"/>
      <c r="AM60" s="394" t="s">
        <v>67</v>
      </c>
      <c r="AN60" s="394"/>
      <c r="AO60" s="394" t="s">
        <v>67</v>
      </c>
      <c r="AP60" s="394"/>
      <c r="AQ60" s="394" t="s">
        <v>67</v>
      </c>
      <c r="AR60" s="394"/>
      <c r="AS60" s="391">
        <f t="shared" si="15"/>
        <v>18</v>
      </c>
      <c r="AT60" s="392">
        <f t="shared" si="16"/>
        <v>18</v>
      </c>
      <c r="AU60" s="404"/>
      <c r="AV60" s="404"/>
      <c r="AW60" s="404"/>
      <c r="AX60" s="404"/>
      <c r="AY60" s="770"/>
      <c r="BE60" s="404"/>
      <c r="BF60" s="404"/>
      <c r="BG60" s="404"/>
      <c r="BH60" s="404"/>
      <c r="BI60" s="404"/>
      <c r="BJ60" s="404"/>
      <c r="BK60" s="404"/>
      <c r="BL60" s="404"/>
      <c r="BM60" s="404"/>
      <c r="BN60" s="404"/>
    </row>
    <row r="61" ht="39.75" customHeight="1">
      <c r="A61" s="778" t="s">
        <v>189</v>
      </c>
      <c r="B61" s="386" t="s">
        <v>190</v>
      </c>
      <c r="C61" s="388"/>
      <c r="D61" s="388"/>
      <c r="E61" s="389"/>
      <c r="F61" s="389"/>
      <c r="G61" s="389"/>
      <c r="H61" s="389"/>
      <c r="I61" s="389" t="s">
        <v>17</v>
      </c>
      <c r="J61" s="389"/>
      <c r="K61" s="389" t="s">
        <v>17</v>
      </c>
      <c r="L61" s="389"/>
      <c r="M61" s="389" t="s">
        <v>17</v>
      </c>
      <c r="N61" s="389"/>
      <c r="O61" s="389" t="s">
        <v>17</v>
      </c>
      <c r="P61" s="389"/>
      <c r="Q61" s="389" t="s">
        <v>17</v>
      </c>
      <c r="R61" s="389"/>
      <c r="S61" s="389" t="s">
        <v>17</v>
      </c>
      <c r="T61" s="389"/>
      <c r="U61" s="389" t="s">
        <v>17</v>
      </c>
      <c r="V61" s="389"/>
      <c r="W61" s="389" t="s">
        <v>17</v>
      </c>
      <c r="X61" s="389"/>
      <c r="Y61" s="389" t="s">
        <v>17</v>
      </c>
      <c r="Z61" s="389"/>
      <c r="AA61" s="389" t="s">
        <v>17</v>
      </c>
      <c r="AB61" s="389"/>
      <c r="AC61" s="389" t="s">
        <v>410</v>
      </c>
      <c r="AD61" s="389"/>
      <c r="AE61" s="389" t="s">
        <v>410</v>
      </c>
      <c r="AF61" s="389"/>
      <c r="AG61" s="389" t="s">
        <v>410</v>
      </c>
      <c r="AH61" s="389"/>
      <c r="AI61" s="389" t="s">
        <v>410</v>
      </c>
      <c r="AJ61" s="394"/>
      <c r="AK61" s="389" t="s">
        <v>410</v>
      </c>
      <c r="AL61" s="394"/>
      <c r="AM61" s="389" t="s">
        <v>17</v>
      </c>
      <c r="AN61" s="394"/>
      <c r="AO61" s="790" t="s">
        <v>408</v>
      </c>
      <c r="AP61" s="394"/>
      <c r="AQ61" s="394" t="s">
        <v>84</v>
      </c>
      <c r="AR61" s="394"/>
      <c r="AS61" s="391">
        <f t="shared" si="15"/>
        <v>18</v>
      </c>
      <c r="AT61" s="392">
        <f t="shared" si="16"/>
        <v>18</v>
      </c>
      <c r="AY61" s="770"/>
    </row>
    <row r="62" ht="39.75" customHeight="1">
      <c r="A62" s="778" t="s">
        <v>191</v>
      </c>
      <c r="B62" s="386" t="s">
        <v>192</v>
      </c>
      <c r="C62" s="388"/>
      <c r="D62" s="388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94"/>
      <c r="X62" s="389"/>
      <c r="Y62" s="394"/>
      <c r="Z62" s="389"/>
      <c r="AA62" s="389"/>
      <c r="AB62" s="389"/>
      <c r="AC62" s="389"/>
      <c r="AD62" s="389"/>
      <c r="AE62" s="394"/>
      <c r="AF62" s="389"/>
      <c r="AG62" s="389"/>
      <c r="AH62" s="389"/>
      <c r="AI62" s="389"/>
      <c r="AJ62" s="394"/>
      <c r="AK62" s="389"/>
      <c r="AL62" s="394"/>
      <c r="AM62" s="389"/>
      <c r="AN62" s="394"/>
      <c r="AO62" s="394"/>
      <c r="AP62" s="394"/>
      <c r="AQ62" s="394"/>
      <c r="AR62" s="394"/>
      <c r="AS62" s="391">
        <f t="shared" si="15"/>
        <v>0</v>
      </c>
      <c r="AT62" s="392">
        <f t="shared" si="16"/>
        <v>0</v>
      </c>
      <c r="AU62" s="404"/>
      <c r="AV62" s="404"/>
      <c r="AW62" s="404"/>
      <c r="AX62" s="404"/>
      <c r="AY62" s="770"/>
      <c r="BE62" s="404"/>
      <c r="BF62" s="404"/>
      <c r="BG62" s="404"/>
      <c r="BH62" s="404"/>
      <c r="BI62" s="404"/>
      <c r="BJ62" s="404"/>
      <c r="BK62" s="404"/>
      <c r="BL62" s="404"/>
      <c r="BM62" s="404"/>
      <c r="BN62" s="404"/>
    </row>
    <row r="63" ht="39.75" customHeight="1">
      <c r="A63" s="781" t="s">
        <v>193</v>
      </c>
      <c r="B63" s="782" t="s">
        <v>194</v>
      </c>
      <c r="C63" s="783"/>
      <c r="D63" s="784"/>
      <c r="E63" s="785"/>
      <c r="F63" s="785"/>
      <c r="G63" s="785"/>
      <c r="H63" s="785"/>
      <c r="I63" s="785"/>
      <c r="J63" s="785"/>
      <c r="K63" s="785"/>
      <c r="L63" s="785"/>
      <c r="M63" s="785"/>
      <c r="N63" s="785"/>
      <c r="O63" s="785"/>
      <c r="P63" s="785"/>
      <c r="Q63" s="785"/>
      <c r="R63" s="785"/>
      <c r="S63" s="785"/>
      <c r="T63" s="785"/>
      <c r="U63" s="785"/>
      <c r="V63" s="785"/>
      <c r="W63" s="785"/>
      <c r="X63" s="785"/>
      <c r="Y63" s="785"/>
      <c r="Z63" s="785"/>
      <c r="AA63" s="785"/>
      <c r="AB63" s="785"/>
      <c r="AC63" s="785"/>
      <c r="AD63" s="785"/>
      <c r="AE63" s="785"/>
      <c r="AF63" s="785"/>
      <c r="AG63" s="785"/>
      <c r="AH63" s="785"/>
      <c r="AI63" s="786"/>
      <c r="AJ63" s="786"/>
      <c r="AK63" s="786"/>
      <c r="AL63" s="786"/>
      <c r="AM63" s="786"/>
      <c r="AN63" s="786"/>
      <c r="AO63" s="786"/>
      <c r="AP63" s="786"/>
      <c r="AQ63" s="786"/>
      <c r="AR63" s="786"/>
      <c r="AS63" s="786"/>
      <c r="AT63" s="787"/>
      <c r="AU63" s="404"/>
      <c r="AV63" s="404"/>
      <c r="AW63" s="404"/>
      <c r="AX63" s="404"/>
      <c r="AY63" s="770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</row>
    <row r="64" ht="39.75" customHeight="1">
      <c r="A64" s="781" t="s">
        <v>195</v>
      </c>
      <c r="B64" s="782" t="s">
        <v>196</v>
      </c>
      <c r="C64" s="783"/>
      <c r="D64" s="784"/>
      <c r="E64" s="785"/>
      <c r="F64" s="785"/>
      <c r="G64" s="786"/>
      <c r="H64" s="785"/>
      <c r="I64" s="786"/>
      <c r="J64" s="785"/>
      <c r="K64" s="785"/>
      <c r="L64" s="785"/>
      <c r="M64" s="785"/>
      <c r="N64" s="785"/>
      <c r="O64" s="785"/>
      <c r="P64" s="785"/>
      <c r="Q64" s="785"/>
      <c r="R64" s="785"/>
      <c r="S64" s="785"/>
      <c r="T64" s="785"/>
      <c r="U64" s="785"/>
      <c r="V64" s="785"/>
      <c r="W64" s="786"/>
      <c r="X64" s="785"/>
      <c r="Y64" s="786"/>
      <c r="Z64" s="785"/>
      <c r="AA64" s="786"/>
      <c r="AB64" s="785"/>
      <c r="AC64" s="786"/>
      <c r="AD64" s="785"/>
      <c r="AE64" s="786"/>
      <c r="AF64" s="785"/>
      <c r="AG64" s="785"/>
      <c r="AH64" s="785"/>
      <c r="AI64" s="785"/>
      <c r="AJ64" s="786"/>
      <c r="AK64" s="785"/>
      <c r="AL64" s="786"/>
      <c r="AM64" s="785"/>
      <c r="AN64" s="786"/>
      <c r="AO64" s="785"/>
      <c r="AP64" s="785"/>
      <c r="AQ64" s="785"/>
      <c r="AR64" s="786"/>
      <c r="AS64" s="786"/>
      <c r="AT64" s="787"/>
      <c r="AY64" s="770"/>
    </row>
    <row r="65" ht="39.75" customHeight="1">
      <c r="A65" s="793" t="s">
        <v>197</v>
      </c>
      <c r="B65" s="412" t="s">
        <v>139</v>
      </c>
      <c r="C65" s="387"/>
      <c r="D65" s="388"/>
      <c r="E65" s="389"/>
      <c r="F65" s="389"/>
      <c r="G65" s="389"/>
      <c r="H65" s="389"/>
      <c r="I65" s="389" t="s">
        <v>26</v>
      </c>
      <c r="J65" s="389"/>
      <c r="K65" s="389" t="s">
        <v>26</v>
      </c>
      <c r="L65" s="389"/>
      <c r="M65" s="389" t="s">
        <v>26</v>
      </c>
      <c r="N65" s="389"/>
      <c r="O65" s="389" t="s">
        <v>26</v>
      </c>
      <c r="P65" s="389"/>
      <c r="Q65" s="387" t="s">
        <v>411</v>
      </c>
      <c r="R65" s="389"/>
      <c r="S65" s="390" t="s">
        <v>16</v>
      </c>
      <c r="T65" s="389"/>
      <c r="U65" s="390" t="s">
        <v>16</v>
      </c>
      <c r="V65" s="389"/>
      <c r="W65" s="390" t="s">
        <v>16</v>
      </c>
      <c r="X65" s="389"/>
      <c r="Y65" s="390" t="s">
        <v>16</v>
      </c>
      <c r="Z65" s="389"/>
      <c r="AA65" s="390" t="s">
        <v>16</v>
      </c>
      <c r="AB65" s="389"/>
      <c r="AC65" s="390" t="s">
        <v>16</v>
      </c>
      <c r="AD65" s="389"/>
      <c r="AE65" s="390" t="s">
        <v>16</v>
      </c>
      <c r="AF65" s="389"/>
      <c r="AG65" s="390" t="s">
        <v>16</v>
      </c>
      <c r="AH65" s="389"/>
      <c r="AI65" s="390" t="s">
        <v>16</v>
      </c>
      <c r="AJ65" s="394"/>
      <c r="AK65" s="390" t="s">
        <v>16</v>
      </c>
      <c r="AL65" s="394"/>
      <c r="AM65" s="390" t="s">
        <v>16</v>
      </c>
      <c r="AN65" s="394"/>
      <c r="AO65" s="790" t="s">
        <v>408</v>
      </c>
      <c r="AP65" s="394"/>
      <c r="AQ65" s="394" t="s">
        <v>36</v>
      </c>
      <c r="AR65" s="394"/>
      <c r="AS65" s="391">
        <f>COUNTIF(C65:AR65,"&gt;=R")</f>
        <v>18</v>
      </c>
      <c r="AT65" s="392">
        <f>AS65</f>
        <v>18</v>
      </c>
      <c r="AU65" s="404"/>
      <c r="AV65" s="404"/>
      <c r="AW65" s="404"/>
      <c r="AX65" s="404"/>
      <c r="AY65" s="770"/>
      <c r="BE65" s="404"/>
      <c r="BF65" s="404"/>
      <c r="BG65" s="404"/>
      <c r="BH65" s="404"/>
      <c r="BI65" s="404"/>
      <c r="BJ65" s="404"/>
      <c r="BK65" s="404"/>
      <c r="BL65" s="404"/>
      <c r="BM65" s="404"/>
      <c r="BN65" s="404"/>
    </row>
    <row r="66" ht="39.75" customHeight="1">
      <c r="A66" s="781" t="s">
        <v>198</v>
      </c>
      <c r="B66" s="782" t="s">
        <v>199</v>
      </c>
      <c r="C66" s="783"/>
      <c r="D66" s="784"/>
      <c r="E66" s="785"/>
      <c r="F66" s="785"/>
      <c r="G66" s="785"/>
      <c r="H66" s="785"/>
      <c r="I66" s="785"/>
      <c r="J66" s="785"/>
      <c r="K66" s="785"/>
      <c r="L66" s="785"/>
      <c r="M66" s="785"/>
      <c r="N66" s="785"/>
      <c r="O66" s="785"/>
      <c r="P66" s="785"/>
      <c r="Q66" s="785"/>
      <c r="R66" s="785"/>
      <c r="S66" s="785"/>
      <c r="T66" s="785"/>
      <c r="U66" s="785"/>
      <c r="V66" s="785"/>
      <c r="W66" s="785"/>
      <c r="X66" s="785"/>
      <c r="Y66" s="785"/>
      <c r="Z66" s="785"/>
      <c r="AA66" s="785"/>
      <c r="AB66" s="785"/>
      <c r="AC66" s="785"/>
      <c r="AD66" s="785"/>
      <c r="AE66" s="785"/>
      <c r="AF66" s="785"/>
      <c r="AG66" s="785"/>
      <c r="AH66" s="785"/>
      <c r="AI66" s="786"/>
      <c r="AJ66" s="786"/>
      <c r="AK66" s="786"/>
      <c r="AL66" s="786"/>
      <c r="AM66" s="786"/>
      <c r="AN66" s="786"/>
      <c r="AO66" s="786"/>
      <c r="AP66" s="786"/>
      <c r="AQ66" s="786"/>
      <c r="AR66" s="786"/>
      <c r="AS66" s="786"/>
      <c r="AT66" s="787"/>
      <c r="AU66" s="404"/>
      <c r="AV66" s="404"/>
      <c r="AW66" s="404"/>
      <c r="AX66" s="404"/>
      <c r="AY66" s="770"/>
      <c r="BE66" s="404"/>
      <c r="BF66" s="404"/>
      <c r="BG66" s="404"/>
      <c r="BH66" s="404"/>
      <c r="BI66" s="404"/>
      <c r="BJ66" s="404"/>
      <c r="BK66" s="404"/>
      <c r="BL66" s="404"/>
      <c r="BM66" s="404"/>
      <c r="BN66" s="404"/>
    </row>
    <row r="67" ht="39.75" customHeight="1">
      <c r="A67" s="793" t="s">
        <v>200</v>
      </c>
      <c r="B67" s="412" t="s">
        <v>176</v>
      </c>
      <c r="C67" s="387"/>
      <c r="D67" s="388"/>
      <c r="E67" s="387"/>
      <c r="F67" s="389"/>
      <c r="G67" s="394"/>
      <c r="H67" s="389"/>
      <c r="I67" s="389" t="s">
        <v>56</v>
      </c>
      <c r="J67" s="389"/>
      <c r="K67" s="389" t="s">
        <v>56</v>
      </c>
      <c r="L67" s="389"/>
      <c r="M67" s="389" t="s">
        <v>47</v>
      </c>
      <c r="N67" s="389"/>
      <c r="O67" s="389" t="s">
        <v>47</v>
      </c>
      <c r="P67" s="389"/>
      <c r="Q67" s="389" t="s">
        <v>47</v>
      </c>
      <c r="R67" s="389"/>
      <c r="S67" s="389" t="s">
        <v>37</v>
      </c>
      <c r="T67" s="389"/>
      <c r="U67" s="394" t="s">
        <v>37</v>
      </c>
      <c r="V67" s="389"/>
      <c r="W67" s="394" t="s">
        <v>27</v>
      </c>
      <c r="X67" s="389"/>
      <c r="Y67" s="394" t="s">
        <v>27</v>
      </c>
      <c r="Z67" s="389"/>
      <c r="AA67" s="394" t="s">
        <v>27</v>
      </c>
      <c r="AB67" s="389"/>
      <c r="AC67" s="394" t="s">
        <v>27</v>
      </c>
      <c r="AD67" s="389"/>
      <c r="AE67" s="389" t="s">
        <v>27</v>
      </c>
      <c r="AF67" s="389"/>
      <c r="AG67" s="389" t="s">
        <v>27</v>
      </c>
      <c r="AH67" s="389"/>
      <c r="AI67" s="394" t="s">
        <v>17</v>
      </c>
      <c r="AJ67" s="394"/>
      <c r="AK67" s="394" t="s">
        <v>17</v>
      </c>
      <c r="AL67" s="394"/>
      <c r="AM67" s="394" t="s">
        <v>17</v>
      </c>
      <c r="AN67" s="394"/>
      <c r="AO67" s="403" t="s">
        <v>409</v>
      </c>
      <c r="AP67" s="394"/>
      <c r="AQ67" s="394" t="s">
        <v>68</v>
      </c>
      <c r="AR67" s="394"/>
      <c r="AS67" s="391">
        <f>COUNTIF(C67:AR67,"&gt;=R")</f>
        <v>18</v>
      </c>
      <c r="AT67" s="392">
        <f>AS67</f>
        <v>18</v>
      </c>
      <c r="AY67" s="770"/>
    </row>
    <row r="68" ht="39.75" customHeight="1">
      <c r="A68" s="781" t="s">
        <v>201</v>
      </c>
      <c r="B68" s="782" t="s">
        <v>202</v>
      </c>
      <c r="C68" s="783"/>
      <c r="D68" s="784"/>
      <c r="E68" s="785"/>
      <c r="F68" s="785"/>
      <c r="G68" s="786"/>
      <c r="H68" s="785"/>
      <c r="I68" s="786"/>
      <c r="J68" s="785"/>
      <c r="K68" s="785"/>
      <c r="L68" s="785"/>
      <c r="M68" s="785"/>
      <c r="N68" s="785"/>
      <c r="O68" s="785"/>
      <c r="P68" s="785"/>
      <c r="Q68" s="785"/>
      <c r="R68" s="785"/>
      <c r="S68" s="785"/>
      <c r="T68" s="785"/>
      <c r="U68" s="785"/>
      <c r="V68" s="785"/>
      <c r="W68" s="785"/>
      <c r="X68" s="785"/>
      <c r="Y68" s="785"/>
      <c r="Z68" s="785"/>
      <c r="AA68" s="785"/>
      <c r="AB68" s="785"/>
      <c r="AC68" s="785"/>
      <c r="AD68" s="785"/>
      <c r="AE68" s="785"/>
      <c r="AF68" s="785"/>
      <c r="AG68" s="785"/>
      <c r="AH68" s="785"/>
      <c r="AI68" s="785"/>
      <c r="AJ68" s="786"/>
      <c r="AK68" s="785"/>
      <c r="AL68" s="786"/>
      <c r="AM68" s="785"/>
      <c r="AN68" s="786"/>
      <c r="AO68" s="785"/>
      <c r="AP68" s="785"/>
      <c r="AQ68" s="785"/>
      <c r="AR68" s="786"/>
      <c r="AS68" s="786"/>
      <c r="AT68" s="787"/>
      <c r="AY68" s="770"/>
    </row>
    <row r="69" ht="39.75" customHeight="1">
      <c r="A69" s="793" t="s">
        <v>203</v>
      </c>
      <c r="B69" s="412" t="s">
        <v>204</v>
      </c>
      <c r="C69" s="387"/>
      <c r="D69" s="388"/>
      <c r="E69" s="389"/>
      <c r="F69" s="389"/>
      <c r="G69" s="389"/>
      <c r="H69" s="389"/>
      <c r="I69" s="389" t="s">
        <v>56</v>
      </c>
      <c r="J69" s="389"/>
      <c r="K69" s="389" t="s">
        <v>47</v>
      </c>
      <c r="L69" s="389"/>
      <c r="M69" s="389" t="s">
        <v>47</v>
      </c>
      <c r="N69" s="389"/>
      <c r="O69" s="389" t="s">
        <v>47</v>
      </c>
      <c r="P69" s="389"/>
      <c r="Q69" s="389" t="s">
        <v>47</v>
      </c>
      <c r="R69" s="389"/>
      <c r="S69" s="394" t="s">
        <v>37</v>
      </c>
      <c r="T69" s="389"/>
      <c r="U69" s="394" t="s">
        <v>37</v>
      </c>
      <c r="V69" s="389"/>
      <c r="W69" s="394" t="s">
        <v>27</v>
      </c>
      <c r="X69" s="389"/>
      <c r="Y69" s="394" t="s">
        <v>27</v>
      </c>
      <c r="Z69" s="389"/>
      <c r="AA69" s="394" t="s">
        <v>27</v>
      </c>
      <c r="AB69" s="389"/>
      <c r="AC69" s="394" t="s">
        <v>27</v>
      </c>
      <c r="AD69" s="389"/>
      <c r="AE69" s="389" t="s">
        <v>27</v>
      </c>
      <c r="AF69" s="389"/>
      <c r="AG69" s="389" t="s">
        <v>27</v>
      </c>
      <c r="AH69" s="389"/>
      <c r="AI69" s="389" t="s">
        <v>17</v>
      </c>
      <c r="AJ69" s="394"/>
      <c r="AK69" s="389" t="s">
        <v>17</v>
      </c>
      <c r="AL69" s="394"/>
      <c r="AM69" s="394" t="s">
        <v>17</v>
      </c>
      <c r="AN69" s="394"/>
      <c r="AO69" s="403" t="s">
        <v>409</v>
      </c>
      <c r="AP69" s="389"/>
      <c r="AQ69" s="389"/>
      <c r="AR69" s="394"/>
      <c r="AS69" s="391">
        <f>COUNTIF(C69:AR69,"&gt;=R")</f>
        <v>17</v>
      </c>
      <c r="AT69" s="392">
        <f>AS69</f>
        <v>17</v>
      </c>
      <c r="AY69" s="770"/>
    </row>
    <row r="70" ht="39.75" customHeight="1">
      <c r="A70" s="781" t="s">
        <v>205</v>
      </c>
      <c r="B70" s="782" t="s">
        <v>206</v>
      </c>
      <c r="C70" s="783"/>
      <c r="D70" s="784"/>
      <c r="E70" s="785"/>
      <c r="F70" s="785"/>
      <c r="G70" s="785"/>
      <c r="H70" s="785"/>
      <c r="I70" s="785"/>
      <c r="J70" s="785"/>
      <c r="K70" s="785"/>
      <c r="L70" s="785"/>
      <c r="M70" s="785"/>
      <c r="N70" s="785"/>
      <c r="O70" s="785"/>
      <c r="P70" s="785"/>
      <c r="Q70" s="785"/>
      <c r="R70" s="785"/>
      <c r="S70" s="785"/>
      <c r="T70" s="785"/>
      <c r="U70" s="785"/>
      <c r="V70" s="785"/>
      <c r="W70" s="785"/>
      <c r="X70" s="785"/>
      <c r="Y70" s="785"/>
      <c r="Z70" s="785"/>
      <c r="AA70" s="785"/>
      <c r="AB70" s="785"/>
      <c r="AC70" s="785"/>
      <c r="AD70" s="785"/>
      <c r="AE70" s="785"/>
      <c r="AF70" s="785"/>
      <c r="AG70" s="785"/>
      <c r="AH70" s="785"/>
      <c r="AI70" s="786"/>
      <c r="AJ70" s="786"/>
      <c r="AK70" s="786"/>
      <c r="AL70" s="786"/>
      <c r="AM70" s="786"/>
      <c r="AN70" s="786"/>
      <c r="AO70" s="786"/>
      <c r="AP70" s="786"/>
      <c r="AQ70" s="786"/>
      <c r="AR70" s="786"/>
      <c r="AS70" s="786"/>
      <c r="AT70" s="787"/>
      <c r="AU70" s="404"/>
      <c r="AV70" s="404"/>
      <c r="AW70" s="404"/>
      <c r="AX70" s="404"/>
      <c r="AY70" s="770"/>
      <c r="BE70" s="404"/>
      <c r="BF70" s="404"/>
      <c r="BG70" s="404"/>
      <c r="BH70" s="404"/>
      <c r="BI70" s="404"/>
      <c r="BJ70" s="404"/>
      <c r="BK70" s="404"/>
      <c r="BL70" s="404"/>
      <c r="BM70" s="404"/>
      <c r="BN70" s="404"/>
    </row>
    <row r="71" ht="39.75" customHeight="1">
      <c r="A71" s="404" t="s">
        <v>207</v>
      </c>
      <c r="B71" s="794" t="s">
        <v>208</v>
      </c>
      <c r="C71" s="388"/>
      <c r="D71" s="388"/>
      <c r="E71" s="389"/>
      <c r="F71" s="389"/>
      <c r="G71" s="389"/>
      <c r="H71" s="389"/>
      <c r="I71" s="389" t="s">
        <v>17</v>
      </c>
      <c r="J71" s="389"/>
      <c r="K71" s="389" t="s">
        <v>17</v>
      </c>
      <c r="L71" s="389"/>
      <c r="M71" s="389" t="s">
        <v>17</v>
      </c>
      <c r="N71" s="389"/>
      <c r="O71" s="389" t="s">
        <v>17</v>
      </c>
      <c r="P71" s="389"/>
      <c r="Q71" s="389" t="s">
        <v>17</v>
      </c>
      <c r="R71" s="389"/>
      <c r="S71" s="389" t="s">
        <v>17</v>
      </c>
      <c r="T71" s="389"/>
      <c r="U71" s="389" t="s">
        <v>17</v>
      </c>
      <c r="V71" s="389"/>
      <c r="W71" s="389" t="s">
        <v>17</v>
      </c>
      <c r="X71" s="389"/>
      <c r="Y71" s="389" t="s">
        <v>17</v>
      </c>
      <c r="Z71" s="389"/>
      <c r="AA71" s="389" t="s">
        <v>17</v>
      </c>
      <c r="AB71" s="389"/>
      <c r="AC71" s="795" t="s">
        <v>410</v>
      </c>
      <c r="AD71" s="389"/>
      <c r="AE71" s="795" t="s">
        <v>410</v>
      </c>
      <c r="AF71" s="389"/>
      <c r="AG71" s="795" t="s">
        <v>410</v>
      </c>
      <c r="AH71" s="389"/>
      <c r="AI71" s="795" t="s">
        <v>410</v>
      </c>
      <c r="AJ71" s="394"/>
      <c r="AK71" s="795" t="s">
        <v>410</v>
      </c>
      <c r="AL71" s="394"/>
      <c r="AM71" s="389" t="s">
        <v>17</v>
      </c>
      <c r="AN71" s="394"/>
      <c r="AO71" s="790" t="s">
        <v>408</v>
      </c>
      <c r="AP71" s="394"/>
      <c r="AQ71" s="394" t="s">
        <v>84</v>
      </c>
      <c r="AR71" s="394"/>
      <c r="AS71" s="391">
        <f>COUNTIF(C71:AR71,"&gt;=R")</f>
        <v>18</v>
      </c>
      <c r="AT71" s="392">
        <f>AS71</f>
        <v>18</v>
      </c>
    </row>
    <row r="72" ht="39.75" customHeight="1">
      <c r="A72" s="781" t="s">
        <v>209</v>
      </c>
      <c r="B72" s="782" t="s">
        <v>210</v>
      </c>
      <c r="C72" s="783"/>
      <c r="D72" s="784"/>
      <c r="E72" s="785"/>
      <c r="F72" s="785"/>
      <c r="G72" s="785"/>
      <c r="H72" s="785"/>
      <c r="I72" s="785"/>
      <c r="J72" s="785"/>
      <c r="K72" s="785"/>
      <c r="L72" s="785"/>
      <c r="M72" s="785"/>
      <c r="N72" s="785"/>
      <c r="O72" s="785"/>
      <c r="P72" s="785"/>
      <c r="Q72" s="785"/>
      <c r="R72" s="785"/>
      <c r="S72" s="785"/>
      <c r="T72" s="785"/>
      <c r="U72" s="785"/>
      <c r="V72" s="785"/>
      <c r="W72" s="785"/>
      <c r="X72" s="785"/>
      <c r="Y72" s="785"/>
      <c r="Z72" s="785"/>
      <c r="AA72" s="785"/>
      <c r="AB72" s="785"/>
      <c r="AC72" s="785"/>
      <c r="AD72" s="785"/>
      <c r="AE72" s="785"/>
      <c r="AF72" s="785"/>
      <c r="AG72" s="785"/>
      <c r="AH72" s="785"/>
      <c r="AI72" s="785"/>
      <c r="AJ72" s="785"/>
      <c r="AK72" s="785"/>
      <c r="AL72" s="786"/>
      <c r="AM72" s="786"/>
      <c r="AN72" s="786"/>
      <c r="AO72" s="786"/>
      <c r="AP72" s="786"/>
      <c r="AQ72" s="786"/>
      <c r="AR72" s="786"/>
      <c r="AS72" s="786"/>
      <c r="AT72" s="787"/>
      <c r="AY72" s="770"/>
    </row>
    <row r="73" ht="39.75" customHeight="1">
      <c r="A73" s="778" t="s">
        <v>211</v>
      </c>
      <c r="B73" s="386" t="s">
        <v>212</v>
      </c>
      <c r="C73" s="387"/>
      <c r="D73" s="388"/>
      <c r="E73" s="389"/>
      <c r="F73" s="389"/>
      <c r="G73" s="389"/>
      <c r="H73" s="389"/>
      <c r="I73" s="389" t="s">
        <v>76</v>
      </c>
      <c r="J73" s="389"/>
      <c r="K73" s="389" t="s">
        <v>76</v>
      </c>
      <c r="L73" s="389"/>
      <c r="M73" s="389" t="s">
        <v>76</v>
      </c>
      <c r="N73" s="389"/>
      <c r="O73" s="389" t="s">
        <v>76</v>
      </c>
      <c r="P73" s="389"/>
      <c r="Q73" s="389" t="s">
        <v>37</v>
      </c>
      <c r="R73" s="389"/>
      <c r="S73" s="389" t="s">
        <v>37</v>
      </c>
      <c r="T73" s="389"/>
      <c r="U73" s="389" t="s">
        <v>37</v>
      </c>
      <c r="V73" s="389"/>
      <c r="W73" s="389" t="s">
        <v>17</v>
      </c>
      <c r="X73" s="389"/>
      <c r="Y73" s="389" t="s">
        <v>17</v>
      </c>
      <c r="Z73" s="389"/>
      <c r="AA73" s="389" t="s">
        <v>410</v>
      </c>
      <c r="AB73" s="389"/>
      <c r="AC73" s="389" t="s">
        <v>410</v>
      </c>
      <c r="AD73" s="389"/>
      <c r="AE73" s="389" t="s">
        <v>410</v>
      </c>
      <c r="AF73" s="389"/>
      <c r="AG73" s="389" t="s">
        <v>410</v>
      </c>
      <c r="AH73" s="389"/>
      <c r="AI73" s="394" t="s">
        <v>410</v>
      </c>
      <c r="AJ73" s="394"/>
      <c r="AK73" s="394" t="s">
        <v>410</v>
      </c>
      <c r="AL73" s="394"/>
      <c r="AM73" s="394" t="s">
        <v>17</v>
      </c>
      <c r="AN73" s="394"/>
      <c r="AO73" s="394" t="s">
        <v>26</v>
      </c>
      <c r="AP73" s="394"/>
      <c r="AQ73" s="394"/>
      <c r="AR73" s="394"/>
      <c r="AS73" s="391">
        <f t="shared" ref="AS73:AS74" si="17">COUNTIF(C73:AR73,"&gt;=R")</f>
        <v>17</v>
      </c>
      <c r="AT73" s="392">
        <f t="shared" ref="AT73:AT74" si="18">AS73</f>
        <v>17</v>
      </c>
      <c r="AY73" s="770"/>
    </row>
    <row r="74" ht="39.75" customHeight="1">
      <c r="A74" s="778" t="s">
        <v>213</v>
      </c>
      <c r="B74" s="386" t="s">
        <v>214</v>
      </c>
      <c r="C74" s="387"/>
      <c r="D74" s="388"/>
      <c r="E74" s="394"/>
      <c r="F74" s="389"/>
      <c r="G74" s="389"/>
      <c r="H74" s="389"/>
      <c r="I74" s="389" t="s">
        <v>18</v>
      </c>
      <c r="J74" s="389"/>
      <c r="K74" s="389" t="s">
        <v>18</v>
      </c>
      <c r="L74" s="389"/>
      <c r="M74" s="394" t="s">
        <v>18</v>
      </c>
      <c r="N74" s="389"/>
      <c r="O74" s="389" t="s">
        <v>18</v>
      </c>
      <c r="P74" s="389"/>
      <c r="Q74" s="389" t="s">
        <v>18</v>
      </c>
      <c r="R74" s="389"/>
      <c r="S74" s="389" t="s">
        <v>18</v>
      </c>
      <c r="T74" s="389"/>
      <c r="U74" s="389" t="s">
        <v>18</v>
      </c>
      <c r="V74" s="389"/>
      <c r="W74" s="389" t="s">
        <v>18</v>
      </c>
      <c r="X74" s="389"/>
      <c r="Y74" s="389" t="s">
        <v>18</v>
      </c>
      <c r="Z74" s="389"/>
      <c r="AA74" s="389" t="s">
        <v>18</v>
      </c>
      <c r="AB74" s="389"/>
      <c r="AC74" s="389" t="s">
        <v>18</v>
      </c>
      <c r="AD74" s="389"/>
      <c r="AE74" s="389" t="s">
        <v>18</v>
      </c>
      <c r="AF74" s="389"/>
      <c r="AG74" s="389" t="s">
        <v>18</v>
      </c>
      <c r="AH74" s="389"/>
      <c r="AI74" s="389" t="s">
        <v>18</v>
      </c>
      <c r="AJ74" s="394"/>
      <c r="AK74" s="389" t="s">
        <v>18</v>
      </c>
      <c r="AL74" s="394"/>
      <c r="AM74" s="389" t="s">
        <v>18</v>
      </c>
      <c r="AN74" s="394"/>
      <c r="AO74" s="394" t="s">
        <v>55</v>
      </c>
      <c r="AP74" s="394"/>
      <c r="AQ74" s="394"/>
      <c r="AR74" s="394"/>
      <c r="AS74" s="391">
        <f t="shared" si="17"/>
        <v>17</v>
      </c>
      <c r="AT74" s="392">
        <f t="shared" si="18"/>
        <v>17</v>
      </c>
      <c r="AY74" s="770"/>
    </row>
    <row r="75" ht="39.75" customHeight="1">
      <c r="A75" s="781" t="s">
        <v>215</v>
      </c>
      <c r="B75" s="782" t="s">
        <v>216</v>
      </c>
      <c r="C75" s="783"/>
      <c r="D75" s="784"/>
      <c r="E75" s="785"/>
      <c r="F75" s="785"/>
      <c r="G75" s="785"/>
      <c r="H75" s="785"/>
      <c r="I75" s="785"/>
      <c r="J75" s="785"/>
      <c r="K75" s="785"/>
      <c r="L75" s="785"/>
      <c r="M75" s="785"/>
      <c r="N75" s="785"/>
      <c r="O75" s="785"/>
      <c r="P75" s="785"/>
      <c r="Q75" s="785"/>
      <c r="R75" s="785"/>
      <c r="S75" s="785"/>
      <c r="T75" s="785"/>
      <c r="U75" s="785"/>
      <c r="V75" s="785"/>
      <c r="W75" s="785"/>
      <c r="X75" s="785"/>
      <c r="Y75" s="785"/>
      <c r="Z75" s="785"/>
      <c r="AA75" s="785"/>
      <c r="AB75" s="785"/>
      <c r="AC75" s="785"/>
      <c r="AD75" s="785"/>
      <c r="AE75" s="785"/>
      <c r="AF75" s="785"/>
      <c r="AG75" s="785"/>
      <c r="AH75" s="785"/>
      <c r="AI75" s="786"/>
      <c r="AJ75" s="786"/>
      <c r="AK75" s="786"/>
      <c r="AL75" s="786"/>
      <c r="AM75" s="786"/>
      <c r="AN75" s="786"/>
      <c r="AO75" s="786"/>
      <c r="AP75" s="786"/>
      <c r="AQ75" s="786"/>
      <c r="AR75" s="786"/>
      <c r="AS75" s="786"/>
      <c r="AT75" s="787"/>
      <c r="AU75" s="404"/>
      <c r="AV75" s="404"/>
      <c r="AW75" s="404"/>
      <c r="AX75" s="404"/>
      <c r="AY75" s="770"/>
      <c r="BE75" s="404"/>
      <c r="BF75" s="404"/>
      <c r="BG75" s="404"/>
      <c r="BH75" s="404"/>
      <c r="BI75" s="404"/>
      <c r="BJ75" s="404"/>
      <c r="BK75" s="404"/>
      <c r="BL75" s="404"/>
      <c r="BM75" s="404"/>
      <c r="BN75" s="404"/>
    </row>
    <row r="76" ht="39.75" customHeight="1">
      <c r="A76" s="778" t="s">
        <v>217</v>
      </c>
      <c r="B76" s="386" t="s">
        <v>218</v>
      </c>
      <c r="C76" s="387"/>
      <c r="D76" s="388"/>
      <c r="E76" s="387"/>
      <c r="F76" s="389"/>
      <c r="G76" s="387"/>
      <c r="H76" s="389"/>
      <c r="I76" s="387" t="s">
        <v>18</v>
      </c>
      <c r="J76" s="389"/>
      <c r="K76" s="389" t="s">
        <v>18</v>
      </c>
      <c r="L76" s="389"/>
      <c r="M76" s="389" t="s">
        <v>18</v>
      </c>
      <c r="N76" s="389"/>
      <c r="O76" s="389" t="s">
        <v>18</v>
      </c>
      <c r="P76" s="389"/>
      <c r="Q76" s="389" t="s">
        <v>18</v>
      </c>
      <c r="R76" s="389"/>
      <c r="S76" s="389" t="s">
        <v>18</v>
      </c>
      <c r="T76" s="394"/>
      <c r="U76" s="389" t="s">
        <v>18</v>
      </c>
      <c r="V76" s="394"/>
      <c r="W76" s="389" t="s">
        <v>18</v>
      </c>
      <c r="X76" s="394"/>
      <c r="Y76" s="394" t="s">
        <v>18</v>
      </c>
      <c r="Z76" s="389"/>
      <c r="AA76" s="394" t="s">
        <v>18</v>
      </c>
      <c r="AB76" s="389"/>
      <c r="AC76" s="394" t="s">
        <v>18</v>
      </c>
      <c r="AD76" s="389"/>
      <c r="AE76" s="420" t="s">
        <v>419</v>
      </c>
      <c r="AF76" s="389"/>
      <c r="AG76" s="416" t="s">
        <v>419</v>
      </c>
      <c r="AH76" s="389"/>
      <c r="AI76" s="387" t="s">
        <v>18</v>
      </c>
      <c r="AJ76" s="394"/>
      <c r="AK76" s="387" t="s">
        <v>18</v>
      </c>
      <c r="AL76" s="394"/>
      <c r="AM76" s="394" t="s">
        <v>18</v>
      </c>
      <c r="AN76" s="394"/>
      <c r="AO76" s="394" t="s">
        <v>26</v>
      </c>
      <c r="AP76" s="394"/>
      <c r="AQ76" s="394"/>
      <c r="AR76" s="394"/>
      <c r="AS76" s="391">
        <f>COUNTIF(C76:AR76,"&gt;=R")</f>
        <v>17</v>
      </c>
      <c r="AT76" s="392">
        <f>AS76</f>
        <v>17</v>
      </c>
      <c r="AY76" s="770"/>
    </row>
    <row r="77" ht="39.75" customHeight="1">
      <c r="A77" s="781" t="s">
        <v>219</v>
      </c>
      <c r="B77" s="782" t="s">
        <v>220</v>
      </c>
      <c r="C77" s="783"/>
      <c r="D77" s="784"/>
      <c r="E77" s="785"/>
      <c r="F77" s="785"/>
      <c r="G77" s="785"/>
      <c r="H77" s="785"/>
      <c r="I77" s="785"/>
      <c r="J77" s="785"/>
      <c r="K77" s="785"/>
      <c r="L77" s="785"/>
      <c r="M77" s="785"/>
      <c r="N77" s="785"/>
      <c r="O77" s="785"/>
      <c r="P77" s="785"/>
      <c r="Q77" s="785"/>
      <c r="R77" s="785"/>
      <c r="S77" s="785"/>
      <c r="T77" s="785"/>
      <c r="U77" s="785"/>
      <c r="V77" s="785"/>
      <c r="W77" s="785"/>
      <c r="X77" s="785"/>
      <c r="Y77" s="785"/>
      <c r="Z77" s="785"/>
      <c r="AA77" s="785"/>
      <c r="AB77" s="785"/>
      <c r="AC77" s="785"/>
      <c r="AD77" s="785"/>
      <c r="AE77" s="785"/>
      <c r="AF77" s="785"/>
      <c r="AG77" s="785"/>
      <c r="AH77" s="785"/>
      <c r="AI77" s="786"/>
      <c r="AJ77" s="786"/>
      <c r="AK77" s="786"/>
      <c r="AL77" s="786"/>
      <c r="AM77" s="786"/>
      <c r="AN77" s="786"/>
      <c r="AO77" s="786"/>
      <c r="AP77" s="786"/>
      <c r="AQ77" s="786"/>
      <c r="AR77" s="786"/>
      <c r="AS77" s="786"/>
      <c r="AT77" s="787"/>
      <c r="AU77" s="404"/>
      <c r="AV77" s="404"/>
      <c r="AW77" s="404"/>
      <c r="AX77" s="404"/>
      <c r="AY77" s="770"/>
      <c r="BE77" s="404"/>
      <c r="BF77" s="404"/>
      <c r="BG77" s="404"/>
      <c r="BH77" s="404"/>
      <c r="BI77" s="404"/>
      <c r="BJ77" s="404"/>
      <c r="BK77" s="404"/>
      <c r="BL77" s="404"/>
      <c r="BM77" s="404"/>
      <c r="BN77" s="404"/>
    </row>
    <row r="78" ht="39.75" customHeight="1">
      <c r="A78" s="796" t="s">
        <v>221</v>
      </c>
      <c r="B78" s="386" t="s">
        <v>222</v>
      </c>
      <c r="C78" s="388"/>
      <c r="D78" s="388"/>
      <c r="E78" s="389"/>
      <c r="F78" s="389"/>
      <c r="G78" s="389"/>
      <c r="H78" s="389"/>
      <c r="I78" s="389" t="s">
        <v>17</v>
      </c>
      <c r="J78" s="389"/>
      <c r="K78" s="389" t="s">
        <v>17</v>
      </c>
      <c r="L78" s="389"/>
      <c r="M78" s="389" t="s">
        <v>17</v>
      </c>
      <c r="N78" s="389"/>
      <c r="O78" s="389" t="s">
        <v>17</v>
      </c>
      <c r="P78" s="389"/>
      <c r="Q78" s="389" t="s">
        <v>17</v>
      </c>
      <c r="R78" s="389"/>
      <c r="S78" s="389" t="s">
        <v>37</v>
      </c>
      <c r="T78" s="389"/>
      <c r="U78" s="389" t="s">
        <v>17</v>
      </c>
      <c r="V78" s="389"/>
      <c r="W78" s="389" t="s">
        <v>17</v>
      </c>
      <c r="X78" s="389"/>
      <c r="Y78" s="389" t="s">
        <v>17</v>
      </c>
      <c r="Z78" s="389"/>
      <c r="AA78" s="394" t="s">
        <v>37</v>
      </c>
      <c r="AB78" s="389"/>
      <c r="AC78" s="389" t="s">
        <v>37</v>
      </c>
      <c r="AD78" s="389"/>
      <c r="AE78" s="389" t="s">
        <v>55</v>
      </c>
      <c r="AF78" s="389"/>
      <c r="AG78" s="389" t="s">
        <v>55</v>
      </c>
      <c r="AH78" s="389"/>
      <c r="AI78" s="394" t="s">
        <v>83</v>
      </c>
      <c r="AJ78" s="394"/>
      <c r="AK78" s="389" t="s">
        <v>55</v>
      </c>
      <c r="AL78" s="394"/>
      <c r="AM78" s="394" t="s">
        <v>55</v>
      </c>
      <c r="AN78" s="394"/>
      <c r="AO78" s="403" t="s">
        <v>409</v>
      </c>
      <c r="AP78" s="394"/>
      <c r="AQ78" s="394" t="s">
        <v>17</v>
      </c>
      <c r="AR78" s="394"/>
      <c r="AS78" s="391">
        <f>COUNTIF(C78:AR78,"&gt;=R")</f>
        <v>18</v>
      </c>
      <c r="AT78" s="392">
        <f>AS78</f>
        <v>18</v>
      </c>
      <c r="AY78" s="770"/>
    </row>
    <row r="79" ht="39.75" customHeight="1">
      <c r="A79" s="797" t="s">
        <v>223</v>
      </c>
      <c r="B79" s="782" t="s">
        <v>224</v>
      </c>
      <c r="C79" s="783"/>
      <c r="D79" s="784"/>
      <c r="E79" s="785"/>
      <c r="F79" s="785"/>
      <c r="G79" s="785"/>
      <c r="H79" s="785"/>
      <c r="I79" s="785"/>
      <c r="J79" s="785"/>
      <c r="K79" s="785"/>
      <c r="L79" s="785"/>
      <c r="M79" s="785"/>
      <c r="N79" s="785"/>
      <c r="O79" s="785"/>
      <c r="P79" s="785"/>
      <c r="Q79" s="785"/>
      <c r="R79" s="785"/>
      <c r="S79" s="785"/>
      <c r="T79" s="785"/>
      <c r="U79" s="785"/>
      <c r="V79" s="785"/>
      <c r="W79" s="785"/>
      <c r="X79" s="785"/>
      <c r="Y79" s="785"/>
      <c r="Z79" s="785"/>
      <c r="AA79" s="785"/>
      <c r="AB79" s="785"/>
      <c r="AC79" s="785"/>
      <c r="AD79" s="785"/>
      <c r="AE79" s="785"/>
      <c r="AF79" s="785"/>
      <c r="AG79" s="785"/>
      <c r="AH79" s="785"/>
      <c r="AI79" s="785"/>
      <c r="AJ79" s="786"/>
      <c r="AK79" s="786"/>
      <c r="AL79" s="786"/>
      <c r="AM79" s="786"/>
      <c r="AN79" s="786"/>
      <c r="AO79" s="786"/>
      <c r="AP79" s="786"/>
      <c r="AQ79" s="786"/>
      <c r="AR79" s="786"/>
      <c r="AS79" s="786"/>
      <c r="AT79" s="787"/>
      <c r="AY79" s="770"/>
    </row>
    <row r="80" ht="39.75" customHeight="1">
      <c r="A80" s="798" t="s">
        <v>225</v>
      </c>
      <c r="B80" s="386" t="s">
        <v>226</v>
      </c>
      <c r="C80" s="387"/>
      <c r="D80" s="388"/>
      <c r="E80" s="389"/>
      <c r="F80" s="389"/>
      <c r="G80" s="389"/>
      <c r="H80" s="389"/>
      <c r="I80" s="389" t="s">
        <v>17</v>
      </c>
      <c r="J80" s="389"/>
      <c r="K80" s="389" t="s">
        <v>17</v>
      </c>
      <c r="L80" s="389"/>
      <c r="M80" s="389" t="s">
        <v>17</v>
      </c>
      <c r="N80" s="389"/>
      <c r="O80" s="389" t="s">
        <v>17</v>
      </c>
      <c r="P80" s="389"/>
      <c r="Q80" s="389" t="s">
        <v>17</v>
      </c>
      <c r="R80" s="389"/>
      <c r="S80" s="389" t="s">
        <v>37</v>
      </c>
      <c r="T80" s="389"/>
      <c r="U80" s="389" t="s">
        <v>17</v>
      </c>
      <c r="V80" s="389"/>
      <c r="W80" s="389" t="s">
        <v>17</v>
      </c>
      <c r="X80" s="389"/>
      <c r="Y80" s="389" t="s">
        <v>17</v>
      </c>
      <c r="Z80" s="389"/>
      <c r="AA80" s="394" t="s">
        <v>37</v>
      </c>
      <c r="AB80" s="389"/>
      <c r="AC80" s="389" t="s">
        <v>37</v>
      </c>
      <c r="AD80" s="389"/>
      <c r="AE80" s="389" t="s">
        <v>55</v>
      </c>
      <c r="AF80" s="389"/>
      <c r="AG80" s="390" t="s">
        <v>16</v>
      </c>
      <c r="AH80" s="389"/>
      <c r="AI80" s="390" t="s">
        <v>16</v>
      </c>
      <c r="AJ80" s="394"/>
      <c r="AK80" s="390" t="s">
        <v>16</v>
      </c>
      <c r="AL80" s="394"/>
      <c r="AM80" s="390" t="s">
        <v>16</v>
      </c>
      <c r="AN80" s="394"/>
      <c r="AO80" s="403" t="s">
        <v>409</v>
      </c>
      <c r="AP80" s="394"/>
      <c r="AQ80" s="394" t="s">
        <v>17</v>
      </c>
      <c r="AR80" s="394"/>
      <c r="AS80" s="391">
        <f t="shared" ref="AS80:AS84" si="19">COUNTIF(C80:AR80,"&gt;=R")</f>
        <v>18</v>
      </c>
      <c r="AT80" s="392">
        <f t="shared" ref="AT80:AT84" si="20">AS80</f>
        <v>18</v>
      </c>
      <c r="AY80" s="770"/>
    </row>
    <row r="81" ht="39.75" customHeight="1">
      <c r="A81" s="798" t="s">
        <v>227</v>
      </c>
      <c r="B81" s="386" t="s">
        <v>228</v>
      </c>
      <c r="C81" s="387"/>
      <c r="D81" s="388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94"/>
      <c r="AK81" s="389"/>
      <c r="AL81" s="394"/>
      <c r="AM81" s="394"/>
      <c r="AN81" s="394"/>
      <c r="AO81" s="394" t="s">
        <v>91</v>
      </c>
      <c r="AP81" s="394"/>
      <c r="AQ81" s="394"/>
      <c r="AR81" s="394"/>
      <c r="AS81" s="391">
        <f t="shared" si="19"/>
        <v>1</v>
      </c>
      <c r="AT81" s="392">
        <f t="shared" si="20"/>
        <v>1</v>
      </c>
      <c r="AU81" s="404"/>
      <c r="AV81" s="404"/>
      <c r="AW81" s="404"/>
      <c r="AX81" s="404"/>
      <c r="AY81" s="770"/>
      <c r="BE81" s="404"/>
      <c r="BF81" s="404"/>
      <c r="BG81" s="404"/>
      <c r="BH81" s="404"/>
      <c r="BI81" s="404"/>
      <c r="BJ81" s="404"/>
      <c r="BK81" s="404"/>
      <c r="BL81" s="404"/>
      <c r="BM81" s="404"/>
      <c r="BN81" s="404"/>
    </row>
    <row r="82" ht="39.75" customHeight="1">
      <c r="A82" s="798" t="s">
        <v>229</v>
      </c>
      <c r="B82" s="386" t="s">
        <v>230</v>
      </c>
      <c r="C82" s="387"/>
      <c r="D82" s="388"/>
      <c r="E82" s="387"/>
      <c r="F82" s="389"/>
      <c r="G82" s="387"/>
      <c r="H82" s="389"/>
      <c r="I82" s="387"/>
      <c r="J82" s="389"/>
      <c r="K82" s="387"/>
      <c r="L82" s="389"/>
      <c r="M82" s="387"/>
      <c r="N82" s="389"/>
      <c r="O82" s="387"/>
      <c r="P82" s="389"/>
      <c r="Q82" s="387"/>
      <c r="R82" s="389"/>
      <c r="S82" s="387"/>
      <c r="T82" s="389"/>
      <c r="U82" s="387"/>
      <c r="V82" s="389"/>
      <c r="W82" s="387"/>
      <c r="X82" s="389"/>
      <c r="Y82" s="387"/>
      <c r="Z82" s="389"/>
      <c r="AA82" s="387"/>
      <c r="AB82" s="389"/>
      <c r="AC82" s="387"/>
      <c r="AD82" s="389"/>
      <c r="AE82" s="387"/>
      <c r="AF82" s="389"/>
      <c r="AG82" s="387"/>
      <c r="AH82" s="389"/>
      <c r="AI82" s="387"/>
      <c r="AJ82" s="394"/>
      <c r="AK82" s="387"/>
      <c r="AL82" s="394"/>
      <c r="AM82" s="394"/>
      <c r="AN82" s="394"/>
      <c r="AO82" s="394" t="s">
        <v>91</v>
      </c>
      <c r="AP82" s="394"/>
      <c r="AQ82" s="394"/>
      <c r="AR82" s="394"/>
      <c r="AS82" s="391">
        <f t="shared" si="19"/>
        <v>1</v>
      </c>
      <c r="AT82" s="392">
        <f t="shared" si="20"/>
        <v>1</v>
      </c>
      <c r="AU82" s="404"/>
      <c r="AV82" s="404"/>
      <c r="AW82" s="404"/>
      <c r="AX82" s="404"/>
      <c r="AY82" s="770"/>
      <c r="BE82" s="404"/>
      <c r="BF82" s="404"/>
      <c r="BG82" s="404"/>
      <c r="BH82" s="404"/>
      <c r="BI82" s="404"/>
      <c r="BJ82" s="404"/>
      <c r="BK82" s="404"/>
      <c r="BL82" s="404"/>
      <c r="BM82" s="404"/>
      <c r="BN82" s="404"/>
    </row>
    <row r="83" ht="39.75" customHeight="1">
      <c r="A83" s="798" t="s">
        <v>231</v>
      </c>
      <c r="B83" s="386" t="s">
        <v>232</v>
      </c>
      <c r="C83" s="387"/>
      <c r="D83" s="388"/>
      <c r="E83" s="387"/>
      <c r="F83" s="389"/>
      <c r="G83" s="387"/>
      <c r="H83" s="389"/>
      <c r="I83" s="799" t="s">
        <v>17</v>
      </c>
      <c r="J83" s="389"/>
      <c r="K83" s="799" t="s">
        <v>17</v>
      </c>
      <c r="L83" s="389"/>
      <c r="M83" s="799" t="s">
        <v>17</v>
      </c>
      <c r="N83" s="389"/>
      <c r="O83" s="799" t="s">
        <v>17</v>
      </c>
      <c r="P83" s="389"/>
      <c r="Q83" s="799" t="s">
        <v>17</v>
      </c>
      <c r="R83" s="389"/>
      <c r="S83" s="592" t="s">
        <v>37</v>
      </c>
      <c r="T83" s="389"/>
      <c r="U83" s="799" t="s">
        <v>17</v>
      </c>
      <c r="V83" s="389"/>
      <c r="W83" s="799" t="s">
        <v>17</v>
      </c>
      <c r="X83" s="389"/>
      <c r="Y83" s="799" t="s">
        <v>17</v>
      </c>
      <c r="Z83" s="389"/>
      <c r="AA83" s="387" t="s">
        <v>37</v>
      </c>
      <c r="AB83" s="389"/>
      <c r="AC83" s="387" t="s">
        <v>37</v>
      </c>
      <c r="AD83" s="389"/>
      <c r="AE83" s="387" t="s">
        <v>55</v>
      </c>
      <c r="AF83" s="389"/>
      <c r="AG83" s="387" t="s">
        <v>55</v>
      </c>
      <c r="AH83" s="389"/>
      <c r="AI83" s="387" t="s">
        <v>55</v>
      </c>
      <c r="AJ83" s="394"/>
      <c r="AK83" s="387" t="s">
        <v>55</v>
      </c>
      <c r="AL83" s="394"/>
      <c r="AM83" s="394" t="s">
        <v>84</v>
      </c>
      <c r="AN83" s="394"/>
      <c r="AO83" s="403" t="s">
        <v>409</v>
      </c>
      <c r="AP83" s="389"/>
      <c r="AQ83" s="389" t="s">
        <v>17</v>
      </c>
      <c r="AR83" s="394"/>
      <c r="AS83" s="391">
        <f t="shared" si="19"/>
        <v>18</v>
      </c>
      <c r="AT83" s="392">
        <f t="shared" si="20"/>
        <v>18</v>
      </c>
      <c r="AY83" s="770"/>
    </row>
    <row r="84" ht="39.75" customHeight="1">
      <c r="A84" s="798" t="s">
        <v>233</v>
      </c>
      <c r="B84" s="386" t="s">
        <v>234</v>
      </c>
      <c r="C84" s="387"/>
      <c r="D84" s="387"/>
      <c r="E84" s="394"/>
      <c r="F84" s="389"/>
      <c r="G84" s="389"/>
      <c r="H84" s="389"/>
      <c r="I84" s="799" t="s">
        <v>17</v>
      </c>
      <c r="J84" s="389"/>
      <c r="K84" s="799" t="s">
        <v>17</v>
      </c>
      <c r="L84" s="389"/>
      <c r="M84" s="799" t="s">
        <v>17</v>
      </c>
      <c r="N84" s="389"/>
      <c r="O84" s="799" t="s">
        <v>17</v>
      </c>
      <c r="P84" s="389"/>
      <c r="Q84" s="799" t="s">
        <v>17</v>
      </c>
      <c r="R84" s="389"/>
      <c r="S84" s="592" t="s">
        <v>37</v>
      </c>
      <c r="T84" s="389"/>
      <c r="U84" s="799" t="s">
        <v>17</v>
      </c>
      <c r="V84" s="389"/>
      <c r="W84" s="799" t="s">
        <v>17</v>
      </c>
      <c r="X84" s="389"/>
      <c r="Y84" s="799" t="s">
        <v>17</v>
      </c>
      <c r="Z84" s="389"/>
      <c r="AA84" s="389" t="s">
        <v>37</v>
      </c>
      <c r="AB84" s="389"/>
      <c r="AC84" s="389" t="s">
        <v>37</v>
      </c>
      <c r="AD84" s="389"/>
      <c r="AE84" s="389" t="s">
        <v>55</v>
      </c>
      <c r="AF84" s="389"/>
      <c r="AG84" s="389" t="s">
        <v>55</v>
      </c>
      <c r="AH84" s="389"/>
      <c r="AI84" s="389" t="s">
        <v>55</v>
      </c>
      <c r="AJ84" s="394"/>
      <c r="AK84" s="389" t="s">
        <v>55</v>
      </c>
      <c r="AL84" s="394"/>
      <c r="AM84" s="394" t="s">
        <v>55</v>
      </c>
      <c r="AN84" s="394"/>
      <c r="AO84" s="403" t="s">
        <v>409</v>
      </c>
      <c r="AP84" s="394"/>
      <c r="AQ84" s="394" t="s">
        <v>17</v>
      </c>
      <c r="AR84" s="394"/>
      <c r="AS84" s="391">
        <f t="shared" si="19"/>
        <v>18</v>
      </c>
      <c r="AT84" s="392">
        <f t="shared" si="20"/>
        <v>18</v>
      </c>
      <c r="AU84" s="404"/>
      <c r="AV84" s="404"/>
      <c r="AW84" s="404"/>
      <c r="AX84" s="404"/>
      <c r="AY84" s="770"/>
      <c r="BE84" s="404"/>
      <c r="BF84" s="404"/>
      <c r="BG84" s="404"/>
      <c r="BH84" s="404"/>
      <c r="BI84" s="404"/>
      <c r="BJ84" s="404"/>
      <c r="BK84" s="404"/>
      <c r="BL84" s="404"/>
      <c r="BM84" s="404"/>
      <c r="BN84" s="404"/>
    </row>
    <row r="85" ht="39.75" customHeight="1">
      <c r="A85" s="781" t="s">
        <v>235</v>
      </c>
      <c r="B85" s="782" t="s">
        <v>236</v>
      </c>
      <c r="C85" s="783"/>
      <c r="D85" s="784"/>
      <c r="E85" s="785"/>
      <c r="F85" s="785"/>
      <c r="G85" s="785"/>
      <c r="H85" s="785"/>
      <c r="I85" s="785"/>
      <c r="J85" s="785"/>
      <c r="K85" s="785"/>
      <c r="L85" s="785"/>
      <c r="M85" s="785"/>
      <c r="N85" s="785"/>
      <c r="O85" s="785"/>
      <c r="P85" s="785"/>
      <c r="Q85" s="785"/>
      <c r="R85" s="785"/>
      <c r="S85" s="785"/>
      <c r="T85" s="785"/>
      <c r="U85" s="785"/>
      <c r="V85" s="785"/>
      <c r="W85" s="785"/>
      <c r="X85" s="785"/>
      <c r="Y85" s="785"/>
      <c r="Z85" s="785"/>
      <c r="AA85" s="785"/>
      <c r="AB85" s="785"/>
      <c r="AC85" s="785"/>
      <c r="AD85" s="785"/>
      <c r="AE85" s="785"/>
      <c r="AF85" s="785"/>
      <c r="AG85" s="785"/>
      <c r="AH85" s="785"/>
      <c r="AI85" s="786"/>
      <c r="AJ85" s="786"/>
      <c r="AK85" s="786"/>
      <c r="AL85" s="786"/>
      <c r="AM85" s="786"/>
      <c r="AN85" s="786"/>
      <c r="AO85" s="786"/>
      <c r="AP85" s="786"/>
      <c r="AQ85" s="786"/>
      <c r="AR85" s="786"/>
      <c r="AS85" s="786"/>
      <c r="AT85" s="787"/>
      <c r="AY85" s="770"/>
    </row>
    <row r="86" ht="39.75" customHeight="1">
      <c r="A86" s="781" t="s">
        <v>237</v>
      </c>
      <c r="B86" s="782" t="s">
        <v>238</v>
      </c>
      <c r="C86" s="783"/>
      <c r="D86" s="783"/>
      <c r="E86" s="786"/>
      <c r="F86" s="785"/>
      <c r="G86" s="785"/>
      <c r="H86" s="785"/>
      <c r="I86" s="785"/>
      <c r="J86" s="785"/>
      <c r="K86" s="785"/>
      <c r="L86" s="785"/>
      <c r="M86" s="785"/>
      <c r="N86" s="785"/>
      <c r="O86" s="785"/>
      <c r="P86" s="785"/>
      <c r="Q86" s="785"/>
      <c r="R86" s="785"/>
      <c r="S86" s="785"/>
      <c r="T86" s="785"/>
      <c r="U86" s="785"/>
      <c r="V86" s="785"/>
      <c r="W86" s="785"/>
      <c r="X86" s="785"/>
      <c r="Y86" s="785"/>
      <c r="Z86" s="785"/>
      <c r="AA86" s="785"/>
      <c r="AB86" s="785"/>
      <c r="AC86" s="785"/>
      <c r="AD86" s="785"/>
      <c r="AE86" s="785"/>
      <c r="AF86" s="785"/>
      <c r="AG86" s="785"/>
      <c r="AH86" s="785"/>
      <c r="AI86" s="786"/>
      <c r="AJ86" s="786"/>
      <c r="AK86" s="786"/>
      <c r="AL86" s="786"/>
      <c r="AM86" s="786"/>
      <c r="AN86" s="786"/>
      <c r="AO86" s="786"/>
      <c r="AP86" s="786"/>
      <c r="AQ86" s="786"/>
      <c r="AR86" s="786"/>
      <c r="AS86" s="786"/>
      <c r="AT86" s="787"/>
      <c r="AY86" s="770"/>
    </row>
    <row r="87" ht="39.75" customHeight="1">
      <c r="A87" s="778" t="s">
        <v>239</v>
      </c>
      <c r="B87" s="386" t="s">
        <v>139</v>
      </c>
      <c r="C87" s="388"/>
      <c r="D87" s="387"/>
      <c r="E87" s="389"/>
      <c r="F87" s="389"/>
      <c r="G87" s="389"/>
      <c r="H87" s="389"/>
      <c r="I87" s="389" t="s">
        <v>18</v>
      </c>
      <c r="J87" s="389"/>
      <c r="K87" s="389" t="s">
        <v>18</v>
      </c>
      <c r="L87" s="389"/>
      <c r="M87" s="389" t="s">
        <v>18</v>
      </c>
      <c r="N87" s="389"/>
      <c r="O87" s="389" t="s">
        <v>28</v>
      </c>
      <c r="P87" s="389"/>
      <c r="Q87" s="389" t="s">
        <v>18</v>
      </c>
      <c r="R87" s="389"/>
      <c r="S87" s="389" t="s">
        <v>18</v>
      </c>
      <c r="T87" s="389"/>
      <c r="U87" s="389" t="s">
        <v>28</v>
      </c>
      <c r="V87" s="389"/>
      <c r="W87" s="389" t="s">
        <v>28</v>
      </c>
      <c r="X87" s="389"/>
      <c r="Y87" s="387" t="s">
        <v>28</v>
      </c>
      <c r="Z87" s="389"/>
      <c r="AA87" s="387" t="s">
        <v>28</v>
      </c>
      <c r="AB87" s="389"/>
      <c r="AC87" s="387" t="s">
        <v>28</v>
      </c>
      <c r="AD87" s="389"/>
      <c r="AE87" s="387" t="s">
        <v>28</v>
      </c>
      <c r="AF87" s="389"/>
      <c r="AG87" s="387" t="s">
        <v>28</v>
      </c>
      <c r="AH87" s="389"/>
      <c r="AI87" s="387" t="s">
        <v>28</v>
      </c>
      <c r="AJ87" s="394"/>
      <c r="AK87" s="387" t="s">
        <v>28</v>
      </c>
      <c r="AL87" s="394"/>
      <c r="AM87" s="387" t="s">
        <v>28</v>
      </c>
      <c r="AN87" s="394"/>
      <c r="AO87" s="389" t="s">
        <v>26</v>
      </c>
      <c r="AP87" s="389"/>
      <c r="AQ87" s="389"/>
      <c r="AR87" s="394"/>
      <c r="AS87" s="391">
        <f>COUNTIF(C87:AR87,"&gt;=R")</f>
        <v>17</v>
      </c>
      <c r="AT87" s="392">
        <f>AS87</f>
        <v>17</v>
      </c>
      <c r="AU87" s="404"/>
      <c r="AV87" s="404"/>
      <c r="AW87" s="404"/>
      <c r="AX87" s="404"/>
      <c r="AY87" s="770"/>
      <c r="BE87" s="404"/>
      <c r="BF87" s="404"/>
      <c r="BG87" s="404"/>
      <c r="BH87" s="404"/>
      <c r="BI87" s="404"/>
      <c r="BJ87" s="404"/>
      <c r="BK87" s="404"/>
      <c r="BL87" s="404"/>
      <c r="BM87" s="404"/>
      <c r="BN87" s="404"/>
    </row>
    <row r="88" ht="39.75" customHeight="1">
      <c r="A88" s="781" t="s">
        <v>240</v>
      </c>
      <c r="B88" s="782" t="s">
        <v>241</v>
      </c>
      <c r="C88" s="783"/>
      <c r="D88" s="783"/>
      <c r="E88" s="785"/>
      <c r="F88" s="785"/>
      <c r="G88" s="785"/>
      <c r="H88" s="785"/>
      <c r="I88" s="785"/>
      <c r="J88" s="785"/>
      <c r="K88" s="785"/>
      <c r="L88" s="785"/>
      <c r="M88" s="785"/>
      <c r="N88" s="785"/>
      <c r="O88" s="785"/>
      <c r="P88" s="785"/>
      <c r="Q88" s="785"/>
      <c r="R88" s="785"/>
      <c r="S88" s="785"/>
      <c r="T88" s="785"/>
      <c r="U88" s="785"/>
      <c r="V88" s="785"/>
      <c r="W88" s="785"/>
      <c r="X88" s="785"/>
      <c r="Y88" s="785"/>
      <c r="Z88" s="785"/>
      <c r="AA88" s="785"/>
      <c r="AB88" s="785"/>
      <c r="AC88" s="785"/>
      <c r="AD88" s="785"/>
      <c r="AE88" s="785"/>
      <c r="AF88" s="785"/>
      <c r="AG88" s="785"/>
      <c r="AH88" s="785"/>
      <c r="AI88" s="785"/>
      <c r="AJ88" s="786"/>
      <c r="AK88" s="785"/>
      <c r="AL88" s="786"/>
      <c r="AM88" s="785"/>
      <c r="AN88" s="786"/>
      <c r="AO88" s="785"/>
      <c r="AP88" s="785"/>
      <c r="AQ88" s="785"/>
      <c r="AR88" s="786"/>
      <c r="AS88" s="786"/>
      <c r="AT88" s="787"/>
      <c r="AY88" s="770"/>
    </row>
    <row r="89" ht="39.75" customHeight="1">
      <c r="A89" s="793" t="s">
        <v>242</v>
      </c>
      <c r="B89" s="412" t="s">
        <v>243</v>
      </c>
      <c r="C89" s="388"/>
      <c r="D89" s="387"/>
      <c r="E89" s="389"/>
      <c r="F89" s="389"/>
      <c r="G89" s="389"/>
      <c r="H89" s="389"/>
      <c r="I89" s="389" t="s">
        <v>18</v>
      </c>
      <c r="J89" s="389"/>
      <c r="K89" s="389" t="s">
        <v>18</v>
      </c>
      <c r="L89" s="389"/>
      <c r="M89" s="389" t="s">
        <v>18</v>
      </c>
      <c r="N89" s="389"/>
      <c r="O89" s="389" t="s">
        <v>28</v>
      </c>
      <c r="P89" s="389"/>
      <c r="Q89" s="389" t="s">
        <v>18</v>
      </c>
      <c r="R89" s="389"/>
      <c r="S89" s="389" t="s">
        <v>18</v>
      </c>
      <c r="T89" s="389"/>
      <c r="U89" s="389" t="s">
        <v>28</v>
      </c>
      <c r="V89" s="389"/>
      <c r="W89" s="389" t="s">
        <v>28</v>
      </c>
      <c r="X89" s="389"/>
      <c r="Y89" s="387" t="s">
        <v>28</v>
      </c>
      <c r="Z89" s="389"/>
      <c r="AA89" s="387" t="s">
        <v>28</v>
      </c>
      <c r="AB89" s="389"/>
      <c r="AC89" s="387" t="s">
        <v>28</v>
      </c>
      <c r="AD89" s="389"/>
      <c r="AE89" s="387" t="s">
        <v>28</v>
      </c>
      <c r="AF89" s="389"/>
      <c r="AG89" s="387" t="s">
        <v>28</v>
      </c>
      <c r="AH89" s="389"/>
      <c r="AI89" s="387" t="s">
        <v>28</v>
      </c>
      <c r="AJ89" s="394"/>
      <c r="AK89" s="387" t="s">
        <v>28</v>
      </c>
      <c r="AL89" s="394"/>
      <c r="AM89" s="387" t="s">
        <v>28</v>
      </c>
      <c r="AN89" s="394"/>
      <c r="AO89" s="389" t="s">
        <v>26</v>
      </c>
      <c r="AP89" s="389"/>
      <c r="AQ89" s="389"/>
      <c r="AR89" s="394"/>
      <c r="AS89" s="391">
        <f t="shared" ref="AS89:AS90" si="21">COUNTIF(C89:AR89,"&gt;=R")</f>
        <v>17</v>
      </c>
      <c r="AT89" s="392">
        <f t="shared" ref="AT89:AT90" si="22">AS89</f>
        <v>17</v>
      </c>
      <c r="AY89" s="770"/>
    </row>
    <row r="90" ht="39.75" customHeight="1">
      <c r="A90" s="793" t="s">
        <v>244</v>
      </c>
      <c r="B90" s="412" t="s">
        <v>245</v>
      </c>
      <c r="C90" s="387"/>
      <c r="D90" s="387"/>
      <c r="E90" s="394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94"/>
      <c r="AJ90" s="394"/>
      <c r="AK90" s="394"/>
      <c r="AL90" s="394"/>
      <c r="AM90" s="387"/>
      <c r="AN90" s="394"/>
      <c r="AO90" s="389" t="s">
        <v>26</v>
      </c>
      <c r="AP90" s="389"/>
      <c r="AQ90" s="389"/>
      <c r="AR90" s="394"/>
      <c r="AS90" s="391">
        <f t="shared" si="21"/>
        <v>1</v>
      </c>
      <c r="AT90" s="392">
        <f t="shared" si="22"/>
        <v>1</v>
      </c>
      <c r="AY90" s="770"/>
    </row>
    <row r="91" ht="39.75" customHeight="1">
      <c r="A91" s="781" t="s">
        <v>246</v>
      </c>
      <c r="B91" s="782" t="s">
        <v>247</v>
      </c>
      <c r="C91" s="783"/>
      <c r="D91" s="783"/>
      <c r="E91" s="786"/>
      <c r="F91" s="785"/>
      <c r="G91" s="785"/>
      <c r="H91" s="785"/>
      <c r="I91" s="785"/>
      <c r="J91" s="785"/>
      <c r="K91" s="785"/>
      <c r="L91" s="785"/>
      <c r="M91" s="786"/>
      <c r="N91" s="785"/>
      <c r="O91" s="785"/>
      <c r="P91" s="785"/>
      <c r="Q91" s="785"/>
      <c r="R91" s="785"/>
      <c r="S91" s="785"/>
      <c r="T91" s="785"/>
      <c r="U91" s="785"/>
      <c r="V91" s="785"/>
      <c r="W91" s="785"/>
      <c r="X91" s="785"/>
      <c r="Y91" s="785"/>
      <c r="Z91" s="785"/>
      <c r="AA91" s="785"/>
      <c r="AB91" s="785"/>
      <c r="AC91" s="785"/>
      <c r="AD91" s="785"/>
      <c r="AE91" s="785"/>
      <c r="AF91" s="785"/>
      <c r="AG91" s="785"/>
      <c r="AH91" s="785"/>
      <c r="AI91" s="785"/>
      <c r="AJ91" s="786"/>
      <c r="AK91" s="785"/>
      <c r="AL91" s="786"/>
      <c r="AM91" s="785"/>
      <c r="AN91" s="786"/>
      <c r="AO91" s="785"/>
      <c r="AP91" s="785"/>
      <c r="AQ91" s="785"/>
      <c r="AR91" s="786"/>
      <c r="AS91" s="786"/>
      <c r="AT91" s="787"/>
      <c r="AY91" s="770"/>
    </row>
    <row r="92" ht="39.75" customHeight="1">
      <c r="A92" s="793" t="s">
        <v>248</v>
      </c>
      <c r="B92" s="412" t="s">
        <v>249</v>
      </c>
      <c r="C92" s="388"/>
      <c r="D92" s="387"/>
      <c r="E92" s="389"/>
      <c r="F92" s="389"/>
      <c r="G92" s="389"/>
      <c r="H92" s="389"/>
      <c r="I92" s="389" t="s">
        <v>76</v>
      </c>
      <c r="J92" s="389"/>
      <c r="K92" s="389" t="s">
        <v>76</v>
      </c>
      <c r="L92" s="389"/>
      <c r="M92" s="389" t="s">
        <v>76</v>
      </c>
      <c r="N92" s="389"/>
      <c r="O92" s="389" t="s">
        <v>76</v>
      </c>
      <c r="P92" s="389"/>
      <c r="Q92" s="389" t="s">
        <v>76</v>
      </c>
      <c r="R92" s="389"/>
      <c r="S92" s="389" t="s">
        <v>76</v>
      </c>
      <c r="T92" s="389"/>
      <c r="U92" s="389" t="s">
        <v>18</v>
      </c>
      <c r="V92" s="389"/>
      <c r="W92" s="389" t="s">
        <v>18</v>
      </c>
      <c r="X92" s="389"/>
      <c r="Y92" s="387" t="s">
        <v>18</v>
      </c>
      <c r="Z92" s="389"/>
      <c r="AA92" s="387" t="s">
        <v>18</v>
      </c>
      <c r="AB92" s="389"/>
      <c r="AC92" s="387" t="s">
        <v>18</v>
      </c>
      <c r="AD92" s="389"/>
      <c r="AE92" s="387" t="s">
        <v>18</v>
      </c>
      <c r="AF92" s="389"/>
      <c r="AG92" s="387" t="s">
        <v>18</v>
      </c>
      <c r="AH92" s="389"/>
      <c r="AI92" s="387" t="s">
        <v>18</v>
      </c>
      <c r="AJ92" s="394"/>
      <c r="AK92" s="387" t="s">
        <v>18</v>
      </c>
      <c r="AL92" s="394"/>
      <c r="AM92" s="394" t="s">
        <v>18</v>
      </c>
      <c r="AN92" s="394"/>
      <c r="AO92" s="394" t="s">
        <v>26</v>
      </c>
      <c r="AP92" s="394"/>
      <c r="AQ92" s="394" t="s">
        <v>18</v>
      </c>
      <c r="AR92" s="394"/>
      <c r="AS92" s="391">
        <f t="shared" ref="AS92:AS93" si="23">COUNTIF(C92:AR92,"&gt;=R")</f>
        <v>18</v>
      </c>
      <c r="AT92" s="392">
        <f t="shared" ref="AT92:AT93" si="24">AS92</f>
        <v>18</v>
      </c>
      <c r="AY92" s="770"/>
    </row>
    <row r="93" ht="39.75" customHeight="1">
      <c r="A93" s="793" t="s">
        <v>250</v>
      </c>
      <c r="B93" s="412" t="s">
        <v>251</v>
      </c>
      <c r="C93" s="388"/>
      <c r="D93" s="387"/>
      <c r="E93" s="389"/>
      <c r="F93" s="389"/>
      <c r="G93" s="389"/>
      <c r="H93" s="389"/>
      <c r="I93" s="389" t="s">
        <v>76</v>
      </c>
      <c r="J93" s="389"/>
      <c r="K93" s="389" t="s">
        <v>76</v>
      </c>
      <c r="L93" s="389"/>
      <c r="M93" s="389" t="s">
        <v>76</v>
      </c>
      <c r="N93" s="389"/>
      <c r="O93" s="389" t="s">
        <v>76</v>
      </c>
      <c r="P93" s="389"/>
      <c r="Q93" s="389" t="s">
        <v>76</v>
      </c>
      <c r="R93" s="389"/>
      <c r="S93" s="389" t="s">
        <v>76</v>
      </c>
      <c r="T93" s="389"/>
      <c r="U93" s="389" t="s">
        <v>68</v>
      </c>
      <c r="V93" s="389"/>
      <c r="W93" s="389" t="s">
        <v>68</v>
      </c>
      <c r="X93" s="389"/>
      <c r="Y93" s="387" t="s">
        <v>68</v>
      </c>
      <c r="Z93" s="389"/>
      <c r="AA93" s="387" t="s">
        <v>68</v>
      </c>
      <c r="AB93" s="389"/>
      <c r="AC93" s="387" t="s">
        <v>68</v>
      </c>
      <c r="AD93" s="389"/>
      <c r="AE93" s="387" t="s">
        <v>68</v>
      </c>
      <c r="AF93" s="389"/>
      <c r="AG93" s="387" t="s">
        <v>68</v>
      </c>
      <c r="AH93" s="389"/>
      <c r="AI93" s="387" t="s">
        <v>68</v>
      </c>
      <c r="AJ93" s="394"/>
      <c r="AK93" s="387" t="s">
        <v>68</v>
      </c>
      <c r="AL93" s="394"/>
      <c r="AM93" s="387" t="s">
        <v>68</v>
      </c>
      <c r="AN93" s="394"/>
      <c r="AO93" s="389" t="s">
        <v>26</v>
      </c>
      <c r="AP93" s="389"/>
      <c r="AQ93" s="389" t="s">
        <v>68</v>
      </c>
      <c r="AR93" s="394"/>
      <c r="AS93" s="391">
        <f t="shared" si="23"/>
        <v>18</v>
      </c>
      <c r="AT93" s="392">
        <f t="shared" si="24"/>
        <v>18</v>
      </c>
      <c r="AY93" s="770"/>
    </row>
    <row r="94" ht="39.75" customHeight="1">
      <c r="A94" s="781" t="s">
        <v>252</v>
      </c>
      <c r="B94" s="782" t="s">
        <v>253</v>
      </c>
      <c r="C94" s="783"/>
      <c r="D94" s="783"/>
      <c r="E94" s="786"/>
      <c r="F94" s="785"/>
      <c r="G94" s="786"/>
      <c r="H94" s="785"/>
      <c r="I94" s="786"/>
      <c r="J94" s="785"/>
      <c r="K94" s="785"/>
      <c r="L94" s="785"/>
      <c r="M94" s="785"/>
      <c r="N94" s="785"/>
      <c r="O94" s="785"/>
      <c r="P94" s="785"/>
      <c r="Q94" s="785"/>
      <c r="R94" s="785"/>
      <c r="S94" s="785"/>
      <c r="T94" s="785"/>
      <c r="U94" s="785"/>
      <c r="V94" s="785"/>
      <c r="W94" s="785"/>
      <c r="X94" s="785"/>
      <c r="Y94" s="785"/>
      <c r="Z94" s="785"/>
      <c r="AA94" s="785"/>
      <c r="AB94" s="785"/>
      <c r="AC94" s="785"/>
      <c r="AD94" s="785"/>
      <c r="AE94" s="785"/>
      <c r="AF94" s="785"/>
      <c r="AG94" s="785"/>
      <c r="AH94" s="785"/>
      <c r="AI94" s="786"/>
      <c r="AJ94" s="786"/>
      <c r="AK94" s="786"/>
      <c r="AL94" s="786"/>
      <c r="AM94" s="786"/>
      <c r="AN94" s="786"/>
      <c r="AO94" s="786"/>
      <c r="AP94" s="786"/>
      <c r="AQ94" s="786"/>
      <c r="AR94" s="786"/>
      <c r="AS94" s="786"/>
      <c r="AT94" s="787"/>
      <c r="AU94" s="404"/>
      <c r="AV94" s="404"/>
      <c r="AW94" s="404"/>
      <c r="AX94" s="404"/>
      <c r="AY94" s="770"/>
      <c r="BE94" s="404"/>
      <c r="BF94" s="404"/>
      <c r="BG94" s="404"/>
      <c r="BH94" s="404"/>
      <c r="BI94" s="404"/>
      <c r="BJ94" s="404"/>
      <c r="BK94" s="404"/>
      <c r="BL94" s="404"/>
      <c r="BM94" s="404"/>
      <c r="BN94" s="404"/>
    </row>
    <row r="95" ht="39.75" customHeight="1">
      <c r="A95" s="778" t="s">
        <v>254</v>
      </c>
      <c r="B95" s="386" t="s">
        <v>255</v>
      </c>
      <c r="C95" s="387"/>
      <c r="D95" s="387"/>
      <c r="E95" s="387"/>
      <c r="F95" s="389"/>
      <c r="G95" s="387"/>
      <c r="H95" s="389"/>
      <c r="I95" s="387" t="s">
        <v>28</v>
      </c>
      <c r="J95" s="389"/>
      <c r="K95" s="387" t="s">
        <v>28</v>
      </c>
      <c r="L95" s="389"/>
      <c r="M95" s="387" t="s">
        <v>28</v>
      </c>
      <c r="N95" s="389"/>
      <c r="O95" s="387" t="s">
        <v>28</v>
      </c>
      <c r="P95" s="389"/>
      <c r="Q95" s="387" t="s">
        <v>28</v>
      </c>
      <c r="R95" s="389"/>
      <c r="S95" s="387" t="s">
        <v>28</v>
      </c>
      <c r="T95" s="389"/>
      <c r="U95" s="387" t="s">
        <v>28</v>
      </c>
      <c r="V95" s="389"/>
      <c r="W95" s="387" t="s">
        <v>28</v>
      </c>
      <c r="X95" s="389"/>
      <c r="Y95" s="387" t="s">
        <v>28</v>
      </c>
      <c r="Z95" s="389"/>
      <c r="AA95" s="387" t="s">
        <v>28</v>
      </c>
      <c r="AB95" s="389"/>
      <c r="AC95" s="387" t="s">
        <v>28</v>
      </c>
      <c r="AD95" s="389"/>
      <c r="AE95" s="387" t="s">
        <v>28</v>
      </c>
      <c r="AF95" s="389"/>
      <c r="AG95" s="387" t="s">
        <v>28</v>
      </c>
      <c r="AH95" s="389"/>
      <c r="AI95" s="387" t="s">
        <v>28</v>
      </c>
      <c r="AJ95" s="394"/>
      <c r="AK95" s="387" t="s">
        <v>68</v>
      </c>
      <c r="AL95" s="394"/>
      <c r="AM95" s="387" t="s">
        <v>68</v>
      </c>
      <c r="AN95" s="394"/>
      <c r="AO95" s="389" t="s">
        <v>26</v>
      </c>
      <c r="AP95" s="389"/>
      <c r="AQ95" s="389" t="s">
        <v>68</v>
      </c>
      <c r="AR95" s="394"/>
      <c r="AS95" s="391">
        <f t="shared" ref="AS95:AS98" si="25">COUNTIF(C95:AR95,"&gt;=R")</f>
        <v>18</v>
      </c>
      <c r="AT95" s="392">
        <f t="shared" ref="AT95:AT98" si="26">AS95</f>
        <v>18</v>
      </c>
      <c r="AU95" s="404"/>
      <c r="AV95" s="404"/>
      <c r="AW95" s="404"/>
      <c r="AX95" s="404"/>
      <c r="AY95" s="770"/>
      <c r="BE95" s="404"/>
      <c r="BF95" s="404"/>
      <c r="BG95" s="404"/>
      <c r="BH95" s="404"/>
      <c r="BI95" s="404"/>
      <c r="BJ95" s="404"/>
      <c r="BK95" s="404"/>
      <c r="BL95" s="404"/>
      <c r="BM95" s="404"/>
      <c r="BN95" s="404"/>
    </row>
    <row r="96" ht="39.75" customHeight="1">
      <c r="A96" s="778" t="s">
        <v>256</v>
      </c>
      <c r="B96" s="386" t="s">
        <v>257</v>
      </c>
      <c r="C96" s="387"/>
      <c r="D96" s="388"/>
      <c r="E96" s="387"/>
      <c r="F96" s="389"/>
      <c r="G96" s="387"/>
      <c r="H96" s="389"/>
      <c r="I96" s="387" t="s">
        <v>28</v>
      </c>
      <c r="J96" s="389"/>
      <c r="K96" s="387" t="s">
        <v>28</v>
      </c>
      <c r="L96" s="389"/>
      <c r="M96" s="387" t="s">
        <v>28</v>
      </c>
      <c r="N96" s="389"/>
      <c r="O96" s="387" t="s">
        <v>28</v>
      </c>
      <c r="P96" s="389"/>
      <c r="Q96" s="387" t="s">
        <v>28</v>
      </c>
      <c r="R96" s="389"/>
      <c r="S96" s="387" t="s">
        <v>28</v>
      </c>
      <c r="T96" s="389"/>
      <c r="U96" s="387" t="s">
        <v>28</v>
      </c>
      <c r="V96" s="389"/>
      <c r="W96" s="387" t="s">
        <v>28</v>
      </c>
      <c r="X96" s="389"/>
      <c r="Y96" s="387" t="s">
        <v>28</v>
      </c>
      <c r="Z96" s="389"/>
      <c r="AA96" s="387" t="s">
        <v>28</v>
      </c>
      <c r="AB96" s="389"/>
      <c r="AC96" s="387" t="s">
        <v>28</v>
      </c>
      <c r="AD96" s="389"/>
      <c r="AE96" s="387" t="s">
        <v>28</v>
      </c>
      <c r="AF96" s="389"/>
      <c r="AG96" s="387" t="s">
        <v>28</v>
      </c>
      <c r="AH96" s="389"/>
      <c r="AI96" s="387" t="s">
        <v>28</v>
      </c>
      <c r="AJ96" s="394"/>
      <c r="AK96" s="387"/>
      <c r="AL96" s="394"/>
      <c r="AM96" s="387"/>
      <c r="AN96" s="394"/>
      <c r="AO96" s="389" t="s">
        <v>26</v>
      </c>
      <c r="AP96" s="389"/>
      <c r="AQ96" s="389"/>
      <c r="AR96" s="394"/>
      <c r="AS96" s="391">
        <f t="shared" si="25"/>
        <v>15</v>
      </c>
      <c r="AT96" s="392">
        <f t="shared" si="26"/>
        <v>15</v>
      </c>
      <c r="AY96" s="770"/>
    </row>
    <row r="97" ht="39.75" customHeight="1">
      <c r="A97" s="778" t="s">
        <v>258</v>
      </c>
      <c r="B97" s="386" t="s">
        <v>259</v>
      </c>
      <c r="C97" s="387"/>
      <c r="D97" s="388"/>
      <c r="E97" s="387"/>
      <c r="F97" s="389"/>
      <c r="G97" s="387"/>
      <c r="H97" s="389"/>
      <c r="I97" s="387" t="s">
        <v>28</v>
      </c>
      <c r="J97" s="389"/>
      <c r="K97" s="387" t="s">
        <v>28</v>
      </c>
      <c r="L97" s="389"/>
      <c r="M97" s="387" t="s">
        <v>28</v>
      </c>
      <c r="N97" s="389"/>
      <c r="O97" s="387" t="s">
        <v>28</v>
      </c>
      <c r="P97" s="389"/>
      <c r="Q97" s="387" t="s">
        <v>28</v>
      </c>
      <c r="R97" s="389"/>
      <c r="S97" s="387" t="s">
        <v>28</v>
      </c>
      <c r="T97" s="389"/>
      <c r="U97" s="387" t="s">
        <v>28</v>
      </c>
      <c r="V97" s="389"/>
      <c r="W97" s="387" t="s">
        <v>28</v>
      </c>
      <c r="X97" s="389"/>
      <c r="Y97" s="387" t="s">
        <v>28</v>
      </c>
      <c r="Z97" s="389"/>
      <c r="AA97" s="387" t="s">
        <v>28</v>
      </c>
      <c r="AB97" s="389"/>
      <c r="AC97" s="387" t="s">
        <v>28</v>
      </c>
      <c r="AD97" s="389"/>
      <c r="AE97" s="387" t="s">
        <v>28</v>
      </c>
      <c r="AF97" s="389"/>
      <c r="AG97" s="387" t="s">
        <v>28</v>
      </c>
      <c r="AH97" s="389"/>
      <c r="AI97" s="387" t="s">
        <v>28</v>
      </c>
      <c r="AJ97" s="394"/>
      <c r="AK97" s="387"/>
      <c r="AL97" s="394"/>
      <c r="AM97" s="387"/>
      <c r="AN97" s="394"/>
      <c r="AO97" s="389" t="s">
        <v>26</v>
      </c>
      <c r="AP97" s="389"/>
      <c r="AQ97" s="389"/>
      <c r="AR97" s="394"/>
      <c r="AS97" s="391">
        <f t="shared" si="25"/>
        <v>15</v>
      </c>
      <c r="AT97" s="392">
        <f t="shared" si="26"/>
        <v>15</v>
      </c>
      <c r="AU97" s="404"/>
      <c r="AV97" s="404"/>
      <c r="AW97" s="404"/>
      <c r="AX97" s="404"/>
      <c r="AY97" s="770"/>
      <c r="BE97" s="404"/>
      <c r="BF97" s="404"/>
      <c r="BG97" s="404"/>
      <c r="BH97" s="404"/>
      <c r="BI97" s="404"/>
      <c r="BJ97" s="404"/>
      <c r="BK97" s="404"/>
      <c r="BL97" s="404"/>
      <c r="BM97" s="404"/>
      <c r="BN97" s="404"/>
    </row>
    <row r="98" ht="39.75" customHeight="1">
      <c r="A98" s="778" t="s">
        <v>260</v>
      </c>
      <c r="B98" s="386" t="s">
        <v>261</v>
      </c>
      <c r="C98" s="387"/>
      <c r="D98" s="388"/>
      <c r="E98" s="387"/>
      <c r="F98" s="389"/>
      <c r="G98" s="387"/>
      <c r="H98" s="389"/>
      <c r="I98" s="387" t="s">
        <v>28</v>
      </c>
      <c r="J98" s="389"/>
      <c r="K98" s="387" t="s">
        <v>28</v>
      </c>
      <c r="L98" s="389"/>
      <c r="M98" s="387" t="s">
        <v>28</v>
      </c>
      <c r="N98" s="389"/>
      <c r="O98" s="387" t="s">
        <v>28</v>
      </c>
      <c r="P98" s="389"/>
      <c r="Q98" s="387" t="s">
        <v>28</v>
      </c>
      <c r="R98" s="389"/>
      <c r="S98" s="387" t="s">
        <v>28</v>
      </c>
      <c r="T98" s="389"/>
      <c r="U98" s="387" t="s">
        <v>28</v>
      </c>
      <c r="V98" s="389"/>
      <c r="W98" s="387" t="s">
        <v>28</v>
      </c>
      <c r="X98" s="389"/>
      <c r="Y98" s="387" t="s">
        <v>28</v>
      </c>
      <c r="Z98" s="389"/>
      <c r="AA98" s="387" t="s">
        <v>28</v>
      </c>
      <c r="AB98" s="389"/>
      <c r="AC98" s="387" t="s">
        <v>28</v>
      </c>
      <c r="AD98" s="389"/>
      <c r="AE98" s="387" t="s">
        <v>28</v>
      </c>
      <c r="AF98" s="389"/>
      <c r="AG98" s="387" t="s">
        <v>28</v>
      </c>
      <c r="AH98" s="389"/>
      <c r="AI98" s="387" t="s">
        <v>28</v>
      </c>
      <c r="AJ98" s="394"/>
      <c r="AK98" s="387"/>
      <c r="AL98" s="394"/>
      <c r="AM98" s="387"/>
      <c r="AN98" s="394"/>
      <c r="AO98" s="389" t="s">
        <v>26</v>
      </c>
      <c r="AP98" s="389"/>
      <c r="AQ98" s="389" t="s">
        <v>68</v>
      </c>
      <c r="AR98" s="394"/>
      <c r="AS98" s="391">
        <f t="shared" si="25"/>
        <v>16</v>
      </c>
      <c r="AT98" s="392">
        <f t="shared" si="26"/>
        <v>16</v>
      </c>
      <c r="AU98" s="404"/>
      <c r="AV98" s="404"/>
      <c r="AW98" s="404"/>
      <c r="AX98" s="404"/>
      <c r="AY98" s="770"/>
      <c r="BE98" s="404"/>
      <c r="BF98" s="404"/>
      <c r="BG98" s="404"/>
      <c r="BH98" s="404"/>
      <c r="BI98" s="404"/>
      <c r="BJ98" s="404"/>
      <c r="BK98" s="404"/>
      <c r="BL98" s="404"/>
      <c r="BM98" s="404"/>
      <c r="BN98" s="404"/>
    </row>
    <row r="99" ht="39.75" customHeight="1">
      <c r="A99" s="781" t="s">
        <v>262</v>
      </c>
      <c r="B99" s="782" t="s">
        <v>263</v>
      </c>
      <c r="C99" s="783"/>
      <c r="D99" s="784"/>
      <c r="E99" s="785"/>
      <c r="F99" s="785"/>
      <c r="G99" s="786"/>
      <c r="H99" s="785"/>
      <c r="I99" s="786"/>
      <c r="J99" s="785"/>
      <c r="K99" s="786"/>
      <c r="L99" s="785"/>
      <c r="M99" s="785"/>
      <c r="N99" s="785"/>
      <c r="O99" s="785"/>
      <c r="P99" s="785"/>
      <c r="Q99" s="785"/>
      <c r="R99" s="785"/>
      <c r="S99" s="785"/>
      <c r="T99" s="785"/>
      <c r="U99" s="786"/>
      <c r="V99" s="785"/>
      <c r="W99" s="786"/>
      <c r="X99" s="785"/>
      <c r="Y99" s="786"/>
      <c r="Z99" s="785"/>
      <c r="AA99" s="786"/>
      <c r="AB99" s="785"/>
      <c r="AC99" s="785"/>
      <c r="AD99" s="785"/>
      <c r="AE99" s="785"/>
      <c r="AF99" s="785"/>
      <c r="AG99" s="785"/>
      <c r="AH99" s="785"/>
      <c r="AI99" s="785"/>
      <c r="AJ99" s="786"/>
      <c r="AK99" s="785"/>
      <c r="AL99" s="786"/>
      <c r="AM99" s="785"/>
      <c r="AN99" s="786"/>
      <c r="AO99" s="785"/>
      <c r="AP99" s="785"/>
      <c r="AQ99" s="785"/>
      <c r="AR99" s="786"/>
      <c r="AS99" s="786"/>
      <c r="AT99" s="787"/>
      <c r="AY99" s="770"/>
    </row>
    <row r="100" ht="39.75" customHeight="1">
      <c r="A100" s="793" t="s">
        <v>264</v>
      </c>
      <c r="B100" s="412" t="s">
        <v>265</v>
      </c>
      <c r="C100" s="387"/>
      <c r="D100" s="388"/>
      <c r="E100" s="389"/>
      <c r="F100" s="389"/>
      <c r="G100" s="389"/>
      <c r="H100" s="389"/>
      <c r="I100" s="389" t="s">
        <v>26</v>
      </c>
      <c r="J100" s="389"/>
      <c r="K100" s="389" t="s">
        <v>26</v>
      </c>
      <c r="L100" s="389"/>
      <c r="M100" s="390" t="s">
        <v>16</v>
      </c>
      <c r="N100" s="389"/>
      <c r="O100" s="390" t="s">
        <v>16</v>
      </c>
      <c r="P100" s="389"/>
      <c r="Q100" s="390" t="s">
        <v>16</v>
      </c>
      <c r="R100" s="389"/>
      <c r="S100" s="390" t="s">
        <v>16</v>
      </c>
      <c r="T100" s="389"/>
      <c r="U100" s="390" t="s">
        <v>16</v>
      </c>
      <c r="V100" s="389"/>
      <c r="W100" s="390" t="s">
        <v>16</v>
      </c>
      <c r="X100" s="389"/>
      <c r="Y100" s="390" t="s">
        <v>16</v>
      </c>
      <c r="Z100" s="389"/>
      <c r="AA100" s="390" t="s">
        <v>16</v>
      </c>
      <c r="AB100" s="389"/>
      <c r="AC100" s="390" t="s">
        <v>16</v>
      </c>
      <c r="AD100" s="389"/>
      <c r="AE100" s="390" t="s">
        <v>16</v>
      </c>
      <c r="AF100" s="389"/>
      <c r="AG100" s="403" t="s">
        <v>409</v>
      </c>
      <c r="AH100" s="389"/>
      <c r="AI100" s="403" t="s">
        <v>409</v>
      </c>
      <c r="AJ100" s="394"/>
      <c r="AK100" s="403" t="s">
        <v>409</v>
      </c>
      <c r="AL100" s="394"/>
      <c r="AM100" s="403" t="s">
        <v>409</v>
      </c>
      <c r="AN100" s="394"/>
      <c r="AO100" s="403" t="s">
        <v>409</v>
      </c>
      <c r="AP100" s="394"/>
      <c r="AQ100" s="394" t="s">
        <v>76</v>
      </c>
      <c r="AR100" s="394"/>
      <c r="AS100" s="391">
        <f>COUNTIF(C100:AR100,"&gt;=R")</f>
        <v>18</v>
      </c>
      <c r="AT100" s="392">
        <f>AS100</f>
        <v>18</v>
      </c>
      <c r="AY100" s="770"/>
    </row>
    <row r="101" ht="39.75" customHeight="1">
      <c r="A101" s="800" t="s">
        <v>266</v>
      </c>
      <c r="B101" s="782" t="s">
        <v>267</v>
      </c>
      <c r="C101" s="783"/>
      <c r="D101" s="784"/>
      <c r="E101" s="785"/>
      <c r="F101" s="785"/>
      <c r="G101" s="785"/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5"/>
      <c r="AB101" s="785"/>
      <c r="AC101" s="785"/>
      <c r="AD101" s="785"/>
      <c r="AE101" s="785"/>
      <c r="AF101" s="785"/>
      <c r="AG101" s="785"/>
      <c r="AH101" s="785"/>
      <c r="AI101" s="786"/>
      <c r="AJ101" s="786"/>
      <c r="AK101" s="786"/>
      <c r="AL101" s="786"/>
      <c r="AM101" s="786"/>
      <c r="AN101" s="786"/>
      <c r="AO101" s="786"/>
      <c r="AP101" s="786"/>
      <c r="AQ101" s="786"/>
      <c r="AR101" s="786"/>
      <c r="AS101" s="786"/>
      <c r="AT101" s="787"/>
      <c r="AY101" s="770"/>
    </row>
    <row r="102" ht="39.75" customHeight="1">
      <c r="A102" s="778" t="s">
        <v>268</v>
      </c>
      <c r="B102" s="386" t="s">
        <v>269</v>
      </c>
      <c r="C102" s="388"/>
      <c r="D102" s="388"/>
      <c r="E102" s="389"/>
      <c r="F102" s="389"/>
      <c r="G102" s="389"/>
      <c r="H102" s="389"/>
      <c r="I102" s="389" t="s">
        <v>93</v>
      </c>
      <c r="J102" s="389"/>
      <c r="K102" s="389" t="s">
        <v>93</v>
      </c>
      <c r="L102" s="389"/>
      <c r="M102" s="389" t="s">
        <v>93</v>
      </c>
      <c r="N102" s="389"/>
      <c r="O102" s="389" t="s">
        <v>93</v>
      </c>
      <c r="P102" s="389"/>
      <c r="Q102" s="389" t="s">
        <v>28</v>
      </c>
      <c r="R102" s="389"/>
      <c r="S102" s="389" t="s">
        <v>28</v>
      </c>
      <c r="T102" s="389"/>
      <c r="U102" s="389" t="s">
        <v>38</v>
      </c>
      <c r="V102" s="389"/>
      <c r="W102" s="389" t="s">
        <v>38</v>
      </c>
      <c r="X102" s="389"/>
      <c r="Y102" s="389" t="s">
        <v>38</v>
      </c>
      <c r="Z102" s="389"/>
      <c r="AA102" s="389" t="s">
        <v>38</v>
      </c>
      <c r="AB102" s="389"/>
      <c r="AC102" s="389" t="s">
        <v>38</v>
      </c>
      <c r="AD102" s="389"/>
      <c r="AE102" s="389" t="s">
        <v>38</v>
      </c>
      <c r="AF102" s="389"/>
      <c r="AG102" s="389" t="s">
        <v>38</v>
      </c>
      <c r="AH102" s="389"/>
      <c r="AI102" s="389" t="s">
        <v>38</v>
      </c>
      <c r="AJ102" s="394"/>
      <c r="AK102" s="394" t="s">
        <v>38</v>
      </c>
      <c r="AL102" s="394"/>
      <c r="AM102" s="394" t="s">
        <v>38</v>
      </c>
      <c r="AN102" s="394"/>
      <c r="AO102" s="389" t="s">
        <v>55</v>
      </c>
      <c r="AP102" s="389"/>
      <c r="AQ102" s="389"/>
      <c r="AR102" s="394"/>
      <c r="AS102" s="391">
        <f t="shared" ref="AS102:AS103" si="27">COUNTIF(C102:AR102,"&gt;=R")</f>
        <v>17</v>
      </c>
      <c r="AT102" s="392">
        <f t="shared" ref="AT102:AT103" si="28">AS102</f>
        <v>17</v>
      </c>
      <c r="AY102" s="770"/>
    </row>
    <row r="103" ht="39.75" customHeight="1">
      <c r="A103" s="778" t="s">
        <v>270</v>
      </c>
      <c r="B103" s="386" t="s">
        <v>271</v>
      </c>
      <c r="C103" s="388"/>
      <c r="D103" s="388"/>
      <c r="E103" s="389"/>
      <c r="F103" s="389"/>
      <c r="G103" s="389"/>
      <c r="H103" s="389"/>
      <c r="I103" s="389" t="s">
        <v>28</v>
      </c>
      <c r="J103" s="389"/>
      <c r="K103" s="389" t="s">
        <v>93</v>
      </c>
      <c r="L103" s="389"/>
      <c r="M103" s="389" t="s">
        <v>28</v>
      </c>
      <c r="N103" s="389"/>
      <c r="O103" s="389" t="s">
        <v>28</v>
      </c>
      <c r="P103" s="389"/>
      <c r="Q103" s="389" t="s">
        <v>93</v>
      </c>
      <c r="R103" s="389"/>
      <c r="S103" s="389" t="s">
        <v>93</v>
      </c>
      <c r="T103" s="389"/>
      <c r="U103" s="389" t="s">
        <v>38</v>
      </c>
      <c r="V103" s="389"/>
      <c r="W103" s="389" t="s">
        <v>38</v>
      </c>
      <c r="X103" s="389"/>
      <c r="Y103" s="389" t="s">
        <v>38</v>
      </c>
      <c r="Z103" s="389"/>
      <c r="AA103" s="389" t="s">
        <v>38</v>
      </c>
      <c r="AB103" s="389"/>
      <c r="AC103" s="389" t="s">
        <v>38</v>
      </c>
      <c r="AD103" s="389"/>
      <c r="AE103" s="389" t="s">
        <v>38</v>
      </c>
      <c r="AF103" s="389"/>
      <c r="AG103" s="389" t="s">
        <v>38</v>
      </c>
      <c r="AH103" s="389"/>
      <c r="AI103" s="389" t="s">
        <v>38</v>
      </c>
      <c r="AJ103" s="394"/>
      <c r="AK103" s="394" t="s">
        <v>38</v>
      </c>
      <c r="AL103" s="394"/>
      <c r="AM103" s="394" t="s">
        <v>38</v>
      </c>
      <c r="AN103" s="394"/>
      <c r="AO103" s="389" t="s">
        <v>55</v>
      </c>
      <c r="AP103" s="389"/>
      <c r="AQ103" s="389"/>
      <c r="AR103" s="394"/>
      <c r="AS103" s="391">
        <f t="shared" si="27"/>
        <v>17</v>
      </c>
      <c r="AT103" s="392">
        <f t="shared" si="28"/>
        <v>17</v>
      </c>
      <c r="AY103" s="770"/>
    </row>
    <row r="104" ht="39.75" customHeight="1">
      <c r="A104" s="800" t="s">
        <v>272</v>
      </c>
      <c r="B104" s="782" t="s">
        <v>273</v>
      </c>
      <c r="C104" s="783"/>
      <c r="D104" s="784"/>
      <c r="E104" s="785"/>
      <c r="F104" s="785"/>
      <c r="G104" s="785"/>
      <c r="H104" s="785"/>
      <c r="I104" s="785"/>
      <c r="J104" s="785"/>
      <c r="K104" s="785"/>
      <c r="L104" s="785"/>
      <c r="M104" s="785"/>
      <c r="N104" s="785"/>
      <c r="O104" s="785"/>
      <c r="P104" s="785"/>
      <c r="Q104" s="785"/>
      <c r="R104" s="785"/>
      <c r="S104" s="785"/>
      <c r="T104" s="785"/>
      <c r="U104" s="785"/>
      <c r="V104" s="785"/>
      <c r="W104" s="785"/>
      <c r="X104" s="785"/>
      <c r="Y104" s="785"/>
      <c r="Z104" s="785"/>
      <c r="AA104" s="785"/>
      <c r="AB104" s="785"/>
      <c r="AC104" s="785"/>
      <c r="AD104" s="785"/>
      <c r="AE104" s="785"/>
      <c r="AF104" s="785"/>
      <c r="AG104" s="785"/>
      <c r="AH104" s="785"/>
      <c r="AI104" s="786"/>
      <c r="AJ104" s="786"/>
      <c r="AK104" s="786"/>
      <c r="AL104" s="786"/>
      <c r="AM104" s="786"/>
      <c r="AN104" s="786"/>
      <c r="AO104" s="786"/>
      <c r="AP104" s="786"/>
      <c r="AQ104" s="786"/>
      <c r="AR104" s="786"/>
      <c r="AS104" s="786"/>
      <c r="AT104" s="787"/>
      <c r="AU104" s="404"/>
      <c r="AV104" s="404"/>
      <c r="AW104" s="404"/>
      <c r="AX104" s="404"/>
      <c r="AY104" s="770"/>
      <c r="BE104" s="404"/>
      <c r="BF104" s="404"/>
      <c r="BG104" s="404"/>
      <c r="BH104" s="404"/>
      <c r="BI104" s="404"/>
      <c r="BJ104" s="404"/>
      <c r="BK104" s="404"/>
      <c r="BL104" s="404"/>
      <c r="BM104" s="404"/>
      <c r="BN104" s="404"/>
    </row>
    <row r="105" ht="39.75" customHeight="1">
      <c r="A105" s="778" t="s">
        <v>274</v>
      </c>
      <c r="B105" s="386" t="s">
        <v>275</v>
      </c>
      <c r="C105" s="387"/>
      <c r="D105" s="387"/>
      <c r="E105" s="387"/>
      <c r="F105" s="389"/>
      <c r="G105" s="387"/>
      <c r="H105" s="389"/>
      <c r="I105" s="387" t="s">
        <v>93</v>
      </c>
      <c r="J105" s="389"/>
      <c r="K105" s="387" t="s">
        <v>93</v>
      </c>
      <c r="L105" s="389"/>
      <c r="M105" s="387" t="s">
        <v>93</v>
      </c>
      <c r="N105" s="389"/>
      <c r="O105" s="387" t="s">
        <v>93</v>
      </c>
      <c r="P105" s="389"/>
      <c r="Q105" s="387" t="s">
        <v>93</v>
      </c>
      <c r="R105" s="389"/>
      <c r="S105" s="387" t="s">
        <v>93</v>
      </c>
      <c r="T105" s="389"/>
      <c r="U105" s="387" t="s">
        <v>93</v>
      </c>
      <c r="V105" s="389"/>
      <c r="W105" s="387" t="s">
        <v>93</v>
      </c>
      <c r="X105" s="389"/>
      <c r="Y105" s="387" t="s">
        <v>93</v>
      </c>
      <c r="Z105" s="389"/>
      <c r="AA105" s="387" t="s">
        <v>93</v>
      </c>
      <c r="AB105" s="389"/>
      <c r="AC105" s="387" t="s">
        <v>93</v>
      </c>
      <c r="AD105" s="389"/>
      <c r="AE105" s="387" t="s">
        <v>93</v>
      </c>
      <c r="AF105" s="389"/>
      <c r="AG105" s="387" t="s">
        <v>93</v>
      </c>
      <c r="AH105" s="389"/>
      <c r="AI105" s="387" t="s">
        <v>93</v>
      </c>
      <c r="AJ105" s="394"/>
      <c r="AK105" s="387" t="s">
        <v>93</v>
      </c>
      <c r="AL105" s="394"/>
      <c r="AM105" s="387" t="s">
        <v>93</v>
      </c>
      <c r="AN105" s="394"/>
      <c r="AO105" s="387" t="s">
        <v>91</v>
      </c>
      <c r="AP105" s="387"/>
      <c r="AQ105" s="387"/>
      <c r="AR105" s="394"/>
      <c r="AS105" s="391">
        <f t="shared" ref="AS105:AS106" si="29">COUNTIF(C105:AR105,"&gt;=R")</f>
        <v>17</v>
      </c>
      <c r="AT105" s="392">
        <f t="shared" ref="AT105:AT106" si="30">AS105</f>
        <v>17</v>
      </c>
      <c r="AY105" s="770"/>
    </row>
    <row r="106" ht="39.75" customHeight="1">
      <c r="A106" s="778" t="s">
        <v>276</v>
      </c>
      <c r="B106" s="386" t="s">
        <v>277</v>
      </c>
      <c r="C106" s="387"/>
      <c r="D106" s="388"/>
      <c r="E106" s="387"/>
      <c r="F106" s="389"/>
      <c r="G106" s="387"/>
      <c r="H106" s="389"/>
      <c r="I106" s="387" t="s">
        <v>67</v>
      </c>
      <c r="J106" s="389"/>
      <c r="K106" s="394" t="s">
        <v>67</v>
      </c>
      <c r="L106" s="389"/>
      <c r="M106" s="394" t="s">
        <v>67</v>
      </c>
      <c r="N106" s="389"/>
      <c r="O106" s="394" t="s">
        <v>67</v>
      </c>
      <c r="P106" s="389"/>
      <c r="Q106" s="394" t="s">
        <v>67</v>
      </c>
      <c r="R106" s="389"/>
      <c r="S106" s="389" t="s">
        <v>67</v>
      </c>
      <c r="T106" s="389"/>
      <c r="U106" s="389" t="s">
        <v>56</v>
      </c>
      <c r="V106" s="389"/>
      <c r="W106" s="389" t="s">
        <v>56</v>
      </c>
      <c r="X106" s="389"/>
      <c r="Y106" s="389" t="s">
        <v>56</v>
      </c>
      <c r="Z106" s="389"/>
      <c r="AA106" s="389" t="s">
        <v>56</v>
      </c>
      <c r="AB106" s="389"/>
      <c r="AC106" s="389" t="s">
        <v>56</v>
      </c>
      <c r="AD106" s="389"/>
      <c r="AE106" s="389" t="s">
        <v>56</v>
      </c>
      <c r="AF106" s="389"/>
      <c r="AG106" s="387" t="s">
        <v>56</v>
      </c>
      <c r="AH106" s="389"/>
      <c r="AI106" s="387" t="s">
        <v>56</v>
      </c>
      <c r="AJ106" s="394"/>
      <c r="AK106" s="387" t="s">
        <v>56</v>
      </c>
      <c r="AL106" s="394"/>
      <c r="AM106" s="387" t="s">
        <v>56</v>
      </c>
      <c r="AN106" s="394"/>
      <c r="AO106" s="387" t="s">
        <v>91</v>
      </c>
      <c r="AP106" s="387"/>
      <c r="AQ106" s="387" t="s">
        <v>92</v>
      </c>
      <c r="AR106" s="394"/>
      <c r="AS106" s="391">
        <f t="shared" si="29"/>
        <v>18</v>
      </c>
      <c r="AT106" s="392">
        <f t="shared" si="30"/>
        <v>18</v>
      </c>
      <c r="AU106" s="404"/>
      <c r="AV106" s="404"/>
      <c r="AW106" s="404"/>
      <c r="AX106" s="404"/>
      <c r="AY106" s="770"/>
      <c r="BE106" s="404"/>
      <c r="BF106" s="404"/>
      <c r="BG106" s="404"/>
      <c r="BH106" s="404"/>
      <c r="BI106" s="404"/>
      <c r="BJ106" s="404"/>
      <c r="BK106" s="404"/>
      <c r="BL106" s="404"/>
      <c r="BM106" s="404"/>
      <c r="BN106" s="404"/>
    </row>
    <row r="107" ht="39.75" customHeight="1">
      <c r="A107" s="781" t="s">
        <v>278</v>
      </c>
      <c r="B107" s="782" t="s">
        <v>279</v>
      </c>
      <c r="C107" s="783"/>
      <c r="D107" s="784"/>
      <c r="E107" s="785"/>
      <c r="F107" s="785"/>
      <c r="G107" s="785"/>
      <c r="H107" s="785"/>
      <c r="I107" s="785"/>
      <c r="J107" s="785"/>
      <c r="K107" s="785"/>
      <c r="L107" s="785"/>
      <c r="M107" s="785"/>
      <c r="N107" s="785"/>
      <c r="O107" s="785"/>
      <c r="P107" s="785"/>
      <c r="Q107" s="785"/>
      <c r="R107" s="785"/>
      <c r="S107" s="785"/>
      <c r="T107" s="785"/>
      <c r="U107" s="785"/>
      <c r="V107" s="785"/>
      <c r="W107" s="785"/>
      <c r="X107" s="785"/>
      <c r="Y107" s="785"/>
      <c r="Z107" s="785"/>
      <c r="AA107" s="785"/>
      <c r="AB107" s="785"/>
      <c r="AC107" s="785"/>
      <c r="AD107" s="785"/>
      <c r="AE107" s="785"/>
      <c r="AF107" s="785"/>
      <c r="AG107" s="785"/>
      <c r="AH107" s="785"/>
      <c r="AI107" s="786"/>
      <c r="AJ107" s="786"/>
      <c r="AK107" s="786"/>
      <c r="AL107" s="786"/>
      <c r="AM107" s="786"/>
      <c r="AN107" s="786"/>
      <c r="AO107" s="786"/>
      <c r="AP107" s="786"/>
      <c r="AQ107" s="786"/>
      <c r="AR107" s="786"/>
      <c r="AS107" s="786"/>
      <c r="AT107" s="787"/>
      <c r="AU107" s="404"/>
      <c r="AV107" s="404"/>
      <c r="AW107" s="404"/>
      <c r="AX107" s="404"/>
      <c r="AY107" s="770"/>
      <c r="BE107" s="404"/>
      <c r="BF107" s="404"/>
      <c r="BG107" s="404"/>
      <c r="BH107" s="404"/>
      <c r="BI107" s="404"/>
      <c r="BJ107" s="404"/>
      <c r="BK107" s="404"/>
      <c r="BL107" s="404"/>
      <c r="BM107" s="404"/>
      <c r="BN107" s="404"/>
    </row>
    <row r="108" ht="39.75" customHeight="1">
      <c r="A108" s="781" t="s">
        <v>280</v>
      </c>
      <c r="B108" s="782" t="s">
        <v>281</v>
      </c>
      <c r="C108" s="783"/>
      <c r="D108" s="784"/>
      <c r="E108" s="785"/>
      <c r="F108" s="785"/>
      <c r="G108" s="786"/>
      <c r="H108" s="785"/>
      <c r="I108" s="786"/>
      <c r="J108" s="785"/>
      <c r="K108" s="785"/>
      <c r="L108" s="785"/>
      <c r="M108" s="785"/>
      <c r="N108" s="785"/>
      <c r="O108" s="785"/>
      <c r="P108" s="785"/>
      <c r="Q108" s="785"/>
      <c r="R108" s="785"/>
      <c r="S108" s="785"/>
      <c r="T108" s="785"/>
      <c r="U108" s="785"/>
      <c r="V108" s="785"/>
      <c r="W108" s="785"/>
      <c r="X108" s="785"/>
      <c r="Y108" s="785"/>
      <c r="Z108" s="785"/>
      <c r="AA108" s="785"/>
      <c r="AB108" s="785"/>
      <c r="AC108" s="785"/>
      <c r="AD108" s="785"/>
      <c r="AE108" s="785"/>
      <c r="AF108" s="785"/>
      <c r="AG108" s="785"/>
      <c r="AH108" s="785"/>
      <c r="AI108" s="786"/>
      <c r="AJ108" s="786"/>
      <c r="AK108" s="786"/>
      <c r="AL108" s="786"/>
      <c r="AM108" s="786"/>
      <c r="AN108" s="786"/>
      <c r="AO108" s="786"/>
      <c r="AP108" s="786"/>
      <c r="AQ108" s="786"/>
      <c r="AR108" s="786"/>
      <c r="AS108" s="786"/>
      <c r="AT108" s="787"/>
      <c r="AY108" s="770"/>
    </row>
    <row r="109" ht="39.75" customHeight="1">
      <c r="A109" s="404" t="s">
        <v>282</v>
      </c>
      <c r="B109" s="794" t="s">
        <v>283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94"/>
      <c r="AJ109" s="394"/>
      <c r="AK109" s="394"/>
      <c r="AL109" s="394"/>
      <c r="AM109" s="394"/>
      <c r="AN109" s="394"/>
      <c r="AO109" s="394"/>
      <c r="AP109" s="394"/>
      <c r="AQ109" s="394"/>
      <c r="AR109" s="394"/>
      <c r="AS109" s="391">
        <f t="shared" ref="AS109:AS110" si="31">COUNTIF(C109:AR109,"&gt;=R")</f>
        <v>0</v>
      </c>
      <c r="AT109" s="392">
        <f t="shared" ref="AT109:AT110" si="32">AS109</f>
        <v>0</v>
      </c>
    </row>
    <row r="110" ht="39.75" customHeight="1">
      <c r="A110" s="793" t="s">
        <v>284</v>
      </c>
      <c r="B110" s="412" t="s">
        <v>285</v>
      </c>
      <c r="C110" s="387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94"/>
      <c r="AJ110" s="394"/>
      <c r="AK110" s="394"/>
      <c r="AL110" s="394"/>
      <c r="AM110" s="394"/>
      <c r="AN110" s="394"/>
      <c r="AO110" s="394"/>
      <c r="AP110" s="394"/>
      <c r="AQ110" s="394"/>
      <c r="AR110" s="394"/>
      <c r="AS110" s="391">
        <f t="shared" si="31"/>
        <v>0</v>
      </c>
      <c r="AT110" s="392">
        <f t="shared" si="32"/>
        <v>0</v>
      </c>
      <c r="AU110" s="404"/>
      <c r="AV110" s="404"/>
      <c r="AW110" s="404"/>
      <c r="AX110" s="404"/>
      <c r="AY110" s="770"/>
      <c r="BE110" s="404"/>
      <c r="BF110" s="404"/>
      <c r="BG110" s="404"/>
      <c r="BH110" s="404"/>
      <c r="BI110" s="404"/>
      <c r="BJ110" s="404"/>
      <c r="BK110" s="404"/>
      <c r="BL110" s="404"/>
      <c r="BM110" s="404"/>
      <c r="BN110" s="404"/>
    </row>
    <row r="111" ht="39.75" customHeight="1">
      <c r="A111" s="781" t="s">
        <v>286</v>
      </c>
      <c r="B111" s="782" t="s">
        <v>287</v>
      </c>
      <c r="C111" s="783"/>
      <c r="D111" s="784"/>
      <c r="E111" s="785"/>
      <c r="F111" s="785"/>
      <c r="G111" s="785"/>
      <c r="H111" s="785"/>
      <c r="I111" s="785"/>
      <c r="J111" s="785"/>
      <c r="K111" s="785"/>
      <c r="L111" s="785"/>
      <c r="M111" s="785"/>
      <c r="N111" s="785"/>
      <c r="O111" s="785"/>
      <c r="P111" s="785"/>
      <c r="Q111" s="785"/>
      <c r="R111" s="785"/>
      <c r="S111" s="785"/>
      <c r="T111" s="785"/>
      <c r="U111" s="785"/>
      <c r="V111" s="785"/>
      <c r="W111" s="785"/>
      <c r="X111" s="785"/>
      <c r="Y111" s="785"/>
      <c r="Z111" s="785"/>
      <c r="AA111" s="785"/>
      <c r="AB111" s="785"/>
      <c r="AC111" s="785"/>
      <c r="AD111" s="785"/>
      <c r="AE111" s="785"/>
      <c r="AF111" s="785"/>
      <c r="AG111" s="785"/>
      <c r="AH111" s="785"/>
      <c r="AI111" s="786"/>
      <c r="AJ111" s="786"/>
      <c r="AK111" s="786"/>
      <c r="AL111" s="786"/>
      <c r="AM111" s="786"/>
      <c r="AN111" s="786"/>
      <c r="AO111" s="786"/>
      <c r="AP111" s="786"/>
      <c r="AQ111" s="786"/>
      <c r="AR111" s="786"/>
      <c r="AS111" s="786"/>
      <c r="AT111" s="787"/>
      <c r="AY111" s="770"/>
    </row>
    <row r="112" ht="39.75" customHeight="1">
      <c r="A112" s="778" t="s">
        <v>288</v>
      </c>
      <c r="B112" s="386" t="s">
        <v>289</v>
      </c>
      <c r="C112" s="388"/>
      <c r="D112" s="388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94"/>
      <c r="AK112" s="389"/>
      <c r="AL112" s="394"/>
      <c r="AM112" s="387"/>
      <c r="AN112" s="394"/>
      <c r="AO112" s="387" t="s">
        <v>91</v>
      </c>
      <c r="AP112" s="387"/>
      <c r="AQ112" s="387"/>
      <c r="AR112" s="394"/>
      <c r="AS112" s="391">
        <f t="shared" ref="AS112:AS114" si="33">COUNTIF(C112:AR112,"&gt;=R")</f>
        <v>1</v>
      </c>
      <c r="AT112" s="392">
        <f t="shared" ref="AT112:AT114" si="34">AS112</f>
        <v>1</v>
      </c>
      <c r="AU112" s="404"/>
      <c r="AV112" s="404"/>
      <c r="AW112" s="404"/>
      <c r="AX112" s="404"/>
      <c r="AY112" s="770"/>
      <c r="BE112" s="404"/>
      <c r="BF112" s="404"/>
      <c r="BG112" s="404"/>
      <c r="BH112" s="404"/>
      <c r="BI112" s="404"/>
      <c r="BJ112" s="404"/>
      <c r="BK112" s="404"/>
      <c r="BL112" s="404"/>
      <c r="BM112" s="404"/>
      <c r="BN112" s="404"/>
    </row>
    <row r="113" ht="39.75" customHeight="1">
      <c r="A113" s="778" t="s">
        <v>290</v>
      </c>
      <c r="B113" s="386" t="s">
        <v>291</v>
      </c>
      <c r="C113" s="387"/>
      <c r="D113" s="388"/>
      <c r="E113" s="387"/>
      <c r="F113" s="389"/>
      <c r="G113" s="387"/>
      <c r="H113" s="389"/>
      <c r="I113" s="387"/>
      <c r="J113" s="389"/>
      <c r="K113" s="387"/>
      <c r="L113" s="389"/>
      <c r="M113" s="387"/>
      <c r="N113" s="389"/>
      <c r="O113" s="387"/>
      <c r="P113" s="389"/>
      <c r="Q113" s="387"/>
      <c r="R113" s="389"/>
      <c r="S113" s="387"/>
      <c r="T113" s="389"/>
      <c r="U113" s="387"/>
      <c r="V113" s="389"/>
      <c r="W113" s="387"/>
      <c r="X113" s="389"/>
      <c r="Y113" s="387"/>
      <c r="Z113" s="389"/>
      <c r="AA113" s="387"/>
      <c r="AB113" s="389"/>
      <c r="AC113" s="387"/>
      <c r="AD113" s="389"/>
      <c r="AE113" s="387"/>
      <c r="AF113" s="389"/>
      <c r="AG113" s="387"/>
      <c r="AH113" s="389"/>
      <c r="AI113" s="387"/>
      <c r="AJ113" s="394"/>
      <c r="AK113" s="387"/>
      <c r="AL113" s="394"/>
      <c r="AM113" s="389"/>
      <c r="AN113" s="394"/>
      <c r="AO113" s="389" t="s">
        <v>91</v>
      </c>
      <c r="AP113" s="389"/>
      <c r="AQ113" s="389"/>
      <c r="AR113" s="394"/>
      <c r="AS113" s="391">
        <f t="shared" si="33"/>
        <v>1</v>
      </c>
      <c r="AT113" s="392">
        <f t="shared" si="34"/>
        <v>1</v>
      </c>
      <c r="AY113" s="770"/>
    </row>
    <row r="114" ht="39.75" customHeight="1">
      <c r="A114" s="404" t="s">
        <v>292</v>
      </c>
      <c r="B114" s="794" t="s">
        <v>293</v>
      </c>
      <c r="C114" s="387"/>
      <c r="D114" s="388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94"/>
      <c r="AJ114" s="394"/>
      <c r="AK114" s="394"/>
      <c r="AL114" s="394"/>
      <c r="AM114" s="394"/>
      <c r="AN114" s="394"/>
      <c r="AO114" s="394"/>
      <c r="AP114" s="394"/>
      <c r="AQ114" s="394"/>
      <c r="AR114" s="394"/>
      <c r="AS114" s="391">
        <f t="shared" si="33"/>
        <v>0</v>
      </c>
      <c r="AT114" s="392">
        <f t="shared" si="34"/>
        <v>0</v>
      </c>
    </row>
    <row r="115" ht="39.75" customHeight="1">
      <c r="A115" s="781" t="s">
        <v>294</v>
      </c>
      <c r="B115" s="801" t="s">
        <v>295</v>
      </c>
      <c r="C115" s="783"/>
      <c r="D115" s="784"/>
      <c r="E115" s="785"/>
      <c r="F115" s="785"/>
      <c r="G115" s="785"/>
      <c r="H115" s="785"/>
      <c r="I115" s="785"/>
      <c r="J115" s="785"/>
      <c r="K115" s="785"/>
      <c r="L115" s="785"/>
      <c r="M115" s="785"/>
      <c r="N115" s="785"/>
      <c r="O115" s="785"/>
      <c r="P115" s="785"/>
      <c r="Q115" s="785"/>
      <c r="R115" s="785"/>
      <c r="S115" s="785"/>
      <c r="T115" s="785"/>
      <c r="U115" s="785"/>
      <c r="V115" s="785"/>
      <c r="W115" s="785"/>
      <c r="X115" s="785"/>
      <c r="Y115" s="785"/>
      <c r="Z115" s="785"/>
      <c r="AA115" s="785"/>
      <c r="AB115" s="785"/>
      <c r="AC115" s="785"/>
      <c r="AD115" s="785"/>
      <c r="AE115" s="785"/>
      <c r="AF115" s="785"/>
      <c r="AG115" s="785"/>
      <c r="AH115" s="785"/>
      <c r="AI115" s="786"/>
      <c r="AJ115" s="786"/>
      <c r="AK115" s="786"/>
      <c r="AL115" s="786"/>
      <c r="AM115" s="786"/>
      <c r="AN115" s="786"/>
      <c r="AO115" s="786"/>
      <c r="AP115" s="786"/>
      <c r="AQ115" s="786"/>
      <c r="AR115" s="786"/>
      <c r="AS115" s="786"/>
      <c r="AT115" s="787"/>
      <c r="AU115" s="404"/>
      <c r="AV115" s="404"/>
      <c r="AW115" s="404"/>
      <c r="AX115" s="404"/>
      <c r="AY115" s="770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</row>
    <row r="116" ht="39.75" customHeight="1">
      <c r="A116" s="789" t="s">
        <v>296</v>
      </c>
      <c r="B116" s="386" t="s">
        <v>297</v>
      </c>
      <c r="C116" s="387"/>
      <c r="D116" s="388"/>
      <c r="E116" s="389"/>
      <c r="F116" s="389"/>
      <c r="G116" s="389"/>
      <c r="H116" s="389"/>
      <c r="I116" s="785" t="s">
        <v>27</v>
      </c>
      <c r="J116" s="785"/>
      <c r="K116" s="785" t="s">
        <v>27</v>
      </c>
      <c r="L116" s="785"/>
      <c r="M116" s="785" t="s">
        <v>27</v>
      </c>
      <c r="N116" s="785"/>
      <c r="O116" s="785" t="s">
        <v>27</v>
      </c>
      <c r="P116" s="785"/>
      <c r="Q116" s="785" t="s">
        <v>27</v>
      </c>
      <c r="R116" s="785"/>
      <c r="S116" s="785" t="s">
        <v>27</v>
      </c>
      <c r="T116" s="785"/>
      <c r="U116" s="785" t="s">
        <v>27</v>
      </c>
      <c r="V116" s="785"/>
      <c r="W116" s="785" t="s">
        <v>27</v>
      </c>
      <c r="X116" s="785"/>
      <c r="Y116" s="785" t="s">
        <v>27</v>
      </c>
      <c r="Z116" s="389"/>
      <c r="AA116" s="389" t="s">
        <v>17</v>
      </c>
      <c r="AB116" s="389"/>
      <c r="AC116" s="389" t="s">
        <v>17</v>
      </c>
      <c r="AD116" s="389"/>
      <c r="AE116" s="389" t="s">
        <v>17</v>
      </c>
      <c r="AF116" s="389"/>
      <c r="AG116" s="389" t="s">
        <v>17</v>
      </c>
      <c r="AH116" s="389"/>
      <c r="AI116" s="389" t="s">
        <v>410</v>
      </c>
      <c r="AJ116" s="394"/>
      <c r="AK116" s="389" t="s">
        <v>410</v>
      </c>
      <c r="AL116" s="394"/>
      <c r="AM116" s="394" t="s">
        <v>17</v>
      </c>
      <c r="AN116" s="394"/>
      <c r="AO116" s="390" t="s">
        <v>16</v>
      </c>
      <c r="AP116" s="394"/>
      <c r="AQ116" s="394" t="s">
        <v>84</v>
      </c>
      <c r="AR116" s="394"/>
      <c r="AS116" s="391">
        <f t="shared" ref="AS116:AS127" si="35">COUNTIF(C116:AR116,"&gt;=R")</f>
        <v>18</v>
      </c>
      <c r="AT116" s="392">
        <f t="shared" ref="AT116:AT127" si="36">AS116</f>
        <v>18</v>
      </c>
      <c r="AU116" s="404"/>
      <c r="AV116" s="404"/>
      <c r="AW116" s="404"/>
      <c r="AX116" s="404"/>
      <c r="AY116" s="770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</row>
    <row r="117" ht="39.75" customHeight="1">
      <c r="A117" s="789" t="s">
        <v>298</v>
      </c>
      <c r="B117" s="386" t="s">
        <v>299</v>
      </c>
      <c r="C117" s="387"/>
      <c r="D117" s="388"/>
      <c r="E117" s="389"/>
      <c r="F117" s="389"/>
      <c r="G117" s="394"/>
      <c r="H117" s="389"/>
      <c r="I117" s="394" t="s">
        <v>410</v>
      </c>
      <c r="J117" s="389"/>
      <c r="K117" s="394" t="s">
        <v>410</v>
      </c>
      <c r="L117" s="389"/>
      <c r="M117" s="389" t="s">
        <v>410</v>
      </c>
      <c r="N117" s="389"/>
      <c r="O117" s="389" t="s">
        <v>410</v>
      </c>
      <c r="P117" s="389"/>
      <c r="Q117" s="394" t="s">
        <v>410</v>
      </c>
      <c r="R117" s="389"/>
      <c r="S117" s="394" t="s">
        <v>410</v>
      </c>
      <c r="T117" s="389"/>
      <c r="U117" s="394" t="s">
        <v>91</v>
      </c>
      <c r="V117" s="389"/>
      <c r="W117" s="394" t="s">
        <v>91</v>
      </c>
      <c r="X117" s="389"/>
      <c r="Y117" s="394" t="s">
        <v>91</v>
      </c>
      <c r="Z117" s="389"/>
      <c r="AA117" s="394" t="s">
        <v>91</v>
      </c>
      <c r="AB117" s="389"/>
      <c r="AC117" s="394" t="s">
        <v>91</v>
      </c>
      <c r="AD117" s="389"/>
      <c r="AE117" s="394" t="s">
        <v>91</v>
      </c>
      <c r="AF117" s="389"/>
      <c r="AG117" s="389" t="s">
        <v>91</v>
      </c>
      <c r="AH117" s="389"/>
      <c r="AI117" s="389" t="s">
        <v>91</v>
      </c>
      <c r="AJ117" s="394"/>
      <c r="AK117" s="389" t="s">
        <v>91</v>
      </c>
      <c r="AL117" s="394"/>
      <c r="AM117" s="389" t="s">
        <v>91</v>
      </c>
      <c r="AN117" s="394"/>
      <c r="AO117" s="390" t="s">
        <v>16</v>
      </c>
      <c r="AP117" s="389"/>
      <c r="AQ117" s="389" t="s">
        <v>91</v>
      </c>
      <c r="AR117" s="394"/>
      <c r="AS117" s="391">
        <f t="shared" si="35"/>
        <v>18</v>
      </c>
      <c r="AT117" s="392">
        <f t="shared" si="36"/>
        <v>18</v>
      </c>
      <c r="AY117" s="770"/>
    </row>
    <row r="118" ht="39.75" customHeight="1">
      <c r="A118" s="789" t="s">
        <v>300</v>
      </c>
      <c r="B118" s="386" t="s">
        <v>301</v>
      </c>
      <c r="C118" s="387"/>
      <c r="D118" s="388"/>
      <c r="E118" s="387"/>
      <c r="F118" s="389"/>
      <c r="G118" s="387"/>
      <c r="H118" s="389"/>
      <c r="I118" s="387"/>
      <c r="J118" s="389"/>
      <c r="K118" s="387"/>
      <c r="L118" s="389"/>
      <c r="M118" s="387"/>
      <c r="N118" s="389"/>
      <c r="O118" s="387"/>
      <c r="P118" s="389"/>
      <c r="Q118" s="387"/>
      <c r="R118" s="389"/>
      <c r="S118" s="387"/>
      <c r="T118" s="389"/>
      <c r="U118" s="387"/>
      <c r="V118" s="389"/>
      <c r="W118" s="387"/>
      <c r="X118" s="389"/>
      <c r="Y118" s="387"/>
      <c r="Z118" s="389"/>
      <c r="AA118" s="387"/>
      <c r="AB118" s="389"/>
      <c r="AC118" s="387"/>
      <c r="AD118" s="389"/>
      <c r="AE118" s="387"/>
      <c r="AF118" s="389"/>
      <c r="AG118" s="387"/>
      <c r="AH118" s="389"/>
      <c r="AI118" s="387"/>
      <c r="AJ118" s="389"/>
      <c r="AK118" s="387"/>
      <c r="AL118" s="394"/>
      <c r="AM118" s="394"/>
      <c r="AN118" s="394"/>
      <c r="AO118" s="389"/>
      <c r="AP118" s="389"/>
      <c r="AQ118" s="389"/>
      <c r="AR118" s="394"/>
      <c r="AS118" s="391">
        <f t="shared" si="35"/>
        <v>0</v>
      </c>
      <c r="AT118" s="392">
        <f t="shared" si="36"/>
        <v>0</v>
      </c>
      <c r="AY118" s="770"/>
    </row>
    <row r="119" ht="39.75" customHeight="1">
      <c r="A119" s="789" t="s">
        <v>302</v>
      </c>
      <c r="B119" s="386" t="s">
        <v>303</v>
      </c>
      <c r="C119" s="388"/>
      <c r="D119" s="388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7"/>
      <c r="Z119" s="389"/>
      <c r="AA119" s="387"/>
      <c r="AB119" s="389"/>
      <c r="AC119" s="387"/>
      <c r="AD119" s="389"/>
      <c r="AE119" s="387"/>
      <c r="AF119" s="389"/>
      <c r="AG119" s="387"/>
      <c r="AH119" s="389"/>
      <c r="AI119" s="387"/>
      <c r="AJ119" s="394"/>
      <c r="AK119" s="387"/>
      <c r="AL119" s="394"/>
      <c r="AM119" s="387"/>
      <c r="AN119" s="394"/>
      <c r="AO119" s="389" t="s">
        <v>77</v>
      </c>
      <c r="AP119" s="389"/>
      <c r="AQ119" s="389"/>
      <c r="AR119" s="394"/>
      <c r="AS119" s="391">
        <f t="shared" si="35"/>
        <v>1</v>
      </c>
      <c r="AT119" s="392">
        <f t="shared" si="36"/>
        <v>1</v>
      </c>
      <c r="AU119" s="404"/>
      <c r="AV119" s="404"/>
      <c r="AW119" s="404"/>
      <c r="AX119" s="404"/>
      <c r="AY119" s="770"/>
      <c r="BE119" s="404"/>
      <c r="BF119" s="404"/>
      <c r="BG119" s="404"/>
      <c r="BH119" s="404"/>
      <c r="BI119" s="404"/>
      <c r="BJ119" s="404"/>
      <c r="BK119" s="404"/>
      <c r="BL119" s="404"/>
      <c r="BM119" s="404"/>
      <c r="BN119" s="404"/>
    </row>
    <row r="120" ht="39.75" customHeight="1">
      <c r="A120" s="789" t="s">
        <v>304</v>
      </c>
      <c r="B120" s="386" t="s">
        <v>305</v>
      </c>
      <c r="C120" s="387"/>
      <c r="D120" s="388"/>
      <c r="E120" s="389"/>
      <c r="F120" s="389"/>
      <c r="G120" s="394"/>
      <c r="H120" s="389"/>
      <c r="I120" s="394" t="s">
        <v>93</v>
      </c>
      <c r="J120" s="389"/>
      <c r="K120" s="394" t="s">
        <v>93</v>
      </c>
      <c r="L120" s="389"/>
      <c r="M120" s="389" t="s">
        <v>93</v>
      </c>
      <c r="N120" s="389"/>
      <c r="O120" s="389" t="s">
        <v>93</v>
      </c>
      <c r="P120" s="389"/>
      <c r="Q120" s="394" t="s">
        <v>93</v>
      </c>
      <c r="R120" s="389"/>
      <c r="S120" s="394" t="s">
        <v>93</v>
      </c>
      <c r="T120" s="389"/>
      <c r="U120" s="389" t="s">
        <v>93</v>
      </c>
      <c r="V120" s="389"/>
      <c r="W120" s="389" t="s">
        <v>93</v>
      </c>
      <c r="X120" s="389"/>
      <c r="Y120" s="389" t="s">
        <v>93</v>
      </c>
      <c r="Z120" s="389"/>
      <c r="AA120" s="389" t="s">
        <v>93</v>
      </c>
      <c r="AB120" s="389"/>
      <c r="AC120" s="389" t="s">
        <v>93</v>
      </c>
      <c r="AD120" s="389"/>
      <c r="AE120" s="389" t="s">
        <v>93</v>
      </c>
      <c r="AF120" s="389"/>
      <c r="AG120" s="389" t="s">
        <v>93</v>
      </c>
      <c r="AH120" s="389"/>
      <c r="AI120" s="389" t="s">
        <v>93</v>
      </c>
      <c r="AJ120" s="394"/>
      <c r="AK120" s="389" t="s">
        <v>93</v>
      </c>
      <c r="AL120" s="394"/>
      <c r="AM120" s="394" t="s">
        <v>93</v>
      </c>
      <c r="AN120" s="394"/>
      <c r="AO120" s="394" t="s">
        <v>93</v>
      </c>
      <c r="AP120" s="394"/>
      <c r="AQ120" s="394"/>
      <c r="AR120" s="394"/>
      <c r="AS120" s="391">
        <f t="shared" si="35"/>
        <v>17</v>
      </c>
      <c r="AT120" s="392">
        <f t="shared" si="36"/>
        <v>17</v>
      </c>
      <c r="AY120" s="770"/>
    </row>
    <row r="121" ht="39.75" customHeight="1">
      <c r="A121" s="789" t="s">
        <v>306</v>
      </c>
      <c r="B121" s="386" t="s">
        <v>307</v>
      </c>
      <c r="C121" s="387"/>
      <c r="D121" s="388"/>
      <c r="E121" s="394"/>
      <c r="F121" s="389"/>
      <c r="G121" s="394"/>
      <c r="H121" s="389"/>
      <c r="I121" s="394" t="s">
        <v>28</v>
      </c>
      <c r="J121" s="389"/>
      <c r="K121" s="394" t="s">
        <v>28</v>
      </c>
      <c r="L121" s="389"/>
      <c r="M121" s="394" t="s">
        <v>28</v>
      </c>
      <c r="N121" s="389"/>
      <c r="O121" s="394" t="s">
        <v>28</v>
      </c>
      <c r="P121" s="389"/>
      <c r="Q121" s="394" t="s">
        <v>28</v>
      </c>
      <c r="R121" s="389"/>
      <c r="S121" s="394" t="s">
        <v>28</v>
      </c>
      <c r="T121" s="389"/>
      <c r="U121" s="394" t="s">
        <v>28</v>
      </c>
      <c r="V121" s="394"/>
      <c r="W121" s="394" t="s">
        <v>48</v>
      </c>
      <c r="X121" s="394"/>
      <c r="Y121" s="394" t="s">
        <v>48</v>
      </c>
      <c r="Z121" s="394"/>
      <c r="AA121" s="394" t="s">
        <v>48</v>
      </c>
      <c r="AB121" s="394"/>
      <c r="AC121" s="394" t="s">
        <v>48</v>
      </c>
      <c r="AD121" s="394"/>
      <c r="AE121" s="394" t="s">
        <v>48</v>
      </c>
      <c r="AF121" s="394"/>
      <c r="AG121" s="394" t="s">
        <v>48</v>
      </c>
      <c r="AH121" s="394"/>
      <c r="AI121" s="394" t="s">
        <v>48</v>
      </c>
      <c r="AJ121" s="394"/>
      <c r="AK121" s="394" t="s">
        <v>48</v>
      </c>
      <c r="AL121" s="394"/>
      <c r="AM121" s="394" t="s">
        <v>48</v>
      </c>
      <c r="AN121" s="394"/>
      <c r="AO121" s="394" t="s">
        <v>48</v>
      </c>
      <c r="AP121" s="394"/>
      <c r="AQ121" s="394"/>
      <c r="AR121" s="394"/>
      <c r="AS121" s="391">
        <f t="shared" si="35"/>
        <v>17</v>
      </c>
      <c r="AT121" s="392">
        <f t="shared" si="36"/>
        <v>17</v>
      </c>
      <c r="AY121" s="770"/>
    </row>
    <row r="122" ht="39.75" customHeight="1">
      <c r="A122" s="789" t="s">
        <v>308</v>
      </c>
      <c r="B122" s="386" t="s">
        <v>309</v>
      </c>
      <c r="C122" s="387"/>
      <c r="D122" s="388"/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94"/>
      <c r="V122" s="394"/>
      <c r="W122" s="394"/>
      <c r="X122" s="394"/>
      <c r="Y122" s="394"/>
      <c r="Z122" s="394"/>
      <c r="AA122" s="394"/>
      <c r="AB122" s="394"/>
      <c r="AC122" s="394"/>
      <c r="AD122" s="394"/>
      <c r="AE122" s="394"/>
      <c r="AF122" s="394"/>
      <c r="AG122" s="394"/>
      <c r="AH122" s="394"/>
      <c r="AI122" s="394"/>
      <c r="AJ122" s="394"/>
      <c r="AK122" s="394"/>
      <c r="AL122" s="394"/>
      <c r="AM122" s="394"/>
      <c r="AN122" s="394"/>
      <c r="AO122" s="394"/>
      <c r="AP122" s="394"/>
      <c r="AQ122" s="394"/>
      <c r="AR122" s="394"/>
      <c r="AS122" s="391">
        <f t="shared" si="35"/>
        <v>0</v>
      </c>
      <c r="AT122" s="392">
        <f t="shared" si="36"/>
        <v>0</v>
      </c>
      <c r="AY122" s="770"/>
    </row>
    <row r="123" ht="39.75" customHeight="1">
      <c r="A123" s="789" t="s">
        <v>310</v>
      </c>
      <c r="B123" s="386" t="s">
        <v>311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94"/>
      <c r="AG123" s="394"/>
      <c r="AH123" s="394"/>
      <c r="AI123" s="394"/>
      <c r="AJ123" s="394"/>
      <c r="AK123" s="394"/>
      <c r="AL123" s="394"/>
      <c r="AM123" s="394"/>
      <c r="AN123" s="394"/>
      <c r="AO123" s="389"/>
      <c r="AP123" s="389"/>
      <c r="AQ123" s="389"/>
      <c r="AR123" s="394"/>
      <c r="AS123" s="391">
        <f t="shared" si="35"/>
        <v>0</v>
      </c>
      <c r="AT123" s="392">
        <f t="shared" si="36"/>
        <v>0</v>
      </c>
      <c r="AY123" s="770"/>
    </row>
    <row r="124" ht="39.75" customHeight="1">
      <c r="A124" s="789" t="s">
        <v>312</v>
      </c>
      <c r="B124" s="386" t="s">
        <v>313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4"/>
      <c r="AB124" s="394"/>
      <c r="AC124" s="394"/>
      <c r="AD124" s="394"/>
      <c r="AE124" s="394"/>
      <c r="AF124" s="394"/>
      <c r="AG124" s="394"/>
      <c r="AH124" s="394"/>
      <c r="AI124" s="394"/>
      <c r="AJ124" s="394"/>
      <c r="AK124" s="394"/>
      <c r="AL124" s="394"/>
      <c r="AM124" s="394"/>
      <c r="AN124" s="394"/>
      <c r="AO124" s="394"/>
      <c r="AP124" s="394"/>
      <c r="AQ124" s="394"/>
      <c r="AR124" s="394"/>
      <c r="AS124" s="391">
        <f t="shared" si="35"/>
        <v>0</v>
      </c>
      <c r="AT124" s="392">
        <f t="shared" si="36"/>
        <v>0</v>
      </c>
      <c r="AY124" s="770"/>
    </row>
    <row r="125" ht="39.75" customHeight="1">
      <c r="A125" s="789" t="s">
        <v>314</v>
      </c>
      <c r="B125" s="386" t="s">
        <v>315</v>
      </c>
      <c r="C125" s="387"/>
      <c r="D125" s="387"/>
      <c r="E125" s="394"/>
      <c r="F125" s="394"/>
      <c r="G125" s="394"/>
      <c r="H125" s="394"/>
      <c r="I125" s="394"/>
      <c r="J125" s="394"/>
      <c r="K125" s="394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  <c r="V125" s="394"/>
      <c r="W125" s="394"/>
      <c r="X125" s="394"/>
      <c r="Y125" s="394"/>
      <c r="Z125" s="394"/>
      <c r="AA125" s="394"/>
      <c r="AB125" s="394"/>
      <c r="AC125" s="394"/>
      <c r="AD125" s="394"/>
      <c r="AE125" s="394"/>
      <c r="AF125" s="394"/>
      <c r="AG125" s="394"/>
      <c r="AH125" s="394"/>
      <c r="AI125" s="394"/>
      <c r="AJ125" s="394"/>
      <c r="AK125" s="394"/>
      <c r="AL125" s="394"/>
      <c r="AM125" s="394"/>
      <c r="AN125" s="394"/>
      <c r="AO125" s="394"/>
      <c r="AP125" s="394"/>
      <c r="AQ125" s="394"/>
      <c r="AR125" s="394"/>
      <c r="AS125" s="391">
        <f t="shared" si="35"/>
        <v>0</v>
      </c>
      <c r="AT125" s="392">
        <f t="shared" si="36"/>
        <v>0</v>
      </c>
      <c r="AY125" s="770"/>
    </row>
    <row r="126" ht="39.75" customHeight="1">
      <c r="A126" s="789" t="s">
        <v>316</v>
      </c>
      <c r="B126" s="386" t="s">
        <v>317</v>
      </c>
      <c r="C126" s="387"/>
      <c r="D126" s="387"/>
      <c r="E126" s="394"/>
      <c r="F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  <c r="AA126" s="394"/>
      <c r="AB126" s="394"/>
      <c r="AC126" s="394"/>
      <c r="AD126" s="394"/>
      <c r="AE126" s="394"/>
      <c r="AF126" s="394"/>
      <c r="AG126" s="394"/>
      <c r="AH126" s="394"/>
      <c r="AI126" s="394"/>
      <c r="AJ126" s="394"/>
      <c r="AK126" s="394"/>
      <c r="AL126" s="394"/>
      <c r="AM126" s="387"/>
      <c r="AN126" s="394"/>
      <c r="AO126" s="387"/>
      <c r="AP126" s="387"/>
      <c r="AQ126" s="387"/>
      <c r="AR126" s="394"/>
      <c r="AS126" s="391">
        <f t="shared" si="35"/>
        <v>0</v>
      </c>
      <c r="AT126" s="392">
        <f t="shared" si="36"/>
        <v>0</v>
      </c>
      <c r="AY126" s="770"/>
    </row>
    <row r="127" ht="39.75" customHeight="1">
      <c r="A127" s="789" t="s">
        <v>318</v>
      </c>
      <c r="B127" s="386" t="s">
        <v>319</v>
      </c>
      <c r="C127" s="387"/>
      <c r="D127" s="387"/>
      <c r="E127" s="387"/>
      <c r="F127" s="394"/>
      <c r="G127" s="387"/>
      <c r="H127" s="394"/>
      <c r="I127" s="387"/>
      <c r="J127" s="394"/>
      <c r="K127" s="387"/>
      <c r="L127" s="394"/>
      <c r="M127" s="387"/>
      <c r="N127" s="394"/>
      <c r="O127" s="387"/>
      <c r="P127" s="394"/>
      <c r="Q127" s="387"/>
      <c r="R127" s="394"/>
      <c r="S127" s="387"/>
      <c r="T127" s="394"/>
      <c r="U127" s="387"/>
      <c r="V127" s="394"/>
      <c r="W127" s="387"/>
      <c r="X127" s="394"/>
      <c r="Y127" s="387"/>
      <c r="Z127" s="394"/>
      <c r="AA127" s="387"/>
      <c r="AB127" s="394"/>
      <c r="AC127" s="387"/>
      <c r="AD127" s="394"/>
      <c r="AE127" s="387"/>
      <c r="AF127" s="394"/>
      <c r="AG127" s="387"/>
      <c r="AH127" s="394"/>
      <c r="AI127" s="387"/>
      <c r="AJ127" s="394"/>
      <c r="AK127" s="387"/>
      <c r="AL127" s="394"/>
      <c r="AM127" s="387"/>
      <c r="AN127" s="394"/>
      <c r="AO127" s="387"/>
      <c r="AP127" s="387"/>
      <c r="AQ127" s="387"/>
      <c r="AR127" s="394"/>
      <c r="AS127" s="391">
        <f t="shared" si="35"/>
        <v>0</v>
      </c>
      <c r="AT127" s="392">
        <f t="shared" si="36"/>
        <v>0</v>
      </c>
      <c r="AY127" s="770"/>
    </row>
    <row r="128" ht="39.75" customHeight="1">
      <c r="A128" s="802" t="s">
        <v>320</v>
      </c>
      <c r="B128" s="803" t="s">
        <v>321</v>
      </c>
      <c r="C128" s="783"/>
      <c r="D128" s="784"/>
      <c r="E128" s="785"/>
      <c r="F128" s="785"/>
      <c r="G128" s="785"/>
      <c r="H128" s="785"/>
      <c r="I128" s="785"/>
      <c r="J128" s="785"/>
      <c r="K128" s="785"/>
      <c r="L128" s="785"/>
      <c r="M128" s="785"/>
      <c r="N128" s="785"/>
      <c r="O128" s="785"/>
      <c r="P128" s="785"/>
      <c r="Q128" s="785"/>
      <c r="R128" s="785"/>
      <c r="S128" s="785"/>
      <c r="T128" s="785"/>
      <c r="U128" s="785"/>
      <c r="V128" s="785"/>
      <c r="W128" s="785"/>
      <c r="X128" s="785"/>
      <c r="Y128" s="785"/>
      <c r="Z128" s="785"/>
      <c r="AA128" s="785"/>
      <c r="AB128" s="785"/>
      <c r="AC128" s="785"/>
      <c r="AD128" s="785"/>
      <c r="AE128" s="785"/>
      <c r="AF128" s="785"/>
      <c r="AG128" s="785"/>
      <c r="AH128" s="785"/>
      <c r="AI128" s="786"/>
      <c r="AJ128" s="786"/>
      <c r="AK128" s="786"/>
      <c r="AL128" s="786"/>
      <c r="AM128" s="786"/>
      <c r="AN128" s="786"/>
      <c r="AO128" s="786"/>
      <c r="AP128" s="786"/>
      <c r="AQ128" s="786"/>
      <c r="AR128" s="786"/>
      <c r="AS128" s="786"/>
      <c r="AT128" s="787"/>
      <c r="AY128" s="770"/>
    </row>
    <row r="129" ht="39.75" customHeight="1">
      <c r="A129" s="771" t="s">
        <v>322</v>
      </c>
      <c r="B129" s="804" t="s">
        <v>323</v>
      </c>
      <c r="C129" s="783"/>
      <c r="D129" s="784"/>
      <c r="E129" s="785"/>
      <c r="F129" s="785"/>
      <c r="G129" s="785"/>
      <c r="H129" s="785"/>
      <c r="I129" s="785"/>
      <c r="J129" s="785"/>
      <c r="K129" s="785"/>
      <c r="L129" s="785"/>
      <c r="M129" s="785"/>
      <c r="N129" s="785"/>
      <c r="O129" s="785"/>
      <c r="P129" s="785"/>
      <c r="Q129" s="785"/>
      <c r="R129" s="785"/>
      <c r="S129" s="785"/>
      <c r="T129" s="785"/>
      <c r="U129" s="785"/>
      <c r="V129" s="785"/>
      <c r="W129" s="785"/>
      <c r="X129" s="785"/>
      <c r="Y129" s="785"/>
      <c r="Z129" s="785"/>
      <c r="AA129" s="785"/>
      <c r="AB129" s="785"/>
      <c r="AC129" s="785"/>
      <c r="AD129" s="785"/>
      <c r="AE129" s="785"/>
      <c r="AF129" s="785"/>
      <c r="AG129" s="785"/>
      <c r="AH129" s="785"/>
      <c r="AI129" s="786"/>
      <c r="AJ129" s="786"/>
      <c r="AK129" s="786"/>
      <c r="AL129" s="786"/>
      <c r="AM129" s="786"/>
      <c r="AN129" s="786"/>
      <c r="AO129" s="786"/>
      <c r="AP129" s="786"/>
      <c r="AQ129" s="786"/>
      <c r="AR129" s="786"/>
      <c r="AS129" s="786"/>
      <c r="AT129" s="787"/>
      <c r="AY129" s="770"/>
    </row>
    <row r="130" ht="39.75" customHeight="1">
      <c r="A130" s="793" t="s">
        <v>324</v>
      </c>
      <c r="B130" s="426" t="s">
        <v>325</v>
      </c>
      <c r="C130" s="387"/>
      <c r="D130" s="387"/>
      <c r="E130" s="387"/>
      <c r="F130" s="394"/>
      <c r="G130" s="387"/>
      <c r="H130" s="394"/>
      <c r="I130" s="387" t="s">
        <v>85</v>
      </c>
      <c r="J130" s="394"/>
      <c r="K130" s="387" t="s">
        <v>85</v>
      </c>
      <c r="L130" s="394"/>
      <c r="M130" s="387" t="s">
        <v>85</v>
      </c>
      <c r="N130" s="394"/>
      <c r="O130" s="387" t="s">
        <v>85</v>
      </c>
      <c r="P130" s="394"/>
      <c r="Q130" s="387" t="s">
        <v>85</v>
      </c>
      <c r="R130" s="394"/>
      <c r="S130" s="387" t="s">
        <v>77</v>
      </c>
      <c r="T130" s="394"/>
      <c r="U130" s="387" t="s">
        <v>77</v>
      </c>
      <c r="V130" s="394"/>
      <c r="W130" s="387" t="s">
        <v>77</v>
      </c>
      <c r="X130" s="394"/>
      <c r="Y130" s="387" t="s">
        <v>77</v>
      </c>
      <c r="Z130" s="394"/>
      <c r="AA130" s="387" t="s">
        <v>77</v>
      </c>
      <c r="AB130" s="394"/>
      <c r="AC130" s="387" t="s">
        <v>77</v>
      </c>
      <c r="AD130" s="394"/>
      <c r="AE130" s="387" t="s">
        <v>77</v>
      </c>
      <c r="AF130" s="394"/>
      <c r="AG130" s="387" t="s">
        <v>77</v>
      </c>
      <c r="AH130" s="394"/>
      <c r="AI130" s="387" t="s">
        <v>77</v>
      </c>
      <c r="AJ130" s="394"/>
      <c r="AK130" s="387" t="s">
        <v>77</v>
      </c>
      <c r="AL130" s="394"/>
      <c r="AM130" s="389" t="s">
        <v>77</v>
      </c>
      <c r="AN130" s="394"/>
      <c r="AP130" s="389"/>
      <c r="AQ130" s="389"/>
      <c r="AR130" s="394"/>
      <c r="AS130" s="391">
        <f t="shared" ref="AS130:AS141" si="37">COUNTIF(C130:AR130,"&gt;=R")</f>
        <v>16</v>
      </c>
      <c r="AT130" s="392">
        <f t="shared" ref="AT130:AT141" si="38">AS130</f>
        <v>16</v>
      </c>
      <c r="AY130" s="770"/>
    </row>
    <row r="131" ht="39.75" customHeight="1">
      <c r="A131" s="805" t="s">
        <v>326</v>
      </c>
      <c r="B131" s="428" t="s">
        <v>327</v>
      </c>
      <c r="C131" s="387"/>
      <c r="D131" s="387"/>
      <c r="E131" s="387"/>
      <c r="F131" s="394"/>
      <c r="G131" s="387"/>
      <c r="H131" s="394"/>
      <c r="I131" s="387" t="s">
        <v>85</v>
      </c>
      <c r="J131" s="394"/>
      <c r="K131" s="387" t="s">
        <v>85</v>
      </c>
      <c r="L131" s="394"/>
      <c r="M131" s="387" t="s">
        <v>85</v>
      </c>
      <c r="N131" s="394"/>
      <c r="O131" s="387" t="s">
        <v>85</v>
      </c>
      <c r="P131" s="394"/>
      <c r="Q131" s="387" t="s">
        <v>85</v>
      </c>
      <c r="R131" s="394"/>
      <c r="S131" s="387" t="s">
        <v>77</v>
      </c>
      <c r="T131" s="394"/>
      <c r="U131" s="387" t="s">
        <v>77</v>
      </c>
      <c r="V131" s="394"/>
      <c r="W131" s="387" t="s">
        <v>77</v>
      </c>
      <c r="X131" s="394"/>
      <c r="Y131" s="387" t="s">
        <v>77</v>
      </c>
      <c r="Z131" s="394"/>
      <c r="AA131" s="387" t="s">
        <v>77</v>
      </c>
      <c r="AB131" s="394"/>
      <c r="AC131" s="387" t="s">
        <v>77</v>
      </c>
      <c r="AD131" s="394"/>
      <c r="AE131" s="387" t="s">
        <v>77</v>
      </c>
      <c r="AF131" s="394"/>
      <c r="AG131" s="387" t="s">
        <v>77</v>
      </c>
      <c r="AH131" s="394"/>
      <c r="AI131" s="387" t="s">
        <v>77</v>
      </c>
      <c r="AJ131" s="394"/>
      <c r="AK131" s="387" t="s">
        <v>77</v>
      </c>
      <c r="AL131" s="394"/>
      <c r="AM131" s="389" t="s">
        <v>77</v>
      </c>
      <c r="AN131" s="394"/>
      <c r="AO131" s="389" t="s">
        <v>66</v>
      </c>
      <c r="AP131" s="389"/>
      <c r="AQ131" s="389"/>
      <c r="AR131" s="394"/>
      <c r="AS131" s="391">
        <f t="shared" si="37"/>
        <v>17</v>
      </c>
      <c r="AT131" s="392">
        <f t="shared" si="38"/>
        <v>17</v>
      </c>
      <c r="AY131" s="770"/>
    </row>
    <row r="132" ht="39.75" customHeight="1">
      <c r="A132" s="793" t="s">
        <v>328</v>
      </c>
      <c r="B132" s="426" t="s">
        <v>329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89"/>
      <c r="P132" s="394"/>
      <c r="Q132" s="389"/>
      <c r="R132" s="394"/>
      <c r="S132" s="389"/>
      <c r="T132" s="394"/>
      <c r="U132" s="389"/>
      <c r="V132" s="394"/>
      <c r="W132" s="389"/>
      <c r="X132" s="394"/>
      <c r="Y132" s="389"/>
      <c r="Z132" s="394"/>
      <c r="AA132" s="389"/>
      <c r="AB132" s="394"/>
      <c r="AC132" s="389"/>
      <c r="AD132" s="394"/>
      <c r="AE132" s="389"/>
      <c r="AF132" s="394"/>
      <c r="AG132" s="389"/>
      <c r="AH132" s="394"/>
      <c r="AI132" s="389"/>
      <c r="AJ132" s="394"/>
      <c r="AK132" s="389"/>
      <c r="AL132" s="394"/>
      <c r="AM132" s="394"/>
      <c r="AN132" s="394"/>
      <c r="AO132" s="394"/>
      <c r="AP132" s="394"/>
      <c r="AQ132" s="394"/>
      <c r="AR132" s="394"/>
      <c r="AS132" s="391">
        <f t="shared" si="37"/>
        <v>0</v>
      </c>
      <c r="AT132" s="392">
        <f t="shared" si="38"/>
        <v>0</v>
      </c>
      <c r="AY132" s="770"/>
    </row>
    <row r="133" ht="39.75" customHeight="1">
      <c r="A133" s="793" t="s">
        <v>330</v>
      </c>
      <c r="B133" s="426" t="s">
        <v>331</v>
      </c>
      <c r="C133" s="388"/>
      <c r="D133" s="387"/>
      <c r="E133" s="389"/>
      <c r="F133" s="394"/>
      <c r="G133" s="389"/>
      <c r="H133" s="394"/>
      <c r="I133" s="389" t="s">
        <v>76</v>
      </c>
      <c r="J133" s="394"/>
      <c r="K133" s="389" t="s">
        <v>76</v>
      </c>
      <c r="L133" s="394"/>
      <c r="M133" s="389" t="s">
        <v>76</v>
      </c>
      <c r="N133" s="394"/>
      <c r="O133" s="389" t="s">
        <v>76</v>
      </c>
      <c r="P133" s="394"/>
      <c r="Q133" s="389" t="s">
        <v>76</v>
      </c>
      <c r="R133" s="394"/>
      <c r="S133" s="389" t="s">
        <v>76</v>
      </c>
      <c r="T133" s="394"/>
      <c r="U133" s="389" t="s">
        <v>76</v>
      </c>
      <c r="V133" s="394"/>
      <c r="W133" s="389" t="s">
        <v>76</v>
      </c>
      <c r="X133" s="394"/>
      <c r="Y133" s="389" t="s">
        <v>76</v>
      </c>
      <c r="Z133" s="394"/>
      <c r="AA133" s="389" t="s">
        <v>76</v>
      </c>
      <c r="AB133" s="394"/>
      <c r="AC133" s="389" t="s">
        <v>76</v>
      </c>
      <c r="AD133" s="394"/>
      <c r="AE133" s="389" t="s">
        <v>76</v>
      </c>
      <c r="AF133" s="394"/>
      <c r="AG133" s="389" t="s">
        <v>76</v>
      </c>
      <c r="AH133" s="394"/>
      <c r="AI133" s="389" t="s">
        <v>76</v>
      </c>
      <c r="AJ133" s="394"/>
      <c r="AK133" s="389" t="s">
        <v>76</v>
      </c>
      <c r="AL133" s="394"/>
      <c r="AM133" s="394" t="s">
        <v>76</v>
      </c>
      <c r="AN133" s="394"/>
      <c r="AO133" s="394" t="s">
        <v>66</v>
      </c>
      <c r="AP133" s="394"/>
      <c r="AQ133" s="394"/>
      <c r="AR133" s="394"/>
      <c r="AS133" s="391">
        <f t="shared" si="37"/>
        <v>17</v>
      </c>
      <c r="AT133" s="392">
        <f t="shared" si="38"/>
        <v>17</v>
      </c>
      <c r="AY133" s="770"/>
    </row>
    <row r="134" ht="39.75" customHeight="1">
      <c r="A134" s="793" t="s">
        <v>332</v>
      </c>
      <c r="B134" s="426" t="s">
        <v>333</v>
      </c>
      <c r="C134" s="387"/>
      <c r="D134" s="387"/>
      <c r="E134" s="394"/>
      <c r="F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  <c r="AA134" s="394"/>
      <c r="AB134" s="394"/>
      <c r="AC134" s="394"/>
      <c r="AD134" s="394"/>
      <c r="AE134" s="394"/>
      <c r="AF134" s="394"/>
      <c r="AG134" s="394"/>
      <c r="AH134" s="394"/>
      <c r="AI134" s="394"/>
      <c r="AJ134" s="394"/>
      <c r="AK134" s="394"/>
      <c r="AL134" s="394"/>
      <c r="AM134" s="394"/>
      <c r="AN134" s="394"/>
      <c r="AO134" s="394"/>
      <c r="AP134" s="394"/>
      <c r="AQ134" s="394"/>
      <c r="AR134" s="394"/>
      <c r="AS134" s="391">
        <f t="shared" si="37"/>
        <v>0</v>
      </c>
      <c r="AT134" s="392">
        <f t="shared" si="38"/>
        <v>0</v>
      </c>
      <c r="AY134" s="770"/>
    </row>
    <row r="135" ht="39.75" customHeight="1">
      <c r="A135" s="793" t="s">
        <v>334</v>
      </c>
      <c r="B135" s="426" t="s">
        <v>335</v>
      </c>
      <c r="C135" s="387"/>
      <c r="D135" s="388"/>
      <c r="E135" s="387"/>
      <c r="F135" s="389"/>
      <c r="G135" s="387"/>
      <c r="H135" s="389"/>
      <c r="I135" s="387"/>
      <c r="J135" s="389"/>
      <c r="K135" s="387"/>
      <c r="L135" s="394"/>
      <c r="M135" s="387"/>
      <c r="N135" s="394"/>
      <c r="O135" s="387"/>
      <c r="P135" s="394"/>
      <c r="Q135" s="387"/>
      <c r="R135" s="394"/>
      <c r="S135" s="387"/>
      <c r="T135" s="394"/>
      <c r="U135" s="387"/>
      <c r="V135" s="394"/>
      <c r="W135" s="387"/>
      <c r="X135" s="394"/>
      <c r="Y135" s="387"/>
      <c r="Z135" s="394"/>
      <c r="AA135" s="387"/>
      <c r="AB135" s="394"/>
      <c r="AC135" s="387"/>
      <c r="AD135" s="394"/>
      <c r="AE135" s="387"/>
      <c r="AF135" s="394"/>
      <c r="AG135" s="387"/>
      <c r="AH135" s="394"/>
      <c r="AI135" s="387"/>
      <c r="AJ135" s="394"/>
      <c r="AK135" s="387"/>
      <c r="AL135" s="394"/>
      <c r="AM135" s="389"/>
      <c r="AN135" s="394"/>
      <c r="AO135" s="389" t="s">
        <v>66</v>
      </c>
      <c r="AP135" s="389"/>
      <c r="AQ135" s="389"/>
      <c r="AR135" s="394"/>
      <c r="AS135" s="391">
        <f t="shared" si="37"/>
        <v>1</v>
      </c>
      <c r="AT135" s="392">
        <f t="shared" si="38"/>
        <v>1</v>
      </c>
      <c r="AY135" s="770"/>
    </row>
    <row r="136" ht="39.75" customHeight="1">
      <c r="A136" s="793" t="s">
        <v>336</v>
      </c>
      <c r="B136" s="426" t="s">
        <v>337</v>
      </c>
      <c r="C136" s="387"/>
      <c r="D136" s="387"/>
      <c r="E136" s="387"/>
      <c r="F136" s="394"/>
      <c r="G136" s="387"/>
      <c r="H136" s="394"/>
      <c r="I136" s="387"/>
      <c r="J136" s="394"/>
      <c r="K136" s="387"/>
      <c r="L136" s="394"/>
      <c r="M136" s="387"/>
      <c r="N136" s="394"/>
      <c r="O136" s="387"/>
      <c r="P136" s="394"/>
      <c r="Q136" s="387"/>
      <c r="R136" s="394"/>
      <c r="S136" s="387"/>
      <c r="T136" s="394"/>
      <c r="U136" s="387"/>
      <c r="V136" s="394"/>
      <c r="W136" s="387"/>
      <c r="X136" s="394"/>
      <c r="Y136" s="387"/>
      <c r="Z136" s="394"/>
      <c r="AA136" s="387"/>
      <c r="AB136" s="394"/>
      <c r="AC136" s="387"/>
      <c r="AD136" s="394"/>
      <c r="AE136" s="387"/>
      <c r="AF136" s="394"/>
      <c r="AG136" s="387"/>
      <c r="AH136" s="394"/>
      <c r="AI136" s="387"/>
      <c r="AJ136" s="394"/>
      <c r="AK136" s="387"/>
      <c r="AL136" s="394"/>
      <c r="AM136" s="389"/>
      <c r="AN136" s="394"/>
      <c r="AO136" s="394" t="s">
        <v>66</v>
      </c>
      <c r="AP136" s="394"/>
      <c r="AQ136" s="394"/>
      <c r="AR136" s="394"/>
      <c r="AS136" s="391">
        <f t="shared" si="37"/>
        <v>1</v>
      </c>
      <c r="AT136" s="392">
        <f t="shared" si="38"/>
        <v>1</v>
      </c>
      <c r="AY136" s="770"/>
    </row>
    <row r="137" ht="39.75" customHeight="1">
      <c r="A137" s="793" t="s">
        <v>338</v>
      </c>
      <c r="B137" s="426" t="s">
        <v>339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4"/>
      <c r="AB137" s="394"/>
      <c r="AC137" s="394"/>
      <c r="AD137" s="394"/>
      <c r="AE137" s="394"/>
      <c r="AF137" s="394"/>
      <c r="AG137" s="394"/>
      <c r="AH137" s="394"/>
      <c r="AI137" s="394"/>
      <c r="AJ137" s="394"/>
      <c r="AK137" s="394"/>
      <c r="AL137" s="394"/>
      <c r="AM137" s="387"/>
      <c r="AN137" s="394"/>
      <c r="AO137" s="387"/>
      <c r="AP137" s="387"/>
      <c r="AQ137" s="387"/>
      <c r="AR137" s="394"/>
      <c r="AS137" s="391">
        <f t="shared" si="37"/>
        <v>0</v>
      </c>
      <c r="AT137" s="392">
        <f t="shared" si="38"/>
        <v>0</v>
      </c>
      <c r="AY137" s="770"/>
    </row>
    <row r="138" ht="39.75" customHeight="1">
      <c r="A138" s="793" t="s">
        <v>340</v>
      </c>
      <c r="B138" s="426" t="s">
        <v>341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4"/>
      <c r="AB138" s="394"/>
      <c r="AC138" s="394"/>
      <c r="AD138" s="394"/>
      <c r="AE138" s="394"/>
      <c r="AF138" s="394"/>
      <c r="AG138" s="394"/>
      <c r="AH138" s="394"/>
      <c r="AI138" s="394"/>
      <c r="AJ138" s="394"/>
      <c r="AK138" s="394"/>
      <c r="AL138" s="394"/>
      <c r="AM138" s="394"/>
      <c r="AN138" s="394"/>
      <c r="AO138" s="394"/>
      <c r="AP138" s="394"/>
      <c r="AQ138" s="394"/>
      <c r="AR138" s="394"/>
      <c r="AS138" s="391">
        <f t="shared" si="37"/>
        <v>0</v>
      </c>
      <c r="AT138" s="392">
        <f t="shared" si="38"/>
        <v>0</v>
      </c>
      <c r="AY138" s="770"/>
    </row>
    <row r="139" ht="39.75" customHeight="1">
      <c r="A139" s="793" t="s">
        <v>342</v>
      </c>
      <c r="B139" s="426" t="s">
        <v>343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4"/>
      <c r="AB139" s="394"/>
      <c r="AC139" s="394"/>
      <c r="AD139" s="394"/>
      <c r="AE139" s="394"/>
      <c r="AF139" s="394"/>
      <c r="AG139" s="394"/>
      <c r="AH139" s="394"/>
      <c r="AI139" s="394"/>
      <c r="AJ139" s="394"/>
      <c r="AK139" s="394"/>
      <c r="AL139" s="394"/>
      <c r="AM139" s="394"/>
      <c r="AN139" s="394"/>
      <c r="AO139" s="394"/>
      <c r="AP139" s="394"/>
      <c r="AQ139" s="394"/>
      <c r="AR139" s="394"/>
      <c r="AS139" s="391">
        <f t="shared" si="37"/>
        <v>0</v>
      </c>
      <c r="AT139" s="392">
        <f t="shared" si="38"/>
        <v>0</v>
      </c>
      <c r="AY139" s="770"/>
    </row>
    <row r="140" ht="39.75" customHeight="1">
      <c r="A140" s="793" t="s">
        <v>344</v>
      </c>
      <c r="B140" s="426" t="s">
        <v>345</v>
      </c>
      <c r="C140" s="387"/>
      <c r="D140" s="387"/>
      <c r="E140" s="394"/>
      <c r="F140" s="394"/>
      <c r="G140" s="394"/>
      <c r="H140" s="394"/>
      <c r="I140" s="394"/>
      <c r="J140" s="394"/>
      <c r="K140" s="394"/>
      <c r="L140" s="394"/>
      <c r="M140" s="394"/>
      <c r="N140" s="394"/>
      <c r="O140" s="394"/>
      <c r="P140" s="394"/>
      <c r="Q140" s="394"/>
      <c r="R140" s="394"/>
      <c r="S140" s="394"/>
      <c r="T140" s="394"/>
      <c r="U140" s="394"/>
      <c r="V140" s="394"/>
      <c r="W140" s="394"/>
      <c r="X140" s="394"/>
      <c r="Y140" s="394"/>
      <c r="Z140" s="394"/>
      <c r="AA140" s="394"/>
      <c r="AB140" s="394"/>
      <c r="AC140" s="394"/>
      <c r="AD140" s="394"/>
      <c r="AE140" s="394"/>
      <c r="AF140" s="394"/>
      <c r="AG140" s="394"/>
      <c r="AH140" s="394"/>
      <c r="AI140" s="394"/>
      <c r="AJ140" s="394"/>
      <c r="AK140" s="394"/>
      <c r="AL140" s="394"/>
      <c r="AM140" s="394"/>
      <c r="AN140" s="394"/>
      <c r="AO140" s="394"/>
      <c r="AP140" s="394"/>
      <c r="AQ140" s="394"/>
      <c r="AR140" s="394"/>
      <c r="AS140" s="391">
        <f t="shared" si="37"/>
        <v>0</v>
      </c>
      <c r="AT140" s="392">
        <f t="shared" si="38"/>
        <v>0</v>
      </c>
      <c r="AY140" s="770"/>
    </row>
    <row r="141" ht="39.75" customHeight="1">
      <c r="A141" s="793" t="s">
        <v>346</v>
      </c>
      <c r="B141" s="426" t="s">
        <v>347</v>
      </c>
      <c r="C141" s="387"/>
      <c r="D141" s="387"/>
      <c r="E141" s="394"/>
      <c r="F141" s="394"/>
      <c r="G141" s="394"/>
      <c r="H141" s="394"/>
      <c r="I141" s="394"/>
      <c r="J141" s="394"/>
      <c r="K141" s="394"/>
      <c r="L141" s="394"/>
      <c r="M141" s="394"/>
      <c r="N141" s="394"/>
      <c r="O141" s="394"/>
      <c r="P141" s="394"/>
      <c r="Q141" s="394"/>
      <c r="R141" s="394"/>
      <c r="S141" s="394"/>
      <c r="T141" s="394"/>
      <c r="U141" s="394"/>
      <c r="V141" s="394"/>
      <c r="W141" s="394"/>
      <c r="X141" s="394"/>
      <c r="Y141" s="394"/>
      <c r="Z141" s="394"/>
      <c r="AA141" s="394"/>
      <c r="AB141" s="394"/>
      <c r="AC141" s="394"/>
      <c r="AD141" s="394"/>
      <c r="AE141" s="394"/>
      <c r="AF141" s="394"/>
      <c r="AG141" s="394"/>
      <c r="AH141" s="394"/>
      <c r="AI141" s="394"/>
      <c r="AJ141" s="394"/>
      <c r="AK141" s="394"/>
      <c r="AL141" s="394"/>
      <c r="AM141" s="389"/>
      <c r="AN141" s="394"/>
      <c r="AO141" s="389"/>
      <c r="AP141" s="389"/>
      <c r="AQ141" s="389"/>
      <c r="AR141" s="394"/>
      <c r="AS141" s="391">
        <f t="shared" si="37"/>
        <v>0</v>
      </c>
      <c r="AT141" s="392">
        <f t="shared" si="38"/>
        <v>0</v>
      </c>
      <c r="AY141" s="770"/>
    </row>
    <row r="142" ht="39.75" customHeight="1">
      <c r="A142" s="781" t="s">
        <v>348</v>
      </c>
      <c r="B142" s="801" t="s">
        <v>349</v>
      </c>
      <c r="C142" s="783"/>
      <c r="D142" s="784"/>
      <c r="E142" s="785"/>
      <c r="F142" s="785"/>
      <c r="G142" s="785"/>
      <c r="H142" s="785"/>
      <c r="I142" s="785"/>
      <c r="J142" s="785"/>
      <c r="K142" s="785"/>
      <c r="L142" s="785"/>
      <c r="M142" s="785"/>
      <c r="N142" s="785"/>
      <c r="O142" s="785"/>
      <c r="P142" s="785"/>
      <c r="Q142" s="785"/>
      <c r="R142" s="785"/>
      <c r="S142" s="785"/>
      <c r="T142" s="785"/>
      <c r="U142" s="785"/>
      <c r="V142" s="785"/>
      <c r="W142" s="785"/>
      <c r="X142" s="785"/>
      <c r="Y142" s="785"/>
      <c r="Z142" s="785"/>
      <c r="AA142" s="785"/>
      <c r="AB142" s="785"/>
      <c r="AC142" s="785"/>
      <c r="AD142" s="785"/>
      <c r="AE142" s="785"/>
      <c r="AF142" s="785"/>
      <c r="AG142" s="785"/>
      <c r="AH142" s="785"/>
      <c r="AI142" s="786"/>
      <c r="AJ142" s="786"/>
      <c r="AK142" s="786"/>
      <c r="AL142" s="786"/>
      <c r="AM142" s="786"/>
      <c r="AN142" s="786"/>
      <c r="AO142" s="786"/>
      <c r="AP142" s="786"/>
      <c r="AQ142" s="786"/>
      <c r="AR142" s="786"/>
      <c r="AS142" s="786"/>
      <c r="AT142" s="787"/>
      <c r="AY142" s="770"/>
    </row>
    <row r="143" ht="39.75" customHeight="1">
      <c r="A143" s="793" t="s">
        <v>350</v>
      </c>
      <c r="B143" s="412" t="s">
        <v>351</v>
      </c>
      <c r="C143" s="387"/>
      <c r="D143" s="387"/>
      <c r="E143" s="387"/>
      <c r="F143" s="394"/>
      <c r="G143" s="387"/>
      <c r="H143" s="394"/>
      <c r="I143" s="387"/>
      <c r="J143" s="394"/>
      <c r="K143" s="387"/>
      <c r="L143" s="394"/>
      <c r="M143" s="387"/>
      <c r="N143" s="394"/>
      <c r="O143" s="387"/>
      <c r="P143" s="394"/>
      <c r="Q143" s="387"/>
      <c r="R143" s="394"/>
      <c r="S143" s="387"/>
      <c r="T143" s="394"/>
      <c r="U143" s="387"/>
      <c r="V143" s="394"/>
      <c r="W143" s="387"/>
      <c r="X143" s="394"/>
      <c r="Y143" s="387"/>
      <c r="Z143" s="394"/>
      <c r="AA143" s="387"/>
      <c r="AB143" s="394"/>
      <c r="AC143" s="387"/>
      <c r="AD143" s="394"/>
      <c r="AE143" s="387"/>
      <c r="AF143" s="394"/>
      <c r="AG143" s="387"/>
      <c r="AH143" s="394"/>
      <c r="AI143" s="387"/>
      <c r="AJ143" s="394"/>
      <c r="AK143" s="387"/>
      <c r="AL143" s="394"/>
      <c r="AM143" s="387"/>
      <c r="AN143" s="394"/>
      <c r="AO143" s="387"/>
      <c r="AP143" s="387"/>
      <c r="AQ143" s="387"/>
      <c r="AR143" s="394"/>
      <c r="AS143" s="391">
        <f t="shared" ref="AS143:AS145" si="39">COUNTIF(C143:AR143,"&gt;=R")</f>
        <v>0</v>
      </c>
      <c r="AT143" s="392">
        <f t="shared" ref="AT143:AT145" si="40">AS143</f>
        <v>0</v>
      </c>
      <c r="AY143" s="770"/>
    </row>
    <row r="144" ht="39.75" customHeight="1">
      <c r="A144" s="793" t="s">
        <v>352</v>
      </c>
      <c r="B144" s="412" t="s">
        <v>353</v>
      </c>
      <c r="C144" s="387"/>
      <c r="D144" s="387"/>
      <c r="E144" s="394"/>
      <c r="F144" s="394"/>
      <c r="G144" s="394"/>
      <c r="H144" s="394"/>
      <c r="I144" s="394" t="s">
        <v>55</v>
      </c>
      <c r="J144" s="394"/>
      <c r="K144" s="394" t="s">
        <v>55</v>
      </c>
      <c r="L144" s="394"/>
      <c r="M144" s="394" t="s">
        <v>55</v>
      </c>
      <c r="N144" s="394"/>
      <c r="O144" s="394" t="s">
        <v>55</v>
      </c>
      <c r="P144" s="394"/>
      <c r="Q144" s="394" t="s">
        <v>55</v>
      </c>
      <c r="R144" s="394"/>
      <c r="S144" s="394" t="s">
        <v>55</v>
      </c>
      <c r="T144" s="394"/>
      <c r="U144" s="389" t="s">
        <v>55</v>
      </c>
      <c r="V144" s="394"/>
      <c r="W144" s="389" t="s">
        <v>55</v>
      </c>
      <c r="X144" s="394"/>
      <c r="Y144" s="389" t="s">
        <v>55</v>
      </c>
      <c r="Z144" s="394"/>
      <c r="AA144" s="394" t="s">
        <v>55</v>
      </c>
      <c r="AB144" s="394"/>
      <c r="AC144" s="389" t="s">
        <v>55</v>
      </c>
      <c r="AD144" s="394"/>
      <c r="AE144" s="389" t="s">
        <v>55</v>
      </c>
      <c r="AF144" s="394"/>
      <c r="AG144" s="389" t="s">
        <v>55</v>
      </c>
      <c r="AH144" s="394"/>
      <c r="AI144" s="389" t="s">
        <v>55</v>
      </c>
      <c r="AJ144" s="394"/>
      <c r="AK144" s="389" t="s">
        <v>55</v>
      </c>
      <c r="AL144" s="394"/>
      <c r="AM144" s="394" t="s">
        <v>55</v>
      </c>
      <c r="AN144" s="394"/>
      <c r="AO144" s="790" t="s">
        <v>408</v>
      </c>
      <c r="AP144" s="394"/>
      <c r="AQ144" s="394" t="s">
        <v>83</v>
      </c>
      <c r="AR144" s="394"/>
      <c r="AS144" s="391">
        <f t="shared" si="39"/>
        <v>18</v>
      </c>
      <c r="AT144" s="392">
        <f t="shared" si="40"/>
        <v>18</v>
      </c>
      <c r="AY144" s="770"/>
    </row>
    <row r="145" ht="39.75" customHeight="1">
      <c r="A145" s="793" t="s">
        <v>354</v>
      </c>
      <c r="B145" s="412" t="s">
        <v>355</v>
      </c>
      <c r="C145" s="387"/>
      <c r="D145" s="387"/>
      <c r="E145" s="394"/>
      <c r="F145" s="394"/>
      <c r="G145" s="394"/>
      <c r="H145" s="394"/>
      <c r="I145" s="394" t="s">
        <v>55</v>
      </c>
      <c r="J145" s="394"/>
      <c r="K145" s="394" t="s">
        <v>55</v>
      </c>
      <c r="L145" s="394"/>
      <c r="M145" s="394" t="s">
        <v>55</v>
      </c>
      <c r="N145" s="394"/>
      <c r="O145" s="394" t="s">
        <v>55</v>
      </c>
      <c r="P145" s="394"/>
      <c r="Q145" s="394" t="s">
        <v>55</v>
      </c>
      <c r="R145" s="394"/>
      <c r="S145" s="394" t="s">
        <v>55</v>
      </c>
      <c r="T145" s="394"/>
      <c r="U145" s="389" t="s">
        <v>55</v>
      </c>
      <c r="V145" s="394"/>
      <c r="W145" s="389" t="s">
        <v>55</v>
      </c>
      <c r="X145" s="394"/>
      <c r="Y145" s="389" t="s">
        <v>55</v>
      </c>
      <c r="Z145" s="394"/>
      <c r="AA145" s="394" t="s">
        <v>55</v>
      </c>
      <c r="AB145" s="394"/>
      <c r="AC145" s="389" t="s">
        <v>55</v>
      </c>
      <c r="AD145" s="394"/>
      <c r="AE145" s="389" t="s">
        <v>55</v>
      </c>
      <c r="AF145" s="394"/>
      <c r="AG145" s="389" t="s">
        <v>55</v>
      </c>
      <c r="AH145" s="394"/>
      <c r="AI145" s="389" t="s">
        <v>55</v>
      </c>
      <c r="AJ145" s="394"/>
      <c r="AK145" s="389" t="s">
        <v>55</v>
      </c>
      <c r="AL145" s="394"/>
      <c r="AM145" s="394" t="s">
        <v>55</v>
      </c>
      <c r="AN145" s="394"/>
      <c r="AO145" s="790" t="s">
        <v>408</v>
      </c>
      <c r="AP145" s="394"/>
      <c r="AQ145" s="394" t="s">
        <v>83</v>
      </c>
      <c r="AR145" s="394"/>
      <c r="AS145" s="391">
        <f t="shared" si="39"/>
        <v>18</v>
      </c>
      <c r="AT145" s="392">
        <f t="shared" si="40"/>
        <v>18</v>
      </c>
      <c r="AY145" s="770"/>
    </row>
    <row r="146" ht="39.75" customHeight="1">
      <c r="A146" s="781" t="s">
        <v>356</v>
      </c>
      <c r="B146" s="801" t="s">
        <v>357</v>
      </c>
      <c r="C146" s="783"/>
      <c r="D146" s="784"/>
      <c r="E146" s="785"/>
      <c r="F146" s="785"/>
      <c r="G146" s="785"/>
      <c r="H146" s="785"/>
      <c r="I146" s="785"/>
      <c r="J146" s="785"/>
      <c r="K146" s="785"/>
      <c r="L146" s="785"/>
      <c r="M146" s="785"/>
      <c r="N146" s="785"/>
      <c r="O146" s="785"/>
      <c r="P146" s="785"/>
      <c r="Q146" s="785"/>
      <c r="R146" s="785"/>
      <c r="S146" s="785"/>
      <c r="T146" s="785"/>
      <c r="U146" s="785"/>
      <c r="V146" s="785"/>
      <c r="W146" s="785"/>
      <c r="X146" s="785"/>
      <c r="Y146" s="785"/>
      <c r="Z146" s="785"/>
      <c r="AA146" s="785"/>
      <c r="AB146" s="785"/>
      <c r="AC146" s="785"/>
      <c r="AD146" s="785"/>
      <c r="AE146" s="785"/>
      <c r="AF146" s="785"/>
      <c r="AG146" s="785"/>
      <c r="AH146" s="785"/>
      <c r="AI146" s="786"/>
      <c r="AJ146" s="786"/>
      <c r="AK146" s="786"/>
      <c r="AL146" s="786"/>
      <c r="AM146" s="786"/>
      <c r="AN146" s="786"/>
      <c r="AO146" s="786"/>
      <c r="AP146" s="786"/>
      <c r="AQ146" s="786"/>
      <c r="AR146" s="786"/>
      <c r="AS146" s="786"/>
      <c r="AT146" s="787"/>
      <c r="AY146" s="770"/>
    </row>
    <row r="147" ht="39.75" customHeight="1">
      <c r="A147" s="793" t="s">
        <v>358</v>
      </c>
      <c r="B147" s="412" t="s">
        <v>359</v>
      </c>
      <c r="C147" s="387"/>
      <c r="D147" s="387"/>
      <c r="E147" s="387"/>
      <c r="F147" s="394"/>
      <c r="G147" s="387"/>
      <c r="H147" s="394"/>
      <c r="I147" s="387"/>
      <c r="J147" s="394"/>
      <c r="K147" s="387"/>
      <c r="L147" s="394"/>
      <c r="M147" s="387"/>
      <c r="N147" s="394"/>
      <c r="O147" s="387"/>
      <c r="P147" s="394"/>
      <c r="Q147" s="387"/>
      <c r="R147" s="394"/>
      <c r="S147" s="387"/>
      <c r="T147" s="394"/>
      <c r="U147" s="387"/>
      <c r="V147" s="394"/>
      <c r="W147" s="391" t="s">
        <v>410</v>
      </c>
      <c r="X147" s="394"/>
      <c r="Y147" s="391" t="s">
        <v>410</v>
      </c>
      <c r="Z147" s="394"/>
      <c r="AA147" s="391" t="s">
        <v>410</v>
      </c>
      <c r="AB147" s="394"/>
      <c r="AC147" s="391" t="s">
        <v>410</v>
      </c>
      <c r="AD147" s="394"/>
      <c r="AE147" s="391" t="s">
        <v>410</v>
      </c>
      <c r="AF147" s="394"/>
      <c r="AG147" s="391" t="s">
        <v>75</v>
      </c>
      <c r="AH147" s="394"/>
      <c r="AI147" s="391" t="s">
        <v>75</v>
      </c>
      <c r="AJ147" s="394"/>
      <c r="AK147" s="391" t="s">
        <v>75</v>
      </c>
      <c r="AL147" s="394"/>
      <c r="AM147" s="391" t="s">
        <v>75</v>
      </c>
      <c r="AN147" s="394"/>
      <c r="AO147" s="391" t="s">
        <v>75</v>
      </c>
      <c r="AP147" s="391"/>
      <c r="AQ147" s="391" t="s">
        <v>75</v>
      </c>
      <c r="AR147" s="394"/>
      <c r="AS147" s="391">
        <f t="shared" ref="AS147:AS149" si="41">COUNTIF(C147:AR147,"&gt;=R")</f>
        <v>11</v>
      </c>
      <c r="AT147" s="392">
        <f t="shared" ref="AT147:AT149" si="42">AS147</f>
        <v>11</v>
      </c>
      <c r="AY147" s="770"/>
    </row>
    <row r="148" ht="39.75" customHeight="1">
      <c r="A148" s="793" t="s">
        <v>360</v>
      </c>
      <c r="B148" s="412" t="s">
        <v>361</v>
      </c>
      <c r="C148" s="388"/>
      <c r="D148" s="387"/>
      <c r="E148" s="389"/>
      <c r="F148" s="394"/>
      <c r="G148" s="389" t="s">
        <v>6</v>
      </c>
      <c r="H148" s="394"/>
      <c r="I148" s="389" t="s">
        <v>6</v>
      </c>
      <c r="J148" s="394"/>
      <c r="K148" s="389" t="s">
        <v>6</v>
      </c>
      <c r="L148" s="394"/>
      <c r="M148" s="389" t="s">
        <v>6</v>
      </c>
      <c r="N148" s="394"/>
      <c r="O148" s="389" t="s">
        <v>6</v>
      </c>
      <c r="P148" s="394"/>
      <c r="Q148" s="389" t="s">
        <v>6</v>
      </c>
      <c r="R148" s="394"/>
      <c r="S148" s="389" t="s">
        <v>6</v>
      </c>
      <c r="T148" s="394"/>
      <c r="U148" s="389" t="s">
        <v>6</v>
      </c>
      <c r="V148" s="394"/>
      <c r="W148" s="389" t="s">
        <v>6</v>
      </c>
      <c r="X148" s="394"/>
      <c r="Y148" s="389" t="s">
        <v>6</v>
      </c>
      <c r="Z148" s="394"/>
      <c r="AA148" s="389" t="s">
        <v>6</v>
      </c>
      <c r="AB148" s="394"/>
      <c r="AC148" s="389" t="s">
        <v>6</v>
      </c>
      <c r="AD148" s="394"/>
      <c r="AE148" s="389" t="s">
        <v>6</v>
      </c>
      <c r="AF148" s="394"/>
      <c r="AG148" s="389" t="s">
        <v>6</v>
      </c>
      <c r="AH148" s="394"/>
      <c r="AI148" s="389" t="s">
        <v>6</v>
      </c>
      <c r="AJ148" s="394"/>
      <c r="AK148" s="389" t="s">
        <v>417</v>
      </c>
      <c r="AL148" s="394"/>
      <c r="AM148" s="389" t="s">
        <v>417</v>
      </c>
      <c r="AN148" s="394"/>
      <c r="AO148" s="389" t="s">
        <v>417</v>
      </c>
      <c r="AP148" s="389"/>
      <c r="AQ148" s="389" t="s">
        <v>417</v>
      </c>
      <c r="AR148" s="394"/>
      <c r="AS148" s="391">
        <f t="shared" si="41"/>
        <v>19</v>
      </c>
      <c r="AT148" s="392">
        <f t="shared" si="42"/>
        <v>19</v>
      </c>
      <c r="AY148" s="770"/>
    </row>
    <row r="149" ht="39.75" customHeight="1">
      <c r="A149" s="793" t="s">
        <v>362</v>
      </c>
      <c r="B149" s="412" t="s">
        <v>363</v>
      </c>
      <c r="C149" s="387"/>
      <c r="D149" s="387"/>
      <c r="E149" s="387"/>
      <c r="F149" s="394"/>
      <c r="G149" s="387"/>
      <c r="H149" s="394"/>
      <c r="I149" s="387" t="s">
        <v>85</v>
      </c>
      <c r="J149" s="394"/>
      <c r="K149" s="387" t="s">
        <v>85</v>
      </c>
      <c r="L149" s="394"/>
      <c r="M149" s="387" t="s">
        <v>85</v>
      </c>
      <c r="N149" s="394"/>
      <c r="O149" s="387" t="s">
        <v>85</v>
      </c>
      <c r="P149" s="394"/>
      <c r="Q149" s="387" t="s">
        <v>85</v>
      </c>
      <c r="R149" s="394"/>
      <c r="S149" s="387" t="s">
        <v>85</v>
      </c>
      <c r="T149" s="394"/>
      <c r="U149" s="387" t="s">
        <v>85</v>
      </c>
      <c r="V149" s="394"/>
      <c r="W149" s="387" t="s">
        <v>85</v>
      </c>
      <c r="X149" s="394"/>
      <c r="Y149" s="387" t="s">
        <v>85</v>
      </c>
      <c r="Z149" s="394"/>
      <c r="AA149" s="387" t="s">
        <v>85</v>
      </c>
      <c r="AB149" s="394"/>
      <c r="AC149" s="387" t="s">
        <v>85</v>
      </c>
      <c r="AD149" s="394"/>
      <c r="AE149" s="387" t="s">
        <v>85</v>
      </c>
      <c r="AF149" s="394"/>
      <c r="AG149" s="387" t="s">
        <v>83</v>
      </c>
      <c r="AH149" s="394"/>
      <c r="AI149" s="387" t="s">
        <v>83</v>
      </c>
      <c r="AJ149" s="394"/>
      <c r="AK149" s="387" t="s">
        <v>83</v>
      </c>
      <c r="AL149" s="394"/>
      <c r="AM149" s="387" t="s">
        <v>83</v>
      </c>
      <c r="AN149" s="394"/>
      <c r="AO149" s="387" t="s">
        <v>85</v>
      </c>
      <c r="AP149" s="387"/>
      <c r="AQ149" s="387" t="s">
        <v>85</v>
      </c>
      <c r="AR149" s="394"/>
      <c r="AS149" s="391">
        <f t="shared" si="41"/>
        <v>18</v>
      </c>
      <c r="AT149" s="392">
        <f t="shared" si="42"/>
        <v>18</v>
      </c>
      <c r="AY149" s="770"/>
    </row>
    <row r="150" ht="39.75" customHeight="1">
      <c r="A150" s="781" t="s">
        <v>364</v>
      </c>
      <c r="B150" s="782" t="s">
        <v>365</v>
      </c>
      <c r="C150" s="783"/>
      <c r="D150" s="784"/>
      <c r="E150" s="785"/>
      <c r="F150" s="785"/>
      <c r="G150" s="785"/>
      <c r="H150" s="785"/>
      <c r="I150" s="785"/>
      <c r="J150" s="785"/>
      <c r="K150" s="785"/>
      <c r="L150" s="785"/>
      <c r="M150" s="785"/>
      <c r="N150" s="785"/>
      <c r="O150" s="785"/>
      <c r="P150" s="785"/>
      <c r="Q150" s="785"/>
      <c r="R150" s="785"/>
      <c r="S150" s="785"/>
      <c r="T150" s="785"/>
      <c r="U150" s="785"/>
      <c r="V150" s="785"/>
      <c r="W150" s="785"/>
      <c r="X150" s="785"/>
      <c r="Y150" s="785"/>
      <c r="Z150" s="785"/>
      <c r="AA150" s="785"/>
      <c r="AB150" s="785"/>
      <c r="AC150" s="785"/>
      <c r="AD150" s="785"/>
      <c r="AE150" s="785"/>
      <c r="AF150" s="785"/>
      <c r="AG150" s="785"/>
      <c r="AH150" s="785"/>
      <c r="AI150" s="786"/>
      <c r="AJ150" s="786"/>
      <c r="AK150" s="786"/>
      <c r="AL150" s="786"/>
      <c r="AM150" s="786"/>
      <c r="AN150" s="786"/>
      <c r="AO150" s="786"/>
      <c r="AP150" s="786"/>
      <c r="AQ150" s="786"/>
      <c r="AR150" s="786"/>
      <c r="AS150" s="786"/>
      <c r="AT150" s="787"/>
      <c r="AY150" s="770"/>
    </row>
    <row r="151" ht="39.75" customHeight="1">
      <c r="A151" s="778" t="s">
        <v>366</v>
      </c>
      <c r="B151" s="386" t="s">
        <v>367</v>
      </c>
      <c r="C151" s="387"/>
      <c r="D151" s="387"/>
      <c r="E151" s="394"/>
      <c r="F151" s="394"/>
      <c r="G151" s="394"/>
      <c r="H151" s="394"/>
      <c r="I151" s="394"/>
      <c r="J151" s="394"/>
      <c r="K151" s="394"/>
      <c r="L151" s="394"/>
      <c r="M151" s="394"/>
      <c r="N151" s="394"/>
      <c r="O151" s="394"/>
      <c r="P151" s="394"/>
      <c r="Q151" s="394"/>
      <c r="R151" s="394"/>
      <c r="S151" s="394"/>
      <c r="T151" s="394"/>
      <c r="U151" s="394"/>
      <c r="V151" s="394"/>
      <c r="W151" s="394"/>
      <c r="X151" s="394"/>
      <c r="Y151" s="394"/>
      <c r="Z151" s="394"/>
      <c r="AA151" s="394"/>
      <c r="AB151" s="394"/>
      <c r="AC151" s="394"/>
      <c r="AD151" s="394"/>
      <c r="AE151" s="394"/>
      <c r="AF151" s="394"/>
      <c r="AG151" s="394"/>
      <c r="AH151" s="394"/>
      <c r="AI151" s="394"/>
      <c r="AJ151" s="394"/>
      <c r="AK151" s="394"/>
      <c r="AL151" s="394"/>
      <c r="AM151" s="394"/>
      <c r="AN151" s="394"/>
      <c r="AO151" s="394"/>
      <c r="AP151" s="394"/>
      <c r="AQ151" s="394"/>
      <c r="AR151" s="394"/>
      <c r="AS151" s="391">
        <f t="shared" ref="AS151:AS158" si="43">COUNTIF(C151:AR151,"&gt;=R")</f>
        <v>0</v>
      </c>
      <c r="AT151" s="392">
        <f t="shared" ref="AT151:AT158" si="44">AS151</f>
        <v>0</v>
      </c>
      <c r="AY151" s="770"/>
    </row>
    <row r="152" ht="39.75" customHeight="1">
      <c r="A152" s="778" t="s">
        <v>368</v>
      </c>
      <c r="B152" s="386" t="s">
        <v>369</v>
      </c>
      <c r="C152" s="387"/>
      <c r="D152" s="387"/>
      <c r="E152" s="394"/>
      <c r="F152" s="394"/>
      <c r="G152" s="394"/>
      <c r="H152" s="394"/>
      <c r="I152" s="394"/>
      <c r="J152" s="394"/>
      <c r="K152" s="394"/>
      <c r="L152" s="394"/>
      <c r="M152" s="394"/>
      <c r="N152" s="394"/>
      <c r="O152" s="394"/>
      <c r="P152" s="394"/>
      <c r="Q152" s="394"/>
      <c r="R152" s="394"/>
      <c r="S152" s="394"/>
      <c r="T152" s="394"/>
      <c r="U152" s="394"/>
      <c r="V152" s="394"/>
      <c r="W152" s="394"/>
      <c r="X152" s="394"/>
      <c r="Y152" s="394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394"/>
      <c r="AJ152" s="394"/>
      <c r="AK152" s="394"/>
      <c r="AL152" s="394"/>
      <c r="AM152" s="394"/>
      <c r="AN152" s="394"/>
      <c r="AO152" s="394" t="s">
        <v>91</v>
      </c>
      <c r="AP152" s="394"/>
      <c r="AQ152" s="394"/>
      <c r="AR152" s="394"/>
      <c r="AS152" s="391">
        <f t="shared" si="43"/>
        <v>1</v>
      </c>
      <c r="AT152" s="392">
        <f t="shared" si="44"/>
        <v>1</v>
      </c>
      <c r="AY152" s="770"/>
    </row>
    <row r="153" ht="39.75" customHeight="1">
      <c r="A153" s="778" t="s">
        <v>370</v>
      </c>
      <c r="B153" s="386" t="s">
        <v>371</v>
      </c>
      <c r="C153" s="388"/>
      <c r="D153" s="387"/>
      <c r="E153" s="389"/>
      <c r="F153" s="394"/>
      <c r="G153" s="389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89"/>
      <c r="X153" s="394"/>
      <c r="Y153" s="389"/>
      <c r="Z153" s="394"/>
      <c r="AA153" s="389"/>
      <c r="AB153" s="394"/>
      <c r="AC153" s="389"/>
      <c r="AD153" s="394"/>
      <c r="AE153" s="389"/>
      <c r="AF153" s="394"/>
      <c r="AG153" s="389"/>
      <c r="AH153" s="394"/>
      <c r="AI153" s="389"/>
      <c r="AJ153" s="394"/>
      <c r="AK153" s="389"/>
      <c r="AL153" s="394"/>
      <c r="AM153" s="394"/>
      <c r="AN153" s="394"/>
      <c r="AO153" s="394"/>
      <c r="AP153" s="394"/>
      <c r="AQ153" s="394"/>
      <c r="AR153" s="394"/>
      <c r="AS153" s="391">
        <f t="shared" si="43"/>
        <v>0</v>
      </c>
      <c r="AT153" s="392">
        <f t="shared" si="44"/>
        <v>0</v>
      </c>
      <c r="AY153" s="770"/>
    </row>
    <row r="154" ht="39.75" customHeight="1">
      <c r="A154" s="789" t="s">
        <v>372</v>
      </c>
      <c r="B154" s="806" t="s">
        <v>373</v>
      </c>
      <c r="C154" s="388"/>
      <c r="D154" s="387"/>
      <c r="E154" s="394"/>
      <c r="F154" s="394"/>
      <c r="G154" s="394"/>
      <c r="H154" s="394"/>
      <c r="I154" s="389" t="s">
        <v>55</v>
      </c>
      <c r="J154" s="394"/>
      <c r="K154" s="389" t="s">
        <v>55</v>
      </c>
      <c r="L154" s="394"/>
      <c r="M154" s="389" t="s">
        <v>55</v>
      </c>
      <c r="N154" s="394"/>
      <c r="O154" s="389" t="s">
        <v>55</v>
      </c>
      <c r="P154" s="394"/>
      <c r="Q154" s="389" t="s">
        <v>55</v>
      </c>
      <c r="R154" s="394"/>
      <c r="S154" s="389" t="s">
        <v>55</v>
      </c>
      <c r="T154" s="394"/>
      <c r="U154" s="389" t="s">
        <v>55</v>
      </c>
      <c r="V154" s="394"/>
      <c r="W154" s="394" t="s">
        <v>55</v>
      </c>
      <c r="X154" s="394"/>
      <c r="Y154" s="394" t="s">
        <v>46</v>
      </c>
      <c r="Z154" s="394"/>
      <c r="AA154" s="394" t="s">
        <v>46</v>
      </c>
      <c r="AB154" s="394"/>
      <c r="AC154" s="394" t="s">
        <v>36</v>
      </c>
      <c r="AD154" s="394"/>
      <c r="AE154" s="394" t="s">
        <v>36</v>
      </c>
      <c r="AF154" s="394"/>
      <c r="AG154" s="394" t="s">
        <v>36</v>
      </c>
      <c r="AH154" s="394"/>
      <c r="AI154" s="394" t="s">
        <v>36</v>
      </c>
      <c r="AJ154" s="394"/>
      <c r="AK154" s="394" t="s">
        <v>36</v>
      </c>
      <c r="AL154" s="394"/>
      <c r="AM154" s="394" t="s">
        <v>36</v>
      </c>
      <c r="AN154" s="394"/>
      <c r="AO154" s="790" t="s">
        <v>408</v>
      </c>
      <c r="AP154" s="394"/>
      <c r="AQ154" s="394" t="s">
        <v>55</v>
      </c>
      <c r="AR154" s="394"/>
      <c r="AS154" s="391">
        <f t="shared" si="43"/>
        <v>18</v>
      </c>
      <c r="AT154" s="392">
        <f t="shared" si="44"/>
        <v>18</v>
      </c>
      <c r="AY154" s="770"/>
    </row>
    <row r="155" ht="39.75" customHeight="1">
      <c r="A155" s="789" t="s">
        <v>374</v>
      </c>
      <c r="B155" s="806" t="s">
        <v>375</v>
      </c>
      <c r="C155" s="388"/>
      <c r="D155" s="387"/>
      <c r="E155" s="394"/>
      <c r="F155" s="394"/>
      <c r="G155" s="394"/>
      <c r="H155" s="394"/>
      <c r="I155" s="389" t="s">
        <v>57</v>
      </c>
      <c r="J155" s="394"/>
      <c r="K155" s="389" t="s">
        <v>57</v>
      </c>
      <c r="L155" s="394"/>
      <c r="M155" s="389" t="s">
        <v>57</v>
      </c>
      <c r="N155" s="394"/>
      <c r="O155" s="389" t="s">
        <v>57</v>
      </c>
      <c r="P155" s="394"/>
      <c r="Q155" s="389" t="s">
        <v>57</v>
      </c>
      <c r="R155" s="394"/>
      <c r="S155" s="389" t="s">
        <v>57</v>
      </c>
      <c r="T155" s="394"/>
      <c r="U155" s="389" t="s">
        <v>57</v>
      </c>
      <c r="V155" s="394"/>
      <c r="W155" s="394" t="s">
        <v>57</v>
      </c>
      <c r="X155" s="394"/>
      <c r="Y155" s="394" t="s">
        <v>57</v>
      </c>
      <c r="Z155" s="394"/>
      <c r="AA155" s="394" t="s">
        <v>57</v>
      </c>
      <c r="AB155" s="394"/>
      <c r="AC155" s="394" t="s">
        <v>57</v>
      </c>
      <c r="AD155" s="394"/>
      <c r="AE155" s="394" t="s">
        <v>57</v>
      </c>
      <c r="AF155" s="394"/>
      <c r="AG155" s="394" t="s">
        <v>57</v>
      </c>
      <c r="AH155" s="394"/>
      <c r="AI155" s="394" t="s">
        <v>57</v>
      </c>
      <c r="AJ155" s="394"/>
      <c r="AK155" s="394" t="s">
        <v>57</v>
      </c>
      <c r="AL155" s="394"/>
      <c r="AM155" s="394" t="s">
        <v>57</v>
      </c>
      <c r="AN155" s="394"/>
      <c r="AO155" s="394" t="s">
        <v>91</v>
      </c>
      <c r="AP155" s="394"/>
      <c r="AQ155" s="394"/>
      <c r="AR155" s="394"/>
      <c r="AS155" s="391">
        <f t="shared" si="43"/>
        <v>17</v>
      </c>
      <c r="AT155" s="392">
        <f t="shared" si="44"/>
        <v>17</v>
      </c>
      <c r="AY155" s="770"/>
    </row>
    <row r="156" ht="39.75" customHeight="1">
      <c r="A156" s="789" t="s">
        <v>376</v>
      </c>
      <c r="B156" s="806" t="s">
        <v>377</v>
      </c>
      <c r="C156" s="388"/>
      <c r="D156" s="387"/>
      <c r="E156" s="389"/>
      <c r="F156" s="394"/>
      <c r="G156" s="389"/>
      <c r="H156" s="394"/>
      <c r="I156" s="389"/>
      <c r="J156" s="394"/>
      <c r="K156" s="389"/>
      <c r="L156" s="394"/>
      <c r="M156" s="389"/>
      <c r="N156" s="394"/>
      <c r="O156" s="389"/>
      <c r="P156" s="394"/>
      <c r="Q156" s="389"/>
      <c r="R156" s="394"/>
      <c r="S156" s="389"/>
      <c r="T156" s="394"/>
      <c r="U156" s="389"/>
      <c r="V156" s="394"/>
      <c r="W156" s="389"/>
      <c r="X156" s="394"/>
      <c r="Y156" s="389"/>
      <c r="Z156" s="394"/>
      <c r="AA156" s="389"/>
      <c r="AB156" s="394"/>
      <c r="AC156" s="389" t="s">
        <v>57</v>
      </c>
      <c r="AD156" s="394"/>
      <c r="AE156" s="389"/>
      <c r="AF156" s="394"/>
      <c r="AG156" s="389"/>
      <c r="AH156" s="394"/>
      <c r="AI156" s="389" t="s">
        <v>57</v>
      </c>
      <c r="AJ156" s="394"/>
      <c r="AK156" s="389" t="s">
        <v>57</v>
      </c>
      <c r="AL156" s="394"/>
      <c r="AM156" s="389"/>
      <c r="AN156" s="394"/>
      <c r="AO156" s="394" t="s">
        <v>91</v>
      </c>
      <c r="AP156" s="394"/>
      <c r="AQ156" s="394"/>
      <c r="AR156" s="394"/>
      <c r="AS156" s="391">
        <f t="shared" si="43"/>
        <v>4</v>
      </c>
      <c r="AT156" s="392">
        <f t="shared" si="44"/>
        <v>4</v>
      </c>
      <c r="AY156" s="770"/>
    </row>
    <row r="157" ht="39.75" customHeight="1">
      <c r="A157" s="789" t="s">
        <v>374</v>
      </c>
      <c r="B157" s="807" t="s">
        <v>375</v>
      </c>
      <c r="C157" s="387"/>
      <c r="D157" s="387"/>
      <c r="E157" s="394"/>
      <c r="F157" s="394"/>
      <c r="G157" s="394"/>
      <c r="H157" s="394"/>
      <c r="I157" s="394" t="s">
        <v>57</v>
      </c>
      <c r="J157" s="394"/>
      <c r="K157" s="394" t="s">
        <v>57</v>
      </c>
      <c r="L157" s="394"/>
      <c r="M157" s="394" t="s">
        <v>57</v>
      </c>
      <c r="N157" s="394"/>
      <c r="O157" s="394" t="s">
        <v>57</v>
      </c>
      <c r="P157" s="394"/>
      <c r="Q157" s="394" t="s">
        <v>57</v>
      </c>
      <c r="R157" s="394"/>
      <c r="S157" s="394" t="s">
        <v>57</v>
      </c>
      <c r="T157" s="394"/>
      <c r="U157" s="394" t="s">
        <v>57</v>
      </c>
      <c r="V157" s="394"/>
      <c r="W157" s="394" t="s">
        <v>57</v>
      </c>
      <c r="X157" s="394"/>
      <c r="Y157" s="394" t="s">
        <v>57</v>
      </c>
      <c r="Z157" s="394"/>
      <c r="AA157" s="394" t="s">
        <v>57</v>
      </c>
      <c r="AB157" s="394"/>
      <c r="AC157" s="394" t="s">
        <v>57</v>
      </c>
      <c r="AD157" s="394"/>
      <c r="AE157" s="394" t="s">
        <v>57</v>
      </c>
      <c r="AF157" s="394"/>
      <c r="AG157" s="394" t="s">
        <v>57</v>
      </c>
      <c r="AH157" s="394"/>
      <c r="AI157" s="394" t="s">
        <v>57</v>
      </c>
      <c r="AJ157" s="394"/>
      <c r="AK157" s="394" t="s">
        <v>57</v>
      </c>
      <c r="AL157" s="394"/>
      <c r="AM157" s="387" t="s">
        <v>57</v>
      </c>
      <c r="AN157" s="394"/>
      <c r="AO157" s="394" t="s">
        <v>91</v>
      </c>
      <c r="AP157" s="394"/>
      <c r="AQ157" s="394"/>
      <c r="AR157" s="394"/>
      <c r="AS157" s="391">
        <f t="shared" si="43"/>
        <v>17</v>
      </c>
      <c r="AT157" s="392">
        <f t="shared" si="44"/>
        <v>17</v>
      </c>
      <c r="AY157" s="770"/>
    </row>
    <row r="158" ht="39.75" customHeight="1">
      <c r="A158" s="404" t="s">
        <v>378</v>
      </c>
      <c r="B158" s="794" t="s">
        <v>379</v>
      </c>
      <c r="C158" s="387"/>
      <c r="D158" s="388"/>
      <c r="E158" s="389"/>
      <c r="F158" s="389"/>
      <c r="G158" s="389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  <c r="AG158" s="389"/>
      <c r="AH158" s="389"/>
      <c r="AI158" s="394"/>
      <c r="AJ158" s="394"/>
      <c r="AK158" s="394"/>
      <c r="AL158" s="394"/>
      <c r="AM158" s="394"/>
      <c r="AN158" s="394"/>
      <c r="AO158" s="394"/>
      <c r="AP158" s="394"/>
      <c r="AQ158" s="394"/>
      <c r="AR158" s="394"/>
      <c r="AS158" s="391">
        <f t="shared" si="43"/>
        <v>0</v>
      </c>
      <c r="AT158" s="392">
        <f t="shared" si="44"/>
        <v>0</v>
      </c>
    </row>
    <row r="159" ht="39.75" customHeight="1">
      <c r="A159" s="781" t="s">
        <v>380</v>
      </c>
      <c r="B159" s="782" t="s">
        <v>381</v>
      </c>
      <c r="C159" s="783"/>
      <c r="D159" s="784"/>
      <c r="E159" s="785"/>
      <c r="F159" s="785"/>
      <c r="G159" s="785"/>
      <c r="H159" s="785"/>
      <c r="I159" s="785"/>
      <c r="J159" s="785"/>
      <c r="K159" s="785"/>
      <c r="L159" s="785"/>
      <c r="M159" s="785"/>
      <c r="N159" s="785"/>
      <c r="O159" s="785"/>
      <c r="P159" s="785"/>
      <c r="Q159" s="785"/>
      <c r="R159" s="785"/>
      <c r="S159" s="785"/>
      <c r="T159" s="785"/>
      <c r="U159" s="785"/>
      <c r="V159" s="785"/>
      <c r="W159" s="785"/>
      <c r="X159" s="785"/>
      <c r="Y159" s="785"/>
      <c r="Z159" s="785"/>
      <c r="AA159" s="785"/>
      <c r="AB159" s="785"/>
      <c r="AC159" s="785"/>
      <c r="AD159" s="785"/>
      <c r="AE159" s="785"/>
      <c r="AF159" s="785"/>
      <c r="AG159" s="785"/>
      <c r="AH159" s="785"/>
      <c r="AI159" s="786"/>
      <c r="AJ159" s="786"/>
      <c r="AK159" s="786"/>
      <c r="AL159" s="786"/>
      <c r="AM159" s="786"/>
      <c r="AN159" s="786"/>
      <c r="AO159" s="786"/>
      <c r="AP159" s="786"/>
      <c r="AQ159" s="786"/>
      <c r="AR159" s="786"/>
      <c r="AS159" s="786"/>
      <c r="AT159" s="787"/>
      <c r="AY159" s="770"/>
    </row>
    <row r="160" ht="39.75" customHeight="1">
      <c r="A160" s="793" t="s">
        <v>382</v>
      </c>
      <c r="B160" s="412" t="s">
        <v>383</v>
      </c>
      <c r="C160" s="387"/>
      <c r="D160" s="387"/>
      <c r="E160" s="394"/>
      <c r="F160" s="394"/>
      <c r="G160" s="394"/>
      <c r="H160" s="394"/>
      <c r="I160" s="394" t="s">
        <v>93</v>
      </c>
      <c r="J160" s="394"/>
      <c r="K160" s="394" t="s">
        <v>93</v>
      </c>
      <c r="L160" s="394"/>
      <c r="M160" s="394" t="s">
        <v>93</v>
      </c>
      <c r="N160" s="394"/>
      <c r="O160" s="394" t="s">
        <v>93</v>
      </c>
      <c r="P160" s="394"/>
      <c r="Q160" s="394" t="s">
        <v>93</v>
      </c>
      <c r="R160" s="394"/>
      <c r="S160" s="394" t="s">
        <v>93</v>
      </c>
      <c r="T160" s="394"/>
      <c r="U160" s="394" t="s">
        <v>93</v>
      </c>
      <c r="V160" s="394"/>
      <c r="W160" s="394" t="s">
        <v>93</v>
      </c>
      <c r="X160" s="394"/>
      <c r="Y160" s="394" t="s">
        <v>93</v>
      </c>
      <c r="Z160" s="394"/>
      <c r="AA160" s="394" t="s">
        <v>93</v>
      </c>
      <c r="AB160" s="394"/>
      <c r="AC160" s="394" t="s">
        <v>93</v>
      </c>
      <c r="AD160" s="394"/>
      <c r="AE160" s="394" t="s">
        <v>93</v>
      </c>
      <c r="AF160" s="394"/>
      <c r="AG160" s="394" t="s">
        <v>93</v>
      </c>
      <c r="AH160" s="394"/>
      <c r="AI160" s="394" t="s">
        <v>93</v>
      </c>
      <c r="AJ160" s="394"/>
      <c r="AK160" s="394" t="s">
        <v>93</v>
      </c>
      <c r="AL160" s="394"/>
      <c r="AM160" s="394" t="s">
        <v>93</v>
      </c>
      <c r="AN160" s="394"/>
      <c r="AO160" s="394" t="s">
        <v>66</v>
      </c>
      <c r="AP160" s="394"/>
      <c r="AQ160" s="394"/>
      <c r="AR160" s="394"/>
      <c r="AS160" s="391">
        <f t="shared" ref="AS160:AS163" si="45">COUNTIF(C160:AR160,"&gt;=R")</f>
        <v>17</v>
      </c>
      <c r="AT160" s="392">
        <f t="shared" ref="AT160:AT163" si="46">AS160</f>
        <v>17</v>
      </c>
      <c r="AY160" s="770"/>
    </row>
    <row r="161" ht="39.75" customHeight="1">
      <c r="A161" s="793" t="s">
        <v>384</v>
      </c>
      <c r="B161" s="412" t="s">
        <v>385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87"/>
      <c r="V161" s="394"/>
      <c r="W161" s="387"/>
      <c r="X161" s="394"/>
      <c r="Y161" s="387"/>
      <c r="Z161" s="394"/>
      <c r="AA161" s="387"/>
      <c r="AB161" s="394"/>
      <c r="AC161" s="387"/>
      <c r="AD161" s="394"/>
      <c r="AE161" s="387"/>
      <c r="AF161" s="394"/>
      <c r="AG161" s="387"/>
      <c r="AH161" s="394"/>
      <c r="AI161" s="387"/>
      <c r="AJ161" s="394"/>
      <c r="AK161" s="387"/>
      <c r="AL161" s="394"/>
      <c r="AM161" s="389"/>
      <c r="AN161" s="394"/>
      <c r="AO161" s="389" t="s">
        <v>66</v>
      </c>
      <c r="AP161" s="389"/>
      <c r="AQ161" s="389"/>
      <c r="AR161" s="394"/>
      <c r="AS161" s="391">
        <f t="shared" si="45"/>
        <v>1</v>
      </c>
      <c r="AT161" s="392">
        <f t="shared" si="46"/>
        <v>1</v>
      </c>
      <c r="AY161" s="770"/>
    </row>
    <row r="162" ht="39.75" customHeight="1">
      <c r="A162" s="793" t="s">
        <v>386</v>
      </c>
      <c r="B162" s="412" t="s">
        <v>387</v>
      </c>
      <c r="C162" s="387"/>
      <c r="D162" s="387"/>
      <c r="E162" s="387"/>
      <c r="F162" s="394"/>
      <c r="G162" s="387"/>
      <c r="H162" s="394"/>
      <c r="I162" s="387"/>
      <c r="J162" s="394"/>
      <c r="K162" s="387"/>
      <c r="L162" s="394"/>
      <c r="M162" s="387"/>
      <c r="N162" s="394"/>
      <c r="O162" s="387"/>
      <c r="P162" s="394"/>
      <c r="Q162" s="387"/>
      <c r="R162" s="394"/>
      <c r="S162" s="387"/>
      <c r="T162" s="394"/>
      <c r="U162" s="387"/>
      <c r="V162" s="394"/>
      <c r="W162" s="387"/>
      <c r="X162" s="394"/>
      <c r="Y162" s="387"/>
      <c r="Z162" s="394"/>
      <c r="AA162" s="387"/>
      <c r="AB162" s="394"/>
      <c r="AC162" s="387"/>
      <c r="AD162" s="394"/>
      <c r="AE162" s="387"/>
      <c r="AF162" s="394"/>
      <c r="AG162" s="387"/>
      <c r="AH162" s="394"/>
      <c r="AI162" s="387"/>
      <c r="AJ162" s="394"/>
      <c r="AK162" s="387"/>
      <c r="AL162" s="394"/>
      <c r="AM162" s="387"/>
      <c r="AN162" s="394"/>
      <c r="AO162" s="387" t="s">
        <v>91</v>
      </c>
      <c r="AP162" s="387"/>
      <c r="AQ162" s="387"/>
      <c r="AR162" s="394"/>
      <c r="AS162" s="391">
        <f t="shared" si="45"/>
        <v>1</v>
      </c>
      <c r="AT162" s="392">
        <f t="shared" si="46"/>
        <v>1</v>
      </c>
      <c r="AY162" s="770"/>
    </row>
    <row r="163" ht="39.75" customHeight="1">
      <c r="A163" s="793" t="s">
        <v>388</v>
      </c>
      <c r="B163" s="412" t="s">
        <v>389</v>
      </c>
      <c r="C163" s="387"/>
      <c r="D163" s="387"/>
      <c r="E163" s="387"/>
      <c r="F163" s="394"/>
      <c r="G163" s="387"/>
      <c r="H163" s="394"/>
      <c r="I163" s="387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87"/>
      <c r="Z163" s="394"/>
      <c r="AA163" s="387"/>
      <c r="AB163" s="394"/>
      <c r="AC163" s="387"/>
      <c r="AD163" s="394"/>
      <c r="AE163" s="387"/>
      <c r="AF163" s="394"/>
      <c r="AG163" s="387"/>
      <c r="AH163" s="394"/>
      <c r="AI163" s="387"/>
      <c r="AJ163" s="394"/>
      <c r="AK163" s="387"/>
      <c r="AL163" s="394"/>
      <c r="AM163" s="387"/>
      <c r="AN163" s="394"/>
      <c r="AO163" s="387" t="s">
        <v>66</v>
      </c>
      <c r="AP163" s="387"/>
      <c r="AQ163" s="387"/>
      <c r="AR163" s="394"/>
      <c r="AS163" s="391">
        <f t="shared" si="45"/>
        <v>1</v>
      </c>
      <c r="AT163" s="392">
        <f t="shared" si="46"/>
        <v>1</v>
      </c>
      <c r="AY163" s="770"/>
    </row>
    <row r="164" ht="39.75" customHeight="1">
      <c r="A164" s="781" t="s">
        <v>390</v>
      </c>
      <c r="B164" s="801" t="s">
        <v>391</v>
      </c>
      <c r="C164" s="783"/>
      <c r="D164" s="784"/>
      <c r="E164" s="785"/>
      <c r="F164" s="785"/>
      <c r="G164" s="785"/>
      <c r="H164" s="785"/>
      <c r="I164" s="785"/>
      <c r="J164" s="785"/>
      <c r="K164" s="785"/>
      <c r="L164" s="785"/>
      <c r="M164" s="785"/>
      <c r="N164" s="785"/>
      <c r="O164" s="785"/>
      <c r="P164" s="785"/>
      <c r="Q164" s="785"/>
      <c r="R164" s="785"/>
      <c r="S164" s="785"/>
      <c r="T164" s="785"/>
      <c r="U164" s="785"/>
      <c r="V164" s="785"/>
      <c r="W164" s="785"/>
      <c r="X164" s="785"/>
      <c r="Y164" s="785"/>
      <c r="Z164" s="785"/>
      <c r="AA164" s="785"/>
      <c r="AB164" s="785"/>
      <c r="AC164" s="785"/>
      <c r="AD164" s="785"/>
      <c r="AE164" s="785"/>
      <c r="AF164" s="785"/>
      <c r="AG164" s="785"/>
      <c r="AH164" s="785"/>
      <c r="AI164" s="786"/>
      <c r="AJ164" s="786"/>
      <c r="AK164" s="786"/>
      <c r="AL164" s="786"/>
      <c r="AM164" s="786"/>
      <c r="AN164" s="786"/>
      <c r="AO164" s="786"/>
      <c r="AP164" s="786"/>
      <c r="AQ164" s="786"/>
      <c r="AR164" s="786"/>
      <c r="AS164" s="786"/>
      <c r="AT164" s="787"/>
      <c r="AY164" s="770"/>
    </row>
    <row r="165" ht="39.75" customHeight="1">
      <c r="A165" s="778" t="s">
        <v>392</v>
      </c>
      <c r="B165" s="386" t="s">
        <v>393</v>
      </c>
      <c r="C165" s="387"/>
      <c r="D165" s="387"/>
      <c r="E165" s="387"/>
      <c r="F165" s="394"/>
      <c r="G165" s="387"/>
      <c r="H165" s="394"/>
      <c r="I165" s="394"/>
      <c r="J165" s="394"/>
      <c r="K165" s="387"/>
      <c r="L165" s="394"/>
      <c r="M165" s="387"/>
      <c r="N165" s="394"/>
      <c r="O165" s="387"/>
      <c r="P165" s="394"/>
      <c r="Q165" s="387"/>
      <c r="R165" s="394"/>
      <c r="S165" s="387"/>
      <c r="T165" s="394"/>
      <c r="U165" s="387"/>
      <c r="V165" s="394"/>
      <c r="W165" s="387"/>
      <c r="X165" s="394"/>
      <c r="Y165" s="387"/>
      <c r="Z165" s="394"/>
      <c r="AA165" s="387"/>
      <c r="AB165" s="394"/>
      <c r="AC165" s="387"/>
      <c r="AD165" s="394"/>
      <c r="AE165" s="387"/>
      <c r="AF165" s="394"/>
      <c r="AG165" s="387"/>
      <c r="AH165" s="394"/>
      <c r="AI165" s="387"/>
      <c r="AJ165" s="394"/>
      <c r="AK165" s="387"/>
      <c r="AL165" s="394"/>
      <c r="AM165" s="387"/>
      <c r="AN165" s="394"/>
      <c r="AO165" s="387" t="s">
        <v>91</v>
      </c>
      <c r="AP165" s="387"/>
      <c r="AQ165" s="387"/>
      <c r="AR165" s="394"/>
      <c r="AS165" s="391">
        <f t="shared" ref="AS165:AS167" si="47">COUNTIF(C165:AR165,"&gt;=R")</f>
        <v>1</v>
      </c>
      <c r="AT165" s="392">
        <f t="shared" ref="AT165:AT167" si="48">AS165</f>
        <v>1</v>
      </c>
      <c r="AY165" s="770"/>
    </row>
    <row r="166" ht="39.75" customHeight="1">
      <c r="A166" s="778" t="s">
        <v>394</v>
      </c>
      <c r="B166" s="386" t="s">
        <v>395</v>
      </c>
      <c r="C166" s="387"/>
      <c r="D166" s="387"/>
      <c r="E166" s="387"/>
      <c r="F166" s="394"/>
      <c r="G166" s="387"/>
      <c r="H166" s="394"/>
      <c r="I166" s="394"/>
      <c r="J166" s="394"/>
      <c r="K166" s="387"/>
      <c r="L166" s="394"/>
      <c r="M166" s="387"/>
      <c r="N166" s="394"/>
      <c r="O166" s="387"/>
      <c r="P166" s="394"/>
      <c r="Q166" s="387"/>
      <c r="R166" s="394"/>
      <c r="S166" s="387"/>
      <c r="T166" s="394"/>
      <c r="U166" s="387"/>
      <c r="V166" s="394"/>
      <c r="W166" s="387"/>
      <c r="X166" s="394"/>
      <c r="Y166" s="387"/>
      <c r="Z166" s="394"/>
      <c r="AA166" s="387"/>
      <c r="AB166" s="394"/>
      <c r="AC166" s="387"/>
      <c r="AD166" s="394"/>
      <c r="AE166" s="387"/>
      <c r="AF166" s="394"/>
      <c r="AG166" s="387"/>
      <c r="AH166" s="394"/>
      <c r="AI166" s="387"/>
      <c r="AJ166" s="394"/>
      <c r="AK166" s="387"/>
      <c r="AL166" s="394"/>
      <c r="AM166" s="387"/>
      <c r="AN166" s="394"/>
      <c r="AO166" s="387"/>
      <c r="AP166" s="387"/>
      <c r="AQ166" s="387"/>
      <c r="AR166" s="394"/>
      <c r="AS166" s="391">
        <f t="shared" si="47"/>
        <v>0</v>
      </c>
      <c r="AT166" s="392">
        <f t="shared" si="48"/>
        <v>0</v>
      </c>
      <c r="AU166" s="449"/>
      <c r="AV166" s="449"/>
      <c r="AW166" s="449"/>
      <c r="AX166" s="449"/>
      <c r="AY166" s="770"/>
      <c r="BE166" s="449"/>
      <c r="BF166" s="449"/>
      <c r="BG166" s="449"/>
      <c r="BH166" s="449"/>
      <c r="BI166" s="449"/>
      <c r="BJ166" s="449"/>
      <c r="BK166" s="449"/>
      <c r="BL166" s="449"/>
      <c r="BM166" s="449"/>
      <c r="BN166" s="449"/>
    </row>
    <row r="167" ht="39.75" customHeight="1">
      <c r="A167" s="808" t="s">
        <v>396</v>
      </c>
      <c r="B167" s="809" t="s">
        <v>397</v>
      </c>
      <c r="C167" s="436"/>
      <c r="D167" s="436"/>
      <c r="E167" s="436"/>
      <c r="F167" s="437"/>
      <c r="G167" s="436"/>
      <c r="H167" s="437"/>
      <c r="I167" s="437"/>
      <c r="J167" s="437"/>
      <c r="K167" s="436"/>
      <c r="L167" s="437"/>
      <c r="M167" s="436"/>
      <c r="N167" s="437"/>
      <c r="O167" s="436"/>
      <c r="P167" s="437"/>
      <c r="Q167" s="436"/>
      <c r="R167" s="437"/>
      <c r="S167" s="436"/>
      <c r="T167" s="437"/>
      <c r="U167" s="436"/>
      <c r="V167" s="437"/>
      <c r="W167" s="436"/>
      <c r="X167" s="437"/>
      <c r="Y167" s="436"/>
      <c r="Z167" s="437"/>
      <c r="AA167" s="436"/>
      <c r="AB167" s="437"/>
      <c r="AC167" s="436"/>
      <c r="AD167" s="437"/>
      <c r="AE167" s="436"/>
      <c r="AF167" s="437"/>
      <c r="AG167" s="436"/>
      <c r="AH167" s="437"/>
      <c r="AI167" s="436"/>
      <c r="AJ167" s="437"/>
      <c r="AK167" s="436"/>
      <c r="AL167" s="437"/>
      <c r="AM167" s="436"/>
      <c r="AN167" s="437"/>
      <c r="AO167" s="436"/>
      <c r="AP167" s="436"/>
      <c r="AQ167" s="436"/>
      <c r="AR167" s="437"/>
      <c r="AS167" s="391">
        <f t="shared" si="47"/>
        <v>0</v>
      </c>
      <c r="AT167" s="392">
        <f t="shared" si="48"/>
        <v>0</v>
      </c>
      <c r="AU167" s="449"/>
      <c r="AV167" s="449"/>
      <c r="AW167" s="449"/>
      <c r="AX167" s="449"/>
      <c r="AY167" s="770"/>
      <c r="BE167" s="449"/>
      <c r="BF167" s="449"/>
      <c r="BG167" s="449"/>
      <c r="BH167" s="449"/>
      <c r="BI167" s="449"/>
      <c r="BJ167" s="449"/>
      <c r="BK167" s="449"/>
      <c r="BL167" s="449"/>
      <c r="BM167" s="449"/>
      <c r="BN167" s="449"/>
    </row>
    <row r="168" ht="24.75" customHeight="1">
      <c r="A168" s="810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440"/>
      <c r="AD168" s="440"/>
      <c r="AE168" s="440"/>
      <c r="AF168" s="440"/>
      <c r="AG168" s="440"/>
      <c r="AH168" s="440"/>
      <c r="AI168" s="440"/>
      <c r="AJ168" s="440"/>
      <c r="AK168" s="440"/>
      <c r="AL168" s="440"/>
      <c r="AM168" s="440"/>
      <c r="AN168" s="440"/>
      <c r="AO168" s="440"/>
      <c r="AP168" s="440"/>
      <c r="AQ168" s="440"/>
      <c r="AR168" s="440"/>
      <c r="AS168" s="440"/>
      <c r="AT168" s="440"/>
      <c r="AU168" s="145"/>
      <c r="AV168" s="145"/>
      <c r="AW168" s="145"/>
      <c r="AX168" s="145"/>
      <c r="AY168" s="145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ht="24.75" customHeight="1">
      <c r="A169" s="810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440"/>
      <c r="AD169" s="440"/>
      <c r="AE169" s="440"/>
      <c r="AF169" s="440"/>
      <c r="AG169" s="440"/>
      <c r="AH169" s="440"/>
      <c r="AI169" s="440"/>
      <c r="AJ169" s="440"/>
      <c r="AK169" s="440"/>
      <c r="AL169" s="440"/>
      <c r="AM169" s="440"/>
      <c r="AN169" s="440"/>
      <c r="AO169" s="440"/>
      <c r="AP169" s="440"/>
      <c r="AQ169" s="440"/>
      <c r="AR169" s="440"/>
      <c r="AS169" s="440"/>
      <c r="AT169" s="440"/>
      <c r="AU169" s="145"/>
      <c r="AV169" s="145"/>
      <c r="AW169" s="145"/>
      <c r="AX169" s="145"/>
      <c r="AY169" s="145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ht="24.75" customHeight="1">
      <c r="A170" s="810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440"/>
      <c r="AD170" s="440"/>
      <c r="AE170" s="440"/>
      <c r="AF170" s="440"/>
      <c r="AG170" s="440"/>
      <c r="AH170" s="440"/>
      <c r="AI170" s="440"/>
      <c r="AJ170" s="440"/>
      <c r="AK170" s="440"/>
      <c r="AL170" s="440"/>
      <c r="AM170" s="440"/>
      <c r="AN170" s="440"/>
      <c r="AO170" s="440"/>
      <c r="AP170" s="440"/>
      <c r="AQ170" s="440"/>
      <c r="AR170" s="440"/>
      <c r="AS170" s="440"/>
      <c r="AT170" s="440"/>
      <c r="AU170" s="145"/>
      <c r="AV170" s="145"/>
      <c r="AW170" s="145"/>
      <c r="AX170" s="145"/>
      <c r="AY170" s="145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ht="24.75" customHeight="1">
      <c r="A171" s="810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440"/>
      <c r="AD171" s="440"/>
      <c r="AE171" s="440"/>
      <c r="AF171" s="440"/>
      <c r="AG171" s="440"/>
      <c r="AH171" s="440"/>
      <c r="AI171" s="440"/>
      <c r="AJ171" s="440"/>
      <c r="AK171" s="440"/>
      <c r="AL171" s="440"/>
      <c r="AM171" s="440"/>
      <c r="AN171" s="440"/>
      <c r="AO171" s="440"/>
      <c r="AP171" s="440"/>
      <c r="AQ171" s="440"/>
      <c r="AR171" s="440"/>
      <c r="AS171" s="440"/>
      <c r="AT171" s="440"/>
      <c r="AU171" s="145"/>
      <c r="AV171" s="145"/>
      <c r="AW171" s="145"/>
      <c r="AX171" s="145"/>
      <c r="AY171" s="145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ht="24.75" customHeight="1">
      <c r="A172" s="810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440"/>
      <c r="AD172" s="440"/>
      <c r="AE172" s="440"/>
      <c r="AF172" s="440"/>
      <c r="AG172" s="440"/>
      <c r="AH172" s="440"/>
      <c r="AI172" s="440"/>
      <c r="AJ172" s="440"/>
      <c r="AK172" s="440"/>
      <c r="AL172" s="440"/>
      <c r="AM172" s="440"/>
      <c r="AN172" s="440"/>
      <c r="AO172" s="440"/>
      <c r="AP172" s="440"/>
      <c r="AQ172" s="440"/>
      <c r="AR172" s="440"/>
      <c r="AS172" s="440"/>
      <c r="AT172" s="440"/>
      <c r="AU172" s="145"/>
      <c r="AV172" s="145"/>
      <c r="AW172" s="145"/>
      <c r="AX172" s="145"/>
      <c r="AY172" s="145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ht="24.75" customHeight="1">
      <c r="A173" s="810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440"/>
      <c r="AD173" s="440"/>
      <c r="AE173" s="440"/>
      <c r="AF173" s="440"/>
      <c r="AG173" s="440"/>
      <c r="AH173" s="440"/>
      <c r="AI173" s="440"/>
      <c r="AJ173" s="440"/>
      <c r="AK173" s="440"/>
      <c r="AL173" s="440"/>
      <c r="AM173" s="440"/>
      <c r="AN173" s="440"/>
      <c r="AO173" s="440"/>
      <c r="AP173" s="440"/>
      <c r="AQ173" s="440"/>
      <c r="AR173" s="440"/>
      <c r="AS173" s="440"/>
      <c r="AT173" s="440"/>
      <c r="AU173" s="145"/>
      <c r="AV173" s="145"/>
      <c r="AW173" s="145"/>
      <c r="AX173" s="145"/>
      <c r="AY173" s="145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ht="24.75" customHeight="1">
      <c r="A174" s="81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440"/>
      <c r="AD174" s="440"/>
      <c r="AE174" s="440"/>
      <c r="AF174" s="440"/>
      <c r="AG174" s="440"/>
      <c r="AH174" s="440"/>
      <c r="AI174" s="440"/>
      <c r="AJ174" s="440"/>
      <c r="AK174" s="440"/>
      <c r="AL174" s="440"/>
      <c r="AM174" s="440"/>
      <c r="AN174" s="440"/>
      <c r="AO174" s="440"/>
      <c r="AP174" s="440"/>
      <c r="AQ174" s="440"/>
      <c r="AR174" s="440"/>
      <c r="AS174" s="440"/>
      <c r="AT174" s="440"/>
      <c r="AU174" s="145"/>
      <c r="AV174" s="145"/>
      <c r="AW174" s="145"/>
      <c r="AX174" s="145"/>
      <c r="AY174" s="145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ht="24.75" customHeight="1">
      <c r="A175" s="81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440"/>
      <c r="AD175" s="440"/>
      <c r="AE175" s="440"/>
      <c r="AF175" s="440"/>
      <c r="AG175" s="440"/>
      <c r="AH175" s="440"/>
      <c r="AI175" s="440"/>
      <c r="AJ175" s="440"/>
      <c r="AK175" s="440"/>
      <c r="AL175" s="440"/>
      <c r="AM175" s="440"/>
      <c r="AN175" s="440"/>
      <c r="AO175" s="440"/>
      <c r="AP175" s="440"/>
      <c r="AQ175" s="440"/>
      <c r="AR175" s="440"/>
      <c r="AS175" s="440"/>
      <c r="AT175" s="440"/>
      <c r="AU175" s="145"/>
      <c r="AV175" s="145"/>
      <c r="AW175" s="145"/>
      <c r="AX175" s="145"/>
      <c r="AY175" s="145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ht="24.75" customHeight="1">
      <c r="A176" s="811"/>
      <c r="B176" s="439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440"/>
      <c r="AD176" s="440"/>
      <c r="AE176" s="440"/>
      <c r="AF176" s="440"/>
      <c r="AG176" s="440"/>
      <c r="AH176" s="440"/>
      <c r="AI176" s="440"/>
      <c r="AJ176" s="440"/>
      <c r="AK176" s="440"/>
      <c r="AL176" s="440"/>
      <c r="AM176" s="440"/>
      <c r="AN176" s="440"/>
      <c r="AO176" s="440"/>
      <c r="AP176" s="440"/>
      <c r="AQ176" s="440"/>
      <c r="AR176" s="440"/>
      <c r="AS176" s="440"/>
      <c r="AT176" s="440"/>
      <c r="AU176" s="145"/>
      <c r="AV176" s="145"/>
      <c r="AW176" s="145"/>
      <c r="AX176" s="145"/>
      <c r="AY176" s="145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ht="24.75" customHeight="1">
      <c r="A177" s="811"/>
      <c r="B177" s="439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  <c r="AB177" s="440"/>
      <c r="AC177" s="440"/>
      <c r="AD177" s="440"/>
      <c r="AE177" s="440"/>
      <c r="AF177" s="440"/>
      <c r="AG177" s="440"/>
      <c r="AH177" s="440"/>
      <c r="AI177" s="440"/>
      <c r="AJ177" s="440"/>
      <c r="AK177" s="440"/>
      <c r="AL177" s="440"/>
      <c r="AM177" s="440"/>
      <c r="AN177" s="440"/>
      <c r="AO177" s="440"/>
      <c r="AP177" s="440"/>
      <c r="AQ177" s="440"/>
      <c r="AR177" s="440"/>
      <c r="AS177" s="440"/>
      <c r="AT177" s="440"/>
      <c r="AU177" s="145"/>
      <c r="AV177" s="145"/>
      <c r="AW177" s="145"/>
      <c r="AX177" s="145"/>
      <c r="AY177" s="145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ht="24.75" customHeight="1">
      <c r="A178" s="811"/>
      <c r="B178" s="439"/>
      <c r="C178" s="440"/>
      <c r="D178" s="440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0"/>
      <c r="AC178" s="440"/>
      <c r="AD178" s="440"/>
      <c r="AE178" s="440"/>
      <c r="AF178" s="440"/>
      <c r="AG178" s="440"/>
      <c r="AH178" s="440"/>
      <c r="AI178" s="440"/>
      <c r="AJ178" s="440"/>
      <c r="AK178" s="440"/>
      <c r="AL178" s="440"/>
      <c r="AM178" s="440"/>
      <c r="AN178" s="440"/>
      <c r="AO178" s="440"/>
      <c r="AP178" s="440"/>
      <c r="AQ178" s="440"/>
      <c r="AR178" s="440"/>
      <c r="AS178" s="440"/>
      <c r="AT178" s="440"/>
      <c r="AU178" s="145"/>
      <c r="AV178" s="145"/>
      <c r="AW178" s="145"/>
      <c r="AX178" s="145"/>
      <c r="AY178" s="145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ht="24.75" customHeight="1">
      <c r="A179" s="263"/>
      <c r="B179" s="440"/>
      <c r="C179" s="440"/>
      <c r="D179" s="440"/>
      <c r="E179" s="440"/>
      <c r="F179" s="440"/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440"/>
      <c r="T179" s="440"/>
      <c r="U179" s="440"/>
      <c r="V179" s="440"/>
      <c r="W179" s="440"/>
      <c r="X179" s="440"/>
      <c r="Y179" s="440"/>
      <c r="Z179" s="440"/>
      <c r="AA179" s="440"/>
      <c r="AB179" s="440"/>
      <c r="AC179" s="440"/>
      <c r="AD179" s="440"/>
      <c r="AE179" s="440"/>
      <c r="AF179" s="440"/>
      <c r="AG179" s="440"/>
      <c r="AH179" s="440"/>
      <c r="AI179" s="440"/>
      <c r="AJ179" s="440"/>
      <c r="AK179" s="440"/>
      <c r="AL179" s="440"/>
      <c r="AM179" s="440"/>
      <c r="AN179" s="440"/>
      <c r="AO179" s="440"/>
      <c r="AP179" s="440"/>
      <c r="AQ179" s="440"/>
      <c r="AR179" s="440"/>
      <c r="AS179" s="440"/>
      <c r="AT179" s="440"/>
      <c r="AU179" s="145"/>
      <c r="AV179" s="145"/>
      <c r="AW179" s="145"/>
      <c r="AX179" s="145"/>
      <c r="AY179" s="145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ht="24.75" customHeight="1">
      <c r="A180" s="812"/>
      <c r="B180" s="444"/>
      <c r="C180" s="45"/>
      <c r="D180" s="45"/>
      <c r="E180" s="45"/>
      <c r="F180" s="444"/>
      <c r="G180" s="444"/>
      <c r="H180" s="444"/>
      <c r="I180" s="445"/>
      <c r="J180" s="445"/>
      <c r="K180" s="445"/>
      <c r="L180" s="445"/>
      <c r="M180" s="445"/>
      <c r="N180" s="445"/>
      <c r="O180" s="440"/>
      <c r="P180" s="45"/>
      <c r="Q180" s="45"/>
      <c r="R180" s="45"/>
      <c r="S180" s="45"/>
      <c r="T180" s="45"/>
      <c r="U180" s="45"/>
      <c r="V180" s="444"/>
      <c r="W180" s="444"/>
      <c r="X180" s="444"/>
      <c r="Y180" s="444"/>
      <c r="Z180" s="445"/>
      <c r="AA180" s="445"/>
      <c r="AB180" s="445"/>
      <c r="AC180" s="444"/>
      <c r="AD180" s="45"/>
      <c r="AE180" s="263"/>
      <c r="AF180" s="263"/>
      <c r="AG180" s="263"/>
      <c r="AH180" s="263"/>
      <c r="AI180" s="440"/>
      <c r="AJ180" s="440"/>
      <c r="AK180" s="440"/>
      <c r="AL180" s="440"/>
      <c r="AM180" s="440"/>
      <c r="AN180" s="440"/>
      <c r="AO180" s="445"/>
      <c r="AP180" s="445"/>
      <c r="AQ180" s="445"/>
      <c r="AR180" s="445"/>
      <c r="AS180" s="445"/>
      <c r="AT180" s="445"/>
      <c r="AU180" s="145"/>
      <c r="AV180" s="145"/>
      <c r="AW180" s="145"/>
      <c r="AX180" s="145"/>
      <c r="AY180" s="145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ht="24.75" customHeight="1">
      <c r="A181" s="584"/>
      <c r="B181" s="447" t="s">
        <v>398</v>
      </c>
      <c r="C181" s="447"/>
      <c r="D181" s="447"/>
      <c r="E181" s="447"/>
      <c r="F181" s="448" t="s">
        <v>44</v>
      </c>
      <c r="G181" s="163"/>
      <c r="H181" s="163"/>
      <c r="I181" s="163"/>
      <c r="J181" s="163"/>
      <c r="K181" s="163"/>
      <c r="L181" s="163"/>
      <c r="M181" s="163"/>
      <c r="N181" s="164"/>
      <c r="O181" s="449"/>
      <c r="P181" s="450"/>
      <c r="Q181" s="450"/>
      <c r="R181" s="450"/>
      <c r="S181" s="450"/>
      <c r="T181" s="449"/>
      <c r="U181" s="449"/>
      <c r="V181" s="404"/>
      <c r="W181" s="538" t="s">
        <v>399</v>
      </c>
      <c r="X181" s="38"/>
      <c r="Y181" s="38"/>
      <c r="Z181" s="38"/>
      <c r="AA181" s="38"/>
      <c r="AB181" s="40"/>
      <c r="AC181" s="447"/>
      <c r="AD181" s="449"/>
      <c r="AE181" s="449"/>
      <c r="AF181" s="449"/>
      <c r="AG181" s="449"/>
      <c r="AH181" s="449"/>
      <c r="AI181" s="404"/>
      <c r="AJ181" s="452"/>
      <c r="AK181" s="452"/>
      <c r="AL181" s="452"/>
      <c r="AM181" s="452"/>
      <c r="AN181" s="452"/>
      <c r="AO181" s="451" t="s">
        <v>73</v>
      </c>
      <c r="AP181" s="163"/>
      <c r="AQ181" s="163"/>
      <c r="AR181" s="163"/>
      <c r="AS181" s="163"/>
      <c r="AT181" s="164"/>
      <c r="AU181" s="452"/>
      <c r="AV181" s="452"/>
      <c r="AW181" s="452"/>
      <c r="AX181" s="452"/>
      <c r="AY181" s="449"/>
      <c r="AZ181" s="449"/>
      <c r="BA181" s="449"/>
      <c r="BB181" s="449"/>
      <c r="BC181" s="449"/>
      <c r="BD181" s="449"/>
      <c r="BE181" s="449"/>
      <c r="BF181" s="449"/>
      <c r="BG181" s="449"/>
      <c r="BH181" s="449"/>
      <c r="BI181" s="599"/>
      <c r="BJ181" s="38"/>
      <c r="BK181" s="38"/>
      <c r="BL181" s="38"/>
      <c r="BM181" s="40"/>
      <c r="BN181" s="449"/>
    </row>
    <row r="182" ht="24.75" customHeight="1">
      <c r="A182" s="584"/>
      <c r="B182" s="453" t="s">
        <v>35</v>
      </c>
      <c r="C182" s="453"/>
      <c r="D182" s="453"/>
      <c r="E182" s="453"/>
      <c r="F182" s="454" t="s">
        <v>54</v>
      </c>
      <c r="G182" s="38"/>
      <c r="H182" s="38"/>
      <c r="I182" s="38"/>
      <c r="J182" s="38"/>
      <c r="K182" s="38"/>
      <c r="L182" s="38"/>
      <c r="M182" s="38"/>
      <c r="N182" s="40"/>
      <c r="O182" s="455"/>
      <c r="P182" s="455"/>
      <c r="Q182" s="455"/>
      <c r="R182" s="455"/>
      <c r="S182" s="455"/>
      <c r="T182" s="449"/>
      <c r="U182" s="449"/>
      <c r="V182" s="456" t="s">
        <v>400</v>
      </c>
      <c r="W182" s="38"/>
      <c r="X182" s="38"/>
      <c r="Y182" s="38"/>
      <c r="Z182" s="38"/>
      <c r="AA182" s="38"/>
      <c r="AB182" s="38"/>
      <c r="AC182" s="40"/>
      <c r="AD182" s="449"/>
      <c r="AE182" s="449"/>
      <c r="AF182" s="449"/>
      <c r="AG182" s="449"/>
      <c r="AH182" s="449"/>
      <c r="AI182" s="455"/>
      <c r="AJ182" s="455"/>
      <c r="AK182" s="455"/>
      <c r="AL182" s="455"/>
      <c r="AM182" s="455"/>
      <c r="AN182" s="404"/>
      <c r="AO182" s="456" t="s">
        <v>74</v>
      </c>
      <c r="AP182" s="38"/>
      <c r="AQ182" s="38"/>
      <c r="AR182" s="38"/>
      <c r="AS182" s="38"/>
      <c r="AT182" s="40"/>
      <c r="AU182" s="455"/>
      <c r="AV182" s="458"/>
      <c r="AW182" s="458"/>
      <c r="AX182" s="458"/>
      <c r="AY182" s="449"/>
      <c r="AZ182" s="449"/>
      <c r="BA182" s="449"/>
      <c r="BB182" s="449"/>
      <c r="BC182" s="449"/>
      <c r="BD182" s="449"/>
      <c r="BE182" s="449"/>
      <c r="BF182" s="449"/>
      <c r="BG182" s="449"/>
      <c r="BH182" s="449"/>
      <c r="BI182" s="813"/>
      <c r="BJ182" s="38"/>
      <c r="BK182" s="38"/>
      <c r="BL182" s="38"/>
      <c r="BM182" s="40"/>
      <c r="BN182" s="449"/>
    </row>
    <row r="183" ht="18.0" customHeight="1">
      <c r="A183" s="350"/>
      <c r="B183" s="460"/>
      <c r="C183" s="460"/>
      <c r="D183" s="460"/>
      <c r="E183" s="460"/>
      <c r="F183" s="460"/>
      <c r="G183" s="461"/>
      <c r="H183" s="461"/>
      <c r="I183" s="440"/>
      <c r="J183" s="440"/>
      <c r="K183" s="460"/>
      <c r="L183" s="460"/>
      <c r="M183" s="460"/>
      <c r="N183" s="460"/>
      <c r="O183" s="460"/>
      <c r="P183" s="460"/>
      <c r="Q183" s="460"/>
      <c r="R183" s="460"/>
      <c r="S183" s="460"/>
      <c r="T183" s="460"/>
      <c r="U183" s="460"/>
      <c r="V183" s="462"/>
      <c r="W183" s="38"/>
      <c r="X183" s="38"/>
      <c r="Y183" s="38"/>
      <c r="Z183" s="38"/>
      <c r="AA183" s="40"/>
      <c r="AB183" s="440"/>
      <c r="AC183" s="461"/>
      <c r="AD183" s="440"/>
      <c r="AE183" s="440"/>
      <c r="AF183" s="440"/>
      <c r="AG183" s="440"/>
      <c r="AH183" s="440"/>
      <c r="AI183" s="460"/>
      <c r="AJ183" s="460"/>
      <c r="AK183" s="460"/>
      <c r="AL183" s="460"/>
      <c r="AM183" s="460"/>
      <c r="AN183" s="460"/>
      <c r="AO183" s="460"/>
      <c r="AP183" s="460"/>
      <c r="AQ183" s="460"/>
      <c r="AR183" s="460"/>
      <c r="AS183" s="460"/>
      <c r="AT183" s="460"/>
      <c r="AU183" s="814"/>
      <c r="AV183" s="815"/>
      <c r="AW183" s="815"/>
      <c r="AX183" s="815"/>
      <c r="AY183" s="145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5">
    <mergeCell ref="S7:U7"/>
    <mergeCell ref="W7:Y7"/>
    <mergeCell ref="AA7:AC7"/>
    <mergeCell ref="AE7:AG7"/>
    <mergeCell ref="AI7:AK7"/>
    <mergeCell ref="AM7:AO7"/>
    <mergeCell ref="O7:Q7"/>
    <mergeCell ref="O8:Q8"/>
    <mergeCell ref="S8:U8"/>
    <mergeCell ref="W8:Y8"/>
    <mergeCell ref="AA8:AC8"/>
    <mergeCell ref="AE8:AG8"/>
    <mergeCell ref="AI8:AK8"/>
    <mergeCell ref="AM8:AO8"/>
    <mergeCell ref="K9:M9"/>
    <mergeCell ref="O9:Q9"/>
    <mergeCell ref="S9:U9"/>
    <mergeCell ref="W9:Y9"/>
    <mergeCell ref="AA9:AC9"/>
    <mergeCell ref="AE9:AG9"/>
    <mergeCell ref="AI9:AK9"/>
    <mergeCell ref="AM9:AO9"/>
    <mergeCell ref="K10:M10"/>
    <mergeCell ref="O10:Q10"/>
    <mergeCell ref="S10:U10"/>
    <mergeCell ref="W10:Y10"/>
    <mergeCell ref="AA10:AC10"/>
    <mergeCell ref="AE10:AG10"/>
    <mergeCell ref="S14:U14"/>
    <mergeCell ref="S15:U15"/>
    <mergeCell ref="S11:U11"/>
    <mergeCell ref="W11:Y11"/>
    <mergeCell ref="S12:U12"/>
    <mergeCell ref="W12:Y12"/>
    <mergeCell ref="S13:U13"/>
    <mergeCell ref="W13:Y13"/>
    <mergeCell ref="W14:Y14"/>
    <mergeCell ref="W15:Y15"/>
    <mergeCell ref="AI10:AK10"/>
    <mergeCell ref="AM10:AO10"/>
    <mergeCell ref="AO181:AT181"/>
    <mergeCell ref="BI181:BM181"/>
    <mergeCell ref="AO182:AT182"/>
    <mergeCell ref="BI182:BM182"/>
    <mergeCell ref="AI11:AK11"/>
    <mergeCell ref="AM11:AO11"/>
    <mergeCell ref="AI12:AK12"/>
    <mergeCell ref="AM12:AO12"/>
    <mergeCell ref="AI13:AK13"/>
    <mergeCell ref="AM13:AO13"/>
    <mergeCell ref="AM14:AO14"/>
    <mergeCell ref="K12:M12"/>
    <mergeCell ref="K15:M15"/>
    <mergeCell ref="K19:L19"/>
    <mergeCell ref="M19:N19"/>
    <mergeCell ref="O19:P19"/>
    <mergeCell ref="Q19:R19"/>
    <mergeCell ref="S19:T19"/>
    <mergeCell ref="F181:N181"/>
    <mergeCell ref="W181:AB181"/>
    <mergeCell ref="F182:N182"/>
    <mergeCell ref="V182:AC182"/>
    <mergeCell ref="V183:AA183"/>
    <mergeCell ref="K11:M11"/>
    <mergeCell ref="O11:Q11"/>
    <mergeCell ref="G12:I15"/>
    <mergeCell ref="O12:Q12"/>
    <mergeCell ref="O13:Q13"/>
    <mergeCell ref="O14:Q14"/>
    <mergeCell ref="O15:Q15"/>
    <mergeCell ref="A1:A6"/>
    <mergeCell ref="B1:B6"/>
    <mergeCell ref="C1:AT6"/>
    <mergeCell ref="C7:F11"/>
    <mergeCell ref="G7:I11"/>
    <mergeCell ref="K7:M7"/>
    <mergeCell ref="K8:M8"/>
    <mergeCell ref="K13:M13"/>
    <mergeCell ref="K14:M14"/>
    <mergeCell ref="AA14:AC14"/>
    <mergeCell ref="AA15:AC15"/>
    <mergeCell ref="AM18:AR18"/>
    <mergeCell ref="AS18:AT18"/>
    <mergeCell ref="AA11:AC11"/>
    <mergeCell ref="AE11:AG11"/>
    <mergeCell ref="AA12:AC12"/>
    <mergeCell ref="AE12:AG12"/>
    <mergeCell ref="AA13:AC13"/>
    <mergeCell ref="AE13:AG13"/>
    <mergeCell ref="AE14:AG14"/>
    <mergeCell ref="AE15:AG15"/>
    <mergeCell ref="AI14:AK14"/>
    <mergeCell ref="AI15:AK15"/>
    <mergeCell ref="AM15:AO15"/>
    <mergeCell ref="A16:AT16"/>
    <mergeCell ref="C12:F15"/>
    <mergeCell ref="A17:A19"/>
    <mergeCell ref="B17:B19"/>
    <mergeCell ref="C17:G17"/>
    <mergeCell ref="C19:D19"/>
    <mergeCell ref="E19:F19"/>
    <mergeCell ref="G19:H19"/>
    <mergeCell ref="I19:J19"/>
    <mergeCell ref="AI19:AJ19"/>
    <mergeCell ref="AK19:AL19"/>
    <mergeCell ref="AM19:AN19"/>
    <mergeCell ref="AO19:AP19"/>
    <mergeCell ref="AQ19:AR19"/>
    <mergeCell ref="U19:V19"/>
    <mergeCell ref="W19:X19"/>
    <mergeCell ref="Y19:Z19"/>
    <mergeCell ref="AA19:AB19"/>
    <mergeCell ref="AC19:AD19"/>
    <mergeCell ref="AE19:AF19"/>
    <mergeCell ref="AG19:AH19"/>
  </mergeCells>
  <conditionalFormatting sqref="C57:AH57">
    <cfRule type="cellIs" dxfId="6" priority="1" stopIfTrue="1" operator="notEqual">
      <formula>0</formula>
    </cfRule>
  </conditionalFormatting>
  <conditionalFormatting sqref="C57:AH57">
    <cfRule type="cellIs" dxfId="7" priority="2" stopIfTrue="1" operator="equal">
      <formula>0</formula>
    </cfRule>
  </conditionalFormatting>
  <conditionalFormatting sqref="C71:AH71">
    <cfRule type="cellIs" dxfId="6" priority="3" stopIfTrue="1" operator="notEqual">
      <formula>0</formula>
    </cfRule>
  </conditionalFormatting>
  <conditionalFormatting sqref="C71:AH71">
    <cfRule type="cellIs" dxfId="7" priority="4" stopIfTrue="1" operator="equal">
      <formula>0</formula>
    </cfRule>
  </conditionalFormatting>
  <conditionalFormatting sqref="C57:AR57">
    <cfRule type="containsText" dxfId="1" priority="5" operator="containsText" text="R36">
      <formula>NOT(ISERROR(SEARCH(("R36"),(C57))))</formula>
    </cfRule>
  </conditionalFormatting>
  <conditionalFormatting sqref="C57:AR57">
    <cfRule type="containsText" dxfId="22" priority="6" operator="containsText" text="R35">
      <formula>NOT(ISERROR(SEARCH(("R35"),(C57))))</formula>
    </cfRule>
  </conditionalFormatting>
  <conditionalFormatting sqref="C57:AR57">
    <cfRule type="containsText" dxfId="24" priority="7" operator="containsText" text="R33">
      <formula>NOT(ISERROR(SEARCH(("R33"),(C57))))</formula>
    </cfRule>
  </conditionalFormatting>
  <conditionalFormatting sqref="C57:AR57">
    <cfRule type="containsText" dxfId="25" priority="8" operator="containsText" text="R32">
      <formula>NOT(ISERROR(SEARCH(("R32"),(C57))))</formula>
    </cfRule>
  </conditionalFormatting>
  <conditionalFormatting sqref="C57:AR57">
    <cfRule type="containsText" dxfId="26" priority="9" operator="containsText" text="R31">
      <formula>NOT(ISERROR(SEARCH(("R31"),(C57))))</formula>
    </cfRule>
  </conditionalFormatting>
  <conditionalFormatting sqref="C57:AR57">
    <cfRule type="containsText" dxfId="29" priority="10" operator="containsText" text="R29">
      <formula>NOT(ISERROR(SEARCH(("R29"),(C57))))</formula>
    </cfRule>
  </conditionalFormatting>
  <conditionalFormatting sqref="C57:AR57">
    <cfRule type="containsText" dxfId="30" priority="11" operator="containsText" text="R27">
      <formula>NOT(ISERROR(SEARCH(("R27"),(C57))))</formula>
    </cfRule>
  </conditionalFormatting>
  <conditionalFormatting sqref="C57:AR57">
    <cfRule type="containsText" dxfId="2" priority="12" stopIfTrue="1" operator="containsText" text="R26">
      <formula>NOT(ISERROR(SEARCH(("R26"),(C57))))</formula>
    </cfRule>
  </conditionalFormatting>
  <conditionalFormatting sqref="C57:AR57">
    <cfRule type="containsText" dxfId="3" priority="13" operator="containsText" text="R25">
      <formula>NOT(ISERROR(SEARCH(("R25"),(C57))))</formula>
    </cfRule>
  </conditionalFormatting>
  <conditionalFormatting sqref="C57:AR57">
    <cfRule type="containsText" dxfId="45" priority="14" operator="containsText" text="R23">
      <formula>NOT(ISERROR(SEARCH(("R23"),(C57))))</formula>
    </cfRule>
  </conditionalFormatting>
  <conditionalFormatting sqref="C57:AR57">
    <cfRule type="containsText" dxfId="32" priority="15" operator="containsText" text="R22">
      <formula>NOT(ISERROR(SEARCH(("R22"),(C57))))</formula>
    </cfRule>
  </conditionalFormatting>
  <conditionalFormatting sqref="C57:AR57">
    <cfRule type="containsText" dxfId="8" priority="16" operator="containsText" text="R21">
      <formula>NOT(ISERROR(SEARCH(("R21"),(C57))))</formula>
    </cfRule>
  </conditionalFormatting>
  <conditionalFormatting sqref="C57:AR57">
    <cfRule type="containsText" dxfId="9" priority="17" operator="containsText" text="R20">
      <formula>NOT(ISERROR(SEARCH(("R20"),(C57))))</formula>
    </cfRule>
  </conditionalFormatting>
  <conditionalFormatting sqref="C57:AR57">
    <cfRule type="containsText" dxfId="41" priority="18" operator="containsText" text="R19">
      <formula>NOT(ISERROR(SEARCH(("R19"),(C57))))</formula>
    </cfRule>
  </conditionalFormatting>
  <conditionalFormatting sqref="C57:AR57">
    <cfRule type="containsText" dxfId="35" priority="19" operator="containsText" text="R17">
      <formula>NOT(ISERROR(SEARCH(("R17"),(C57))))</formula>
    </cfRule>
  </conditionalFormatting>
  <conditionalFormatting sqref="C57:AR57">
    <cfRule type="containsText" dxfId="10" priority="20" operator="containsText" text="R16">
      <formula>NOT(ISERROR(SEARCH(("R16"),(C57))))</formula>
    </cfRule>
  </conditionalFormatting>
  <conditionalFormatting sqref="C57:AR57">
    <cfRule type="containsText" dxfId="11" priority="21" operator="containsText" text="R15">
      <formula>NOT(ISERROR(SEARCH(("R15"),(C57))))</formula>
    </cfRule>
  </conditionalFormatting>
  <conditionalFormatting sqref="C57:AR57">
    <cfRule type="containsText" dxfId="42" priority="22" operator="containsText" text="R13">
      <formula>NOT(ISERROR(SEARCH(("R13"),(C57))))</formula>
    </cfRule>
  </conditionalFormatting>
  <conditionalFormatting sqref="C57:AR57">
    <cfRule type="containsText" dxfId="12" priority="23" operator="containsText" text="R14">
      <formula>NOT(ISERROR(SEARCH(("R14"),(C57))))</formula>
    </cfRule>
  </conditionalFormatting>
  <conditionalFormatting sqref="C57:AR57">
    <cfRule type="containsText" dxfId="1" priority="24" operator="containsText" text="R12">
      <formula>NOT(ISERROR(SEARCH(("R12"),(C57))))</formula>
    </cfRule>
  </conditionalFormatting>
  <conditionalFormatting sqref="C57:AR57">
    <cfRule type="containsText" dxfId="13" priority="25" operator="containsText" text="R11">
      <formula>NOT(ISERROR(SEARCH(("R11"),(C57))))</formula>
    </cfRule>
  </conditionalFormatting>
  <conditionalFormatting sqref="C57:AR57">
    <cfRule type="containsText" dxfId="14" priority="26" operator="containsText" text="R10">
      <formula>NOT(ISERROR(SEARCH(("R10"),(C57))))</formula>
    </cfRule>
  </conditionalFormatting>
  <conditionalFormatting sqref="C57:AR57">
    <cfRule type="containsText" dxfId="15" priority="27" operator="containsText" text="R9">
      <formula>NOT(ISERROR(SEARCH(("R9"),(C57))))</formula>
    </cfRule>
  </conditionalFormatting>
  <conditionalFormatting sqref="C57:AR57">
    <cfRule type="containsText" dxfId="46" priority="28" operator="containsText" text="R2">
      <formula>NOT(ISERROR(SEARCH(("R2"),(C57))))</formula>
    </cfRule>
  </conditionalFormatting>
  <conditionalFormatting sqref="C57:AR57">
    <cfRule type="containsText" dxfId="16" priority="29" operator="containsText" text="R8">
      <formula>NOT(ISERROR(SEARCH(("R8"),(C57))))</formula>
    </cfRule>
  </conditionalFormatting>
  <conditionalFormatting sqref="C57:AR57">
    <cfRule type="containsText" dxfId="17" priority="30" operator="containsText" text="R7">
      <formula>NOT(ISERROR(SEARCH(("R7"),(C57))))</formula>
    </cfRule>
  </conditionalFormatting>
  <conditionalFormatting sqref="C57:AR57">
    <cfRule type="containsText" dxfId="18" priority="31" operator="containsText" text="R6">
      <formula>NOT(ISERROR(SEARCH(("R6"),(C57))))</formula>
    </cfRule>
  </conditionalFormatting>
  <conditionalFormatting sqref="C57:AR57">
    <cfRule type="containsText" dxfId="19" priority="32" operator="containsText" text="R5">
      <formula>NOT(ISERROR(SEARCH(("R5"),(C57))))</formula>
    </cfRule>
  </conditionalFormatting>
  <conditionalFormatting sqref="C57:AR57">
    <cfRule type="containsText" dxfId="20" priority="33" operator="containsText" text="R4">
      <formula>NOT(ISERROR(SEARCH(("R4"),(C57))))</formula>
    </cfRule>
  </conditionalFormatting>
  <conditionalFormatting sqref="C71:AR71">
    <cfRule type="containsText" dxfId="1" priority="34" operator="containsText" text="R36">
      <formula>NOT(ISERROR(SEARCH(("R36"),(C71))))</formula>
    </cfRule>
  </conditionalFormatting>
  <conditionalFormatting sqref="C71:AR71">
    <cfRule type="containsText" dxfId="22" priority="35" operator="containsText" text="R35">
      <formula>NOT(ISERROR(SEARCH(("R35"),(C71))))</formula>
    </cfRule>
  </conditionalFormatting>
  <conditionalFormatting sqref="C71:AR71">
    <cfRule type="containsText" dxfId="24" priority="36" operator="containsText" text="R33">
      <formula>NOT(ISERROR(SEARCH(("R33"),(C71))))</formula>
    </cfRule>
  </conditionalFormatting>
  <conditionalFormatting sqref="C71:AR71">
    <cfRule type="containsText" dxfId="25" priority="37" operator="containsText" text="R32">
      <formula>NOT(ISERROR(SEARCH(("R32"),(C71))))</formula>
    </cfRule>
  </conditionalFormatting>
  <conditionalFormatting sqref="C71:AR71">
    <cfRule type="containsText" dxfId="26" priority="38" operator="containsText" text="R31">
      <formula>NOT(ISERROR(SEARCH(("R31"),(C71))))</formula>
    </cfRule>
  </conditionalFormatting>
  <conditionalFormatting sqref="C71:AR71">
    <cfRule type="containsText" dxfId="29" priority="39" operator="containsText" text="R29">
      <formula>NOT(ISERROR(SEARCH(("R29"),(C71))))</formula>
    </cfRule>
  </conditionalFormatting>
  <conditionalFormatting sqref="C71:AR71">
    <cfRule type="containsText" dxfId="30" priority="40" operator="containsText" text="R27">
      <formula>NOT(ISERROR(SEARCH(("R27"),(C71))))</formula>
    </cfRule>
  </conditionalFormatting>
  <conditionalFormatting sqref="C71:AR71">
    <cfRule type="containsText" dxfId="2" priority="41" stopIfTrue="1" operator="containsText" text="R26">
      <formula>NOT(ISERROR(SEARCH(("R26"),(C71))))</formula>
    </cfRule>
  </conditionalFormatting>
  <conditionalFormatting sqref="C71:AR71">
    <cfRule type="containsText" dxfId="3" priority="42" operator="containsText" text="R25">
      <formula>NOT(ISERROR(SEARCH(("R25"),(C71))))</formula>
    </cfRule>
  </conditionalFormatting>
  <conditionalFormatting sqref="C71:AR71">
    <cfRule type="containsText" dxfId="45" priority="43" operator="containsText" text="R23">
      <formula>NOT(ISERROR(SEARCH(("R23"),(C71))))</formula>
    </cfRule>
  </conditionalFormatting>
  <conditionalFormatting sqref="C71:AR71">
    <cfRule type="containsText" dxfId="32" priority="44" operator="containsText" text="R22">
      <formula>NOT(ISERROR(SEARCH(("R22"),(C71))))</formula>
    </cfRule>
  </conditionalFormatting>
  <conditionalFormatting sqref="C71:AR71">
    <cfRule type="containsText" dxfId="8" priority="45" operator="containsText" text="R21">
      <formula>NOT(ISERROR(SEARCH(("R21"),(C71))))</formula>
    </cfRule>
  </conditionalFormatting>
  <conditionalFormatting sqref="C71:AR71">
    <cfRule type="containsText" dxfId="9" priority="46" operator="containsText" text="R20">
      <formula>NOT(ISERROR(SEARCH(("R20"),(C71))))</formula>
    </cfRule>
  </conditionalFormatting>
  <conditionalFormatting sqref="C71:AR71">
    <cfRule type="containsText" dxfId="41" priority="47" operator="containsText" text="R19">
      <formula>NOT(ISERROR(SEARCH(("R19"),(C71))))</formula>
    </cfRule>
  </conditionalFormatting>
  <conditionalFormatting sqref="C71:AR71">
    <cfRule type="containsText" dxfId="35" priority="48" operator="containsText" text="R17">
      <formula>NOT(ISERROR(SEARCH(("R17"),(C71))))</formula>
    </cfRule>
  </conditionalFormatting>
  <conditionalFormatting sqref="C71:AR71">
    <cfRule type="containsText" dxfId="10" priority="49" operator="containsText" text="R16">
      <formula>NOT(ISERROR(SEARCH(("R16"),(C71))))</formula>
    </cfRule>
  </conditionalFormatting>
  <conditionalFormatting sqref="C71:AR71">
    <cfRule type="containsText" dxfId="11" priority="50" operator="containsText" text="R15">
      <formula>NOT(ISERROR(SEARCH(("R15"),(C71))))</formula>
    </cfRule>
  </conditionalFormatting>
  <conditionalFormatting sqref="C71:AR71">
    <cfRule type="containsText" dxfId="42" priority="51" operator="containsText" text="R13">
      <formula>NOT(ISERROR(SEARCH(("R13"),(C71))))</formula>
    </cfRule>
  </conditionalFormatting>
  <conditionalFormatting sqref="C71:AR71">
    <cfRule type="containsText" dxfId="12" priority="52" operator="containsText" text="R14">
      <formula>NOT(ISERROR(SEARCH(("R14"),(C71))))</formula>
    </cfRule>
  </conditionalFormatting>
  <conditionalFormatting sqref="C71:AR71">
    <cfRule type="containsText" dxfId="1" priority="53" operator="containsText" text="R12">
      <formula>NOT(ISERROR(SEARCH(("R12"),(C71))))</formula>
    </cfRule>
  </conditionalFormatting>
  <conditionalFormatting sqref="C71:AR71">
    <cfRule type="containsText" dxfId="13" priority="54" operator="containsText" text="R11">
      <formula>NOT(ISERROR(SEARCH(("R11"),(C71))))</formula>
    </cfRule>
  </conditionalFormatting>
  <conditionalFormatting sqref="C71:AR71">
    <cfRule type="containsText" dxfId="14" priority="55" operator="containsText" text="R10">
      <formula>NOT(ISERROR(SEARCH(("R10"),(C71))))</formula>
    </cfRule>
  </conditionalFormatting>
  <conditionalFormatting sqref="C71:AR71">
    <cfRule type="containsText" dxfId="15" priority="56" operator="containsText" text="R9">
      <formula>NOT(ISERROR(SEARCH(("R9"),(C71))))</formula>
    </cfRule>
  </conditionalFormatting>
  <conditionalFormatting sqref="C71:AR71">
    <cfRule type="containsText" dxfId="46" priority="57" operator="containsText" text="R2">
      <formula>NOT(ISERROR(SEARCH(("R2"),(C71))))</formula>
    </cfRule>
  </conditionalFormatting>
  <conditionalFormatting sqref="C71:AR71">
    <cfRule type="containsText" dxfId="16" priority="58" operator="containsText" text="R8">
      <formula>NOT(ISERROR(SEARCH(("R8"),(C71))))</formula>
    </cfRule>
  </conditionalFormatting>
  <conditionalFormatting sqref="C71:AR71">
    <cfRule type="containsText" dxfId="17" priority="59" operator="containsText" text="R7">
      <formula>NOT(ISERROR(SEARCH(("R7"),(C71))))</formula>
    </cfRule>
  </conditionalFormatting>
  <conditionalFormatting sqref="C71:AR71">
    <cfRule type="containsText" dxfId="18" priority="60" operator="containsText" text="R6">
      <formula>NOT(ISERROR(SEARCH(("R6"),(C71))))</formula>
    </cfRule>
  </conditionalFormatting>
  <conditionalFormatting sqref="C71:AR71">
    <cfRule type="containsText" dxfId="19" priority="61" operator="containsText" text="R5">
      <formula>NOT(ISERROR(SEARCH(("R5"),(C71))))</formula>
    </cfRule>
  </conditionalFormatting>
  <conditionalFormatting sqref="C71:AR71">
    <cfRule type="containsText" dxfId="20" priority="62" operator="containsText" text="R4">
      <formula>NOT(ISERROR(SEARCH(("R4"),(C71))))</formula>
    </cfRule>
  </conditionalFormatting>
  <conditionalFormatting sqref="E57:AR57">
    <cfRule type="containsText" dxfId="27" priority="63" operator="containsText" text="R30">
      <formula>NOT(ISERROR(SEARCH(("R30"),(E57))))</formula>
    </cfRule>
  </conditionalFormatting>
  <conditionalFormatting sqref="E57:AR57">
    <cfRule type="containsText" dxfId="38" priority="64" operator="containsText" text="R3">
      <formula>NOT(ISERROR(SEARCH(("R3"),(E57))))</formula>
    </cfRule>
  </conditionalFormatting>
  <conditionalFormatting sqref="E71:AR71">
    <cfRule type="containsText" dxfId="27" priority="65" operator="containsText" text="R30">
      <formula>NOT(ISERROR(SEARCH(("R30"),(E71))))</formula>
    </cfRule>
  </conditionalFormatting>
  <conditionalFormatting sqref="E71:AR71">
    <cfRule type="containsText" dxfId="38" priority="66" operator="containsText" text="R3">
      <formula>NOT(ISERROR(SEARCH(("R3"),(E71))))</formula>
    </cfRule>
  </conditionalFormatting>
  <conditionalFormatting sqref="F57:AR57">
    <cfRule type="containsText" dxfId="31" priority="67" operator="containsText" text="R24">
      <formula>NOT(ISERROR(SEARCH(("R24"),(F57))))</formula>
    </cfRule>
  </conditionalFormatting>
  <conditionalFormatting sqref="F71:AR71">
    <cfRule type="containsText" dxfId="31" priority="68" operator="containsText" text="R24">
      <formula>NOT(ISERROR(SEARCH(("R24"),(F71))))</formula>
    </cfRule>
  </conditionalFormatting>
  <conditionalFormatting sqref="G57:AR57">
    <cfRule type="containsText" dxfId="23" priority="69" operator="containsText" text="R34">
      <formula>NOT(ISERROR(SEARCH(("R34"),(G57))))</formula>
    </cfRule>
  </conditionalFormatting>
  <conditionalFormatting sqref="G71:AR71">
    <cfRule type="containsText" dxfId="23" priority="70" operator="containsText" text="R34">
      <formula>NOT(ISERROR(SEARCH(("R34"),(G71))))</formula>
    </cfRule>
  </conditionalFormatting>
  <conditionalFormatting sqref="H57:AR57">
    <cfRule type="containsText" dxfId="21" priority="71" operator="containsText" text="R37">
      <formula>NOT(ISERROR(SEARCH(("R37"),(H57))))</formula>
    </cfRule>
  </conditionalFormatting>
  <conditionalFormatting sqref="H71:AR71">
    <cfRule type="containsText" dxfId="21" priority="72" operator="containsText" text="R37">
      <formula>NOT(ISERROR(SEARCH(("R37"),(H71))))</formula>
    </cfRule>
  </conditionalFormatting>
  <conditionalFormatting sqref="AC71:AI71 AK71">
    <cfRule type="cellIs" dxfId="6" priority="73" stopIfTrue="1" operator="notEqual">
      <formula>0</formula>
    </cfRule>
  </conditionalFormatting>
  <conditionalFormatting sqref="AC71:AI71 AK71">
    <cfRule type="cellIs" dxfId="7" priority="74" stopIfTrue="1" operator="equal">
      <formula>0</formula>
    </cfRule>
  </conditionalFormatting>
  <conditionalFormatting sqref="AG57">
    <cfRule type="cellIs" dxfId="6" priority="75" stopIfTrue="1" operator="notEqual">
      <formula>0</formula>
    </cfRule>
  </conditionalFormatting>
  <conditionalFormatting sqref="AG57">
    <cfRule type="cellIs" dxfId="7" priority="76" stopIfTrue="1" operator="equal">
      <formula>0</formula>
    </cfRule>
  </conditionalFormatting>
  <conditionalFormatting sqref="AK57">
    <cfRule type="cellIs" dxfId="6" priority="77" stopIfTrue="1" operator="notEqual">
      <formula>0</formula>
    </cfRule>
  </conditionalFormatting>
  <conditionalFormatting sqref="AK57">
    <cfRule type="cellIs" dxfId="7" priority="78" stopIfTrue="1" operator="equal">
      <formula>0</formula>
    </cfRule>
  </conditionalFormatting>
  <conditionalFormatting sqref="AM71">
    <cfRule type="cellIs" dxfId="6" priority="79" stopIfTrue="1" operator="notEqual">
      <formula>0</formula>
    </cfRule>
  </conditionalFormatting>
  <conditionalFormatting sqref="AM71">
    <cfRule type="cellIs" dxfId="7" priority="80" stopIfTrue="1" operator="equal">
      <formula>0</formula>
    </cfRule>
  </conditionalFormatting>
  <conditionalFormatting sqref="AO71">
    <cfRule type="cellIs" dxfId="6" priority="81" stopIfTrue="1" operator="notEqual">
      <formula>0</formula>
    </cfRule>
  </conditionalFormatting>
  <conditionalFormatting sqref="AO71">
    <cfRule type="cellIs" dxfId="7" priority="82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8.25"/>
    <col customWidth="1" min="3" max="20" width="10.63"/>
    <col customWidth="1" min="21" max="22" width="15.13"/>
    <col customWidth="1" min="23" max="42" width="10.63"/>
  </cols>
  <sheetData>
    <row r="1" ht="34.5" customHeight="1">
      <c r="A1" s="816"/>
      <c r="B1" s="261" t="s">
        <v>0</v>
      </c>
      <c r="C1" s="463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817"/>
      <c r="X1" s="818"/>
      <c r="Y1" s="818"/>
      <c r="Z1" s="818"/>
      <c r="AA1" s="818"/>
      <c r="AB1" s="818"/>
      <c r="AC1" s="818"/>
      <c r="AD1" s="818"/>
      <c r="AE1" s="818"/>
      <c r="AF1" s="818"/>
      <c r="AG1" s="818"/>
      <c r="AH1" s="818"/>
      <c r="AI1" s="818"/>
      <c r="AJ1" s="818"/>
      <c r="AK1" s="818"/>
      <c r="AL1" s="818"/>
      <c r="AM1" s="818"/>
      <c r="AN1" s="818"/>
      <c r="AO1" s="818"/>
      <c r="AP1" s="8"/>
    </row>
    <row r="2" ht="34.5" customHeight="1">
      <c r="A2" s="9"/>
      <c r="B2" s="9"/>
      <c r="C2" s="10"/>
      <c r="V2" s="11"/>
      <c r="W2" s="817"/>
      <c r="X2" s="818"/>
      <c r="Y2" s="818"/>
      <c r="Z2" s="818"/>
      <c r="AA2" s="818"/>
      <c r="AB2" s="818"/>
      <c r="AC2" s="818"/>
      <c r="AD2" s="818"/>
      <c r="AE2" s="818"/>
      <c r="AF2" s="818"/>
      <c r="AG2" s="818"/>
      <c r="AH2" s="818"/>
      <c r="AI2" s="818"/>
      <c r="AJ2" s="818"/>
      <c r="AK2" s="818"/>
      <c r="AL2" s="818"/>
      <c r="AM2" s="818"/>
      <c r="AN2" s="818"/>
      <c r="AO2" s="818"/>
      <c r="AP2" s="8"/>
    </row>
    <row r="3" ht="63.0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/>
      <c r="W3" s="817"/>
      <c r="X3" s="818"/>
      <c r="Y3" s="818"/>
      <c r="Z3" s="818"/>
      <c r="AA3" s="818"/>
      <c r="AB3" s="818"/>
      <c r="AC3" s="818"/>
      <c r="AD3" s="818"/>
      <c r="AE3" s="818"/>
      <c r="AF3" s="818"/>
      <c r="AG3" s="818"/>
      <c r="AH3" s="818"/>
      <c r="AI3" s="818"/>
      <c r="AJ3" s="818"/>
      <c r="AK3" s="818"/>
      <c r="AL3" s="818"/>
      <c r="AM3" s="818"/>
      <c r="AN3" s="818"/>
      <c r="AO3" s="818"/>
      <c r="AP3" s="8"/>
    </row>
    <row r="4" ht="33.75" customHeight="1">
      <c r="A4" s="265" t="s">
        <v>2</v>
      </c>
      <c r="B4" s="266" t="s">
        <v>3</v>
      </c>
      <c r="C4" s="267" t="s">
        <v>4</v>
      </c>
      <c r="D4" s="19"/>
      <c r="E4" s="19"/>
      <c r="F4" s="20"/>
      <c r="G4" s="268">
        <v>46037.0</v>
      </c>
      <c r="H4" s="5"/>
      <c r="I4" s="179"/>
      <c r="J4" s="819" t="s">
        <v>407</v>
      </c>
      <c r="K4" s="820">
        <v>45814.0</v>
      </c>
      <c r="L4" s="24"/>
      <c r="M4" s="25"/>
      <c r="N4" s="821" t="s">
        <v>83</v>
      </c>
      <c r="O4" s="822">
        <v>45898.0</v>
      </c>
      <c r="P4" s="24"/>
      <c r="Q4" s="25"/>
      <c r="R4" s="508" t="s">
        <v>18</v>
      </c>
      <c r="S4" s="509">
        <v>45996.0</v>
      </c>
      <c r="T4" s="38"/>
      <c r="U4" s="39"/>
      <c r="V4" s="473"/>
      <c r="W4" s="474"/>
      <c r="X4" s="474"/>
      <c r="Y4" s="475"/>
      <c r="Z4" s="475"/>
      <c r="AA4" s="404"/>
      <c r="AB4" s="404"/>
      <c r="AC4" s="404"/>
      <c r="AD4" s="404"/>
      <c r="AE4" s="404"/>
      <c r="AF4" s="404"/>
      <c r="AG4" s="404"/>
      <c r="AH4" s="404"/>
      <c r="AI4" s="404"/>
      <c r="AJ4" s="404"/>
      <c r="AK4" s="404"/>
      <c r="AL4" s="404"/>
      <c r="AM4" s="404"/>
      <c r="AN4" s="404"/>
      <c r="AO4" s="404"/>
      <c r="AP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728" t="s">
        <v>408</v>
      </c>
      <c r="K5" s="729">
        <v>45821.0</v>
      </c>
      <c r="L5" s="38"/>
      <c r="M5" s="39"/>
      <c r="N5" s="732" t="s">
        <v>91</v>
      </c>
      <c r="O5" s="733">
        <v>45905.0</v>
      </c>
      <c r="P5" s="38"/>
      <c r="Q5" s="40"/>
      <c r="R5" s="514" t="s">
        <v>28</v>
      </c>
      <c r="S5" s="515">
        <v>46003.0</v>
      </c>
      <c r="T5" s="56"/>
      <c r="U5" s="57"/>
      <c r="V5" s="482"/>
      <c r="W5" s="483"/>
      <c r="X5" s="483"/>
      <c r="Y5" s="475"/>
      <c r="Z5" s="475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734" t="s">
        <v>16</v>
      </c>
      <c r="K6" s="735">
        <v>45835.0</v>
      </c>
      <c r="L6" s="38"/>
      <c r="M6" s="39"/>
      <c r="N6" s="571" t="s">
        <v>27</v>
      </c>
      <c r="O6" s="572">
        <v>45933.0</v>
      </c>
      <c r="P6" s="38"/>
      <c r="Q6" s="39"/>
      <c r="R6" s="469" t="s">
        <v>38</v>
      </c>
      <c r="S6" s="470">
        <v>46010.0</v>
      </c>
      <c r="T6" s="24"/>
      <c r="U6" s="26"/>
      <c r="V6" s="489"/>
      <c r="W6" s="483"/>
      <c r="X6" s="483"/>
      <c r="Y6" s="475"/>
      <c r="Z6" s="475"/>
      <c r="AA6" s="404"/>
      <c r="AB6" s="404"/>
      <c r="AC6" s="404"/>
      <c r="AD6" s="404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620" t="s">
        <v>411</v>
      </c>
      <c r="K7" s="621">
        <v>45842.0</v>
      </c>
      <c r="L7" s="38"/>
      <c r="M7" s="39"/>
      <c r="N7" s="629" t="s">
        <v>37</v>
      </c>
      <c r="O7" s="630">
        <v>45940.0</v>
      </c>
      <c r="P7" s="38"/>
      <c r="Q7" s="39"/>
      <c r="R7" s="275" t="s">
        <v>48</v>
      </c>
      <c r="S7" s="276">
        <v>46015.0</v>
      </c>
      <c r="T7" s="38"/>
      <c r="U7" s="40"/>
      <c r="V7" s="489"/>
      <c r="W7" s="483"/>
      <c r="X7" s="483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</row>
    <row r="8" ht="33.75" customHeight="1">
      <c r="A8" s="282" t="s">
        <v>44</v>
      </c>
      <c r="B8" s="283" t="s">
        <v>54</v>
      </c>
      <c r="C8" s="10"/>
      <c r="F8" s="11"/>
      <c r="G8" s="10"/>
      <c r="I8" s="180"/>
      <c r="J8" s="626" t="s">
        <v>26</v>
      </c>
      <c r="K8" s="627">
        <v>45849.0</v>
      </c>
      <c r="L8" s="38"/>
      <c r="M8" s="39"/>
      <c r="N8" s="555" t="s">
        <v>56</v>
      </c>
      <c r="O8" s="479">
        <v>45954.0</v>
      </c>
      <c r="P8" s="38"/>
      <c r="Q8" s="40"/>
      <c r="R8" s="290" t="s">
        <v>57</v>
      </c>
      <c r="S8" s="291">
        <v>46022.0</v>
      </c>
      <c r="T8" s="38"/>
      <c r="U8" s="40"/>
      <c r="V8" s="489"/>
      <c r="W8" s="483"/>
      <c r="X8" s="483"/>
      <c r="Y8" s="475"/>
      <c r="Z8" s="475"/>
      <c r="AA8" s="404"/>
      <c r="AB8" s="404"/>
      <c r="AC8" s="404"/>
      <c r="AD8" s="404"/>
      <c r="AE8" s="404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</row>
    <row r="9" ht="33.75" customHeight="1">
      <c r="A9" s="282" t="s">
        <v>62</v>
      </c>
      <c r="B9" s="283" t="s">
        <v>63</v>
      </c>
      <c r="C9" s="47"/>
      <c r="D9" s="48"/>
      <c r="E9" s="48"/>
      <c r="F9" s="49"/>
      <c r="G9" s="47"/>
      <c r="H9" s="48"/>
      <c r="I9" s="203"/>
      <c r="J9" s="553" t="s">
        <v>36</v>
      </c>
      <c r="K9" s="554">
        <v>45855.0</v>
      </c>
      <c r="L9" s="38"/>
      <c r="M9" s="39"/>
      <c r="N9" s="559" t="s">
        <v>67</v>
      </c>
      <c r="O9" s="560">
        <v>45960.0</v>
      </c>
      <c r="P9" s="24"/>
      <c r="Q9" s="25"/>
      <c r="R9" s="300" t="s">
        <v>68</v>
      </c>
      <c r="S9" s="301">
        <v>46031.0</v>
      </c>
      <c r="T9" s="38"/>
      <c r="U9" s="40"/>
      <c r="V9" s="489"/>
      <c r="W9" s="483"/>
      <c r="X9" s="483"/>
      <c r="Y9" s="475"/>
      <c r="Z9" s="475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</row>
    <row r="10" ht="33.75" customHeight="1">
      <c r="A10" s="282" t="s">
        <v>73</v>
      </c>
      <c r="B10" s="283" t="s">
        <v>74</v>
      </c>
      <c r="C10" s="316" t="s">
        <v>64</v>
      </c>
      <c r="D10" s="5"/>
      <c r="E10" s="5"/>
      <c r="F10" s="6"/>
      <c r="G10" s="316" t="s">
        <v>65</v>
      </c>
      <c r="H10" s="5"/>
      <c r="I10" s="6"/>
      <c r="J10" s="557" t="s">
        <v>46</v>
      </c>
      <c r="K10" s="558">
        <v>45863.0</v>
      </c>
      <c r="L10" s="38"/>
      <c r="M10" s="39"/>
      <c r="N10" s="492" t="s">
        <v>76</v>
      </c>
      <c r="O10" s="493">
        <v>45968.0</v>
      </c>
      <c r="P10" s="38"/>
      <c r="Q10" s="39"/>
      <c r="R10" s="308" t="s">
        <v>77</v>
      </c>
      <c r="S10" s="309">
        <v>46038.0</v>
      </c>
      <c r="T10" s="38"/>
      <c r="U10" s="39"/>
      <c r="V10" s="489"/>
      <c r="W10" s="483"/>
      <c r="X10" s="483"/>
      <c r="Y10" s="475"/>
      <c r="Z10" s="475"/>
      <c r="AA10" s="404"/>
      <c r="AB10" s="404"/>
      <c r="AC10" s="404"/>
      <c r="AD10" s="404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484" t="s">
        <v>55</v>
      </c>
      <c r="K11" s="485">
        <v>45870.0</v>
      </c>
      <c r="L11" s="38"/>
      <c r="M11" s="39"/>
      <c r="N11" s="496" t="s">
        <v>84</v>
      </c>
      <c r="O11" s="497">
        <v>45975.0</v>
      </c>
      <c r="P11" s="38"/>
      <c r="Q11" s="39"/>
      <c r="R11" s="199" t="s">
        <v>85</v>
      </c>
      <c r="S11" s="200">
        <v>46045.0</v>
      </c>
      <c r="T11" s="38"/>
      <c r="U11" s="39"/>
      <c r="V11" s="489"/>
      <c r="W11" s="483"/>
      <c r="X11" s="483"/>
      <c r="Y11" s="475"/>
      <c r="Z11" s="475"/>
      <c r="AA11" s="404"/>
      <c r="AB11" s="404"/>
      <c r="AC11" s="404"/>
      <c r="AD11" s="404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</row>
    <row r="12" ht="33.75" customHeight="1">
      <c r="A12" s="569" t="s">
        <v>90</v>
      </c>
      <c r="B12" s="570">
        <v>182948.0</v>
      </c>
      <c r="C12" s="10"/>
      <c r="F12" s="11"/>
      <c r="G12" s="10"/>
      <c r="I12" s="11"/>
      <c r="J12" s="490" t="s">
        <v>66</v>
      </c>
      <c r="K12" s="491">
        <v>45883.0</v>
      </c>
      <c r="L12" s="38"/>
      <c r="M12" s="39"/>
      <c r="N12" s="500" t="s">
        <v>92</v>
      </c>
      <c r="O12" s="501">
        <v>45982.0</v>
      </c>
      <c r="P12" s="38"/>
      <c r="Q12" s="39"/>
      <c r="R12" s="323" t="s">
        <v>93</v>
      </c>
      <c r="S12" s="324">
        <v>46052.0</v>
      </c>
      <c r="T12" s="38"/>
      <c r="U12" s="39"/>
      <c r="V12" s="489"/>
      <c r="W12" s="483"/>
      <c r="X12" s="483"/>
      <c r="Y12" s="475"/>
      <c r="Z12" s="475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</row>
    <row r="13" ht="33.75" customHeight="1">
      <c r="A13" s="404"/>
      <c r="B13" s="404"/>
      <c r="C13" s="47"/>
      <c r="D13" s="48"/>
      <c r="E13" s="48"/>
      <c r="F13" s="49"/>
      <c r="G13" s="47"/>
      <c r="H13" s="48"/>
      <c r="I13" s="49"/>
      <c r="J13" s="823" t="s">
        <v>75</v>
      </c>
      <c r="K13" s="824">
        <v>45891.0</v>
      </c>
      <c r="L13" s="56"/>
      <c r="M13" s="57"/>
      <c r="N13" s="504" t="s">
        <v>8</v>
      </c>
      <c r="O13" s="505">
        <v>45989.0</v>
      </c>
      <c r="P13" s="38"/>
      <c r="Q13" s="39"/>
      <c r="R13" s="576"/>
      <c r="S13" s="517"/>
      <c r="T13" s="56"/>
      <c r="U13" s="57"/>
      <c r="V13" s="520"/>
      <c r="W13" s="483"/>
      <c r="X13" s="483"/>
      <c r="Y13" s="475"/>
      <c r="Z13" s="475"/>
      <c r="AA13" s="404"/>
      <c r="AB13" s="404"/>
      <c r="AC13" s="404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</row>
    <row r="14" ht="33.75" customHeight="1">
      <c r="A14" s="825"/>
      <c r="B14" s="639"/>
      <c r="C14" s="639"/>
      <c r="D14" s="639"/>
      <c r="E14" s="639"/>
      <c r="F14" s="639"/>
      <c r="G14" s="639"/>
      <c r="H14" s="639"/>
      <c r="I14" s="639"/>
      <c r="J14" s="826"/>
      <c r="K14" s="826"/>
      <c r="L14" s="826"/>
      <c r="M14" s="826"/>
      <c r="N14" s="826"/>
      <c r="O14" s="826"/>
      <c r="P14" s="826"/>
      <c r="Q14" s="826"/>
      <c r="R14" s="826"/>
      <c r="S14" s="826"/>
      <c r="T14" s="826"/>
      <c r="U14" s="826"/>
      <c r="V14" s="826"/>
      <c r="W14" s="584"/>
      <c r="X14" s="584"/>
      <c r="Y14" s="584"/>
      <c r="Z14" s="584"/>
      <c r="AA14" s="584"/>
      <c r="AB14" s="584"/>
      <c r="AC14" s="584"/>
      <c r="AD14" s="584"/>
      <c r="AE14" s="584"/>
      <c r="AF14" s="584"/>
      <c r="AG14" s="584"/>
      <c r="AH14" s="584"/>
      <c r="AI14" s="584"/>
      <c r="AJ14" s="584"/>
      <c r="AK14" s="584"/>
      <c r="AL14" s="404"/>
      <c r="AM14" s="404"/>
      <c r="AN14" s="404"/>
      <c r="AO14" s="404"/>
      <c r="AP14" s="404"/>
    </row>
    <row r="15" ht="33.75" customHeight="1">
      <c r="A15" s="351" t="s">
        <v>98</v>
      </c>
      <c r="B15" s="352" t="s">
        <v>99</v>
      </c>
      <c r="C15" s="523" t="s">
        <v>100</v>
      </c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524"/>
      <c r="W15" s="582"/>
      <c r="X15" s="582"/>
      <c r="Y15" s="582"/>
      <c r="Z15" s="582"/>
      <c r="AA15" s="582"/>
      <c r="AB15" s="582"/>
      <c r="AC15" s="582"/>
      <c r="AD15" s="582"/>
      <c r="AE15" s="582"/>
      <c r="AF15" s="582"/>
      <c r="AG15" s="582"/>
      <c r="AH15" s="582"/>
      <c r="AI15" s="583"/>
      <c r="AJ15" s="584"/>
      <c r="AK15" s="584"/>
      <c r="AL15" s="404"/>
      <c r="AM15" s="404"/>
      <c r="AN15" s="404"/>
      <c r="AO15" s="404"/>
      <c r="AP15" s="404"/>
    </row>
    <row r="16" ht="33.75" customHeight="1">
      <c r="A16" s="74"/>
      <c r="B16" s="9"/>
      <c r="C16" s="525" t="s">
        <v>101</v>
      </c>
      <c r="D16" s="526"/>
      <c r="E16" s="527"/>
      <c r="F16" s="527"/>
      <c r="G16" s="528"/>
      <c r="H16" s="364"/>
      <c r="I16" s="364"/>
      <c r="J16" s="364"/>
      <c r="K16" s="364"/>
      <c r="L16" s="364"/>
      <c r="M16" s="364"/>
      <c r="N16" s="364"/>
      <c r="O16" s="365" t="s">
        <v>102</v>
      </c>
      <c r="P16" s="64"/>
      <c r="Q16" s="64"/>
      <c r="R16" s="64"/>
      <c r="S16" s="64"/>
      <c r="T16" s="65"/>
      <c r="U16" s="366" t="s">
        <v>420</v>
      </c>
      <c r="V16" s="65"/>
      <c r="W16" s="827"/>
      <c r="X16" s="827"/>
      <c r="Y16" s="827"/>
      <c r="Z16" s="827"/>
      <c r="AA16" s="827"/>
      <c r="AB16" s="827"/>
      <c r="AC16" s="827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  <c r="AO16" s="404"/>
      <c r="AP16" s="404"/>
    </row>
    <row r="17" ht="33.75" customHeight="1">
      <c r="A17" s="83"/>
      <c r="B17" s="84"/>
      <c r="C17" s="368">
        <v>1.0</v>
      </c>
      <c r="D17" s="86"/>
      <c r="E17" s="369">
        <v>2.0</v>
      </c>
      <c r="F17" s="86"/>
      <c r="G17" s="369">
        <v>3.0</v>
      </c>
      <c r="H17" s="86"/>
      <c r="I17" s="369">
        <v>4.0</v>
      </c>
      <c r="J17" s="86"/>
      <c r="K17" s="369">
        <v>5.0</v>
      </c>
      <c r="L17" s="86"/>
      <c r="M17" s="369">
        <v>6.0</v>
      </c>
      <c r="N17" s="86"/>
      <c r="O17" s="369">
        <v>7.0</v>
      </c>
      <c r="P17" s="86"/>
      <c r="Q17" s="369">
        <v>8.0</v>
      </c>
      <c r="R17" s="86"/>
      <c r="S17" s="369">
        <v>9.0</v>
      </c>
      <c r="T17" s="86"/>
      <c r="U17" s="370" t="s">
        <v>104</v>
      </c>
      <c r="V17" s="371" t="s">
        <v>105</v>
      </c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  <c r="AJ17" s="404"/>
      <c r="AK17" s="404"/>
      <c r="AL17" s="404"/>
      <c r="AM17" s="404"/>
      <c r="AN17" s="404"/>
      <c r="AO17" s="404"/>
      <c r="AP17" s="404"/>
    </row>
    <row r="18" ht="39.75" customHeight="1">
      <c r="A18" s="828" t="s">
        <v>106</v>
      </c>
      <c r="B18" s="373" t="s">
        <v>107</v>
      </c>
      <c r="C18" s="374" t="s">
        <v>108</v>
      </c>
      <c r="D18" s="375" t="s">
        <v>109</v>
      </c>
      <c r="E18" s="376" t="s">
        <v>108</v>
      </c>
      <c r="F18" s="375" t="s">
        <v>109</v>
      </c>
      <c r="G18" s="376" t="s">
        <v>108</v>
      </c>
      <c r="H18" s="375" t="s">
        <v>109</v>
      </c>
      <c r="I18" s="376" t="s">
        <v>108</v>
      </c>
      <c r="J18" s="375" t="s">
        <v>109</v>
      </c>
      <c r="K18" s="376" t="s">
        <v>108</v>
      </c>
      <c r="L18" s="375" t="s">
        <v>109</v>
      </c>
      <c r="M18" s="376" t="s">
        <v>108</v>
      </c>
      <c r="N18" s="375" t="s">
        <v>109</v>
      </c>
      <c r="O18" s="376" t="s">
        <v>108</v>
      </c>
      <c r="P18" s="375" t="s">
        <v>109</v>
      </c>
      <c r="Q18" s="376" t="s">
        <v>108</v>
      </c>
      <c r="R18" s="375" t="s">
        <v>109</v>
      </c>
      <c r="S18" s="376" t="s">
        <v>108</v>
      </c>
      <c r="T18" s="375" t="s">
        <v>109</v>
      </c>
      <c r="U18" s="375"/>
      <c r="V18" s="377"/>
    </row>
    <row r="19" ht="39.75" customHeight="1">
      <c r="A19" s="829" t="s">
        <v>110</v>
      </c>
      <c r="B19" s="379" t="s">
        <v>111</v>
      </c>
      <c r="C19" s="380"/>
      <c r="D19" s="381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4"/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  <c r="AH19" s="404"/>
      <c r="AI19" s="404"/>
      <c r="AJ19" s="404"/>
      <c r="AK19" s="404"/>
      <c r="AL19" s="404"/>
      <c r="AM19" s="404"/>
      <c r="AN19" s="404"/>
      <c r="AO19" s="404"/>
      <c r="AP19" s="404"/>
    </row>
    <row r="20" ht="39.75" customHeight="1">
      <c r="A20" s="830" t="s">
        <v>112</v>
      </c>
      <c r="B20" s="386" t="s">
        <v>113</v>
      </c>
      <c r="C20" s="387" t="s">
        <v>407</v>
      </c>
      <c r="D20" s="388"/>
      <c r="E20" s="387" t="s">
        <v>407</v>
      </c>
      <c r="F20" s="389"/>
      <c r="G20" s="387" t="s">
        <v>407</v>
      </c>
      <c r="H20" s="389"/>
      <c r="I20" s="387" t="s">
        <v>407</v>
      </c>
      <c r="J20" s="389"/>
      <c r="K20" s="387" t="s">
        <v>407</v>
      </c>
      <c r="L20" s="389"/>
      <c r="M20" s="387" t="s">
        <v>407</v>
      </c>
      <c r="N20" s="389"/>
      <c r="O20" s="387" t="s">
        <v>407</v>
      </c>
      <c r="P20" s="389"/>
      <c r="Q20" s="387" t="s">
        <v>407</v>
      </c>
      <c r="R20" s="389"/>
      <c r="S20" s="387" t="s">
        <v>407</v>
      </c>
      <c r="T20" s="389"/>
      <c r="U20" s="391">
        <f t="shared" ref="U20:U26" si="1">COUNTIF(C20:T20,"&gt;=R")</f>
        <v>9</v>
      </c>
      <c r="V20" s="392">
        <f t="shared" ref="V20:V26" si="2">U20</f>
        <v>9</v>
      </c>
    </row>
    <row r="21" ht="39.75" customHeight="1">
      <c r="A21" s="830" t="s">
        <v>114</v>
      </c>
      <c r="B21" s="386" t="s">
        <v>115</v>
      </c>
      <c r="C21" s="388" t="s">
        <v>408</v>
      </c>
      <c r="D21" s="388"/>
      <c r="E21" s="389" t="s">
        <v>408</v>
      </c>
      <c r="F21" s="389"/>
      <c r="G21" s="389" t="s">
        <v>408</v>
      </c>
      <c r="H21" s="389"/>
      <c r="I21" s="389" t="s">
        <v>408</v>
      </c>
      <c r="J21" s="389"/>
      <c r="K21" s="387" t="s">
        <v>407</v>
      </c>
      <c r="L21" s="389"/>
      <c r="M21" s="387" t="s">
        <v>407</v>
      </c>
      <c r="N21" s="389"/>
      <c r="O21" s="387" t="s">
        <v>407</v>
      </c>
      <c r="P21" s="389"/>
      <c r="Q21" s="387" t="s">
        <v>407</v>
      </c>
      <c r="R21" s="389"/>
      <c r="S21" s="387" t="s">
        <v>407</v>
      </c>
      <c r="T21" s="389"/>
      <c r="U21" s="391">
        <f t="shared" si="1"/>
        <v>9</v>
      </c>
      <c r="V21" s="392">
        <f t="shared" si="2"/>
        <v>9</v>
      </c>
    </row>
    <row r="22" ht="39.75" customHeight="1">
      <c r="A22" s="830" t="s">
        <v>116</v>
      </c>
      <c r="B22" s="386" t="s">
        <v>117</v>
      </c>
      <c r="C22" s="387" t="s">
        <v>408</v>
      </c>
      <c r="D22" s="388"/>
      <c r="E22" s="387" t="s">
        <v>408</v>
      </c>
      <c r="F22" s="389"/>
      <c r="G22" s="387" t="s">
        <v>408</v>
      </c>
      <c r="H22" s="389"/>
      <c r="I22" s="387" t="s">
        <v>408</v>
      </c>
      <c r="J22" s="389"/>
      <c r="K22" s="387" t="s">
        <v>408</v>
      </c>
      <c r="L22" s="389"/>
      <c r="M22" s="387" t="s">
        <v>408</v>
      </c>
      <c r="N22" s="389"/>
      <c r="O22" s="387" t="s">
        <v>408</v>
      </c>
      <c r="P22" s="389"/>
      <c r="Q22" s="387" t="s">
        <v>408</v>
      </c>
      <c r="R22" s="389"/>
      <c r="S22" s="387" t="s">
        <v>408</v>
      </c>
      <c r="T22" s="389"/>
      <c r="U22" s="391">
        <f t="shared" si="1"/>
        <v>9</v>
      </c>
      <c r="V22" s="392">
        <f t="shared" si="2"/>
        <v>9</v>
      </c>
    </row>
    <row r="23" ht="39.75" customHeight="1">
      <c r="A23" s="830" t="s">
        <v>118</v>
      </c>
      <c r="B23" s="386" t="s">
        <v>119</v>
      </c>
      <c r="C23" s="387" t="s">
        <v>408</v>
      </c>
      <c r="D23" s="388"/>
      <c r="E23" s="387" t="s">
        <v>408</v>
      </c>
      <c r="F23" s="389"/>
      <c r="G23" s="387" t="s">
        <v>408</v>
      </c>
      <c r="H23" s="389"/>
      <c r="I23" s="387" t="s">
        <v>408</v>
      </c>
      <c r="J23" s="389"/>
      <c r="K23" s="387" t="s">
        <v>408</v>
      </c>
      <c r="L23" s="389"/>
      <c r="M23" s="387" t="s">
        <v>408</v>
      </c>
      <c r="N23" s="389"/>
      <c r="O23" s="387" t="s">
        <v>408</v>
      </c>
      <c r="P23" s="389"/>
      <c r="Q23" s="387" t="s">
        <v>408</v>
      </c>
      <c r="R23" s="389"/>
      <c r="S23" s="387" t="s">
        <v>408</v>
      </c>
      <c r="T23" s="389"/>
      <c r="U23" s="391">
        <f t="shared" si="1"/>
        <v>9</v>
      </c>
      <c r="V23" s="392">
        <f t="shared" si="2"/>
        <v>9</v>
      </c>
    </row>
    <row r="24" ht="39.75" customHeight="1">
      <c r="A24" s="830" t="s">
        <v>120</v>
      </c>
      <c r="B24" s="386" t="s">
        <v>121</v>
      </c>
      <c r="C24" s="406" t="s">
        <v>16</v>
      </c>
      <c r="D24" s="388"/>
      <c r="E24" s="390" t="s">
        <v>16</v>
      </c>
      <c r="F24" s="389"/>
      <c r="G24" s="390" t="s">
        <v>16</v>
      </c>
      <c r="H24" s="389"/>
      <c r="I24" s="389" t="s">
        <v>16</v>
      </c>
      <c r="J24" s="389"/>
      <c r="K24" s="790" t="s">
        <v>408</v>
      </c>
      <c r="L24" s="389"/>
      <c r="M24" s="790" t="s">
        <v>408</v>
      </c>
      <c r="N24" s="389"/>
      <c r="O24" s="790" t="s">
        <v>408</v>
      </c>
      <c r="P24" s="389"/>
      <c r="Q24" s="389" t="s">
        <v>16</v>
      </c>
      <c r="R24" s="389"/>
      <c r="S24" s="389" t="s">
        <v>16</v>
      </c>
      <c r="T24" s="389"/>
      <c r="U24" s="391">
        <f t="shared" si="1"/>
        <v>9</v>
      </c>
      <c r="V24" s="392">
        <f t="shared" si="2"/>
        <v>9</v>
      </c>
    </row>
    <row r="25" ht="39.75" customHeight="1">
      <c r="A25" s="830" t="s">
        <v>122</v>
      </c>
      <c r="B25" s="386" t="s">
        <v>123</v>
      </c>
      <c r="C25" s="406" t="s">
        <v>16</v>
      </c>
      <c r="D25" s="388"/>
      <c r="E25" s="390" t="s">
        <v>16</v>
      </c>
      <c r="F25" s="389"/>
      <c r="G25" s="390" t="s">
        <v>16</v>
      </c>
      <c r="H25" s="389"/>
      <c r="I25" s="389" t="s">
        <v>16</v>
      </c>
      <c r="J25" s="389"/>
      <c r="K25" s="790" t="s">
        <v>408</v>
      </c>
      <c r="L25" s="389"/>
      <c r="M25" s="790" t="s">
        <v>408</v>
      </c>
      <c r="N25" s="389"/>
      <c r="O25" s="790" t="s">
        <v>408</v>
      </c>
      <c r="P25" s="389"/>
      <c r="Q25" s="389" t="s">
        <v>16</v>
      </c>
      <c r="R25" s="389"/>
      <c r="S25" s="389" t="s">
        <v>16</v>
      </c>
      <c r="T25" s="389"/>
      <c r="U25" s="391">
        <f t="shared" si="1"/>
        <v>9</v>
      </c>
      <c r="V25" s="392">
        <f t="shared" si="2"/>
        <v>9</v>
      </c>
    </row>
    <row r="26" ht="39.75" customHeight="1">
      <c r="A26" s="830" t="s">
        <v>124</v>
      </c>
      <c r="B26" s="386" t="s">
        <v>125</v>
      </c>
      <c r="C26" s="406" t="s">
        <v>16</v>
      </c>
      <c r="D26" s="388"/>
      <c r="E26" s="390" t="s">
        <v>16</v>
      </c>
      <c r="F26" s="389"/>
      <c r="G26" s="390" t="s">
        <v>16</v>
      </c>
      <c r="H26" s="389"/>
      <c r="I26" s="389" t="s">
        <v>16</v>
      </c>
      <c r="J26" s="389"/>
      <c r="K26" s="790" t="s">
        <v>408</v>
      </c>
      <c r="L26" s="389"/>
      <c r="M26" s="790" t="s">
        <v>408</v>
      </c>
      <c r="N26" s="389"/>
      <c r="O26" s="790" t="s">
        <v>408</v>
      </c>
      <c r="P26" s="389"/>
      <c r="Q26" s="389" t="s">
        <v>16</v>
      </c>
      <c r="R26" s="389"/>
      <c r="S26" s="389" t="s">
        <v>16</v>
      </c>
      <c r="T26" s="389"/>
      <c r="U26" s="391">
        <f t="shared" si="1"/>
        <v>9</v>
      </c>
      <c r="V26" s="392">
        <f t="shared" si="2"/>
        <v>9</v>
      </c>
    </row>
    <row r="27" ht="39.75" customHeight="1">
      <c r="A27" s="831" t="s">
        <v>126</v>
      </c>
      <c r="B27" s="396" t="s">
        <v>127</v>
      </c>
      <c r="C27" s="397"/>
      <c r="D27" s="398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401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  <c r="AO27" s="404"/>
      <c r="AP27" s="404"/>
    </row>
    <row r="28" ht="39.75" customHeight="1">
      <c r="A28" s="830" t="s">
        <v>128</v>
      </c>
      <c r="B28" s="386" t="s">
        <v>129</v>
      </c>
      <c r="C28" s="387" t="s">
        <v>411</v>
      </c>
      <c r="D28" s="388"/>
      <c r="E28" s="387" t="s">
        <v>411</v>
      </c>
      <c r="F28" s="389"/>
      <c r="G28" s="387" t="s">
        <v>411</v>
      </c>
      <c r="H28" s="389"/>
      <c r="I28" s="390" t="s">
        <v>16</v>
      </c>
      <c r="J28" s="389"/>
      <c r="K28" s="403" t="s">
        <v>409</v>
      </c>
      <c r="L28" s="389"/>
      <c r="M28" s="403" t="s">
        <v>409</v>
      </c>
      <c r="N28" s="389"/>
      <c r="O28" s="403" t="s">
        <v>409</v>
      </c>
      <c r="P28" s="389"/>
      <c r="Q28" s="390" t="s">
        <v>16</v>
      </c>
      <c r="R28" s="389"/>
      <c r="S28" s="390" t="s">
        <v>16</v>
      </c>
      <c r="T28" s="389"/>
      <c r="U28" s="391">
        <f t="shared" ref="U28:U29" si="3">COUNTIF(C28:T28,"&gt;=R")</f>
        <v>9</v>
      </c>
      <c r="V28" s="392">
        <f t="shared" ref="V28:V29" si="4">U28</f>
        <v>9</v>
      </c>
    </row>
    <row r="29" ht="39.75" customHeight="1">
      <c r="A29" s="830" t="s">
        <v>130</v>
      </c>
      <c r="B29" s="386" t="s">
        <v>131</v>
      </c>
      <c r="C29" s="387" t="s">
        <v>411</v>
      </c>
      <c r="D29" s="388"/>
      <c r="E29" s="387" t="s">
        <v>411</v>
      </c>
      <c r="F29" s="389"/>
      <c r="G29" s="387" t="s">
        <v>411</v>
      </c>
      <c r="H29" s="389"/>
      <c r="I29" s="390" t="s">
        <v>16</v>
      </c>
      <c r="J29" s="389"/>
      <c r="K29" s="403" t="s">
        <v>409</v>
      </c>
      <c r="L29" s="389"/>
      <c r="M29" s="403" t="s">
        <v>409</v>
      </c>
      <c r="N29" s="389"/>
      <c r="O29" s="403" t="s">
        <v>409</v>
      </c>
      <c r="P29" s="389"/>
      <c r="Q29" s="390" t="s">
        <v>16</v>
      </c>
      <c r="R29" s="389"/>
      <c r="S29" s="390" t="s">
        <v>16</v>
      </c>
      <c r="T29" s="389"/>
      <c r="U29" s="391">
        <f t="shared" si="3"/>
        <v>9</v>
      </c>
      <c r="V29" s="392">
        <f t="shared" si="4"/>
        <v>9</v>
      </c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  <c r="AO29" s="404"/>
      <c r="AP29" s="404"/>
    </row>
    <row r="30" ht="39.75" customHeight="1">
      <c r="A30" s="831" t="s">
        <v>132</v>
      </c>
      <c r="B30" s="396" t="s">
        <v>133</v>
      </c>
      <c r="C30" s="397"/>
      <c r="D30" s="398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401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  <c r="AK30" s="404"/>
      <c r="AL30" s="404"/>
      <c r="AM30" s="404"/>
      <c r="AN30" s="404"/>
      <c r="AO30" s="404"/>
      <c r="AP30" s="404"/>
    </row>
    <row r="31" ht="39.75" customHeight="1">
      <c r="A31" s="832" t="s">
        <v>134</v>
      </c>
      <c r="B31" s="386" t="s">
        <v>135</v>
      </c>
      <c r="C31" s="387" t="s">
        <v>55</v>
      </c>
      <c r="D31" s="388"/>
      <c r="E31" s="387" t="s">
        <v>55</v>
      </c>
      <c r="F31" s="389"/>
      <c r="G31" s="387" t="s">
        <v>55</v>
      </c>
      <c r="H31" s="389"/>
      <c r="I31" s="389" t="s">
        <v>55</v>
      </c>
      <c r="J31" s="389"/>
      <c r="K31" s="389" t="s">
        <v>46</v>
      </c>
      <c r="L31" s="389"/>
      <c r="M31" s="389" t="s">
        <v>46</v>
      </c>
      <c r="N31" s="389"/>
      <c r="O31" s="389" t="s">
        <v>46</v>
      </c>
      <c r="P31" s="389"/>
      <c r="Q31" s="389" t="s">
        <v>46</v>
      </c>
      <c r="R31" s="389"/>
      <c r="S31" s="389" t="s">
        <v>46</v>
      </c>
      <c r="T31" s="389"/>
      <c r="U31" s="391">
        <f>COUNTIF(C31:T31,"&gt;=R")</f>
        <v>9</v>
      </c>
      <c r="V31" s="392">
        <f>U31</f>
        <v>9</v>
      </c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  <c r="AM31" s="404"/>
      <c r="AN31" s="404"/>
      <c r="AO31" s="404"/>
      <c r="AP31" s="404"/>
    </row>
    <row r="32" ht="39.75" customHeight="1">
      <c r="A32" s="831" t="s">
        <v>136</v>
      </c>
      <c r="B32" s="396" t="s">
        <v>137</v>
      </c>
      <c r="C32" s="397"/>
      <c r="D32" s="398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401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4"/>
      <c r="AM32" s="404"/>
      <c r="AN32" s="404"/>
      <c r="AO32" s="404"/>
      <c r="AP32" s="404"/>
    </row>
    <row r="33" ht="39.75" customHeight="1">
      <c r="A33" s="830" t="s">
        <v>138</v>
      </c>
      <c r="B33" s="386" t="s">
        <v>139</v>
      </c>
      <c r="C33" s="387" t="s">
        <v>55</v>
      </c>
      <c r="D33" s="388"/>
      <c r="E33" s="387" t="s">
        <v>55</v>
      </c>
      <c r="F33" s="389"/>
      <c r="G33" s="387" t="s">
        <v>55</v>
      </c>
      <c r="H33" s="389"/>
      <c r="I33" s="389" t="s">
        <v>55</v>
      </c>
      <c r="J33" s="389"/>
      <c r="K33" s="389" t="s">
        <v>46</v>
      </c>
      <c r="L33" s="389"/>
      <c r="M33" s="389" t="s">
        <v>46</v>
      </c>
      <c r="N33" s="389"/>
      <c r="O33" s="389" t="s">
        <v>46</v>
      </c>
      <c r="P33" s="389"/>
      <c r="Q33" s="389" t="s">
        <v>46</v>
      </c>
      <c r="R33" s="389"/>
      <c r="S33" s="389" t="s">
        <v>46</v>
      </c>
      <c r="T33" s="394"/>
      <c r="U33" s="391">
        <f t="shared" ref="U33:U34" si="5">COUNTIF(C33:T33,"&gt;=R")</f>
        <v>9</v>
      </c>
      <c r="V33" s="392">
        <f t="shared" ref="V33:V34" si="6">U33</f>
        <v>9</v>
      </c>
    </row>
    <row r="34" ht="39.75" customHeight="1">
      <c r="A34" s="833" t="s">
        <v>140</v>
      </c>
      <c r="B34" s="794" t="s">
        <v>141</v>
      </c>
      <c r="C34" s="387" t="s">
        <v>55</v>
      </c>
      <c r="D34" s="388"/>
      <c r="E34" s="387" t="s">
        <v>55</v>
      </c>
      <c r="F34" s="389"/>
      <c r="G34" s="387" t="s">
        <v>55</v>
      </c>
      <c r="H34" s="389"/>
      <c r="I34" s="389" t="s">
        <v>55</v>
      </c>
      <c r="J34" s="389"/>
      <c r="K34" s="389" t="s">
        <v>46</v>
      </c>
      <c r="L34" s="389"/>
      <c r="M34" s="389" t="s">
        <v>46</v>
      </c>
      <c r="N34" s="389"/>
      <c r="O34" s="389" t="s">
        <v>46</v>
      </c>
      <c r="P34" s="389"/>
      <c r="Q34" s="389" t="s">
        <v>46</v>
      </c>
      <c r="R34" s="389"/>
      <c r="S34" s="389" t="s">
        <v>46</v>
      </c>
      <c r="T34" s="389"/>
      <c r="U34" s="391">
        <f t="shared" si="5"/>
        <v>9</v>
      </c>
      <c r="V34" s="392">
        <f t="shared" si="6"/>
        <v>9</v>
      </c>
    </row>
    <row r="35" ht="39.75" customHeight="1">
      <c r="A35" s="831" t="s">
        <v>142</v>
      </c>
      <c r="B35" s="396" t="s">
        <v>143</v>
      </c>
      <c r="C35" s="397"/>
      <c r="D35" s="398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401"/>
    </row>
    <row r="36" ht="39.75" customHeight="1">
      <c r="A36" s="832" t="s">
        <v>144</v>
      </c>
      <c r="B36" s="386" t="s">
        <v>145</v>
      </c>
      <c r="C36" s="387" t="s">
        <v>55</v>
      </c>
      <c r="D36" s="388"/>
      <c r="E36" s="387" t="s">
        <v>55</v>
      </c>
      <c r="F36" s="389"/>
      <c r="G36" s="387" t="s">
        <v>55</v>
      </c>
      <c r="H36" s="389"/>
      <c r="I36" s="389" t="s">
        <v>55</v>
      </c>
      <c r="J36" s="389"/>
      <c r="K36" s="389" t="s">
        <v>46</v>
      </c>
      <c r="L36" s="389"/>
      <c r="M36" s="389" t="s">
        <v>46</v>
      </c>
      <c r="N36" s="389"/>
      <c r="O36" s="389" t="s">
        <v>46</v>
      </c>
      <c r="P36" s="389"/>
      <c r="Q36" s="389" t="s">
        <v>46</v>
      </c>
      <c r="R36" s="389"/>
      <c r="S36" s="389" t="s">
        <v>46</v>
      </c>
      <c r="T36" s="389"/>
      <c r="U36" s="391">
        <f>COUNTIF(C36:T36,"&gt;=R")</f>
        <v>9</v>
      </c>
      <c r="V36" s="392">
        <f>U36</f>
        <v>9</v>
      </c>
    </row>
    <row r="37" ht="39.75" customHeight="1">
      <c r="A37" s="831" t="s">
        <v>146</v>
      </c>
      <c r="B37" s="396" t="s">
        <v>147</v>
      </c>
      <c r="C37" s="397"/>
      <c r="D37" s="398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401"/>
    </row>
    <row r="38" ht="39.75" customHeight="1">
      <c r="A38" s="830" t="s">
        <v>148</v>
      </c>
      <c r="B38" s="386" t="s">
        <v>139</v>
      </c>
      <c r="C38" s="387" t="s">
        <v>55</v>
      </c>
      <c r="D38" s="388"/>
      <c r="E38" s="387" t="s">
        <v>55</v>
      </c>
      <c r="F38" s="389"/>
      <c r="G38" s="387" t="s">
        <v>55</v>
      </c>
      <c r="H38" s="389"/>
      <c r="I38" s="389" t="s">
        <v>55</v>
      </c>
      <c r="J38" s="389"/>
      <c r="K38" s="418" t="s">
        <v>84</v>
      </c>
      <c r="L38" s="389"/>
      <c r="M38" s="418" t="s">
        <v>84</v>
      </c>
      <c r="N38" s="389"/>
      <c r="O38" s="418" t="s">
        <v>84</v>
      </c>
      <c r="P38" s="389"/>
      <c r="Q38" s="389" t="s">
        <v>46</v>
      </c>
      <c r="R38" s="389"/>
      <c r="S38" s="389" t="s">
        <v>46</v>
      </c>
      <c r="T38" s="389"/>
      <c r="U38" s="391">
        <f t="shared" ref="U38:U39" si="7">COUNTIF(C38:T38,"&gt;=R")</f>
        <v>9</v>
      </c>
      <c r="V38" s="392">
        <f t="shared" ref="V38:V39" si="8">U38</f>
        <v>9</v>
      </c>
    </row>
    <row r="39" ht="39.75" customHeight="1">
      <c r="A39" s="830" t="s">
        <v>149</v>
      </c>
      <c r="B39" s="386" t="s">
        <v>150</v>
      </c>
      <c r="C39" s="388" t="s">
        <v>55</v>
      </c>
      <c r="D39" s="388"/>
      <c r="E39" s="389" t="s">
        <v>55</v>
      </c>
      <c r="F39" s="389"/>
      <c r="G39" s="389" t="s">
        <v>55</v>
      </c>
      <c r="H39" s="389"/>
      <c r="I39" s="394" t="s">
        <v>55</v>
      </c>
      <c r="J39" s="389"/>
      <c r="K39" s="418" t="s">
        <v>84</v>
      </c>
      <c r="L39" s="389"/>
      <c r="M39" s="418" t="s">
        <v>84</v>
      </c>
      <c r="N39" s="389"/>
      <c r="O39" s="418" t="s">
        <v>84</v>
      </c>
      <c r="P39" s="389"/>
      <c r="Q39" s="389" t="s">
        <v>46</v>
      </c>
      <c r="R39" s="389"/>
      <c r="S39" s="389" t="s">
        <v>46</v>
      </c>
      <c r="T39" s="389"/>
      <c r="U39" s="391">
        <f t="shared" si="7"/>
        <v>9</v>
      </c>
      <c r="V39" s="392">
        <f t="shared" si="8"/>
        <v>9</v>
      </c>
      <c r="W39" s="404"/>
      <c r="X39" s="404"/>
      <c r="Y39" s="404"/>
      <c r="Z39" s="404"/>
      <c r="AA39" s="404"/>
      <c r="AB39" s="404"/>
      <c r="AC39" s="404"/>
      <c r="AD39" s="404"/>
      <c r="AE39" s="404"/>
      <c r="AF39" s="404"/>
      <c r="AG39" s="404"/>
      <c r="AH39" s="404"/>
      <c r="AI39" s="404"/>
      <c r="AJ39" s="404"/>
      <c r="AK39" s="404"/>
      <c r="AL39" s="404"/>
      <c r="AM39" s="404"/>
      <c r="AN39" s="404"/>
      <c r="AO39" s="404"/>
      <c r="AP39" s="404"/>
    </row>
    <row r="40" ht="39.75" customHeight="1">
      <c r="A40" s="834" t="s">
        <v>151</v>
      </c>
      <c r="B40" s="408" t="s">
        <v>152</v>
      </c>
      <c r="C40" s="387"/>
      <c r="D40" s="388"/>
      <c r="E40" s="389"/>
      <c r="F40" s="389"/>
      <c r="G40" s="389"/>
      <c r="H40" s="389"/>
      <c r="I40" s="389"/>
      <c r="J40" s="389"/>
      <c r="K40" s="389"/>
      <c r="L40" s="389"/>
      <c r="M40" s="394"/>
      <c r="N40" s="389"/>
      <c r="O40" s="389"/>
      <c r="P40" s="389"/>
      <c r="Q40" s="389"/>
      <c r="R40" s="389"/>
      <c r="S40" s="389"/>
      <c r="T40" s="389"/>
      <c r="U40" s="391"/>
      <c r="V40" s="392"/>
    </row>
    <row r="41" ht="39.75" customHeight="1">
      <c r="A41" s="830" t="s">
        <v>153</v>
      </c>
      <c r="B41" s="386" t="s">
        <v>154</v>
      </c>
      <c r="C41" s="387"/>
      <c r="D41" s="388"/>
      <c r="E41" s="387"/>
      <c r="F41" s="389"/>
      <c r="G41" s="387"/>
      <c r="H41" s="389"/>
      <c r="I41" s="387"/>
      <c r="J41" s="389"/>
      <c r="K41" s="387"/>
      <c r="L41" s="389"/>
      <c r="M41" s="389"/>
      <c r="N41" s="389"/>
      <c r="O41" s="389"/>
      <c r="P41" s="389"/>
      <c r="Q41" s="389"/>
      <c r="R41" s="389"/>
      <c r="S41" s="389"/>
      <c r="T41" s="389"/>
      <c r="U41" s="391">
        <f t="shared" ref="U41:U46" si="9">COUNTIF(C41:T41,"&gt;=R")</f>
        <v>0</v>
      </c>
      <c r="V41" s="392">
        <f t="shared" ref="V41:V46" si="10">U41</f>
        <v>0</v>
      </c>
    </row>
    <row r="42" ht="39.75" customHeight="1">
      <c r="A42" s="830" t="s">
        <v>155</v>
      </c>
      <c r="B42" s="386" t="s">
        <v>156</v>
      </c>
      <c r="C42" s="387"/>
      <c r="D42" s="388"/>
      <c r="E42" s="394"/>
      <c r="F42" s="389"/>
      <c r="G42" s="394"/>
      <c r="H42" s="389"/>
      <c r="I42" s="394"/>
      <c r="J42" s="389"/>
      <c r="K42" s="394"/>
      <c r="L42" s="389"/>
      <c r="M42" s="394"/>
      <c r="N42" s="389"/>
      <c r="O42" s="394"/>
      <c r="P42" s="389"/>
      <c r="Q42" s="394"/>
      <c r="R42" s="389"/>
      <c r="S42" s="394"/>
      <c r="T42" s="389"/>
      <c r="U42" s="391">
        <f t="shared" si="9"/>
        <v>0</v>
      </c>
      <c r="V42" s="392">
        <f t="shared" si="10"/>
        <v>0</v>
      </c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  <c r="AO42" s="404"/>
      <c r="AP42" s="404"/>
    </row>
    <row r="43" ht="39.75" customHeight="1">
      <c r="A43" s="830" t="s">
        <v>157</v>
      </c>
      <c r="B43" s="386" t="s">
        <v>158</v>
      </c>
      <c r="C43" s="388" t="s">
        <v>55</v>
      </c>
      <c r="D43" s="388"/>
      <c r="E43" s="389" t="s">
        <v>55</v>
      </c>
      <c r="F43" s="389"/>
      <c r="G43" s="389" t="s">
        <v>55</v>
      </c>
      <c r="H43" s="389"/>
      <c r="I43" s="394" t="s">
        <v>55</v>
      </c>
      <c r="J43" s="389"/>
      <c r="K43" s="394" t="s">
        <v>55</v>
      </c>
      <c r="L43" s="389"/>
      <c r="M43" s="394" t="s">
        <v>55</v>
      </c>
      <c r="N43" s="389"/>
      <c r="O43" s="394" t="s">
        <v>55</v>
      </c>
      <c r="P43" s="389"/>
      <c r="Q43" s="389" t="s">
        <v>55</v>
      </c>
      <c r="R43" s="389"/>
      <c r="S43" s="389" t="s">
        <v>55</v>
      </c>
      <c r="T43" s="389"/>
      <c r="U43" s="391">
        <f t="shared" si="9"/>
        <v>9</v>
      </c>
      <c r="V43" s="392">
        <f t="shared" si="10"/>
        <v>9</v>
      </c>
    </row>
    <row r="44" ht="39.75" customHeight="1">
      <c r="A44" s="830" t="s">
        <v>159</v>
      </c>
      <c r="B44" s="386" t="s">
        <v>160</v>
      </c>
      <c r="C44" s="387" t="s">
        <v>75</v>
      </c>
      <c r="D44" s="388"/>
      <c r="E44" s="389" t="s">
        <v>75</v>
      </c>
      <c r="F44" s="389"/>
      <c r="G44" s="389" t="s">
        <v>75</v>
      </c>
      <c r="H44" s="389"/>
      <c r="I44" s="389" t="s">
        <v>75</v>
      </c>
      <c r="J44" s="389"/>
      <c r="K44" s="389" t="s">
        <v>75</v>
      </c>
      <c r="L44" s="389"/>
      <c r="M44" s="389" t="s">
        <v>75</v>
      </c>
      <c r="N44" s="389"/>
      <c r="O44" s="389" t="s">
        <v>75</v>
      </c>
      <c r="P44" s="389"/>
      <c r="Q44" s="389" t="s">
        <v>75</v>
      </c>
      <c r="R44" s="389"/>
      <c r="S44" s="389" t="s">
        <v>75</v>
      </c>
      <c r="T44" s="389"/>
      <c r="U44" s="391">
        <f t="shared" si="9"/>
        <v>9</v>
      </c>
      <c r="V44" s="392">
        <f t="shared" si="10"/>
        <v>9</v>
      </c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4"/>
      <c r="AM44" s="404"/>
      <c r="AN44" s="404"/>
      <c r="AO44" s="404"/>
      <c r="AP44" s="404"/>
    </row>
    <row r="45" ht="39.75" customHeight="1">
      <c r="A45" s="830" t="s">
        <v>161</v>
      </c>
      <c r="B45" s="386" t="s">
        <v>162</v>
      </c>
      <c r="C45" s="387" t="s">
        <v>75</v>
      </c>
      <c r="D45" s="388"/>
      <c r="E45" s="389" t="s">
        <v>75</v>
      </c>
      <c r="F45" s="389"/>
      <c r="G45" s="389" t="s">
        <v>75</v>
      </c>
      <c r="H45" s="389"/>
      <c r="I45" s="389" t="s">
        <v>75</v>
      </c>
      <c r="J45" s="389"/>
      <c r="K45" s="389" t="s">
        <v>36</v>
      </c>
      <c r="L45" s="389"/>
      <c r="M45" s="389" t="s">
        <v>36</v>
      </c>
      <c r="N45" s="389"/>
      <c r="O45" s="389" t="s">
        <v>36</v>
      </c>
      <c r="P45" s="389"/>
      <c r="Q45" s="389" t="s">
        <v>75</v>
      </c>
      <c r="R45" s="389"/>
      <c r="S45" s="389" t="s">
        <v>75</v>
      </c>
      <c r="T45" s="389"/>
      <c r="U45" s="391">
        <f t="shared" si="9"/>
        <v>9</v>
      </c>
      <c r="V45" s="392">
        <f t="shared" si="10"/>
        <v>9</v>
      </c>
    </row>
    <row r="46" ht="39.75" customHeight="1">
      <c r="A46" s="830" t="s">
        <v>163</v>
      </c>
      <c r="B46" s="386" t="s">
        <v>164</v>
      </c>
      <c r="C46" s="387" t="s">
        <v>55</v>
      </c>
      <c r="D46" s="388"/>
      <c r="E46" s="394" t="s">
        <v>55</v>
      </c>
      <c r="F46" s="389"/>
      <c r="G46" s="389" t="s">
        <v>36</v>
      </c>
      <c r="H46" s="389"/>
      <c r="I46" s="389" t="s">
        <v>36</v>
      </c>
      <c r="J46" s="389"/>
      <c r="K46" s="389" t="s">
        <v>36</v>
      </c>
      <c r="L46" s="389"/>
      <c r="M46" s="394" t="s">
        <v>36</v>
      </c>
      <c r="N46" s="389"/>
      <c r="O46" s="389" t="s">
        <v>36</v>
      </c>
      <c r="P46" s="389"/>
      <c r="Q46" s="389" t="s">
        <v>36</v>
      </c>
      <c r="R46" s="389"/>
      <c r="S46" s="389" t="s">
        <v>36</v>
      </c>
      <c r="T46" s="389"/>
      <c r="U46" s="391">
        <f t="shared" si="9"/>
        <v>9</v>
      </c>
      <c r="V46" s="392">
        <f t="shared" si="10"/>
        <v>9</v>
      </c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  <c r="AO46" s="404"/>
      <c r="AP46" s="404"/>
    </row>
    <row r="47" ht="39.75" customHeight="1">
      <c r="A47" s="829" t="s">
        <v>165</v>
      </c>
      <c r="B47" s="379" t="s">
        <v>166</v>
      </c>
      <c r="C47" s="397"/>
      <c r="D47" s="398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401"/>
      <c r="W47" s="404"/>
      <c r="X47" s="404"/>
      <c r="Y47" s="404"/>
      <c r="Z47" s="404"/>
      <c r="AA47" s="404"/>
      <c r="AB47" s="404"/>
      <c r="AC47" s="404"/>
      <c r="AD47" s="404"/>
      <c r="AE47" s="404"/>
      <c r="AF47" s="404"/>
      <c r="AG47" s="404"/>
      <c r="AH47" s="404"/>
      <c r="AI47" s="404"/>
      <c r="AJ47" s="404"/>
      <c r="AK47" s="404"/>
      <c r="AL47" s="404"/>
      <c r="AM47" s="404"/>
      <c r="AN47" s="404"/>
      <c r="AO47" s="404"/>
      <c r="AP47" s="404"/>
    </row>
    <row r="48" ht="39.75" customHeight="1">
      <c r="A48" s="835" t="s">
        <v>167</v>
      </c>
      <c r="B48" s="410" t="s">
        <v>168</v>
      </c>
      <c r="C48" s="387"/>
      <c r="D48" s="388"/>
      <c r="E48" s="389"/>
      <c r="F48" s="389"/>
      <c r="G48" s="394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91"/>
      <c r="V48" s="392"/>
    </row>
    <row r="49" ht="39.75" customHeight="1">
      <c r="A49" s="836" t="s">
        <v>169</v>
      </c>
      <c r="B49" s="412" t="s">
        <v>170</v>
      </c>
      <c r="C49" s="387" t="s">
        <v>75</v>
      </c>
      <c r="D49" s="388"/>
      <c r="E49" s="389" t="s">
        <v>75</v>
      </c>
      <c r="F49" s="389"/>
      <c r="G49" s="389" t="s">
        <v>75</v>
      </c>
      <c r="H49" s="389"/>
      <c r="I49" s="389" t="s">
        <v>75</v>
      </c>
      <c r="J49" s="389"/>
      <c r="K49" s="389" t="s">
        <v>75</v>
      </c>
      <c r="L49" s="389"/>
      <c r="M49" s="389" t="s">
        <v>75</v>
      </c>
      <c r="N49" s="389"/>
      <c r="O49" s="389" t="s">
        <v>75</v>
      </c>
      <c r="P49" s="389"/>
      <c r="Q49" s="389" t="s">
        <v>75</v>
      </c>
      <c r="R49" s="389"/>
      <c r="S49" s="389" t="s">
        <v>75</v>
      </c>
      <c r="T49" s="389"/>
      <c r="U49" s="391">
        <f t="shared" ref="U49:U55" si="11">COUNTIF(C49:T49,"&gt;=R")</f>
        <v>9</v>
      </c>
      <c r="V49" s="392">
        <f t="shared" ref="V49:V55" si="12">U49</f>
        <v>9</v>
      </c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  <c r="AO49" s="404"/>
      <c r="AP49" s="404"/>
    </row>
    <row r="50" ht="39.75" customHeight="1">
      <c r="A50" s="836" t="s">
        <v>171</v>
      </c>
      <c r="B50" s="412" t="s">
        <v>172</v>
      </c>
      <c r="C50" s="413" t="s">
        <v>28</v>
      </c>
      <c r="D50" s="388"/>
      <c r="E50" s="413" t="s">
        <v>28</v>
      </c>
      <c r="F50" s="389"/>
      <c r="G50" s="413" t="s">
        <v>28</v>
      </c>
      <c r="H50" s="389"/>
      <c r="I50" s="413" t="s">
        <v>28</v>
      </c>
      <c r="J50" s="389"/>
      <c r="K50" s="413" t="s">
        <v>28</v>
      </c>
      <c r="L50" s="389"/>
      <c r="M50" s="413" t="s">
        <v>28</v>
      </c>
      <c r="N50" s="389"/>
      <c r="O50" s="413" t="s">
        <v>28</v>
      </c>
      <c r="P50" s="389"/>
      <c r="Q50" s="413" t="s">
        <v>28</v>
      </c>
      <c r="R50" s="389"/>
      <c r="S50" s="837" t="s">
        <v>28</v>
      </c>
      <c r="T50" s="389"/>
      <c r="U50" s="391">
        <f t="shared" si="11"/>
        <v>9</v>
      </c>
      <c r="V50" s="392">
        <f t="shared" si="12"/>
        <v>9</v>
      </c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</row>
    <row r="51" ht="39.75" customHeight="1">
      <c r="A51" s="838" t="s">
        <v>173</v>
      </c>
      <c r="B51" s="415" t="s">
        <v>174</v>
      </c>
      <c r="C51" s="387"/>
      <c r="D51" s="388"/>
      <c r="E51" s="389"/>
      <c r="F51" s="389"/>
      <c r="G51" s="394"/>
      <c r="H51" s="389"/>
      <c r="I51" s="394"/>
      <c r="J51" s="389"/>
      <c r="K51" s="394"/>
      <c r="L51" s="389"/>
      <c r="M51" s="389"/>
      <c r="N51" s="389"/>
      <c r="O51" s="389"/>
      <c r="P51" s="389"/>
      <c r="Q51" s="389"/>
      <c r="R51" s="389"/>
      <c r="S51" s="389"/>
      <c r="T51" s="389"/>
      <c r="U51" s="391">
        <f t="shared" si="11"/>
        <v>0</v>
      </c>
      <c r="V51" s="392">
        <f t="shared" si="12"/>
        <v>0</v>
      </c>
    </row>
    <row r="52" ht="39.75" customHeight="1">
      <c r="A52" s="836" t="s">
        <v>175</v>
      </c>
      <c r="B52" s="412" t="s">
        <v>176</v>
      </c>
      <c r="C52" s="387" t="s">
        <v>18</v>
      </c>
      <c r="D52" s="388"/>
      <c r="E52" s="420" t="s">
        <v>8</v>
      </c>
      <c r="F52" s="389"/>
      <c r="G52" s="389" t="s">
        <v>18</v>
      </c>
      <c r="H52" s="389"/>
      <c r="I52" s="389" t="s">
        <v>18</v>
      </c>
      <c r="J52" s="389"/>
      <c r="K52" s="418" t="s">
        <v>84</v>
      </c>
      <c r="L52" s="389"/>
      <c r="M52" s="418" t="s">
        <v>84</v>
      </c>
      <c r="N52" s="389"/>
      <c r="O52" s="418" t="s">
        <v>84</v>
      </c>
      <c r="P52" s="389"/>
      <c r="Q52" s="418" t="s">
        <v>84</v>
      </c>
      <c r="R52" s="389"/>
      <c r="S52" s="418" t="s">
        <v>84</v>
      </c>
      <c r="T52" s="389"/>
      <c r="U52" s="391">
        <f t="shared" si="11"/>
        <v>9</v>
      </c>
      <c r="V52" s="392">
        <f t="shared" si="12"/>
        <v>9</v>
      </c>
    </row>
    <row r="53" ht="39.75" customHeight="1">
      <c r="A53" s="836" t="s">
        <v>177</v>
      </c>
      <c r="B53" s="412" t="s">
        <v>178</v>
      </c>
      <c r="C53" s="387" t="s">
        <v>57</v>
      </c>
      <c r="D53" s="388"/>
      <c r="E53" s="389" t="s">
        <v>57</v>
      </c>
      <c r="F53" s="389"/>
      <c r="G53" s="389" t="s">
        <v>57</v>
      </c>
      <c r="H53" s="389"/>
      <c r="I53" s="389" t="s">
        <v>57</v>
      </c>
      <c r="J53" s="389"/>
      <c r="K53" s="389" t="s">
        <v>76</v>
      </c>
      <c r="L53" s="389"/>
      <c r="M53" s="389" t="s">
        <v>76</v>
      </c>
      <c r="N53" s="389"/>
      <c r="O53" s="389" t="s">
        <v>76</v>
      </c>
      <c r="P53" s="389"/>
      <c r="Q53" s="389" t="s">
        <v>76</v>
      </c>
      <c r="R53" s="389"/>
      <c r="S53" s="389" t="s">
        <v>76</v>
      </c>
      <c r="T53" s="389"/>
      <c r="U53" s="391">
        <f t="shared" si="11"/>
        <v>9</v>
      </c>
      <c r="V53" s="392">
        <f t="shared" si="12"/>
        <v>9</v>
      </c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  <c r="AO53" s="404"/>
      <c r="AP53" s="404"/>
    </row>
    <row r="54" ht="39.75" customHeight="1">
      <c r="A54" s="838" t="s">
        <v>179</v>
      </c>
      <c r="B54" s="415" t="s">
        <v>180</v>
      </c>
      <c r="C54" s="387"/>
      <c r="D54" s="388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91">
        <f t="shared" si="11"/>
        <v>0</v>
      </c>
      <c r="V54" s="392">
        <f t="shared" si="12"/>
        <v>0</v>
      </c>
    </row>
    <row r="55" ht="39.75" customHeight="1">
      <c r="A55" s="833" t="s">
        <v>181</v>
      </c>
      <c r="B55" s="794" t="s">
        <v>182</v>
      </c>
      <c r="U55" s="391">
        <f t="shared" si="11"/>
        <v>0</v>
      </c>
      <c r="V55" s="392">
        <f t="shared" si="12"/>
        <v>0</v>
      </c>
    </row>
    <row r="56" ht="39.75" customHeight="1">
      <c r="A56" s="831" t="s">
        <v>183</v>
      </c>
      <c r="B56" s="396" t="s">
        <v>184</v>
      </c>
      <c r="C56" s="397"/>
      <c r="D56" s="398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401"/>
      <c r="W56" s="404"/>
      <c r="X56" s="404"/>
      <c r="Y56" s="404"/>
      <c r="Z56" s="404"/>
      <c r="AA56" s="404"/>
      <c r="AB56" s="404"/>
      <c r="AC56" s="404"/>
      <c r="AD56" s="404"/>
      <c r="AE56" s="404"/>
      <c r="AF56" s="404"/>
      <c r="AG56" s="404"/>
      <c r="AH56" s="404"/>
      <c r="AI56" s="404"/>
      <c r="AJ56" s="404"/>
      <c r="AK56" s="404"/>
      <c r="AL56" s="404"/>
      <c r="AM56" s="404"/>
      <c r="AN56" s="404"/>
      <c r="AO56" s="404"/>
      <c r="AP56" s="404"/>
    </row>
    <row r="57" ht="39.75" customHeight="1">
      <c r="A57" s="830" t="s">
        <v>185</v>
      </c>
      <c r="B57" s="386" t="s">
        <v>186</v>
      </c>
      <c r="C57" s="387" t="s">
        <v>76</v>
      </c>
      <c r="D57" s="388"/>
      <c r="E57" s="389" t="s">
        <v>76</v>
      </c>
      <c r="F57" s="389"/>
      <c r="G57" s="389" t="s">
        <v>76</v>
      </c>
      <c r="H57" s="389"/>
      <c r="I57" s="389" t="s">
        <v>76</v>
      </c>
      <c r="J57" s="389"/>
      <c r="K57" s="389" t="s">
        <v>76</v>
      </c>
      <c r="L57" s="389"/>
      <c r="M57" s="389" t="s">
        <v>76</v>
      </c>
      <c r="N57" s="389"/>
      <c r="O57" s="389" t="s">
        <v>76</v>
      </c>
      <c r="P57" s="389"/>
      <c r="Q57" s="389" t="s">
        <v>76</v>
      </c>
      <c r="R57" s="389"/>
      <c r="S57" s="389" t="s">
        <v>76</v>
      </c>
      <c r="T57" s="389"/>
      <c r="U57" s="391">
        <f t="shared" ref="U57:U60" si="13">COUNTIF(C57:T57,"&gt;=R")</f>
        <v>9</v>
      </c>
      <c r="V57" s="392">
        <f t="shared" ref="V57:V60" si="14">U57</f>
        <v>9</v>
      </c>
      <c r="W57" s="404"/>
      <c r="X57" s="404"/>
      <c r="Y57" s="404"/>
      <c r="Z57" s="404"/>
      <c r="AA57" s="404"/>
      <c r="AB57" s="404"/>
      <c r="AC57" s="404"/>
      <c r="AD57" s="404"/>
      <c r="AE57" s="404"/>
      <c r="AF57" s="404"/>
      <c r="AG57" s="404"/>
      <c r="AH57" s="404"/>
      <c r="AI57" s="404"/>
      <c r="AJ57" s="404"/>
      <c r="AK57" s="404"/>
      <c r="AL57" s="404"/>
      <c r="AM57" s="404"/>
      <c r="AN57" s="404"/>
      <c r="AO57" s="404"/>
      <c r="AP57" s="404"/>
    </row>
    <row r="58" ht="39.75" customHeight="1">
      <c r="A58" s="830" t="s">
        <v>187</v>
      </c>
      <c r="B58" s="386" t="s">
        <v>188</v>
      </c>
      <c r="C58" s="387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91">
        <f t="shared" si="13"/>
        <v>0</v>
      </c>
      <c r="V58" s="392">
        <f t="shared" si="14"/>
        <v>0</v>
      </c>
      <c r="W58" s="404"/>
      <c r="X58" s="404"/>
      <c r="Y58" s="404"/>
      <c r="Z58" s="404"/>
      <c r="AA58" s="404"/>
      <c r="AB58" s="404"/>
      <c r="AC58" s="404"/>
      <c r="AD58" s="404"/>
      <c r="AE58" s="404"/>
      <c r="AF58" s="404"/>
      <c r="AG58" s="404"/>
      <c r="AH58" s="404"/>
      <c r="AI58" s="404"/>
      <c r="AJ58" s="404"/>
      <c r="AK58" s="404"/>
      <c r="AL58" s="404"/>
      <c r="AM58" s="404"/>
      <c r="AN58" s="404"/>
      <c r="AO58" s="404"/>
      <c r="AP58" s="404"/>
    </row>
    <row r="59" ht="39.75" customHeight="1">
      <c r="A59" s="830" t="s">
        <v>189</v>
      </c>
      <c r="B59" s="386" t="s">
        <v>190</v>
      </c>
      <c r="C59" s="839" t="s">
        <v>84</v>
      </c>
      <c r="D59" s="388"/>
      <c r="E59" s="418" t="s">
        <v>84</v>
      </c>
      <c r="F59" s="389"/>
      <c r="G59" s="389" t="s">
        <v>92</v>
      </c>
      <c r="H59" s="389"/>
      <c r="I59" s="592" t="s">
        <v>37</v>
      </c>
      <c r="J59" s="389"/>
      <c r="K59" s="389" t="s">
        <v>37</v>
      </c>
      <c r="L59" s="389"/>
      <c r="M59" s="389" t="s">
        <v>37</v>
      </c>
      <c r="N59" s="389"/>
      <c r="O59" s="389" t="s">
        <v>37</v>
      </c>
      <c r="P59" s="389"/>
      <c r="Q59" s="389" t="s">
        <v>37</v>
      </c>
      <c r="R59" s="389"/>
      <c r="S59" s="389" t="s">
        <v>37</v>
      </c>
      <c r="T59" s="389"/>
      <c r="U59" s="391">
        <f t="shared" si="13"/>
        <v>9</v>
      </c>
      <c r="V59" s="392">
        <f t="shared" si="14"/>
        <v>9</v>
      </c>
    </row>
    <row r="60" ht="39.75" customHeight="1">
      <c r="A60" s="830" t="s">
        <v>191</v>
      </c>
      <c r="B60" s="386" t="s">
        <v>192</v>
      </c>
      <c r="C60" s="387" t="s">
        <v>18</v>
      </c>
      <c r="D60" s="388"/>
      <c r="E60" s="387" t="s">
        <v>18</v>
      </c>
      <c r="F60" s="389"/>
      <c r="G60" s="387" t="s">
        <v>18</v>
      </c>
      <c r="H60" s="389"/>
      <c r="I60" s="413" t="s">
        <v>28</v>
      </c>
      <c r="J60" s="389"/>
      <c r="K60" s="389"/>
      <c r="L60" s="389"/>
      <c r="M60" s="389"/>
      <c r="N60" s="389"/>
      <c r="O60" s="389"/>
      <c r="P60" s="389"/>
      <c r="Q60" s="389"/>
      <c r="R60" s="389"/>
      <c r="S60" s="387"/>
      <c r="T60" s="389"/>
      <c r="U60" s="391">
        <f t="shared" si="13"/>
        <v>4</v>
      </c>
      <c r="V60" s="392">
        <f t="shared" si="14"/>
        <v>4</v>
      </c>
      <c r="W60" s="404"/>
      <c r="X60" s="404"/>
      <c r="Y60" s="404"/>
      <c r="Z60" s="404"/>
      <c r="AA60" s="404"/>
      <c r="AB60" s="404"/>
      <c r="AC60" s="404"/>
      <c r="AD60" s="404"/>
      <c r="AE60" s="404"/>
      <c r="AF60" s="404"/>
      <c r="AG60" s="404"/>
      <c r="AH60" s="404"/>
      <c r="AI60" s="404"/>
      <c r="AJ60" s="404"/>
      <c r="AK60" s="404"/>
      <c r="AL60" s="404"/>
      <c r="AM60" s="404"/>
      <c r="AN60" s="404"/>
      <c r="AO60" s="404"/>
      <c r="AP60" s="404"/>
    </row>
    <row r="61" ht="39.75" customHeight="1">
      <c r="A61" s="831" t="s">
        <v>193</v>
      </c>
      <c r="B61" s="396" t="s">
        <v>194</v>
      </c>
      <c r="C61" s="397"/>
      <c r="D61" s="398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401"/>
      <c r="W61" s="404"/>
      <c r="X61" s="404"/>
      <c r="Y61" s="404"/>
      <c r="Z61" s="404"/>
      <c r="AA61" s="404"/>
      <c r="AB61" s="404"/>
      <c r="AC61" s="404"/>
      <c r="AD61" s="404"/>
      <c r="AE61" s="404"/>
      <c r="AF61" s="404"/>
      <c r="AG61" s="404"/>
      <c r="AH61" s="404"/>
      <c r="AI61" s="404"/>
      <c r="AJ61" s="404"/>
      <c r="AK61" s="404"/>
      <c r="AL61" s="404"/>
      <c r="AM61" s="404"/>
      <c r="AN61" s="404"/>
      <c r="AO61" s="404"/>
      <c r="AP61" s="404"/>
    </row>
    <row r="62" ht="39.75" customHeight="1">
      <c r="A62" s="838" t="s">
        <v>195</v>
      </c>
      <c r="B62" s="415" t="s">
        <v>196</v>
      </c>
      <c r="C62" s="387"/>
      <c r="D62" s="388"/>
      <c r="E62" s="389"/>
      <c r="F62" s="389"/>
      <c r="G62" s="394"/>
      <c r="H62" s="389"/>
      <c r="I62" s="394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91"/>
      <c r="V62" s="392"/>
    </row>
    <row r="63" ht="39.75" customHeight="1">
      <c r="A63" s="836" t="s">
        <v>197</v>
      </c>
      <c r="B63" s="412" t="s">
        <v>139</v>
      </c>
      <c r="C63" s="387" t="s">
        <v>55</v>
      </c>
      <c r="D63" s="388"/>
      <c r="E63" s="389" t="s">
        <v>55</v>
      </c>
      <c r="F63" s="389"/>
      <c r="G63" s="389" t="s">
        <v>55</v>
      </c>
      <c r="H63" s="389"/>
      <c r="I63" s="389" t="s">
        <v>55</v>
      </c>
      <c r="J63" s="389"/>
      <c r="K63" s="389" t="s">
        <v>46</v>
      </c>
      <c r="L63" s="389"/>
      <c r="M63" s="389" t="s">
        <v>46</v>
      </c>
      <c r="N63" s="389"/>
      <c r="O63" s="389" t="s">
        <v>36</v>
      </c>
      <c r="P63" s="389"/>
      <c r="Q63" s="389" t="s">
        <v>36</v>
      </c>
      <c r="R63" s="389"/>
      <c r="S63" s="389" t="s">
        <v>36</v>
      </c>
      <c r="T63" s="389"/>
      <c r="U63" s="391">
        <f>COUNTIF(C63:T63,"&gt;=R")</f>
        <v>9</v>
      </c>
      <c r="V63" s="392">
        <f>U63</f>
        <v>9</v>
      </c>
      <c r="W63" s="404"/>
      <c r="X63" s="404"/>
      <c r="Y63" s="404"/>
      <c r="Z63" s="404"/>
      <c r="AA63" s="404"/>
      <c r="AB63" s="404"/>
      <c r="AC63" s="404"/>
      <c r="AD63" s="404"/>
      <c r="AE63" s="404"/>
      <c r="AF63" s="404"/>
      <c r="AG63" s="404"/>
      <c r="AH63" s="404"/>
      <c r="AI63" s="404"/>
      <c r="AJ63" s="404"/>
      <c r="AK63" s="404"/>
      <c r="AL63" s="404"/>
      <c r="AM63" s="404"/>
      <c r="AN63" s="404"/>
      <c r="AO63" s="404"/>
      <c r="AP63" s="404"/>
    </row>
    <row r="64" ht="39.75" customHeight="1">
      <c r="A64" s="838" t="s">
        <v>198</v>
      </c>
      <c r="B64" s="415" t="s">
        <v>199</v>
      </c>
      <c r="C64" s="387"/>
      <c r="D64" s="388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91"/>
      <c r="V64" s="392"/>
      <c r="W64" s="404"/>
      <c r="X64" s="404"/>
      <c r="Y64" s="404"/>
      <c r="Z64" s="404"/>
      <c r="AA64" s="404"/>
      <c r="AB64" s="404"/>
      <c r="AC64" s="404"/>
      <c r="AD64" s="404"/>
      <c r="AE64" s="404"/>
      <c r="AF64" s="404"/>
      <c r="AG64" s="404"/>
      <c r="AH64" s="404"/>
      <c r="AI64" s="404"/>
      <c r="AJ64" s="404"/>
      <c r="AK64" s="404"/>
      <c r="AL64" s="404"/>
      <c r="AM64" s="404"/>
      <c r="AN64" s="404"/>
      <c r="AO64" s="404"/>
      <c r="AP64" s="404"/>
    </row>
    <row r="65" ht="39.75" customHeight="1">
      <c r="A65" s="836" t="s">
        <v>200</v>
      </c>
      <c r="B65" s="412" t="s">
        <v>176</v>
      </c>
      <c r="C65" s="387" t="s">
        <v>85</v>
      </c>
      <c r="D65" s="388"/>
      <c r="E65" s="387" t="s">
        <v>85</v>
      </c>
      <c r="F65" s="389"/>
      <c r="G65" s="394" t="s">
        <v>85</v>
      </c>
      <c r="H65" s="389"/>
      <c r="I65" s="389" t="s">
        <v>85</v>
      </c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91">
        <f>COUNTIF(C65:T65,"&gt;=R")</f>
        <v>4</v>
      </c>
      <c r="V65" s="392">
        <f>U65</f>
        <v>4</v>
      </c>
    </row>
    <row r="66" ht="39.75" customHeight="1">
      <c r="A66" s="838" t="s">
        <v>201</v>
      </c>
      <c r="B66" s="415" t="s">
        <v>202</v>
      </c>
      <c r="C66" s="387"/>
      <c r="D66" s="388"/>
      <c r="E66" s="389"/>
      <c r="F66" s="389"/>
      <c r="G66" s="394"/>
      <c r="H66" s="389"/>
      <c r="I66" s="394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91"/>
      <c r="V66" s="392"/>
    </row>
    <row r="67" ht="39.75" customHeight="1">
      <c r="A67" s="836" t="s">
        <v>203</v>
      </c>
      <c r="B67" s="412" t="s">
        <v>204</v>
      </c>
      <c r="C67" s="387" t="s">
        <v>85</v>
      </c>
      <c r="D67" s="388"/>
      <c r="E67" s="389" t="s">
        <v>85</v>
      </c>
      <c r="F67" s="389"/>
      <c r="G67" s="389" t="s">
        <v>85</v>
      </c>
      <c r="H67" s="389"/>
      <c r="I67" s="389" t="s">
        <v>85</v>
      </c>
      <c r="J67" s="389"/>
      <c r="K67" s="418" t="s">
        <v>84</v>
      </c>
      <c r="L67" s="389"/>
      <c r="M67" s="418" t="s">
        <v>84</v>
      </c>
      <c r="N67" s="389"/>
      <c r="O67" s="418" t="s">
        <v>84</v>
      </c>
      <c r="P67" s="389"/>
      <c r="Q67" s="419" t="s">
        <v>84</v>
      </c>
      <c r="R67" s="389"/>
      <c r="S67" s="419" t="s">
        <v>84</v>
      </c>
      <c r="T67" s="389"/>
      <c r="U67" s="391">
        <f>COUNTIF(C67:T67,"&gt;=R")</f>
        <v>9</v>
      </c>
      <c r="V67" s="392">
        <f>U67</f>
        <v>9</v>
      </c>
    </row>
    <row r="68" ht="39.75" customHeight="1">
      <c r="A68" s="831" t="s">
        <v>205</v>
      </c>
      <c r="B68" s="396" t="s">
        <v>206</v>
      </c>
      <c r="C68" s="397"/>
      <c r="D68" s="398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401"/>
      <c r="W68" s="404"/>
      <c r="X68" s="404"/>
      <c r="Y68" s="404"/>
      <c r="Z68" s="404"/>
      <c r="AA68" s="404"/>
      <c r="AB68" s="404"/>
      <c r="AC68" s="404"/>
      <c r="AD68" s="404"/>
      <c r="AE68" s="404"/>
      <c r="AF68" s="404"/>
      <c r="AG68" s="404"/>
      <c r="AH68" s="404"/>
      <c r="AI68" s="404"/>
      <c r="AJ68" s="404"/>
      <c r="AK68" s="404"/>
      <c r="AL68" s="404"/>
      <c r="AM68" s="404"/>
      <c r="AN68" s="404"/>
      <c r="AO68" s="404"/>
      <c r="AP68" s="404"/>
    </row>
    <row r="69" ht="39.75" customHeight="1">
      <c r="A69" s="830" t="s">
        <v>207</v>
      </c>
      <c r="B69" s="386" t="s">
        <v>208</v>
      </c>
      <c r="C69" s="839" t="s">
        <v>84</v>
      </c>
      <c r="D69" s="388"/>
      <c r="E69" s="418" t="s">
        <v>84</v>
      </c>
      <c r="F69" s="389"/>
      <c r="G69" s="389" t="s">
        <v>92</v>
      </c>
      <c r="H69" s="389"/>
      <c r="I69" s="592" t="s">
        <v>37</v>
      </c>
      <c r="J69" s="389"/>
      <c r="K69" s="592" t="s">
        <v>37</v>
      </c>
      <c r="L69" s="389"/>
      <c r="M69" s="592" t="s">
        <v>37</v>
      </c>
      <c r="N69" s="389"/>
      <c r="O69" s="592" t="s">
        <v>37</v>
      </c>
      <c r="P69" s="389"/>
      <c r="Q69" s="592" t="s">
        <v>37</v>
      </c>
      <c r="R69" s="389"/>
      <c r="S69" s="592" t="s">
        <v>37</v>
      </c>
      <c r="T69" s="389"/>
      <c r="U69" s="391">
        <f>COUNTIF(C69:T69,"&gt;=R")</f>
        <v>9</v>
      </c>
      <c r="V69" s="392">
        <f>U69</f>
        <v>9</v>
      </c>
    </row>
    <row r="70" ht="39.75" customHeight="1">
      <c r="A70" s="831" t="s">
        <v>209</v>
      </c>
      <c r="B70" s="396" t="s">
        <v>210</v>
      </c>
      <c r="C70" s="397"/>
      <c r="D70" s="398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401"/>
    </row>
    <row r="71" ht="39.75" customHeight="1">
      <c r="A71" s="830" t="s">
        <v>211</v>
      </c>
      <c r="B71" s="386" t="s">
        <v>212</v>
      </c>
      <c r="C71" s="387" t="s">
        <v>92</v>
      </c>
      <c r="D71" s="388"/>
      <c r="E71" s="389" t="s">
        <v>92</v>
      </c>
      <c r="F71" s="389"/>
      <c r="G71" s="389" t="s">
        <v>92</v>
      </c>
      <c r="H71" s="389"/>
      <c r="I71" s="389" t="s">
        <v>92</v>
      </c>
      <c r="J71" s="389"/>
      <c r="K71" s="417" t="s">
        <v>8</v>
      </c>
      <c r="L71" s="389"/>
      <c r="M71" s="417" t="s">
        <v>8</v>
      </c>
      <c r="N71" s="389"/>
      <c r="O71" s="389"/>
      <c r="P71" s="389"/>
      <c r="Q71" s="389"/>
      <c r="R71" s="389"/>
      <c r="S71" s="389" t="s">
        <v>18</v>
      </c>
      <c r="T71" s="389"/>
      <c r="U71" s="391">
        <f t="shared" ref="U71:U72" si="15">COUNTIF(C71:T71,"&gt;=R")</f>
        <v>7</v>
      </c>
      <c r="V71" s="392">
        <f t="shared" ref="V71:V72" si="16">U71</f>
        <v>7</v>
      </c>
    </row>
    <row r="72" ht="39.75" customHeight="1">
      <c r="A72" s="830" t="s">
        <v>213</v>
      </c>
      <c r="B72" s="386" t="s">
        <v>214</v>
      </c>
      <c r="C72" s="387" t="s">
        <v>48</v>
      </c>
      <c r="D72" s="388"/>
      <c r="E72" s="394" t="s">
        <v>48</v>
      </c>
      <c r="F72" s="389"/>
      <c r="G72" s="389" t="s">
        <v>68</v>
      </c>
      <c r="H72" s="389"/>
      <c r="I72" s="389" t="s">
        <v>57</v>
      </c>
      <c r="J72" s="389"/>
      <c r="K72" s="389" t="s">
        <v>57</v>
      </c>
      <c r="L72" s="389"/>
      <c r="M72" s="394" t="s">
        <v>57</v>
      </c>
      <c r="N72" s="389"/>
      <c r="O72" s="389" t="s">
        <v>57</v>
      </c>
      <c r="P72" s="389"/>
      <c r="Q72" s="389" t="s">
        <v>38</v>
      </c>
      <c r="R72" s="389"/>
      <c r="S72" s="389" t="s">
        <v>38</v>
      </c>
      <c r="T72" s="389"/>
      <c r="U72" s="391">
        <f t="shared" si="15"/>
        <v>9</v>
      </c>
      <c r="V72" s="392">
        <f t="shared" si="16"/>
        <v>9</v>
      </c>
    </row>
    <row r="73" ht="39.75" customHeight="1">
      <c r="A73" s="831" t="s">
        <v>215</v>
      </c>
      <c r="B73" s="396" t="s">
        <v>216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401"/>
      <c r="W73" s="404"/>
      <c r="X73" s="404"/>
      <c r="Y73" s="404"/>
      <c r="Z73" s="404"/>
      <c r="AA73" s="404"/>
      <c r="AB73" s="404"/>
      <c r="AC73" s="404"/>
      <c r="AD73" s="404"/>
      <c r="AE73" s="404"/>
      <c r="AF73" s="404"/>
      <c r="AG73" s="404"/>
      <c r="AH73" s="404"/>
      <c r="AI73" s="404"/>
      <c r="AJ73" s="404"/>
      <c r="AK73" s="404"/>
      <c r="AL73" s="404"/>
      <c r="AM73" s="404"/>
      <c r="AN73" s="404"/>
      <c r="AO73" s="404"/>
      <c r="AP73" s="404"/>
    </row>
    <row r="74" ht="39.75" customHeight="1">
      <c r="A74" s="830" t="s">
        <v>217</v>
      </c>
      <c r="B74" s="386" t="s">
        <v>218</v>
      </c>
      <c r="C74" s="387" t="s">
        <v>38</v>
      </c>
      <c r="D74" s="388"/>
      <c r="E74" s="387" t="s">
        <v>38</v>
      </c>
      <c r="F74" s="389"/>
      <c r="G74" s="387" t="s">
        <v>68</v>
      </c>
      <c r="H74" s="389"/>
      <c r="I74" s="387" t="s">
        <v>68</v>
      </c>
      <c r="J74" s="389"/>
      <c r="K74" s="389" t="s">
        <v>68</v>
      </c>
      <c r="L74" s="389"/>
      <c r="M74" s="389" t="s">
        <v>68</v>
      </c>
      <c r="N74" s="389"/>
      <c r="O74" s="389" t="s">
        <v>68</v>
      </c>
      <c r="P74" s="389"/>
      <c r="Q74" s="389" t="s">
        <v>38</v>
      </c>
      <c r="R74" s="389"/>
      <c r="S74" s="389" t="s">
        <v>38</v>
      </c>
      <c r="T74" s="394"/>
      <c r="U74" s="391">
        <f>COUNTIF(C74:T74,"&gt;=R")</f>
        <v>9</v>
      </c>
      <c r="V74" s="392">
        <f>U74</f>
        <v>9</v>
      </c>
    </row>
    <row r="75" ht="39.75" customHeight="1">
      <c r="A75" s="831" t="s">
        <v>219</v>
      </c>
      <c r="B75" s="396" t="s">
        <v>220</v>
      </c>
      <c r="C75" s="397"/>
      <c r="D75" s="398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401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4"/>
      <c r="AN75" s="404"/>
      <c r="AO75" s="404"/>
      <c r="AP75" s="404"/>
    </row>
    <row r="76" ht="39.75" customHeight="1">
      <c r="A76" s="830" t="s">
        <v>221</v>
      </c>
      <c r="B76" s="386" t="s">
        <v>222</v>
      </c>
      <c r="C76" s="388" t="s">
        <v>75</v>
      </c>
      <c r="D76" s="388"/>
      <c r="E76" s="389" t="s">
        <v>75</v>
      </c>
      <c r="F76" s="389"/>
      <c r="G76" s="389" t="s">
        <v>75</v>
      </c>
      <c r="H76" s="389"/>
      <c r="I76" s="389" t="s">
        <v>75</v>
      </c>
      <c r="J76" s="389"/>
      <c r="K76" s="389" t="s">
        <v>75</v>
      </c>
      <c r="L76" s="389"/>
      <c r="M76" s="389" t="s">
        <v>75</v>
      </c>
      <c r="N76" s="389"/>
      <c r="O76" s="389" t="s">
        <v>76</v>
      </c>
      <c r="P76" s="389"/>
      <c r="Q76" s="389" t="s">
        <v>91</v>
      </c>
      <c r="R76" s="389"/>
      <c r="S76" s="389" t="s">
        <v>91</v>
      </c>
      <c r="T76" s="389"/>
      <c r="U76" s="391">
        <f t="shared" ref="U76:U82" si="17">COUNTIF(C76:T76,"&gt;=R")</f>
        <v>9</v>
      </c>
      <c r="V76" s="392">
        <f t="shared" ref="V76:V82" si="18">U76</f>
        <v>9</v>
      </c>
    </row>
    <row r="77" ht="39.75" customHeight="1">
      <c r="A77" s="834" t="s">
        <v>223</v>
      </c>
      <c r="B77" s="408" t="s">
        <v>224</v>
      </c>
      <c r="C77" s="388"/>
      <c r="D77" s="388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91">
        <f t="shared" si="17"/>
        <v>0</v>
      </c>
      <c r="V77" s="392">
        <f t="shared" si="18"/>
        <v>0</v>
      </c>
    </row>
    <row r="78" ht="39.75" customHeight="1">
      <c r="A78" s="830" t="s">
        <v>225</v>
      </c>
      <c r="B78" s="386" t="s">
        <v>226</v>
      </c>
      <c r="C78" s="388" t="s">
        <v>75</v>
      </c>
      <c r="D78" s="388"/>
      <c r="E78" s="389" t="s">
        <v>75</v>
      </c>
      <c r="F78" s="389"/>
      <c r="G78" s="389" t="s">
        <v>75</v>
      </c>
      <c r="H78" s="389"/>
      <c r="I78" s="389" t="s">
        <v>75</v>
      </c>
      <c r="J78" s="389"/>
      <c r="K78" s="389" t="s">
        <v>75</v>
      </c>
      <c r="L78" s="389"/>
      <c r="M78" s="389" t="s">
        <v>75</v>
      </c>
      <c r="N78" s="389"/>
      <c r="O78" s="389" t="s">
        <v>37</v>
      </c>
      <c r="P78" s="389"/>
      <c r="Q78" s="389" t="s">
        <v>91</v>
      </c>
      <c r="R78" s="389"/>
      <c r="S78" s="389" t="s">
        <v>91</v>
      </c>
      <c r="T78" s="389"/>
      <c r="U78" s="391">
        <f t="shared" si="17"/>
        <v>9</v>
      </c>
      <c r="V78" s="392">
        <f t="shared" si="18"/>
        <v>9</v>
      </c>
    </row>
    <row r="79" ht="39.75" customHeight="1">
      <c r="A79" s="830" t="s">
        <v>227</v>
      </c>
      <c r="B79" s="386" t="s">
        <v>228</v>
      </c>
      <c r="C79" s="388"/>
      <c r="D79" s="388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7"/>
      <c r="P79" s="389"/>
      <c r="Q79" s="387"/>
      <c r="R79" s="389"/>
      <c r="S79" s="387"/>
      <c r="T79" s="389"/>
      <c r="U79" s="391">
        <f t="shared" si="17"/>
        <v>0</v>
      </c>
      <c r="V79" s="392">
        <f t="shared" si="18"/>
        <v>0</v>
      </c>
      <c r="W79" s="404"/>
      <c r="X79" s="404"/>
      <c r="Y79" s="404"/>
      <c r="Z79" s="404"/>
      <c r="AA79" s="404"/>
      <c r="AB79" s="404"/>
      <c r="AC79" s="404"/>
      <c r="AD79" s="404"/>
      <c r="AE79" s="404"/>
      <c r="AF79" s="404"/>
      <c r="AG79" s="404"/>
      <c r="AH79" s="404"/>
      <c r="AI79" s="404"/>
      <c r="AJ79" s="404"/>
      <c r="AK79" s="404"/>
      <c r="AL79" s="404"/>
      <c r="AM79" s="404"/>
      <c r="AN79" s="404"/>
      <c r="AO79" s="404"/>
      <c r="AP79" s="404"/>
    </row>
    <row r="80" ht="39.75" customHeight="1">
      <c r="A80" s="830" t="s">
        <v>229</v>
      </c>
      <c r="B80" s="386" t="s">
        <v>230</v>
      </c>
      <c r="C80" s="388"/>
      <c r="D80" s="388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7"/>
      <c r="P80" s="389"/>
      <c r="Q80" s="387"/>
      <c r="R80" s="389"/>
      <c r="S80" s="387"/>
      <c r="T80" s="389"/>
      <c r="U80" s="391">
        <f t="shared" si="17"/>
        <v>0</v>
      </c>
      <c r="V80" s="392">
        <f t="shared" si="18"/>
        <v>0</v>
      </c>
    </row>
    <row r="81" ht="39.75" customHeight="1">
      <c r="A81" s="830" t="s">
        <v>231</v>
      </c>
      <c r="B81" s="386" t="s">
        <v>232</v>
      </c>
      <c r="C81" s="388" t="s">
        <v>75</v>
      </c>
      <c r="D81" s="388"/>
      <c r="E81" s="389" t="s">
        <v>75</v>
      </c>
      <c r="F81" s="389"/>
      <c r="G81" s="389" t="s">
        <v>75</v>
      </c>
      <c r="H81" s="389"/>
      <c r="I81" s="389" t="s">
        <v>75</v>
      </c>
      <c r="J81" s="389"/>
      <c r="K81" s="389" t="s">
        <v>75</v>
      </c>
      <c r="L81" s="389"/>
      <c r="M81" s="389" t="s">
        <v>75</v>
      </c>
      <c r="N81" s="389"/>
      <c r="O81" s="389" t="s">
        <v>76</v>
      </c>
      <c r="P81" s="389"/>
      <c r="Q81" s="389" t="s">
        <v>37</v>
      </c>
      <c r="R81" s="389"/>
      <c r="S81" s="389" t="s">
        <v>37</v>
      </c>
      <c r="T81" s="389"/>
      <c r="U81" s="391">
        <f t="shared" si="17"/>
        <v>9</v>
      </c>
      <c r="V81" s="392">
        <f t="shared" si="18"/>
        <v>9</v>
      </c>
      <c r="W81" s="404"/>
      <c r="X81" s="404"/>
      <c r="Y81" s="404"/>
      <c r="Z81" s="404"/>
      <c r="AA81" s="404"/>
      <c r="AB81" s="404"/>
      <c r="AC81" s="404"/>
      <c r="AD81" s="404"/>
      <c r="AE81" s="404"/>
      <c r="AF81" s="404"/>
      <c r="AG81" s="404"/>
      <c r="AH81" s="404"/>
      <c r="AI81" s="404"/>
      <c r="AJ81" s="404"/>
      <c r="AK81" s="404"/>
      <c r="AL81" s="404"/>
      <c r="AM81" s="404"/>
      <c r="AN81" s="404"/>
      <c r="AO81" s="404"/>
      <c r="AP81" s="404"/>
    </row>
    <row r="82" ht="39.75" customHeight="1">
      <c r="A82" s="833" t="s">
        <v>233</v>
      </c>
      <c r="B82" s="794" t="s">
        <v>234</v>
      </c>
      <c r="C82" s="388" t="s">
        <v>75</v>
      </c>
      <c r="D82" s="388"/>
      <c r="E82" s="389" t="s">
        <v>75</v>
      </c>
      <c r="F82" s="389"/>
      <c r="G82" s="389" t="s">
        <v>75</v>
      </c>
      <c r="H82" s="389"/>
      <c r="I82" s="389" t="s">
        <v>75</v>
      </c>
      <c r="J82" s="389"/>
      <c r="K82" s="389" t="s">
        <v>75</v>
      </c>
      <c r="L82" s="389"/>
      <c r="M82" s="389" t="s">
        <v>75</v>
      </c>
      <c r="N82" s="389"/>
      <c r="O82" s="389" t="s">
        <v>76</v>
      </c>
      <c r="P82" s="389"/>
      <c r="Q82" s="389" t="s">
        <v>91</v>
      </c>
      <c r="R82" s="389"/>
      <c r="S82" s="389" t="s">
        <v>91</v>
      </c>
      <c r="T82" s="389"/>
      <c r="U82" s="391">
        <f t="shared" si="17"/>
        <v>9</v>
      </c>
      <c r="V82" s="392">
        <f t="shared" si="18"/>
        <v>9</v>
      </c>
    </row>
    <row r="83" ht="39.75" customHeight="1">
      <c r="A83" s="831" t="s">
        <v>235</v>
      </c>
      <c r="B83" s="396" t="s">
        <v>236</v>
      </c>
      <c r="C83" s="397"/>
      <c r="D83" s="398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401"/>
    </row>
    <row r="84" ht="39.75" customHeight="1">
      <c r="A84" s="838" t="s">
        <v>237</v>
      </c>
      <c r="B84" s="415" t="s">
        <v>238</v>
      </c>
      <c r="C84" s="387"/>
      <c r="D84" s="387"/>
      <c r="E84" s="394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91"/>
      <c r="V84" s="392"/>
    </row>
    <row r="85" ht="39.75" customHeight="1">
      <c r="A85" s="830" t="s">
        <v>239</v>
      </c>
      <c r="B85" s="386" t="s">
        <v>139</v>
      </c>
      <c r="C85" s="388" t="s">
        <v>48</v>
      </c>
      <c r="D85" s="387"/>
      <c r="E85" s="389" t="s">
        <v>48</v>
      </c>
      <c r="F85" s="389"/>
      <c r="G85" s="389" t="s">
        <v>68</v>
      </c>
      <c r="H85" s="389"/>
      <c r="I85" s="389" t="s">
        <v>68</v>
      </c>
      <c r="J85" s="389"/>
      <c r="K85" s="389" t="s">
        <v>68</v>
      </c>
      <c r="L85" s="389"/>
      <c r="M85" s="389" t="s">
        <v>68</v>
      </c>
      <c r="N85" s="389"/>
      <c r="O85" s="389" t="s">
        <v>68</v>
      </c>
      <c r="P85" s="389"/>
      <c r="Q85" s="389" t="s">
        <v>38</v>
      </c>
      <c r="R85" s="389"/>
      <c r="S85" s="389" t="s">
        <v>38</v>
      </c>
      <c r="T85" s="389"/>
      <c r="U85" s="391">
        <f>COUNTIF(C85:T85,"&gt;=R")</f>
        <v>9</v>
      </c>
      <c r="V85" s="392">
        <f>U85</f>
        <v>9</v>
      </c>
      <c r="W85" s="404"/>
      <c r="X85" s="404"/>
      <c r="Y85" s="404"/>
      <c r="Z85" s="404"/>
      <c r="AA85" s="404"/>
      <c r="AB85" s="404"/>
      <c r="AC85" s="404"/>
      <c r="AD85" s="404"/>
      <c r="AE85" s="404"/>
      <c r="AF85" s="404"/>
      <c r="AG85" s="404"/>
      <c r="AH85" s="404"/>
      <c r="AI85" s="404"/>
      <c r="AJ85" s="404"/>
      <c r="AK85" s="404"/>
      <c r="AL85" s="404"/>
      <c r="AM85" s="404"/>
      <c r="AN85" s="404"/>
      <c r="AO85" s="404"/>
      <c r="AP85" s="404"/>
    </row>
    <row r="86" ht="39.75" customHeight="1">
      <c r="A86" s="838" t="s">
        <v>240</v>
      </c>
      <c r="B86" s="415" t="s">
        <v>241</v>
      </c>
      <c r="C86" s="387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91"/>
      <c r="V86" s="392"/>
    </row>
    <row r="87" ht="39.75" customHeight="1">
      <c r="A87" s="836" t="s">
        <v>242</v>
      </c>
      <c r="B87" s="412" t="s">
        <v>243</v>
      </c>
      <c r="C87" s="388" t="s">
        <v>48</v>
      </c>
      <c r="D87" s="387"/>
      <c r="E87" s="389" t="s">
        <v>48</v>
      </c>
      <c r="F87" s="389"/>
      <c r="G87" s="389" t="s">
        <v>68</v>
      </c>
      <c r="H87" s="389"/>
      <c r="I87" s="389" t="s">
        <v>68</v>
      </c>
      <c r="J87" s="389"/>
      <c r="K87" s="389" t="s">
        <v>68</v>
      </c>
      <c r="L87" s="389"/>
      <c r="M87" s="389" t="s">
        <v>68</v>
      </c>
      <c r="N87" s="389"/>
      <c r="O87" s="389" t="s">
        <v>68</v>
      </c>
      <c r="P87" s="389"/>
      <c r="Q87" s="389" t="s">
        <v>38</v>
      </c>
      <c r="R87" s="389"/>
      <c r="S87" s="389" t="s">
        <v>38</v>
      </c>
      <c r="T87" s="389"/>
      <c r="U87" s="391">
        <f t="shared" ref="U87:U88" si="19">COUNTIF(C87:T87,"&gt;=R")</f>
        <v>9</v>
      </c>
      <c r="V87" s="392">
        <f t="shared" ref="V87:V88" si="20">U87</f>
        <v>9</v>
      </c>
    </row>
    <row r="88" ht="39.75" customHeight="1">
      <c r="A88" s="836" t="s">
        <v>244</v>
      </c>
      <c r="B88" s="412" t="s">
        <v>245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91">
        <f t="shared" si="19"/>
        <v>0</v>
      </c>
      <c r="V88" s="392">
        <f t="shared" si="20"/>
        <v>0</v>
      </c>
    </row>
    <row r="89" ht="39.75" customHeight="1">
      <c r="A89" s="838" t="s">
        <v>246</v>
      </c>
      <c r="B89" s="415" t="s">
        <v>247</v>
      </c>
      <c r="C89" s="387"/>
      <c r="D89" s="387"/>
      <c r="E89" s="394"/>
      <c r="F89" s="389"/>
      <c r="G89" s="389"/>
      <c r="H89" s="389"/>
      <c r="I89" s="389"/>
      <c r="J89" s="389"/>
      <c r="K89" s="389"/>
      <c r="L89" s="389"/>
      <c r="M89" s="394"/>
      <c r="N89" s="389"/>
      <c r="O89" s="389"/>
      <c r="P89" s="389"/>
      <c r="Q89" s="389"/>
      <c r="R89" s="389"/>
      <c r="S89" s="389"/>
      <c r="T89" s="389"/>
      <c r="U89" s="391"/>
      <c r="V89" s="392"/>
    </row>
    <row r="90" ht="39.75" customHeight="1">
      <c r="A90" s="836" t="s">
        <v>248</v>
      </c>
      <c r="B90" s="412" t="s">
        <v>249</v>
      </c>
      <c r="C90" s="388" t="s">
        <v>68</v>
      </c>
      <c r="D90" s="387"/>
      <c r="E90" s="389" t="s">
        <v>18</v>
      </c>
      <c r="F90" s="389"/>
      <c r="G90" s="389" t="s">
        <v>68</v>
      </c>
      <c r="H90" s="389"/>
      <c r="I90" s="389" t="s">
        <v>18</v>
      </c>
      <c r="J90" s="389"/>
      <c r="K90" s="389" t="s">
        <v>68</v>
      </c>
      <c r="L90" s="389"/>
      <c r="M90" s="389" t="s">
        <v>68</v>
      </c>
      <c r="N90" s="389"/>
      <c r="O90" s="389" t="s">
        <v>68</v>
      </c>
      <c r="P90" s="389"/>
      <c r="Q90" s="389" t="s">
        <v>68</v>
      </c>
      <c r="R90" s="389"/>
      <c r="S90" s="389" t="s">
        <v>68</v>
      </c>
      <c r="T90" s="389"/>
      <c r="U90" s="391">
        <f t="shared" ref="U90:U91" si="21">COUNTIF(C90:T90,"&gt;=R")</f>
        <v>9</v>
      </c>
      <c r="V90" s="392">
        <f t="shared" ref="V90:V91" si="22">U90</f>
        <v>9</v>
      </c>
    </row>
    <row r="91" ht="39.75" customHeight="1">
      <c r="A91" s="836" t="s">
        <v>250</v>
      </c>
      <c r="B91" s="412" t="s">
        <v>251</v>
      </c>
      <c r="C91" s="388" t="s">
        <v>68</v>
      </c>
      <c r="D91" s="387"/>
      <c r="E91" s="389" t="s">
        <v>18</v>
      </c>
      <c r="F91" s="389"/>
      <c r="G91" s="389" t="s">
        <v>68</v>
      </c>
      <c r="H91" s="389"/>
      <c r="I91" s="389" t="s">
        <v>18</v>
      </c>
      <c r="J91" s="389"/>
      <c r="K91" s="389" t="s">
        <v>68</v>
      </c>
      <c r="L91" s="389"/>
      <c r="M91" s="389" t="s">
        <v>68</v>
      </c>
      <c r="N91" s="389"/>
      <c r="O91" s="389" t="s">
        <v>68</v>
      </c>
      <c r="P91" s="389"/>
      <c r="Q91" s="389" t="s">
        <v>68</v>
      </c>
      <c r="R91" s="389"/>
      <c r="S91" s="389" t="s">
        <v>68</v>
      </c>
      <c r="T91" s="389"/>
      <c r="U91" s="391">
        <f t="shared" si="21"/>
        <v>9</v>
      </c>
      <c r="V91" s="392">
        <f t="shared" si="22"/>
        <v>9</v>
      </c>
    </row>
    <row r="92" ht="39.75" customHeight="1">
      <c r="A92" s="838" t="s">
        <v>252</v>
      </c>
      <c r="B92" s="415" t="s">
        <v>253</v>
      </c>
      <c r="C92" s="387"/>
      <c r="D92" s="387"/>
      <c r="E92" s="394"/>
      <c r="F92" s="389"/>
      <c r="G92" s="394"/>
      <c r="H92" s="389"/>
      <c r="I92" s="394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91"/>
      <c r="V92" s="392"/>
      <c r="W92" s="404"/>
      <c r="X92" s="404"/>
      <c r="Y92" s="404"/>
      <c r="Z92" s="404"/>
      <c r="AA92" s="404"/>
      <c r="AB92" s="404"/>
      <c r="AC92" s="404"/>
      <c r="AD92" s="404"/>
      <c r="AE92" s="404"/>
      <c r="AF92" s="404"/>
      <c r="AG92" s="404"/>
      <c r="AH92" s="404"/>
      <c r="AI92" s="404"/>
      <c r="AJ92" s="404"/>
      <c r="AK92" s="404"/>
      <c r="AL92" s="404"/>
      <c r="AM92" s="404"/>
      <c r="AN92" s="404"/>
      <c r="AO92" s="404"/>
      <c r="AP92" s="404"/>
    </row>
    <row r="93" ht="39.75" customHeight="1">
      <c r="A93" s="830" t="s">
        <v>254</v>
      </c>
      <c r="B93" s="386" t="s">
        <v>255</v>
      </c>
      <c r="C93" s="387" t="s">
        <v>48</v>
      </c>
      <c r="D93" s="387"/>
      <c r="E93" s="387" t="s">
        <v>48</v>
      </c>
      <c r="F93" s="389"/>
      <c r="G93" s="387" t="s">
        <v>68</v>
      </c>
      <c r="H93" s="389"/>
      <c r="I93" s="387" t="s">
        <v>68</v>
      </c>
      <c r="J93" s="389"/>
      <c r="K93" s="387" t="s">
        <v>68</v>
      </c>
      <c r="L93" s="389"/>
      <c r="M93" s="387" t="s">
        <v>68</v>
      </c>
      <c r="N93" s="389"/>
      <c r="O93" s="387" t="s">
        <v>68</v>
      </c>
      <c r="P93" s="389"/>
      <c r="Q93" s="387" t="s">
        <v>48</v>
      </c>
      <c r="R93" s="389"/>
      <c r="S93" s="387" t="s">
        <v>48</v>
      </c>
      <c r="T93" s="389"/>
      <c r="U93" s="391">
        <f t="shared" ref="U93:U96" si="23">COUNTIF(C93:T93,"&gt;=R")</f>
        <v>9</v>
      </c>
      <c r="V93" s="392">
        <f t="shared" ref="V93:V96" si="24">U93</f>
        <v>9</v>
      </c>
      <c r="W93" s="404"/>
      <c r="X93" s="404"/>
      <c r="Y93" s="404"/>
      <c r="Z93" s="404"/>
      <c r="AA93" s="404"/>
      <c r="AB93" s="404"/>
      <c r="AC93" s="404"/>
      <c r="AD93" s="404"/>
      <c r="AE93" s="404"/>
      <c r="AF93" s="404"/>
      <c r="AG93" s="404"/>
      <c r="AH93" s="404"/>
      <c r="AI93" s="404"/>
      <c r="AJ93" s="404"/>
      <c r="AK93" s="404"/>
      <c r="AL93" s="404"/>
      <c r="AM93" s="404"/>
      <c r="AN93" s="404"/>
      <c r="AO93" s="404"/>
      <c r="AP93" s="404"/>
    </row>
    <row r="94" ht="39.75" customHeight="1">
      <c r="A94" s="830" t="s">
        <v>256</v>
      </c>
      <c r="B94" s="386" t="s">
        <v>257</v>
      </c>
      <c r="C94" s="387" t="s">
        <v>48</v>
      </c>
      <c r="D94" s="388"/>
      <c r="E94" s="387" t="s">
        <v>48</v>
      </c>
      <c r="F94" s="389"/>
      <c r="G94" s="387" t="s">
        <v>68</v>
      </c>
      <c r="H94" s="389"/>
      <c r="I94" s="387" t="s">
        <v>68</v>
      </c>
      <c r="J94" s="389"/>
      <c r="K94" s="387" t="s">
        <v>68</v>
      </c>
      <c r="L94" s="389"/>
      <c r="M94" s="387" t="s">
        <v>68</v>
      </c>
      <c r="N94" s="389"/>
      <c r="O94" s="387" t="s">
        <v>68</v>
      </c>
      <c r="P94" s="389"/>
      <c r="Q94" s="387" t="s">
        <v>48</v>
      </c>
      <c r="R94" s="389"/>
      <c r="S94" s="387" t="s">
        <v>48</v>
      </c>
      <c r="T94" s="389"/>
      <c r="U94" s="391">
        <f t="shared" si="23"/>
        <v>9</v>
      </c>
      <c r="V94" s="392">
        <f t="shared" si="24"/>
        <v>9</v>
      </c>
    </row>
    <row r="95" ht="39.75" customHeight="1">
      <c r="A95" s="830" t="s">
        <v>258</v>
      </c>
      <c r="B95" s="386" t="s">
        <v>259</v>
      </c>
      <c r="C95" s="387" t="s">
        <v>48</v>
      </c>
      <c r="D95" s="388"/>
      <c r="E95" s="387" t="s">
        <v>48</v>
      </c>
      <c r="F95" s="389"/>
      <c r="G95" s="387" t="s">
        <v>68</v>
      </c>
      <c r="H95" s="389"/>
      <c r="I95" s="387" t="s">
        <v>68</v>
      </c>
      <c r="J95" s="389"/>
      <c r="K95" s="387" t="s">
        <v>68</v>
      </c>
      <c r="L95" s="389"/>
      <c r="M95" s="387" t="s">
        <v>68</v>
      </c>
      <c r="N95" s="389"/>
      <c r="O95" s="387" t="s">
        <v>68</v>
      </c>
      <c r="P95" s="389"/>
      <c r="Q95" s="387" t="s">
        <v>38</v>
      </c>
      <c r="R95" s="389"/>
      <c r="S95" s="387" t="s">
        <v>38</v>
      </c>
      <c r="T95" s="389"/>
      <c r="U95" s="391">
        <f t="shared" si="23"/>
        <v>9</v>
      </c>
      <c r="V95" s="392">
        <f t="shared" si="24"/>
        <v>9</v>
      </c>
      <c r="W95" s="404"/>
      <c r="X95" s="404"/>
      <c r="Y95" s="404"/>
      <c r="Z95" s="404"/>
      <c r="AA95" s="404"/>
      <c r="AB95" s="404"/>
      <c r="AC95" s="404"/>
      <c r="AD95" s="404"/>
      <c r="AE95" s="404"/>
      <c r="AF95" s="404"/>
      <c r="AG95" s="404"/>
      <c r="AH95" s="404"/>
      <c r="AI95" s="404"/>
      <c r="AJ95" s="404"/>
      <c r="AK95" s="404"/>
      <c r="AL95" s="404"/>
      <c r="AM95" s="404"/>
      <c r="AN95" s="404"/>
      <c r="AO95" s="404"/>
      <c r="AP95" s="404"/>
    </row>
    <row r="96" ht="39.75" customHeight="1">
      <c r="A96" s="830" t="s">
        <v>260</v>
      </c>
      <c r="B96" s="386" t="s">
        <v>261</v>
      </c>
      <c r="C96" s="387" t="s">
        <v>48</v>
      </c>
      <c r="D96" s="388"/>
      <c r="E96" s="387" t="s">
        <v>48</v>
      </c>
      <c r="F96" s="389"/>
      <c r="G96" s="387" t="s">
        <v>68</v>
      </c>
      <c r="H96" s="389"/>
      <c r="I96" s="387" t="s">
        <v>68</v>
      </c>
      <c r="J96" s="389"/>
      <c r="K96" s="387" t="s">
        <v>68</v>
      </c>
      <c r="L96" s="389"/>
      <c r="M96" s="387" t="s">
        <v>68</v>
      </c>
      <c r="N96" s="389"/>
      <c r="O96" s="387" t="s">
        <v>68</v>
      </c>
      <c r="P96" s="389"/>
      <c r="Q96" s="387" t="s">
        <v>68</v>
      </c>
      <c r="R96" s="389"/>
      <c r="S96" s="387" t="s">
        <v>68</v>
      </c>
      <c r="T96" s="389"/>
      <c r="U96" s="391">
        <f t="shared" si="23"/>
        <v>9</v>
      </c>
      <c r="V96" s="392">
        <f t="shared" si="24"/>
        <v>9</v>
      </c>
      <c r="W96" s="404"/>
      <c r="X96" s="404"/>
      <c r="Y96" s="404"/>
      <c r="Z96" s="404"/>
      <c r="AA96" s="404"/>
      <c r="AB96" s="404"/>
      <c r="AC96" s="404"/>
      <c r="AD96" s="404"/>
      <c r="AE96" s="404"/>
      <c r="AF96" s="404"/>
      <c r="AG96" s="404"/>
      <c r="AH96" s="404"/>
      <c r="AI96" s="404"/>
      <c r="AJ96" s="404"/>
      <c r="AK96" s="404"/>
      <c r="AL96" s="404"/>
      <c r="AM96" s="404"/>
      <c r="AN96" s="404"/>
      <c r="AO96" s="404"/>
      <c r="AP96" s="404"/>
    </row>
    <row r="97" ht="39.75" customHeight="1">
      <c r="A97" s="838" t="s">
        <v>262</v>
      </c>
      <c r="B97" s="415" t="s">
        <v>263</v>
      </c>
      <c r="C97" s="387"/>
      <c r="D97" s="388"/>
      <c r="E97" s="389"/>
      <c r="F97" s="389"/>
      <c r="G97" s="394"/>
      <c r="H97" s="389"/>
      <c r="I97" s="394"/>
      <c r="J97" s="389"/>
      <c r="K97" s="394"/>
      <c r="L97" s="389"/>
      <c r="M97" s="389"/>
      <c r="N97" s="389"/>
      <c r="O97" s="389"/>
      <c r="P97" s="389"/>
      <c r="Q97" s="389"/>
      <c r="R97" s="389"/>
      <c r="S97" s="389"/>
      <c r="T97" s="389"/>
      <c r="U97" s="391"/>
      <c r="V97" s="392"/>
    </row>
    <row r="98" ht="39.75" customHeight="1">
      <c r="A98" s="836" t="s">
        <v>264</v>
      </c>
      <c r="B98" s="412" t="s">
        <v>265</v>
      </c>
      <c r="C98" s="387" t="s">
        <v>57</v>
      </c>
      <c r="D98" s="388"/>
      <c r="E98" s="389" t="s">
        <v>75</v>
      </c>
      <c r="F98" s="389"/>
      <c r="G98" s="389" t="s">
        <v>36</v>
      </c>
      <c r="H98" s="389"/>
      <c r="I98" s="389" t="s">
        <v>36</v>
      </c>
      <c r="J98" s="389"/>
      <c r="K98" s="389" t="s">
        <v>26</v>
      </c>
      <c r="L98" s="389"/>
      <c r="M98" s="389" t="s">
        <v>36</v>
      </c>
      <c r="N98" s="389"/>
      <c r="O98" s="389" t="s">
        <v>36</v>
      </c>
      <c r="P98" s="389"/>
      <c r="Q98" s="389" t="s">
        <v>36</v>
      </c>
      <c r="R98" s="389"/>
      <c r="S98" s="389" t="s">
        <v>46</v>
      </c>
      <c r="T98" s="389"/>
      <c r="U98" s="391">
        <f>COUNTIF(C98:T98,"&gt;=R")</f>
        <v>9</v>
      </c>
      <c r="V98" s="392">
        <f>U98</f>
        <v>9</v>
      </c>
    </row>
    <row r="99" ht="39.75" customHeight="1">
      <c r="A99" s="840" t="s">
        <v>266</v>
      </c>
      <c r="B99" s="396" t="s">
        <v>267</v>
      </c>
      <c r="C99" s="397"/>
      <c r="D99" s="398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401"/>
    </row>
    <row r="100" ht="39.75" customHeight="1">
      <c r="A100" s="830" t="s">
        <v>268</v>
      </c>
      <c r="B100" s="386" t="s">
        <v>269</v>
      </c>
      <c r="C100" s="388" t="s">
        <v>48</v>
      </c>
      <c r="D100" s="388"/>
      <c r="E100" s="389" t="s">
        <v>48</v>
      </c>
      <c r="F100" s="389"/>
      <c r="G100" s="389" t="s">
        <v>68</v>
      </c>
      <c r="H100" s="389"/>
      <c r="I100" s="389" t="s">
        <v>68</v>
      </c>
      <c r="J100" s="389"/>
      <c r="K100" s="389" t="s">
        <v>68</v>
      </c>
      <c r="L100" s="389"/>
      <c r="M100" s="389" t="s">
        <v>68</v>
      </c>
      <c r="N100" s="389"/>
      <c r="O100" s="389" t="s">
        <v>68</v>
      </c>
      <c r="P100" s="389"/>
      <c r="Q100" s="389" t="s">
        <v>38</v>
      </c>
      <c r="R100" s="389"/>
      <c r="S100" s="389" t="s">
        <v>38</v>
      </c>
      <c r="T100" s="389"/>
      <c r="U100" s="391">
        <f t="shared" ref="U100:U101" si="25">COUNTIF(C100:T100,"&gt;=R")</f>
        <v>9</v>
      </c>
      <c r="V100" s="392">
        <f t="shared" ref="V100:V101" si="26">U100</f>
        <v>9</v>
      </c>
    </row>
    <row r="101" ht="39.75" customHeight="1">
      <c r="A101" s="830" t="s">
        <v>270</v>
      </c>
      <c r="B101" s="386" t="s">
        <v>271</v>
      </c>
      <c r="C101" s="388" t="s">
        <v>48</v>
      </c>
      <c r="D101" s="388"/>
      <c r="E101" s="389" t="s">
        <v>48</v>
      </c>
      <c r="F101" s="389"/>
      <c r="G101" s="389" t="s">
        <v>68</v>
      </c>
      <c r="H101" s="389"/>
      <c r="I101" s="389" t="s">
        <v>68</v>
      </c>
      <c r="J101" s="389"/>
      <c r="K101" s="389" t="s">
        <v>68</v>
      </c>
      <c r="L101" s="389"/>
      <c r="M101" s="389" t="s">
        <v>68</v>
      </c>
      <c r="N101" s="389"/>
      <c r="O101" s="389" t="s">
        <v>68</v>
      </c>
      <c r="P101" s="389"/>
      <c r="Q101" s="389" t="s">
        <v>38</v>
      </c>
      <c r="R101" s="389"/>
      <c r="S101" s="389" t="s">
        <v>38</v>
      </c>
      <c r="T101" s="389"/>
      <c r="U101" s="391">
        <f t="shared" si="25"/>
        <v>9</v>
      </c>
      <c r="V101" s="392">
        <f t="shared" si="26"/>
        <v>9</v>
      </c>
    </row>
    <row r="102" ht="39.75" customHeight="1">
      <c r="A102" s="840" t="s">
        <v>272</v>
      </c>
      <c r="B102" s="396" t="s">
        <v>273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401"/>
      <c r="W102" s="404"/>
      <c r="X102" s="404"/>
      <c r="Y102" s="404"/>
      <c r="Z102" s="404"/>
      <c r="AA102" s="404"/>
      <c r="AB102" s="404"/>
      <c r="AC102" s="404"/>
      <c r="AD102" s="404"/>
      <c r="AE102" s="404"/>
      <c r="AF102" s="404"/>
      <c r="AG102" s="404"/>
      <c r="AH102" s="404"/>
      <c r="AI102" s="404"/>
      <c r="AJ102" s="404"/>
      <c r="AK102" s="404"/>
      <c r="AL102" s="404"/>
      <c r="AM102" s="404"/>
      <c r="AN102" s="404"/>
      <c r="AO102" s="404"/>
      <c r="AP102" s="404"/>
    </row>
    <row r="103" ht="39.75" customHeight="1">
      <c r="A103" s="830" t="s">
        <v>274</v>
      </c>
      <c r="B103" s="386" t="s">
        <v>275</v>
      </c>
      <c r="C103" s="387" t="s">
        <v>93</v>
      </c>
      <c r="D103" s="387"/>
      <c r="E103" s="387" t="s">
        <v>93</v>
      </c>
      <c r="F103" s="389"/>
      <c r="G103" s="387" t="s">
        <v>93</v>
      </c>
      <c r="H103" s="389"/>
      <c r="I103" s="387" t="s">
        <v>93</v>
      </c>
      <c r="J103" s="389"/>
      <c r="K103" s="387" t="s">
        <v>93</v>
      </c>
      <c r="L103" s="389"/>
      <c r="M103" s="387" t="s">
        <v>93</v>
      </c>
      <c r="N103" s="389"/>
      <c r="O103" s="387" t="s">
        <v>93</v>
      </c>
      <c r="P103" s="389"/>
      <c r="Q103" s="387" t="s">
        <v>93</v>
      </c>
      <c r="R103" s="389"/>
      <c r="S103" s="387" t="s">
        <v>93</v>
      </c>
      <c r="T103" s="389"/>
      <c r="U103" s="391">
        <f t="shared" ref="U103:U104" si="27">COUNTIF(C103:T103,"&gt;=R")</f>
        <v>9</v>
      </c>
      <c r="V103" s="392">
        <f t="shared" ref="V103:V104" si="28">U103</f>
        <v>9</v>
      </c>
    </row>
    <row r="104" ht="39.75" customHeight="1">
      <c r="A104" s="830" t="s">
        <v>276</v>
      </c>
      <c r="B104" s="386" t="s">
        <v>277</v>
      </c>
      <c r="C104" s="387" t="s">
        <v>76</v>
      </c>
      <c r="D104" s="388"/>
      <c r="E104" s="387" t="s">
        <v>76</v>
      </c>
      <c r="F104" s="389"/>
      <c r="G104" s="387" t="s">
        <v>76</v>
      </c>
      <c r="H104" s="389"/>
      <c r="I104" s="387" t="s">
        <v>76</v>
      </c>
      <c r="J104" s="389"/>
      <c r="K104" s="394" t="s">
        <v>76</v>
      </c>
      <c r="L104" s="389"/>
      <c r="M104" s="394" t="s">
        <v>76</v>
      </c>
      <c r="N104" s="389"/>
      <c r="O104" s="394" t="s">
        <v>76</v>
      </c>
      <c r="P104" s="389"/>
      <c r="Q104" s="394" t="s">
        <v>76</v>
      </c>
      <c r="R104" s="389"/>
      <c r="S104" s="389" t="s">
        <v>76</v>
      </c>
      <c r="T104" s="389"/>
      <c r="U104" s="391">
        <f t="shared" si="27"/>
        <v>9</v>
      </c>
      <c r="V104" s="392">
        <f t="shared" si="28"/>
        <v>9</v>
      </c>
      <c r="W104" s="404"/>
      <c r="X104" s="404"/>
      <c r="Y104" s="404"/>
      <c r="Z104" s="404"/>
      <c r="AA104" s="404"/>
      <c r="AB104" s="404"/>
      <c r="AC104" s="404"/>
      <c r="AD104" s="404"/>
      <c r="AE104" s="404"/>
      <c r="AF104" s="404"/>
      <c r="AG104" s="404"/>
      <c r="AH104" s="404"/>
      <c r="AI104" s="404"/>
      <c r="AJ104" s="404"/>
      <c r="AK104" s="404"/>
      <c r="AL104" s="404"/>
      <c r="AM104" s="404"/>
      <c r="AN104" s="404"/>
      <c r="AO104" s="404"/>
      <c r="AP104" s="404"/>
    </row>
    <row r="105" ht="39.75" customHeight="1">
      <c r="A105" s="831" t="s">
        <v>278</v>
      </c>
      <c r="B105" s="396" t="s">
        <v>279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401"/>
      <c r="W105" s="404"/>
      <c r="X105" s="404"/>
      <c r="Y105" s="404"/>
      <c r="Z105" s="404"/>
      <c r="AA105" s="404"/>
      <c r="AB105" s="404"/>
      <c r="AC105" s="404"/>
      <c r="AD105" s="404"/>
      <c r="AE105" s="404"/>
      <c r="AF105" s="404"/>
      <c r="AG105" s="404"/>
      <c r="AH105" s="404"/>
      <c r="AI105" s="404"/>
      <c r="AJ105" s="404"/>
      <c r="AK105" s="404"/>
      <c r="AL105" s="404"/>
      <c r="AM105" s="404"/>
      <c r="AN105" s="404"/>
      <c r="AO105" s="404"/>
      <c r="AP105" s="404"/>
    </row>
    <row r="106" ht="39.75" customHeight="1">
      <c r="A106" s="838" t="s">
        <v>280</v>
      </c>
      <c r="B106" s="415" t="s">
        <v>281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91">
        <f t="shared" ref="U106:U112" si="29">COUNTIF(C106:T106,"&gt;=R")</f>
        <v>0</v>
      </c>
      <c r="V106" s="392">
        <f t="shared" ref="V106:V112" si="30">U106</f>
        <v>0</v>
      </c>
    </row>
    <row r="107" ht="39.75" customHeight="1">
      <c r="A107" s="833" t="s">
        <v>282</v>
      </c>
      <c r="B107" s="794" t="s">
        <v>283</v>
      </c>
      <c r="C107" s="387"/>
      <c r="D107" s="388"/>
      <c r="E107" s="387"/>
      <c r="F107" s="389"/>
      <c r="G107" s="387"/>
      <c r="H107" s="389"/>
      <c r="I107" s="387"/>
      <c r="J107" s="389"/>
      <c r="K107" s="387"/>
      <c r="L107" s="389"/>
      <c r="M107" s="387"/>
      <c r="N107" s="389"/>
      <c r="O107" s="387"/>
      <c r="P107" s="389"/>
      <c r="Q107" s="387"/>
      <c r="R107" s="389"/>
      <c r="S107" s="387"/>
      <c r="T107" s="389"/>
      <c r="U107" s="391">
        <f t="shared" si="29"/>
        <v>0</v>
      </c>
      <c r="V107" s="392">
        <f t="shared" si="30"/>
        <v>0</v>
      </c>
    </row>
    <row r="108" ht="39.75" customHeight="1">
      <c r="A108" s="836" t="s">
        <v>284</v>
      </c>
      <c r="B108" s="412" t="s">
        <v>285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91">
        <f t="shared" si="29"/>
        <v>0</v>
      </c>
      <c r="V108" s="392">
        <f t="shared" si="30"/>
        <v>0</v>
      </c>
      <c r="W108" s="404"/>
      <c r="X108" s="404"/>
      <c r="Y108" s="404"/>
      <c r="Z108" s="404"/>
      <c r="AA108" s="404"/>
      <c r="AB108" s="404"/>
      <c r="AC108" s="404"/>
      <c r="AD108" s="404"/>
      <c r="AE108" s="404"/>
      <c r="AF108" s="404"/>
      <c r="AG108" s="404"/>
      <c r="AH108" s="404"/>
      <c r="AI108" s="404"/>
      <c r="AJ108" s="404"/>
      <c r="AK108" s="404"/>
      <c r="AL108" s="404"/>
      <c r="AM108" s="404"/>
      <c r="AN108" s="404"/>
      <c r="AO108" s="404"/>
      <c r="AP108" s="404"/>
    </row>
    <row r="109" ht="39.75" customHeight="1">
      <c r="A109" s="838" t="s">
        <v>286</v>
      </c>
      <c r="B109" s="415" t="s">
        <v>287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91">
        <f t="shared" si="29"/>
        <v>0</v>
      </c>
      <c r="V109" s="392">
        <f t="shared" si="30"/>
        <v>0</v>
      </c>
    </row>
    <row r="110" ht="39.75" customHeight="1">
      <c r="A110" s="830" t="s">
        <v>288</v>
      </c>
      <c r="B110" s="386" t="s">
        <v>289</v>
      </c>
      <c r="C110" s="388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91">
        <f t="shared" si="29"/>
        <v>0</v>
      </c>
      <c r="V110" s="392">
        <f t="shared" si="30"/>
        <v>0</v>
      </c>
      <c r="W110" s="404"/>
      <c r="X110" s="404"/>
      <c r="Y110" s="404"/>
      <c r="Z110" s="404"/>
      <c r="AA110" s="404"/>
      <c r="AB110" s="404"/>
      <c r="AC110" s="404"/>
      <c r="AD110" s="404"/>
      <c r="AE110" s="404"/>
      <c r="AF110" s="404"/>
      <c r="AG110" s="404"/>
      <c r="AH110" s="404"/>
      <c r="AI110" s="404"/>
      <c r="AJ110" s="404"/>
      <c r="AK110" s="404"/>
      <c r="AL110" s="404"/>
      <c r="AM110" s="404"/>
      <c r="AN110" s="404"/>
      <c r="AO110" s="404"/>
      <c r="AP110" s="404"/>
    </row>
    <row r="111" ht="39.75" customHeight="1">
      <c r="A111" s="830" t="s">
        <v>290</v>
      </c>
      <c r="B111" s="386" t="s">
        <v>291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91">
        <f t="shared" si="29"/>
        <v>0</v>
      </c>
      <c r="V111" s="392">
        <f t="shared" si="30"/>
        <v>0</v>
      </c>
    </row>
    <row r="112" ht="39.75" customHeight="1">
      <c r="A112" s="833" t="s">
        <v>292</v>
      </c>
      <c r="B112" s="794" t="s">
        <v>293</v>
      </c>
      <c r="C112" s="387"/>
      <c r="D112" s="388"/>
      <c r="E112" s="387"/>
      <c r="F112" s="389"/>
      <c r="G112" s="387"/>
      <c r="H112" s="389"/>
      <c r="I112" s="387"/>
      <c r="J112" s="389"/>
      <c r="K112" s="387"/>
      <c r="L112" s="389"/>
      <c r="M112" s="387"/>
      <c r="N112" s="389"/>
      <c r="O112" s="387"/>
      <c r="P112" s="389"/>
      <c r="Q112" s="387"/>
      <c r="R112" s="389"/>
      <c r="S112" s="387"/>
      <c r="T112" s="389"/>
      <c r="U112" s="391">
        <f t="shared" si="29"/>
        <v>0</v>
      </c>
      <c r="V112" s="392">
        <f t="shared" si="30"/>
        <v>0</v>
      </c>
    </row>
    <row r="113" ht="39.75" customHeight="1">
      <c r="A113" s="831" t="s">
        <v>294</v>
      </c>
      <c r="B113" s="422" t="s">
        <v>295</v>
      </c>
      <c r="C113" s="397"/>
      <c r="D113" s="398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401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</row>
    <row r="114" ht="39.75" customHeight="1">
      <c r="A114" s="832" t="s">
        <v>296</v>
      </c>
      <c r="B114" s="386" t="s">
        <v>297</v>
      </c>
      <c r="C114" s="420" t="s">
        <v>8</v>
      </c>
      <c r="D114" s="388"/>
      <c r="E114" s="417" t="s">
        <v>8</v>
      </c>
      <c r="F114" s="389"/>
      <c r="G114" s="417" t="s">
        <v>8</v>
      </c>
      <c r="H114" s="389"/>
      <c r="I114" s="417" t="s">
        <v>8</v>
      </c>
      <c r="J114" s="389"/>
      <c r="K114" s="389" t="s">
        <v>67</v>
      </c>
      <c r="L114" s="389"/>
      <c r="M114" s="389" t="s">
        <v>67</v>
      </c>
      <c r="N114" s="389"/>
      <c r="O114" s="389" t="s">
        <v>67</v>
      </c>
      <c r="P114" s="389"/>
      <c r="Q114" s="389" t="s">
        <v>67</v>
      </c>
      <c r="R114" s="389"/>
      <c r="S114" s="389" t="s">
        <v>67</v>
      </c>
      <c r="T114" s="389"/>
      <c r="U114" s="391">
        <f t="shared" ref="U114:U125" si="31">COUNTIF(C114:T114,"&gt;=R")</f>
        <v>9</v>
      </c>
      <c r="V114" s="392">
        <f t="shared" ref="V114:V125" si="32">U114</f>
        <v>9</v>
      </c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</row>
    <row r="115" ht="39.75" customHeight="1">
      <c r="A115" s="832" t="s">
        <v>298</v>
      </c>
      <c r="B115" s="386" t="s">
        <v>299</v>
      </c>
      <c r="C115" s="387" t="s">
        <v>27</v>
      </c>
      <c r="D115" s="388"/>
      <c r="E115" s="389" t="s">
        <v>27</v>
      </c>
      <c r="F115" s="389"/>
      <c r="G115" s="394" t="s">
        <v>27</v>
      </c>
      <c r="H115" s="389"/>
      <c r="I115" s="394" t="s">
        <v>27</v>
      </c>
      <c r="J115" s="389"/>
      <c r="K115" s="394" t="s">
        <v>27</v>
      </c>
      <c r="L115" s="389"/>
      <c r="M115" s="389" t="s">
        <v>27</v>
      </c>
      <c r="N115" s="389"/>
      <c r="O115" s="389" t="s">
        <v>27</v>
      </c>
      <c r="P115" s="389"/>
      <c r="Q115" s="394" t="s">
        <v>27</v>
      </c>
      <c r="R115" s="389"/>
      <c r="S115" s="394" t="s">
        <v>27</v>
      </c>
      <c r="T115" s="389"/>
      <c r="U115" s="391">
        <f t="shared" si="31"/>
        <v>9</v>
      </c>
      <c r="V115" s="392">
        <f t="shared" si="32"/>
        <v>9</v>
      </c>
    </row>
    <row r="116" ht="39.75" customHeight="1">
      <c r="A116" s="832" t="s">
        <v>300</v>
      </c>
      <c r="B116" s="386" t="s">
        <v>301</v>
      </c>
      <c r="C116" s="387"/>
      <c r="D116" s="388"/>
      <c r="E116" s="387"/>
      <c r="F116" s="389"/>
      <c r="G116" s="387"/>
      <c r="H116" s="389"/>
      <c r="I116" s="387"/>
      <c r="J116" s="389"/>
      <c r="K116" s="387"/>
      <c r="L116" s="389"/>
      <c r="M116" s="387"/>
      <c r="N116" s="389"/>
      <c r="O116" s="387"/>
      <c r="P116" s="389"/>
      <c r="Q116" s="387"/>
      <c r="R116" s="389"/>
      <c r="S116" s="387"/>
      <c r="T116" s="389"/>
      <c r="U116" s="391">
        <f t="shared" si="31"/>
        <v>0</v>
      </c>
      <c r="V116" s="392">
        <f t="shared" si="32"/>
        <v>0</v>
      </c>
    </row>
    <row r="117" ht="39.75" customHeight="1">
      <c r="A117" s="832" t="s">
        <v>302</v>
      </c>
      <c r="B117" s="386" t="s">
        <v>303</v>
      </c>
      <c r="C117" s="388"/>
      <c r="D117" s="388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91">
        <f t="shared" si="31"/>
        <v>0</v>
      </c>
      <c r="V117" s="392">
        <f t="shared" si="32"/>
        <v>0</v>
      </c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</row>
    <row r="118" ht="39.75" customHeight="1">
      <c r="A118" s="832" t="s">
        <v>304</v>
      </c>
      <c r="B118" s="386" t="s">
        <v>305</v>
      </c>
      <c r="C118" s="387" t="s">
        <v>93</v>
      </c>
      <c r="D118" s="388"/>
      <c r="E118" s="389" t="s">
        <v>93</v>
      </c>
      <c r="F118" s="389"/>
      <c r="G118" s="394" t="s">
        <v>93</v>
      </c>
      <c r="H118" s="389"/>
      <c r="I118" s="394" t="s">
        <v>93</v>
      </c>
      <c r="J118" s="389"/>
      <c r="K118" s="394" t="s">
        <v>93</v>
      </c>
      <c r="L118" s="389"/>
      <c r="M118" s="389" t="s">
        <v>93</v>
      </c>
      <c r="N118" s="389"/>
      <c r="O118" s="389" t="s">
        <v>93</v>
      </c>
      <c r="P118" s="389"/>
      <c r="Q118" s="394" t="s">
        <v>93</v>
      </c>
      <c r="R118" s="389"/>
      <c r="S118" s="394" t="s">
        <v>93</v>
      </c>
      <c r="T118" s="389"/>
      <c r="U118" s="391">
        <f t="shared" si="31"/>
        <v>9</v>
      </c>
      <c r="V118" s="392">
        <f t="shared" si="32"/>
        <v>9</v>
      </c>
    </row>
    <row r="119" ht="39.75" customHeight="1">
      <c r="A119" s="832" t="s">
        <v>306</v>
      </c>
      <c r="B119" s="386" t="s">
        <v>307</v>
      </c>
      <c r="C119" s="387" t="s">
        <v>57</v>
      </c>
      <c r="D119" s="388"/>
      <c r="E119" s="394" t="s">
        <v>57</v>
      </c>
      <c r="F119" s="389"/>
      <c r="G119" s="394" t="s">
        <v>68</v>
      </c>
      <c r="H119" s="389"/>
      <c r="I119" s="394" t="s">
        <v>68</v>
      </c>
      <c r="J119" s="389"/>
      <c r="K119" s="394" t="s">
        <v>68</v>
      </c>
      <c r="L119" s="389"/>
      <c r="M119" s="394" t="s">
        <v>68</v>
      </c>
      <c r="N119" s="389"/>
      <c r="O119" s="394" t="s">
        <v>68</v>
      </c>
      <c r="P119" s="389"/>
      <c r="Q119" s="394" t="s">
        <v>48</v>
      </c>
      <c r="R119" s="389"/>
      <c r="S119" s="394" t="s">
        <v>48</v>
      </c>
      <c r="T119" s="389"/>
      <c r="U119" s="391">
        <f t="shared" si="31"/>
        <v>9</v>
      </c>
      <c r="V119" s="392">
        <f t="shared" si="32"/>
        <v>9</v>
      </c>
    </row>
    <row r="120" ht="39.75" customHeight="1">
      <c r="A120" s="832" t="s">
        <v>308</v>
      </c>
      <c r="B120" s="386" t="s">
        <v>309</v>
      </c>
      <c r="C120" s="387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91">
        <f t="shared" si="31"/>
        <v>0</v>
      </c>
      <c r="V120" s="392">
        <f t="shared" si="32"/>
        <v>0</v>
      </c>
    </row>
    <row r="121" ht="39.75" customHeight="1">
      <c r="A121" s="832" t="s">
        <v>310</v>
      </c>
      <c r="B121" s="386" t="s">
        <v>311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1">
        <f t="shared" si="31"/>
        <v>0</v>
      </c>
      <c r="V121" s="392">
        <f t="shared" si="32"/>
        <v>0</v>
      </c>
    </row>
    <row r="122" ht="39.75" customHeight="1">
      <c r="A122" s="832" t="s">
        <v>312</v>
      </c>
      <c r="B122" s="386" t="s">
        <v>313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1">
        <f t="shared" si="31"/>
        <v>0</v>
      </c>
      <c r="V122" s="392">
        <f t="shared" si="32"/>
        <v>0</v>
      </c>
    </row>
    <row r="123" ht="39.75" customHeight="1">
      <c r="A123" s="832" t="s">
        <v>314</v>
      </c>
      <c r="B123" s="386" t="s">
        <v>315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1">
        <f t="shared" si="31"/>
        <v>0</v>
      </c>
      <c r="V123" s="392">
        <f t="shared" si="32"/>
        <v>0</v>
      </c>
    </row>
    <row r="124" ht="39.75" customHeight="1">
      <c r="A124" s="832" t="s">
        <v>316</v>
      </c>
      <c r="B124" s="386" t="s">
        <v>317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1">
        <f t="shared" si="31"/>
        <v>0</v>
      </c>
      <c r="V124" s="392">
        <f t="shared" si="32"/>
        <v>0</v>
      </c>
    </row>
    <row r="125" ht="39.75" customHeight="1">
      <c r="A125" s="832" t="s">
        <v>318</v>
      </c>
      <c r="B125" s="386" t="s">
        <v>319</v>
      </c>
      <c r="C125" s="387"/>
      <c r="D125" s="387"/>
      <c r="E125" s="387"/>
      <c r="F125" s="394"/>
      <c r="G125" s="387"/>
      <c r="H125" s="394"/>
      <c r="I125" s="387"/>
      <c r="J125" s="394"/>
      <c r="K125" s="387"/>
      <c r="L125" s="394"/>
      <c r="M125" s="387"/>
      <c r="N125" s="394"/>
      <c r="O125" s="387"/>
      <c r="P125" s="394"/>
      <c r="Q125" s="387"/>
      <c r="R125" s="394"/>
      <c r="S125" s="387"/>
      <c r="T125" s="394"/>
      <c r="U125" s="391">
        <f t="shared" si="31"/>
        <v>0</v>
      </c>
      <c r="V125" s="392">
        <f t="shared" si="32"/>
        <v>0</v>
      </c>
    </row>
    <row r="126" ht="39.75" customHeight="1">
      <c r="A126" s="841" t="s">
        <v>320</v>
      </c>
      <c r="B126" s="424" t="s">
        <v>321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401"/>
    </row>
    <row r="127" ht="39.75" customHeight="1">
      <c r="A127" s="829" t="s">
        <v>322</v>
      </c>
      <c r="B127" s="425" t="s">
        <v>323</v>
      </c>
      <c r="C127" s="397"/>
      <c r="D127" s="398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401"/>
    </row>
    <row r="128" ht="39.75" customHeight="1">
      <c r="A128" s="836" t="s">
        <v>324</v>
      </c>
      <c r="B128" s="426" t="s">
        <v>325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91">
        <f t="shared" ref="U128:U139" si="33">COUNTIF(C128:T128,"&gt;=R")</f>
        <v>0</v>
      </c>
      <c r="V128" s="392">
        <f t="shared" ref="V128:V139" si="34">U128</f>
        <v>0</v>
      </c>
    </row>
    <row r="129" ht="39.75" customHeight="1">
      <c r="A129" s="842" t="s">
        <v>326</v>
      </c>
      <c r="B129" s="428" t="s">
        <v>327</v>
      </c>
      <c r="C129" s="387"/>
      <c r="D129" s="387"/>
      <c r="E129" s="387"/>
      <c r="F129" s="394"/>
      <c r="G129" s="387"/>
      <c r="H129" s="394"/>
      <c r="I129" s="387"/>
      <c r="J129" s="394"/>
      <c r="K129" s="387"/>
      <c r="L129" s="394"/>
      <c r="M129" s="387"/>
      <c r="N129" s="394"/>
      <c r="O129" s="387"/>
      <c r="P129" s="394"/>
      <c r="Q129" s="387"/>
      <c r="R129" s="394"/>
      <c r="S129" s="387"/>
      <c r="T129" s="394"/>
      <c r="U129" s="391">
        <f t="shared" si="33"/>
        <v>0</v>
      </c>
      <c r="V129" s="392">
        <f t="shared" si="34"/>
        <v>0</v>
      </c>
    </row>
    <row r="130" ht="39.75" customHeight="1">
      <c r="A130" s="836" t="s">
        <v>328</v>
      </c>
      <c r="B130" s="426" t="s">
        <v>329</v>
      </c>
      <c r="C130" s="387"/>
      <c r="D130" s="387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89"/>
      <c r="P130" s="394"/>
      <c r="Q130" s="389"/>
      <c r="R130" s="394"/>
      <c r="S130" s="389"/>
      <c r="T130" s="394"/>
      <c r="U130" s="391">
        <f t="shared" si="33"/>
        <v>0</v>
      </c>
      <c r="V130" s="392">
        <f t="shared" si="34"/>
        <v>0</v>
      </c>
    </row>
    <row r="131" ht="39.75" customHeight="1">
      <c r="A131" s="836" t="s">
        <v>330</v>
      </c>
      <c r="B131" s="426" t="s">
        <v>331</v>
      </c>
      <c r="C131" s="388"/>
      <c r="D131" s="387"/>
      <c r="E131" s="389"/>
      <c r="F131" s="394"/>
      <c r="G131" s="389"/>
      <c r="H131" s="394"/>
      <c r="I131" s="389"/>
      <c r="J131" s="394"/>
      <c r="K131" s="389"/>
      <c r="L131" s="394"/>
      <c r="M131" s="389"/>
      <c r="N131" s="394"/>
      <c r="O131" s="389"/>
      <c r="P131" s="394"/>
      <c r="Q131" s="389"/>
      <c r="R131" s="394"/>
      <c r="S131" s="389"/>
      <c r="T131" s="394"/>
      <c r="U131" s="391">
        <f t="shared" si="33"/>
        <v>0</v>
      </c>
      <c r="V131" s="392">
        <f t="shared" si="34"/>
        <v>0</v>
      </c>
    </row>
    <row r="132" ht="39.75" customHeight="1">
      <c r="A132" s="836" t="s">
        <v>332</v>
      </c>
      <c r="B132" s="426" t="s">
        <v>333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1">
        <f t="shared" si="33"/>
        <v>0</v>
      </c>
      <c r="V132" s="392">
        <f t="shared" si="34"/>
        <v>0</v>
      </c>
    </row>
    <row r="133" ht="39.75" customHeight="1">
      <c r="A133" s="836" t="s">
        <v>334</v>
      </c>
      <c r="B133" s="426" t="s">
        <v>335</v>
      </c>
      <c r="C133" s="387"/>
      <c r="D133" s="388"/>
      <c r="E133" s="387"/>
      <c r="F133" s="389"/>
      <c r="G133" s="387"/>
      <c r="H133" s="389"/>
      <c r="I133" s="387"/>
      <c r="J133" s="389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91">
        <f t="shared" si="33"/>
        <v>0</v>
      </c>
      <c r="V133" s="392">
        <f t="shared" si="34"/>
        <v>0</v>
      </c>
    </row>
    <row r="134" ht="39.75" customHeight="1">
      <c r="A134" s="836" t="s">
        <v>336</v>
      </c>
      <c r="B134" s="426" t="s">
        <v>337</v>
      </c>
      <c r="C134" s="387"/>
      <c r="D134" s="387"/>
      <c r="E134" s="387"/>
      <c r="F134" s="394"/>
      <c r="G134" s="387"/>
      <c r="H134" s="394"/>
      <c r="I134" s="387"/>
      <c r="J134" s="394"/>
      <c r="K134" s="387"/>
      <c r="L134" s="394"/>
      <c r="M134" s="387"/>
      <c r="N134" s="394"/>
      <c r="O134" s="387"/>
      <c r="P134" s="394"/>
      <c r="Q134" s="387"/>
      <c r="R134" s="394"/>
      <c r="S134" s="387"/>
      <c r="T134" s="394"/>
      <c r="U134" s="391">
        <f t="shared" si="33"/>
        <v>0</v>
      </c>
      <c r="V134" s="392">
        <f t="shared" si="34"/>
        <v>0</v>
      </c>
    </row>
    <row r="135" ht="39.75" customHeight="1">
      <c r="A135" s="836" t="s">
        <v>338</v>
      </c>
      <c r="B135" s="426" t="s">
        <v>339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1">
        <f t="shared" si="33"/>
        <v>0</v>
      </c>
      <c r="V135" s="392">
        <f t="shared" si="34"/>
        <v>0</v>
      </c>
    </row>
    <row r="136" ht="39.75" customHeight="1">
      <c r="A136" s="836" t="s">
        <v>340</v>
      </c>
      <c r="B136" s="426" t="s">
        <v>341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1">
        <f t="shared" si="33"/>
        <v>0</v>
      </c>
      <c r="V136" s="392">
        <f t="shared" si="34"/>
        <v>0</v>
      </c>
    </row>
    <row r="137" ht="39.75" customHeight="1">
      <c r="A137" s="836" t="s">
        <v>342</v>
      </c>
      <c r="B137" s="426" t="s">
        <v>343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1">
        <f t="shared" si="33"/>
        <v>0</v>
      </c>
      <c r="V137" s="392">
        <f t="shared" si="34"/>
        <v>0</v>
      </c>
    </row>
    <row r="138" ht="39.75" customHeight="1">
      <c r="A138" s="836" t="s">
        <v>344</v>
      </c>
      <c r="B138" s="426" t="s">
        <v>345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1">
        <f t="shared" si="33"/>
        <v>0</v>
      </c>
      <c r="V138" s="392">
        <f t="shared" si="34"/>
        <v>0</v>
      </c>
    </row>
    <row r="139" ht="39.75" customHeight="1">
      <c r="A139" s="836" t="s">
        <v>346</v>
      </c>
      <c r="B139" s="426" t="s">
        <v>347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1">
        <f t="shared" si="33"/>
        <v>0</v>
      </c>
      <c r="V139" s="392">
        <f t="shared" si="34"/>
        <v>0</v>
      </c>
    </row>
    <row r="140" ht="39.75" customHeight="1">
      <c r="A140" s="831" t="s">
        <v>348</v>
      </c>
      <c r="B140" s="422" t="s">
        <v>349</v>
      </c>
      <c r="C140" s="397"/>
      <c r="D140" s="398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401"/>
    </row>
    <row r="141" ht="39.75" customHeight="1">
      <c r="A141" s="836" t="s">
        <v>350</v>
      </c>
      <c r="B141" s="412" t="s">
        <v>351</v>
      </c>
      <c r="C141" s="387"/>
      <c r="D141" s="387"/>
      <c r="E141" s="387"/>
      <c r="F141" s="394"/>
      <c r="G141" s="387"/>
      <c r="H141" s="394"/>
      <c r="I141" s="387"/>
      <c r="J141" s="394"/>
      <c r="K141" s="387"/>
      <c r="L141" s="394"/>
      <c r="M141" s="387"/>
      <c r="N141" s="394"/>
      <c r="O141" s="387"/>
      <c r="P141" s="394"/>
      <c r="Q141" s="387"/>
      <c r="R141" s="394"/>
      <c r="S141" s="387"/>
      <c r="T141" s="394"/>
      <c r="U141" s="391">
        <f t="shared" ref="U141:U143" si="35">COUNTIF(C141:T141,"&gt;=R")</f>
        <v>0</v>
      </c>
      <c r="V141" s="392">
        <f t="shared" ref="V141:V143" si="36">U141</f>
        <v>0</v>
      </c>
    </row>
    <row r="142" ht="39.75" customHeight="1">
      <c r="A142" s="836" t="s">
        <v>352</v>
      </c>
      <c r="B142" s="412" t="s">
        <v>353</v>
      </c>
      <c r="C142" s="387" t="s">
        <v>83</v>
      </c>
      <c r="D142" s="387"/>
      <c r="E142" s="394" t="s">
        <v>83</v>
      </c>
      <c r="F142" s="394"/>
      <c r="G142" s="394" t="s">
        <v>83</v>
      </c>
      <c r="H142" s="394"/>
      <c r="I142" s="394" t="s">
        <v>83</v>
      </c>
      <c r="J142" s="394"/>
      <c r="K142" s="394" t="s">
        <v>83</v>
      </c>
      <c r="L142" s="394"/>
      <c r="M142" s="394" t="s">
        <v>83</v>
      </c>
      <c r="N142" s="394"/>
      <c r="O142" s="394" t="s">
        <v>56</v>
      </c>
      <c r="P142" s="394"/>
      <c r="Q142" s="394" t="s">
        <v>56</v>
      </c>
      <c r="R142" s="394"/>
      <c r="S142" s="394" t="s">
        <v>56</v>
      </c>
      <c r="T142" s="394"/>
      <c r="U142" s="391">
        <f t="shared" si="35"/>
        <v>9</v>
      </c>
      <c r="V142" s="392">
        <f t="shared" si="36"/>
        <v>9</v>
      </c>
    </row>
    <row r="143" ht="39.75" customHeight="1">
      <c r="A143" s="836" t="s">
        <v>354</v>
      </c>
      <c r="B143" s="412" t="s">
        <v>355</v>
      </c>
      <c r="C143" s="387" t="s">
        <v>83</v>
      </c>
      <c r="D143" s="387"/>
      <c r="E143" s="394" t="s">
        <v>83</v>
      </c>
      <c r="F143" s="394"/>
      <c r="G143" s="394" t="s">
        <v>83</v>
      </c>
      <c r="H143" s="394"/>
      <c r="I143" s="394" t="s">
        <v>83</v>
      </c>
      <c r="J143" s="394"/>
      <c r="K143" s="394" t="s">
        <v>83</v>
      </c>
      <c r="L143" s="394"/>
      <c r="M143" s="394" t="s">
        <v>83</v>
      </c>
      <c r="N143" s="394"/>
      <c r="O143" s="394" t="s">
        <v>56</v>
      </c>
      <c r="P143" s="394"/>
      <c r="Q143" s="394" t="s">
        <v>56</v>
      </c>
      <c r="R143" s="394"/>
      <c r="S143" s="394" t="s">
        <v>56</v>
      </c>
      <c r="T143" s="394"/>
      <c r="U143" s="391">
        <f t="shared" si="35"/>
        <v>9</v>
      </c>
      <c r="V143" s="392">
        <f t="shared" si="36"/>
        <v>9</v>
      </c>
    </row>
    <row r="144" ht="39.75" customHeight="1">
      <c r="A144" s="831" t="s">
        <v>356</v>
      </c>
      <c r="B144" s="422" t="s">
        <v>357</v>
      </c>
      <c r="C144" s="397"/>
      <c r="D144" s="398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401"/>
    </row>
    <row r="145" ht="39.75" customHeight="1">
      <c r="A145" s="836" t="s">
        <v>358</v>
      </c>
      <c r="B145" s="412" t="s">
        <v>359</v>
      </c>
      <c r="C145" s="387" t="s">
        <v>28</v>
      </c>
      <c r="D145" s="387"/>
      <c r="E145" s="387" t="s">
        <v>28</v>
      </c>
      <c r="F145" s="394"/>
      <c r="G145" s="387" t="s">
        <v>83</v>
      </c>
      <c r="H145" s="394"/>
      <c r="I145" s="387" t="s">
        <v>83</v>
      </c>
      <c r="J145" s="394"/>
      <c r="K145" s="387" t="s">
        <v>75</v>
      </c>
      <c r="L145" s="394"/>
      <c r="M145" s="387" t="s">
        <v>75</v>
      </c>
      <c r="N145" s="394"/>
      <c r="O145" s="387" t="s">
        <v>75</v>
      </c>
      <c r="P145" s="394"/>
      <c r="Q145" s="387" t="s">
        <v>75</v>
      </c>
      <c r="R145" s="394"/>
      <c r="S145" s="387" t="s">
        <v>75</v>
      </c>
      <c r="T145" s="394"/>
      <c r="U145" s="391">
        <f t="shared" ref="U145:U147" si="37">COUNTIF(C145:T145,"&gt;=R")</f>
        <v>9</v>
      </c>
      <c r="V145" s="392">
        <f t="shared" ref="V145:V147" si="38">U145</f>
        <v>9</v>
      </c>
    </row>
    <row r="146" ht="39.75" customHeight="1">
      <c r="A146" s="836" t="s">
        <v>360</v>
      </c>
      <c r="B146" s="412" t="s">
        <v>361</v>
      </c>
      <c r="C146" s="843" t="s">
        <v>409</v>
      </c>
      <c r="D146" s="387"/>
      <c r="E146" s="403" t="s">
        <v>409</v>
      </c>
      <c r="F146" s="394"/>
      <c r="G146" s="403" t="s">
        <v>409</v>
      </c>
      <c r="H146" s="394"/>
      <c r="I146" s="403" t="s">
        <v>409</v>
      </c>
      <c r="J146" s="394"/>
      <c r="K146" s="389" t="s">
        <v>408</v>
      </c>
      <c r="L146" s="394"/>
      <c r="M146" s="389" t="s">
        <v>408</v>
      </c>
      <c r="N146" s="394"/>
      <c r="O146" s="389" t="s">
        <v>408</v>
      </c>
      <c r="P146" s="394"/>
      <c r="Q146" s="390" t="s">
        <v>16</v>
      </c>
      <c r="R146" s="394"/>
      <c r="S146" s="403" t="s">
        <v>409</v>
      </c>
      <c r="T146" s="394"/>
      <c r="U146" s="391">
        <f t="shared" si="37"/>
        <v>9</v>
      </c>
      <c r="V146" s="392">
        <f t="shared" si="38"/>
        <v>9</v>
      </c>
    </row>
    <row r="147" ht="39.75" customHeight="1">
      <c r="A147" s="836" t="s">
        <v>362</v>
      </c>
      <c r="B147" s="412" t="s">
        <v>363</v>
      </c>
      <c r="C147" s="387" t="s">
        <v>85</v>
      </c>
      <c r="D147" s="387"/>
      <c r="E147" s="387" t="s">
        <v>85</v>
      </c>
      <c r="F147" s="394"/>
      <c r="G147" s="387" t="s">
        <v>91</v>
      </c>
      <c r="H147" s="394"/>
      <c r="I147" s="387" t="s">
        <v>91</v>
      </c>
      <c r="J147" s="394"/>
      <c r="K147" s="387" t="s">
        <v>83</v>
      </c>
      <c r="L147" s="394"/>
      <c r="M147" s="387" t="s">
        <v>83</v>
      </c>
      <c r="N147" s="394"/>
      <c r="O147" s="387" t="s">
        <v>83</v>
      </c>
      <c r="P147" s="394"/>
      <c r="Q147" s="387" t="s">
        <v>83</v>
      </c>
      <c r="R147" s="394"/>
      <c r="S147" s="387" t="s">
        <v>83</v>
      </c>
      <c r="T147" s="394"/>
      <c r="U147" s="391">
        <f t="shared" si="37"/>
        <v>9</v>
      </c>
      <c r="V147" s="392">
        <f t="shared" si="38"/>
        <v>9</v>
      </c>
    </row>
    <row r="148" ht="39.75" customHeight="1">
      <c r="A148" s="831" t="s">
        <v>364</v>
      </c>
      <c r="B148" s="396" t="s">
        <v>365</v>
      </c>
      <c r="C148" s="397"/>
      <c r="D148" s="398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401"/>
    </row>
    <row r="149" ht="39.75" customHeight="1">
      <c r="A149" s="830" t="s">
        <v>366</v>
      </c>
      <c r="B149" s="386" t="s">
        <v>367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1">
        <f t="shared" ref="U149:U156" si="39">COUNTIF(C149:T149,"&gt;=R")</f>
        <v>0</v>
      </c>
      <c r="V149" s="392">
        <f t="shared" ref="V149:V156" si="40">U149</f>
        <v>0</v>
      </c>
    </row>
    <row r="150" ht="39.75" customHeight="1">
      <c r="A150" s="830" t="s">
        <v>368</v>
      </c>
      <c r="B150" s="386" t="s">
        <v>369</v>
      </c>
      <c r="C150" s="387"/>
      <c r="D150" s="387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1">
        <f t="shared" si="39"/>
        <v>0</v>
      </c>
      <c r="V150" s="392">
        <f t="shared" si="40"/>
        <v>0</v>
      </c>
    </row>
    <row r="151" ht="39.75" customHeight="1">
      <c r="A151" s="830" t="s">
        <v>370</v>
      </c>
      <c r="B151" s="386" t="s">
        <v>371</v>
      </c>
      <c r="C151" s="388"/>
      <c r="D151" s="387"/>
      <c r="E151" s="389"/>
      <c r="F151" s="394"/>
      <c r="G151" s="389"/>
      <c r="H151" s="394"/>
      <c r="I151" s="389"/>
      <c r="J151" s="394"/>
      <c r="K151" s="389"/>
      <c r="L151" s="394"/>
      <c r="M151" s="389"/>
      <c r="N151" s="394"/>
      <c r="O151" s="389"/>
      <c r="P151" s="394"/>
      <c r="Q151" s="389"/>
      <c r="R151" s="394"/>
      <c r="S151" s="389"/>
      <c r="T151" s="394"/>
      <c r="U151" s="391">
        <f t="shared" si="39"/>
        <v>0</v>
      </c>
      <c r="V151" s="392">
        <f t="shared" si="40"/>
        <v>0</v>
      </c>
    </row>
    <row r="152" ht="39.75" customHeight="1">
      <c r="A152" s="832" t="s">
        <v>372</v>
      </c>
      <c r="B152" s="806" t="s">
        <v>373</v>
      </c>
      <c r="C152" s="388" t="s">
        <v>83</v>
      </c>
      <c r="D152" s="387"/>
      <c r="E152" s="394" t="s">
        <v>83</v>
      </c>
      <c r="F152" s="394"/>
      <c r="G152" s="394" t="s">
        <v>83</v>
      </c>
      <c r="H152" s="394"/>
      <c r="I152" s="389" t="s">
        <v>83</v>
      </c>
      <c r="J152" s="394"/>
      <c r="K152" s="389" t="s">
        <v>91</v>
      </c>
      <c r="L152" s="394"/>
      <c r="M152" s="389" t="s">
        <v>91</v>
      </c>
      <c r="N152" s="394"/>
      <c r="O152" s="389" t="s">
        <v>56</v>
      </c>
      <c r="P152" s="394"/>
      <c r="Q152" s="389" t="s">
        <v>56</v>
      </c>
      <c r="R152" s="394"/>
      <c r="S152" s="389" t="s">
        <v>56</v>
      </c>
      <c r="T152" s="394"/>
      <c r="U152" s="391">
        <f t="shared" si="39"/>
        <v>9</v>
      </c>
      <c r="V152" s="392">
        <f t="shared" si="40"/>
        <v>9</v>
      </c>
    </row>
    <row r="153" ht="39.75" customHeight="1">
      <c r="A153" s="832" t="s">
        <v>374</v>
      </c>
      <c r="B153" s="806" t="s">
        <v>375</v>
      </c>
      <c r="C153" s="388"/>
      <c r="D153" s="387"/>
      <c r="E153" s="394"/>
      <c r="F153" s="394"/>
      <c r="G153" s="394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91">
        <f t="shared" si="39"/>
        <v>0</v>
      </c>
      <c r="V153" s="392">
        <f t="shared" si="40"/>
        <v>0</v>
      </c>
    </row>
    <row r="154" ht="39.75" customHeight="1">
      <c r="A154" s="832" t="s">
        <v>376</v>
      </c>
      <c r="B154" s="806" t="s">
        <v>377</v>
      </c>
      <c r="C154" s="388"/>
      <c r="D154" s="387"/>
      <c r="E154" s="389"/>
      <c r="F154" s="394"/>
      <c r="G154" s="389"/>
      <c r="H154" s="394"/>
      <c r="I154" s="389"/>
      <c r="J154" s="394"/>
      <c r="K154" s="389"/>
      <c r="L154" s="394"/>
      <c r="M154" s="389" t="s">
        <v>93</v>
      </c>
      <c r="N154" s="394"/>
      <c r="O154" s="389" t="s">
        <v>93</v>
      </c>
      <c r="P154" s="394"/>
      <c r="Q154" s="389"/>
      <c r="R154" s="394"/>
      <c r="S154" s="389"/>
      <c r="T154" s="394"/>
      <c r="U154" s="391">
        <f t="shared" si="39"/>
        <v>2</v>
      </c>
      <c r="V154" s="392">
        <f t="shared" si="40"/>
        <v>2</v>
      </c>
    </row>
    <row r="155" ht="39.75" customHeight="1">
      <c r="A155" s="832" t="s">
        <v>374</v>
      </c>
      <c r="B155" s="807" t="s">
        <v>375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1">
        <f t="shared" si="39"/>
        <v>0</v>
      </c>
      <c r="V155" s="392">
        <f t="shared" si="40"/>
        <v>0</v>
      </c>
    </row>
    <row r="156" ht="39.75" customHeight="1">
      <c r="A156" s="833" t="s">
        <v>378</v>
      </c>
      <c r="B156" s="794" t="s">
        <v>379</v>
      </c>
      <c r="C156" s="387"/>
      <c r="D156" s="387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1">
        <f t="shared" si="39"/>
        <v>0</v>
      </c>
      <c r="V156" s="392">
        <f t="shared" si="40"/>
        <v>0</v>
      </c>
    </row>
    <row r="157" ht="39.75" customHeight="1">
      <c r="A157" s="831" t="s">
        <v>380</v>
      </c>
      <c r="B157" s="396" t="s">
        <v>381</v>
      </c>
      <c r="C157" s="397"/>
      <c r="D157" s="398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401"/>
    </row>
    <row r="158" ht="39.75" customHeight="1">
      <c r="A158" s="836" t="s">
        <v>382</v>
      </c>
      <c r="B158" s="412" t="s">
        <v>383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1">
        <f t="shared" ref="U158:U161" si="41">COUNTIF(C158:T158,"&gt;=R")</f>
        <v>0</v>
      </c>
      <c r="V158" s="392">
        <f t="shared" ref="V158:V161" si="42">U158</f>
        <v>0</v>
      </c>
    </row>
    <row r="159" ht="39.75" customHeight="1">
      <c r="A159" s="836" t="s">
        <v>384</v>
      </c>
      <c r="B159" s="412" t="s">
        <v>385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91">
        <f t="shared" si="41"/>
        <v>0</v>
      </c>
      <c r="V159" s="392">
        <f t="shared" si="42"/>
        <v>0</v>
      </c>
    </row>
    <row r="160" ht="39.75" customHeight="1">
      <c r="A160" s="836" t="s">
        <v>386</v>
      </c>
      <c r="B160" s="412" t="s">
        <v>387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91">
        <f t="shared" si="41"/>
        <v>0</v>
      </c>
      <c r="V160" s="392">
        <f t="shared" si="42"/>
        <v>0</v>
      </c>
    </row>
    <row r="161" ht="39.75" customHeight="1">
      <c r="A161" s="836" t="s">
        <v>388</v>
      </c>
      <c r="B161" s="412" t="s">
        <v>389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91">
        <f t="shared" si="41"/>
        <v>0</v>
      </c>
      <c r="V161" s="392">
        <f t="shared" si="42"/>
        <v>0</v>
      </c>
    </row>
    <row r="162" ht="39.75" customHeight="1">
      <c r="A162" s="831" t="s">
        <v>390</v>
      </c>
      <c r="B162" s="422" t="s">
        <v>391</v>
      </c>
      <c r="C162" s="397"/>
      <c r="D162" s="398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401"/>
    </row>
    <row r="163" ht="39.75" customHeight="1">
      <c r="A163" s="830" t="s">
        <v>392</v>
      </c>
      <c r="B163" s="386" t="s">
        <v>393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91">
        <f t="shared" ref="U163:U165" si="43">COUNTIF(C163:T163,"&gt;=R")</f>
        <v>0</v>
      </c>
      <c r="V163" s="392">
        <f t="shared" ref="V163:V165" si="44">U163</f>
        <v>0</v>
      </c>
    </row>
    <row r="164" ht="39.75" customHeight="1">
      <c r="A164" s="830" t="s">
        <v>394</v>
      </c>
      <c r="B164" s="386" t="s">
        <v>395</v>
      </c>
      <c r="C164" s="387"/>
      <c r="D164" s="387"/>
      <c r="E164" s="387"/>
      <c r="F164" s="394"/>
      <c r="G164" s="387"/>
      <c r="H164" s="394"/>
      <c r="I164" s="394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91">
        <f t="shared" si="43"/>
        <v>0</v>
      </c>
      <c r="V164" s="392">
        <f t="shared" si="44"/>
        <v>0</v>
      </c>
      <c r="W164" s="449"/>
      <c r="X164" s="449"/>
      <c r="Y164" s="449"/>
      <c r="Z164" s="449"/>
      <c r="AA164" s="449"/>
      <c r="AB164" s="449"/>
      <c r="AC164" s="449"/>
      <c r="AD164" s="449"/>
      <c r="AE164" s="449"/>
      <c r="AF164" s="449"/>
      <c r="AG164" s="449"/>
      <c r="AH164" s="449"/>
      <c r="AI164" s="449"/>
      <c r="AJ164" s="449"/>
      <c r="AK164" s="449"/>
      <c r="AL164" s="449"/>
      <c r="AM164" s="449"/>
      <c r="AN164" s="449"/>
      <c r="AO164" s="449"/>
      <c r="AP164" s="449"/>
    </row>
    <row r="165" ht="39.75" customHeight="1">
      <c r="A165" s="844" t="s">
        <v>396</v>
      </c>
      <c r="B165" s="809" t="s">
        <v>397</v>
      </c>
      <c r="C165" s="436"/>
      <c r="D165" s="436"/>
      <c r="E165" s="436"/>
      <c r="F165" s="437"/>
      <c r="G165" s="436"/>
      <c r="H165" s="437"/>
      <c r="I165" s="437"/>
      <c r="J165" s="437"/>
      <c r="K165" s="436"/>
      <c r="L165" s="437"/>
      <c r="M165" s="436"/>
      <c r="N165" s="437"/>
      <c r="O165" s="436"/>
      <c r="P165" s="437"/>
      <c r="Q165" s="436"/>
      <c r="R165" s="437"/>
      <c r="S165" s="436"/>
      <c r="T165" s="437"/>
      <c r="U165" s="391">
        <f t="shared" si="43"/>
        <v>0</v>
      </c>
      <c r="V165" s="392">
        <f t="shared" si="44"/>
        <v>0</v>
      </c>
      <c r="W165" s="449"/>
      <c r="X165" s="449"/>
      <c r="Y165" s="449"/>
      <c r="Z165" s="449"/>
      <c r="AA165" s="449"/>
      <c r="AB165" s="449"/>
      <c r="AC165" s="449"/>
      <c r="AD165" s="449"/>
      <c r="AE165" s="449"/>
      <c r="AF165" s="449"/>
      <c r="AG165" s="449"/>
      <c r="AH165" s="449"/>
      <c r="AI165" s="449"/>
      <c r="AJ165" s="449"/>
      <c r="AK165" s="449"/>
      <c r="AL165" s="449"/>
      <c r="AM165" s="449"/>
      <c r="AN165" s="449"/>
      <c r="AO165" s="449"/>
      <c r="AP165" s="449"/>
    </row>
    <row r="166" ht="24.75" customHeight="1">
      <c r="A166" s="810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"/>
    </row>
    <row r="167" ht="24.75" customHeight="1">
      <c r="A167" s="810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"/>
    </row>
    <row r="168" ht="24.75" customHeight="1">
      <c r="A168" s="810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"/>
    </row>
    <row r="169" ht="24.75" customHeight="1">
      <c r="A169" s="810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"/>
    </row>
    <row r="170" ht="24.75" customHeight="1">
      <c r="A170" s="810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"/>
    </row>
    <row r="171" ht="24.75" customHeight="1">
      <c r="A171" s="810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"/>
    </row>
    <row r="172" ht="24.75" customHeight="1">
      <c r="A172" s="810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"/>
    </row>
    <row r="173" ht="24.75" customHeight="1">
      <c r="A173" s="81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"/>
    </row>
    <row r="174" ht="24.75" customHeight="1">
      <c r="A174" s="81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"/>
    </row>
    <row r="175" ht="24.75" customHeight="1">
      <c r="A175" s="81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"/>
    </row>
    <row r="176" ht="24.75" customHeight="1">
      <c r="A176" s="811"/>
      <c r="B176" s="439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"/>
    </row>
    <row r="177" ht="24.75" customHeight="1">
      <c r="A177" s="442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145"/>
      <c r="Y177" s="145"/>
      <c r="Z177" s="145"/>
      <c r="AA177" s="250"/>
      <c r="AB177" s="250"/>
      <c r="AC177" s="250"/>
      <c r="AD177" s="250"/>
      <c r="AE177" s="250"/>
      <c r="AF177" s="250"/>
      <c r="AG177" s="250"/>
      <c r="AH177" s="250"/>
      <c r="AI177" s="145"/>
      <c r="AJ177" s="145"/>
      <c r="AK177" s="145"/>
      <c r="AL177" s="145"/>
      <c r="AM177" s="145"/>
      <c r="AN177" s="145"/>
      <c r="AO177" s="145"/>
      <c r="AP177" s="1"/>
    </row>
    <row r="178" ht="24.75" customHeight="1">
      <c r="A178" s="812"/>
      <c r="B178" s="444"/>
      <c r="C178" s="45"/>
      <c r="D178" s="444"/>
      <c r="E178" s="444"/>
      <c r="F178" s="444"/>
      <c r="G178" s="444"/>
      <c r="H178" s="444"/>
      <c r="I178" s="440"/>
      <c r="J178" s="536"/>
      <c r="K178" s="536"/>
      <c r="L178" s="536"/>
      <c r="M178" s="536"/>
      <c r="N178" s="536"/>
      <c r="O178" s="536"/>
      <c r="P178" s="45"/>
      <c r="Q178" s="845"/>
      <c r="R178" s="597"/>
      <c r="S178" s="597"/>
      <c r="T178" s="597"/>
      <c r="U178" s="597"/>
      <c r="V178" s="598"/>
      <c r="W178" s="263"/>
      <c r="X178" s="846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145"/>
      <c r="AJ178" s="145"/>
      <c r="AK178" s="145"/>
      <c r="AL178" s="145"/>
      <c r="AM178" s="145"/>
      <c r="AN178" s="145"/>
      <c r="AO178" s="250"/>
      <c r="AP178" s="159"/>
    </row>
    <row r="179" ht="24.75" customHeight="1">
      <c r="A179" s="584"/>
      <c r="B179" s="447" t="s">
        <v>398</v>
      </c>
      <c r="C179" s="447"/>
      <c r="D179" s="538" t="s">
        <v>44</v>
      </c>
      <c r="E179" s="38"/>
      <c r="F179" s="38"/>
      <c r="G179" s="38"/>
      <c r="H179" s="40"/>
      <c r="I179" s="450"/>
      <c r="J179" s="448" t="s">
        <v>399</v>
      </c>
      <c r="K179" s="163"/>
      <c r="L179" s="163"/>
      <c r="M179" s="163"/>
      <c r="N179" s="163"/>
      <c r="O179" s="164"/>
      <c r="P179" s="450"/>
      <c r="Q179" s="599" t="s">
        <v>73</v>
      </c>
      <c r="R179" s="38"/>
      <c r="S179" s="38"/>
      <c r="T179" s="38"/>
      <c r="U179" s="38"/>
      <c r="V179" s="40"/>
      <c r="W179" s="449"/>
      <c r="X179" s="449"/>
      <c r="Y179" s="404"/>
      <c r="Z179" s="404"/>
      <c r="AA179" s="404"/>
      <c r="AB179" s="404"/>
      <c r="AC179" s="404"/>
      <c r="AD179" s="404"/>
      <c r="AE179" s="404"/>
      <c r="AF179" s="404"/>
      <c r="AG179" s="404"/>
      <c r="AH179" s="404"/>
      <c r="AI179" s="404"/>
      <c r="AJ179" s="404"/>
      <c r="AK179" s="404"/>
      <c r="AL179" s="404"/>
      <c r="AM179" s="404"/>
      <c r="AN179" s="452"/>
      <c r="AO179" s="452"/>
      <c r="AP179" s="452"/>
    </row>
    <row r="180" ht="24.75" customHeight="1">
      <c r="A180" s="584"/>
      <c r="B180" s="453" t="s">
        <v>35</v>
      </c>
      <c r="C180" s="453"/>
      <c r="D180" s="454" t="s">
        <v>54</v>
      </c>
      <c r="E180" s="38"/>
      <c r="F180" s="38"/>
      <c r="G180" s="38"/>
      <c r="H180" s="40"/>
      <c r="I180" s="455"/>
      <c r="J180" s="456" t="s">
        <v>400</v>
      </c>
      <c r="K180" s="38"/>
      <c r="L180" s="38"/>
      <c r="M180" s="38"/>
      <c r="N180" s="38"/>
      <c r="O180" s="40"/>
      <c r="P180" s="455"/>
      <c r="Q180" s="600" t="s">
        <v>74</v>
      </c>
      <c r="R180" s="38"/>
      <c r="S180" s="38"/>
      <c r="T180" s="38"/>
      <c r="U180" s="38"/>
      <c r="V180" s="40"/>
      <c r="W180" s="449"/>
      <c r="X180" s="449"/>
      <c r="Y180" s="404"/>
      <c r="Z180" s="404"/>
      <c r="AA180" s="404"/>
      <c r="AB180" s="404"/>
      <c r="AC180" s="404"/>
      <c r="AD180" s="404"/>
      <c r="AE180" s="404"/>
      <c r="AF180" s="404"/>
      <c r="AG180" s="404"/>
      <c r="AH180" s="404"/>
      <c r="AI180" s="404"/>
      <c r="AJ180" s="404"/>
      <c r="AK180" s="404"/>
      <c r="AL180" s="404"/>
      <c r="AM180" s="404"/>
      <c r="AN180" s="404"/>
      <c r="AO180" s="540"/>
      <c r="AP180" s="540"/>
    </row>
    <row r="181" ht="18.0" customHeight="1">
      <c r="A181" s="350"/>
      <c r="B181" s="460"/>
      <c r="C181" s="460"/>
      <c r="D181" s="460"/>
      <c r="E181" s="460"/>
      <c r="F181" s="460"/>
      <c r="G181" s="461"/>
      <c r="H181" s="461"/>
      <c r="I181" s="440"/>
      <c r="J181" s="44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847"/>
      <c r="W181" s="847"/>
      <c r="X181" s="847"/>
      <c r="Y181" s="847"/>
      <c r="Z181" s="847"/>
      <c r="AA181" s="847"/>
      <c r="AB181" s="145"/>
      <c r="AC181" s="848"/>
      <c r="AD181" s="145"/>
      <c r="AE181" s="145"/>
      <c r="AF181" s="145"/>
      <c r="AG181" s="145"/>
      <c r="AH181" s="145"/>
      <c r="AI181" s="814"/>
      <c r="AJ181" s="814"/>
      <c r="AK181" s="814"/>
      <c r="AL181" s="814"/>
      <c r="AM181" s="814"/>
      <c r="AN181" s="815"/>
      <c r="AO181" s="815"/>
      <c r="AP181" s="173"/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A1:A3"/>
    <mergeCell ref="B1:B3"/>
    <mergeCell ref="C1:V3"/>
    <mergeCell ref="C4:F9"/>
    <mergeCell ref="G4:I9"/>
    <mergeCell ref="O4:Q4"/>
    <mergeCell ref="O9:Q9"/>
    <mergeCell ref="O12:Q12"/>
    <mergeCell ref="O13:Q13"/>
    <mergeCell ref="S13:U13"/>
    <mergeCell ref="O16:T16"/>
    <mergeCell ref="U16:V16"/>
    <mergeCell ref="S8:U8"/>
    <mergeCell ref="S9:U9"/>
    <mergeCell ref="O10:Q10"/>
    <mergeCell ref="S10:U10"/>
    <mergeCell ref="O11:Q11"/>
    <mergeCell ref="S11:U11"/>
    <mergeCell ref="S12:U12"/>
    <mergeCell ref="B15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0:F13"/>
    <mergeCell ref="G10:I13"/>
    <mergeCell ref="K10:M10"/>
    <mergeCell ref="K11:M11"/>
    <mergeCell ref="K12:M12"/>
    <mergeCell ref="K13:M13"/>
    <mergeCell ref="A15:A17"/>
    <mergeCell ref="K4:M4"/>
    <mergeCell ref="K5:M5"/>
    <mergeCell ref="S4:U4"/>
    <mergeCell ref="S5:U5"/>
    <mergeCell ref="O5:Q5"/>
    <mergeCell ref="O6:Q6"/>
    <mergeCell ref="K6:M6"/>
    <mergeCell ref="K7:M7"/>
    <mergeCell ref="S6:U6"/>
    <mergeCell ref="S7:U7"/>
    <mergeCell ref="Q178:V178"/>
    <mergeCell ref="Q179:V179"/>
    <mergeCell ref="Q180:V180"/>
    <mergeCell ref="O7:Q7"/>
    <mergeCell ref="O8:Q8"/>
    <mergeCell ref="K8:M8"/>
    <mergeCell ref="K9:M9"/>
    <mergeCell ref="D179:H179"/>
    <mergeCell ref="J179:O179"/>
    <mergeCell ref="D180:H180"/>
    <mergeCell ref="J180:O180"/>
  </mergeCells>
  <conditionalFormatting sqref="C82 E82 G82">
    <cfRule type="cellIs" dxfId="6" priority="1" stopIfTrue="1" operator="notEqual">
      <formula>0</formula>
    </cfRule>
  </conditionalFormatting>
  <conditionalFormatting sqref="C82 E82 G82">
    <cfRule type="cellIs" dxfId="7" priority="2" stopIfTrue="1" operator="equal">
      <formula>0</formula>
    </cfRule>
  </conditionalFormatting>
  <conditionalFormatting sqref="C34:H34">
    <cfRule type="cellIs" dxfId="6" priority="3" stopIfTrue="1" operator="notEqual">
      <formula>0</formula>
    </cfRule>
  </conditionalFormatting>
  <conditionalFormatting sqref="C34:H34">
    <cfRule type="cellIs" dxfId="7" priority="4" stopIfTrue="1" operator="equal">
      <formula>0</formula>
    </cfRule>
  </conditionalFormatting>
  <conditionalFormatting sqref="C34:J34">
    <cfRule type="containsText" dxfId="1" priority="5" operator="containsText" text="R12">
      <formula>NOT(ISERROR(SEARCH(("R12"),(C34))))</formula>
    </cfRule>
  </conditionalFormatting>
  <conditionalFormatting sqref="C34:J34">
    <cfRule type="cellIs" dxfId="6" priority="6" stopIfTrue="1" operator="notEqual">
      <formula>0</formula>
    </cfRule>
  </conditionalFormatting>
  <conditionalFormatting sqref="C34:J34">
    <cfRule type="cellIs" dxfId="7" priority="7" stopIfTrue="1" operator="equal">
      <formula>0</formula>
    </cfRule>
  </conditionalFormatting>
  <conditionalFormatting sqref="C34:T34">
    <cfRule type="containsText" dxfId="21" priority="8" operator="containsText" text="R37">
      <formula>NOT(ISERROR(SEARCH(("R37"),(C34))))</formula>
    </cfRule>
  </conditionalFormatting>
  <conditionalFormatting sqref="C34:T34">
    <cfRule type="containsText" dxfId="1" priority="9" operator="containsText" text="R36">
      <formula>NOT(ISERROR(SEARCH(("R36"),(C34))))</formula>
    </cfRule>
  </conditionalFormatting>
  <conditionalFormatting sqref="C34:T34">
    <cfRule type="containsText" dxfId="23" priority="10" operator="containsText" text="R34">
      <formula>NOT(ISERROR(SEARCH(("R34"),(C34))))</formula>
    </cfRule>
  </conditionalFormatting>
  <conditionalFormatting sqref="C34:T34">
    <cfRule type="containsText" dxfId="24" priority="11" operator="containsText" text="R33">
      <formula>NOT(ISERROR(SEARCH(("R33"),(C34))))</formula>
    </cfRule>
  </conditionalFormatting>
  <conditionalFormatting sqref="C34:T34">
    <cfRule type="containsText" dxfId="27" priority="12" operator="containsText" text="R30">
      <formula>NOT(ISERROR(SEARCH(("R30"),(C34))))</formula>
    </cfRule>
  </conditionalFormatting>
  <conditionalFormatting sqref="C34:T34">
    <cfRule type="containsText" dxfId="25" priority="13" operator="containsText" text="R32">
      <formula>NOT(ISERROR(SEARCH(("R32"),(C34))))</formula>
    </cfRule>
  </conditionalFormatting>
  <conditionalFormatting sqref="C34:T34">
    <cfRule type="containsText" dxfId="26" priority="14" operator="containsText" text="R31">
      <formula>NOT(ISERROR(SEARCH(("R31"),(C34))))</formula>
    </cfRule>
  </conditionalFormatting>
  <conditionalFormatting sqref="C34:T34">
    <cfRule type="containsText" dxfId="29" priority="15" operator="containsText" text="R29">
      <formula>NOT(ISERROR(SEARCH(("R29"),(C34))))</formula>
    </cfRule>
  </conditionalFormatting>
  <conditionalFormatting sqref="C34:T34">
    <cfRule type="containsText" dxfId="30" priority="16" operator="containsText" text="R27">
      <formula>NOT(ISERROR(SEARCH(("R27"),(C34))))</formula>
    </cfRule>
  </conditionalFormatting>
  <conditionalFormatting sqref="C34:T34">
    <cfRule type="containsText" dxfId="3" priority="17" operator="containsText" text="R25">
      <formula>NOT(ISERROR(SEARCH(("R25"),(C34))))</formula>
    </cfRule>
  </conditionalFormatting>
  <conditionalFormatting sqref="C34:T34">
    <cfRule type="containsText" dxfId="31" priority="18" operator="containsText" text="R24">
      <formula>NOT(ISERROR(SEARCH(("R24"),(C34))))</formula>
    </cfRule>
  </conditionalFormatting>
  <conditionalFormatting sqref="C34:T34">
    <cfRule type="containsText" dxfId="4" priority="19" operator="containsText" text="R23">
      <formula>NOT(ISERROR(SEARCH(("R23"),(C34))))</formula>
    </cfRule>
  </conditionalFormatting>
  <conditionalFormatting sqref="C34:T34">
    <cfRule type="containsText" dxfId="8" priority="20" operator="containsText" text="R21">
      <formula>NOT(ISERROR(SEARCH(("R21"),(C34))))</formula>
    </cfRule>
  </conditionalFormatting>
  <conditionalFormatting sqref="C34:T34">
    <cfRule type="containsText" dxfId="9" priority="21" operator="containsText" text="R20">
      <formula>NOT(ISERROR(SEARCH(("R20"),(C34))))</formula>
    </cfRule>
  </conditionalFormatting>
  <conditionalFormatting sqref="C34:T34">
    <cfRule type="containsText" dxfId="10" priority="22" operator="containsText" text="R16">
      <formula>NOT(ISERROR(SEARCH(("R16"),(C34))))</formula>
    </cfRule>
  </conditionalFormatting>
  <conditionalFormatting sqref="C34:T34">
    <cfRule type="containsText" dxfId="11" priority="23" operator="containsText" text="R15">
      <formula>NOT(ISERROR(SEARCH(("R15"),(C34))))</formula>
    </cfRule>
  </conditionalFormatting>
  <conditionalFormatting sqref="C34:T34">
    <cfRule type="containsText" dxfId="12" priority="24" operator="containsText" text="R14">
      <formula>NOT(ISERROR(SEARCH(("R14"),(C34))))</formula>
    </cfRule>
  </conditionalFormatting>
  <conditionalFormatting sqref="C34:T34">
    <cfRule type="containsText" dxfId="1" priority="25" stopIfTrue="1" operator="containsText" text="R12">
      <formula>NOT(ISERROR(SEARCH(("R12"),(C34))))</formula>
    </cfRule>
  </conditionalFormatting>
  <conditionalFormatting sqref="C34:T34">
    <cfRule type="containsText" dxfId="13" priority="26" operator="containsText" text="R11">
      <formula>NOT(ISERROR(SEARCH(("R11"),(C34))))</formula>
    </cfRule>
  </conditionalFormatting>
  <conditionalFormatting sqref="C34:T34">
    <cfRule type="containsText" dxfId="14" priority="27" operator="containsText" text="R10">
      <formula>NOT(ISERROR(SEARCH(("R10"),(C34))))</formula>
    </cfRule>
  </conditionalFormatting>
  <conditionalFormatting sqref="C34:T34">
    <cfRule type="containsText" dxfId="15" priority="28" operator="containsText" text="R9">
      <formula>NOT(ISERROR(SEARCH(("R9"),(C34))))</formula>
    </cfRule>
  </conditionalFormatting>
  <conditionalFormatting sqref="C34:T34">
    <cfRule type="containsText" dxfId="16" priority="29" operator="containsText" text="R8">
      <formula>NOT(ISERROR(SEARCH(("R8"),(C34))))</formula>
    </cfRule>
  </conditionalFormatting>
  <conditionalFormatting sqref="C34:T34">
    <cfRule type="containsText" dxfId="17" priority="30" operator="containsText" text="R7">
      <formula>NOT(ISERROR(SEARCH(("R7"),(C34))))</formula>
    </cfRule>
  </conditionalFormatting>
  <conditionalFormatting sqref="C34:T34">
    <cfRule type="containsText" dxfId="18" priority="31" operator="containsText" text="R6">
      <formula>NOT(ISERROR(SEARCH(("R6"),(C34))))</formula>
    </cfRule>
  </conditionalFormatting>
  <conditionalFormatting sqref="C34:T34">
    <cfRule type="containsText" dxfId="19" priority="32" operator="containsText" text="R5">
      <formula>NOT(ISERROR(SEARCH(("R5"),(C34))))</formula>
    </cfRule>
  </conditionalFormatting>
  <conditionalFormatting sqref="C34:T34">
    <cfRule type="containsText" dxfId="20" priority="33" operator="containsText" text="R4">
      <formula>NOT(ISERROR(SEARCH(("R4"),(C34))))</formula>
    </cfRule>
  </conditionalFormatting>
  <conditionalFormatting sqref="C60:T60">
    <cfRule type="containsText" dxfId="21" priority="34" operator="containsText" text="R37">
      <formula>NOT(ISERROR(SEARCH(("R37"),(C60))))</formula>
    </cfRule>
  </conditionalFormatting>
  <conditionalFormatting sqref="C60:T60">
    <cfRule type="containsText" dxfId="1" priority="35" operator="containsText" text="R36">
      <formula>NOT(ISERROR(SEARCH(("R36"),(C60))))</formula>
    </cfRule>
  </conditionalFormatting>
  <conditionalFormatting sqref="C60:T60">
    <cfRule type="containsText" dxfId="23" priority="36" operator="containsText" text="R34">
      <formula>NOT(ISERROR(SEARCH(("R34"),(C60))))</formula>
    </cfRule>
  </conditionalFormatting>
  <conditionalFormatting sqref="C60:T60">
    <cfRule type="containsText" dxfId="24" priority="37" operator="containsText" text="R33">
      <formula>NOT(ISERROR(SEARCH(("R33"),(C60))))</formula>
    </cfRule>
  </conditionalFormatting>
  <conditionalFormatting sqref="C60:T60">
    <cfRule type="containsText" dxfId="27" priority="38" operator="containsText" text="R30">
      <formula>NOT(ISERROR(SEARCH(("R30"),(C60))))</formula>
    </cfRule>
  </conditionalFormatting>
  <conditionalFormatting sqref="C60:T60">
    <cfRule type="containsText" dxfId="25" priority="39" operator="containsText" text="R32">
      <formula>NOT(ISERROR(SEARCH(("R32"),(C60))))</formula>
    </cfRule>
  </conditionalFormatting>
  <conditionalFormatting sqref="C60:T60">
    <cfRule type="containsText" dxfId="26" priority="40" operator="containsText" text="R31">
      <formula>NOT(ISERROR(SEARCH(("R31"),(C60))))</formula>
    </cfRule>
  </conditionalFormatting>
  <conditionalFormatting sqref="C60:T60">
    <cfRule type="containsText" dxfId="29" priority="41" operator="containsText" text="R29">
      <formula>NOT(ISERROR(SEARCH(("R29"),(C60))))</formula>
    </cfRule>
  </conditionalFormatting>
  <conditionalFormatting sqref="C60:T60">
    <cfRule type="containsText" dxfId="30" priority="42" operator="containsText" text="R27">
      <formula>NOT(ISERROR(SEARCH(("R27"),(C60))))</formula>
    </cfRule>
  </conditionalFormatting>
  <conditionalFormatting sqref="C60:T60">
    <cfRule type="containsText" dxfId="3" priority="43" operator="containsText" text="R25">
      <formula>NOT(ISERROR(SEARCH(("R25"),(C60))))</formula>
    </cfRule>
  </conditionalFormatting>
  <conditionalFormatting sqref="C60:T60">
    <cfRule type="containsText" dxfId="31" priority="44" operator="containsText" text="R24">
      <formula>NOT(ISERROR(SEARCH(("R24"),(C60))))</formula>
    </cfRule>
  </conditionalFormatting>
  <conditionalFormatting sqref="C60:T60">
    <cfRule type="containsText" dxfId="4" priority="45" operator="containsText" text="R23">
      <formula>NOT(ISERROR(SEARCH(("R23"),(C60))))</formula>
    </cfRule>
  </conditionalFormatting>
  <conditionalFormatting sqref="C60:T60">
    <cfRule type="containsText" dxfId="8" priority="46" operator="containsText" text="R21">
      <formula>NOT(ISERROR(SEARCH(("R21"),(C60))))</formula>
    </cfRule>
  </conditionalFormatting>
  <conditionalFormatting sqref="C60:T60">
    <cfRule type="containsText" dxfId="9" priority="47" operator="containsText" text="R20">
      <formula>NOT(ISERROR(SEARCH(("R20"),(C60))))</formula>
    </cfRule>
  </conditionalFormatting>
  <conditionalFormatting sqref="C60:T60">
    <cfRule type="containsText" dxfId="10" priority="48" operator="containsText" text="R16">
      <formula>NOT(ISERROR(SEARCH(("R16"),(C60))))</formula>
    </cfRule>
  </conditionalFormatting>
  <conditionalFormatting sqref="C60:T60">
    <cfRule type="containsText" dxfId="11" priority="49" operator="containsText" text="R15">
      <formula>NOT(ISERROR(SEARCH(("R15"),(C60))))</formula>
    </cfRule>
  </conditionalFormatting>
  <conditionalFormatting sqref="C60:T60">
    <cfRule type="containsText" dxfId="12" priority="50" operator="containsText" text="R14">
      <formula>NOT(ISERROR(SEARCH(("R14"),(C60))))</formula>
    </cfRule>
  </conditionalFormatting>
  <conditionalFormatting sqref="C60:T60">
    <cfRule type="containsText" dxfId="1" priority="51" stopIfTrue="1" operator="containsText" text="R12">
      <formula>NOT(ISERROR(SEARCH(("R12"),(C60))))</formula>
    </cfRule>
  </conditionalFormatting>
  <conditionalFormatting sqref="C60:T60">
    <cfRule type="containsText" dxfId="13" priority="52" operator="containsText" text="R11">
      <formula>NOT(ISERROR(SEARCH(("R11"),(C60))))</formula>
    </cfRule>
  </conditionalFormatting>
  <conditionalFormatting sqref="C60:T60">
    <cfRule type="containsText" dxfId="14" priority="53" operator="containsText" text="R10">
      <formula>NOT(ISERROR(SEARCH(("R10"),(C60))))</formula>
    </cfRule>
  </conditionalFormatting>
  <conditionalFormatting sqref="C60:T60">
    <cfRule type="containsText" dxfId="15" priority="54" operator="containsText" text="R9">
      <formula>NOT(ISERROR(SEARCH(("R9"),(C60))))</formula>
    </cfRule>
  </conditionalFormatting>
  <conditionalFormatting sqref="C60:T60">
    <cfRule type="containsText" dxfId="16" priority="55" operator="containsText" text="R8">
      <formula>NOT(ISERROR(SEARCH(("R8"),(C60))))</formula>
    </cfRule>
  </conditionalFormatting>
  <conditionalFormatting sqref="C60:T60">
    <cfRule type="containsText" dxfId="17" priority="56" operator="containsText" text="R7">
      <formula>NOT(ISERROR(SEARCH(("R7"),(C60))))</formula>
    </cfRule>
  </conditionalFormatting>
  <conditionalFormatting sqref="C60:T60">
    <cfRule type="containsText" dxfId="18" priority="57" operator="containsText" text="R6">
      <formula>NOT(ISERROR(SEARCH(("R6"),(C60))))</formula>
    </cfRule>
  </conditionalFormatting>
  <conditionalFormatting sqref="C60:T60">
    <cfRule type="containsText" dxfId="19" priority="58" operator="containsText" text="R5">
      <formula>NOT(ISERROR(SEARCH(("R5"),(C60))))</formula>
    </cfRule>
  </conditionalFormatting>
  <conditionalFormatting sqref="C60:T60">
    <cfRule type="containsText" dxfId="20" priority="59" operator="containsText" text="R4">
      <formula>NOT(ISERROR(SEARCH(("R4"),(C60))))</formula>
    </cfRule>
  </conditionalFormatting>
  <conditionalFormatting sqref="C60:T60">
    <cfRule type="cellIs" dxfId="6" priority="60" stopIfTrue="1" operator="notEqual">
      <formula>0</formula>
    </cfRule>
  </conditionalFormatting>
  <conditionalFormatting sqref="C60:T60">
    <cfRule type="cellIs" dxfId="7" priority="61" stopIfTrue="1" operator="equal">
      <formula>0</formula>
    </cfRule>
  </conditionalFormatting>
  <conditionalFormatting sqref="C82:T82">
    <cfRule type="containsText" dxfId="21" priority="62" operator="containsText" text="R37">
      <formula>NOT(ISERROR(SEARCH(("R37"),(C82))))</formula>
    </cfRule>
  </conditionalFormatting>
  <conditionalFormatting sqref="C82:T82">
    <cfRule type="containsText" dxfId="1" priority="63" operator="containsText" text="R36">
      <formula>NOT(ISERROR(SEARCH(("R36"),(C82))))</formula>
    </cfRule>
  </conditionalFormatting>
  <conditionalFormatting sqref="C82:T82">
    <cfRule type="containsText" dxfId="23" priority="64" operator="containsText" text="R34">
      <formula>NOT(ISERROR(SEARCH(("R34"),(C82))))</formula>
    </cfRule>
  </conditionalFormatting>
  <conditionalFormatting sqref="C82:T82">
    <cfRule type="containsText" dxfId="24" priority="65" operator="containsText" text="R33">
      <formula>NOT(ISERROR(SEARCH(("R33"),(C82))))</formula>
    </cfRule>
  </conditionalFormatting>
  <conditionalFormatting sqref="C82:T82">
    <cfRule type="containsText" dxfId="27" priority="66" operator="containsText" text="R30">
      <formula>NOT(ISERROR(SEARCH(("R30"),(C82))))</formula>
    </cfRule>
  </conditionalFormatting>
  <conditionalFormatting sqref="C82:T82">
    <cfRule type="containsText" dxfId="25" priority="67" operator="containsText" text="R32">
      <formula>NOT(ISERROR(SEARCH(("R32"),(C82))))</formula>
    </cfRule>
  </conditionalFormatting>
  <conditionalFormatting sqref="C82:T82">
    <cfRule type="containsText" dxfId="26" priority="68" operator="containsText" text="R31">
      <formula>NOT(ISERROR(SEARCH(("R31"),(C82))))</formula>
    </cfRule>
  </conditionalFormatting>
  <conditionalFormatting sqref="C82:T82">
    <cfRule type="containsText" dxfId="29" priority="69" operator="containsText" text="R29">
      <formula>NOT(ISERROR(SEARCH(("R29"),(C82))))</formula>
    </cfRule>
  </conditionalFormatting>
  <conditionalFormatting sqref="C82:T82">
    <cfRule type="containsText" dxfId="30" priority="70" operator="containsText" text="R27">
      <formula>NOT(ISERROR(SEARCH(("R27"),(C82))))</formula>
    </cfRule>
  </conditionalFormatting>
  <conditionalFormatting sqref="C82:T82">
    <cfRule type="containsText" dxfId="3" priority="71" operator="containsText" text="R25">
      <formula>NOT(ISERROR(SEARCH(("R25"),(C82))))</formula>
    </cfRule>
  </conditionalFormatting>
  <conditionalFormatting sqref="C82:T82">
    <cfRule type="containsText" dxfId="31" priority="72" operator="containsText" text="R24">
      <formula>NOT(ISERROR(SEARCH(("R24"),(C82))))</formula>
    </cfRule>
  </conditionalFormatting>
  <conditionalFormatting sqref="C82:T82">
    <cfRule type="containsText" dxfId="4" priority="73" operator="containsText" text="R23">
      <formula>NOT(ISERROR(SEARCH(("R23"),(C82))))</formula>
    </cfRule>
  </conditionalFormatting>
  <conditionalFormatting sqref="C82:T82">
    <cfRule type="containsText" dxfId="8" priority="74" operator="containsText" text="R21">
      <formula>NOT(ISERROR(SEARCH(("R21"),(C82))))</formula>
    </cfRule>
  </conditionalFormatting>
  <conditionalFormatting sqref="C82:T82">
    <cfRule type="containsText" dxfId="9" priority="75" operator="containsText" text="R20">
      <formula>NOT(ISERROR(SEARCH(("R20"),(C82))))</formula>
    </cfRule>
  </conditionalFormatting>
  <conditionalFormatting sqref="C82:T82">
    <cfRule type="containsText" dxfId="10" priority="76" operator="containsText" text="R16">
      <formula>NOT(ISERROR(SEARCH(("R16"),(C82))))</formula>
    </cfRule>
  </conditionalFormatting>
  <conditionalFormatting sqref="C82:T82">
    <cfRule type="containsText" dxfId="11" priority="77" operator="containsText" text="R15">
      <formula>NOT(ISERROR(SEARCH(("R15"),(C82))))</formula>
    </cfRule>
  </conditionalFormatting>
  <conditionalFormatting sqref="C82:T82">
    <cfRule type="containsText" dxfId="12" priority="78" operator="containsText" text="R14">
      <formula>NOT(ISERROR(SEARCH(("R14"),(C82))))</formula>
    </cfRule>
  </conditionalFormatting>
  <conditionalFormatting sqref="C82:T82">
    <cfRule type="containsText" dxfId="1" priority="79" stopIfTrue="1" operator="containsText" text="R12">
      <formula>NOT(ISERROR(SEARCH(("R12"),(C82))))</formula>
    </cfRule>
  </conditionalFormatting>
  <conditionalFormatting sqref="C82:T82">
    <cfRule type="containsText" dxfId="13" priority="80" operator="containsText" text="R11">
      <formula>NOT(ISERROR(SEARCH(("R11"),(C82))))</formula>
    </cfRule>
  </conditionalFormatting>
  <conditionalFormatting sqref="C82:T82">
    <cfRule type="containsText" dxfId="14" priority="81" operator="containsText" text="R10">
      <formula>NOT(ISERROR(SEARCH(("R10"),(C82))))</formula>
    </cfRule>
  </conditionalFormatting>
  <conditionalFormatting sqref="C82:T82">
    <cfRule type="containsText" dxfId="15" priority="82" operator="containsText" text="R9">
      <formula>NOT(ISERROR(SEARCH(("R9"),(C82))))</formula>
    </cfRule>
  </conditionalFormatting>
  <conditionalFormatting sqref="C82:T82">
    <cfRule type="containsText" dxfId="16" priority="83" operator="containsText" text="R8">
      <formula>NOT(ISERROR(SEARCH(("R8"),(C82))))</formula>
    </cfRule>
  </conditionalFormatting>
  <conditionalFormatting sqref="C82:T82">
    <cfRule type="containsText" dxfId="17" priority="84" operator="containsText" text="R7">
      <formula>NOT(ISERROR(SEARCH(("R7"),(C82))))</formula>
    </cfRule>
  </conditionalFormatting>
  <conditionalFormatting sqref="C82:T82">
    <cfRule type="containsText" dxfId="18" priority="85" operator="containsText" text="R6">
      <formula>NOT(ISERROR(SEARCH(("R6"),(C82))))</formula>
    </cfRule>
  </conditionalFormatting>
  <conditionalFormatting sqref="C82:T82">
    <cfRule type="containsText" dxfId="19" priority="86" operator="containsText" text="R5">
      <formula>NOT(ISERROR(SEARCH(("R5"),(C82))))</formula>
    </cfRule>
  </conditionalFormatting>
  <conditionalFormatting sqref="C82:T82">
    <cfRule type="containsText" dxfId="20" priority="87" operator="containsText" text="R4">
      <formula>NOT(ISERROR(SEARCH(("R4"),(C82))))</formula>
    </cfRule>
  </conditionalFormatting>
  <conditionalFormatting sqref="D34 F34">
    <cfRule type="cellIs" dxfId="6" priority="88" stopIfTrue="1" operator="notEqual">
      <formula>0</formula>
    </cfRule>
  </conditionalFormatting>
  <conditionalFormatting sqref="D34 F34">
    <cfRule type="cellIs" dxfId="7" priority="89" stopIfTrue="1" operator="equal">
      <formula>0</formula>
    </cfRule>
  </conditionalFormatting>
  <conditionalFormatting sqref="G82">
    <cfRule type="cellIs" dxfId="6" priority="90" stopIfTrue="1" operator="notEqual">
      <formula>0</formula>
    </cfRule>
  </conditionalFormatting>
  <conditionalFormatting sqref="G82">
    <cfRule type="cellIs" dxfId="7" priority="91" stopIfTrue="1" operator="equal">
      <formula>0</formula>
    </cfRule>
  </conditionalFormatting>
  <conditionalFormatting sqref="I82 K82 M82">
    <cfRule type="cellIs" dxfId="6" priority="92" stopIfTrue="1" operator="notEqual">
      <formula>0</formula>
    </cfRule>
  </conditionalFormatting>
  <conditionalFormatting sqref="I82 K82 M82">
    <cfRule type="cellIs" dxfId="7" priority="93" stopIfTrue="1" operator="equal">
      <formula>0</formula>
    </cfRule>
  </conditionalFormatting>
  <conditionalFormatting sqref="I34:T34">
    <cfRule type="cellIs" dxfId="6" priority="94" stopIfTrue="1" operator="notEqual">
      <formula>0</formula>
    </cfRule>
  </conditionalFormatting>
  <conditionalFormatting sqref="I34:T34">
    <cfRule type="cellIs" dxfId="7" priority="95" stopIfTrue="1" operator="equal">
      <formula>0</formula>
    </cfRule>
  </conditionalFormatting>
  <conditionalFormatting sqref="N34:S34">
    <cfRule type="cellIs" dxfId="6" priority="96" stopIfTrue="1" operator="notEqual">
      <formula>0</formula>
    </cfRule>
  </conditionalFormatting>
  <conditionalFormatting sqref="N34:S34">
    <cfRule type="cellIs" dxfId="7" priority="97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8.25"/>
    <col customWidth="1" min="3" max="26" width="10.63"/>
    <col customWidth="1" min="27" max="28" width="15.13"/>
    <col customWidth="1" min="29" max="48" width="10.63"/>
  </cols>
  <sheetData>
    <row r="1" ht="34.5" customHeight="1">
      <c r="A1" s="260"/>
      <c r="B1" s="261" t="s">
        <v>0</v>
      </c>
      <c r="C1" s="463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8"/>
      <c r="AD1" s="8"/>
    </row>
    <row r="2" ht="34.5" customHeight="1">
      <c r="A2" s="9"/>
      <c r="B2" s="9"/>
      <c r="C2" s="10"/>
      <c r="AB2" s="11"/>
      <c r="AC2" s="8"/>
      <c r="AD2" s="8"/>
    </row>
    <row r="3" ht="35.25" customHeight="1">
      <c r="A3" s="12"/>
      <c r="B3" s="12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9"/>
      <c r="AC3" s="8"/>
      <c r="AD3" s="8"/>
    </row>
    <row r="4" ht="33.75" customHeight="1">
      <c r="A4" s="265" t="s">
        <v>2</v>
      </c>
      <c r="B4" s="266" t="s">
        <v>3</v>
      </c>
      <c r="C4" s="267" t="s">
        <v>4</v>
      </c>
      <c r="D4" s="19"/>
      <c r="E4" s="19"/>
      <c r="F4" s="20"/>
      <c r="G4" s="268">
        <v>46037.0</v>
      </c>
      <c r="H4" s="5"/>
      <c r="I4" s="179"/>
      <c r="J4" s="819" t="s">
        <v>407</v>
      </c>
      <c r="K4" s="820">
        <v>45814.0</v>
      </c>
      <c r="L4" s="24"/>
      <c r="M4" s="26"/>
      <c r="N4" s="849" t="s">
        <v>75</v>
      </c>
      <c r="O4" s="850">
        <v>45891.0</v>
      </c>
      <c r="P4" s="24"/>
      <c r="Q4" s="25"/>
      <c r="R4" s="492" t="s">
        <v>76</v>
      </c>
      <c r="S4" s="493">
        <v>45968.0</v>
      </c>
      <c r="T4" s="38"/>
      <c r="U4" s="39"/>
      <c r="V4" s="308" t="s">
        <v>77</v>
      </c>
      <c r="W4" s="309">
        <v>46038.0</v>
      </c>
      <c r="X4" s="38"/>
      <c r="Y4" s="39"/>
      <c r="Z4" s="717"/>
      <c r="AA4" s="551"/>
      <c r="AB4" s="25"/>
      <c r="AC4" s="474"/>
      <c r="AD4" s="474"/>
      <c r="AE4" s="475"/>
      <c r="AF4" s="475"/>
      <c r="AG4" s="404"/>
      <c r="AH4" s="404"/>
      <c r="AI4" s="404"/>
      <c r="AJ4" s="404"/>
      <c r="AK4" s="404"/>
      <c r="AL4" s="404"/>
      <c r="AM4" s="404"/>
      <c r="AN4" s="404"/>
      <c r="AO4" s="404"/>
      <c r="AP4" s="404"/>
      <c r="AQ4" s="404"/>
      <c r="AR4" s="404"/>
      <c r="AS4" s="404"/>
      <c r="AT4" s="404"/>
      <c r="AU4" s="404"/>
      <c r="AV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728" t="s">
        <v>408</v>
      </c>
      <c r="K5" s="729">
        <v>45821.0</v>
      </c>
      <c r="L5" s="38"/>
      <c r="M5" s="40"/>
      <c r="N5" s="498" t="s">
        <v>83</v>
      </c>
      <c r="O5" s="851">
        <v>45898.0</v>
      </c>
      <c r="P5" s="38"/>
      <c r="Q5" s="39"/>
      <c r="R5" s="496" t="s">
        <v>84</v>
      </c>
      <c r="S5" s="497">
        <v>45975.0</v>
      </c>
      <c r="T5" s="38"/>
      <c r="U5" s="39"/>
      <c r="V5" s="199" t="s">
        <v>85</v>
      </c>
      <c r="W5" s="200">
        <v>46045.0</v>
      </c>
      <c r="X5" s="38"/>
      <c r="Y5" s="39"/>
      <c r="Z5" s="561"/>
      <c r="AA5" s="511"/>
      <c r="AB5" s="39"/>
      <c r="AC5" s="483"/>
      <c r="AD5" s="483"/>
      <c r="AE5" s="475"/>
      <c r="AF5" s="475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730" t="s">
        <v>409</v>
      </c>
      <c r="K6" s="731">
        <v>45827.0</v>
      </c>
      <c r="L6" s="38"/>
      <c r="M6" s="40"/>
      <c r="N6" s="732" t="s">
        <v>91</v>
      </c>
      <c r="O6" s="733">
        <v>45905.0</v>
      </c>
      <c r="P6" s="38"/>
      <c r="Q6" s="39"/>
      <c r="R6" s="500" t="s">
        <v>92</v>
      </c>
      <c r="S6" s="501">
        <v>45982.0</v>
      </c>
      <c r="T6" s="38"/>
      <c r="U6" s="39"/>
      <c r="V6" s="323" t="s">
        <v>93</v>
      </c>
      <c r="W6" s="324">
        <v>46052.0</v>
      </c>
      <c r="X6" s="38"/>
      <c r="Y6" s="39"/>
      <c r="Z6" s="561"/>
      <c r="AA6" s="511"/>
      <c r="AB6" s="39"/>
      <c r="AC6" s="483"/>
      <c r="AD6" s="483"/>
      <c r="AE6" s="475"/>
      <c r="AF6" s="475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734" t="s">
        <v>16</v>
      </c>
      <c r="K7" s="735">
        <v>45835.0</v>
      </c>
      <c r="L7" s="38"/>
      <c r="M7" s="40"/>
      <c r="N7" s="502" t="s">
        <v>410</v>
      </c>
      <c r="O7" s="503">
        <v>45912.0</v>
      </c>
      <c r="P7" s="38"/>
      <c r="Q7" s="39"/>
      <c r="R7" s="504" t="s">
        <v>8</v>
      </c>
      <c r="S7" s="505">
        <v>45989.0</v>
      </c>
      <c r="T7" s="38"/>
      <c r="U7" s="39"/>
      <c r="V7" s="488"/>
      <c r="W7" s="481"/>
      <c r="X7" s="38"/>
      <c r="Y7" s="39"/>
      <c r="Z7" s="552"/>
      <c r="AA7" s="511"/>
      <c r="AB7" s="39"/>
      <c r="AC7" s="483"/>
      <c r="AD7" s="483"/>
      <c r="AE7" s="404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</row>
    <row r="8" ht="33.75" customHeight="1">
      <c r="A8" s="282" t="s">
        <v>44</v>
      </c>
      <c r="B8" s="283" t="s">
        <v>54</v>
      </c>
      <c r="C8" s="10"/>
      <c r="F8" s="11"/>
      <c r="G8" s="10"/>
      <c r="I8" s="180"/>
      <c r="J8" s="852" t="s">
        <v>411</v>
      </c>
      <c r="K8" s="853">
        <v>45842.0</v>
      </c>
      <c r="L8" s="38"/>
      <c r="M8" s="40"/>
      <c r="N8" s="566" t="s">
        <v>7</v>
      </c>
      <c r="O8" s="567">
        <v>45916.0</v>
      </c>
      <c r="P8" s="38"/>
      <c r="Q8" s="39"/>
      <c r="R8" s="508" t="s">
        <v>18</v>
      </c>
      <c r="S8" s="509">
        <v>45996.0</v>
      </c>
      <c r="T8" s="38"/>
      <c r="U8" s="39"/>
      <c r="V8" s="488"/>
      <c r="W8" s="481"/>
      <c r="X8" s="38"/>
      <c r="Y8" s="39"/>
      <c r="Z8" s="552"/>
      <c r="AA8" s="511"/>
      <c r="AB8" s="39"/>
      <c r="AC8" s="483"/>
      <c r="AD8" s="483"/>
      <c r="AE8" s="475"/>
      <c r="AF8" s="475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</row>
    <row r="9" ht="33.75" customHeight="1">
      <c r="A9" s="282" t="s">
        <v>62</v>
      </c>
      <c r="B9" s="283" t="s">
        <v>63</v>
      </c>
      <c r="C9" s="47"/>
      <c r="D9" s="48"/>
      <c r="E9" s="48"/>
      <c r="F9" s="49"/>
      <c r="G9" s="47"/>
      <c r="H9" s="48"/>
      <c r="I9" s="203"/>
      <c r="J9" s="626" t="s">
        <v>26</v>
      </c>
      <c r="K9" s="627">
        <v>45849.0</v>
      </c>
      <c r="L9" s="38"/>
      <c r="M9" s="40"/>
      <c r="N9" s="571" t="s">
        <v>27</v>
      </c>
      <c r="O9" s="572">
        <v>45933.0</v>
      </c>
      <c r="P9" s="38"/>
      <c r="Q9" s="39"/>
      <c r="R9" s="514" t="s">
        <v>28</v>
      </c>
      <c r="S9" s="515">
        <v>46003.0</v>
      </c>
      <c r="T9" s="56"/>
      <c r="U9" s="57"/>
      <c r="V9" s="488"/>
      <c r="W9" s="481"/>
      <c r="X9" s="38"/>
      <c r="Y9" s="39"/>
      <c r="Z9" s="552"/>
      <c r="AA9" s="511"/>
      <c r="AB9" s="39"/>
      <c r="AC9" s="483"/>
      <c r="AD9" s="483"/>
      <c r="AE9" s="475"/>
      <c r="AF9" s="475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</row>
    <row r="10" ht="33.75" customHeight="1">
      <c r="A10" s="282" t="s">
        <v>73</v>
      </c>
      <c r="B10" s="283" t="s">
        <v>74</v>
      </c>
      <c r="C10" s="316" t="s">
        <v>64</v>
      </c>
      <c r="D10" s="5"/>
      <c r="E10" s="5"/>
      <c r="F10" s="6"/>
      <c r="G10" s="316" t="s">
        <v>65</v>
      </c>
      <c r="H10" s="5"/>
      <c r="I10" s="6"/>
      <c r="J10" s="553" t="s">
        <v>36</v>
      </c>
      <c r="K10" s="554">
        <v>45855.0</v>
      </c>
      <c r="L10" s="38"/>
      <c r="M10" s="40"/>
      <c r="N10" s="629" t="s">
        <v>37</v>
      </c>
      <c r="O10" s="630">
        <v>45940.0</v>
      </c>
      <c r="P10" s="38"/>
      <c r="Q10" s="39"/>
      <c r="R10" s="469" t="s">
        <v>38</v>
      </c>
      <c r="S10" s="470">
        <v>46010.0</v>
      </c>
      <c r="T10" s="24"/>
      <c r="U10" s="26"/>
      <c r="V10" s="488"/>
      <c r="W10" s="481"/>
      <c r="X10" s="38"/>
      <c r="Y10" s="39"/>
      <c r="Z10" s="552"/>
      <c r="AA10" s="511"/>
      <c r="AB10" s="39"/>
      <c r="AC10" s="483"/>
      <c r="AD10" s="483"/>
      <c r="AE10" s="475"/>
      <c r="AF10" s="475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557" t="s">
        <v>46</v>
      </c>
      <c r="K11" s="558">
        <v>45863.0</v>
      </c>
      <c r="L11" s="38"/>
      <c r="M11" s="40"/>
      <c r="N11" s="854" t="s">
        <v>47</v>
      </c>
      <c r="O11" s="855">
        <v>45947.0</v>
      </c>
      <c r="P11" s="38"/>
      <c r="Q11" s="39"/>
      <c r="R11" s="275" t="s">
        <v>48</v>
      </c>
      <c r="S11" s="276">
        <v>46015.0</v>
      </c>
      <c r="T11" s="38"/>
      <c r="U11" s="40"/>
      <c r="V11" s="488"/>
      <c r="W11" s="481"/>
      <c r="X11" s="38"/>
      <c r="Y11" s="39"/>
      <c r="Z11" s="552"/>
      <c r="AA11" s="511"/>
      <c r="AB11" s="39"/>
      <c r="AC11" s="483"/>
      <c r="AD11" s="483"/>
      <c r="AE11" s="475"/>
      <c r="AF11" s="475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</row>
    <row r="12" ht="33.75" customHeight="1">
      <c r="A12" s="569" t="s">
        <v>90</v>
      </c>
      <c r="B12" s="570">
        <v>182948.0</v>
      </c>
      <c r="C12" s="10"/>
      <c r="F12" s="11"/>
      <c r="G12" s="10"/>
      <c r="I12" s="11"/>
      <c r="J12" s="484" t="s">
        <v>55</v>
      </c>
      <c r="K12" s="485">
        <v>45870.0</v>
      </c>
      <c r="L12" s="38"/>
      <c r="M12" s="40"/>
      <c r="N12" s="478" t="s">
        <v>56</v>
      </c>
      <c r="O12" s="479">
        <v>45954.0</v>
      </c>
      <c r="P12" s="38"/>
      <c r="Q12" s="39"/>
      <c r="R12" s="290" t="s">
        <v>57</v>
      </c>
      <c r="S12" s="291">
        <v>46022.0</v>
      </c>
      <c r="T12" s="38"/>
      <c r="U12" s="40"/>
      <c r="V12" s="488"/>
      <c r="W12" s="511"/>
      <c r="X12" s="38"/>
      <c r="Y12" s="39"/>
      <c r="Z12" s="552"/>
      <c r="AA12" s="511"/>
      <c r="AB12" s="39"/>
      <c r="AC12" s="483"/>
      <c r="AD12" s="483"/>
      <c r="AE12" s="475"/>
      <c r="AF12" s="475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</row>
    <row r="13" ht="33.75" customHeight="1">
      <c r="A13" s="573"/>
      <c r="B13" s="404"/>
      <c r="C13" s="47"/>
      <c r="D13" s="48"/>
      <c r="E13" s="48"/>
      <c r="F13" s="49"/>
      <c r="G13" s="47"/>
      <c r="H13" s="48"/>
      <c r="I13" s="49"/>
      <c r="J13" s="856" t="s">
        <v>66</v>
      </c>
      <c r="K13" s="857">
        <v>45883.0</v>
      </c>
      <c r="L13" s="56"/>
      <c r="M13" s="58"/>
      <c r="N13" s="858" t="s">
        <v>67</v>
      </c>
      <c r="O13" s="859">
        <v>45960.0</v>
      </c>
      <c r="P13" s="56"/>
      <c r="Q13" s="57"/>
      <c r="R13" s="300" t="s">
        <v>68</v>
      </c>
      <c r="S13" s="301">
        <v>46031.0</v>
      </c>
      <c r="T13" s="38"/>
      <c r="U13" s="40"/>
      <c r="V13" s="518"/>
      <c r="W13" s="519"/>
      <c r="X13" s="56"/>
      <c r="Y13" s="57"/>
      <c r="Z13" s="579"/>
      <c r="AA13" s="519"/>
      <c r="AB13" s="57"/>
      <c r="AC13" s="483"/>
      <c r="AD13" s="483"/>
      <c r="AE13" s="475"/>
      <c r="AF13" s="475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</row>
    <row r="14" ht="33.75" customHeight="1">
      <c r="A14" s="749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218"/>
      <c r="AC14" s="404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</row>
    <row r="15" ht="33.75" customHeight="1">
      <c r="A15" s="351" t="s">
        <v>98</v>
      </c>
      <c r="B15" s="352" t="s">
        <v>99</v>
      </c>
      <c r="C15" s="523" t="s">
        <v>100</v>
      </c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524"/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</row>
    <row r="16" ht="33.75" customHeight="1">
      <c r="A16" s="74"/>
      <c r="B16" s="9"/>
      <c r="C16" s="525" t="s">
        <v>101</v>
      </c>
      <c r="D16" s="526"/>
      <c r="E16" s="527"/>
      <c r="F16" s="527"/>
      <c r="G16" s="528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5" t="s">
        <v>102</v>
      </c>
      <c r="V16" s="64"/>
      <c r="W16" s="64"/>
      <c r="X16" s="64"/>
      <c r="Y16" s="64"/>
      <c r="Z16" s="65"/>
      <c r="AA16" s="366" t="s">
        <v>421</v>
      </c>
      <c r="AB16" s="65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</row>
    <row r="17" ht="33.75" customHeight="1">
      <c r="A17" s="83"/>
      <c r="B17" s="84"/>
      <c r="C17" s="368">
        <v>1.0</v>
      </c>
      <c r="D17" s="86"/>
      <c r="E17" s="369">
        <v>2.0</v>
      </c>
      <c r="F17" s="86"/>
      <c r="G17" s="369">
        <v>3.0</v>
      </c>
      <c r="H17" s="86"/>
      <c r="I17" s="369">
        <v>4.0</v>
      </c>
      <c r="J17" s="86"/>
      <c r="K17" s="369">
        <v>5.0</v>
      </c>
      <c r="L17" s="86"/>
      <c r="M17" s="369">
        <v>6.0</v>
      </c>
      <c r="N17" s="86"/>
      <c r="O17" s="369">
        <v>7.0</v>
      </c>
      <c r="P17" s="86"/>
      <c r="Q17" s="369">
        <v>8.0</v>
      </c>
      <c r="R17" s="86"/>
      <c r="S17" s="369">
        <v>9.0</v>
      </c>
      <c r="T17" s="86"/>
      <c r="U17" s="369">
        <v>10.0</v>
      </c>
      <c r="V17" s="86"/>
      <c r="W17" s="369">
        <v>11.0</v>
      </c>
      <c r="X17" s="86"/>
      <c r="Y17" s="369">
        <v>12.0</v>
      </c>
      <c r="Z17" s="86"/>
      <c r="AA17" s="370" t="s">
        <v>104</v>
      </c>
      <c r="AB17" s="371" t="s">
        <v>105</v>
      </c>
      <c r="AC17" s="404"/>
      <c r="AD17" s="404"/>
      <c r="AE17" s="404"/>
      <c r="AF17" s="404"/>
      <c r="AG17" s="404"/>
      <c r="AH17" s="404"/>
      <c r="AI17" s="404"/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</row>
    <row r="18" ht="39.75" customHeight="1">
      <c r="A18" s="372" t="s">
        <v>106</v>
      </c>
      <c r="B18" s="373" t="s">
        <v>107</v>
      </c>
      <c r="C18" s="374" t="s">
        <v>108</v>
      </c>
      <c r="D18" s="375" t="s">
        <v>109</v>
      </c>
      <c r="E18" s="376" t="s">
        <v>108</v>
      </c>
      <c r="F18" s="375" t="s">
        <v>109</v>
      </c>
      <c r="G18" s="376" t="s">
        <v>108</v>
      </c>
      <c r="H18" s="375" t="s">
        <v>109</v>
      </c>
      <c r="I18" s="376" t="s">
        <v>108</v>
      </c>
      <c r="J18" s="375" t="s">
        <v>109</v>
      </c>
      <c r="K18" s="376" t="s">
        <v>108</v>
      </c>
      <c r="L18" s="375" t="s">
        <v>109</v>
      </c>
      <c r="M18" s="376" t="s">
        <v>108</v>
      </c>
      <c r="N18" s="375" t="s">
        <v>109</v>
      </c>
      <c r="O18" s="376" t="s">
        <v>108</v>
      </c>
      <c r="P18" s="375" t="s">
        <v>109</v>
      </c>
      <c r="Q18" s="376" t="s">
        <v>108</v>
      </c>
      <c r="R18" s="375" t="s">
        <v>109</v>
      </c>
      <c r="S18" s="376" t="s">
        <v>108</v>
      </c>
      <c r="T18" s="375" t="s">
        <v>109</v>
      </c>
      <c r="U18" s="376" t="s">
        <v>108</v>
      </c>
      <c r="V18" s="375" t="s">
        <v>109</v>
      </c>
      <c r="W18" s="376" t="s">
        <v>108</v>
      </c>
      <c r="X18" s="375" t="s">
        <v>109</v>
      </c>
      <c r="Y18" s="376" t="s">
        <v>108</v>
      </c>
      <c r="Z18" s="375" t="s">
        <v>109</v>
      </c>
      <c r="AA18" s="375"/>
      <c r="AB18" s="377"/>
    </row>
    <row r="19" ht="39.75" customHeight="1">
      <c r="A19" s="378" t="s">
        <v>110</v>
      </c>
      <c r="B19" s="379" t="s">
        <v>111</v>
      </c>
      <c r="C19" s="380"/>
      <c r="D19" s="381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4"/>
      <c r="AC19" s="404"/>
      <c r="AD19" s="404"/>
      <c r="AE19" s="404"/>
      <c r="AF19" s="404"/>
      <c r="AG19" s="404"/>
      <c r="AH19" s="404"/>
      <c r="AI19" s="404"/>
    </row>
    <row r="20" ht="39.75" customHeight="1">
      <c r="A20" s="385" t="s">
        <v>112</v>
      </c>
      <c r="B20" s="386" t="s">
        <v>113</v>
      </c>
      <c r="C20" s="387" t="s">
        <v>408</v>
      </c>
      <c r="D20" s="388"/>
      <c r="E20" s="387" t="s">
        <v>408</v>
      </c>
      <c r="F20" s="389"/>
      <c r="G20" s="387" t="s">
        <v>408</v>
      </c>
      <c r="H20" s="389"/>
      <c r="I20" s="387" t="s">
        <v>408</v>
      </c>
      <c r="J20" s="389"/>
      <c r="K20" s="387" t="s">
        <v>407</v>
      </c>
      <c r="L20" s="389"/>
      <c r="M20" s="387" t="s">
        <v>407</v>
      </c>
      <c r="N20" s="389"/>
      <c r="O20" s="387" t="s">
        <v>407</v>
      </c>
      <c r="P20" s="389"/>
      <c r="Q20" s="387" t="s">
        <v>408</v>
      </c>
      <c r="R20" s="389"/>
      <c r="S20" s="387" t="s">
        <v>408</v>
      </c>
      <c r="T20" s="389"/>
      <c r="U20" s="387" t="s">
        <v>408</v>
      </c>
      <c r="V20" s="389"/>
      <c r="W20" s="387" t="s">
        <v>408</v>
      </c>
      <c r="X20" s="389"/>
      <c r="Y20" s="389" t="s">
        <v>408</v>
      </c>
      <c r="Z20" s="389"/>
      <c r="AA20" s="391">
        <f t="shared" ref="AA20:AA26" si="1">COUNTIF(C20:Z20,"&gt;=R")</f>
        <v>12</v>
      </c>
      <c r="AB20" s="392">
        <f t="shared" ref="AB20:AB26" si="2">AA20</f>
        <v>12</v>
      </c>
    </row>
    <row r="21" ht="39.75" customHeight="1">
      <c r="A21" s="385" t="s">
        <v>114</v>
      </c>
      <c r="B21" s="386" t="s">
        <v>115</v>
      </c>
      <c r="C21" s="843" t="s">
        <v>409</v>
      </c>
      <c r="D21" s="388"/>
      <c r="E21" s="403" t="s">
        <v>409</v>
      </c>
      <c r="F21" s="389"/>
      <c r="G21" s="393" t="s">
        <v>84</v>
      </c>
      <c r="H21" s="389"/>
      <c r="I21" s="393" t="s">
        <v>84</v>
      </c>
      <c r="J21" s="389"/>
      <c r="K21" s="387" t="s">
        <v>407</v>
      </c>
      <c r="L21" s="389"/>
      <c r="M21" s="387" t="s">
        <v>407</v>
      </c>
      <c r="N21" s="389"/>
      <c r="O21" s="387" t="s">
        <v>407</v>
      </c>
      <c r="P21" s="389"/>
      <c r="Q21" s="387" t="s">
        <v>76</v>
      </c>
      <c r="R21" s="389"/>
      <c r="S21" s="387" t="s">
        <v>408</v>
      </c>
      <c r="T21" s="389"/>
      <c r="U21" s="387" t="s">
        <v>408</v>
      </c>
      <c r="V21" s="389"/>
      <c r="W21" s="387" t="s">
        <v>408</v>
      </c>
      <c r="X21" s="389"/>
      <c r="Y21" s="389" t="s">
        <v>408</v>
      </c>
      <c r="Z21" s="389"/>
      <c r="AA21" s="391">
        <f t="shared" si="1"/>
        <v>12</v>
      </c>
      <c r="AB21" s="392">
        <f t="shared" si="2"/>
        <v>12</v>
      </c>
    </row>
    <row r="22" ht="39.75" customHeight="1">
      <c r="A22" s="385" t="s">
        <v>116</v>
      </c>
      <c r="B22" s="386" t="s">
        <v>117</v>
      </c>
      <c r="C22" s="843" t="s">
        <v>409</v>
      </c>
      <c r="D22" s="388"/>
      <c r="E22" s="403" t="s">
        <v>409</v>
      </c>
      <c r="F22" s="389"/>
      <c r="G22" s="390" t="s">
        <v>16</v>
      </c>
      <c r="H22" s="389"/>
      <c r="I22" s="390" t="s">
        <v>16</v>
      </c>
      <c r="J22" s="389"/>
      <c r="K22" s="387" t="s">
        <v>408</v>
      </c>
      <c r="L22" s="389"/>
      <c r="M22" s="387" t="s">
        <v>408</v>
      </c>
      <c r="N22" s="389"/>
      <c r="O22" s="387" t="s">
        <v>408</v>
      </c>
      <c r="P22" s="389"/>
      <c r="Q22" s="387" t="s">
        <v>76</v>
      </c>
      <c r="R22" s="389"/>
      <c r="S22" s="403" t="s">
        <v>409</v>
      </c>
      <c r="T22" s="389"/>
      <c r="U22" s="403" t="s">
        <v>409</v>
      </c>
      <c r="V22" s="389"/>
      <c r="W22" s="403" t="s">
        <v>409</v>
      </c>
      <c r="X22" s="389"/>
      <c r="Y22" s="403" t="s">
        <v>409</v>
      </c>
      <c r="Z22" s="389"/>
      <c r="AA22" s="391">
        <f t="shared" si="1"/>
        <v>12</v>
      </c>
      <c r="AB22" s="392">
        <f t="shared" si="2"/>
        <v>12</v>
      </c>
    </row>
    <row r="23" ht="39.75" customHeight="1">
      <c r="A23" s="385" t="s">
        <v>118</v>
      </c>
      <c r="B23" s="386" t="s">
        <v>119</v>
      </c>
      <c r="C23" s="843" t="s">
        <v>409</v>
      </c>
      <c r="D23" s="388"/>
      <c r="E23" s="403" t="s">
        <v>409</v>
      </c>
      <c r="F23" s="389"/>
      <c r="G23" s="390" t="s">
        <v>16</v>
      </c>
      <c r="H23" s="389"/>
      <c r="I23" s="390" t="s">
        <v>16</v>
      </c>
      <c r="J23" s="389"/>
      <c r="K23" s="387" t="s">
        <v>408</v>
      </c>
      <c r="L23" s="389"/>
      <c r="M23" s="387" t="s">
        <v>408</v>
      </c>
      <c r="N23" s="389"/>
      <c r="O23" s="387" t="s">
        <v>408</v>
      </c>
      <c r="P23" s="389"/>
      <c r="Q23" s="393" t="s">
        <v>84</v>
      </c>
      <c r="R23" s="389"/>
      <c r="S23" s="403" t="s">
        <v>409</v>
      </c>
      <c r="T23" s="389"/>
      <c r="U23" s="403" t="s">
        <v>409</v>
      </c>
      <c r="V23" s="389"/>
      <c r="W23" s="403" t="s">
        <v>409</v>
      </c>
      <c r="X23" s="389"/>
      <c r="Y23" s="403" t="s">
        <v>409</v>
      </c>
      <c r="Z23" s="389"/>
      <c r="AA23" s="391">
        <f t="shared" si="1"/>
        <v>12</v>
      </c>
      <c r="AB23" s="392">
        <f t="shared" si="2"/>
        <v>12</v>
      </c>
    </row>
    <row r="24" ht="39.75" customHeight="1">
      <c r="A24" s="385" t="s">
        <v>120</v>
      </c>
      <c r="B24" s="386" t="s">
        <v>121</v>
      </c>
      <c r="C24" s="388" t="s">
        <v>411</v>
      </c>
      <c r="D24" s="388"/>
      <c r="E24" s="389" t="s">
        <v>411</v>
      </c>
      <c r="F24" s="389"/>
      <c r="G24" s="389" t="s">
        <v>26</v>
      </c>
      <c r="H24" s="389"/>
      <c r="I24" s="389" t="s">
        <v>26</v>
      </c>
      <c r="J24" s="389"/>
      <c r="K24" s="790" t="s">
        <v>408</v>
      </c>
      <c r="L24" s="389"/>
      <c r="M24" s="790" t="s">
        <v>408</v>
      </c>
      <c r="N24" s="389"/>
      <c r="O24" s="390" t="s">
        <v>16</v>
      </c>
      <c r="P24" s="389"/>
      <c r="Q24" s="389" t="s">
        <v>91</v>
      </c>
      <c r="R24" s="389"/>
      <c r="S24" s="389" t="s">
        <v>26</v>
      </c>
      <c r="T24" s="389"/>
      <c r="U24" s="389" t="s">
        <v>411</v>
      </c>
      <c r="V24" s="394"/>
      <c r="W24" s="389" t="s">
        <v>46</v>
      </c>
      <c r="X24" s="389"/>
      <c r="Y24" s="389" t="s">
        <v>46</v>
      </c>
      <c r="Z24" s="394"/>
      <c r="AA24" s="391">
        <f t="shared" si="1"/>
        <v>12</v>
      </c>
      <c r="AB24" s="392">
        <f t="shared" si="2"/>
        <v>12</v>
      </c>
    </row>
    <row r="25" ht="39.75" customHeight="1">
      <c r="A25" s="385" t="s">
        <v>122</v>
      </c>
      <c r="B25" s="386" t="s">
        <v>123</v>
      </c>
      <c r="C25" s="388" t="s">
        <v>411</v>
      </c>
      <c r="D25" s="388"/>
      <c r="E25" s="389" t="s">
        <v>411</v>
      </c>
      <c r="F25" s="389"/>
      <c r="G25" s="389" t="s">
        <v>26</v>
      </c>
      <c r="H25" s="389"/>
      <c r="I25" s="389" t="s">
        <v>26</v>
      </c>
      <c r="J25" s="389"/>
      <c r="K25" s="790" t="s">
        <v>408</v>
      </c>
      <c r="L25" s="389"/>
      <c r="M25" s="790" t="s">
        <v>408</v>
      </c>
      <c r="N25" s="389"/>
      <c r="O25" s="390" t="s">
        <v>16</v>
      </c>
      <c r="P25" s="389"/>
      <c r="Q25" s="387" t="s">
        <v>91</v>
      </c>
      <c r="R25" s="389"/>
      <c r="S25" s="389" t="s">
        <v>26</v>
      </c>
      <c r="T25" s="389"/>
      <c r="U25" s="389" t="s">
        <v>411</v>
      </c>
      <c r="V25" s="394"/>
      <c r="W25" s="390" t="s">
        <v>16</v>
      </c>
      <c r="X25" s="389"/>
      <c r="Y25" s="390" t="s">
        <v>16</v>
      </c>
      <c r="Z25" s="389"/>
      <c r="AA25" s="391">
        <f t="shared" si="1"/>
        <v>12</v>
      </c>
      <c r="AB25" s="392">
        <f t="shared" si="2"/>
        <v>12</v>
      </c>
    </row>
    <row r="26" ht="39.75" customHeight="1">
      <c r="A26" s="385" t="s">
        <v>124</v>
      </c>
      <c r="B26" s="386" t="s">
        <v>125</v>
      </c>
      <c r="C26" s="388" t="s">
        <v>411</v>
      </c>
      <c r="D26" s="388"/>
      <c r="E26" s="389" t="s">
        <v>411</v>
      </c>
      <c r="F26" s="389"/>
      <c r="G26" s="389" t="s">
        <v>26</v>
      </c>
      <c r="H26" s="389"/>
      <c r="I26" s="389" t="s">
        <v>26</v>
      </c>
      <c r="J26" s="389"/>
      <c r="K26" s="790" t="s">
        <v>408</v>
      </c>
      <c r="L26" s="389"/>
      <c r="M26" s="790" t="s">
        <v>408</v>
      </c>
      <c r="N26" s="389"/>
      <c r="O26" s="390" t="s">
        <v>16</v>
      </c>
      <c r="P26" s="389"/>
      <c r="Q26" s="389" t="s">
        <v>91</v>
      </c>
      <c r="R26" s="389"/>
      <c r="S26" s="389" t="s">
        <v>26</v>
      </c>
      <c r="T26" s="389"/>
      <c r="U26" s="389" t="s">
        <v>411</v>
      </c>
      <c r="V26" s="394"/>
      <c r="W26" s="390" t="s">
        <v>16</v>
      </c>
      <c r="X26" s="389"/>
      <c r="Y26" s="390" t="s">
        <v>16</v>
      </c>
      <c r="Z26" s="389"/>
      <c r="AA26" s="391">
        <f t="shared" si="1"/>
        <v>12</v>
      </c>
      <c r="AB26" s="392">
        <f t="shared" si="2"/>
        <v>12</v>
      </c>
    </row>
    <row r="27" ht="39.75" customHeight="1">
      <c r="A27" s="395" t="s">
        <v>126</v>
      </c>
      <c r="B27" s="396" t="s">
        <v>127</v>
      </c>
      <c r="C27" s="397"/>
      <c r="D27" s="398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401"/>
      <c r="AC27" s="404"/>
      <c r="AD27" s="404"/>
      <c r="AE27" s="404"/>
      <c r="AF27" s="404"/>
      <c r="AG27" s="404"/>
      <c r="AH27" s="404"/>
      <c r="AI27" s="404"/>
    </row>
    <row r="28" ht="39.75" customHeight="1">
      <c r="A28" s="385" t="s">
        <v>128</v>
      </c>
      <c r="B28" s="386" t="s">
        <v>129</v>
      </c>
      <c r="C28" s="388" t="s">
        <v>411</v>
      </c>
      <c r="D28" s="388"/>
      <c r="E28" s="389" t="s">
        <v>411</v>
      </c>
      <c r="F28" s="389"/>
      <c r="G28" s="389" t="s">
        <v>26</v>
      </c>
      <c r="H28" s="389"/>
      <c r="I28" s="389" t="s">
        <v>26</v>
      </c>
      <c r="J28" s="389"/>
      <c r="K28" s="790" t="s">
        <v>408</v>
      </c>
      <c r="L28" s="389"/>
      <c r="M28" s="790" t="s">
        <v>408</v>
      </c>
      <c r="N28" s="389"/>
      <c r="O28" s="387" t="s">
        <v>411</v>
      </c>
      <c r="P28" s="389"/>
      <c r="Q28" s="389" t="s">
        <v>91</v>
      </c>
      <c r="R28" s="389"/>
      <c r="S28" s="389" t="s">
        <v>26</v>
      </c>
      <c r="T28" s="389"/>
      <c r="U28" s="389" t="s">
        <v>411</v>
      </c>
      <c r="V28" s="394"/>
      <c r="W28" s="387" t="s">
        <v>411</v>
      </c>
      <c r="X28" s="389"/>
      <c r="Y28" s="387" t="s">
        <v>411</v>
      </c>
      <c r="Z28" s="389"/>
      <c r="AA28" s="391">
        <f t="shared" ref="AA28:AA29" si="3">COUNTIF(C28:Z28,"&gt;=R")</f>
        <v>12</v>
      </c>
      <c r="AB28" s="392">
        <f t="shared" ref="AB28:AB29" si="4">AA28</f>
        <v>12</v>
      </c>
    </row>
    <row r="29" ht="39.75" customHeight="1">
      <c r="A29" s="385" t="s">
        <v>130</v>
      </c>
      <c r="B29" s="386" t="s">
        <v>131</v>
      </c>
      <c r="C29" s="388" t="s">
        <v>411</v>
      </c>
      <c r="D29" s="388"/>
      <c r="E29" s="389" t="s">
        <v>411</v>
      </c>
      <c r="F29" s="389"/>
      <c r="G29" s="389" t="s">
        <v>26</v>
      </c>
      <c r="H29" s="389"/>
      <c r="I29" s="389" t="s">
        <v>26</v>
      </c>
      <c r="J29" s="389"/>
      <c r="K29" s="790" t="s">
        <v>408</v>
      </c>
      <c r="L29" s="389"/>
      <c r="M29" s="790" t="s">
        <v>408</v>
      </c>
      <c r="N29" s="389"/>
      <c r="O29" s="387" t="s">
        <v>411</v>
      </c>
      <c r="P29" s="389"/>
      <c r="Q29" s="387" t="s">
        <v>91</v>
      </c>
      <c r="R29" s="389"/>
      <c r="S29" s="389" t="s">
        <v>26</v>
      </c>
      <c r="T29" s="389"/>
      <c r="U29" s="389" t="s">
        <v>411</v>
      </c>
      <c r="V29" s="394"/>
      <c r="W29" s="387" t="s">
        <v>411</v>
      </c>
      <c r="X29" s="389"/>
      <c r="Y29" s="387" t="s">
        <v>411</v>
      </c>
      <c r="Z29" s="389"/>
      <c r="AA29" s="391">
        <f t="shared" si="3"/>
        <v>12</v>
      </c>
      <c r="AB29" s="392">
        <f t="shared" si="4"/>
        <v>12</v>
      </c>
      <c r="AC29" s="404"/>
      <c r="AD29" s="404"/>
      <c r="AE29" s="404"/>
      <c r="AF29" s="404"/>
      <c r="AG29" s="404"/>
      <c r="AH29" s="404"/>
      <c r="AI29" s="404"/>
    </row>
    <row r="30" ht="39.75" customHeight="1">
      <c r="A30" s="395" t="s">
        <v>132</v>
      </c>
      <c r="B30" s="396" t="s">
        <v>133</v>
      </c>
      <c r="C30" s="397"/>
      <c r="D30" s="398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401"/>
      <c r="AC30" s="404"/>
      <c r="AD30" s="404"/>
      <c r="AE30" s="404"/>
      <c r="AF30" s="404"/>
      <c r="AG30" s="404"/>
      <c r="AH30" s="404"/>
      <c r="AI30" s="404"/>
    </row>
    <row r="31" ht="39.75" customHeight="1">
      <c r="A31" s="402" t="s">
        <v>134</v>
      </c>
      <c r="B31" s="386" t="s">
        <v>135</v>
      </c>
      <c r="C31" s="387" t="s">
        <v>76</v>
      </c>
      <c r="D31" s="388"/>
      <c r="E31" s="387" t="s">
        <v>83</v>
      </c>
      <c r="F31" s="389"/>
      <c r="G31" s="387" t="s">
        <v>83</v>
      </c>
      <c r="H31" s="389"/>
      <c r="I31" s="389" t="s">
        <v>83</v>
      </c>
      <c r="J31" s="389"/>
      <c r="K31" s="389" t="s">
        <v>46</v>
      </c>
      <c r="L31" s="389"/>
      <c r="M31" s="389" t="s">
        <v>46</v>
      </c>
      <c r="N31" s="389"/>
      <c r="O31" s="389" t="s">
        <v>46</v>
      </c>
      <c r="P31" s="389"/>
      <c r="Q31" s="418" t="s">
        <v>84</v>
      </c>
      <c r="R31" s="389"/>
      <c r="S31" s="389" t="s">
        <v>83</v>
      </c>
      <c r="T31" s="389"/>
      <c r="U31" s="389" t="s">
        <v>83</v>
      </c>
      <c r="V31" s="389"/>
      <c r="W31" s="389" t="s">
        <v>83</v>
      </c>
      <c r="X31" s="389"/>
      <c r="Y31" s="389" t="s">
        <v>83</v>
      </c>
      <c r="Z31" s="389"/>
      <c r="AA31" s="391">
        <f>COUNTIF(C31:Z31,"&gt;=R")</f>
        <v>12</v>
      </c>
      <c r="AB31" s="392">
        <f>AA31</f>
        <v>12</v>
      </c>
      <c r="AC31" s="404"/>
      <c r="AD31" s="404"/>
      <c r="AE31" s="404"/>
      <c r="AF31" s="404"/>
      <c r="AG31" s="404"/>
      <c r="AH31" s="404"/>
      <c r="AI31" s="404"/>
    </row>
    <row r="32" ht="39.75" customHeight="1">
      <c r="A32" s="395" t="s">
        <v>136</v>
      </c>
      <c r="B32" s="396" t="s">
        <v>137</v>
      </c>
      <c r="C32" s="397"/>
      <c r="D32" s="398"/>
      <c r="E32" s="398"/>
      <c r="F32" s="398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99"/>
      <c r="AA32" s="399"/>
      <c r="AB32" s="401"/>
      <c r="AC32" s="404"/>
      <c r="AD32" s="404"/>
      <c r="AE32" s="404"/>
      <c r="AF32" s="404"/>
      <c r="AG32" s="404"/>
      <c r="AH32" s="404"/>
      <c r="AI32" s="404"/>
    </row>
    <row r="33" ht="39.75" customHeight="1">
      <c r="A33" s="385" t="s">
        <v>138</v>
      </c>
      <c r="B33" s="386" t="s">
        <v>139</v>
      </c>
      <c r="C33" s="387"/>
      <c r="D33" s="388"/>
      <c r="E33" s="387" t="s">
        <v>83</v>
      </c>
      <c r="F33" s="389"/>
      <c r="G33" s="387" t="s">
        <v>83</v>
      </c>
      <c r="H33" s="389"/>
      <c r="I33" s="389" t="s">
        <v>83</v>
      </c>
      <c r="J33" s="389"/>
      <c r="K33" s="389" t="s">
        <v>46</v>
      </c>
      <c r="L33" s="389"/>
      <c r="M33" s="389" t="s">
        <v>46</v>
      </c>
      <c r="N33" s="389"/>
      <c r="O33" s="389" t="s">
        <v>46</v>
      </c>
      <c r="P33" s="389"/>
      <c r="Q33" s="389"/>
      <c r="R33" s="389"/>
      <c r="S33" s="389" t="s">
        <v>83</v>
      </c>
      <c r="T33" s="389"/>
      <c r="U33" s="389" t="s">
        <v>83</v>
      </c>
      <c r="V33" s="389"/>
      <c r="W33" s="389" t="s">
        <v>83</v>
      </c>
      <c r="X33" s="394"/>
      <c r="Y33" s="389" t="s">
        <v>83</v>
      </c>
      <c r="Z33" s="394"/>
      <c r="AA33" s="391">
        <f t="shared" ref="AA33:AA34" si="5">COUNTIF(C33:Z33,"&gt;=R")</f>
        <v>10</v>
      </c>
      <c r="AB33" s="392">
        <f t="shared" ref="AB33:AB34" si="6">AA33</f>
        <v>10</v>
      </c>
    </row>
    <row r="34" ht="39.75" customHeight="1">
      <c r="A34" s="404" t="s">
        <v>140</v>
      </c>
      <c r="B34" s="794" t="s">
        <v>141</v>
      </c>
      <c r="C34" s="387"/>
      <c r="D34" s="388"/>
      <c r="E34" s="387" t="s">
        <v>83</v>
      </c>
      <c r="F34" s="389"/>
      <c r="G34" s="387" t="s">
        <v>83</v>
      </c>
      <c r="H34" s="389"/>
      <c r="I34" s="389" t="s">
        <v>83</v>
      </c>
      <c r="J34" s="389"/>
      <c r="K34" s="389" t="s">
        <v>46</v>
      </c>
      <c r="L34" s="389"/>
      <c r="M34" s="389" t="s">
        <v>46</v>
      </c>
      <c r="N34" s="389"/>
      <c r="O34" s="389" t="s">
        <v>46</v>
      </c>
      <c r="P34" s="389"/>
      <c r="Q34" s="389"/>
      <c r="R34" s="389"/>
      <c r="S34" s="389" t="s">
        <v>83</v>
      </c>
      <c r="T34" s="389"/>
      <c r="U34" s="389" t="s">
        <v>83</v>
      </c>
      <c r="V34" s="389"/>
      <c r="W34" s="389" t="s">
        <v>83</v>
      </c>
      <c r="X34" s="389"/>
      <c r="Y34" s="389" t="s">
        <v>83</v>
      </c>
      <c r="Z34" s="389"/>
      <c r="AA34" s="391">
        <f t="shared" si="5"/>
        <v>10</v>
      </c>
      <c r="AB34" s="392">
        <f t="shared" si="6"/>
        <v>10</v>
      </c>
    </row>
    <row r="35" ht="39.75" customHeight="1">
      <c r="A35" s="395" t="s">
        <v>142</v>
      </c>
      <c r="B35" s="396" t="s">
        <v>143</v>
      </c>
      <c r="C35" s="397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9"/>
      <c r="AA35" s="399"/>
      <c r="AB35" s="401"/>
    </row>
    <row r="36" ht="39.75" customHeight="1">
      <c r="A36" s="402" t="s">
        <v>144</v>
      </c>
      <c r="B36" s="386" t="s">
        <v>145</v>
      </c>
      <c r="C36" s="388"/>
      <c r="D36" s="388"/>
      <c r="E36" s="387" t="s">
        <v>83</v>
      </c>
      <c r="F36" s="389"/>
      <c r="G36" s="387" t="s">
        <v>83</v>
      </c>
      <c r="H36" s="389"/>
      <c r="I36" s="389" t="s">
        <v>83</v>
      </c>
      <c r="J36" s="389"/>
      <c r="K36" s="389" t="s">
        <v>46</v>
      </c>
      <c r="L36" s="389"/>
      <c r="M36" s="389" t="s">
        <v>46</v>
      </c>
      <c r="N36" s="389"/>
      <c r="O36" s="389" t="s">
        <v>46</v>
      </c>
      <c r="P36" s="389"/>
      <c r="Q36" s="389"/>
      <c r="R36" s="389"/>
      <c r="S36" s="389" t="s">
        <v>83</v>
      </c>
      <c r="T36" s="389"/>
      <c r="U36" s="389" t="s">
        <v>83</v>
      </c>
      <c r="V36" s="389"/>
      <c r="W36" s="389" t="s">
        <v>83</v>
      </c>
      <c r="X36" s="389"/>
      <c r="Y36" s="389" t="s">
        <v>83</v>
      </c>
      <c r="Z36" s="389"/>
      <c r="AA36" s="391">
        <f>COUNTIF(C36:Z36,"&gt;=R")</f>
        <v>10</v>
      </c>
      <c r="AB36" s="392">
        <f>AA36</f>
        <v>10</v>
      </c>
    </row>
    <row r="37" ht="39.75" customHeight="1">
      <c r="A37" s="395" t="s">
        <v>146</v>
      </c>
      <c r="B37" s="396" t="s">
        <v>147</v>
      </c>
      <c r="C37" s="397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9"/>
      <c r="AA37" s="399"/>
      <c r="AB37" s="401"/>
    </row>
    <row r="38" ht="39.75" customHeight="1">
      <c r="A38" s="385" t="s">
        <v>148</v>
      </c>
      <c r="B38" s="386" t="s">
        <v>139</v>
      </c>
      <c r="C38" s="388" t="s">
        <v>18</v>
      </c>
      <c r="D38" s="388"/>
      <c r="E38" s="387" t="s">
        <v>83</v>
      </c>
      <c r="F38" s="389"/>
      <c r="G38" s="387" t="s">
        <v>83</v>
      </c>
      <c r="H38" s="389"/>
      <c r="I38" s="389" t="s">
        <v>83</v>
      </c>
      <c r="J38" s="389"/>
      <c r="K38" s="389" t="s">
        <v>46</v>
      </c>
      <c r="L38" s="389"/>
      <c r="M38" s="389" t="s">
        <v>46</v>
      </c>
      <c r="N38" s="389"/>
      <c r="O38" s="389" t="s">
        <v>46</v>
      </c>
      <c r="P38" s="389"/>
      <c r="Q38" s="389" t="s">
        <v>18</v>
      </c>
      <c r="R38" s="389"/>
      <c r="S38" s="389" t="s">
        <v>83</v>
      </c>
      <c r="T38" s="389"/>
      <c r="U38" s="389" t="s">
        <v>83</v>
      </c>
      <c r="V38" s="389"/>
      <c r="W38" s="389" t="s">
        <v>83</v>
      </c>
      <c r="X38" s="389"/>
      <c r="Y38" s="389" t="s">
        <v>83</v>
      </c>
      <c r="Z38" s="389"/>
      <c r="AA38" s="391">
        <f t="shared" ref="AA38:AA39" si="7">COUNTIF(C38:Z38,"&gt;=R")</f>
        <v>12</v>
      </c>
      <c r="AB38" s="392">
        <f t="shared" ref="AB38:AB39" si="8">AA38</f>
        <v>12</v>
      </c>
    </row>
    <row r="39" ht="39.75" customHeight="1">
      <c r="A39" s="385" t="s">
        <v>149</v>
      </c>
      <c r="B39" s="386" t="s">
        <v>150</v>
      </c>
      <c r="C39" s="388" t="s">
        <v>38</v>
      </c>
      <c r="D39" s="388"/>
      <c r="E39" s="387" t="s">
        <v>83</v>
      </c>
      <c r="F39" s="389"/>
      <c r="G39" s="387" t="s">
        <v>83</v>
      </c>
      <c r="H39" s="389"/>
      <c r="I39" s="389" t="s">
        <v>83</v>
      </c>
      <c r="J39" s="389"/>
      <c r="K39" s="394" t="s">
        <v>36</v>
      </c>
      <c r="L39" s="389"/>
      <c r="M39" s="394" t="s">
        <v>36</v>
      </c>
      <c r="N39" s="389"/>
      <c r="O39" s="394" t="s">
        <v>36</v>
      </c>
      <c r="P39" s="389"/>
      <c r="Q39" s="389" t="s">
        <v>68</v>
      </c>
      <c r="R39" s="389"/>
      <c r="S39" s="389" t="s">
        <v>83</v>
      </c>
      <c r="T39" s="389"/>
      <c r="U39" s="389" t="s">
        <v>83</v>
      </c>
      <c r="V39" s="389"/>
      <c r="W39" s="394" t="s">
        <v>55</v>
      </c>
      <c r="X39" s="389"/>
      <c r="Y39" s="394" t="s">
        <v>55</v>
      </c>
      <c r="Z39" s="389"/>
      <c r="AA39" s="391">
        <f t="shared" si="7"/>
        <v>12</v>
      </c>
      <c r="AB39" s="392">
        <f t="shared" si="8"/>
        <v>12</v>
      </c>
      <c r="AC39" s="404"/>
      <c r="AD39" s="404"/>
      <c r="AE39" s="404"/>
      <c r="AF39" s="404"/>
      <c r="AG39" s="404"/>
      <c r="AH39" s="404"/>
      <c r="AI39" s="404"/>
    </row>
    <row r="40" ht="39.75" customHeight="1">
      <c r="A40" s="407" t="s">
        <v>151</v>
      </c>
      <c r="B40" s="408" t="s">
        <v>152</v>
      </c>
      <c r="C40" s="387"/>
      <c r="D40" s="388"/>
      <c r="E40" s="389"/>
      <c r="F40" s="389"/>
      <c r="G40" s="389"/>
      <c r="H40" s="389"/>
      <c r="I40" s="389"/>
      <c r="J40" s="389"/>
      <c r="K40" s="389"/>
      <c r="L40" s="389"/>
      <c r="M40" s="394"/>
      <c r="N40" s="389"/>
      <c r="O40" s="389"/>
      <c r="P40" s="389"/>
      <c r="Q40" s="389"/>
      <c r="R40" s="389"/>
      <c r="S40" s="389"/>
      <c r="T40" s="389"/>
      <c r="U40" s="394"/>
      <c r="V40" s="389"/>
      <c r="W40" s="389"/>
      <c r="X40" s="389"/>
      <c r="Y40" s="394"/>
      <c r="Z40" s="389"/>
      <c r="AA40" s="391"/>
      <c r="AB40" s="392"/>
    </row>
    <row r="41" ht="39.75" customHeight="1">
      <c r="A41" s="385" t="s">
        <v>153</v>
      </c>
      <c r="B41" s="386" t="s">
        <v>154</v>
      </c>
      <c r="C41" s="387"/>
      <c r="D41" s="388"/>
      <c r="E41" s="387"/>
      <c r="F41" s="389"/>
      <c r="G41" s="387"/>
      <c r="H41" s="389"/>
      <c r="I41" s="387"/>
      <c r="J41" s="389"/>
      <c r="K41" s="387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91">
        <f t="shared" ref="AA41:AA46" si="9">COUNTIF(C41:Z41,"&gt;=R")</f>
        <v>0</v>
      </c>
      <c r="AB41" s="392">
        <f t="shared" ref="AB41:AB46" si="10">AA41</f>
        <v>0</v>
      </c>
    </row>
    <row r="42" ht="39.75" customHeight="1">
      <c r="A42" s="385" t="s">
        <v>155</v>
      </c>
      <c r="B42" s="386" t="s">
        <v>156</v>
      </c>
      <c r="C42" s="387"/>
      <c r="D42" s="388"/>
      <c r="E42" s="394"/>
      <c r="F42" s="389"/>
      <c r="G42" s="394"/>
      <c r="H42" s="389"/>
      <c r="I42" s="394"/>
      <c r="J42" s="389"/>
      <c r="K42" s="394"/>
      <c r="L42" s="389"/>
      <c r="M42" s="394"/>
      <c r="N42" s="389"/>
      <c r="O42" s="394"/>
      <c r="P42" s="389"/>
      <c r="Q42" s="394"/>
      <c r="R42" s="389"/>
      <c r="S42" s="394"/>
      <c r="T42" s="389"/>
      <c r="U42" s="394"/>
      <c r="V42" s="389"/>
      <c r="W42" s="394"/>
      <c r="X42" s="389"/>
      <c r="Y42" s="394"/>
      <c r="Z42" s="389"/>
      <c r="AA42" s="391">
        <f t="shared" si="9"/>
        <v>0</v>
      </c>
      <c r="AB42" s="392">
        <f t="shared" si="10"/>
        <v>0</v>
      </c>
      <c r="AC42" s="404"/>
      <c r="AD42" s="404"/>
      <c r="AE42" s="404"/>
      <c r="AF42" s="404"/>
      <c r="AG42" s="404"/>
      <c r="AH42" s="404"/>
      <c r="AI42" s="404"/>
    </row>
    <row r="43" ht="39.75" customHeight="1">
      <c r="A43" s="385" t="s">
        <v>157</v>
      </c>
      <c r="B43" s="386" t="s">
        <v>158</v>
      </c>
      <c r="C43" s="388"/>
      <c r="D43" s="388"/>
      <c r="E43" s="389"/>
      <c r="F43" s="389"/>
      <c r="G43" s="389"/>
      <c r="H43" s="389"/>
      <c r="I43" s="394"/>
      <c r="J43" s="389"/>
      <c r="K43" s="394" t="s">
        <v>36</v>
      </c>
      <c r="L43" s="389"/>
      <c r="M43" s="394" t="s">
        <v>36</v>
      </c>
      <c r="N43" s="389"/>
      <c r="O43" s="394" t="s">
        <v>36</v>
      </c>
      <c r="P43" s="389"/>
      <c r="Q43" s="389" t="s">
        <v>68</v>
      </c>
      <c r="R43" s="389"/>
      <c r="S43" s="389"/>
      <c r="T43" s="389"/>
      <c r="U43" s="394"/>
      <c r="V43" s="389"/>
      <c r="W43" s="394"/>
      <c r="X43" s="389"/>
      <c r="Y43" s="394"/>
      <c r="Z43" s="389"/>
      <c r="AA43" s="391">
        <f t="shared" si="9"/>
        <v>4</v>
      </c>
      <c r="AB43" s="392">
        <f t="shared" si="10"/>
        <v>4</v>
      </c>
    </row>
    <row r="44" ht="39.75" customHeight="1">
      <c r="A44" s="385" t="s">
        <v>159</v>
      </c>
      <c r="B44" s="386" t="s">
        <v>160</v>
      </c>
      <c r="C44" s="387" t="s">
        <v>93</v>
      </c>
      <c r="D44" s="388"/>
      <c r="E44" s="389" t="s">
        <v>83</v>
      </c>
      <c r="F44" s="389"/>
      <c r="G44" s="389" t="s">
        <v>83</v>
      </c>
      <c r="H44" s="389"/>
      <c r="I44" s="389" t="s">
        <v>83</v>
      </c>
      <c r="J44" s="389"/>
      <c r="K44" s="389" t="s">
        <v>83</v>
      </c>
      <c r="L44" s="389"/>
      <c r="M44" s="389" t="s">
        <v>83</v>
      </c>
      <c r="N44" s="389"/>
      <c r="O44" s="389" t="s">
        <v>83</v>
      </c>
      <c r="P44" s="389"/>
      <c r="Q44" s="389"/>
      <c r="R44" s="389"/>
      <c r="S44" s="389" t="s">
        <v>83</v>
      </c>
      <c r="T44" s="389"/>
      <c r="U44" s="389" t="s">
        <v>83</v>
      </c>
      <c r="V44" s="389"/>
      <c r="W44" s="389" t="s">
        <v>83</v>
      </c>
      <c r="X44" s="389"/>
      <c r="Y44" s="389" t="s">
        <v>83</v>
      </c>
      <c r="Z44" s="389"/>
      <c r="AA44" s="391">
        <f t="shared" si="9"/>
        <v>11</v>
      </c>
      <c r="AB44" s="392">
        <f t="shared" si="10"/>
        <v>11</v>
      </c>
      <c r="AC44" s="404"/>
      <c r="AD44" s="404"/>
      <c r="AE44" s="404"/>
      <c r="AF44" s="404"/>
      <c r="AG44" s="404"/>
      <c r="AH44" s="404"/>
      <c r="AI44" s="404"/>
    </row>
    <row r="45" ht="39.75" customHeight="1">
      <c r="A45" s="385" t="s">
        <v>161</v>
      </c>
      <c r="B45" s="386" t="s">
        <v>162</v>
      </c>
      <c r="C45" s="387" t="s">
        <v>93</v>
      </c>
      <c r="D45" s="388"/>
      <c r="E45" s="389" t="s">
        <v>83</v>
      </c>
      <c r="F45" s="389"/>
      <c r="G45" s="389" t="s">
        <v>83</v>
      </c>
      <c r="H45" s="389"/>
      <c r="I45" s="389" t="s">
        <v>83</v>
      </c>
      <c r="J45" s="389"/>
      <c r="K45" s="389" t="s">
        <v>83</v>
      </c>
      <c r="L45" s="389"/>
      <c r="M45" s="389" t="s">
        <v>83</v>
      </c>
      <c r="N45" s="389"/>
      <c r="O45" s="389" t="s">
        <v>83</v>
      </c>
      <c r="P45" s="389"/>
      <c r="Q45" s="389"/>
      <c r="R45" s="389"/>
      <c r="S45" s="389" t="s">
        <v>83</v>
      </c>
      <c r="T45" s="389"/>
      <c r="U45" s="389" t="s">
        <v>83</v>
      </c>
      <c r="V45" s="389"/>
      <c r="W45" s="389" t="s">
        <v>83</v>
      </c>
      <c r="X45" s="389"/>
      <c r="Y45" s="389" t="s">
        <v>83</v>
      </c>
      <c r="Z45" s="389"/>
      <c r="AA45" s="391">
        <f t="shared" si="9"/>
        <v>11</v>
      </c>
      <c r="AB45" s="392">
        <f t="shared" si="10"/>
        <v>11</v>
      </c>
    </row>
    <row r="46" ht="39.75" customHeight="1">
      <c r="A46" s="385" t="s">
        <v>163</v>
      </c>
      <c r="B46" s="386" t="s">
        <v>164</v>
      </c>
      <c r="C46" s="387" t="s">
        <v>93</v>
      </c>
      <c r="D46" s="388"/>
      <c r="E46" s="389" t="s">
        <v>83</v>
      </c>
      <c r="F46" s="389"/>
      <c r="G46" s="389" t="s">
        <v>83</v>
      </c>
      <c r="H46" s="389"/>
      <c r="I46" s="389" t="s">
        <v>83</v>
      </c>
      <c r="J46" s="389"/>
      <c r="K46" s="418" t="s">
        <v>84</v>
      </c>
      <c r="L46" s="389"/>
      <c r="M46" s="394" t="s">
        <v>36</v>
      </c>
      <c r="N46" s="389"/>
      <c r="O46" s="389" t="s">
        <v>36</v>
      </c>
      <c r="P46" s="389"/>
      <c r="Q46" s="389"/>
      <c r="R46" s="389"/>
      <c r="S46" s="389" t="s">
        <v>83</v>
      </c>
      <c r="T46" s="389"/>
      <c r="U46" s="389" t="s">
        <v>83</v>
      </c>
      <c r="V46" s="389"/>
      <c r="W46" s="389" t="s">
        <v>83</v>
      </c>
      <c r="X46" s="389"/>
      <c r="Y46" s="389" t="s">
        <v>83</v>
      </c>
      <c r="Z46" s="389"/>
      <c r="AA46" s="391">
        <f t="shared" si="9"/>
        <v>11</v>
      </c>
      <c r="AB46" s="392">
        <f t="shared" si="10"/>
        <v>11</v>
      </c>
      <c r="AC46" s="404"/>
      <c r="AD46" s="404"/>
      <c r="AE46" s="404"/>
      <c r="AF46" s="404"/>
      <c r="AG46" s="404"/>
      <c r="AH46" s="404"/>
      <c r="AI46" s="404"/>
    </row>
    <row r="47" ht="39.75" customHeight="1">
      <c r="A47" s="378" t="s">
        <v>165</v>
      </c>
      <c r="B47" s="379" t="s">
        <v>166</v>
      </c>
      <c r="C47" s="397"/>
      <c r="D47" s="398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401"/>
      <c r="AC47" s="404"/>
      <c r="AD47" s="404"/>
      <c r="AE47" s="404"/>
      <c r="AF47" s="404"/>
      <c r="AG47" s="404"/>
      <c r="AH47" s="404"/>
      <c r="AI47" s="404"/>
    </row>
    <row r="48" ht="39.75" customHeight="1">
      <c r="A48" s="409" t="s">
        <v>167</v>
      </c>
      <c r="B48" s="410" t="s">
        <v>168</v>
      </c>
      <c r="C48" s="387"/>
      <c r="D48" s="388"/>
      <c r="E48" s="389"/>
      <c r="F48" s="389"/>
      <c r="G48" s="394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94"/>
      <c r="X48" s="389"/>
      <c r="Y48" s="394"/>
      <c r="Z48" s="389"/>
      <c r="AA48" s="391"/>
      <c r="AB48" s="392"/>
    </row>
    <row r="49" ht="39.75" customHeight="1">
      <c r="A49" s="411" t="s">
        <v>169</v>
      </c>
      <c r="B49" s="412" t="s">
        <v>170</v>
      </c>
      <c r="C49" s="387" t="s">
        <v>38</v>
      </c>
      <c r="D49" s="388"/>
      <c r="E49" s="389" t="s">
        <v>91</v>
      </c>
      <c r="F49" s="389"/>
      <c r="G49" s="389" t="s">
        <v>91</v>
      </c>
      <c r="H49" s="389"/>
      <c r="I49" s="389" t="s">
        <v>91</v>
      </c>
      <c r="J49" s="389"/>
      <c r="K49" s="389" t="s">
        <v>91</v>
      </c>
      <c r="L49" s="389"/>
      <c r="M49" s="389" t="s">
        <v>91</v>
      </c>
      <c r="N49" s="389"/>
      <c r="O49" s="389" t="s">
        <v>91</v>
      </c>
      <c r="P49" s="389"/>
      <c r="Q49" s="389"/>
      <c r="R49" s="389"/>
      <c r="S49" s="389" t="s">
        <v>91</v>
      </c>
      <c r="T49" s="389"/>
      <c r="U49" s="389" t="s">
        <v>91</v>
      </c>
      <c r="V49" s="389"/>
      <c r="W49" s="389" t="s">
        <v>91</v>
      </c>
      <c r="X49" s="389"/>
      <c r="Y49" s="389" t="s">
        <v>91</v>
      </c>
      <c r="Z49" s="389"/>
      <c r="AA49" s="391">
        <f t="shared" ref="AA49:AA50" si="11">COUNTIF(C49:Z49,"&gt;=R")</f>
        <v>11</v>
      </c>
      <c r="AB49" s="392">
        <f t="shared" ref="AB49:AB50" si="12">AA49</f>
        <v>11</v>
      </c>
      <c r="AC49" s="404"/>
      <c r="AD49" s="404"/>
      <c r="AE49" s="404"/>
      <c r="AF49" s="404"/>
      <c r="AG49" s="404"/>
      <c r="AH49" s="404"/>
      <c r="AI49" s="404"/>
    </row>
    <row r="50" ht="39.75" customHeight="1">
      <c r="A50" s="411" t="s">
        <v>171</v>
      </c>
      <c r="B50" s="412" t="s">
        <v>172</v>
      </c>
      <c r="C50" s="387"/>
      <c r="D50" s="388"/>
      <c r="E50" s="413" t="s">
        <v>28</v>
      </c>
      <c r="F50" s="389"/>
      <c r="G50" s="413" t="s">
        <v>28</v>
      </c>
      <c r="H50" s="389"/>
      <c r="I50" s="413" t="s">
        <v>28</v>
      </c>
      <c r="J50" s="389"/>
      <c r="K50" s="413" t="s">
        <v>28</v>
      </c>
      <c r="L50" s="389">
        <v>0.0</v>
      </c>
      <c r="M50" s="413" t="s">
        <v>28</v>
      </c>
      <c r="N50" s="389"/>
      <c r="O50" s="413" t="s">
        <v>28</v>
      </c>
      <c r="P50" s="389"/>
      <c r="Q50" s="387"/>
      <c r="R50" s="389"/>
      <c r="S50" s="837" t="s">
        <v>28</v>
      </c>
      <c r="T50" s="389"/>
      <c r="U50" s="837" t="s">
        <v>28</v>
      </c>
      <c r="V50" s="389"/>
      <c r="W50" s="837" t="s">
        <v>28</v>
      </c>
      <c r="X50" s="389"/>
      <c r="Y50" s="837" t="s">
        <v>28</v>
      </c>
      <c r="Z50" s="389"/>
      <c r="AA50" s="391">
        <f t="shared" si="11"/>
        <v>10</v>
      </c>
      <c r="AB50" s="392">
        <f t="shared" si="12"/>
        <v>10</v>
      </c>
      <c r="AC50" s="404"/>
      <c r="AD50" s="404"/>
      <c r="AE50" s="404"/>
      <c r="AF50" s="404"/>
      <c r="AG50" s="404"/>
      <c r="AH50" s="404"/>
      <c r="AI50" s="404"/>
    </row>
    <row r="51" ht="39.75" customHeight="1">
      <c r="A51" s="414" t="s">
        <v>173</v>
      </c>
      <c r="B51" s="415" t="s">
        <v>174</v>
      </c>
      <c r="C51" s="387"/>
      <c r="D51" s="388"/>
      <c r="E51" s="389"/>
      <c r="F51" s="389"/>
      <c r="G51" s="394"/>
      <c r="H51" s="389"/>
      <c r="I51" s="394"/>
      <c r="J51" s="389"/>
      <c r="K51" s="394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94"/>
      <c r="Z51" s="389"/>
      <c r="AA51" s="391"/>
      <c r="AB51" s="392"/>
    </row>
    <row r="52" ht="39.75" customHeight="1">
      <c r="A52" s="411" t="s">
        <v>175</v>
      </c>
      <c r="B52" s="412" t="s">
        <v>176</v>
      </c>
      <c r="C52" s="387"/>
      <c r="D52" s="388"/>
      <c r="E52" s="387" t="s">
        <v>56</v>
      </c>
      <c r="F52" s="389"/>
      <c r="G52" s="389" t="s">
        <v>56</v>
      </c>
      <c r="H52" s="389"/>
      <c r="I52" s="389" t="s">
        <v>47</v>
      </c>
      <c r="J52" s="389"/>
      <c r="K52" s="389" t="s">
        <v>47</v>
      </c>
      <c r="L52" s="389"/>
      <c r="M52" s="389" t="s">
        <v>47</v>
      </c>
      <c r="N52" s="389"/>
      <c r="O52" s="389" t="s">
        <v>47</v>
      </c>
      <c r="P52" s="389"/>
      <c r="Q52" s="389"/>
      <c r="R52" s="389"/>
      <c r="S52" s="389" t="s">
        <v>47</v>
      </c>
      <c r="T52" s="389"/>
      <c r="U52" s="394" t="s">
        <v>56</v>
      </c>
      <c r="V52" s="389"/>
      <c r="W52" s="394" t="s">
        <v>56</v>
      </c>
      <c r="X52" s="389"/>
      <c r="Y52" s="394" t="s">
        <v>56</v>
      </c>
      <c r="Z52" s="389"/>
      <c r="AA52" s="391">
        <f t="shared" ref="AA52:AA55" si="13">COUNTIF(C52:Z52,"&gt;=R")</f>
        <v>10</v>
      </c>
      <c r="AB52" s="392">
        <f t="shared" ref="AB52:AB55" si="14">AA52</f>
        <v>10</v>
      </c>
    </row>
    <row r="53" ht="39.75" customHeight="1">
      <c r="A53" s="411" t="s">
        <v>177</v>
      </c>
      <c r="B53" s="412" t="s">
        <v>178</v>
      </c>
      <c r="C53" s="387"/>
      <c r="D53" s="388"/>
      <c r="E53" s="389" t="s">
        <v>47</v>
      </c>
      <c r="F53" s="389"/>
      <c r="G53" s="389" t="s">
        <v>47</v>
      </c>
      <c r="H53" s="389"/>
      <c r="I53" s="389" t="s">
        <v>47</v>
      </c>
      <c r="J53" s="389"/>
      <c r="K53" s="389" t="s">
        <v>47</v>
      </c>
      <c r="L53" s="389"/>
      <c r="M53" s="389" t="s">
        <v>47</v>
      </c>
      <c r="N53" s="389"/>
      <c r="O53" s="389" t="s">
        <v>47</v>
      </c>
      <c r="P53" s="389"/>
      <c r="Q53" s="389"/>
      <c r="R53" s="389"/>
      <c r="S53" s="389" t="s">
        <v>47</v>
      </c>
      <c r="T53" s="389"/>
      <c r="U53" s="389" t="s">
        <v>47</v>
      </c>
      <c r="V53" s="389"/>
      <c r="W53" s="389" t="s">
        <v>47</v>
      </c>
      <c r="X53" s="389"/>
      <c r="Y53" s="389" t="s">
        <v>47</v>
      </c>
      <c r="Z53" s="389"/>
      <c r="AA53" s="391">
        <f t="shared" si="13"/>
        <v>10</v>
      </c>
      <c r="AB53" s="392">
        <f t="shared" si="14"/>
        <v>10</v>
      </c>
      <c r="AC53" s="404"/>
      <c r="AD53" s="404"/>
      <c r="AE53" s="404"/>
      <c r="AF53" s="404"/>
      <c r="AG53" s="404"/>
      <c r="AH53" s="404"/>
      <c r="AI53" s="404"/>
    </row>
    <row r="54" ht="39.75" customHeight="1">
      <c r="A54" s="414" t="s">
        <v>179</v>
      </c>
      <c r="B54" s="415" t="s">
        <v>180</v>
      </c>
      <c r="C54" s="387"/>
      <c r="D54" s="388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94"/>
      <c r="X54" s="389"/>
      <c r="Y54" s="394"/>
      <c r="Z54" s="389"/>
      <c r="AA54" s="391">
        <f t="shared" si="13"/>
        <v>0</v>
      </c>
      <c r="AB54" s="392">
        <f t="shared" si="14"/>
        <v>0</v>
      </c>
    </row>
    <row r="55" ht="39.75" customHeight="1">
      <c r="A55" s="404" t="s">
        <v>181</v>
      </c>
      <c r="B55" s="794" t="s">
        <v>182</v>
      </c>
      <c r="C55" s="387"/>
      <c r="D55" s="388"/>
      <c r="E55" s="387" t="s">
        <v>67</v>
      </c>
      <c r="F55" s="389"/>
      <c r="G55" s="387" t="s">
        <v>67</v>
      </c>
      <c r="H55" s="389"/>
      <c r="I55" s="387" t="s">
        <v>67</v>
      </c>
      <c r="J55" s="389"/>
      <c r="K55" s="389" t="s">
        <v>67</v>
      </c>
      <c r="L55" s="389"/>
      <c r="M55" s="389" t="s">
        <v>67</v>
      </c>
      <c r="N55" s="389"/>
      <c r="O55" s="389" t="s">
        <v>67</v>
      </c>
      <c r="P55" s="389"/>
      <c r="Q55" s="389"/>
      <c r="R55" s="389"/>
      <c r="S55" s="387"/>
      <c r="T55" s="389"/>
      <c r="U55" s="387" t="s">
        <v>67</v>
      </c>
      <c r="V55" s="389"/>
      <c r="W55" s="387" t="s">
        <v>67</v>
      </c>
      <c r="X55" s="389"/>
      <c r="Y55" s="387" t="s">
        <v>67</v>
      </c>
      <c r="Z55" s="389"/>
      <c r="AA55" s="391">
        <f t="shared" si="13"/>
        <v>9</v>
      </c>
      <c r="AB55" s="392">
        <f t="shared" si="14"/>
        <v>9</v>
      </c>
    </row>
    <row r="56" ht="39.75" customHeight="1">
      <c r="A56" s="395" t="s">
        <v>183</v>
      </c>
      <c r="B56" s="396" t="s">
        <v>184</v>
      </c>
      <c r="C56" s="397"/>
      <c r="D56" s="398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401"/>
      <c r="AC56" s="404"/>
      <c r="AD56" s="404"/>
      <c r="AE56" s="404"/>
      <c r="AF56" s="404"/>
      <c r="AG56" s="404"/>
      <c r="AH56" s="404"/>
      <c r="AI56" s="404"/>
    </row>
    <row r="57" ht="39.75" customHeight="1">
      <c r="A57" s="385" t="s">
        <v>185</v>
      </c>
      <c r="B57" s="386" t="s">
        <v>186</v>
      </c>
      <c r="C57" s="387"/>
      <c r="D57" s="388"/>
      <c r="E57" s="389" t="s">
        <v>76</v>
      </c>
      <c r="F57" s="389"/>
      <c r="G57" s="389" t="s">
        <v>76</v>
      </c>
      <c r="H57" s="389"/>
      <c r="I57" s="389" t="s">
        <v>76</v>
      </c>
      <c r="J57" s="389"/>
      <c r="K57" s="389" t="s">
        <v>76</v>
      </c>
      <c r="L57" s="389"/>
      <c r="M57" s="389" t="s">
        <v>76</v>
      </c>
      <c r="N57" s="389"/>
      <c r="O57" s="389" t="s">
        <v>76</v>
      </c>
      <c r="P57" s="389"/>
      <c r="Q57" s="389"/>
      <c r="R57" s="389"/>
      <c r="S57" s="389" t="s">
        <v>76</v>
      </c>
      <c r="T57" s="389"/>
      <c r="U57" s="389" t="s">
        <v>76</v>
      </c>
      <c r="V57" s="389"/>
      <c r="W57" s="389" t="s">
        <v>76</v>
      </c>
      <c r="X57" s="389"/>
      <c r="Y57" s="389" t="s">
        <v>76</v>
      </c>
      <c r="Z57" s="389"/>
      <c r="AA57" s="391">
        <f t="shared" ref="AA57:AA60" si="15">COUNTIF(C57:Z57,"&gt;=R")</f>
        <v>10</v>
      </c>
      <c r="AB57" s="392">
        <f t="shared" ref="AB57:AB60" si="16">AA57</f>
        <v>10</v>
      </c>
      <c r="AC57" s="404"/>
      <c r="AD57" s="404"/>
      <c r="AE57" s="404"/>
      <c r="AF57" s="404"/>
      <c r="AG57" s="404"/>
      <c r="AH57" s="404"/>
      <c r="AI57" s="404"/>
    </row>
    <row r="58" ht="39.75" customHeight="1">
      <c r="A58" s="385" t="s">
        <v>187</v>
      </c>
      <c r="B58" s="386" t="s">
        <v>188</v>
      </c>
      <c r="C58" s="387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91">
        <f t="shared" si="15"/>
        <v>0</v>
      </c>
      <c r="AB58" s="392">
        <f t="shared" si="16"/>
        <v>0</v>
      </c>
      <c r="AC58" s="404"/>
      <c r="AD58" s="404"/>
      <c r="AE58" s="404"/>
      <c r="AF58" s="404"/>
      <c r="AG58" s="404"/>
      <c r="AH58" s="404"/>
      <c r="AI58" s="404"/>
    </row>
    <row r="59" ht="39.75" customHeight="1">
      <c r="A59" s="385" t="s">
        <v>189</v>
      </c>
      <c r="B59" s="386" t="s">
        <v>190</v>
      </c>
      <c r="C59" s="388"/>
      <c r="D59" s="388"/>
      <c r="E59" s="389" t="s">
        <v>27</v>
      </c>
      <c r="F59" s="389"/>
      <c r="G59" s="389" t="s">
        <v>37</v>
      </c>
      <c r="H59" s="389"/>
      <c r="I59" s="389" t="s">
        <v>27</v>
      </c>
      <c r="J59" s="389"/>
      <c r="K59" s="389" t="s">
        <v>27</v>
      </c>
      <c r="L59" s="389"/>
      <c r="M59" s="389" t="s">
        <v>27</v>
      </c>
      <c r="N59" s="389"/>
      <c r="O59" s="389" t="s">
        <v>27</v>
      </c>
      <c r="P59" s="389"/>
      <c r="Q59" s="389"/>
      <c r="R59" s="389"/>
      <c r="S59" s="389" t="s">
        <v>27</v>
      </c>
      <c r="T59" s="389"/>
      <c r="U59" s="389" t="s">
        <v>27</v>
      </c>
      <c r="V59" s="389"/>
      <c r="W59" s="389" t="s">
        <v>27</v>
      </c>
      <c r="X59" s="389"/>
      <c r="Y59" s="389" t="s">
        <v>37</v>
      </c>
      <c r="Z59" s="389"/>
      <c r="AA59" s="391">
        <f t="shared" si="15"/>
        <v>10</v>
      </c>
      <c r="AB59" s="392">
        <f t="shared" si="16"/>
        <v>10</v>
      </c>
    </row>
    <row r="60" ht="39.75" customHeight="1">
      <c r="A60" s="385" t="s">
        <v>191</v>
      </c>
      <c r="B60" s="386" t="s">
        <v>192</v>
      </c>
      <c r="C60" s="388"/>
      <c r="D60" s="388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94"/>
      <c r="X60" s="389"/>
      <c r="Y60" s="394" t="s">
        <v>76</v>
      </c>
      <c r="Z60" s="389"/>
      <c r="AA60" s="391">
        <f t="shared" si="15"/>
        <v>1</v>
      </c>
      <c r="AB60" s="392">
        <f t="shared" si="16"/>
        <v>1</v>
      </c>
      <c r="AC60" s="404"/>
      <c r="AD60" s="404"/>
      <c r="AE60" s="404"/>
      <c r="AF60" s="404"/>
      <c r="AG60" s="404"/>
      <c r="AH60" s="404"/>
      <c r="AI60" s="404"/>
    </row>
    <row r="61" ht="39.75" customHeight="1">
      <c r="A61" s="395" t="s">
        <v>193</v>
      </c>
      <c r="B61" s="396" t="s">
        <v>194</v>
      </c>
      <c r="C61" s="397"/>
      <c r="D61" s="398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401"/>
      <c r="AC61" s="404"/>
      <c r="AD61" s="404"/>
      <c r="AE61" s="404"/>
      <c r="AF61" s="404"/>
      <c r="AG61" s="404"/>
      <c r="AH61" s="404"/>
      <c r="AI61" s="404"/>
    </row>
    <row r="62" ht="39.75" customHeight="1">
      <c r="A62" s="414" t="s">
        <v>195</v>
      </c>
      <c r="B62" s="415" t="s">
        <v>196</v>
      </c>
      <c r="C62" s="387"/>
      <c r="D62" s="388"/>
      <c r="E62" s="389"/>
      <c r="F62" s="389"/>
      <c r="G62" s="394"/>
      <c r="H62" s="389"/>
      <c r="I62" s="394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94"/>
      <c r="X62" s="389"/>
      <c r="Y62" s="394"/>
      <c r="Z62" s="389"/>
      <c r="AA62" s="391"/>
      <c r="AB62" s="392"/>
    </row>
    <row r="63" ht="39.75" customHeight="1">
      <c r="A63" s="411" t="s">
        <v>197</v>
      </c>
      <c r="B63" s="412" t="s">
        <v>139</v>
      </c>
      <c r="C63" s="387" t="s">
        <v>68</v>
      </c>
      <c r="D63" s="388"/>
      <c r="E63" s="389" t="s">
        <v>75</v>
      </c>
      <c r="F63" s="389"/>
      <c r="G63" s="389" t="s">
        <v>75</v>
      </c>
      <c r="H63" s="389"/>
      <c r="I63" s="389" t="s">
        <v>75</v>
      </c>
      <c r="J63" s="389"/>
      <c r="K63" s="389" t="s">
        <v>75</v>
      </c>
      <c r="L63" s="389"/>
      <c r="M63" s="389" t="s">
        <v>75</v>
      </c>
      <c r="N63" s="389"/>
      <c r="O63" s="389" t="s">
        <v>75</v>
      </c>
      <c r="P63" s="389"/>
      <c r="Q63" s="389" t="s">
        <v>68</v>
      </c>
      <c r="R63" s="389"/>
      <c r="S63" s="389" t="s">
        <v>75</v>
      </c>
      <c r="T63" s="389"/>
      <c r="U63" s="389" t="s">
        <v>75</v>
      </c>
      <c r="V63" s="389"/>
      <c r="W63" s="389" t="s">
        <v>75</v>
      </c>
      <c r="X63" s="389"/>
      <c r="Y63" s="389" t="s">
        <v>75</v>
      </c>
      <c r="Z63" s="389"/>
      <c r="AA63" s="391">
        <f>COUNTIF(C63:Z63,"&gt;=R")</f>
        <v>12</v>
      </c>
      <c r="AB63" s="392">
        <f>AA63</f>
        <v>12</v>
      </c>
      <c r="AC63" s="404"/>
      <c r="AD63" s="404"/>
      <c r="AE63" s="404"/>
      <c r="AF63" s="404"/>
      <c r="AG63" s="404"/>
      <c r="AH63" s="404"/>
      <c r="AI63" s="404"/>
    </row>
    <row r="64" ht="39.75" customHeight="1">
      <c r="A64" s="414" t="s">
        <v>198</v>
      </c>
      <c r="B64" s="415" t="s">
        <v>199</v>
      </c>
      <c r="C64" s="387"/>
      <c r="D64" s="388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91"/>
      <c r="AB64" s="392"/>
      <c r="AC64" s="404"/>
      <c r="AD64" s="404"/>
      <c r="AE64" s="404"/>
      <c r="AF64" s="404"/>
      <c r="AG64" s="404"/>
      <c r="AH64" s="404"/>
      <c r="AI64" s="404"/>
    </row>
    <row r="65" ht="39.75" customHeight="1">
      <c r="A65" s="411" t="s">
        <v>200</v>
      </c>
      <c r="B65" s="412" t="s">
        <v>176</v>
      </c>
      <c r="C65" s="387"/>
      <c r="D65" s="388"/>
      <c r="E65" s="387" t="s">
        <v>67</v>
      </c>
      <c r="F65" s="389"/>
      <c r="G65" s="394" t="s">
        <v>56</v>
      </c>
      <c r="H65" s="389"/>
      <c r="I65" s="389" t="s">
        <v>47</v>
      </c>
      <c r="J65" s="389"/>
      <c r="K65" s="389" t="s">
        <v>47</v>
      </c>
      <c r="L65" s="389"/>
      <c r="M65" s="389" t="s">
        <v>47</v>
      </c>
      <c r="N65" s="389"/>
      <c r="O65" s="389" t="s">
        <v>47</v>
      </c>
      <c r="P65" s="389"/>
      <c r="Q65" s="389"/>
      <c r="R65" s="389"/>
      <c r="S65" s="389" t="s">
        <v>47</v>
      </c>
      <c r="T65" s="389"/>
      <c r="U65" s="394" t="s">
        <v>56</v>
      </c>
      <c r="V65" s="389"/>
      <c r="W65" s="394" t="s">
        <v>56</v>
      </c>
      <c r="X65" s="389"/>
      <c r="Y65" s="394" t="s">
        <v>67</v>
      </c>
      <c r="Z65" s="389"/>
      <c r="AA65" s="391">
        <f>COUNTIF(C65:Z65,"&gt;=R")</f>
        <v>10</v>
      </c>
      <c r="AB65" s="392">
        <f>AA65</f>
        <v>10</v>
      </c>
    </row>
    <row r="66" ht="39.75" customHeight="1">
      <c r="A66" s="414" t="s">
        <v>201</v>
      </c>
      <c r="B66" s="415" t="s">
        <v>202</v>
      </c>
      <c r="C66" s="387"/>
      <c r="D66" s="388"/>
      <c r="E66" s="389"/>
      <c r="F66" s="389"/>
      <c r="G66" s="394"/>
      <c r="H66" s="389"/>
      <c r="I66" s="394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91"/>
      <c r="AB66" s="392"/>
    </row>
    <row r="67" ht="39.75" customHeight="1">
      <c r="A67" s="411" t="s">
        <v>203</v>
      </c>
      <c r="B67" s="412" t="s">
        <v>204</v>
      </c>
      <c r="C67" s="387"/>
      <c r="D67" s="388"/>
      <c r="E67" s="389" t="s">
        <v>67</v>
      </c>
      <c r="F67" s="389"/>
      <c r="G67" s="389" t="s">
        <v>67</v>
      </c>
      <c r="H67" s="389"/>
      <c r="I67" s="389" t="s">
        <v>47</v>
      </c>
      <c r="J67" s="389"/>
      <c r="K67" s="389" t="s">
        <v>47</v>
      </c>
      <c r="L67" s="389"/>
      <c r="M67" s="389" t="s">
        <v>47</v>
      </c>
      <c r="N67" s="389"/>
      <c r="O67" s="389" t="s">
        <v>47</v>
      </c>
      <c r="P67" s="389"/>
      <c r="Q67" s="394"/>
      <c r="R67" s="389"/>
      <c r="S67" s="394" t="s">
        <v>67</v>
      </c>
      <c r="T67" s="389"/>
      <c r="U67" s="394" t="s">
        <v>67</v>
      </c>
      <c r="V67" s="389"/>
      <c r="W67" s="394" t="s">
        <v>67</v>
      </c>
      <c r="X67" s="389"/>
      <c r="Y67" s="394" t="s">
        <v>67</v>
      </c>
      <c r="Z67" s="389"/>
      <c r="AA67" s="391">
        <f>COUNTIF(C67:Z67,"&gt;=R")</f>
        <v>10</v>
      </c>
      <c r="AB67" s="392">
        <f>AA67</f>
        <v>10</v>
      </c>
    </row>
    <row r="68" ht="39.75" customHeight="1">
      <c r="A68" s="395" t="s">
        <v>205</v>
      </c>
      <c r="B68" s="396" t="s">
        <v>206</v>
      </c>
      <c r="C68" s="397"/>
      <c r="D68" s="398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401"/>
      <c r="AC68" s="404"/>
      <c r="AD68" s="404"/>
      <c r="AE68" s="404"/>
      <c r="AF68" s="404"/>
      <c r="AG68" s="404"/>
      <c r="AH68" s="404"/>
      <c r="AI68" s="404"/>
    </row>
    <row r="69" ht="39.75" customHeight="1">
      <c r="A69" s="385" t="s">
        <v>207</v>
      </c>
      <c r="B69" s="386" t="s">
        <v>208</v>
      </c>
      <c r="C69" s="388"/>
      <c r="D69" s="388"/>
      <c r="E69" s="389" t="s">
        <v>27</v>
      </c>
      <c r="F69" s="389"/>
      <c r="G69" s="389" t="s">
        <v>37</v>
      </c>
      <c r="H69" s="389"/>
      <c r="I69" s="389" t="s">
        <v>27</v>
      </c>
      <c r="J69" s="389"/>
      <c r="K69" s="389" t="s">
        <v>27</v>
      </c>
      <c r="L69" s="389"/>
      <c r="M69" s="389" t="s">
        <v>27</v>
      </c>
      <c r="N69" s="389"/>
      <c r="O69" s="389" t="s">
        <v>27</v>
      </c>
      <c r="P69" s="389"/>
      <c r="Q69" s="389"/>
      <c r="R69" s="389"/>
      <c r="S69" s="389" t="s">
        <v>27</v>
      </c>
      <c r="T69" s="389"/>
      <c r="U69" s="389" t="s">
        <v>27</v>
      </c>
      <c r="V69" s="389"/>
      <c r="W69" s="389" t="s">
        <v>27</v>
      </c>
      <c r="X69" s="389"/>
      <c r="Y69" s="389" t="s">
        <v>37</v>
      </c>
      <c r="Z69" s="389"/>
      <c r="AA69" s="391">
        <f>COUNTIF(C69:Z69,"&gt;=R")</f>
        <v>10</v>
      </c>
      <c r="AB69" s="392">
        <f>AA69</f>
        <v>10</v>
      </c>
    </row>
    <row r="70" ht="39.75" customHeight="1">
      <c r="A70" s="395" t="s">
        <v>209</v>
      </c>
      <c r="B70" s="396" t="s">
        <v>210</v>
      </c>
      <c r="C70" s="397"/>
      <c r="D70" s="398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401"/>
    </row>
    <row r="71" ht="39.75" customHeight="1">
      <c r="A71" s="385" t="s">
        <v>211</v>
      </c>
      <c r="B71" s="386" t="s">
        <v>212</v>
      </c>
      <c r="C71" s="387"/>
      <c r="D71" s="388"/>
      <c r="E71" s="389" t="s">
        <v>38</v>
      </c>
      <c r="F71" s="389"/>
      <c r="G71" s="389" t="s">
        <v>38</v>
      </c>
      <c r="H71" s="389"/>
      <c r="I71" s="389" t="s">
        <v>38</v>
      </c>
      <c r="J71" s="389"/>
      <c r="K71" s="389" t="s">
        <v>18</v>
      </c>
      <c r="L71" s="389"/>
      <c r="M71" s="389" t="s">
        <v>38</v>
      </c>
      <c r="N71" s="389"/>
      <c r="O71" s="389" t="s">
        <v>38</v>
      </c>
      <c r="P71" s="389"/>
      <c r="Q71" s="389"/>
      <c r="R71" s="389"/>
      <c r="S71" s="389" t="s">
        <v>38</v>
      </c>
      <c r="T71" s="389"/>
      <c r="U71" s="389" t="s">
        <v>38</v>
      </c>
      <c r="V71" s="389"/>
      <c r="W71" s="389" t="s">
        <v>38</v>
      </c>
      <c r="X71" s="389"/>
      <c r="Y71" s="389" t="s">
        <v>38</v>
      </c>
      <c r="Z71" s="389"/>
      <c r="AA71" s="391">
        <f t="shared" ref="AA71:AA72" si="17">COUNTIF(C71:Z71,"&gt;=R")</f>
        <v>10</v>
      </c>
      <c r="AB71" s="392">
        <f t="shared" ref="AB71:AB72" si="18">AA71</f>
        <v>10</v>
      </c>
    </row>
    <row r="72" ht="39.75" customHeight="1">
      <c r="A72" s="385" t="s">
        <v>213</v>
      </c>
      <c r="B72" s="386" t="s">
        <v>214</v>
      </c>
      <c r="C72" s="387"/>
      <c r="D72" s="388"/>
      <c r="E72" s="394" t="s">
        <v>68</v>
      </c>
      <c r="F72" s="389"/>
      <c r="G72" s="389" t="s">
        <v>68</v>
      </c>
      <c r="H72" s="389"/>
      <c r="I72" s="389" t="s">
        <v>77</v>
      </c>
      <c r="J72" s="389"/>
      <c r="K72" s="389" t="s">
        <v>77</v>
      </c>
      <c r="L72" s="389"/>
      <c r="M72" s="394" t="s">
        <v>77</v>
      </c>
      <c r="N72" s="389"/>
      <c r="O72" s="389" t="s">
        <v>77</v>
      </c>
      <c r="P72" s="389"/>
      <c r="Q72" s="389"/>
      <c r="R72" s="389"/>
      <c r="S72" s="389" t="s">
        <v>77</v>
      </c>
      <c r="T72" s="389"/>
      <c r="U72" s="389" t="s">
        <v>77</v>
      </c>
      <c r="V72" s="389"/>
      <c r="W72" s="389" t="s">
        <v>85</v>
      </c>
      <c r="X72" s="389"/>
      <c r="Y72" s="389" t="s">
        <v>77</v>
      </c>
      <c r="Z72" s="389"/>
      <c r="AA72" s="391">
        <f t="shared" si="17"/>
        <v>10</v>
      </c>
      <c r="AB72" s="392">
        <f t="shared" si="18"/>
        <v>10</v>
      </c>
    </row>
    <row r="73" ht="39.75" customHeight="1">
      <c r="A73" s="395" t="s">
        <v>215</v>
      </c>
      <c r="B73" s="396" t="s">
        <v>216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401"/>
      <c r="AC73" s="404"/>
      <c r="AD73" s="404"/>
      <c r="AE73" s="404"/>
      <c r="AF73" s="404"/>
      <c r="AG73" s="404"/>
      <c r="AH73" s="404"/>
      <c r="AI73" s="404"/>
    </row>
    <row r="74" ht="39.75" customHeight="1">
      <c r="A74" s="385" t="s">
        <v>217</v>
      </c>
      <c r="B74" s="386" t="s">
        <v>218</v>
      </c>
      <c r="C74" s="387"/>
      <c r="D74" s="388"/>
      <c r="E74" s="387" t="s">
        <v>85</v>
      </c>
      <c r="F74" s="389"/>
      <c r="G74" s="387" t="s">
        <v>85</v>
      </c>
      <c r="H74" s="389"/>
      <c r="I74" s="387" t="s">
        <v>85</v>
      </c>
      <c r="J74" s="389"/>
      <c r="K74" s="389" t="s">
        <v>85</v>
      </c>
      <c r="L74" s="389"/>
      <c r="M74" s="389" t="s">
        <v>85</v>
      </c>
      <c r="N74" s="389"/>
      <c r="O74" s="389" t="s">
        <v>85</v>
      </c>
      <c r="P74" s="389"/>
      <c r="Q74" s="389"/>
      <c r="R74" s="389"/>
      <c r="S74" s="389" t="s">
        <v>85</v>
      </c>
      <c r="T74" s="394"/>
      <c r="U74" s="389" t="s">
        <v>85</v>
      </c>
      <c r="V74" s="394"/>
      <c r="W74" s="389" t="s">
        <v>85</v>
      </c>
      <c r="X74" s="394"/>
      <c r="Y74" s="394" t="s">
        <v>85</v>
      </c>
      <c r="Z74" s="389"/>
      <c r="AA74" s="391">
        <f>COUNTIF(C74:Z74,"&gt;=R")</f>
        <v>10</v>
      </c>
      <c r="AB74" s="392">
        <f>AA74</f>
        <v>10</v>
      </c>
    </row>
    <row r="75" ht="39.75" customHeight="1">
      <c r="A75" s="395" t="s">
        <v>219</v>
      </c>
      <c r="B75" s="396" t="s">
        <v>220</v>
      </c>
      <c r="C75" s="397"/>
      <c r="D75" s="398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401"/>
      <c r="AC75" s="404"/>
      <c r="AD75" s="404"/>
      <c r="AE75" s="404"/>
      <c r="AF75" s="404"/>
      <c r="AG75" s="404"/>
      <c r="AH75" s="404"/>
      <c r="AI75" s="404"/>
    </row>
    <row r="76" ht="39.75" customHeight="1">
      <c r="A76" s="385" t="s">
        <v>221</v>
      </c>
      <c r="B76" s="386" t="s">
        <v>222</v>
      </c>
      <c r="C76" s="388" t="s">
        <v>38</v>
      </c>
      <c r="D76" s="388"/>
      <c r="E76" s="860" t="s">
        <v>91</v>
      </c>
      <c r="F76" s="389"/>
      <c r="G76" s="389" t="s">
        <v>91</v>
      </c>
      <c r="H76" s="389"/>
      <c r="I76" s="389" t="s">
        <v>91</v>
      </c>
      <c r="J76" s="389"/>
      <c r="K76" s="389" t="s">
        <v>91</v>
      </c>
      <c r="L76" s="389"/>
      <c r="M76" s="389" t="s">
        <v>91</v>
      </c>
      <c r="N76" s="389"/>
      <c r="O76" s="389" t="s">
        <v>91</v>
      </c>
      <c r="P76" s="389"/>
      <c r="Q76" s="389"/>
      <c r="R76" s="389"/>
      <c r="S76" s="389" t="s">
        <v>91</v>
      </c>
      <c r="T76" s="389"/>
      <c r="U76" s="389" t="s">
        <v>91</v>
      </c>
      <c r="V76" s="389"/>
      <c r="W76" s="389" t="s">
        <v>91</v>
      </c>
      <c r="X76" s="389"/>
      <c r="Y76" s="389" t="s">
        <v>91</v>
      </c>
      <c r="Z76" s="389"/>
      <c r="AA76" s="391">
        <f t="shared" ref="AA76:AA82" si="19">COUNTIF(C76:Z76,"&gt;=R")</f>
        <v>11</v>
      </c>
      <c r="AB76" s="392">
        <f t="shared" ref="AB76:AB82" si="20">AA76</f>
        <v>11</v>
      </c>
    </row>
    <row r="77" ht="39.75" customHeight="1">
      <c r="A77" s="407" t="s">
        <v>223</v>
      </c>
      <c r="B77" s="408" t="s">
        <v>224</v>
      </c>
      <c r="C77" s="387"/>
      <c r="D77" s="388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91">
        <f t="shared" si="19"/>
        <v>0</v>
      </c>
      <c r="AB77" s="392">
        <f t="shared" si="20"/>
        <v>0</v>
      </c>
    </row>
    <row r="78" ht="39.75" customHeight="1">
      <c r="A78" s="385" t="s">
        <v>225</v>
      </c>
      <c r="B78" s="386" t="s">
        <v>226</v>
      </c>
      <c r="C78" s="388" t="s">
        <v>38</v>
      </c>
      <c r="D78" s="388"/>
      <c r="E78" s="860" t="s">
        <v>91</v>
      </c>
      <c r="F78" s="389"/>
      <c r="G78" s="860" t="s">
        <v>91</v>
      </c>
      <c r="H78" s="389"/>
      <c r="I78" s="389" t="s">
        <v>91</v>
      </c>
      <c r="J78" s="389"/>
      <c r="K78" s="389" t="s">
        <v>91</v>
      </c>
      <c r="L78" s="389"/>
      <c r="M78" s="389" t="s">
        <v>91</v>
      </c>
      <c r="N78" s="389"/>
      <c r="O78" s="389" t="s">
        <v>91</v>
      </c>
      <c r="P78" s="389"/>
      <c r="Q78" s="389"/>
      <c r="R78" s="389"/>
      <c r="S78" s="389" t="s">
        <v>91</v>
      </c>
      <c r="T78" s="389"/>
      <c r="U78" s="389" t="s">
        <v>91</v>
      </c>
      <c r="V78" s="389"/>
      <c r="W78" s="389" t="s">
        <v>91</v>
      </c>
      <c r="X78" s="389"/>
      <c r="Y78" s="389" t="s">
        <v>91</v>
      </c>
      <c r="Z78" s="389"/>
      <c r="AA78" s="391">
        <f t="shared" si="19"/>
        <v>11</v>
      </c>
      <c r="AB78" s="392">
        <f t="shared" si="20"/>
        <v>11</v>
      </c>
    </row>
    <row r="79" ht="39.75" customHeight="1">
      <c r="A79" s="385" t="s">
        <v>227</v>
      </c>
      <c r="B79" s="386" t="s">
        <v>228</v>
      </c>
      <c r="C79" s="387"/>
      <c r="D79" s="388"/>
      <c r="E79" s="387"/>
      <c r="F79" s="389"/>
      <c r="G79" s="387"/>
      <c r="H79" s="389"/>
      <c r="I79" s="387"/>
      <c r="J79" s="389"/>
      <c r="K79" s="387"/>
      <c r="L79" s="389"/>
      <c r="M79" s="387"/>
      <c r="N79" s="389"/>
      <c r="O79" s="387"/>
      <c r="P79" s="389"/>
      <c r="Q79" s="387"/>
      <c r="R79" s="389"/>
      <c r="S79" s="387"/>
      <c r="T79" s="389"/>
      <c r="U79" s="387"/>
      <c r="V79" s="389"/>
      <c r="W79" s="387"/>
      <c r="X79" s="389"/>
      <c r="Y79" s="387"/>
      <c r="Z79" s="389"/>
      <c r="AA79" s="391">
        <f t="shared" si="19"/>
        <v>0</v>
      </c>
      <c r="AB79" s="392">
        <f t="shared" si="20"/>
        <v>0</v>
      </c>
      <c r="AC79" s="404"/>
      <c r="AD79" s="404"/>
      <c r="AE79" s="404"/>
      <c r="AF79" s="404"/>
      <c r="AG79" s="404"/>
      <c r="AH79" s="404"/>
      <c r="AI79" s="404"/>
    </row>
    <row r="80" ht="39.75" customHeight="1">
      <c r="A80" s="385" t="s">
        <v>229</v>
      </c>
      <c r="B80" s="386" t="s">
        <v>230</v>
      </c>
      <c r="C80" s="387"/>
      <c r="D80" s="388"/>
      <c r="E80" s="387"/>
      <c r="F80" s="389"/>
      <c r="G80" s="387"/>
      <c r="H80" s="389"/>
      <c r="I80" s="387"/>
      <c r="J80" s="389"/>
      <c r="K80" s="387"/>
      <c r="L80" s="389"/>
      <c r="M80" s="387"/>
      <c r="N80" s="389"/>
      <c r="O80" s="387"/>
      <c r="P80" s="389"/>
      <c r="Q80" s="387"/>
      <c r="R80" s="389"/>
      <c r="S80" s="387"/>
      <c r="T80" s="389"/>
      <c r="U80" s="387"/>
      <c r="V80" s="389"/>
      <c r="W80" s="387"/>
      <c r="X80" s="389"/>
      <c r="Y80" s="387"/>
      <c r="Z80" s="389"/>
      <c r="AA80" s="391">
        <f t="shared" si="19"/>
        <v>0</v>
      </c>
      <c r="AB80" s="392">
        <f t="shared" si="20"/>
        <v>0</v>
      </c>
    </row>
    <row r="81" ht="39.75" customHeight="1">
      <c r="A81" s="385" t="s">
        <v>231</v>
      </c>
      <c r="B81" s="386" t="s">
        <v>232</v>
      </c>
      <c r="C81" s="387" t="s">
        <v>38</v>
      </c>
      <c r="D81" s="387"/>
      <c r="E81" s="394" t="s">
        <v>37</v>
      </c>
      <c r="F81" s="389"/>
      <c r="G81" s="389" t="s">
        <v>37</v>
      </c>
      <c r="H81" s="389"/>
      <c r="I81" s="389" t="s">
        <v>37</v>
      </c>
      <c r="J81" s="389"/>
      <c r="K81" s="389" t="s">
        <v>37</v>
      </c>
      <c r="L81" s="389"/>
      <c r="M81" s="389" t="s">
        <v>37</v>
      </c>
      <c r="N81" s="389"/>
      <c r="O81" s="389" t="s">
        <v>37</v>
      </c>
      <c r="P81" s="389"/>
      <c r="Q81" s="389"/>
      <c r="R81" s="389"/>
      <c r="S81" s="389" t="s">
        <v>37</v>
      </c>
      <c r="T81" s="389"/>
      <c r="U81" s="389" t="s">
        <v>37</v>
      </c>
      <c r="V81" s="389"/>
      <c r="W81" s="389" t="s">
        <v>37</v>
      </c>
      <c r="X81" s="389"/>
      <c r="Y81" s="389" t="s">
        <v>37</v>
      </c>
      <c r="Z81" s="389"/>
      <c r="AA81" s="391">
        <f t="shared" si="19"/>
        <v>11</v>
      </c>
      <c r="AB81" s="392">
        <f t="shared" si="20"/>
        <v>11</v>
      </c>
      <c r="AC81" s="404"/>
      <c r="AD81" s="404"/>
      <c r="AE81" s="404"/>
      <c r="AF81" s="404"/>
      <c r="AG81" s="404"/>
      <c r="AH81" s="404"/>
      <c r="AI81" s="404"/>
    </row>
    <row r="82" ht="39.75" customHeight="1">
      <c r="A82" s="404" t="s">
        <v>233</v>
      </c>
      <c r="B82" s="794" t="s">
        <v>234</v>
      </c>
      <c r="C82" s="387" t="s">
        <v>38</v>
      </c>
      <c r="D82" s="388"/>
      <c r="E82" s="860" t="s">
        <v>91</v>
      </c>
      <c r="F82" s="389"/>
      <c r="G82" s="860" t="s">
        <v>91</v>
      </c>
      <c r="H82" s="389"/>
      <c r="I82" s="389" t="s">
        <v>91</v>
      </c>
      <c r="J82" s="389"/>
      <c r="K82" s="389" t="s">
        <v>91</v>
      </c>
      <c r="L82" s="389"/>
      <c r="M82" s="389" t="s">
        <v>91</v>
      </c>
      <c r="N82" s="389"/>
      <c r="O82" s="389" t="s">
        <v>91</v>
      </c>
      <c r="P82" s="389"/>
      <c r="Q82" s="389"/>
      <c r="R82" s="389"/>
      <c r="S82" s="389" t="s">
        <v>91</v>
      </c>
      <c r="T82" s="389"/>
      <c r="U82" s="389" t="s">
        <v>91</v>
      </c>
      <c r="V82" s="389"/>
      <c r="W82" s="389" t="s">
        <v>91</v>
      </c>
      <c r="X82" s="389"/>
      <c r="Y82" s="389" t="s">
        <v>91</v>
      </c>
      <c r="Z82" s="389"/>
      <c r="AA82" s="391">
        <f t="shared" si="19"/>
        <v>11</v>
      </c>
      <c r="AB82" s="392">
        <f t="shared" si="20"/>
        <v>11</v>
      </c>
    </row>
    <row r="83" ht="39.75" customHeight="1">
      <c r="A83" s="395" t="s">
        <v>235</v>
      </c>
      <c r="B83" s="396" t="s">
        <v>236</v>
      </c>
      <c r="C83" s="397"/>
      <c r="D83" s="398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401"/>
    </row>
    <row r="84" ht="39.75" customHeight="1">
      <c r="A84" s="414" t="s">
        <v>237</v>
      </c>
      <c r="B84" s="415" t="s">
        <v>238</v>
      </c>
      <c r="C84" s="387"/>
      <c r="D84" s="387"/>
      <c r="E84" s="394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91"/>
      <c r="AB84" s="392"/>
    </row>
    <row r="85" ht="39.75" customHeight="1">
      <c r="A85" s="385" t="s">
        <v>239</v>
      </c>
      <c r="B85" s="386" t="s">
        <v>139</v>
      </c>
      <c r="C85" s="388"/>
      <c r="D85" s="387"/>
      <c r="E85" s="389"/>
      <c r="F85" s="389"/>
      <c r="G85" s="389"/>
      <c r="H85" s="389"/>
      <c r="I85" s="389"/>
      <c r="J85" s="389"/>
      <c r="K85" s="389"/>
      <c r="L85" s="389"/>
      <c r="M85" s="389" t="s">
        <v>77</v>
      </c>
      <c r="N85" s="389"/>
      <c r="O85" s="389" t="s">
        <v>77</v>
      </c>
      <c r="P85" s="389"/>
      <c r="Q85" s="389"/>
      <c r="R85" s="389"/>
      <c r="S85" s="389" t="s">
        <v>77</v>
      </c>
      <c r="T85" s="389"/>
      <c r="U85" s="389"/>
      <c r="V85" s="389"/>
      <c r="W85" s="389"/>
      <c r="X85" s="389"/>
      <c r="Y85" s="387"/>
      <c r="Z85" s="389"/>
      <c r="AA85" s="391">
        <f>COUNTIF(C85:Z85,"&gt;=R")</f>
        <v>3</v>
      </c>
      <c r="AB85" s="392">
        <f>AA85</f>
        <v>3</v>
      </c>
      <c r="AC85" s="404"/>
      <c r="AD85" s="404"/>
      <c r="AE85" s="404"/>
      <c r="AF85" s="404"/>
      <c r="AG85" s="404"/>
      <c r="AH85" s="404"/>
      <c r="AI85" s="404"/>
    </row>
    <row r="86" ht="39.75" customHeight="1">
      <c r="A86" s="414" t="s">
        <v>240</v>
      </c>
      <c r="B86" s="415" t="s">
        <v>241</v>
      </c>
      <c r="C86" s="387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91"/>
      <c r="AB86" s="392"/>
    </row>
    <row r="87" ht="39.75" customHeight="1">
      <c r="A87" s="411" t="s">
        <v>242</v>
      </c>
      <c r="B87" s="412" t="s">
        <v>243</v>
      </c>
      <c r="C87" s="388"/>
      <c r="D87" s="387"/>
      <c r="E87" s="389"/>
      <c r="F87" s="389"/>
      <c r="G87" s="389"/>
      <c r="H87" s="389"/>
      <c r="I87" s="389"/>
      <c r="J87" s="389"/>
      <c r="K87" s="389"/>
      <c r="L87" s="389"/>
      <c r="M87" s="389" t="s">
        <v>77</v>
      </c>
      <c r="N87" s="389"/>
      <c r="O87" s="389" t="s">
        <v>77</v>
      </c>
      <c r="P87" s="389"/>
      <c r="Q87" s="389"/>
      <c r="R87" s="389"/>
      <c r="S87" s="389" t="s">
        <v>77</v>
      </c>
      <c r="T87" s="389"/>
      <c r="U87" s="389"/>
      <c r="V87" s="389"/>
      <c r="W87" s="389"/>
      <c r="X87" s="389"/>
      <c r="Y87" s="387"/>
      <c r="Z87" s="389"/>
      <c r="AA87" s="391">
        <f t="shared" ref="AA87:AA88" si="21">COUNTIF(C87:Z87,"&gt;=R")</f>
        <v>3</v>
      </c>
      <c r="AB87" s="392">
        <f t="shared" ref="AB87:AB88" si="22">AA87</f>
        <v>3</v>
      </c>
    </row>
    <row r="88" ht="39.75" customHeight="1">
      <c r="A88" s="411" t="s">
        <v>244</v>
      </c>
      <c r="B88" s="412" t="s">
        <v>245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91">
        <f t="shared" si="21"/>
        <v>0</v>
      </c>
      <c r="AB88" s="392">
        <f t="shared" si="22"/>
        <v>0</v>
      </c>
    </row>
    <row r="89" ht="39.75" customHeight="1">
      <c r="A89" s="414" t="s">
        <v>246</v>
      </c>
      <c r="B89" s="415" t="s">
        <v>247</v>
      </c>
      <c r="C89" s="387"/>
      <c r="D89" s="387"/>
      <c r="E89" s="394"/>
      <c r="F89" s="389"/>
      <c r="G89" s="389"/>
      <c r="H89" s="389"/>
      <c r="I89" s="389"/>
      <c r="J89" s="389"/>
      <c r="K89" s="389"/>
      <c r="L89" s="389"/>
      <c r="M89" s="394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91"/>
      <c r="AB89" s="392"/>
    </row>
    <row r="90" ht="39.75" customHeight="1">
      <c r="A90" s="411" t="s">
        <v>248</v>
      </c>
      <c r="B90" s="412" t="s">
        <v>249</v>
      </c>
      <c r="C90" s="388"/>
      <c r="D90" s="387"/>
      <c r="E90" s="389" t="s">
        <v>18</v>
      </c>
      <c r="F90" s="389"/>
      <c r="G90" s="389" t="s">
        <v>68</v>
      </c>
      <c r="H90" s="389"/>
      <c r="I90" s="389" t="s">
        <v>68</v>
      </c>
      <c r="J90" s="389"/>
      <c r="K90" s="389" t="s">
        <v>68</v>
      </c>
      <c r="L90" s="389"/>
      <c r="M90" s="389" t="s">
        <v>68</v>
      </c>
      <c r="N90" s="389"/>
      <c r="O90" s="389" t="s">
        <v>68</v>
      </c>
      <c r="P90" s="389"/>
      <c r="Q90" s="389"/>
      <c r="R90" s="389"/>
      <c r="S90" s="389" t="s">
        <v>18</v>
      </c>
      <c r="T90" s="389"/>
      <c r="U90" s="389" t="s">
        <v>18</v>
      </c>
      <c r="V90" s="389"/>
      <c r="W90" s="389" t="s">
        <v>18</v>
      </c>
      <c r="X90" s="389"/>
      <c r="Y90" s="387" t="s">
        <v>18</v>
      </c>
      <c r="Z90" s="389"/>
      <c r="AA90" s="391">
        <f t="shared" ref="AA90:AA91" si="23">COUNTIF(C90:Z90,"&gt;=R")</f>
        <v>10</v>
      </c>
      <c r="AB90" s="392">
        <f t="shared" ref="AB90:AB91" si="24">AA90</f>
        <v>10</v>
      </c>
    </row>
    <row r="91" ht="39.75" customHeight="1">
      <c r="A91" s="411" t="s">
        <v>250</v>
      </c>
      <c r="B91" s="412" t="s">
        <v>251</v>
      </c>
      <c r="C91" s="388"/>
      <c r="D91" s="387"/>
      <c r="E91" s="389" t="s">
        <v>18</v>
      </c>
      <c r="F91" s="389"/>
      <c r="G91" s="389" t="s">
        <v>68</v>
      </c>
      <c r="H91" s="389"/>
      <c r="I91" s="389" t="s">
        <v>68</v>
      </c>
      <c r="J91" s="389"/>
      <c r="K91" s="389" t="s">
        <v>68</v>
      </c>
      <c r="L91" s="389"/>
      <c r="M91" s="389" t="s">
        <v>68</v>
      </c>
      <c r="N91" s="389"/>
      <c r="O91" s="389" t="s">
        <v>68</v>
      </c>
      <c r="P91" s="389"/>
      <c r="Q91" s="389"/>
      <c r="R91" s="389"/>
      <c r="S91" s="389" t="s">
        <v>18</v>
      </c>
      <c r="T91" s="389"/>
      <c r="U91" s="389" t="s">
        <v>18</v>
      </c>
      <c r="V91" s="389"/>
      <c r="W91" s="389" t="s">
        <v>18</v>
      </c>
      <c r="X91" s="389"/>
      <c r="Y91" s="387" t="s">
        <v>18</v>
      </c>
      <c r="Z91" s="389"/>
      <c r="AA91" s="391">
        <f t="shared" si="23"/>
        <v>10</v>
      </c>
      <c r="AB91" s="392">
        <f t="shared" si="24"/>
        <v>10</v>
      </c>
    </row>
    <row r="92" ht="39.75" customHeight="1">
      <c r="A92" s="414" t="s">
        <v>252</v>
      </c>
      <c r="B92" s="415" t="s">
        <v>253</v>
      </c>
      <c r="C92" s="387"/>
      <c r="D92" s="387"/>
      <c r="E92" s="394"/>
      <c r="F92" s="389"/>
      <c r="G92" s="394"/>
      <c r="H92" s="389"/>
      <c r="I92" s="394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91"/>
      <c r="AB92" s="392"/>
      <c r="AC92" s="404"/>
      <c r="AD92" s="404"/>
      <c r="AE92" s="404"/>
      <c r="AF92" s="404"/>
      <c r="AG92" s="404"/>
      <c r="AH92" s="404"/>
      <c r="AI92" s="404"/>
    </row>
    <row r="93" ht="39.75" customHeight="1">
      <c r="A93" s="385" t="s">
        <v>254</v>
      </c>
      <c r="B93" s="386" t="s">
        <v>255</v>
      </c>
      <c r="C93" s="387"/>
      <c r="D93" s="387"/>
      <c r="E93" s="387"/>
      <c r="F93" s="389"/>
      <c r="G93" s="387"/>
      <c r="H93" s="389"/>
      <c r="I93" s="387" t="s">
        <v>68</v>
      </c>
      <c r="J93" s="389"/>
      <c r="K93" s="387" t="s">
        <v>68</v>
      </c>
      <c r="L93" s="389"/>
      <c r="M93" s="387" t="s">
        <v>77</v>
      </c>
      <c r="N93" s="389"/>
      <c r="O93" s="387" t="s">
        <v>68</v>
      </c>
      <c r="P93" s="389"/>
      <c r="Q93" s="387"/>
      <c r="R93" s="389"/>
      <c r="S93" s="387" t="s">
        <v>77</v>
      </c>
      <c r="T93" s="389"/>
      <c r="U93" s="387"/>
      <c r="V93" s="389"/>
      <c r="W93" s="387"/>
      <c r="X93" s="389"/>
      <c r="Y93" s="387"/>
      <c r="Z93" s="389"/>
      <c r="AA93" s="391">
        <f t="shared" ref="AA93:AA96" si="25">COUNTIF(C93:Z93,"&gt;=R")</f>
        <v>5</v>
      </c>
      <c r="AB93" s="392">
        <f t="shared" ref="AB93:AB96" si="26">AA93</f>
        <v>5</v>
      </c>
      <c r="AC93" s="404"/>
      <c r="AD93" s="404"/>
      <c r="AE93" s="404"/>
      <c r="AF93" s="404"/>
      <c r="AG93" s="404"/>
      <c r="AH93" s="404"/>
      <c r="AI93" s="404"/>
    </row>
    <row r="94" ht="39.75" customHeight="1">
      <c r="A94" s="385" t="s">
        <v>256</v>
      </c>
      <c r="B94" s="386" t="s">
        <v>257</v>
      </c>
      <c r="C94" s="387"/>
      <c r="D94" s="388"/>
      <c r="E94" s="387"/>
      <c r="F94" s="389"/>
      <c r="G94" s="387"/>
      <c r="H94" s="389"/>
      <c r="I94" s="387"/>
      <c r="J94" s="389"/>
      <c r="K94" s="387"/>
      <c r="L94" s="389"/>
      <c r="M94" s="387" t="s">
        <v>77</v>
      </c>
      <c r="N94" s="389"/>
      <c r="O94" s="387" t="s">
        <v>77</v>
      </c>
      <c r="P94" s="389"/>
      <c r="Q94" s="387"/>
      <c r="R94" s="389"/>
      <c r="S94" s="387" t="s">
        <v>77</v>
      </c>
      <c r="T94" s="389"/>
      <c r="U94" s="387"/>
      <c r="V94" s="389"/>
      <c r="W94" s="387"/>
      <c r="X94" s="389"/>
      <c r="Y94" s="387"/>
      <c r="Z94" s="389"/>
      <c r="AA94" s="391">
        <f t="shared" si="25"/>
        <v>3</v>
      </c>
      <c r="AB94" s="392">
        <f t="shared" si="26"/>
        <v>3</v>
      </c>
    </row>
    <row r="95" ht="39.75" customHeight="1">
      <c r="A95" s="385" t="s">
        <v>258</v>
      </c>
      <c r="B95" s="386" t="s">
        <v>259</v>
      </c>
      <c r="C95" s="387"/>
      <c r="D95" s="388"/>
      <c r="E95" s="387"/>
      <c r="F95" s="389"/>
      <c r="G95" s="387"/>
      <c r="H95" s="389"/>
      <c r="I95" s="387"/>
      <c r="J95" s="389"/>
      <c r="K95" s="387"/>
      <c r="L95" s="389"/>
      <c r="M95" s="387" t="s">
        <v>77</v>
      </c>
      <c r="N95" s="389"/>
      <c r="O95" s="387" t="s">
        <v>77</v>
      </c>
      <c r="P95" s="389"/>
      <c r="Q95" s="387"/>
      <c r="R95" s="389"/>
      <c r="S95" s="387" t="s">
        <v>77</v>
      </c>
      <c r="T95" s="389"/>
      <c r="U95" s="387"/>
      <c r="V95" s="389"/>
      <c r="W95" s="387"/>
      <c r="X95" s="389"/>
      <c r="Y95" s="387"/>
      <c r="Z95" s="389"/>
      <c r="AA95" s="391">
        <f t="shared" si="25"/>
        <v>3</v>
      </c>
      <c r="AB95" s="392">
        <f t="shared" si="26"/>
        <v>3</v>
      </c>
      <c r="AC95" s="404"/>
      <c r="AD95" s="404"/>
      <c r="AE95" s="404"/>
      <c r="AF95" s="404"/>
      <c r="AG95" s="404"/>
      <c r="AH95" s="404"/>
      <c r="AI95" s="404"/>
    </row>
    <row r="96" ht="39.75" customHeight="1">
      <c r="A96" s="385" t="s">
        <v>260</v>
      </c>
      <c r="B96" s="386" t="s">
        <v>261</v>
      </c>
      <c r="C96" s="387"/>
      <c r="D96" s="388"/>
      <c r="E96" s="387"/>
      <c r="F96" s="389"/>
      <c r="G96" s="387"/>
      <c r="H96" s="389"/>
      <c r="I96" s="387" t="s">
        <v>68</v>
      </c>
      <c r="J96" s="389"/>
      <c r="K96" s="387" t="s">
        <v>68</v>
      </c>
      <c r="L96" s="389"/>
      <c r="M96" s="387" t="s">
        <v>77</v>
      </c>
      <c r="N96" s="389"/>
      <c r="O96" s="387" t="s">
        <v>68</v>
      </c>
      <c r="P96" s="389"/>
      <c r="Q96" s="387"/>
      <c r="R96" s="389"/>
      <c r="S96" s="387" t="s">
        <v>77</v>
      </c>
      <c r="T96" s="389"/>
      <c r="U96" s="387"/>
      <c r="V96" s="389"/>
      <c r="W96" s="387"/>
      <c r="X96" s="389"/>
      <c r="Y96" s="387"/>
      <c r="Z96" s="389"/>
      <c r="AA96" s="391">
        <f t="shared" si="25"/>
        <v>5</v>
      </c>
      <c r="AB96" s="392">
        <f t="shared" si="26"/>
        <v>5</v>
      </c>
      <c r="AC96" s="404"/>
      <c r="AD96" s="404"/>
      <c r="AE96" s="404"/>
      <c r="AF96" s="404"/>
      <c r="AG96" s="404"/>
      <c r="AH96" s="404"/>
      <c r="AI96" s="404"/>
    </row>
    <row r="97" ht="39.75" customHeight="1">
      <c r="A97" s="414" t="s">
        <v>262</v>
      </c>
      <c r="B97" s="415" t="s">
        <v>263</v>
      </c>
      <c r="C97" s="387"/>
      <c r="D97" s="388"/>
      <c r="E97" s="389"/>
      <c r="F97" s="389"/>
      <c r="G97" s="394"/>
      <c r="H97" s="389"/>
      <c r="I97" s="394"/>
      <c r="J97" s="389"/>
      <c r="K97" s="394"/>
      <c r="L97" s="389"/>
      <c r="M97" s="389"/>
      <c r="N97" s="389"/>
      <c r="O97" s="389"/>
      <c r="P97" s="389"/>
      <c r="Q97" s="389"/>
      <c r="R97" s="389"/>
      <c r="S97" s="389"/>
      <c r="T97" s="389"/>
      <c r="U97" s="394"/>
      <c r="V97" s="389"/>
      <c r="W97" s="394"/>
      <c r="X97" s="389"/>
      <c r="Y97" s="394"/>
      <c r="Z97" s="389"/>
      <c r="AA97" s="391"/>
      <c r="AB97" s="392"/>
    </row>
    <row r="98" ht="39.75" customHeight="1">
      <c r="A98" s="411" t="s">
        <v>264</v>
      </c>
      <c r="B98" s="412" t="s">
        <v>265</v>
      </c>
      <c r="C98" s="387"/>
      <c r="D98" s="388"/>
      <c r="E98" s="389" t="s">
        <v>26</v>
      </c>
      <c r="F98" s="389"/>
      <c r="G98" s="389" t="s">
        <v>83</v>
      </c>
      <c r="H98" s="389"/>
      <c r="I98" s="389" t="s">
        <v>83</v>
      </c>
      <c r="J98" s="389"/>
      <c r="K98" s="389" t="s">
        <v>26</v>
      </c>
      <c r="L98" s="389"/>
      <c r="M98" s="389" t="s">
        <v>26</v>
      </c>
      <c r="N98" s="389"/>
      <c r="O98" s="389" t="s">
        <v>26</v>
      </c>
      <c r="P98" s="389"/>
      <c r="Q98" s="389"/>
      <c r="R98" s="389"/>
      <c r="S98" s="389" t="s">
        <v>83</v>
      </c>
      <c r="T98" s="389"/>
      <c r="U98" s="389" t="s">
        <v>83</v>
      </c>
      <c r="V98" s="389"/>
      <c r="W98" s="389" t="s">
        <v>83</v>
      </c>
      <c r="X98" s="389"/>
      <c r="Y98" s="389" t="s">
        <v>83</v>
      </c>
      <c r="Z98" s="389"/>
      <c r="AA98" s="391">
        <f>COUNTIF(C98:Z98,"&gt;=R")</f>
        <v>10</v>
      </c>
      <c r="AB98" s="392">
        <f>AA98</f>
        <v>10</v>
      </c>
    </row>
    <row r="99" ht="39.75" customHeight="1">
      <c r="A99" s="421" t="s">
        <v>266</v>
      </c>
      <c r="B99" s="396" t="s">
        <v>267</v>
      </c>
      <c r="C99" s="397"/>
      <c r="D99" s="398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401"/>
    </row>
    <row r="100" ht="39.75" customHeight="1">
      <c r="A100" s="385" t="s">
        <v>268</v>
      </c>
      <c r="B100" s="386" t="s">
        <v>269</v>
      </c>
      <c r="C100" s="388"/>
      <c r="D100" s="388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91">
        <f t="shared" ref="AA100:AA101" si="27">COUNTIF(C100:Z100,"&gt;=R")</f>
        <v>0</v>
      </c>
      <c r="AB100" s="392">
        <f t="shared" ref="AB100:AB101" si="28">AA100</f>
        <v>0</v>
      </c>
    </row>
    <row r="101" ht="39.75" customHeight="1">
      <c r="A101" s="385" t="s">
        <v>270</v>
      </c>
      <c r="B101" s="386" t="s">
        <v>271</v>
      </c>
      <c r="C101" s="388"/>
      <c r="D101" s="388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91">
        <f t="shared" si="27"/>
        <v>0</v>
      </c>
      <c r="AB101" s="392">
        <f t="shared" si="28"/>
        <v>0</v>
      </c>
    </row>
    <row r="102" ht="39.75" customHeight="1">
      <c r="A102" s="421" t="s">
        <v>272</v>
      </c>
      <c r="B102" s="396" t="s">
        <v>273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401"/>
      <c r="AC102" s="404"/>
      <c r="AD102" s="404"/>
      <c r="AE102" s="404"/>
      <c r="AF102" s="404"/>
      <c r="AG102" s="404"/>
      <c r="AH102" s="404"/>
      <c r="AI102" s="404"/>
    </row>
    <row r="103" ht="39.75" customHeight="1">
      <c r="A103" s="385" t="s">
        <v>274</v>
      </c>
      <c r="B103" s="386" t="s">
        <v>275</v>
      </c>
      <c r="C103" s="387"/>
      <c r="D103" s="387"/>
      <c r="E103" s="387"/>
      <c r="F103" s="389"/>
      <c r="G103" s="387"/>
      <c r="H103" s="389"/>
      <c r="I103" s="387"/>
      <c r="J103" s="389"/>
      <c r="K103" s="387"/>
      <c r="L103" s="389"/>
      <c r="M103" s="387"/>
      <c r="N103" s="389"/>
      <c r="O103" s="387"/>
      <c r="P103" s="389"/>
      <c r="Q103" s="387"/>
      <c r="R103" s="389"/>
      <c r="S103" s="387"/>
      <c r="T103" s="389"/>
      <c r="U103" s="387"/>
      <c r="V103" s="389"/>
      <c r="W103" s="387"/>
      <c r="X103" s="389"/>
      <c r="Y103" s="387"/>
      <c r="Z103" s="389"/>
      <c r="AA103" s="391">
        <f t="shared" ref="AA103:AA104" si="29">COUNTIF(C103:Z103,"&gt;=R")</f>
        <v>0</v>
      </c>
      <c r="AB103" s="392">
        <f t="shared" ref="AB103:AB104" si="30">AA103</f>
        <v>0</v>
      </c>
    </row>
    <row r="104" ht="39.75" customHeight="1">
      <c r="A104" s="385" t="s">
        <v>276</v>
      </c>
      <c r="B104" s="386" t="s">
        <v>277</v>
      </c>
      <c r="C104" s="387" t="s">
        <v>68</v>
      </c>
      <c r="D104" s="388"/>
      <c r="E104" s="387" t="s">
        <v>76</v>
      </c>
      <c r="F104" s="389"/>
      <c r="G104" s="387" t="s">
        <v>76</v>
      </c>
      <c r="H104" s="389"/>
      <c r="I104" s="387" t="s">
        <v>76</v>
      </c>
      <c r="J104" s="389"/>
      <c r="K104" s="394" t="s">
        <v>76</v>
      </c>
      <c r="L104" s="389"/>
      <c r="M104" s="394" t="s">
        <v>76</v>
      </c>
      <c r="N104" s="389"/>
      <c r="O104" s="394" t="s">
        <v>76</v>
      </c>
      <c r="P104" s="389"/>
      <c r="Q104" s="394"/>
      <c r="R104" s="389"/>
      <c r="S104" s="389" t="s">
        <v>76</v>
      </c>
      <c r="T104" s="389"/>
      <c r="U104" s="389" t="s">
        <v>76</v>
      </c>
      <c r="V104" s="389"/>
      <c r="W104" s="389" t="s">
        <v>76</v>
      </c>
      <c r="X104" s="389"/>
      <c r="Y104" s="389" t="s">
        <v>76</v>
      </c>
      <c r="Z104" s="389"/>
      <c r="AA104" s="391">
        <f t="shared" si="29"/>
        <v>11</v>
      </c>
      <c r="AB104" s="392">
        <f t="shared" si="30"/>
        <v>11</v>
      </c>
      <c r="AC104" s="404"/>
      <c r="AD104" s="404"/>
      <c r="AE104" s="404"/>
      <c r="AF104" s="404"/>
      <c r="AG104" s="404"/>
      <c r="AH104" s="404"/>
      <c r="AI104" s="404"/>
    </row>
    <row r="105" ht="39.75" customHeight="1">
      <c r="A105" s="395" t="s">
        <v>278</v>
      </c>
      <c r="B105" s="396" t="s">
        <v>279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401"/>
      <c r="AC105" s="404"/>
      <c r="AD105" s="404"/>
      <c r="AE105" s="404"/>
      <c r="AF105" s="404"/>
      <c r="AG105" s="404"/>
      <c r="AH105" s="404"/>
      <c r="AI105" s="404"/>
    </row>
    <row r="106" ht="39.75" customHeight="1">
      <c r="A106" s="414" t="s">
        <v>280</v>
      </c>
      <c r="B106" s="415" t="s">
        <v>281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91"/>
      <c r="AB106" s="392"/>
    </row>
    <row r="107" ht="39.75" customHeight="1">
      <c r="A107" s="404" t="s">
        <v>282</v>
      </c>
      <c r="B107" s="794" t="s">
        <v>283</v>
      </c>
      <c r="C107" s="387"/>
      <c r="D107" s="388"/>
      <c r="E107" s="389"/>
      <c r="F107" s="389"/>
      <c r="G107" s="394"/>
      <c r="H107" s="389"/>
      <c r="I107" s="394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91">
        <f t="shared" ref="AA107:AA112" si="31">COUNTIF(C107:Z107,"&gt;=R")</f>
        <v>0</v>
      </c>
      <c r="AB107" s="392">
        <f t="shared" ref="AB107:AB112" si="32">AA107</f>
        <v>0</v>
      </c>
    </row>
    <row r="108" ht="39.75" customHeight="1">
      <c r="A108" s="411" t="s">
        <v>284</v>
      </c>
      <c r="B108" s="412" t="s">
        <v>285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91">
        <f t="shared" si="31"/>
        <v>0</v>
      </c>
      <c r="AB108" s="392">
        <f t="shared" si="32"/>
        <v>0</v>
      </c>
      <c r="AC108" s="404"/>
      <c r="AD108" s="404"/>
      <c r="AE108" s="404"/>
      <c r="AF108" s="404"/>
      <c r="AG108" s="404"/>
      <c r="AH108" s="404"/>
      <c r="AI108" s="404"/>
    </row>
    <row r="109" ht="39.75" customHeight="1">
      <c r="A109" s="414" t="s">
        <v>286</v>
      </c>
      <c r="B109" s="415" t="s">
        <v>287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91">
        <f t="shared" si="31"/>
        <v>0</v>
      </c>
      <c r="AB109" s="392">
        <f t="shared" si="32"/>
        <v>0</v>
      </c>
    </row>
    <row r="110" ht="39.75" customHeight="1">
      <c r="A110" s="385" t="s">
        <v>288</v>
      </c>
      <c r="B110" s="386" t="s">
        <v>289</v>
      </c>
      <c r="C110" s="388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91">
        <f t="shared" si="31"/>
        <v>0</v>
      </c>
      <c r="AB110" s="392">
        <f t="shared" si="32"/>
        <v>0</v>
      </c>
      <c r="AC110" s="404"/>
      <c r="AD110" s="404"/>
      <c r="AE110" s="404"/>
      <c r="AF110" s="404"/>
      <c r="AG110" s="404"/>
      <c r="AH110" s="404"/>
      <c r="AI110" s="404"/>
    </row>
    <row r="111" ht="39.75" customHeight="1">
      <c r="A111" s="385" t="s">
        <v>290</v>
      </c>
      <c r="B111" s="386" t="s">
        <v>291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87"/>
      <c r="V111" s="389"/>
      <c r="W111" s="387"/>
      <c r="X111" s="389"/>
      <c r="Y111" s="387"/>
      <c r="Z111" s="389"/>
      <c r="AA111" s="391">
        <f t="shared" si="31"/>
        <v>0</v>
      </c>
      <c r="AB111" s="392">
        <f t="shared" si="32"/>
        <v>0</v>
      </c>
    </row>
    <row r="112" ht="39.75" customHeight="1">
      <c r="A112" s="404" t="s">
        <v>292</v>
      </c>
      <c r="B112" s="794" t="s">
        <v>293</v>
      </c>
      <c r="C112" s="387"/>
      <c r="D112" s="388"/>
      <c r="E112" s="389"/>
      <c r="F112" s="389"/>
      <c r="G112" s="394"/>
      <c r="H112" s="389"/>
      <c r="I112" s="394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91">
        <f t="shared" si="31"/>
        <v>0</v>
      </c>
      <c r="AB112" s="392">
        <f t="shared" si="32"/>
        <v>0</v>
      </c>
    </row>
    <row r="113" ht="39.75" customHeight="1">
      <c r="A113" s="395" t="s">
        <v>294</v>
      </c>
      <c r="B113" s="422" t="s">
        <v>295</v>
      </c>
      <c r="C113" s="397"/>
      <c r="D113" s="398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  <c r="AA113" s="399"/>
      <c r="AB113" s="401"/>
      <c r="AC113" s="404"/>
      <c r="AD113" s="404"/>
      <c r="AE113" s="404"/>
      <c r="AF113" s="404"/>
      <c r="AG113" s="404"/>
      <c r="AH113" s="404"/>
      <c r="AI113" s="404"/>
    </row>
    <row r="114" ht="39.75" customHeight="1">
      <c r="A114" s="402" t="s">
        <v>296</v>
      </c>
      <c r="B114" s="386" t="s">
        <v>297</v>
      </c>
      <c r="C114" s="387"/>
      <c r="D114" s="388"/>
      <c r="E114" s="389" t="s">
        <v>37</v>
      </c>
      <c r="F114" s="389"/>
      <c r="G114" s="389" t="s">
        <v>37</v>
      </c>
      <c r="H114" s="389"/>
      <c r="I114" s="389" t="s">
        <v>37</v>
      </c>
      <c r="J114" s="389"/>
      <c r="K114" s="389" t="s">
        <v>37</v>
      </c>
      <c r="L114" s="389"/>
      <c r="M114" s="389" t="s">
        <v>37</v>
      </c>
      <c r="N114" s="389"/>
      <c r="O114" s="389" t="s">
        <v>27</v>
      </c>
      <c r="P114" s="389"/>
      <c r="Q114" s="389"/>
      <c r="R114" s="389"/>
      <c r="S114" s="389" t="s">
        <v>37</v>
      </c>
      <c r="T114" s="389"/>
      <c r="U114" s="389" t="s">
        <v>37</v>
      </c>
      <c r="V114" s="389"/>
      <c r="W114" s="389" t="s">
        <v>37</v>
      </c>
      <c r="X114" s="389"/>
      <c r="Y114" s="389" t="s">
        <v>37</v>
      </c>
      <c r="Z114" s="389"/>
      <c r="AA114" s="391">
        <f t="shared" ref="AA114:AA125" si="33">COUNTIF(C114:Z114,"&gt;=R")</f>
        <v>10</v>
      </c>
      <c r="AB114" s="392">
        <f t="shared" ref="AB114:AB125" si="34">AA114</f>
        <v>10</v>
      </c>
      <c r="AC114" s="404"/>
      <c r="AD114" s="404"/>
      <c r="AE114" s="404"/>
      <c r="AF114" s="404"/>
      <c r="AG114" s="404"/>
      <c r="AH114" s="404"/>
      <c r="AI114" s="404"/>
    </row>
    <row r="115" ht="39.75" customHeight="1">
      <c r="A115" s="402" t="s">
        <v>298</v>
      </c>
      <c r="B115" s="386" t="s">
        <v>299</v>
      </c>
      <c r="C115" s="387" t="s">
        <v>48</v>
      </c>
      <c r="D115" s="388"/>
      <c r="E115" s="389" t="s">
        <v>410</v>
      </c>
      <c r="F115" s="389"/>
      <c r="G115" s="394" t="s">
        <v>410</v>
      </c>
      <c r="H115" s="389"/>
      <c r="I115" s="394" t="s">
        <v>410</v>
      </c>
      <c r="J115" s="389"/>
      <c r="K115" s="394" t="s">
        <v>410</v>
      </c>
      <c r="L115" s="389"/>
      <c r="M115" s="389" t="s">
        <v>410</v>
      </c>
      <c r="N115" s="389"/>
      <c r="O115" s="389" t="s">
        <v>410</v>
      </c>
      <c r="P115" s="389"/>
      <c r="Q115" s="394"/>
      <c r="R115" s="389"/>
      <c r="S115" s="394" t="s">
        <v>410</v>
      </c>
      <c r="T115" s="389"/>
      <c r="U115" s="394" t="s">
        <v>410</v>
      </c>
      <c r="V115" s="389"/>
      <c r="W115" s="394" t="s">
        <v>410</v>
      </c>
      <c r="X115" s="389"/>
      <c r="Y115" s="394" t="s">
        <v>410</v>
      </c>
      <c r="Z115" s="389"/>
      <c r="AA115" s="391">
        <f t="shared" si="33"/>
        <v>11</v>
      </c>
      <c r="AB115" s="392">
        <f t="shared" si="34"/>
        <v>11</v>
      </c>
    </row>
    <row r="116" ht="39.75" customHeight="1">
      <c r="A116" s="402" t="s">
        <v>300</v>
      </c>
      <c r="B116" s="386" t="s">
        <v>301</v>
      </c>
      <c r="C116" s="387"/>
      <c r="D116" s="388"/>
      <c r="E116" s="387"/>
      <c r="F116" s="389"/>
      <c r="G116" s="387"/>
      <c r="H116" s="389"/>
      <c r="I116" s="387"/>
      <c r="J116" s="389"/>
      <c r="K116" s="387"/>
      <c r="L116" s="389"/>
      <c r="M116" s="387"/>
      <c r="N116" s="389"/>
      <c r="O116" s="387"/>
      <c r="P116" s="389"/>
      <c r="Q116" s="387"/>
      <c r="R116" s="389"/>
      <c r="S116" s="387"/>
      <c r="T116" s="389"/>
      <c r="U116" s="387"/>
      <c r="V116" s="389"/>
      <c r="W116" s="387"/>
      <c r="X116" s="389"/>
      <c r="Y116" s="387"/>
      <c r="Z116" s="389"/>
      <c r="AA116" s="391">
        <f t="shared" si="33"/>
        <v>0</v>
      </c>
      <c r="AB116" s="392">
        <f t="shared" si="34"/>
        <v>0</v>
      </c>
    </row>
    <row r="117" ht="39.75" customHeight="1">
      <c r="A117" s="402" t="s">
        <v>302</v>
      </c>
      <c r="B117" s="386" t="s">
        <v>303</v>
      </c>
      <c r="C117" s="388"/>
      <c r="D117" s="388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7"/>
      <c r="Z117" s="389"/>
      <c r="AA117" s="391">
        <f t="shared" si="33"/>
        <v>0</v>
      </c>
      <c r="AB117" s="392">
        <f t="shared" si="34"/>
        <v>0</v>
      </c>
      <c r="AC117" s="404"/>
      <c r="AD117" s="404"/>
      <c r="AE117" s="404"/>
      <c r="AF117" s="404"/>
      <c r="AG117" s="404"/>
      <c r="AH117" s="404"/>
      <c r="AI117" s="404"/>
    </row>
    <row r="118" ht="39.75" customHeight="1">
      <c r="A118" s="402" t="s">
        <v>304</v>
      </c>
      <c r="B118" s="386" t="s">
        <v>305</v>
      </c>
      <c r="C118" s="387"/>
      <c r="D118" s="388"/>
      <c r="E118" s="389"/>
      <c r="F118" s="389"/>
      <c r="G118" s="394"/>
      <c r="H118" s="389"/>
      <c r="I118" s="394"/>
      <c r="J118" s="389"/>
      <c r="K118" s="394"/>
      <c r="L118" s="389"/>
      <c r="M118" s="389"/>
      <c r="N118" s="389"/>
      <c r="O118" s="389"/>
      <c r="P118" s="389"/>
      <c r="Q118" s="394"/>
      <c r="R118" s="389"/>
      <c r="S118" s="394"/>
      <c r="T118" s="389"/>
      <c r="U118" s="389"/>
      <c r="V118" s="389"/>
      <c r="W118" s="389"/>
      <c r="X118" s="389"/>
      <c r="Y118" s="389"/>
      <c r="Z118" s="389"/>
      <c r="AA118" s="391">
        <f t="shared" si="33"/>
        <v>0</v>
      </c>
      <c r="AB118" s="392">
        <f t="shared" si="34"/>
        <v>0</v>
      </c>
    </row>
    <row r="119" ht="39.75" customHeight="1">
      <c r="A119" s="402" t="s">
        <v>306</v>
      </c>
      <c r="B119" s="386" t="s">
        <v>307</v>
      </c>
      <c r="C119" s="387"/>
      <c r="D119" s="388"/>
      <c r="E119" s="394"/>
      <c r="F119" s="389"/>
      <c r="G119" s="394"/>
      <c r="H119" s="389"/>
      <c r="I119" s="394"/>
      <c r="J119" s="389"/>
      <c r="K119" s="394"/>
      <c r="L119" s="389"/>
      <c r="M119" s="394"/>
      <c r="N119" s="389"/>
      <c r="O119" s="394"/>
      <c r="P119" s="389"/>
      <c r="Q119" s="394"/>
      <c r="R119" s="389"/>
      <c r="S119" s="394"/>
      <c r="T119" s="389"/>
      <c r="U119" s="394"/>
      <c r="V119" s="394"/>
      <c r="W119" s="394"/>
      <c r="X119" s="394"/>
      <c r="Y119" s="394"/>
      <c r="Z119" s="394"/>
      <c r="AA119" s="391">
        <f t="shared" si="33"/>
        <v>0</v>
      </c>
      <c r="AB119" s="392">
        <f t="shared" si="34"/>
        <v>0</v>
      </c>
    </row>
    <row r="120" ht="39.75" customHeight="1">
      <c r="A120" s="402" t="s">
        <v>308</v>
      </c>
      <c r="B120" s="386" t="s">
        <v>309</v>
      </c>
      <c r="C120" s="387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94"/>
      <c r="V120" s="394"/>
      <c r="W120" s="394"/>
      <c r="X120" s="394"/>
      <c r="Y120" s="394"/>
      <c r="Z120" s="394"/>
      <c r="AA120" s="391">
        <f t="shared" si="33"/>
        <v>0</v>
      </c>
      <c r="AB120" s="392">
        <f t="shared" si="34"/>
        <v>0</v>
      </c>
    </row>
    <row r="121" ht="39.75" customHeight="1">
      <c r="A121" s="402" t="s">
        <v>310</v>
      </c>
      <c r="B121" s="386" t="s">
        <v>311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  <c r="AA121" s="391">
        <f t="shared" si="33"/>
        <v>0</v>
      </c>
      <c r="AB121" s="392">
        <f t="shared" si="34"/>
        <v>0</v>
      </c>
    </row>
    <row r="122" ht="39.75" customHeight="1">
      <c r="A122" s="402" t="s">
        <v>312</v>
      </c>
      <c r="B122" s="386" t="s">
        <v>313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  <c r="AA122" s="391">
        <f t="shared" si="33"/>
        <v>0</v>
      </c>
      <c r="AB122" s="392">
        <f t="shared" si="34"/>
        <v>0</v>
      </c>
    </row>
    <row r="123" ht="39.75" customHeight="1">
      <c r="A123" s="402" t="s">
        <v>314</v>
      </c>
      <c r="B123" s="386" t="s">
        <v>315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1">
        <f t="shared" si="33"/>
        <v>0</v>
      </c>
      <c r="AB123" s="392">
        <f t="shared" si="34"/>
        <v>0</v>
      </c>
    </row>
    <row r="124" ht="39.75" customHeight="1">
      <c r="A124" s="402" t="s">
        <v>316</v>
      </c>
      <c r="B124" s="386" t="s">
        <v>317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1">
        <f t="shared" si="33"/>
        <v>0</v>
      </c>
      <c r="AB124" s="392">
        <f t="shared" si="34"/>
        <v>0</v>
      </c>
    </row>
    <row r="125" ht="39.75" customHeight="1">
      <c r="A125" s="402" t="s">
        <v>318</v>
      </c>
      <c r="B125" s="386" t="s">
        <v>319</v>
      </c>
      <c r="C125" s="387"/>
      <c r="D125" s="387"/>
      <c r="E125" s="387"/>
      <c r="F125" s="394"/>
      <c r="G125" s="387"/>
      <c r="H125" s="394"/>
      <c r="I125" s="387"/>
      <c r="J125" s="394"/>
      <c r="K125" s="387"/>
      <c r="L125" s="394"/>
      <c r="M125" s="387"/>
      <c r="N125" s="394"/>
      <c r="O125" s="387"/>
      <c r="P125" s="394"/>
      <c r="Q125" s="387"/>
      <c r="R125" s="394"/>
      <c r="S125" s="387"/>
      <c r="T125" s="394"/>
      <c r="U125" s="387"/>
      <c r="V125" s="394"/>
      <c r="W125" s="387"/>
      <c r="X125" s="394"/>
      <c r="Y125" s="387"/>
      <c r="Z125" s="394"/>
      <c r="AA125" s="391">
        <f t="shared" si="33"/>
        <v>0</v>
      </c>
      <c r="AB125" s="392">
        <f t="shared" si="34"/>
        <v>0</v>
      </c>
    </row>
    <row r="126" ht="39.75" customHeight="1">
      <c r="A126" s="423" t="s">
        <v>320</v>
      </c>
      <c r="B126" s="424" t="s">
        <v>321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401"/>
    </row>
    <row r="127" ht="39.75" customHeight="1">
      <c r="A127" s="378" t="s">
        <v>322</v>
      </c>
      <c r="B127" s="425" t="s">
        <v>323</v>
      </c>
      <c r="C127" s="397"/>
      <c r="D127" s="398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401"/>
    </row>
    <row r="128" ht="39.75" customHeight="1">
      <c r="A128" s="411" t="s">
        <v>324</v>
      </c>
      <c r="B128" s="426" t="s">
        <v>325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87"/>
      <c r="Z128" s="394"/>
      <c r="AA128" s="391">
        <f t="shared" ref="AA128:AA139" si="35">COUNTIF(C128:Z128,"&gt;=R")</f>
        <v>0</v>
      </c>
      <c r="AB128" s="392">
        <f t="shared" ref="AB128:AB139" si="36">AA128</f>
        <v>0</v>
      </c>
    </row>
    <row r="129" ht="39.75" customHeight="1">
      <c r="A129" s="427" t="s">
        <v>326</v>
      </c>
      <c r="B129" s="428" t="s">
        <v>327</v>
      </c>
      <c r="C129" s="387"/>
      <c r="D129" s="387"/>
      <c r="E129" s="387"/>
      <c r="F129" s="394"/>
      <c r="G129" s="387"/>
      <c r="H129" s="394"/>
      <c r="I129" s="387"/>
      <c r="J129" s="394"/>
      <c r="K129" s="387"/>
      <c r="L129" s="394"/>
      <c r="M129" s="387"/>
      <c r="N129" s="394"/>
      <c r="O129" s="387"/>
      <c r="P129" s="394"/>
      <c r="Q129" s="387"/>
      <c r="R129" s="394"/>
      <c r="S129" s="387"/>
      <c r="T129" s="394"/>
      <c r="U129" s="387"/>
      <c r="V129" s="394"/>
      <c r="W129" s="387"/>
      <c r="X129" s="394"/>
      <c r="Y129" s="387"/>
      <c r="Z129" s="394"/>
      <c r="AA129" s="391">
        <f t="shared" si="35"/>
        <v>0</v>
      </c>
      <c r="AB129" s="392">
        <f t="shared" si="36"/>
        <v>0</v>
      </c>
    </row>
    <row r="130" ht="39.75" customHeight="1">
      <c r="A130" s="411" t="s">
        <v>328</v>
      </c>
      <c r="B130" s="426" t="s">
        <v>329</v>
      </c>
      <c r="C130" s="387"/>
      <c r="D130" s="387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89"/>
      <c r="P130" s="394"/>
      <c r="Q130" s="389"/>
      <c r="R130" s="394"/>
      <c r="S130" s="389"/>
      <c r="T130" s="394"/>
      <c r="U130" s="389"/>
      <c r="V130" s="394"/>
      <c r="W130" s="389"/>
      <c r="X130" s="394"/>
      <c r="Y130" s="389"/>
      <c r="Z130" s="394"/>
      <c r="AA130" s="391">
        <f t="shared" si="35"/>
        <v>0</v>
      </c>
      <c r="AB130" s="392">
        <f t="shared" si="36"/>
        <v>0</v>
      </c>
    </row>
    <row r="131" ht="39.75" customHeight="1">
      <c r="A131" s="411" t="s">
        <v>330</v>
      </c>
      <c r="B131" s="426" t="s">
        <v>331</v>
      </c>
      <c r="C131" s="388"/>
      <c r="D131" s="387"/>
      <c r="E131" s="389" t="s">
        <v>28</v>
      </c>
      <c r="F131" s="394"/>
      <c r="G131" s="389" t="s">
        <v>28</v>
      </c>
      <c r="H131" s="394"/>
      <c r="I131" s="389" t="s">
        <v>28</v>
      </c>
      <c r="J131" s="394"/>
      <c r="K131" s="389" t="s">
        <v>28</v>
      </c>
      <c r="L131" s="394"/>
      <c r="M131" s="389" t="s">
        <v>28</v>
      </c>
      <c r="N131" s="394"/>
      <c r="O131" s="389" t="s">
        <v>28</v>
      </c>
      <c r="P131" s="394"/>
      <c r="Q131" s="389"/>
      <c r="R131" s="394"/>
      <c r="S131" s="389" t="s">
        <v>28</v>
      </c>
      <c r="T131" s="394"/>
      <c r="U131" s="389" t="s">
        <v>28</v>
      </c>
      <c r="V131" s="394"/>
      <c r="W131" s="389" t="s">
        <v>28</v>
      </c>
      <c r="X131" s="394"/>
      <c r="Y131" s="389" t="s">
        <v>28</v>
      </c>
      <c r="Z131" s="394"/>
      <c r="AA131" s="391">
        <f t="shared" si="35"/>
        <v>10</v>
      </c>
      <c r="AB131" s="392">
        <f t="shared" si="36"/>
        <v>10</v>
      </c>
    </row>
    <row r="132" ht="39.75" customHeight="1">
      <c r="A132" s="411" t="s">
        <v>332</v>
      </c>
      <c r="B132" s="426" t="s">
        <v>333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  <c r="AA132" s="391">
        <f t="shared" si="35"/>
        <v>0</v>
      </c>
      <c r="AB132" s="392">
        <f t="shared" si="36"/>
        <v>0</v>
      </c>
    </row>
    <row r="133" ht="39.75" customHeight="1">
      <c r="A133" s="411" t="s">
        <v>334</v>
      </c>
      <c r="B133" s="426" t="s">
        <v>335</v>
      </c>
      <c r="C133" s="387"/>
      <c r="D133" s="388"/>
      <c r="E133" s="387"/>
      <c r="F133" s="389"/>
      <c r="G133" s="387"/>
      <c r="H133" s="389"/>
      <c r="I133" s="387"/>
      <c r="J133" s="389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87"/>
      <c r="Z133" s="394"/>
      <c r="AA133" s="391">
        <f t="shared" si="35"/>
        <v>0</v>
      </c>
      <c r="AB133" s="392">
        <f t="shared" si="36"/>
        <v>0</v>
      </c>
    </row>
    <row r="134" ht="39.75" customHeight="1">
      <c r="A134" s="411" t="s">
        <v>336</v>
      </c>
      <c r="B134" s="426" t="s">
        <v>337</v>
      </c>
      <c r="C134" s="387"/>
      <c r="D134" s="387"/>
      <c r="E134" s="387"/>
      <c r="F134" s="394"/>
      <c r="G134" s="387"/>
      <c r="H134" s="394"/>
      <c r="I134" s="387"/>
      <c r="J134" s="394"/>
      <c r="K134" s="387"/>
      <c r="L134" s="394"/>
      <c r="M134" s="387"/>
      <c r="N134" s="394"/>
      <c r="O134" s="387"/>
      <c r="P134" s="394"/>
      <c r="Q134" s="387"/>
      <c r="R134" s="394"/>
      <c r="S134" s="387"/>
      <c r="T134" s="394"/>
      <c r="U134" s="387"/>
      <c r="V134" s="394"/>
      <c r="W134" s="387"/>
      <c r="X134" s="394"/>
      <c r="Y134" s="387"/>
      <c r="Z134" s="394"/>
      <c r="AA134" s="391">
        <f t="shared" si="35"/>
        <v>0</v>
      </c>
      <c r="AB134" s="392">
        <f t="shared" si="36"/>
        <v>0</v>
      </c>
    </row>
    <row r="135" ht="39.75" customHeight="1">
      <c r="A135" s="411" t="s">
        <v>338</v>
      </c>
      <c r="B135" s="426" t="s">
        <v>339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1">
        <f t="shared" si="35"/>
        <v>0</v>
      </c>
      <c r="AB135" s="392">
        <f t="shared" si="36"/>
        <v>0</v>
      </c>
    </row>
    <row r="136" ht="39.75" customHeight="1">
      <c r="A136" s="411" t="s">
        <v>340</v>
      </c>
      <c r="B136" s="426" t="s">
        <v>341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  <c r="AA136" s="391">
        <f t="shared" si="35"/>
        <v>0</v>
      </c>
      <c r="AB136" s="392">
        <f t="shared" si="36"/>
        <v>0</v>
      </c>
    </row>
    <row r="137" ht="39.75" customHeight="1">
      <c r="A137" s="411" t="s">
        <v>342</v>
      </c>
      <c r="B137" s="426" t="s">
        <v>343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1">
        <f t="shared" si="35"/>
        <v>0</v>
      </c>
      <c r="AB137" s="392">
        <f t="shared" si="36"/>
        <v>0</v>
      </c>
    </row>
    <row r="138" ht="39.75" customHeight="1">
      <c r="A138" s="411" t="s">
        <v>344</v>
      </c>
      <c r="B138" s="426" t="s">
        <v>345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1">
        <f t="shared" si="35"/>
        <v>0</v>
      </c>
      <c r="AB138" s="392">
        <f t="shared" si="36"/>
        <v>0</v>
      </c>
    </row>
    <row r="139" ht="39.75" customHeight="1">
      <c r="A139" s="411" t="s">
        <v>346</v>
      </c>
      <c r="B139" s="426" t="s">
        <v>347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1">
        <f t="shared" si="35"/>
        <v>0</v>
      </c>
      <c r="AB139" s="392">
        <f t="shared" si="36"/>
        <v>0</v>
      </c>
    </row>
    <row r="140" ht="39.75" customHeight="1">
      <c r="A140" s="395" t="s">
        <v>348</v>
      </c>
      <c r="B140" s="422" t="s">
        <v>349</v>
      </c>
      <c r="C140" s="397"/>
      <c r="D140" s="398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401"/>
    </row>
    <row r="141" ht="39.75" customHeight="1">
      <c r="A141" s="411" t="s">
        <v>350</v>
      </c>
      <c r="B141" s="412" t="s">
        <v>351</v>
      </c>
      <c r="C141" s="387"/>
      <c r="D141" s="387"/>
      <c r="E141" s="387"/>
      <c r="F141" s="394"/>
      <c r="G141" s="387"/>
      <c r="H141" s="394"/>
      <c r="I141" s="387"/>
      <c r="J141" s="394"/>
      <c r="K141" s="387"/>
      <c r="L141" s="394"/>
      <c r="M141" s="387"/>
      <c r="N141" s="394"/>
      <c r="O141" s="387"/>
      <c r="P141" s="394"/>
      <c r="Q141" s="387"/>
      <c r="R141" s="394"/>
      <c r="S141" s="387"/>
      <c r="T141" s="394"/>
      <c r="U141" s="387"/>
      <c r="V141" s="394"/>
      <c r="W141" s="387"/>
      <c r="X141" s="394"/>
      <c r="Y141" s="387"/>
      <c r="Z141" s="394"/>
      <c r="AA141" s="391">
        <f t="shared" ref="AA141:AA143" si="37">COUNTIF(C141:Z141,"&gt;=R")</f>
        <v>0</v>
      </c>
      <c r="AB141" s="392">
        <f t="shared" ref="AB141:AB143" si="38">AA141</f>
        <v>0</v>
      </c>
    </row>
    <row r="142" ht="39.75" customHeight="1">
      <c r="A142" s="411" t="s">
        <v>352</v>
      </c>
      <c r="B142" s="412" t="s">
        <v>353</v>
      </c>
      <c r="C142" s="387"/>
      <c r="D142" s="387"/>
      <c r="E142" s="394" t="s">
        <v>66</v>
      </c>
      <c r="F142" s="394"/>
      <c r="G142" s="394" t="s">
        <v>66</v>
      </c>
      <c r="H142" s="394"/>
      <c r="I142" s="394" t="s">
        <v>66</v>
      </c>
      <c r="J142" s="394"/>
      <c r="K142" s="394" t="s">
        <v>66</v>
      </c>
      <c r="L142" s="394"/>
      <c r="M142" s="394" t="s">
        <v>66</v>
      </c>
      <c r="N142" s="394"/>
      <c r="O142" s="394" t="s">
        <v>66</v>
      </c>
      <c r="P142" s="394"/>
      <c r="Q142" s="394"/>
      <c r="R142" s="394"/>
      <c r="S142" s="394" t="s">
        <v>66</v>
      </c>
      <c r="T142" s="394"/>
      <c r="U142" s="394" t="s">
        <v>66</v>
      </c>
      <c r="V142" s="394"/>
      <c r="W142" s="389" t="s">
        <v>75</v>
      </c>
      <c r="X142" s="394"/>
      <c r="Y142" s="389" t="s">
        <v>75</v>
      </c>
      <c r="Z142" s="394"/>
      <c r="AA142" s="391">
        <f t="shared" si="37"/>
        <v>10</v>
      </c>
      <c r="AB142" s="392">
        <f t="shared" si="38"/>
        <v>10</v>
      </c>
    </row>
    <row r="143" ht="39.75" customHeight="1">
      <c r="A143" s="411" t="s">
        <v>354</v>
      </c>
      <c r="B143" s="412" t="s">
        <v>355</v>
      </c>
      <c r="C143" s="387"/>
      <c r="D143" s="387"/>
      <c r="E143" s="394" t="s">
        <v>66</v>
      </c>
      <c r="F143" s="394"/>
      <c r="G143" s="394" t="s">
        <v>66</v>
      </c>
      <c r="H143" s="394"/>
      <c r="I143" s="394" t="s">
        <v>66</v>
      </c>
      <c r="J143" s="394"/>
      <c r="K143" s="394" t="s">
        <v>66</v>
      </c>
      <c r="L143" s="394"/>
      <c r="M143" s="394" t="s">
        <v>66</v>
      </c>
      <c r="N143" s="394"/>
      <c r="O143" s="394" t="s">
        <v>66</v>
      </c>
      <c r="P143" s="394"/>
      <c r="Q143" s="394"/>
      <c r="R143" s="394"/>
      <c r="S143" s="394" t="s">
        <v>66</v>
      </c>
      <c r="T143" s="394"/>
      <c r="U143" s="394" t="s">
        <v>66</v>
      </c>
      <c r="V143" s="394"/>
      <c r="W143" s="389" t="s">
        <v>75</v>
      </c>
      <c r="X143" s="394"/>
      <c r="Y143" s="389" t="s">
        <v>75</v>
      </c>
      <c r="Z143" s="394"/>
      <c r="AA143" s="391">
        <f t="shared" si="37"/>
        <v>10</v>
      </c>
      <c r="AB143" s="392">
        <f t="shared" si="38"/>
        <v>10</v>
      </c>
    </row>
    <row r="144" ht="39.75" customHeight="1">
      <c r="A144" s="395" t="s">
        <v>356</v>
      </c>
      <c r="B144" s="422" t="s">
        <v>357</v>
      </c>
      <c r="C144" s="397"/>
      <c r="D144" s="398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  <c r="AA144" s="399"/>
      <c r="AB144" s="401"/>
    </row>
    <row r="145" ht="39.75" customHeight="1">
      <c r="A145" s="411" t="s">
        <v>358</v>
      </c>
      <c r="B145" s="412" t="s">
        <v>359</v>
      </c>
      <c r="C145" s="387" t="s">
        <v>28</v>
      </c>
      <c r="D145" s="387"/>
      <c r="E145" s="387" t="s">
        <v>28</v>
      </c>
      <c r="F145" s="394"/>
      <c r="G145" s="387" t="s">
        <v>76</v>
      </c>
      <c r="H145" s="394"/>
      <c r="I145" s="387" t="s">
        <v>76</v>
      </c>
      <c r="J145" s="394"/>
      <c r="K145" s="387" t="s">
        <v>410</v>
      </c>
      <c r="L145" s="394"/>
      <c r="M145" s="387" t="s">
        <v>410</v>
      </c>
      <c r="N145" s="394"/>
      <c r="O145" s="387" t="s">
        <v>410</v>
      </c>
      <c r="P145" s="394"/>
      <c r="Q145" s="387" t="s">
        <v>410</v>
      </c>
      <c r="R145" s="394"/>
      <c r="S145" s="387" t="s">
        <v>83</v>
      </c>
      <c r="T145" s="394"/>
      <c r="U145" s="387" t="s">
        <v>83</v>
      </c>
      <c r="V145" s="394"/>
      <c r="W145" s="391" t="s">
        <v>28</v>
      </c>
      <c r="X145" s="394"/>
      <c r="Y145" s="391" t="s">
        <v>28</v>
      </c>
      <c r="Z145" s="394"/>
      <c r="AA145" s="391">
        <f t="shared" ref="AA145:AA147" si="39">COUNTIF(C145:Z145,"&gt;=R")</f>
        <v>12</v>
      </c>
      <c r="AB145" s="392">
        <f t="shared" ref="AB145:AB147" si="40">AA145</f>
        <v>12</v>
      </c>
    </row>
    <row r="146" ht="39.75" customHeight="1">
      <c r="A146" s="411" t="s">
        <v>360</v>
      </c>
      <c r="B146" s="412" t="s">
        <v>361</v>
      </c>
      <c r="C146" s="388" t="s">
        <v>411</v>
      </c>
      <c r="D146" s="387"/>
      <c r="E146" s="403" t="s">
        <v>409</v>
      </c>
      <c r="F146" s="394"/>
      <c r="G146" s="389" t="s">
        <v>36</v>
      </c>
      <c r="H146" s="394"/>
      <c r="I146" s="389" t="s">
        <v>36</v>
      </c>
      <c r="J146" s="394"/>
      <c r="K146" s="387" t="s">
        <v>407</v>
      </c>
      <c r="L146" s="389"/>
      <c r="M146" s="387" t="s">
        <v>407</v>
      </c>
      <c r="N146" s="389"/>
      <c r="O146" s="387" t="s">
        <v>407</v>
      </c>
      <c r="P146" s="394"/>
      <c r="Q146" s="389" t="s">
        <v>91</v>
      </c>
      <c r="R146" s="394"/>
      <c r="S146" s="389" t="s">
        <v>411</v>
      </c>
      <c r="T146" s="394"/>
      <c r="U146" s="403" t="s">
        <v>409</v>
      </c>
      <c r="V146" s="394"/>
      <c r="W146" s="403" t="s">
        <v>409</v>
      </c>
      <c r="X146" s="394"/>
      <c r="Y146" s="403" t="s">
        <v>409</v>
      </c>
      <c r="Z146" s="394"/>
      <c r="AA146" s="391">
        <f t="shared" si="39"/>
        <v>12</v>
      </c>
      <c r="AB146" s="392">
        <f t="shared" si="40"/>
        <v>12</v>
      </c>
    </row>
    <row r="147" ht="39.75" customHeight="1">
      <c r="A147" s="411" t="s">
        <v>362</v>
      </c>
      <c r="B147" s="412" t="s">
        <v>363</v>
      </c>
      <c r="C147" s="387"/>
      <c r="D147" s="387"/>
      <c r="E147" s="387"/>
      <c r="F147" s="394"/>
      <c r="G147" s="387" t="s">
        <v>410</v>
      </c>
      <c r="H147" s="394"/>
      <c r="I147" s="387" t="s">
        <v>410</v>
      </c>
      <c r="J147" s="394"/>
      <c r="K147" s="387"/>
      <c r="L147" s="394"/>
      <c r="M147" s="387"/>
      <c r="N147" s="394"/>
      <c r="O147" s="387"/>
      <c r="P147" s="394"/>
      <c r="Q147" s="387"/>
      <c r="R147" s="394"/>
      <c r="S147" s="387" t="s">
        <v>91</v>
      </c>
      <c r="T147" s="394"/>
      <c r="U147" s="387" t="s">
        <v>91</v>
      </c>
      <c r="V147" s="394"/>
      <c r="W147" s="387"/>
      <c r="X147" s="394"/>
      <c r="Y147" s="387"/>
      <c r="Z147" s="394"/>
      <c r="AA147" s="391">
        <f t="shared" si="39"/>
        <v>4</v>
      </c>
      <c r="AB147" s="392">
        <f t="shared" si="40"/>
        <v>4</v>
      </c>
    </row>
    <row r="148" ht="39.75" customHeight="1">
      <c r="A148" s="395" t="s">
        <v>364</v>
      </c>
      <c r="B148" s="396" t="s">
        <v>365</v>
      </c>
      <c r="C148" s="397"/>
      <c r="D148" s="398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  <c r="AA148" s="399"/>
      <c r="AB148" s="401"/>
    </row>
    <row r="149" ht="39.75" customHeight="1">
      <c r="A149" s="385" t="s">
        <v>366</v>
      </c>
      <c r="B149" s="386" t="s">
        <v>367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  <c r="AA149" s="391">
        <f t="shared" ref="AA149:AA156" si="41">COUNTIF(C149:Z149,"&gt;=R")</f>
        <v>0</v>
      </c>
      <c r="AB149" s="392">
        <f t="shared" ref="AB149:AB156" si="42">AA149</f>
        <v>0</v>
      </c>
    </row>
    <row r="150" ht="39.75" customHeight="1">
      <c r="A150" s="385" t="s">
        <v>368</v>
      </c>
      <c r="B150" s="386" t="s">
        <v>369</v>
      </c>
      <c r="C150" s="387"/>
      <c r="D150" s="387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  <c r="AA150" s="391">
        <f t="shared" si="41"/>
        <v>0</v>
      </c>
      <c r="AB150" s="392">
        <f t="shared" si="42"/>
        <v>0</v>
      </c>
    </row>
    <row r="151" ht="39.75" customHeight="1">
      <c r="A151" s="385" t="s">
        <v>370</v>
      </c>
      <c r="B151" s="386" t="s">
        <v>371</v>
      </c>
      <c r="C151" s="388"/>
      <c r="D151" s="387"/>
      <c r="E151" s="389"/>
      <c r="F151" s="394"/>
      <c r="G151" s="389"/>
      <c r="H151" s="394"/>
      <c r="I151" s="389"/>
      <c r="J151" s="394"/>
      <c r="K151" s="389"/>
      <c r="L151" s="394"/>
      <c r="M151" s="389"/>
      <c r="N151" s="394"/>
      <c r="O151" s="389"/>
      <c r="P151" s="394"/>
      <c r="Q151" s="389"/>
      <c r="R151" s="394"/>
      <c r="S151" s="389"/>
      <c r="T151" s="394"/>
      <c r="U151" s="389"/>
      <c r="V151" s="394"/>
      <c r="W151" s="389"/>
      <c r="X151" s="394"/>
      <c r="Y151" s="389"/>
      <c r="Z151" s="394"/>
      <c r="AA151" s="391">
        <f t="shared" si="41"/>
        <v>0</v>
      </c>
      <c r="AB151" s="392">
        <f t="shared" si="42"/>
        <v>0</v>
      </c>
    </row>
    <row r="152" ht="39.75" customHeight="1">
      <c r="A152" s="402" t="s">
        <v>372</v>
      </c>
      <c r="B152" s="806" t="s">
        <v>373</v>
      </c>
      <c r="C152" s="388" t="s">
        <v>77</v>
      </c>
      <c r="D152" s="387"/>
      <c r="E152" s="394" t="s">
        <v>75</v>
      </c>
      <c r="F152" s="394"/>
      <c r="G152" s="394" t="s">
        <v>75</v>
      </c>
      <c r="H152" s="394"/>
      <c r="I152" s="389" t="s">
        <v>75</v>
      </c>
      <c r="J152" s="394"/>
      <c r="K152" s="389" t="s">
        <v>75</v>
      </c>
      <c r="L152" s="394"/>
      <c r="M152" s="389" t="s">
        <v>66</v>
      </c>
      <c r="N152" s="394"/>
      <c r="O152" s="389" t="s">
        <v>66</v>
      </c>
      <c r="P152" s="394"/>
      <c r="Q152" s="389" t="s">
        <v>77</v>
      </c>
      <c r="R152" s="394"/>
      <c r="S152" s="389" t="s">
        <v>75</v>
      </c>
      <c r="T152" s="394"/>
      <c r="U152" s="389" t="s">
        <v>75</v>
      </c>
      <c r="V152" s="394"/>
      <c r="W152" s="394" t="s">
        <v>75</v>
      </c>
      <c r="X152" s="394"/>
      <c r="Y152" s="394" t="s">
        <v>75</v>
      </c>
      <c r="Z152" s="394"/>
      <c r="AA152" s="391">
        <f t="shared" si="41"/>
        <v>12</v>
      </c>
      <c r="AB152" s="392">
        <f t="shared" si="42"/>
        <v>12</v>
      </c>
    </row>
    <row r="153" ht="39.75" customHeight="1">
      <c r="A153" s="402" t="s">
        <v>374</v>
      </c>
      <c r="B153" s="806" t="s">
        <v>375</v>
      </c>
      <c r="C153" s="388"/>
      <c r="D153" s="387"/>
      <c r="E153" s="394"/>
      <c r="F153" s="394"/>
      <c r="G153" s="394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94"/>
      <c r="X153" s="394"/>
      <c r="Y153" s="394"/>
      <c r="Z153" s="394"/>
      <c r="AA153" s="391">
        <f t="shared" si="41"/>
        <v>0</v>
      </c>
      <c r="AB153" s="392">
        <f t="shared" si="42"/>
        <v>0</v>
      </c>
    </row>
    <row r="154" ht="39.75" customHeight="1">
      <c r="A154" s="402" t="s">
        <v>376</v>
      </c>
      <c r="B154" s="806" t="s">
        <v>377</v>
      </c>
      <c r="C154" s="388"/>
      <c r="D154" s="387"/>
      <c r="E154" s="389"/>
      <c r="F154" s="394"/>
      <c r="G154" s="389"/>
      <c r="H154" s="394"/>
      <c r="I154" s="389"/>
      <c r="J154" s="394"/>
      <c r="K154" s="389"/>
      <c r="L154" s="394"/>
      <c r="M154" s="389"/>
      <c r="N154" s="394"/>
      <c r="O154" s="389"/>
      <c r="P154" s="394"/>
      <c r="Q154" s="389"/>
      <c r="R154" s="394"/>
      <c r="S154" s="389"/>
      <c r="T154" s="394"/>
      <c r="U154" s="389"/>
      <c r="V154" s="394"/>
      <c r="W154" s="389"/>
      <c r="X154" s="394"/>
      <c r="Y154" s="389"/>
      <c r="Z154" s="394"/>
      <c r="AA154" s="391">
        <f t="shared" si="41"/>
        <v>0</v>
      </c>
      <c r="AB154" s="392">
        <f t="shared" si="42"/>
        <v>0</v>
      </c>
    </row>
    <row r="155" ht="39.75" customHeight="1">
      <c r="A155" s="402" t="s">
        <v>374</v>
      </c>
      <c r="B155" s="807" t="s">
        <v>375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  <c r="AA155" s="391">
        <f t="shared" si="41"/>
        <v>0</v>
      </c>
      <c r="AB155" s="392">
        <f t="shared" si="42"/>
        <v>0</v>
      </c>
    </row>
    <row r="156" ht="39.75" customHeight="1">
      <c r="A156" s="404" t="s">
        <v>378</v>
      </c>
      <c r="B156" s="794" t="s">
        <v>379</v>
      </c>
      <c r="C156" s="387"/>
      <c r="D156" s="387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  <c r="AA156" s="391">
        <f t="shared" si="41"/>
        <v>0</v>
      </c>
      <c r="AB156" s="392">
        <f t="shared" si="42"/>
        <v>0</v>
      </c>
    </row>
    <row r="157" ht="39.75" customHeight="1">
      <c r="A157" s="395" t="s">
        <v>380</v>
      </c>
      <c r="B157" s="396" t="s">
        <v>381</v>
      </c>
      <c r="C157" s="397"/>
      <c r="D157" s="398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  <c r="AA157" s="399"/>
      <c r="AB157" s="401"/>
    </row>
    <row r="158" ht="39.75" customHeight="1">
      <c r="A158" s="411" t="s">
        <v>382</v>
      </c>
      <c r="B158" s="412" t="s">
        <v>383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  <c r="AA158" s="391">
        <f t="shared" ref="AA158:AA161" si="43">COUNTIF(C158:Z158,"&gt;=R")</f>
        <v>0</v>
      </c>
      <c r="AB158" s="392">
        <f t="shared" ref="AB158:AB161" si="44">AA158</f>
        <v>0</v>
      </c>
    </row>
    <row r="159" ht="39.75" customHeight="1">
      <c r="A159" s="411" t="s">
        <v>384</v>
      </c>
      <c r="B159" s="412" t="s">
        <v>385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87"/>
      <c r="Z159" s="394"/>
      <c r="AA159" s="391">
        <f t="shared" si="43"/>
        <v>0</v>
      </c>
      <c r="AB159" s="392">
        <f t="shared" si="44"/>
        <v>0</v>
      </c>
    </row>
    <row r="160" ht="39.75" customHeight="1">
      <c r="A160" s="411" t="s">
        <v>386</v>
      </c>
      <c r="B160" s="412" t="s">
        <v>387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87"/>
      <c r="Z160" s="394"/>
      <c r="AA160" s="391">
        <f t="shared" si="43"/>
        <v>0</v>
      </c>
      <c r="AB160" s="392">
        <f t="shared" si="44"/>
        <v>0</v>
      </c>
    </row>
    <row r="161" ht="39.75" customHeight="1">
      <c r="A161" s="411" t="s">
        <v>388</v>
      </c>
      <c r="B161" s="412" t="s">
        <v>389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87"/>
      <c r="V161" s="394"/>
      <c r="W161" s="387"/>
      <c r="X161" s="394"/>
      <c r="Y161" s="387"/>
      <c r="Z161" s="394"/>
      <c r="AA161" s="391">
        <f t="shared" si="43"/>
        <v>0</v>
      </c>
      <c r="AB161" s="392">
        <f t="shared" si="44"/>
        <v>0</v>
      </c>
    </row>
    <row r="162" ht="39.75" customHeight="1">
      <c r="A162" s="395" t="s">
        <v>390</v>
      </c>
      <c r="B162" s="422" t="s">
        <v>391</v>
      </c>
      <c r="C162" s="397"/>
      <c r="D162" s="398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  <c r="AA162" s="399"/>
      <c r="AB162" s="401"/>
    </row>
    <row r="163" ht="39.75" customHeight="1">
      <c r="A163" s="385" t="s">
        <v>392</v>
      </c>
      <c r="B163" s="386" t="s">
        <v>393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87"/>
      <c r="Z163" s="394"/>
      <c r="AA163" s="391">
        <f t="shared" ref="AA163:AA165" si="45">COUNTIF(C163:Z163,"&gt;=R")</f>
        <v>0</v>
      </c>
      <c r="AB163" s="392">
        <f t="shared" ref="AB163:AB165" si="46">AA163</f>
        <v>0</v>
      </c>
    </row>
    <row r="164" ht="39.75" customHeight="1">
      <c r="A164" s="385" t="s">
        <v>394</v>
      </c>
      <c r="B164" s="386" t="s">
        <v>395</v>
      </c>
      <c r="C164" s="387"/>
      <c r="D164" s="387"/>
      <c r="E164" s="387"/>
      <c r="F164" s="394"/>
      <c r="G164" s="387"/>
      <c r="H164" s="394"/>
      <c r="I164" s="394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87"/>
      <c r="V164" s="394"/>
      <c r="W164" s="387"/>
      <c r="X164" s="394"/>
      <c r="Y164" s="387"/>
      <c r="Z164" s="394"/>
      <c r="AA164" s="391">
        <f t="shared" si="45"/>
        <v>0</v>
      </c>
      <c r="AB164" s="392">
        <f t="shared" si="46"/>
        <v>0</v>
      </c>
      <c r="AC164" s="449"/>
      <c r="AD164" s="449"/>
      <c r="AE164" s="449"/>
      <c r="AF164" s="449"/>
      <c r="AG164" s="449"/>
      <c r="AH164" s="449"/>
      <c r="AI164" s="449"/>
    </row>
    <row r="165" ht="39.75" customHeight="1">
      <c r="A165" s="861" t="s">
        <v>396</v>
      </c>
      <c r="B165" s="809" t="s">
        <v>397</v>
      </c>
      <c r="C165" s="436"/>
      <c r="D165" s="436"/>
      <c r="E165" s="436"/>
      <c r="F165" s="437"/>
      <c r="G165" s="436"/>
      <c r="H165" s="437"/>
      <c r="I165" s="437"/>
      <c r="J165" s="437"/>
      <c r="K165" s="436"/>
      <c r="L165" s="437"/>
      <c r="M165" s="436"/>
      <c r="N165" s="437"/>
      <c r="O165" s="436"/>
      <c r="P165" s="437"/>
      <c r="Q165" s="436"/>
      <c r="R165" s="437"/>
      <c r="S165" s="436"/>
      <c r="T165" s="437"/>
      <c r="U165" s="436"/>
      <c r="V165" s="437"/>
      <c r="W165" s="436"/>
      <c r="X165" s="437"/>
      <c r="Y165" s="436"/>
      <c r="Z165" s="437"/>
      <c r="AA165" s="391">
        <f t="shared" si="45"/>
        <v>0</v>
      </c>
      <c r="AB165" s="392">
        <f t="shared" si="46"/>
        <v>0</v>
      </c>
      <c r="AC165" s="449"/>
      <c r="AD165" s="449"/>
      <c r="AE165" s="449"/>
      <c r="AF165" s="449"/>
      <c r="AG165" s="449"/>
      <c r="AH165" s="449"/>
      <c r="AI165" s="449"/>
    </row>
    <row r="166" ht="24.75" customHeight="1">
      <c r="A166" s="438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  <c r="AB166" s="440"/>
      <c r="AC166" s="1"/>
      <c r="AD166" s="1"/>
      <c r="AE166" s="1"/>
      <c r="AF166" s="1"/>
      <c r="AG166" s="1"/>
      <c r="AH166" s="1"/>
      <c r="AI166" s="1"/>
    </row>
    <row r="167" ht="24.75" customHeight="1">
      <c r="A167" s="438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  <c r="AB167" s="440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4.75" customHeight="1">
      <c r="A168" s="438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4.75" customHeight="1">
      <c r="A169" s="438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4.75" customHeight="1">
      <c r="A170" s="438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4.75" customHeight="1">
      <c r="A171" s="438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4.75" customHeight="1">
      <c r="A172" s="438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4.75" customHeight="1">
      <c r="A173" s="44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4.75" customHeight="1">
      <c r="A174" s="44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4.75" customHeight="1">
      <c r="A175" s="44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4.75" customHeight="1">
      <c r="A176" s="441"/>
      <c r="B176" s="439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4.75" customHeight="1">
      <c r="A177" s="442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  <c r="AB177" s="440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4.75" customHeight="1">
      <c r="A178" s="443"/>
      <c r="B178" s="444"/>
      <c r="C178" s="45"/>
      <c r="D178" s="45"/>
      <c r="E178" s="45"/>
      <c r="F178" s="862"/>
      <c r="G178" s="597"/>
      <c r="H178" s="597"/>
      <c r="I178" s="597"/>
      <c r="J178" s="598"/>
      <c r="K178" s="440"/>
      <c r="L178" s="440"/>
      <c r="M178" s="440"/>
      <c r="N178" s="862"/>
      <c r="O178" s="597"/>
      <c r="P178" s="597"/>
      <c r="Q178" s="597"/>
      <c r="R178" s="598"/>
      <c r="S178" s="45"/>
      <c r="T178" s="45"/>
      <c r="U178" s="445"/>
      <c r="V178" s="445"/>
      <c r="W178" s="445"/>
      <c r="X178" s="445"/>
      <c r="Y178" s="445"/>
      <c r="Z178" s="440"/>
      <c r="AA178" s="440"/>
      <c r="AB178" s="35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4.75" customHeight="1">
      <c r="A179" s="446"/>
      <c r="B179" s="447" t="s">
        <v>398</v>
      </c>
      <c r="C179" s="447"/>
      <c r="D179" s="447"/>
      <c r="E179" s="447"/>
      <c r="F179" s="538" t="s">
        <v>44</v>
      </c>
      <c r="G179" s="38"/>
      <c r="H179" s="38"/>
      <c r="I179" s="38"/>
      <c r="J179" s="40"/>
      <c r="K179" s="450"/>
      <c r="L179" s="450"/>
      <c r="M179" s="450"/>
      <c r="N179" s="538" t="s">
        <v>399</v>
      </c>
      <c r="O179" s="38"/>
      <c r="P179" s="38"/>
      <c r="Q179" s="38"/>
      <c r="R179" s="40"/>
      <c r="S179" s="450"/>
      <c r="T179" s="450"/>
      <c r="U179" s="448" t="s">
        <v>422</v>
      </c>
      <c r="V179" s="163"/>
      <c r="W179" s="163"/>
      <c r="X179" s="163"/>
      <c r="Y179" s="164"/>
      <c r="Z179" s="450"/>
      <c r="AA179" s="450"/>
      <c r="AB179" s="404"/>
      <c r="AC179" s="404"/>
      <c r="AD179" s="404"/>
      <c r="AE179" s="404"/>
      <c r="AF179" s="404"/>
      <c r="AG179" s="404"/>
      <c r="AH179" s="404"/>
      <c r="AI179" s="404"/>
      <c r="AJ179" s="452"/>
      <c r="AK179" s="452"/>
      <c r="AL179" s="449"/>
      <c r="AM179" s="449"/>
      <c r="AN179" s="449"/>
      <c r="AO179" s="449"/>
      <c r="AP179" s="449"/>
      <c r="AQ179" s="449"/>
      <c r="AR179" s="449"/>
      <c r="AS179" s="449"/>
      <c r="AT179" s="449"/>
      <c r="AU179" s="449"/>
      <c r="AV179" s="539"/>
    </row>
    <row r="180" ht="24.75" customHeight="1">
      <c r="A180" s="446"/>
      <c r="B180" s="453" t="s">
        <v>35</v>
      </c>
      <c r="C180" s="453"/>
      <c r="D180" s="453"/>
      <c r="E180" s="453"/>
      <c r="F180" s="454" t="s">
        <v>54</v>
      </c>
      <c r="G180" s="38"/>
      <c r="H180" s="38"/>
      <c r="I180" s="38"/>
      <c r="J180" s="40"/>
      <c r="K180" s="455"/>
      <c r="L180" s="455"/>
      <c r="M180" s="455"/>
      <c r="N180" s="456" t="s">
        <v>400</v>
      </c>
      <c r="O180" s="38"/>
      <c r="P180" s="38"/>
      <c r="Q180" s="38"/>
      <c r="R180" s="40"/>
      <c r="S180" s="457"/>
      <c r="T180" s="457"/>
      <c r="U180" s="456" t="s">
        <v>74</v>
      </c>
      <c r="V180" s="38"/>
      <c r="W180" s="38"/>
      <c r="X180" s="38"/>
      <c r="Y180" s="40"/>
      <c r="Z180" s="457"/>
      <c r="AA180" s="457"/>
      <c r="AB180" s="404"/>
      <c r="AC180" s="404"/>
      <c r="AD180" s="404"/>
      <c r="AE180" s="404"/>
      <c r="AF180" s="404"/>
      <c r="AG180" s="404"/>
      <c r="AH180" s="404"/>
      <c r="AI180" s="404"/>
      <c r="AJ180" s="458"/>
      <c r="AK180" s="458"/>
      <c r="AL180" s="449"/>
      <c r="AM180" s="449"/>
      <c r="AN180" s="449"/>
      <c r="AO180" s="449"/>
      <c r="AP180" s="449"/>
      <c r="AQ180" s="449"/>
      <c r="AR180" s="449"/>
      <c r="AS180" s="449"/>
      <c r="AT180" s="449"/>
      <c r="AU180" s="449"/>
      <c r="AV180" s="541"/>
    </row>
    <row r="181" ht="18.0" customHeight="1">
      <c r="A181" s="459"/>
      <c r="B181" s="460"/>
      <c r="C181" s="460"/>
      <c r="D181" s="460"/>
      <c r="E181" s="460"/>
      <c r="F181" s="460"/>
      <c r="G181" s="461"/>
      <c r="H181" s="461"/>
      <c r="I181" s="440"/>
      <c r="J181" s="44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2"/>
      <c r="W181" s="38"/>
      <c r="X181" s="38"/>
      <c r="Y181" s="38"/>
      <c r="Z181" s="38"/>
      <c r="AA181" s="40"/>
      <c r="AB181" s="440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3">
    <mergeCell ref="S4:U4"/>
    <mergeCell ref="W4:Y4"/>
    <mergeCell ref="K4:M4"/>
    <mergeCell ref="K5:M5"/>
    <mergeCell ref="O5:Q5"/>
    <mergeCell ref="S5:U5"/>
    <mergeCell ref="AA4:AB4"/>
    <mergeCell ref="AA5:AB5"/>
    <mergeCell ref="K6:M6"/>
    <mergeCell ref="O6:Q6"/>
    <mergeCell ref="W5:Y5"/>
    <mergeCell ref="W6:Y6"/>
    <mergeCell ref="AA6:AB6"/>
    <mergeCell ref="AA7:AB7"/>
    <mergeCell ref="S8:U8"/>
    <mergeCell ref="K9:M9"/>
    <mergeCell ref="O9:Q9"/>
    <mergeCell ref="S9:U9"/>
    <mergeCell ref="S10:U10"/>
    <mergeCell ref="S11:U11"/>
    <mergeCell ref="S12:U12"/>
    <mergeCell ref="S13:U13"/>
    <mergeCell ref="K8:M8"/>
    <mergeCell ref="O8:Q8"/>
    <mergeCell ref="C10:F13"/>
    <mergeCell ref="G10:I13"/>
    <mergeCell ref="O10:Q10"/>
    <mergeCell ref="O11:Q11"/>
    <mergeCell ref="O12:Q12"/>
    <mergeCell ref="U180:Y180"/>
    <mergeCell ref="V181:AA181"/>
    <mergeCell ref="F178:J178"/>
    <mergeCell ref="N178:R178"/>
    <mergeCell ref="F179:J179"/>
    <mergeCell ref="N179:R179"/>
    <mergeCell ref="U179:Y179"/>
    <mergeCell ref="F180:J180"/>
    <mergeCell ref="N180:R180"/>
    <mergeCell ref="I17:J17"/>
    <mergeCell ref="K17:L17"/>
    <mergeCell ref="M17:N17"/>
    <mergeCell ref="O17:P17"/>
    <mergeCell ref="Q17:R17"/>
    <mergeCell ref="S17:T17"/>
    <mergeCell ref="U17:V17"/>
    <mergeCell ref="W17:X17"/>
    <mergeCell ref="O13:Q13"/>
    <mergeCell ref="A14:AB14"/>
    <mergeCell ref="A15:A17"/>
    <mergeCell ref="B15:B17"/>
    <mergeCell ref="U16:Z16"/>
    <mergeCell ref="AA16:AB16"/>
    <mergeCell ref="C17:D17"/>
    <mergeCell ref="Y17:Z17"/>
    <mergeCell ref="S6:U6"/>
    <mergeCell ref="K7:M7"/>
    <mergeCell ref="O7:Q7"/>
    <mergeCell ref="S7:U7"/>
    <mergeCell ref="W7:Y7"/>
    <mergeCell ref="W8:Y8"/>
    <mergeCell ref="W10:Y10"/>
    <mergeCell ref="W11:Y11"/>
    <mergeCell ref="W12:Y12"/>
    <mergeCell ref="W13:Y13"/>
    <mergeCell ref="AA8:AB8"/>
    <mergeCell ref="AA9:AB9"/>
    <mergeCell ref="AA10:AB10"/>
    <mergeCell ref="AA11:AB11"/>
    <mergeCell ref="AA12:AB12"/>
    <mergeCell ref="AA13:AB13"/>
    <mergeCell ref="A1:A3"/>
    <mergeCell ref="B1:B3"/>
    <mergeCell ref="C1:AB3"/>
    <mergeCell ref="C4:F9"/>
    <mergeCell ref="G4:I9"/>
    <mergeCell ref="O4:Q4"/>
    <mergeCell ref="W9:Y9"/>
    <mergeCell ref="K11:M11"/>
    <mergeCell ref="K12:M12"/>
    <mergeCell ref="K10:M10"/>
    <mergeCell ref="K13:M13"/>
    <mergeCell ref="E17:F17"/>
    <mergeCell ref="G17:H17"/>
  </mergeCells>
  <conditionalFormatting sqref="C34:Z34">
    <cfRule type="containsText" dxfId="21" priority="1" operator="containsText" text="R37">
      <formula>NOT(ISERROR(SEARCH(("R37"),(C34))))</formula>
    </cfRule>
  </conditionalFormatting>
  <conditionalFormatting sqref="C34:Z34">
    <cfRule type="containsText" dxfId="1" priority="2" operator="containsText" text="R36">
      <formula>NOT(ISERROR(SEARCH(("R36"),(C34))))</formula>
    </cfRule>
  </conditionalFormatting>
  <conditionalFormatting sqref="C34:Z34">
    <cfRule type="containsText" dxfId="22" priority="3" operator="containsText" text="R35">
      <formula>NOT(ISERROR(SEARCH(("R35"),(C34))))</formula>
    </cfRule>
  </conditionalFormatting>
  <conditionalFormatting sqref="C34:Z34">
    <cfRule type="containsText" dxfId="23" priority="4" operator="containsText" text="R34">
      <formula>NOT(ISERROR(SEARCH(("R34"),(C34))))</formula>
    </cfRule>
  </conditionalFormatting>
  <conditionalFormatting sqref="C34:Z34">
    <cfRule type="containsText" dxfId="25" priority="5" operator="containsText" text="R32">
      <formula>NOT(ISERROR(SEARCH(("R32"),(C34))))</formula>
    </cfRule>
  </conditionalFormatting>
  <conditionalFormatting sqref="C34:Z34">
    <cfRule type="containsText" dxfId="26" priority="6" operator="containsText" text="R31">
      <formula>NOT(ISERROR(SEARCH(("R31"),(C34))))</formula>
    </cfRule>
  </conditionalFormatting>
  <conditionalFormatting sqref="C34:Z34">
    <cfRule type="containsText" dxfId="27" priority="7" operator="containsText" text="R30">
      <formula>NOT(ISERROR(SEARCH(("R30"),(C34))))</formula>
    </cfRule>
  </conditionalFormatting>
  <conditionalFormatting sqref="C34:Z34">
    <cfRule type="containsText" dxfId="29" priority="8" operator="containsText" text="R29">
      <formula>NOT(ISERROR(SEARCH(("R29"),(C34))))</formula>
    </cfRule>
  </conditionalFormatting>
  <conditionalFormatting sqref="C34:Z34">
    <cfRule type="containsText" dxfId="3" priority="9" operator="containsText" text="R25">
      <formula>NOT(ISERROR(SEARCH(("R25"),(C34))))</formula>
    </cfRule>
  </conditionalFormatting>
  <conditionalFormatting sqref="C34:Z34">
    <cfRule type="containsText" dxfId="31" priority="10" operator="containsText" text="R24">
      <formula>NOT(ISERROR(SEARCH(("R24"),(C34))))</formula>
    </cfRule>
  </conditionalFormatting>
  <conditionalFormatting sqref="C34:Z34">
    <cfRule type="containsText" dxfId="4" priority="11" operator="containsText" text="R23">
      <formula>NOT(ISERROR(SEARCH(("R23"),(C34))))</formula>
    </cfRule>
  </conditionalFormatting>
  <conditionalFormatting sqref="C34:Z34">
    <cfRule type="containsText" dxfId="32" priority="12" operator="containsText" text="R22">
      <formula>NOT(ISERROR(SEARCH(("R22"),(C34))))</formula>
    </cfRule>
  </conditionalFormatting>
  <conditionalFormatting sqref="C34:Z34">
    <cfRule type="containsText" dxfId="8" priority="13" operator="containsText" text="R21">
      <formula>NOT(ISERROR(SEARCH(("R21"),(C34))))</formula>
    </cfRule>
  </conditionalFormatting>
  <conditionalFormatting sqref="C34:Z34">
    <cfRule type="containsText" dxfId="9" priority="14" operator="containsText" text="R20">
      <formula>NOT(ISERROR(SEARCH(("R20"),(C34))))</formula>
    </cfRule>
  </conditionalFormatting>
  <conditionalFormatting sqref="C34:Z34">
    <cfRule type="containsText" dxfId="35" priority="15" operator="containsText" text="R17">
      <formula>NOT(ISERROR(SEARCH(("R17"),(C34))))</formula>
    </cfRule>
  </conditionalFormatting>
  <conditionalFormatting sqref="C34:Z34">
    <cfRule type="containsText" dxfId="10" priority="16" operator="containsText" text="R16">
      <formula>NOT(ISERROR(SEARCH(("R16"),(C34))))</formula>
    </cfRule>
  </conditionalFormatting>
  <conditionalFormatting sqref="C34:Z34">
    <cfRule type="containsText" dxfId="11" priority="17" operator="containsText" text="R15">
      <formula>NOT(ISERROR(SEARCH(("R15"),(C34))))</formula>
    </cfRule>
  </conditionalFormatting>
  <conditionalFormatting sqref="C34:Z34">
    <cfRule type="containsText" dxfId="36" priority="18" operator="containsText" text="R13">
      <formula>NOT(ISERROR(SEARCH(("R13"),(C34))))</formula>
    </cfRule>
  </conditionalFormatting>
  <conditionalFormatting sqref="C34:Z34">
    <cfRule type="containsText" dxfId="12" priority="19" operator="containsText" text="R14">
      <formula>NOT(ISERROR(SEARCH(("R14"),(C34))))</formula>
    </cfRule>
  </conditionalFormatting>
  <conditionalFormatting sqref="C34:Z34">
    <cfRule type="containsText" dxfId="1" priority="20" operator="containsText" text="R12">
      <formula>NOT(ISERROR(SEARCH(("R12"),(C34))))</formula>
    </cfRule>
  </conditionalFormatting>
  <conditionalFormatting sqref="C34:Z34">
    <cfRule type="containsText" dxfId="13" priority="21" operator="containsText" text="R11">
      <formula>NOT(ISERROR(SEARCH(("R11"),(C34))))</formula>
    </cfRule>
  </conditionalFormatting>
  <conditionalFormatting sqref="C34:Z34">
    <cfRule type="containsText" dxfId="14" priority="22" operator="containsText" text="R10">
      <formula>NOT(ISERROR(SEARCH(("R10"),(C34))))</formula>
    </cfRule>
  </conditionalFormatting>
  <conditionalFormatting sqref="C34:Z34">
    <cfRule type="containsText" dxfId="15" priority="23" operator="containsText" text="R9">
      <formula>NOT(ISERROR(SEARCH(("R9"),(C34))))</formula>
    </cfRule>
  </conditionalFormatting>
  <conditionalFormatting sqref="C34:Z34">
    <cfRule type="containsText" dxfId="16" priority="24" operator="containsText" text="R8">
      <formula>NOT(ISERROR(SEARCH(("R8"),(C34))))</formula>
    </cfRule>
  </conditionalFormatting>
  <conditionalFormatting sqref="C34:Z34">
    <cfRule type="containsText" dxfId="17" priority="25" operator="containsText" text="R7">
      <formula>NOT(ISERROR(SEARCH(("R7"),(C34))))</formula>
    </cfRule>
  </conditionalFormatting>
  <conditionalFormatting sqref="C34:Z34">
    <cfRule type="containsText" dxfId="18" priority="26" operator="containsText" text="R6">
      <formula>NOT(ISERROR(SEARCH(("R6"),(C34))))</formula>
    </cfRule>
  </conditionalFormatting>
  <conditionalFormatting sqref="C34:Z34">
    <cfRule type="containsText" dxfId="19" priority="27" operator="containsText" text="R5">
      <formula>NOT(ISERROR(SEARCH(("R5"),(C34))))</formula>
    </cfRule>
  </conditionalFormatting>
  <conditionalFormatting sqref="C34:Z34">
    <cfRule type="containsText" dxfId="20" priority="28" operator="containsText" text="R4">
      <formula>NOT(ISERROR(SEARCH(("R4"),(C34))))</formula>
    </cfRule>
  </conditionalFormatting>
  <conditionalFormatting sqref="C34:Z34">
    <cfRule type="cellIs" dxfId="6" priority="29" stopIfTrue="1" operator="notEqual">
      <formula>0</formula>
    </cfRule>
  </conditionalFormatting>
  <conditionalFormatting sqref="C34:Z34">
    <cfRule type="cellIs" dxfId="7" priority="30" stopIfTrue="1" operator="equal">
      <formula>0</formula>
    </cfRule>
  </conditionalFormatting>
  <conditionalFormatting sqref="C55:Z55">
    <cfRule type="containsText" dxfId="21" priority="31" operator="containsText" text="R37">
      <formula>NOT(ISERROR(SEARCH(("R37"),(C55))))</formula>
    </cfRule>
  </conditionalFormatting>
  <conditionalFormatting sqref="C55:Z55">
    <cfRule type="containsText" dxfId="1" priority="32" operator="containsText" text="R36">
      <formula>NOT(ISERROR(SEARCH(("R36"),(C55))))</formula>
    </cfRule>
  </conditionalFormatting>
  <conditionalFormatting sqref="C55:Z55">
    <cfRule type="containsText" dxfId="22" priority="33" operator="containsText" text="R35">
      <formula>NOT(ISERROR(SEARCH(("R35"),(C55))))</formula>
    </cfRule>
  </conditionalFormatting>
  <conditionalFormatting sqref="C55:Z55">
    <cfRule type="containsText" dxfId="23" priority="34" operator="containsText" text="R34">
      <formula>NOT(ISERROR(SEARCH(("R34"),(C55))))</formula>
    </cfRule>
  </conditionalFormatting>
  <conditionalFormatting sqref="C55:Z55">
    <cfRule type="containsText" dxfId="25" priority="35" operator="containsText" text="R32">
      <formula>NOT(ISERROR(SEARCH(("R32"),(C55))))</formula>
    </cfRule>
  </conditionalFormatting>
  <conditionalFormatting sqref="C55:Z55">
    <cfRule type="containsText" dxfId="26" priority="36" operator="containsText" text="R31">
      <formula>NOT(ISERROR(SEARCH(("R31"),(C55))))</formula>
    </cfRule>
  </conditionalFormatting>
  <conditionalFormatting sqref="C55:Z55">
    <cfRule type="containsText" dxfId="27" priority="37" operator="containsText" text="R30">
      <formula>NOT(ISERROR(SEARCH(("R30"),(C55))))</formula>
    </cfRule>
  </conditionalFormatting>
  <conditionalFormatting sqref="C55:Z55">
    <cfRule type="containsText" dxfId="29" priority="38" operator="containsText" text="R29">
      <formula>NOT(ISERROR(SEARCH(("R29"),(C55))))</formula>
    </cfRule>
  </conditionalFormatting>
  <conditionalFormatting sqref="C55:Z55">
    <cfRule type="containsText" dxfId="3" priority="39" operator="containsText" text="R25">
      <formula>NOT(ISERROR(SEARCH(("R25"),(C55))))</formula>
    </cfRule>
  </conditionalFormatting>
  <conditionalFormatting sqref="C55:Z55">
    <cfRule type="containsText" dxfId="31" priority="40" operator="containsText" text="R24">
      <formula>NOT(ISERROR(SEARCH(("R24"),(C55))))</formula>
    </cfRule>
  </conditionalFormatting>
  <conditionalFormatting sqref="C55:Z55">
    <cfRule type="containsText" dxfId="4" priority="41" operator="containsText" text="R23">
      <formula>NOT(ISERROR(SEARCH(("R23"),(C55))))</formula>
    </cfRule>
  </conditionalFormatting>
  <conditionalFormatting sqref="C55:Z55">
    <cfRule type="containsText" dxfId="32" priority="42" operator="containsText" text="R22">
      <formula>NOT(ISERROR(SEARCH(("R22"),(C55))))</formula>
    </cfRule>
  </conditionalFormatting>
  <conditionalFormatting sqref="C55:Z55">
    <cfRule type="containsText" dxfId="8" priority="43" operator="containsText" text="R21">
      <formula>NOT(ISERROR(SEARCH(("R21"),(C55))))</formula>
    </cfRule>
  </conditionalFormatting>
  <conditionalFormatting sqref="C55:Z55">
    <cfRule type="containsText" dxfId="9" priority="44" operator="containsText" text="R20">
      <formula>NOT(ISERROR(SEARCH(("R20"),(C55))))</formula>
    </cfRule>
  </conditionalFormatting>
  <conditionalFormatting sqref="C55:Z55">
    <cfRule type="containsText" dxfId="35" priority="45" operator="containsText" text="R17">
      <formula>NOT(ISERROR(SEARCH(("R17"),(C55))))</formula>
    </cfRule>
  </conditionalFormatting>
  <conditionalFormatting sqref="C55:Z55">
    <cfRule type="containsText" dxfId="10" priority="46" operator="containsText" text="R16">
      <formula>NOT(ISERROR(SEARCH(("R16"),(C55))))</formula>
    </cfRule>
  </conditionalFormatting>
  <conditionalFormatting sqref="C55:Z55">
    <cfRule type="containsText" dxfId="11" priority="47" operator="containsText" text="R15">
      <formula>NOT(ISERROR(SEARCH(("R15"),(C55))))</formula>
    </cfRule>
  </conditionalFormatting>
  <conditionalFormatting sqref="C55:Z55">
    <cfRule type="containsText" dxfId="36" priority="48" operator="containsText" text="R13">
      <formula>NOT(ISERROR(SEARCH(("R13"),(C55))))</formula>
    </cfRule>
  </conditionalFormatting>
  <conditionalFormatting sqref="C55:Z55">
    <cfRule type="containsText" dxfId="12" priority="49" operator="containsText" text="R14">
      <formula>NOT(ISERROR(SEARCH(("R14"),(C55))))</formula>
    </cfRule>
  </conditionalFormatting>
  <conditionalFormatting sqref="C55:Z55">
    <cfRule type="containsText" dxfId="1" priority="50" operator="containsText" text="R12">
      <formula>NOT(ISERROR(SEARCH(("R12"),(C55))))</formula>
    </cfRule>
  </conditionalFormatting>
  <conditionalFormatting sqref="C55:Z55">
    <cfRule type="containsText" dxfId="13" priority="51" operator="containsText" text="R11">
      <formula>NOT(ISERROR(SEARCH(("R11"),(C55))))</formula>
    </cfRule>
  </conditionalFormatting>
  <conditionalFormatting sqref="C55:Z55">
    <cfRule type="containsText" dxfId="14" priority="52" operator="containsText" text="R10">
      <formula>NOT(ISERROR(SEARCH(("R10"),(C55))))</formula>
    </cfRule>
  </conditionalFormatting>
  <conditionalFormatting sqref="C55:Z55">
    <cfRule type="containsText" dxfId="15" priority="53" operator="containsText" text="R9">
      <formula>NOT(ISERROR(SEARCH(("R9"),(C55))))</formula>
    </cfRule>
  </conditionalFormatting>
  <conditionalFormatting sqref="C55:Z55">
    <cfRule type="containsText" dxfId="16" priority="54" operator="containsText" text="R8">
      <formula>NOT(ISERROR(SEARCH(("R8"),(C55))))</formula>
    </cfRule>
  </conditionalFormatting>
  <conditionalFormatting sqref="C55:Z55">
    <cfRule type="containsText" dxfId="17" priority="55" operator="containsText" text="R7">
      <formula>NOT(ISERROR(SEARCH(("R7"),(C55))))</formula>
    </cfRule>
  </conditionalFormatting>
  <conditionalFormatting sqref="C55:Z55">
    <cfRule type="containsText" dxfId="18" priority="56" operator="containsText" text="R6">
      <formula>NOT(ISERROR(SEARCH(("R6"),(C55))))</formula>
    </cfRule>
  </conditionalFormatting>
  <conditionalFormatting sqref="C55:Z55">
    <cfRule type="containsText" dxfId="19" priority="57" operator="containsText" text="R5">
      <formula>NOT(ISERROR(SEARCH(("R5"),(C55))))</formula>
    </cfRule>
  </conditionalFormatting>
  <conditionalFormatting sqref="C55:Z55">
    <cfRule type="containsText" dxfId="20" priority="58" operator="containsText" text="R4">
      <formula>NOT(ISERROR(SEARCH(("R4"),(C55))))</formula>
    </cfRule>
  </conditionalFormatting>
  <conditionalFormatting sqref="C55:Z55">
    <cfRule type="cellIs" dxfId="6" priority="59" stopIfTrue="1" operator="notEqual">
      <formula>0</formula>
    </cfRule>
  </conditionalFormatting>
  <conditionalFormatting sqref="C55:Z55">
    <cfRule type="cellIs" dxfId="7" priority="60" stopIfTrue="1" operator="equal">
      <formula>0</formula>
    </cfRule>
  </conditionalFormatting>
  <conditionalFormatting sqref="C82:Z82">
    <cfRule type="containsText" dxfId="21" priority="61" operator="containsText" text="R37">
      <formula>NOT(ISERROR(SEARCH(("R37"),(C82))))</formula>
    </cfRule>
  </conditionalFormatting>
  <conditionalFormatting sqref="C82:Z82">
    <cfRule type="containsText" dxfId="1" priority="62" operator="containsText" text="R36">
      <formula>NOT(ISERROR(SEARCH(("R36"),(C82))))</formula>
    </cfRule>
  </conditionalFormatting>
  <conditionalFormatting sqref="C82:Z82">
    <cfRule type="containsText" dxfId="22" priority="63" operator="containsText" text="R35">
      <formula>NOT(ISERROR(SEARCH(("R35"),(C82))))</formula>
    </cfRule>
  </conditionalFormatting>
  <conditionalFormatting sqref="C82:Z82">
    <cfRule type="containsText" dxfId="23" priority="64" operator="containsText" text="R34">
      <formula>NOT(ISERROR(SEARCH(("R34"),(C82))))</formula>
    </cfRule>
  </conditionalFormatting>
  <conditionalFormatting sqref="C82:Z82">
    <cfRule type="containsText" dxfId="25" priority="65" operator="containsText" text="R32">
      <formula>NOT(ISERROR(SEARCH(("R32"),(C82))))</formula>
    </cfRule>
  </conditionalFormatting>
  <conditionalFormatting sqref="C82:Z82">
    <cfRule type="containsText" dxfId="26" priority="66" operator="containsText" text="R31">
      <formula>NOT(ISERROR(SEARCH(("R31"),(C82))))</formula>
    </cfRule>
  </conditionalFormatting>
  <conditionalFormatting sqref="C82:Z82">
    <cfRule type="containsText" dxfId="27" priority="67" operator="containsText" text="R30">
      <formula>NOT(ISERROR(SEARCH(("R30"),(C82))))</formula>
    </cfRule>
  </conditionalFormatting>
  <conditionalFormatting sqref="C82:Z82">
    <cfRule type="containsText" dxfId="29" priority="68" operator="containsText" text="R29">
      <formula>NOT(ISERROR(SEARCH(("R29"),(C82))))</formula>
    </cfRule>
  </conditionalFormatting>
  <conditionalFormatting sqref="C82:Z82">
    <cfRule type="containsText" dxfId="3" priority="69" operator="containsText" text="R25">
      <formula>NOT(ISERROR(SEARCH(("R25"),(C82))))</formula>
    </cfRule>
  </conditionalFormatting>
  <conditionalFormatting sqref="C82:Z82">
    <cfRule type="containsText" dxfId="31" priority="70" operator="containsText" text="R24">
      <formula>NOT(ISERROR(SEARCH(("R24"),(C82))))</formula>
    </cfRule>
  </conditionalFormatting>
  <conditionalFormatting sqref="C82:Z82">
    <cfRule type="containsText" dxfId="4" priority="71" operator="containsText" text="R23">
      <formula>NOT(ISERROR(SEARCH(("R23"),(C82))))</formula>
    </cfRule>
  </conditionalFormatting>
  <conditionalFormatting sqref="C82:Z82">
    <cfRule type="containsText" dxfId="32" priority="72" operator="containsText" text="R22">
      <formula>NOT(ISERROR(SEARCH(("R22"),(C82))))</formula>
    </cfRule>
  </conditionalFormatting>
  <conditionalFormatting sqref="C82:Z82">
    <cfRule type="containsText" dxfId="8" priority="73" operator="containsText" text="R21">
      <formula>NOT(ISERROR(SEARCH(("R21"),(C82))))</formula>
    </cfRule>
  </conditionalFormatting>
  <conditionalFormatting sqref="C82:Z82">
    <cfRule type="containsText" dxfId="9" priority="74" operator="containsText" text="R20">
      <formula>NOT(ISERROR(SEARCH(("R20"),(C82))))</formula>
    </cfRule>
  </conditionalFormatting>
  <conditionalFormatting sqref="C82:Z82">
    <cfRule type="containsText" dxfId="35" priority="75" operator="containsText" text="R17">
      <formula>NOT(ISERROR(SEARCH(("R17"),(C82))))</formula>
    </cfRule>
  </conditionalFormatting>
  <conditionalFormatting sqref="C82:Z82">
    <cfRule type="containsText" dxfId="10" priority="76" operator="containsText" text="R16">
      <formula>NOT(ISERROR(SEARCH(("R16"),(C82))))</formula>
    </cfRule>
  </conditionalFormatting>
  <conditionalFormatting sqref="C82:Z82">
    <cfRule type="containsText" dxfId="11" priority="77" operator="containsText" text="R15">
      <formula>NOT(ISERROR(SEARCH(("R15"),(C82))))</formula>
    </cfRule>
  </conditionalFormatting>
  <conditionalFormatting sqref="C82:Z82">
    <cfRule type="containsText" dxfId="36" priority="78" operator="containsText" text="R13">
      <formula>NOT(ISERROR(SEARCH(("R13"),(C82))))</formula>
    </cfRule>
  </conditionalFormatting>
  <conditionalFormatting sqref="C82:Z82">
    <cfRule type="containsText" dxfId="12" priority="79" operator="containsText" text="R14">
      <formula>NOT(ISERROR(SEARCH(("R14"),(C82))))</formula>
    </cfRule>
  </conditionalFormatting>
  <conditionalFormatting sqref="C82:Z82">
    <cfRule type="containsText" dxfId="1" priority="80" operator="containsText" text="R12">
      <formula>NOT(ISERROR(SEARCH(("R12"),(C82))))</formula>
    </cfRule>
  </conditionalFormatting>
  <conditionalFormatting sqref="C82:Z82">
    <cfRule type="containsText" dxfId="13" priority="81" operator="containsText" text="R11">
      <formula>NOT(ISERROR(SEARCH(("R11"),(C82))))</formula>
    </cfRule>
  </conditionalFormatting>
  <conditionalFormatting sqref="C82:Z82">
    <cfRule type="containsText" dxfId="14" priority="82" operator="containsText" text="R10">
      <formula>NOT(ISERROR(SEARCH(("R10"),(C82))))</formula>
    </cfRule>
  </conditionalFormatting>
  <conditionalFormatting sqref="C82:Z82">
    <cfRule type="containsText" dxfId="15" priority="83" operator="containsText" text="R9">
      <formula>NOT(ISERROR(SEARCH(("R9"),(C82))))</formula>
    </cfRule>
  </conditionalFormatting>
  <conditionalFormatting sqref="C82:Z82">
    <cfRule type="containsText" dxfId="16" priority="84" operator="containsText" text="R8">
      <formula>NOT(ISERROR(SEARCH(("R8"),(C82))))</formula>
    </cfRule>
  </conditionalFormatting>
  <conditionalFormatting sqref="C82:Z82">
    <cfRule type="containsText" dxfId="17" priority="85" operator="containsText" text="R7">
      <formula>NOT(ISERROR(SEARCH(("R7"),(C82))))</formula>
    </cfRule>
  </conditionalFormatting>
  <conditionalFormatting sqref="C82:Z82">
    <cfRule type="containsText" dxfId="18" priority="86" operator="containsText" text="R6">
      <formula>NOT(ISERROR(SEARCH(("R6"),(C82))))</formula>
    </cfRule>
  </conditionalFormatting>
  <conditionalFormatting sqref="C82:Z82">
    <cfRule type="containsText" dxfId="19" priority="87" operator="containsText" text="R5">
      <formula>NOT(ISERROR(SEARCH(("R5"),(C82))))</formula>
    </cfRule>
  </conditionalFormatting>
  <conditionalFormatting sqref="C82:Z82">
    <cfRule type="containsText" dxfId="20" priority="88" operator="containsText" text="R4">
      <formula>NOT(ISERROR(SEARCH(("R4"),(C82))))</formula>
    </cfRule>
  </conditionalFormatting>
  <conditionalFormatting sqref="E82 G82">
    <cfRule type="cellIs" dxfId="7" priority="89" stopIfTrue="1" operator="equal">
      <formula>0</formula>
    </cfRule>
  </conditionalFormatting>
  <conditionalFormatting sqref="E34:W34 Y34">
    <cfRule type="cellIs" dxfId="6" priority="90" stopIfTrue="1" operator="notEqual">
      <formula>0</formula>
    </cfRule>
  </conditionalFormatting>
  <conditionalFormatting sqref="E34:W34 Y34">
    <cfRule type="cellIs" dxfId="7" priority="91" stopIfTrue="1" operator="equal">
      <formula>0</formula>
    </cfRule>
  </conditionalFormatting>
  <conditionalFormatting sqref="E82 G82">
    <cfRule type="cellIs" dxfId="6" priority="92" stopIfTrue="1" operator="notEqual">
      <formula>0</formula>
    </cfRule>
  </conditionalFormatting>
  <conditionalFormatting sqref="G82">
    <cfRule type="cellIs" dxfId="6" priority="93" stopIfTrue="1" operator="notEqual">
      <formula>0</formula>
    </cfRule>
  </conditionalFormatting>
  <conditionalFormatting sqref="G82">
    <cfRule type="cellIs" dxfId="7" priority="94" stopIfTrue="1" operator="equal">
      <formula>0</formula>
    </cfRule>
  </conditionalFormatting>
  <conditionalFormatting sqref="G82">
    <cfRule type="cellIs" dxfId="6" priority="95" stopIfTrue="1" operator="notEqual">
      <formula>0</formula>
    </cfRule>
  </conditionalFormatting>
  <conditionalFormatting sqref="G82">
    <cfRule type="cellIs" dxfId="7" priority="96" stopIfTrue="1" operator="equal">
      <formula>0</formula>
    </cfRule>
  </conditionalFormatting>
  <conditionalFormatting sqref="I82 K82 M82 O82 Q82 S82 U82 W82 Y82">
    <cfRule type="cellIs" dxfId="6" priority="97" stopIfTrue="1" operator="notEqual">
      <formula>0</formula>
    </cfRule>
  </conditionalFormatting>
  <conditionalFormatting sqref="I82 K82 M82 O82 Q82 S82 U82 W82 Y82">
    <cfRule type="cellIs" dxfId="7" priority="98" stopIfTrue="1" operator="equal">
      <formula>0</formula>
    </cfRule>
  </conditionalFormatting>
  <conditionalFormatting sqref="N34:O34">
    <cfRule type="cellIs" dxfId="6" priority="99" stopIfTrue="1" operator="notEqual">
      <formula>0</formula>
    </cfRule>
  </conditionalFormatting>
  <conditionalFormatting sqref="N34:O34">
    <cfRule type="cellIs" dxfId="7" priority="100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0"/>
    <col customWidth="1" min="2" max="2" width="233.88"/>
    <col customWidth="1" min="3" max="44" width="10.63"/>
    <col customWidth="1" min="45" max="45" width="19.25"/>
    <col customWidth="1" min="46" max="46" width="19.63"/>
    <col customWidth="1" min="47" max="66" width="10.63"/>
  </cols>
  <sheetData>
    <row r="1" ht="28.5" customHeight="1">
      <c r="A1" s="684"/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250"/>
      <c r="AV1" s="350"/>
    </row>
    <row r="2" ht="29.2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684"/>
      <c r="X2" s="684"/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684"/>
      <c r="AS2" s="684"/>
      <c r="AT2" s="684"/>
      <c r="AU2" s="250"/>
      <c r="AV2" s="350"/>
    </row>
    <row r="3" ht="28.5" customHeight="1">
      <c r="A3" s="863"/>
      <c r="B3" s="863" t="s">
        <v>0</v>
      </c>
      <c r="C3" s="86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  <c r="AP3" s="695"/>
      <c r="AQ3" s="695"/>
      <c r="AR3" s="684"/>
      <c r="AS3" s="684"/>
      <c r="AT3" s="684"/>
      <c r="AU3" s="250"/>
      <c r="AV3" s="350"/>
    </row>
    <row r="4" ht="28.5" customHeight="1">
      <c r="A4" s="9"/>
      <c r="B4" s="9"/>
      <c r="C4" s="10"/>
      <c r="AO4" s="11"/>
      <c r="AP4" s="695"/>
      <c r="AQ4" s="695"/>
      <c r="AR4" s="684"/>
      <c r="AS4" s="684"/>
      <c r="AT4" s="684"/>
      <c r="AU4" s="250"/>
      <c r="AV4" s="350"/>
    </row>
    <row r="5" ht="29.25" customHeight="1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  <c r="AP5" s="695"/>
      <c r="AQ5" s="695"/>
      <c r="AR5" s="684"/>
      <c r="AS5" s="684"/>
      <c r="AT5" s="684"/>
      <c r="AU5" s="250"/>
      <c r="AV5" s="350"/>
    </row>
    <row r="6" ht="33.75" customHeight="1">
      <c r="A6" s="865"/>
      <c r="B6" s="863" t="s">
        <v>0</v>
      </c>
      <c r="C6" s="866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867"/>
      <c r="AD6" s="867"/>
      <c r="AE6" s="684"/>
      <c r="AF6" s="684"/>
      <c r="AG6" s="684"/>
      <c r="AH6" s="684"/>
      <c r="AI6" s="684"/>
      <c r="AJ6" s="684"/>
      <c r="AK6" s="684"/>
      <c r="AL6" s="684"/>
      <c r="AM6" s="684"/>
      <c r="AN6" s="684"/>
      <c r="AO6" s="684"/>
      <c r="AP6" s="684"/>
      <c r="AQ6" s="684"/>
      <c r="AR6" s="684"/>
      <c r="AS6" s="684"/>
      <c r="AT6" s="684"/>
      <c r="AU6" s="684"/>
      <c r="AV6" s="684"/>
      <c r="AW6" s="684"/>
      <c r="AX6" s="684"/>
      <c r="AY6" s="684"/>
      <c r="AZ6" s="684"/>
      <c r="BA6" s="684"/>
      <c r="BB6" s="684"/>
      <c r="BC6" s="684"/>
      <c r="BD6" s="684"/>
      <c r="BE6" s="684"/>
      <c r="BF6" s="684"/>
      <c r="BG6" s="684"/>
      <c r="BH6" s="684"/>
      <c r="BI6" s="684"/>
      <c r="BJ6" s="684"/>
      <c r="BK6" s="684"/>
      <c r="BL6" s="684"/>
      <c r="BM6" s="684"/>
      <c r="BN6" s="684"/>
    </row>
    <row r="7" ht="63.0" customHeight="1">
      <c r="A7" s="9"/>
      <c r="B7" s="9"/>
      <c r="C7" s="10"/>
      <c r="AB7" s="11"/>
      <c r="AC7" s="867"/>
      <c r="AD7" s="867"/>
      <c r="AE7" s="684"/>
      <c r="AF7" s="684"/>
      <c r="AG7" s="684"/>
      <c r="AH7" s="684"/>
      <c r="AI7" s="684"/>
      <c r="AJ7" s="684"/>
      <c r="AK7" s="684"/>
      <c r="AL7" s="684"/>
      <c r="AM7" s="684"/>
      <c r="AN7" s="684"/>
      <c r="AO7" s="684"/>
      <c r="AP7" s="684"/>
      <c r="AQ7" s="684"/>
      <c r="AR7" s="684"/>
      <c r="AS7" s="684"/>
      <c r="AT7" s="684"/>
      <c r="AU7" s="684"/>
      <c r="AV7" s="684"/>
      <c r="AW7" s="684"/>
      <c r="AX7" s="684"/>
      <c r="AY7" s="684"/>
      <c r="AZ7" s="684"/>
      <c r="BA7" s="684"/>
      <c r="BB7" s="684"/>
      <c r="BC7" s="684"/>
      <c r="BD7" s="684"/>
      <c r="BE7" s="684"/>
      <c r="BF7" s="684"/>
      <c r="BG7" s="684"/>
      <c r="BH7" s="684"/>
      <c r="BI7" s="684"/>
      <c r="BJ7" s="684"/>
      <c r="BK7" s="684"/>
      <c r="BL7" s="684"/>
      <c r="BM7" s="684"/>
      <c r="BN7" s="684"/>
    </row>
    <row r="8" ht="85.5" customHeight="1">
      <c r="A8" s="12"/>
      <c r="B8" s="12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9"/>
      <c r="AC8" s="867"/>
      <c r="AD8" s="867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  <c r="AU8" s="684"/>
      <c r="AV8" s="684"/>
      <c r="AW8" s="684"/>
      <c r="AX8" s="684"/>
      <c r="AY8" s="684"/>
      <c r="AZ8" s="684"/>
      <c r="BA8" s="684"/>
      <c r="BB8" s="684"/>
      <c r="BC8" s="684"/>
      <c r="BD8" s="684"/>
      <c r="BE8" s="684"/>
      <c r="BF8" s="684"/>
      <c r="BG8" s="684"/>
      <c r="BH8" s="684"/>
      <c r="BI8" s="684"/>
      <c r="BJ8" s="684"/>
      <c r="BK8" s="684"/>
      <c r="BL8" s="684"/>
      <c r="BM8" s="684"/>
      <c r="BN8" s="684"/>
    </row>
    <row r="9" ht="33.75" customHeight="1">
      <c r="A9" s="868" t="s">
        <v>2</v>
      </c>
      <c r="B9" s="869" t="s">
        <v>3</v>
      </c>
      <c r="C9" s="612" t="s">
        <v>4</v>
      </c>
      <c r="D9" s="19"/>
      <c r="E9" s="19"/>
      <c r="F9" s="20"/>
      <c r="G9" s="613">
        <v>46037.0</v>
      </c>
      <c r="H9" s="5"/>
      <c r="I9" s="179"/>
      <c r="J9" s="494" t="s">
        <v>75</v>
      </c>
      <c r="K9" s="495">
        <v>45891.0</v>
      </c>
      <c r="L9" s="38"/>
      <c r="M9" s="40"/>
      <c r="N9" s="870" t="s">
        <v>47</v>
      </c>
      <c r="O9" s="871">
        <v>45947.0</v>
      </c>
      <c r="P9" s="24"/>
      <c r="Q9" s="25"/>
      <c r="R9" s="469" t="s">
        <v>38</v>
      </c>
      <c r="S9" s="470">
        <v>46010.0</v>
      </c>
      <c r="T9" s="24"/>
      <c r="U9" s="26"/>
      <c r="V9" s="872"/>
      <c r="W9" s="873"/>
      <c r="X9" s="24"/>
      <c r="Y9" s="25"/>
      <c r="Z9" s="618"/>
      <c r="AA9" s="619"/>
      <c r="AB9" s="25"/>
      <c r="AC9" s="874"/>
      <c r="AD9" s="874"/>
      <c r="AE9" s="875"/>
      <c r="AF9" s="875"/>
      <c r="AG9" s="684"/>
      <c r="AH9" s="684"/>
      <c r="AI9" s="684"/>
      <c r="AJ9" s="684"/>
      <c r="AK9" s="684"/>
      <c r="AL9" s="684"/>
      <c r="AM9" s="684"/>
      <c r="AN9" s="684"/>
      <c r="AO9" s="684"/>
      <c r="AP9" s="684"/>
      <c r="AQ9" s="684"/>
      <c r="AR9" s="684"/>
      <c r="AS9" s="684"/>
      <c r="AT9" s="684"/>
      <c r="AU9" s="684"/>
      <c r="AV9" s="684"/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4"/>
      <c r="BJ9" s="684"/>
      <c r="BK9" s="684"/>
      <c r="BL9" s="684"/>
      <c r="BM9" s="684"/>
      <c r="BN9" s="684"/>
    </row>
    <row r="10" ht="33.75" customHeight="1">
      <c r="A10" s="876" t="s">
        <v>14</v>
      </c>
      <c r="B10" s="877" t="s">
        <v>15</v>
      </c>
      <c r="C10" s="10"/>
      <c r="F10" s="11"/>
      <c r="G10" s="10"/>
      <c r="I10" s="180"/>
      <c r="J10" s="498" t="s">
        <v>83</v>
      </c>
      <c r="K10" s="499">
        <v>45898.0</v>
      </c>
      <c r="L10" s="38"/>
      <c r="M10" s="40"/>
      <c r="N10" s="478" t="s">
        <v>56</v>
      </c>
      <c r="O10" s="479">
        <v>45954.0</v>
      </c>
      <c r="P10" s="38"/>
      <c r="Q10" s="39"/>
      <c r="R10" s="275" t="s">
        <v>48</v>
      </c>
      <c r="S10" s="276">
        <v>46015.0</v>
      </c>
      <c r="T10" s="38"/>
      <c r="U10" s="40"/>
      <c r="V10" s="622"/>
      <c r="W10" s="623"/>
      <c r="X10" s="38"/>
      <c r="Y10" s="39"/>
      <c r="Z10" s="624"/>
      <c r="AA10" s="625"/>
      <c r="AB10" s="39"/>
      <c r="AC10" s="878"/>
      <c r="AD10" s="878"/>
      <c r="AE10" s="875"/>
      <c r="AF10" s="875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  <c r="BE10" s="684"/>
      <c r="BF10" s="684"/>
      <c r="BG10" s="684"/>
      <c r="BH10" s="684"/>
      <c r="BI10" s="684"/>
      <c r="BJ10" s="684"/>
      <c r="BK10" s="684"/>
      <c r="BL10" s="684"/>
      <c r="BM10" s="684"/>
      <c r="BN10" s="684"/>
    </row>
    <row r="11" ht="33.75" customHeight="1">
      <c r="A11" s="876" t="s">
        <v>24</v>
      </c>
      <c r="B11" s="877" t="s">
        <v>25</v>
      </c>
      <c r="C11" s="10"/>
      <c r="F11" s="11"/>
      <c r="G11" s="10"/>
      <c r="I11" s="180"/>
      <c r="J11" s="732" t="s">
        <v>91</v>
      </c>
      <c r="K11" s="733">
        <v>45905.0</v>
      </c>
      <c r="L11" s="38"/>
      <c r="M11" s="40"/>
      <c r="N11" s="486" t="s">
        <v>67</v>
      </c>
      <c r="O11" s="487">
        <v>45960.0</v>
      </c>
      <c r="P11" s="38"/>
      <c r="Q11" s="39"/>
      <c r="R11" s="290" t="s">
        <v>57</v>
      </c>
      <c r="S11" s="291">
        <v>46022.0</v>
      </c>
      <c r="T11" s="38"/>
      <c r="U11" s="40"/>
      <c r="V11" s="628"/>
      <c r="W11" s="623"/>
      <c r="X11" s="38"/>
      <c r="Y11" s="39"/>
      <c r="Z11" s="624"/>
      <c r="AA11" s="625"/>
      <c r="AB11" s="39"/>
      <c r="AC11" s="878"/>
      <c r="AD11" s="878"/>
      <c r="AE11" s="875"/>
      <c r="AF11" s="875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</row>
    <row r="12" ht="33.75" customHeight="1">
      <c r="A12" s="876" t="s">
        <v>34</v>
      </c>
      <c r="B12" s="877" t="s">
        <v>35</v>
      </c>
      <c r="C12" s="10"/>
      <c r="F12" s="11"/>
      <c r="G12" s="10"/>
      <c r="I12" s="180"/>
      <c r="J12" s="502" t="s">
        <v>410</v>
      </c>
      <c r="K12" s="503">
        <v>45912.0</v>
      </c>
      <c r="L12" s="38"/>
      <c r="M12" s="40"/>
      <c r="N12" s="492" t="s">
        <v>76</v>
      </c>
      <c r="O12" s="493">
        <v>45968.0</v>
      </c>
      <c r="P12" s="38"/>
      <c r="Q12" s="39"/>
      <c r="R12" s="300" t="s">
        <v>68</v>
      </c>
      <c r="S12" s="301">
        <v>46031.0</v>
      </c>
      <c r="T12" s="38"/>
      <c r="U12" s="40"/>
      <c r="V12" s="628"/>
      <c r="W12" s="623"/>
      <c r="X12" s="38"/>
      <c r="Y12" s="39"/>
      <c r="Z12" s="631"/>
      <c r="AA12" s="625"/>
      <c r="AB12" s="39"/>
      <c r="AC12" s="878"/>
      <c r="AD12" s="878"/>
      <c r="AE12" s="684"/>
      <c r="AF12" s="684"/>
      <c r="AG12" s="684"/>
      <c r="AH12" s="684"/>
      <c r="AI12" s="684"/>
      <c r="AJ12" s="684"/>
      <c r="AK12" s="684"/>
      <c r="AL12" s="684"/>
      <c r="AM12" s="684"/>
      <c r="AN12" s="684"/>
      <c r="AO12" s="684"/>
      <c r="AP12" s="684"/>
      <c r="AQ12" s="684"/>
      <c r="AR12" s="684"/>
      <c r="AS12" s="684"/>
      <c r="AT12" s="684"/>
      <c r="AU12" s="684"/>
      <c r="AV12" s="684"/>
      <c r="AW12" s="684"/>
      <c r="AX12" s="684"/>
      <c r="AY12" s="684"/>
      <c r="AZ12" s="684"/>
      <c r="BA12" s="684"/>
      <c r="BB12" s="684"/>
      <c r="BC12" s="684"/>
      <c r="BD12" s="684"/>
      <c r="BE12" s="684"/>
      <c r="BF12" s="684"/>
      <c r="BG12" s="684"/>
      <c r="BH12" s="684"/>
      <c r="BI12" s="684"/>
      <c r="BJ12" s="684"/>
      <c r="BK12" s="684"/>
      <c r="BL12" s="684"/>
      <c r="BM12" s="684"/>
      <c r="BN12" s="684"/>
    </row>
    <row r="13" ht="33.75" customHeight="1">
      <c r="A13" s="876" t="s">
        <v>44</v>
      </c>
      <c r="B13" s="877" t="s">
        <v>54</v>
      </c>
      <c r="C13" s="10"/>
      <c r="F13" s="11"/>
      <c r="G13" s="10"/>
      <c r="I13" s="180"/>
      <c r="J13" s="879" t="s">
        <v>7</v>
      </c>
      <c r="K13" s="880">
        <v>45916.0</v>
      </c>
      <c r="L13" s="38"/>
      <c r="M13" s="40"/>
      <c r="N13" s="496" t="s">
        <v>84</v>
      </c>
      <c r="O13" s="497">
        <v>45975.0</v>
      </c>
      <c r="P13" s="38"/>
      <c r="Q13" s="39"/>
      <c r="R13" s="308" t="s">
        <v>77</v>
      </c>
      <c r="S13" s="309">
        <v>46038.0</v>
      </c>
      <c r="T13" s="38"/>
      <c r="U13" s="39"/>
      <c r="V13" s="628"/>
      <c r="W13" s="623"/>
      <c r="X13" s="38"/>
      <c r="Y13" s="39"/>
      <c r="Z13" s="631"/>
      <c r="AA13" s="625"/>
      <c r="AB13" s="39"/>
      <c r="AC13" s="878"/>
      <c r="AD13" s="878"/>
      <c r="AE13" s="875"/>
      <c r="AF13" s="875"/>
      <c r="AG13" s="684"/>
      <c r="AH13" s="684"/>
      <c r="AI13" s="684"/>
      <c r="AJ13" s="684"/>
      <c r="AK13" s="684"/>
      <c r="AL13" s="684"/>
      <c r="AM13" s="684"/>
      <c r="AN13" s="684"/>
      <c r="AO13" s="684"/>
      <c r="AP13" s="684"/>
      <c r="AQ13" s="684"/>
      <c r="AR13" s="684"/>
      <c r="AS13" s="684"/>
      <c r="AT13" s="684"/>
      <c r="AU13" s="684"/>
      <c r="AV13" s="684"/>
      <c r="AW13" s="684"/>
      <c r="AX13" s="684"/>
      <c r="AY13" s="684"/>
      <c r="AZ13" s="684"/>
      <c r="BA13" s="684"/>
      <c r="BB13" s="684"/>
      <c r="BC13" s="684"/>
      <c r="BD13" s="684"/>
      <c r="BE13" s="684"/>
      <c r="BF13" s="684"/>
      <c r="BG13" s="684"/>
      <c r="BH13" s="684"/>
      <c r="BI13" s="684"/>
      <c r="BJ13" s="684"/>
      <c r="BK13" s="684"/>
      <c r="BL13" s="684"/>
      <c r="BM13" s="684"/>
      <c r="BN13" s="684"/>
    </row>
    <row r="14" ht="33.75" customHeight="1">
      <c r="A14" s="876" t="s">
        <v>62</v>
      </c>
      <c r="B14" s="877" t="s">
        <v>63</v>
      </c>
      <c r="C14" s="47"/>
      <c r="D14" s="48"/>
      <c r="E14" s="48"/>
      <c r="F14" s="49"/>
      <c r="G14" s="47"/>
      <c r="H14" s="48"/>
      <c r="I14" s="203"/>
      <c r="J14" s="506" t="s">
        <v>17</v>
      </c>
      <c r="K14" s="507">
        <v>45926.0</v>
      </c>
      <c r="L14" s="38"/>
      <c r="M14" s="40"/>
      <c r="N14" s="500" t="s">
        <v>92</v>
      </c>
      <c r="O14" s="501">
        <v>45982.0</v>
      </c>
      <c r="P14" s="38"/>
      <c r="Q14" s="39"/>
      <c r="R14" s="199" t="s">
        <v>85</v>
      </c>
      <c r="S14" s="200">
        <v>46045.0</v>
      </c>
      <c r="T14" s="38"/>
      <c r="U14" s="39"/>
      <c r="V14" s="628"/>
      <c r="W14" s="623"/>
      <c r="X14" s="38"/>
      <c r="Y14" s="39"/>
      <c r="Z14" s="631"/>
      <c r="AA14" s="625"/>
      <c r="AB14" s="39"/>
      <c r="AC14" s="878"/>
      <c r="AD14" s="878"/>
      <c r="AE14" s="875"/>
      <c r="AF14" s="875"/>
      <c r="AG14" s="684"/>
      <c r="AH14" s="684"/>
      <c r="AI14" s="684"/>
      <c r="AJ14" s="684"/>
      <c r="AK14" s="684"/>
      <c r="AL14" s="684"/>
      <c r="AM14" s="684"/>
      <c r="AN14" s="684"/>
      <c r="AO14" s="684"/>
      <c r="AP14" s="684"/>
      <c r="AQ14" s="684"/>
      <c r="AR14" s="684"/>
      <c r="AS14" s="684"/>
      <c r="AT14" s="684"/>
      <c r="AU14" s="684"/>
      <c r="AV14" s="684"/>
      <c r="AW14" s="684"/>
      <c r="AX14" s="684"/>
      <c r="AY14" s="684"/>
      <c r="AZ14" s="684"/>
      <c r="BA14" s="684"/>
      <c r="BB14" s="684"/>
      <c r="BC14" s="684"/>
      <c r="BD14" s="684"/>
      <c r="BE14" s="684"/>
      <c r="BF14" s="684"/>
      <c r="BG14" s="684"/>
      <c r="BH14" s="684"/>
      <c r="BI14" s="684"/>
      <c r="BJ14" s="684"/>
      <c r="BK14" s="684"/>
      <c r="BL14" s="684"/>
      <c r="BM14" s="684"/>
      <c r="BN14" s="684"/>
    </row>
    <row r="15" ht="33.75" customHeight="1">
      <c r="A15" s="876" t="s">
        <v>73</v>
      </c>
      <c r="B15" s="877" t="s">
        <v>74</v>
      </c>
      <c r="C15" s="881"/>
      <c r="D15" s="882"/>
      <c r="E15" s="882"/>
      <c r="F15" s="883"/>
      <c r="G15" s="881"/>
      <c r="H15" s="882"/>
      <c r="I15" s="883"/>
      <c r="J15" s="571" t="s">
        <v>27</v>
      </c>
      <c r="K15" s="572">
        <v>45933.0</v>
      </c>
      <c r="L15" s="38"/>
      <c r="M15" s="40"/>
      <c r="N15" s="504" t="s">
        <v>8</v>
      </c>
      <c r="O15" s="505">
        <v>45989.0</v>
      </c>
      <c r="P15" s="38"/>
      <c r="Q15" s="39"/>
      <c r="R15" s="323" t="s">
        <v>93</v>
      </c>
      <c r="S15" s="324">
        <v>46052.0</v>
      </c>
      <c r="T15" s="38"/>
      <c r="U15" s="39"/>
      <c r="V15" s="628"/>
      <c r="W15" s="623"/>
      <c r="X15" s="38"/>
      <c r="Y15" s="39"/>
      <c r="Z15" s="631"/>
      <c r="AA15" s="625"/>
      <c r="AB15" s="39"/>
      <c r="AC15" s="878"/>
      <c r="AD15" s="878"/>
      <c r="AE15" s="875"/>
      <c r="AF15" s="875"/>
      <c r="AG15" s="684"/>
      <c r="AH15" s="684"/>
      <c r="AI15" s="684"/>
      <c r="AJ15" s="684"/>
      <c r="AK15" s="684"/>
      <c r="AL15" s="684"/>
      <c r="AM15" s="684"/>
      <c r="AN15" s="684"/>
      <c r="AO15" s="684"/>
      <c r="AP15" s="684"/>
      <c r="AQ15" s="684"/>
      <c r="AR15" s="684"/>
      <c r="AS15" s="684"/>
      <c r="AT15" s="684"/>
      <c r="AU15" s="684"/>
      <c r="AV15" s="684"/>
      <c r="AW15" s="684"/>
      <c r="AX15" s="684"/>
      <c r="AY15" s="684"/>
      <c r="AZ15" s="684"/>
      <c r="BA15" s="684"/>
      <c r="BB15" s="684"/>
      <c r="BC15" s="684"/>
      <c r="BD15" s="684"/>
      <c r="BE15" s="684"/>
      <c r="BF15" s="684"/>
      <c r="BG15" s="684"/>
      <c r="BH15" s="684"/>
      <c r="BI15" s="684"/>
      <c r="BJ15" s="684"/>
      <c r="BK15" s="684"/>
      <c r="BL15" s="684"/>
      <c r="BM15" s="684"/>
      <c r="BN15" s="684"/>
    </row>
    <row r="16" ht="33.75" customHeight="1">
      <c r="A16" s="876" t="s">
        <v>82</v>
      </c>
      <c r="B16" s="877" t="s">
        <v>400</v>
      </c>
      <c r="C16" s="884"/>
      <c r="D16" s="885"/>
      <c r="E16" s="885"/>
      <c r="F16" s="886"/>
      <c r="G16" s="884"/>
      <c r="H16" s="885"/>
      <c r="I16" s="886"/>
      <c r="J16" s="629" t="s">
        <v>37</v>
      </c>
      <c r="K16" s="887">
        <v>45939.0</v>
      </c>
      <c r="L16" s="38"/>
      <c r="M16" s="40"/>
      <c r="N16" s="508" t="s">
        <v>18</v>
      </c>
      <c r="O16" s="509">
        <v>45996.0</v>
      </c>
      <c r="P16" s="38"/>
      <c r="Q16" s="39"/>
      <c r="R16" s="510"/>
      <c r="S16" s="481"/>
      <c r="T16" s="38"/>
      <c r="U16" s="40"/>
      <c r="V16" s="628"/>
      <c r="W16" s="623"/>
      <c r="X16" s="38"/>
      <c r="Y16" s="39"/>
      <c r="Z16" s="631"/>
      <c r="AA16" s="625"/>
      <c r="AB16" s="39"/>
      <c r="AC16" s="878"/>
      <c r="AD16" s="878"/>
      <c r="AE16" s="875"/>
      <c r="AF16" s="875"/>
      <c r="AG16" s="684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T16" s="684"/>
      <c r="AU16" s="684"/>
      <c r="AV16" s="684"/>
      <c r="AW16" s="684"/>
      <c r="AX16" s="684"/>
      <c r="AY16" s="684"/>
      <c r="AZ16" s="684"/>
      <c r="BA16" s="684"/>
      <c r="BB16" s="684"/>
      <c r="BC16" s="684"/>
      <c r="BD16" s="684"/>
      <c r="BE16" s="684"/>
      <c r="BF16" s="684"/>
      <c r="BG16" s="684"/>
      <c r="BH16" s="684"/>
      <c r="BI16" s="684"/>
      <c r="BJ16" s="684"/>
      <c r="BK16" s="684"/>
      <c r="BL16" s="684"/>
      <c r="BM16" s="684"/>
      <c r="BN16" s="684"/>
    </row>
    <row r="17" ht="33.75" customHeight="1">
      <c r="A17" s="888" t="s">
        <v>90</v>
      </c>
      <c r="B17" s="889">
        <v>182948.0</v>
      </c>
      <c r="C17" s="890"/>
      <c r="D17" s="890"/>
      <c r="E17" s="890"/>
      <c r="F17" s="890"/>
      <c r="G17" s="890"/>
      <c r="H17" s="890"/>
      <c r="I17" s="890"/>
      <c r="J17" s="568"/>
      <c r="K17" s="481"/>
      <c r="L17" s="38"/>
      <c r="M17" s="40"/>
      <c r="N17" s="514" t="s">
        <v>28</v>
      </c>
      <c r="O17" s="515">
        <v>46003.0</v>
      </c>
      <c r="P17" s="56"/>
      <c r="Q17" s="57"/>
      <c r="R17" s="510"/>
      <c r="S17" s="481"/>
      <c r="T17" s="38"/>
      <c r="U17" s="40"/>
      <c r="V17" s="628"/>
      <c r="W17" s="625"/>
      <c r="X17" s="38"/>
      <c r="Y17" s="39"/>
      <c r="Z17" s="631"/>
      <c r="AA17" s="625"/>
      <c r="AB17" s="39"/>
      <c r="AC17" s="878"/>
      <c r="AD17" s="878"/>
      <c r="AE17" s="875"/>
      <c r="AF17" s="875"/>
      <c r="AG17" s="684"/>
      <c r="AH17" s="684"/>
      <c r="AI17" s="684"/>
      <c r="AJ17" s="684"/>
      <c r="AK17" s="684"/>
      <c r="AL17" s="684"/>
      <c r="AM17" s="684"/>
      <c r="AN17" s="684"/>
      <c r="AO17" s="684"/>
      <c r="AP17" s="684"/>
      <c r="AQ17" s="684"/>
      <c r="AR17" s="684"/>
      <c r="AS17" s="684"/>
      <c r="AT17" s="684"/>
      <c r="AU17" s="684"/>
      <c r="AV17" s="684"/>
      <c r="AW17" s="684"/>
      <c r="AX17" s="684"/>
      <c r="AY17" s="684"/>
      <c r="AZ17" s="684"/>
      <c r="BA17" s="684"/>
      <c r="BB17" s="684"/>
      <c r="BC17" s="684"/>
      <c r="BD17" s="684"/>
      <c r="BE17" s="684"/>
      <c r="BF17" s="684"/>
      <c r="BG17" s="684"/>
      <c r="BH17" s="684"/>
      <c r="BI17" s="684"/>
      <c r="BJ17" s="684"/>
      <c r="BK17" s="684"/>
      <c r="BL17" s="684"/>
      <c r="BM17" s="684"/>
      <c r="BN17" s="684"/>
    </row>
    <row r="18" ht="33.75" customHeight="1">
      <c r="A18" s="891" t="s">
        <v>98</v>
      </c>
      <c r="B18" s="892" t="s">
        <v>99</v>
      </c>
      <c r="C18" s="893" t="s">
        <v>100</v>
      </c>
      <c r="D18" s="894"/>
      <c r="E18" s="894"/>
      <c r="F18" s="894"/>
      <c r="G18" s="894"/>
      <c r="H18" s="894"/>
      <c r="I18" s="894"/>
      <c r="J18" s="894"/>
      <c r="K18" s="894"/>
      <c r="L18" s="894"/>
      <c r="M18" s="894"/>
      <c r="N18" s="894"/>
      <c r="O18" s="894"/>
      <c r="P18" s="894"/>
      <c r="Q18" s="894"/>
      <c r="R18" s="894"/>
      <c r="S18" s="894"/>
      <c r="T18" s="894"/>
      <c r="U18" s="894"/>
      <c r="V18" s="894"/>
      <c r="W18" s="894"/>
      <c r="X18" s="894"/>
      <c r="Y18" s="894"/>
      <c r="Z18" s="894"/>
      <c r="AA18" s="894"/>
      <c r="AB18" s="894"/>
      <c r="AC18" s="894"/>
      <c r="AD18" s="895"/>
      <c r="AE18" s="895"/>
      <c r="AF18" s="895"/>
      <c r="AG18" s="895"/>
      <c r="AH18" s="895"/>
      <c r="AI18" s="896"/>
      <c r="AJ18" s="897"/>
      <c r="AK18" s="898"/>
      <c r="AL18" s="684"/>
      <c r="AM18" s="684"/>
      <c r="AN18" s="684"/>
      <c r="AO18" s="684"/>
      <c r="AP18" s="684"/>
      <c r="AQ18" s="684"/>
      <c r="AR18" s="684"/>
      <c r="AS18" s="684"/>
      <c r="AT18" s="684"/>
      <c r="AU18" s="250"/>
      <c r="AV18" s="350"/>
    </row>
    <row r="19" ht="33.75" customHeight="1">
      <c r="A19" s="9"/>
      <c r="B19" s="9"/>
      <c r="C19" s="899" t="s">
        <v>101</v>
      </c>
      <c r="D19" s="900"/>
      <c r="E19" s="901"/>
      <c r="F19" s="901"/>
      <c r="G19" s="902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650"/>
      <c r="AB19" s="650"/>
      <c r="AC19" s="650"/>
      <c r="AD19" s="651" t="s">
        <v>102</v>
      </c>
      <c r="AE19" s="64"/>
      <c r="AF19" s="64"/>
      <c r="AG19" s="64"/>
      <c r="AH19" s="64"/>
      <c r="AI19" s="65"/>
      <c r="AJ19" s="215" t="s">
        <v>423</v>
      </c>
      <c r="AK19" s="65"/>
      <c r="AL19" s="684"/>
      <c r="AM19" s="684"/>
      <c r="AN19" s="684"/>
      <c r="AO19" s="684"/>
      <c r="AP19" s="684"/>
      <c r="AQ19" s="684"/>
      <c r="AR19" s="684"/>
      <c r="AS19" s="684"/>
      <c r="AT19" s="684"/>
      <c r="AU19" s="250"/>
      <c r="AV19" s="350"/>
    </row>
    <row r="20" ht="33.75" customHeight="1">
      <c r="A20" s="84"/>
      <c r="B20" s="84"/>
      <c r="C20" s="903">
        <v>1.0</v>
      </c>
      <c r="D20" s="86"/>
      <c r="E20" s="653">
        <v>2.0</v>
      </c>
      <c r="F20" s="86"/>
      <c r="G20" s="653">
        <v>3.0</v>
      </c>
      <c r="H20" s="86"/>
      <c r="I20" s="653">
        <v>4.0</v>
      </c>
      <c r="J20" s="86"/>
      <c r="K20" s="653">
        <v>5.0</v>
      </c>
      <c r="L20" s="86"/>
      <c r="M20" s="653">
        <v>6.0</v>
      </c>
      <c r="N20" s="86"/>
      <c r="O20" s="653">
        <v>7.0</v>
      </c>
      <c r="P20" s="86"/>
      <c r="Q20" s="653">
        <v>8.0</v>
      </c>
      <c r="R20" s="86"/>
      <c r="S20" s="653">
        <v>9.0</v>
      </c>
      <c r="T20" s="86"/>
      <c r="U20" s="653">
        <v>10.0</v>
      </c>
      <c r="V20" s="86"/>
      <c r="W20" s="653">
        <v>11.0</v>
      </c>
      <c r="X20" s="86"/>
      <c r="Y20" s="653">
        <v>12.0</v>
      </c>
      <c r="Z20" s="86"/>
      <c r="AA20" s="653">
        <v>13.0</v>
      </c>
      <c r="AB20" s="86"/>
      <c r="AC20" s="653">
        <v>14.0</v>
      </c>
      <c r="AD20" s="86"/>
      <c r="AE20" s="653">
        <v>15.0</v>
      </c>
      <c r="AF20" s="86"/>
      <c r="AG20" s="653">
        <v>16.0</v>
      </c>
      <c r="AH20" s="86"/>
      <c r="AI20" s="653">
        <v>17.0</v>
      </c>
      <c r="AJ20" s="86"/>
      <c r="AK20" s="653">
        <v>18.0</v>
      </c>
      <c r="AL20" s="86"/>
      <c r="AM20" s="653">
        <v>19.0</v>
      </c>
      <c r="AN20" s="86"/>
      <c r="AO20" s="653">
        <v>20.0</v>
      </c>
      <c r="AP20" s="86"/>
      <c r="AQ20" s="653">
        <v>21.0</v>
      </c>
      <c r="AR20" s="86"/>
      <c r="AS20" s="654" t="s">
        <v>104</v>
      </c>
      <c r="AT20" s="655" t="s">
        <v>105</v>
      </c>
      <c r="AU20" s="250"/>
      <c r="AV20" s="350"/>
    </row>
    <row r="21" ht="45.0" customHeight="1">
      <c r="A21" s="904" t="s">
        <v>106</v>
      </c>
      <c r="B21" s="905" t="s">
        <v>107</v>
      </c>
      <c r="C21" s="906" t="s">
        <v>108</v>
      </c>
      <c r="D21" s="907" t="s">
        <v>109</v>
      </c>
      <c r="E21" s="908" t="s">
        <v>108</v>
      </c>
      <c r="F21" s="907" t="s">
        <v>109</v>
      </c>
      <c r="G21" s="908" t="s">
        <v>108</v>
      </c>
      <c r="H21" s="907" t="s">
        <v>109</v>
      </c>
      <c r="I21" s="908" t="s">
        <v>108</v>
      </c>
      <c r="J21" s="907" t="s">
        <v>109</v>
      </c>
      <c r="K21" s="908" t="s">
        <v>108</v>
      </c>
      <c r="L21" s="907" t="s">
        <v>109</v>
      </c>
      <c r="M21" s="908" t="s">
        <v>108</v>
      </c>
      <c r="N21" s="907" t="s">
        <v>109</v>
      </c>
      <c r="O21" s="908" t="s">
        <v>108</v>
      </c>
      <c r="P21" s="907" t="s">
        <v>109</v>
      </c>
      <c r="Q21" s="908" t="s">
        <v>108</v>
      </c>
      <c r="R21" s="907" t="s">
        <v>109</v>
      </c>
      <c r="S21" s="908" t="s">
        <v>108</v>
      </c>
      <c r="T21" s="907" t="s">
        <v>109</v>
      </c>
      <c r="U21" s="908" t="s">
        <v>108</v>
      </c>
      <c r="V21" s="907" t="s">
        <v>109</v>
      </c>
      <c r="W21" s="908" t="s">
        <v>108</v>
      </c>
      <c r="X21" s="907" t="s">
        <v>109</v>
      </c>
      <c r="Y21" s="908" t="s">
        <v>108</v>
      </c>
      <c r="Z21" s="907" t="s">
        <v>109</v>
      </c>
      <c r="AA21" s="908" t="s">
        <v>108</v>
      </c>
      <c r="AB21" s="907" t="s">
        <v>109</v>
      </c>
      <c r="AC21" s="908" t="s">
        <v>108</v>
      </c>
      <c r="AD21" s="907" t="s">
        <v>109</v>
      </c>
      <c r="AE21" s="908" t="s">
        <v>108</v>
      </c>
      <c r="AF21" s="907" t="s">
        <v>109</v>
      </c>
      <c r="AG21" s="908" t="s">
        <v>108</v>
      </c>
      <c r="AH21" s="907" t="s">
        <v>109</v>
      </c>
      <c r="AI21" s="908" t="s">
        <v>108</v>
      </c>
      <c r="AJ21" s="907" t="s">
        <v>109</v>
      </c>
      <c r="AK21" s="908" t="s">
        <v>108</v>
      </c>
      <c r="AL21" s="907" t="s">
        <v>109</v>
      </c>
      <c r="AM21" s="908" t="s">
        <v>108</v>
      </c>
      <c r="AN21" s="907" t="s">
        <v>109</v>
      </c>
      <c r="AO21" s="908" t="s">
        <v>108</v>
      </c>
      <c r="AP21" s="907" t="s">
        <v>109</v>
      </c>
      <c r="AQ21" s="908" t="s">
        <v>108</v>
      </c>
      <c r="AR21" s="907" t="s">
        <v>109</v>
      </c>
      <c r="AS21" s="907"/>
      <c r="AT21" s="909"/>
    </row>
    <row r="22" ht="45.0" customHeight="1">
      <c r="A22" s="910" t="s">
        <v>110</v>
      </c>
      <c r="B22" s="379" t="s">
        <v>111</v>
      </c>
      <c r="C22" s="380"/>
      <c r="D22" s="381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  <c r="AI22" s="383"/>
      <c r="AJ22" s="383"/>
      <c r="AK22" s="383"/>
      <c r="AL22" s="383"/>
      <c r="AM22" s="383"/>
      <c r="AN22" s="383"/>
      <c r="AO22" s="383"/>
      <c r="AP22" s="383"/>
      <c r="AQ22" s="383"/>
      <c r="AR22" s="383"/>
      <c r="AS22" s="382"/>
      <c r="AT22" s="384"/>
      <c r="AU22" s="250"/>
      <c r="AV22" s="350"/>
    </row>
    <row r="23" ht="45.0" customHeight="1">
      <c r="A23" s="911" t="s">
        <v>112</v>
      </c>
      <c r="B23" s="386" t="s">
        <v>113</v>
      </c>
      <c r="C23" s="387" t="s">
        <v>410</v>
      </c>
      <c r="D23" s="388"/>
      <c r="E23" s="387" t="s">
        <v>410</v>
      </c>
      <c r="F23" s="389"/>
      <c r="G23" s="387" t="s">
        <v>410</v>
      </c>
      <c r="H23" s="389"/>
      <c r="I23" s="387" t="s">
        <v>410</v>
      </c>
      <c r="J23" s="389"/>
      <c r="K23" s="387" t="s">
        <v>410</v>
      </c>
      <c r="L23" s="389"/>
      <c r="M23" s="387" t="s">
        <v>410</v>
      </c>
      <c r="N23" s="389"/>
      <c r="O23" s="387" t="s">
        <v>410</v>
      </c>
      <c r="P23" s="389"/>
      <c r="Q23" s="387" t="s">
        <v>410</v>
      </c>
      <c r="R23" s="389"/>
      <c r="S23" s="387" t="s">
        <v>410</v>
      </c>
      <c r="T23" s="389"/>
      <c r="U23" s="387" t="s">
        <v>7</v>
      </c>
      <c r="V23" s="389"/>
      <c r="W23" s="387" t="s">
        <v>7</v>
      </c>
      <c r="X23" s="389"/>
      <c r="Y23" s="387" t="s">
        <v>7</v>
      </c>
      <c r="Z23" s="389"/>
      <c r="AA23" s="387" t="s">
        <v>7</v>
      </c>
      <c r="AB23" s="389"/>
      <c r="AC23" s="387" t="s">
        <v>37</v>
      </c>
      <c r="AD23" s="389"/>
      <c r="AE23" s="387" t="s">
        <v>37</v>
      </c>
      <c r="AF23" s="389"/>
      <c r="AG23" s="387" t="s">
        <v>37</v>
      </c>
      <c r="AH23" s="389"/>
      <c r="AI23" s="387" t="s">
        <v>76</v>
      </c>
      <c r="AJ23" s="389"/>
      <c r="AK23" s="387" t="s">
        <v>75</v>
      </c>
      <c r="AL23" s="389"/>
      <c r="AM23" s="389" t="s">
        <v>75</v>
      </c>
      <c r="AN23" s="394"/>
      <c r="AO23" s="389" t="s">
        <v>75</v>
      </c>
      <c r="AP23" s="389"/>
      <c r="AQ23" s="389" t="s">
        <v>75</v>
      </c>
      <c r="AR23" s="394"/>
      <c r="AS23" s="391">
        <f t="shared" ref="AS23:AS29" si="1">COUNTIF(C23:AR23,"&gt;=R")</f>
        <v>21</v>
      </c>
      <c r="AT23" s="392">
        <f t="shared" ref="AT23:AT29" si="2">AS23</f>
        <v>21</v>
      </c>
    </row>
    <row r="24" ht="45.0" customHeight="1">
      <c r="A24" s="911" t="s">
        <v>114</v>
      </c>
      <c r="B24" s="386" t="s">
        <v>115</v>
      </c>
      <c r="C24" s="387" t="s">
        <v>410</v>
      </c>
      <c r="D24" s="388"/>
      <c r="E24" s="387" t="s">
        <v>410</v>
      </c>
      <c r="F24" s="389"/>
      <c r="G24" s="387" t="s">
        <v>410</v>
      </c>
      <c r="H24" s="389"/>
      <c r="I24" s="387" t="s">
        <v>410</v>
      </c>
      <c r="J24" s="389"/>
      <c r="K24" s="387" t="s">
        <v>7</v>
      </c>
      <c r="L24" s="389"/>
      <c r="M24" s="387" t="s">
        <v>7</v>
      </c>
      <c r="N24" s="389"/>
      <c r="O24" s="387" t="s">
        <v>7</v>
      </c>
      <c r="P24" s="389"/>
      <c r="Q24" s="387" t="s">
        <v>17</v>
      </c>
      <c r="R24" s="389"/>
      <c r="S24" s="387" t="s">
        <v>17</v>
      </c>
      <c r="T24" s="389"/>
      <c r="U24" s="387" t="s">
        <v>17</v>
      </c>
      <c r="V24" s="389"/>
      <c r="W24" s="387" t="s">
        <v>27</v>
      </c>
      <c r="X24" s="389"/>
      <c r="Y24" s="387" t="s">
        <v>27</v>
      </c>
      <c r="Z24" s="389"/>
      <c r="AA24" s="387" t="s">
        <v>27</v>
      </c>
      <c r="AB24" s="389"/>
      <c r="AC24" s="387" t="s">
        <v>37</v>
      </c>
      <c r="AD24" s="389"/>
      <c r="AE24" s="387" t="s">
        <v>37</v>
      </c>
      <c r="AF24" s="389"/>
      <c r="AG24" s="387" t="s">
        <v>37</v>
      </c>
      <c r="AH24" s="389"/>
      <c r="AI24" s="387" t="s">
        <v>76</v>
      </c>
      <c r="AJ24" s="389"/>
      <c r="AK24" s="387" t="s">
        <v>75</v>
      </c>
      <c r="AL24" s="389"/>
      <c r="AM24" s="389" t="s">
        <v>75</v>
      </c>
      <c r="AN24" s="394"/>
      <c r="AO24" s="389" t="s">
        <v>75</v>
      </c>
      <c r="AP24" s="389"/>
      <c r="AQ24" s="389" t="s">
        <v>75</v>
      </c>
      <c r="AR24" s="394"/>
      <c r="AS24" s="391">
        <f t="shared" si="1"/>
        <v>21</v>
      </c>
      <c r="AT24" s="392">
        <f t="shared" si="2"/>
        <v>21</v>
      </c>
    </row>
    <row r="25" ht="45.0" customHeight="1">
      <c r="A25" s="911" t="s">
        <v>116</v>
      </c>
      <c r="B25" s="386" t="s">
        <v>117</v>
      </c>
      <c r="C25" s="387" t="s">
        <v>410</v>
      </c>
      <c r="D25" s="388"/>
      <c r="E25" s="387" t="s">
        <v>410</v>
      </c>
      <c r="F25" s="389"/>
      <c r="G25" s="387" t="s">
        <v>410</v>
      </c>
      <c r="H25" s="389"/>
      <c r="I25" s="387" t="s">
        <v>17</v>
      </c>
      <c r="J25" s="389"/>
      <c r="K25" s="387" t="s">
        <v>17</v>
      </c>
      <c r="L25" s="389"/>
      <c r="M25" s="387" t="s">
        <v>17</v>
      </c>
      <c r="N25" s="389"/>
      <c r="O25" s="387" t="s">
        <v>17</v>
      </c>
      <c r="P25" s="389"/>
      <c r="Q25" s="387" t="s">
        <v>17</v>
      </c>
      <c r="R25" s="389"/>
      <c r="S25" s="387" t="s">
        <v>17</v>
      </c>
      <c r="T25" s="389"/>
      <c r="U25" s="387" t="s">
        <v>17</v>
      </c>
      <c r="V25" s="389"/>
      <c r="W25" s="387" t="s">
        <v>27</v>
      </c>
      <c r="X25" s="389"/>
      <c r="Y25" s="387" t="s">
        <v>27</v>
      </c>
      <c r="Z25" s="389"/>
      <c r="AA25" s="387" t="s">
        <v>27</v>
      </c>
      <c r="AB25" s="389"/>
      <c r="AC25" s="387" t="s">
        <v>37</v>
      </c>
      <c r="AD25" s="389"/>
      <c r="AE25" s="387" t="s">
        <v>37</v>
      </c>
      <c r="AF25" s="389"/>
      <c r="AG25" s="387" t="s">
        <v>37</v>
      </c>
      <c r="AH25" s="389"/>
      <c r="AI25" s="387" t="s">
        <v>76</v>
      </c>
      <c r="AJ25" s="389"/>
      <c r="AK25" s="393" t="s">
        <v>84</v>
      </c>
      <c r="AL25" s="389"/>
      <c r="AM25" s="418" t="s">
        <v>84</v>
      </c>
      <c r="AN25" s="394"/>
      <c r="AO25" s="389" t="s">
        <v>83</v>
      </c>
      <c r="AP25" s="389"/>
      <c r="AQ25" s="389" t="s">
        <v>83</v>
      </c>
      <c r="AR25" s="394"/>
      <c r="AS25" s="391">
        <f t="shared" si="1"/>
        <v>21</v>
      </c>
      <c r="AT25" s="392">
        <f t="shared" si="2"/>
        <v>21</v>
      </c>
    </row>
    <row r="26" ht="45.0" customHeight="1">
      <c r="A26" s="911" t="s">
        <v>118</v>
      </c>
      <c r="B26" s="386" t="s">
        <v>119</v>
      </c>
      <c r="C26" s="387" t="s">
        <v>410</v>
      </c>
      <c r="D26" s="388"/>
      <c r="E26" s="387" t="s">
        <v>410</v>
      </c>
      <c r="F26" s="389"/>
      <c r="G26" s="387" t="s">
        <v>410</v>
      </c>
      <c r="H26" s="389"/>
      <c r="I26" s="387" t="s">
        <v>17</v>
      </c>
      <c r="J26" s="389"/>
      <c r="K26" s="387" t="s">
        <v>17</v>
      </c>
      <c r="L26" s="389"/>
      <c r="M26" s="387" t="s">
        <v>17</v>
      </c>
      <c r="N26" s="389"/>
      <c r="O26" s="387" t="s">
        <v>17</v>
      </c>
      <c r="P26" s="389"/>
      <c r="Q26" s="387" t="s">
        <v>17</v>
      </c>
      <c r="R26" s="389"/>
      <c r="S26" s="387" t="s">
        <v>17</v>
      </c>
      <c r="T26" s="389"/>
      <c r="U26" s="387" t="s">
        <v>17</v>
      </c>
      <c r="V26" s="389"/>
      <c r="W26" s="387" t="s">
        <v>27</v>
      </c>
      <c r="X26" s="389"/>
      <c r="Y26" s="387" t="s">
        <v>27</v>
      </c>
      <c r="Z26" s="389"/>
      <c r="AA26" s="387" t="s">
        <v>27</v>
      </c>
      <c r="AB26" s="389"/>
      <c r="AC26" s="387" t="s">
        <v>37</v>
      </c>
      <c r="AD26" s="389"/>
      <c r="AE26" s="387" t="s">
        <v>37</v>
      </c>
      <c r="AF26" s="389"/>
      <c r="AG26" s="387" t="s">
        <v>37</v>
      </c>
      <c r="AH26" s="389"/>
      <c r="AI26" s="387" t="s">
        <v>76</v>
      </c>
      <c r="AJ26" s="389"/>
      <c r="AK26" s="393" t="s">
        <v>84</v>
      </c>
      <c r="AL26" s="389"/>
      <c r="AM26" s="418" t="s">
        <v>84</v>
      </c>
      <c r="AN26" s="394"/>
      <c r="AO26" s="389" t="s">
        <v>83</v>
      </c>
      <c r="AP26" s="389"/>
      <c r="AQ26" s="389" t="s">
        <v>83</v>
      </c>
      <c r="AR26" s="394"/>
      <c r="AS26" s="391">
        <f t="shared" si="1"/>
        <v>21</v>
      </c>
      <c r="AT26" s="392">
        <f t="shared" si="2"/>
        <v>21</v>
      </c>
    </row>
    <row r="27" ht="45.0" customHeight="1">
      <c r="A27" s="911" t="s">
        <v>120</v>
      </c>
      <c r="B27" s="386" t="s">
        <v>121</v>
      </c>
      <c r="C27" s="388" t="s">
        <v>17</v>
      </c>
      <c r="D27" s="388"/>
      <c r="E27" s="389" t="s">
        <v>17</v>
      </c>
      <c r="F27" s="389"/>
      <c r="G27" s="389" t="s">
        <v>17</v>
      </c>
      <c r="H27" s="389"/>
      <c r="I27" s="389" t="s">
        <v>17</v>
      </c>
      <c r="J27" s="389"/>
      <c r="K27" s="389" t="s">
        <v>27</v>
      </c>
      <c r="L27" s="389"/>
      <c r="M27" s="389" t="s">
        <v>27</v>
      </c>
      <c r="N27" s="389"/>
      <c r="O27" s="389" t="s">
        <v>27</v>
      </c>
      <c r="P27" s="389"/>
      <c r="Q27" s="389" t="s">
        <v>27</v>
      </c>
      <c r="R27" s="389"/>
      <c r="S27" s="389" t="s">
        <v>27</v>
      </c>
      <c r="T27" s="389"/>
      <c r="U27" s="389" t="s">
        <v>27</v>
      </c>
      <c r="V27" s="389"/>
      <c r="W27" s="389" t="s">
        <v>27</v>
      </c>
      <c r="X27" s="389"/>
      <c r="Y27" s="389" t="s">
        <v>37</v>
      </c>
      <c r="Z27" s="394"/>
      <c r="AA27" s="389" t="s">
        <v>37</v>
      </c>
      <c r="AB27" s="394"/>
      <c r="AC27" s="389" t="s">
        <v>37</v>
      </c>
      <c r="AD27" s="389"/>
      <c r="AE27" s="418" t="s">
        <v>84</v>
      </c>
      <c r="AF27" s="394"/>
      <c r="AG27" s="389" t="s">
        <v>56</v>
      </c>
      <c r="AH27" s="394"/>
      <c r="AI27" s="389" t="s">
        <v>56</v>
      </c>
      <c r="AJ27" s="394"/>
      <c r="AK27" s="387" t="s">
        <v>37</v>
      </c>
      <c r="AL27" s="394"/>
      <c r="AM27" s="389" t="s">
        <v>91</v>
      </c>
      <c r="AN27" s="394"/>
      <c r="AO27" s="389" t="s">
        <v>91</v>
      </c>
      <c r="AP27" s="389"/>
      <c r="AQ27" s="389" t="s">
        <v>91</v>
      </c>
      <c r="AR27" s="394"/>
      <c r="AS27" s="391">
        <f t="shared" si="1"/>
        <v>21</v>
      </c>
      <c r="AT27" s="392">
        <f t="shared" si="2"/>
        <v>21</v>
      </c>
    </row>
    <row r="28" ht="45.0" customHeight="1">
      <c r="A28" s="911" t="s">
        <v>122</v>
      </c>
      <c r="B28" s="386" t="s">
        <v>123</v>
      </c>
      <c r="C28" s="388" t="s">
        <v>17</v>
      </c>
      <c r="D28" s="388"/>
      <c r="E28" s="389" t="s">
        <v>17</v>
      </c>
      <c r="F28" s="389"/>
      <c r="G28" s="389" t="s">
        <v>17</v>
      </c>
      <c r="H28" s="389"/>
      <c r="I28" s="389" t="s">
        <v>17</v>
      </c>
      <c r="J28" s="389"/>
      <c r="K28" s="389" t="s">
        <v>27</v>
      </c>
      <c r="L28" s="389"/>
      <c r="M28" s="389" t="s">
        <v>27</v>
      </c>
      <c r="N28" s="389"/>
      <c r="O28" s="389" t="s">
        <v>27</v>
      </c>
      <c r="P28" s="389"/>
      <c r="Q28" s="389" t="s">
        <v>27</v>
      </c>
      <c r="R28" s="389"/>
      <c r="S28" s="389" t="s">
        <v>27</v>
      </c>
      <c r="T28" s="389"/>
      <c r="U28" s="389" t="s">
        <v>27</v>
      </c>
      <c r="V28" s="389"/>
      <c r="W28" s="389" t="s">
        <v>27</v>
      </c>
      <c r="X28" s="389"/>
      <c r="Y28" s="389" t="s">
        <v>37</v>
      </c>
      <c r="Z28" s="394"/>
      <c r="AA28" s="389" t="s">
        <v>37</v>
      </c>
      <c r="AB28" s="394"/>
      <c r="AC28" s="389" t="s">
        <v>37</v>
      </c>
      <c r="AD28" s="389"/>
      <c r="AE28" s="418" t="s">
        <v>84</v>
      </c>
      <c r="AF28" s="389"/>
      <c r="AG28" s="389" t="s">
        <v>56</v>
      </c>
      <c r="AH28" s="394"/>
      <c r="AI28" s="389" t="s">
        <v>56</v>
      </c>
      <c r="AJ28" s="394"/>
      <c r="AK28" s="387" t="s">
        <v>37</v>
      </c>
      <c r="AL28" s="394"/>
      <c r="AM28" s="389" t="s">
        <v>91</v>
      </c>
      <c r="AN28" s="394"/>
      <c r="AO28" s="389" t="s">
        <v>91</v>
      </c>
      <c r="AP28" s="389"/>
      <c r="AQ28" s="389" t="s">
        <v>91</v>
      </c>
      <c r="AR28" s="394"/>
      <c r="AS28" s="391">
        <f t="shared" si="1"/>
        <v>21</v>
      </c>
      <c r="AT28" s="392">
        <f t="shared" si="2"/>
        <v>21</v>
      </c>
    </row>
    <row r="29" ht="45.0" customHeight="1">
      <c r="A29" s="911" t="s">
        <v>124</v>
      </c>
      <c r="B29" s="386" t="s">
        <v>125</v>
      </c>
      <c r="C29" s="388" t="s">
        <v>17</v>
      </c>
      <c r="D29" s="388"/>
      <c r="E29" s="389" t="s">
        <v>17</v>
      </c>
      <c r="F29" s="389"/>
      <c r="G29" s="389" t="s">
        <v>17</v>
      </c>
      <c r="H29" s="389"/>
      <c r="I29" s="389" t="s">
        <v>17</v>
      </c>
      <c r="J29" s="389"/>
      <c r="K29" s="389" t="s">
        <v>27</v>
      </c>
      <c r="L29" s="389"/>
      <c r="M29" s="389" t="s">
        <v>27</v>
      </c>
      <c r="N29" s="389"/>
      <c r="O29" s="389" t="s">
        <v>27</v>
      </c>
      <c r="P29" s="389"/>
      <c r="Q29" s="389" t="s">
        <v>27</v>
      </c>
      <c r="R29" s="389"/>
      <c r="S29" s="389" t="s">
        <v>27</v>
      </c>
      <c r="T29" s="389"/>
      <c r="U29" s="389" t="s">
        <v>27</v>
      </c>
      <c r="V29" s="389"/>
      <c r="W29" s="389" t="s">
        <v>27</v>
      </c>
      <c r="X29" s="389"/>
      <c r="Y29" s="389" t="s">
        <v>37</v>
      </c>
      <c r="Z29" s="394"/>
      <c r="AA29" s="389" t="s">
        <v>37</v>
      </c>
      <c r="AB29" s="394"/>
      <c r="AC29" s="389" t="s">
        <v>37</v>
      </c>
      <c r="AD29" s="389"/>
      <c r="AE29" s="418" t="s">
        <v>84</v>
      </c>
      <c r="AF29" s="389"/>
      <c r="AG29" s="389" t="s">
        <v>56</v>
      </c>
      <c r="AH29" s="394"/>
      <c r="AI29" s="389" t="s">
        <v>56</v>
      </c>
      <c r="AJ29" s="394"/>
      <c r="AK29" s="387" t="s">
        <v>37</v>
      </c>
      <c r="AL29" s="394"/>
      <c r="AM29" s="389" t="s">
        <v>91</v>
      </c>
      <c r="AN29" s="394"/>
      <c r="AO29" s="389" t="s">
        <v>91</v>
      </c>
      <c r="AP29" s="389"/>
      <c r="AQ29" s="389" t="s">
        <v>91</v>
      </c>
      <c r="AR29" s="394"/>
      <c r="AS29" s="391">
        <f t="shared" si="1"/>
        <v>21</v>
      </c>
      <c r="AT29" s="392">
        <f t="shared" si="2"/>
        <v>21</v>
      </c>
    </row>
    <row r="30" ht="45.0" customHeight="1">
      <c r="A30" s="912" t="s">
        <v>126</v>
      </c>
      <c r="B30" s="396" t="s">
        <v>127</v>
      </c>
      <c r="C30" s="398"/>
      <c r="D30" s="399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399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913"/>
      <c r="AU30" s="250"/>
      <c r="AV30" s="350"/>
    </row>
    <row r="31" ht="45.0" customHeight="1">
      <c r="A31" s="911" t="s">
        <v>128</v>
      </c>
      <c r="B31" s="386" t="s">
        <v>129</v>
      </c>
      <c r="C31" s="388" t="s">
        <v>17</v>
      </c>
      <c r="D31" s="388"/>
      <c r="E31" s="389" t="s">
        <v>17</v>
      </c>
      <c r="F31" s="389"/>
      <c r="G31" s="389" t="s">
        <v>17</v>
      </c>
      <c r="H31" s="389"/>
      <c r="I31" s="389" t="s">
        <v>17</v>
      </c>
      <c r="J31" s="389"/>
      <c r="K31" s="389" t="s">
        <v>27</v>
      </c>
      <c r="L31" s="389"/>
      <c r="M31" s="389" t="s">
        <v>27</v>
      </c>
      <c r="N31" s="389"/>
      <c r="O31" s="389" t="s">
        <v>27</v>
      </c>
      <c r="P31" s="389"/>
      <c r="Q31" s="389" t="s">
        <v>27</v>
      </c>
      <c r="R31" s="389"/>
      <c r="S31" s="389" t="s">
        <v>27</v>
      </c>
      <c r="T31" s="389"/>
      <c r="U31" s="389" t="s">
        <v>27</v>
      </c>
      <c r="V31" s="389"/>
      <c r="W31" s="389" t="s">
        <v>27</v>
      </c>
      <c r="X31" s="389"/>
      <c r="Y31" s="389" t="s">
        <v>37</v>
      </c>
      <c r="Z31" s="394"/>
      <c r="AA31" s="389" t="s">
        <v>37</v>
      </c>
      <c r="AB31" s="394"/>
      <c r="AC31" s="389" t="s">
        <v>37</v>
      </c>
      <c r="AD31" s="389"/>
      <c r="AE31" s="418" t="s">
        <v>84</v>
      </c>
      <c r="AF31" s="389"/>
      <c r="AG31" s="389" t="s">
        <v>56</v>
      </c>
      <c r="AH31" s="389"/>
      <c r="AI31" s="389" t="s">
        <v>56</v>
      </c>
      <c r="AJ31" s="394"/>
      <c r="AK31" s="387" t="s">
        <v>37</v>
      </c>
      <c r="AL31" s="394"/>
      <c r="AM31" s="389" t="s">
        <v>91</v>
      </c>
      <c r="AN31" s="394"/>
      <c r="AO31" s="389" t="s">
        <v>91</v>
      </c>
      <c r="AP31" s="389"/>
      <c r="AQ31" s="389" t="s">
        <v>91</v>
      </c>
      <c r="AR31" s="394"/>
      <c r="AS31" s="391">
        <f t="shared" ref="AS31:AS32" si="3">COUNTIF(C31:AR31,"&gt;=R")</f>
        <v>21</v>
      </c>
      <c r="AT31" s="392">
        <f t="shared" ref="AT31:AT32" si="4">AS31</f>
        <v>21</v>
      </c>
    </row>
    <row r="32" ht="45.0" customHeight="1">
      <c r="A32" s="911" t="s">
        <v>130</v>
      </c>
      <c r="B32" s="386" t="s">
        <v>131</v>
      </c>
      <c r="C32" s="388" t="s">
        <v>17</v>
      </c>
      <c r="D32" s="388"/>
      <c r="E32" s="389" t="s">
        <v>17</v>
      </c>
      <c r="F32" s="389"/>
      <c r="G32" s="389" t="s">
        <v>17</v>
      </c>
      <c r="H32" s="389"/>
      <c r="I32" s="389" t="s">
        <v>17</v>
      </c>
      <c r="J32" s="389"/>
      <c r="K32" s="389" t="s">
        <v>27</v>
      </c>
      <c r="L32" s="389"/>
      <c r="M32" s="389" t="s">
        <v>27</v>
      </c>
      <c r="N32" s="389"/>
      <c r="O32" s="389" t="s">
        <v>27</v>
      </c>
      <c r="P32" s="389"/>
      <c r="Q32" s="389" t="s">
        <v>27</v>
      </c>
      <c r="R32" s="389"/>
      <c r="S32" s="389" t="s">
        <v>27</v>
      </c>
      <c r="T32" s="389"/>
      <c r="U32" s="389" t="s">
        <v>27</v>
      </c>
      <c r="V32" s="389"/>
      <c r="W32" s="389" t="s">
        <v>27</v>
      </c>
      <c r="X32" s="389"/>
      <c r="Y32" s="389" t="s">
        <v>37</v>
      </c>
      <c r="Z32" s="394"/>
      <c r="AA32" s="389" t="s">
        <v>37</v>
      </c>
      <c r="AB32" s="394"/>
      <c r="AC32" s="389" t="s">
        <v>37</v>
      </c>
      <c r="AD32" s="389"/>
      <c r="AE32" s="418" t="s">
        <v>84</v>
      </c>
      <c r="AF32" s="389"/>
      <c r="AG32" s="389" t="s">
        <v>56</v>
      </c>
      <c r="AH32" s="389"/>
      <c r="AI32" s="389" t="s">
        <v>56</v>
      </c>
      <c r="AJ32" s="394"/>
      <c r="AK32" s="387" t="s">
        <v>37</v>
      </c>
      <c r="AL32" s="394"/>
      <c r="AM32" s="389" t="s">
        <v>91</v>
      </c>
      <c r="AN32" s="394"/>
      <c r="AO32" s="389" t="s">
        <v>91</v>
      </c>
      <c r="AP32" s="389"/>
      <c r="AQ32" s="389" t="s">
        <v>91</v>
      </c>
      <c r="AR32" s="394"/>
      <c r="AS32" s="391">
        <f t="shared" si="3"/>
        <v>21</v>
      </c>
      <c r="AT32" s="392">
        <f t="shared" si="4"/>
        <v>21</v>
      </c>
      <c r="AU32" s="250"/>
      <c r="AV32" s="350"/>
    </row>
    <row r="33" ht="45.0" customHeight="1">
      <c r="A33" s="912" t="s">
        <v>132</v>
      </c>
      <c r="B33" s="396" t="s">
        <v>133</v>
      </c>
      <c r="C33" s="397"/>
      <c r="D33" s="398"/>
      <c r="E33" s="399"/>
      <c r="F33" s="399"/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399"/>
      <c r="AI33" s="400"/>
      <c r="AJ33" s="400"/>
      <c r="AK33" s="400"/>
      <c r="AL33" s="400"/>
      <c r="AM33" s="400"/>
      <c r="AN33" s="400"/>
      <c r="AO33" s="400"/>
      <c r="AP33" s="400"/>
      <c r="AQ33" s="400"/>
      <c r="AR33" s="400"/>
      <c r="AS33" s="400"/>
      <c r="AT33" s="913"/>
      <c r="AU33" s="250"/>
      <c r="AV33" s="350"/>
    </row>
    <row r="34" ht="45.0" customHeight="1">
      <c r="A34" s="914" t="s">
        <v>134</v>
      </c>
      <c r="B34" s="386" t="s">
        <v>135</v>
      </c>
      <c r="C34" s="387" t="s">
        <v>37</v>
      </c>
      <c r="D34" s="388"/>
      <c r="E34" s="387" t="s">
        <v>37</v>
      </c>
      <c r="F34" s="389"/>
      <c r="G34" s="387" t="s">
        <v>37</v>
      </c>
      <c r="H34" s="389"/>
      <c r="I34" s="389" t="s">
        <v>37</v>
      </c>
      <c r="J34" s="389"/>
      <c r="K34" s="389" t="s">
        <v>67</v>
      </c>
      <c r="L34" s="389"/>
      <c r="M34" s="389" t="s">
        <v>67</v>
      </c>
      <c r="N34" s="389"/>
      <c r="O34" s="389" t="s">
        <v>67</v>
      </c>
      <c r="P34" s="389"/>
      <c r="Q34" s="389" t="s">
        <v>67</v>
      </c>
      <c r="R34" s="389"/>
      <c r="S34" s="389" t="s">
        <v>67</v>
      </c>
      <c r="T34" s="389"/>
      <c r="U34" s="389" t="s">
        <v>67</v>
      </c>
      <c r="V34" s="389"/>
      <c r="W34" s="389" t="s">
        <v>67</v>
      </c>
      <c r="X34" s="389"/>
      <c r="Y34" s="389" t="s">
        <v>67</v>
      </c>
      <c r="Z34" s="389"/>
      <c r="AA34" s="389" t="s">
        <v>67</v>
      </c>
      <c r="AB34" s="389"/>
      <c r="AC34" s="389" t="s">
        <v>67</v>
      </c>
      <c r="AD34" s="389"/>
      <c r="AE34" s="389" t="s">
        <v>28</v>
      </c>
      <c r="AF34" s="389"/>
      <c r="AG34" s="389" t="s">
        <v>28</v>
      </c>
      <c r="AH34" s="389"/>
      <c r="AI34" s="389" t="s">
        <v>18</v>
      </c>
      <c r="AJ34" s="394"/>
      <c r="AK34" s="389" t="s">
        <v>28</v>
      </c>
      <c r="AL34" s="394"/>
      <c r="AM34" s="394" t="s">
        <v>37</v>
      </c>
      <c r="AN34" s="394"/>
      <c r="AO34" s="389" t="s">
        <v>37</v>
      </c>
      <c r="AP34" s="389"/>
      <c r="AQ34" s="389" t="s">
        <v>37</v>
      </c>
      <c r="AR34" s="394"/>
      <c r="AS34" s="391">
        <f>COUNTIF(C34:AR34,"&gt;=R")</f>
        <v>21</v>
      </c>
      <c r="AT34" s="392">
        <f>AS34</f>
        <v>21</v>
      </c>
      <c r="AU34" s="250"/>
      <c r="AV34" s="350"/>
    </row>
    <row r="35" ht="45.0" customHeight="1">
      <c r="A35" s="912" t="s">
        <v>136</v>
      </c>
      <c r="B35" s="396" t="s">
        <v>137</v>
      </c>
      <c r="C35" s="397"/>
      <c r="D35" s="398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400"/>
      <c r="AJ35" s="400"/>
      <c r="AK35" s="400"/>
      <c r="AL35" s="400"/>
      <c r="AM35" s="400"/>
      <c r="AN35" s="400"/>
      <c r="AO35" s="400"/>
      <c r="AP35" s="400"/>
      <c r="AQ35" s="400"/>
      <c r="AR35" s="400"/>
      <c r="AS35" s="400"/>
      <c r="AT35" s="913"/>
      <c r="AU35" s="250"/>
      <c r="AV35" s="350"/>
    </row>
    <row r="36" ht="45.0" customHeight="1">
      <c r="A36" s="911" t="s">
        <v>138</v>
      </c>
      <c r="B36" s="386" t="s">
        <v>139</v>
      </c>
      <c r="C36" s="387" t="s">
        <v>37</v>
      </c>
      <c r="D36" s="388"/>
      <c r="E36" s="394" t="s">
        <v>37</v>
      </c>
      <c r="F36" s="389"/>
      <c r="G36" s="394" t="s">
        <v>37</v>
      </c>
      <c r="H36" s="389"/>
      <c r="I36" s="389" t="s">
        <v>37</v>
      </c>
      <c r="J36" s="389"/>
      <c r="K36" s="389" t="s">
        <v>67</v>
      </c>
      <c r="L36" s="389"/>
      <c r="M36" s="389" t="s">
        <v>424</v>
      </c>
      <c r="N36" s="389"/>
      <c r="O36" s="389" t="s">
        <v>67</v>
      </c>
      <c r="P36" s="389"/>
      <c r="Q36" s="389" t="s">
        <v>67</v>
      </c>
      <c r="R36" s="389"/>
      <c r="S36" s="915" t="s">
        <v>67</v>
      </c>
      <c r="T36" s="389"/>
      <c r="U36" s="915" t="s">
        <v>67</v>
      </c>
      <c r="V36" s="394"/>
      <c r="W36" s="915" t="s">
        <v>67</v>
      </c>
      <c r="X36" s="389"/>
      <c r="Y36" s="915" t="s">
        <v>67</v>
      </c>
      <c r="Z36" s="394"/>
      <c r="AA36" s="915" t="s">
        <v>67</v>
      </c>
      <c r="AB36" s="394"/>
      <c r="AC36" s="915" t="s">
        <v>67</v>
      </c>
      <c r="AD36" s="394"/>
      <c r="AE36" s="394" t="s">
        <v>28</v>
      </c>
      <c r="AF36" s="394"/>
      <c r="AG36" s="394" t="s">
        <v>28</v>
      </c>
      <c r="AH36" s="394"/>
      <c r="AI36" s="394"/>
      <c r="AJ36" s="394"/>
      <c r="AK36" s="394" t="s">
        <v>28</v>
      </c>
      <c r="AL36" s="394"/>
      <c r="AM36" s="394" t="s">
        <v>37</v>
      </c>
      <c r="AN36" s="394"/>
      <c r="AO36" s="389" t="s">
        <v>37</v>
      </c>
      <c r="AP36" s="389"/>
      <c r="AQ36" s="389" t="s">
        <v>37</v>
      </c>
      <c r="AR36" s="394"/>
      <c r="AS36" s="391">
        <f t="shared" ref="AS36:AS37" si="5">COUNTIF(C36:AR36,"&gt;=R")</f>
        <v>19</v>
      </c>
      <c r="AT36" s="392">
        <f t="shared" ref="AT36:AT37" si="6">AS36</f>
        <v>19</v>
      </c>
    </row>
    <row r="37" ht="45.0" customHeight="1">
      <c r="A37" s="404" t="s">
        <v>140</v>
      </c>
      <c r="B37" s="794" t="s">
        <v>141</v>
      </c>
      <c r="C37" s="672" t="s">
        <v>37</v>
      </c>
      <c r="D37" s="671"/>
      <c r="E37" s="672" t="s">
        <v>37</v>
      </c>
      <c r="F37" s="673"/>
      <c r="G37" s="672" t="s">
        <v>37</v>
      </c>
      <c r="H37" s="673"/>
      <c r="I37" s="673" t="s">
        <v>37</v>
      </c>
      <c r="J37" s="673"/>
      <c r="K37" s="673" t="s">
        <v>67</v>
      </c>
      <c r="L37" s="673"/>
      <c r="M37" s="673" t="s">
        <v>424</v>
      </c>
      <c r="N37" s="673"/>
      <c r="O37" s="673" t="s">
        <v>67</v>
      </c>
      <c r="P37" s="673"/>
      <c r="Q37" s="673" t="s">
        <v>67</v>
      </c>
      <c r="R37" s="673"/>
      <c r="S37" s="916" t="s">
        <v>67</v>
      </c>
      <c r="T37" s="673"/>
      <c r="U37" s="916" t="s">
        <v>67</v>
      </c>
      <c r="V37" s="676"/>
      <c r="W37" s="916" t="s">
        <v>67</v>
      </c>
      <c r="X37" s="673"/>
      <c r="Y37" s="916" t="s">
        <v>67</v>
      </c>
      <c r="Z37" s="676"/>
      <c r="AA37" s="916" t="s">
        <v>67</v>
      </c>
      <c r="AB37" s="676"/>
      <c r="AC37" s="916" t="s">
        <v>67</v>
      </c>
      <c r="AD37" s="676"/>
      <c r="AE37" s="676" t="s">
        <v>28</v>
      </c>
      <c r="AF37" s="676"/>
      <c r="AG37" s="676" t="s">
        <v>28</v>
      </c>
      <c r="AH37" s="676"/>
      <c r="AI37" s="676"/>
      <c r="AJ37" s="676"/>
      <c r="AK37" s="676" t="s">
        <v>28</v>
      </c>
      <c r="AL37" s="676"/>
      <c r="AM37" s="676" t="s">
        <v>37</v>
      </c>
      <c r="AN37" s="676"/>
      <c r="AO37" s="673" t="s">
        <v>37</v>
      </c>
      <c r="AP37" s="673"/>
      <c r="AQ37" s="673" t="s">
        <v>37</v>
      </c>
      <c r="AR37" s="676"/>
      <c r="AS37" s="391">
        <f t="shared" si="5"/>
        <v>19</v>
      </c>
      <c r="AT37" s="392">
        <f t="shared" si="6"/>
        <v>19</v>
      </c>
    </row>
    <row r="38" ht="45.0" customHeight="1">
      <c r="A38" s="912" t="s">
        <v>142</v>
      </c>
      <c r="B38" s="396" t="s">
        <v>143</v>
      </c>
      <c r="C38" s="397"/>
      <c r="D38" s="398"/>
      <c r="E38" s="399"/>
      <c r="F38" s="399"/>
      <c r="G38" s="399"/>
      <c r="H38" s="399"/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399"/>
      <c r="AI38" s="400"/>
      <c r="AJ38" s="400"/>
      <c r="AK38" s="400"/>
      <c r="AL38" s="400"/>
      <c r="AM38" s="400"/>
      <c r="AN38" s="400"/>
      <c r="AO38" s="400"/>
      <c r="AP38" s="400"/>
      <c r="AQ38" s="400"/>
      <c r="AR38" s="400"/>
      <c r="AS38" s="400"/>
      <c r="AT38" s="913"/>
    </row>
    <row r="39" ht="45.0" customHeight="1">
      <c r="A39" s="914" t="s">
        <v>144</v>
      </c>
      <c r="B39" s="386" t="s">
        <v>145</v>
      </c>
      <c r="C39" s="388" t="s">
        <v>37</v>
      </c>
      <c r="D39" s="388"/>
      <c r="E39" s="389" t="s">
        <v>37</v>
      </c>
      <c r="F39" s="389"/>
      <c r="G39" s="389" t="s">
        <v>37</v>
      </c>
      <c r="H39" s="389"/>
      <c r="I39" s="389" t="s">
        <v>37</v>
      </c>
      <c r="J39" s="389"/>
      <c r="K39" s="915" t="s">
        <v>67</v>
      </c>
      <c r="L39" s="389"/>
      <c r="M39" s="915" t="s">
        <v>424</v>
      </c>
      <c r="N39" s="389"/>
      <c r="O39" s="915" t="s">
        <v>67</v>
      </c>
      <c r="P39" s="389"/>
      <c r="Q39" s="915" t="s">
        <v>67</v>
      </c>
      <c r="R39" s="389"/>
      <c r="S39" s="915" t="s">
        <v>67</v>
      </c>
      <c r="T39" s="389"/>
      <c r="U39" s="915" t="s">
        <v>67</v>
      </c>
      <c r="V39" s="394"/>
      <c r="W39" s="915" t="s">
        <v>67</v>
      </c>
      <c r="X39" s="389"/>
      <c r="Y39" s="915" t="s">
        <v>67</v>
      </c>
      <c r="Z39" s="389"/>
      <c r="AA39" s="915" t="s">
        <v>67</v>
      </c>
      <c r="AB39" s="389"/>
      <c r="AC39" s="915" t="s">
        <v>67</v>
      </c>
      <c r="AD39" s="389"/>
      <c r="AE39" s="394" t="s">
        <v>28</v>
      </c>
      <c r="AF39" s="389"/>
      <c r="AG39" s="394" t="s">
        <v>28</v>
      </c>
      <c r="AH39" s="389"/>
      <c r="AI39" s="389"/>
      <c r="AJ39" s="394"/>
      <c r="AK39" s="394" t="s">
        <v>28</v>
      </c>
      <c r="AL39" s="394"/>
      <c r="AM39" s="394" t="s">
        <v>37</v>
      </c>
      <c r="AN39" s="394"/>
      <c r="AO39" s="389" t="s">
        <v>37</v>
      </c>
      <c r="AP39" s="389"/>
      <c r="AQ39" s="389" t="s">
        <v>37</v>
      </c>
      <c r="AR39" s="394"/>
      <c r="AS39" s="391">
        <f>COUNTIF(C39:AR39,"&gt;=R")</f>
        <v>19</v>
      </c>
      <c r="AT39" s="392">
        <f>AS39</f>
        <v>19</v>
      </c>
    </row>
    <row r="40" ht="45.0" customHeight="1">
      <c r="A40" s="912" t="s">
        <v>146</v>
      </c>
      <c r="B40" s="396" t="s">
        <v>147</v>
      </c>
      <c r="C40" s="397"/>
      <c r="D40" s="398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400"/>
      <c r="AJ40" s="400"/>
      <c r="AK40" s="400"/>
      <c r="AL40" s="400"/>
      <c r="AM40" s="400"/>
      <c r="AN40" s="400"/>
      <c r="AO40" s="400"/>
      <c r="AP40" s="400"/>
      <c r="AQ40" s="400"/>
      <c r="AR40" s="400"/>
      <c r="AS40" s="400"/>
      <c r="AT40" s="913"/>
    </row>
    <row r="41" ht="45.0" customHeight="1">
      <c r="A41" s="911" t="s">
        <v>148</v>
      </c>
      <c r="B41" s="386" t="s">
        <v>139</v>
      </c>
      <c r="C41" s="388" t="s">
        <v>37</v>
      </c>
      <c r="D41" s="388"/>
      <c r="E41" s="389" t="s">
        <v>37</v>
      </c>
      <c r="F41" s="389"/>
      <c r="G41" s="394" t="s">
        <v>37</v>
      </c>
      <c r="H41" s="389"/>
      <c r="I41" s="389" t="s">
        <v>37</v>
      </c>
      <c r="J41" s="389"/>
      <c r="K41" s="389" t="s">
        <v>67</v>
      </c>
      <c r="L41" s="389"/>
      <c r="M41" s="389" t="s">
        <v>67</v>
      </c>
      <c r="N41" s="389"/>
      <c r="O41" s="389" t="s">
        <v>67</v>
      </c>
      <c r="P41" s="389"/>
      <c r="Q41" s="389" t="s">
        <v>67</v>
      </c>
      <c r="R41" s="389"/>
      <c r="S41" s="915" t="s">
        <v>67</v>
      </c>
      <c r="T41" s="389"/>
      <c r="U41" s="915" t="s">
        <v>67</v>
      </c>
      <c r="V41" s="394"/>
      <c r="W41" s="915" t="s">
        <v>67</v>
      </c>
      <c r="X41" s="389"/>
      <c r="Y41" s="915" t="s">
        <v>67</v>
      </c>
      <c r="Z41" s="389"/>
      <c r="AA41" s="915" t="s">
        <v>67</v>
      </c>
      <c r="AB41" s="389"/>
      <c r="AC41" s="915" t="s">
        <v>67</v>
      </c>
      <c r="AD41" s="389"/>
      <c r="AE41" s="389" t="s">
        <v>18</v>
      </c>
      <c r="AF41" s="389"/>
      <c r="AG41" s="389" t="s">
        <v>18</v>
      </c>
      <c r="AH41" s="389"/>
      <c r="AI41" s="394"/>
      <c r="AJ41" s="394"/>
      <c r="AK41" s="389" t="s">
        <v>18</v>
      </c>
      <c r="AL41" s="394"/>
      <c r="AM41" s="394" t="s">
        <v>37</v>
      </c>
      <c r="AN41" s="394"/>
      <c r="AO41" s="389" t="s">
        <v>37</v>
      </c>
      <c r="AP41" s="389"/>
      <c r="AQ41" s="389" t="s">
        <v>425</v>
      </c>
      <c r="AR41" s="394"/>
      <c r="AS41" s="391">
        <f t="shared" ref="AS41:AS42" si="7">COUNTIF(C41:AR41,"&gt;=R")</f>
        <v>20</v>
      </c>
      <c r="AT41" s="392">
        <f t="shared" ref="AT41:AT42" si="8">AS41</f>
        <v>20</v>
      </c>
    </row>
    <row r="42" ht="45.0" customHeight="1">
      <c r="A42" s="911" t="s">
        <v>149</v>
      </c>
      <c r="B42" s="386" t="s">
        <v>150</v>
      </c>
      <c r="C42" s="388" t="s">
        <v>37</v>
      </c>
      <c r="D42" s="388"/>
      <c r="E42" s="389" t="s">
        <v>37</v>
      </c>
      <c r="F42" s="389"/>
      <c r="G42" s="389" t="s">
        <v>37</v>
      </c>
      <c r="H42" s="389"/>
      <c r="I42" s="394" t="s">
        <v>37</v>
      </c>
      <c r="J42" s="389"/>
      <c r="K42" s="389" t="s">
        <v>76</v>
      </c>
      <c r="L42" s="389"/>
      <c r="M42" s="389" t="s">
        <v>76</v>
      </c>
      <c r="N42" s="389"/>
      <c r="O42" s="389" t="s">
        <v>76</v>
      </c>
      <c r="P42" s="389"/>
      <c r="Q42" s="389" t="s">
        <v>76</v>
      </c>
      <c r="R42" s="389"/>
      <c r="S42" s="915" t="s">
        <v>67</v>
      </c>
      <c r="T42" s="389"/>
      <c r="U42" s="915" t="s">
        <v>67</v>
      </c>
      <c r="V42" s="394"/>
      <c r="W42" s="915" t="s">
        <v>67</v>
      </c>
      <c r="X42" s="389"/>
      <c r="Y42" s="915" t="s">
        <v>67</v>
      </c>
      <c r="Z42" s="389"/>
      <c r="AA42" s="915" t="s">
        <v>67</v>
      </c>
      <c r="AB42" s="389"/>
      <c r="AC42" s="915" t="s">
        <v>67</v>
      </c>
      <c r="AD42" s="389"/>
      <c r="AE42" s="389" t="s">
        <v>18</v>
      </c>
      <c r="AF42" s="389"/>
      <c r="AG42" s="389" t="s">
        <v>18</v>
      </c>
      <c r="AH42" s="389"/>
      <c r="AI42" s="389"/>
      <c r="AJ42" s="394"/>
      <c r="AK42" s="417" t="s">
        <v>8</v>
      </c>
      <c r="AL42" s="394"/>
      <c r="AM42" s="418" t="s">
        <v>84</v>
      </c>
      <c r="AN42" s="394"/>
      <c r="AO42" s="419" t="s">
        <v>84</v>
      </c>
      <c r="AP42" s="394"/>
      <c r="AQ42" s="419" t="s">
        <v>84</v>
      </c>
      <c r="AR42" s="394"/>
      <c r="AS42" s="391">
        <f t="shared" si="7"/>
        <v>20</v>
      </c>
      <c r="AT42" s="392">
        <f t="shared" si="8"/>
        <v>20</v>
      </c>
      <c r="AU42" s="250"/>
      <c r="AV42" s="350"/>
    </row>
    <row r="43" ht="45.0" customHeight="1">
      <c r="A43" s="917" t="s">
        <v>151</v>
      </c>
      <c r="B43" s="408" t="s">
        <v>152</v>
      </c>
      <c r="C43" s="387"/>
      <c r="D43" s="388"/>
      <c r="E43" s="389"/>
      <c r="F43" s="389"/>
      <c r="G43" s="389"/>
      <c r="H43" s="389"/>
      <c r="I43" s="389"/>
      <c r="J43" s="389"/>
      <c r="K43" s="389"/>
      <c r="L43" s="389"/>
      <c r="M43" s="394"/>
      <c r="N43" s="389"/>
      <c r="O43" s="389"/>
      <c r="P43" s="389"/>
      <c r="Q43" s="389"/>
      <c r="R43" s="389"/>
      <c r="S43" s="389"/>
      <c r="T43" s="389"/>
      <c r="U43" s="394"/>
      <c r="V43" s="389"/>
      <c r="W43" s="389"/>
      <c r="X43" s="389"/>
      <c r="Y43" s="394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94"/>
      <c r="AK43" s="389"/>
      <c r="AL43" s="394"/>
      <c r="AM43" s="389"/>
      <c r="AN43" s="394"/>
      <c r="AO43" s="389"/>
      <c r="AP43" s="389"/>
      <c r="AQ43" s="389"/>
      <c r="AR43" s="394"/>
      <c r="AS43" s="391"/>
      <c r="AT43" s="392"/>
    </row>
    <row r="44" ht="45.0" customHeight="1">
      <c r="A44" s="911" t="s">
        <v>153</v>
      </c>
      <c r="B44" s="386" t="s">
        <v>154</v>
      </c>
      <c r="C44" s="387"/>
      <c r="D44" s="388"/>
      <c r="E44" s="387"/>
      <c r="F44" s="389"/>
      <c r="G44" s="387"/>
      <c r="H44" s="389"/>
      <c r="I44" s="387"/>
      <c r="J44" s="389"/>
      <c r="K44" s="387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94"/>
      <c r="AK44" s="389"/>
      <c r="AL44" s="394"/>
      <c r="AM44" s="389"/>
      <c r="AN44" s="394"/>
      <c r="AO44" s="389"/>
      <c r="AP44" s="389"/>
      <c r="AQ44" s="389"/>
      <c r="AR44" s="394"/>
      <c r="AS44" s="391">
        <f t="shared" ref="AS44:AS49" si="9">COUNTIF(C44:AR44,"&gt;=R")</f>
        <v>0</v>
      </c>
      <c r="AT44" s="392">
        <f t="shared" ref="AT44:AT49" si="10">AS44</f>
        <v>0</v>
      </c>
    </row>
    <row r="45" ht="45.0" customHeight="1">
      <c r="A45" s="911" t="s">
        <v>155</v>
      </c>
      <c r="B45" s="386" t="s">
        <v>156</v>
      </c>
      <c r="C45" s="387"/>
      <c r="D45" s="388"/>
      <c r="E45" s="394"/>
      <c r="F45" s="389"/>
      <c r="G45" s="394"/>
      <c r="H45" s="389"/>
      <c r="I45" s="394"/>
      <c r="J45" s="389"/>
      <c r="K45" s="394"/>
      <c r="L45" s="389"/>
      <c r="M45" s="394"/>
      <c r="N45" s="389"/>
      <c r="O45" s="394"/>
      <c r="P45" s="389"/>
      <c r="Q45" s="394"/>
      <c r="R45" s="389"/>
      <c r="S45" s="394"/>
      <c r="T45" s="389"/>
      <c r="U45" s="394"/>
      <c r="V45" s="389"/>
      <c r="W45" s="394"/>
      <c r="X45" s="389"/>
      <c r="Y45" s="394"/>
      <c r="Z45" s="389"/>
      <c r="AA45" s="394"/>
      <c r="AB45" s="389"/>
      <c r="AC45" s="394"/>
      <c r="AD45" s="389"/>
      <c r="AE45" s="394"/>
      <c r="AF45" s="389"/>
      <c r="AG45" s="394"/>
      <c r="AH45" s="389"/>
      <c r="AI45" s="394"/>
      <c r="AJ45" s="394"/>
      <c r="AK45" s="394"/>
      <c r="AL45" s="394"/>
      <c r="AM45" s="389"/>
      <c r="AN45" s="394"/>
      <c r="AO45" s="389"/>
      <c r="AP45" s="389"/>
      <c r="AQ45" s="389"/>
      <c r="AR45" s="394"/>
      <c r="AS45" s="391">
        <f t="shared" si="9"/>
        <v>0</v>
      </c>
      <c r="AT45" s="392">
        <f t="shared" si="10"/>
        <v>0</v>
      </c>
      <c r="AU45" s="250"/>
      <c r="AV45" s="350"/>
    </row>
    <row r="46" ht="45.0" customHeight="1">
      <c r="A46" s="911" t="s">
        <v>157</v>
      </c>
      <c r="B46" s="386" t="s">
        <v>158</v>
      </c>
      <c r="C46" s="388" t="s">
        <v>67</v>
      </c>
      <c r="D46" s="388"/>
      <c r="E46" s="389" t="s">
        <v>67</v>
      </c>
      <c r="F46" s="389"/>
      <c r="G46" s="389" t="s">
        <v>67</v>
      </c>
      <c r="H46" s="389"/>
      <c r="I46" s="394" t="s">
        <v>67</v>
      </c>
      <c r="J46" s="389"/>
      <c r="K46" s="394" t="s">
        <v>67</v>
      </c>
      <c r="L46" s="389"/>
      <c r="M46" s="394" t="s">
        <v>67</v>
      </c>
      <c r="N46" s="389"/>
      <c r="O46" s="394" t="s">
        <v>67</v>
      </c>
      <c r="P46" s="389"/>
      <c r="Q46" s="389" t="s">
        <v>67</v>
      </c>
      <c r="R46" s="389"/>
      <c r="S46" s="389" t="s">
        <v>67</v>
      </c>
      <c r="T46" s="389"/>
      <c r="U46" s="394" t="s">
        <v>67</v>
      </c>
      <c r="V46" s="389"/>
      <c r="W46" s="394" t="s">
        <v>84</v>
      </c>
      <c r="X46" s="389"/>
      <c r="Y46" s="394" t="s">
        <v>84</v>
      </c>
      <c r="Z46" s="389"/>
      <c r="AA46" s="394" t="s">
        <v>92</v>
      </c>
      <c r="AB46" s="389"/>
      <c r="AC46" s="394" t="s">
        <v>92</v>
      </c>
      <c r="AD46" s="389"/>
      <c r="AE46" s="389" t="s">
        <v>18</v>
      </c>
      <c r="AF46" s="389"/>
      <c r="AG46" s="389" t="s">
        <v>18</v>
      </c>
      <c r="AH46" s="389"/>
      <c r="AI46" s="389"/>
      <c r="AJ46" s="394"/>
      <c r="AK46" s="389" t="s">
        <v>48</v>
      </c>
      <c r="AL46" s="394"/>
      <c r="AM46" s="394" t="s">
        <v>37</v>
      </c>
      <c r="AN46" s="394"/>
      <c r="AO46" s="394" t="s">
        <v>37</v>
      </c>
      <c r="AP46" s="394"/>
      <c r="AQ46" s="394" t="s">
        <v>37</v>
      </c>
      <c r="AR46" s="394"/>
      <c r="AS46" s="391">
        <f t="shared" si="9"/>
        <v>20</v>
      </c>
      <c r="AT46" s="392">
        <f t="shared" si="10"/>
        <v>20</v>
      </c>
    </row>
    <row r="47" ht="45.0" customHeight="1">
      <c r="A47" s="911" t="s">
        <v>159</v>
      </c>
      <c r="B47" s="386" t="s">
        <v>160</v>
      </c>
      <c r="C47" s="387" t="s">
        <v>76</v>
      </c>
      <c r="D47" s="388"/>
      <c r="E47" s="389" t="s">
        <v>76</v>
      </c>
      <c r="F47" s="389"/>
      <c r="G47" s="389" t="s">
        <v>76</v>
      </c>
      <c r="H47" s="389"/>
      <c r="I47" s="389" t="s">
        <v>76</v>
      </c>
      <c r="J47" s="389"/>
      <c r="K47" s="389" t="s">
        <v>76</v>
      </c>
      <c r="L47" s="389"/>
      <c r="M47" s="389" t="s">
        <v>84</v>
      </c>
      <c r="N47" s="389"/>
      <c r="O47" s="389" t="s">
        <v>84</v>
      </c>
      <c r="P47" s="389"/>
      <c r="Q47" s="389" t="s">
        <v>84</v>
      </c>
      <c r="R47" s="389"/>
      <c r="S47" s="389" t="s">
        <v>76</v>
      </c>
      <c r="T47" s="389"/>
      <c r="U47" s="389" t="s">
        <v>76</v>
      </c>
      <c r="V47" s="389"/>
      <c r="W47" s="417" t="s">
        <v>8</v>
      </c>
      <c r="X47" s="389"/>
      <c r="Y47" s="389" t="s">
        <v>92</v>
      </c>
      <c r="Z47" s="389"/>
      <c r="AA47" s="389" t="s">
        <v>84</v>
      </c>
      <c r="AB47" s="389"/>
      <c r="AC47" s="389" t="s">
        <v>84</v>
      </c>
      <c r="AD47" s="389"/>
      <c r="AE47" s="389" t="s">
        <v>18</v>
      </c>
      <c r="AF47" s="389"/>
      <c r="AG47" s="389" t="s">
        <v>18</v>
      </c>
      <c r="AH47" s="389"/>
      <c r="AI47" s="389"/>
      <c r="AJ47" s="394"/>
      <c r="AK47" s="389" t="s">
        <v>28</v>
      </c>
      <c r="AL47" s="394"/>
      <c r="AM47" s="394" t="s">
        <v>92</v>
      </c>
      <c r="AN47" s="394"/>
      <c r="AO47" s="394" t="s">
        <v>92</v>
      </c>
      <c r="AP47" s="394"/>
      <c r="AQ47" s="394" t="s">
        <v>92</v>
      </c>
      <c r="AR47" s="394"/>
      <c r="AS47" s="391">
        <f t="shared" si="9"/>
        <v>20</v>
      </c>
      <c r="AT47" s="392">
        <f t="shared" si="10"/>
        <v>20</v>
      </c>
      <c r="AU47" s="250"/>
      <c r="AV47" s="350"/>
    </row>
    <row r="48" ht="45.0" customHeight="1">
      <c r="A48" s="911" t="s">
        <v>161</v>
      </c>
      <c r="B48" s="386" t="s">
        <v>162</v>
      </c>
      <c r="C48" s="387" t="s">
        <v>67</v>
      </c>
      <c r="D48" s="388"/>
      <c r="E48" s="389" t="s">
        <v>67</v>
      </c>
      <c r="F48" s="389"/>
      <c r="G48" s="389" t="s">
        <v>67</v>
      </c>
      <c r="H48" s="389"/>
      <c r="I48" s="389" t="s">
        <v>67</v>
      </c>
      <c r="J48" s="389"/>
      <c r="K48" s="389" t="s">
        <v>76</v>
      </c>
      <c r="L48" s="389"/>
      <c r="M48" s="389" t="s">
        <v>84</v>
      </c>
      <c r="N48" s="389"/>
      <c r="O48" s="389" t="s">
        <v>84</v>
      </c>
      <c r="P48" s="389"/>
      <c r="Q48" s="389" t="s">
        <v>84</v>
      </c>
      <c r="R48" s="389"/>
      <c r="S48" s="389" t="s">
        <v>76</v>
      </c>
      <c r="T48" s="389"/>
      <c r="U48" s="389" t="s">
        <v>76</v>
      </c>
      <c r="V48" s="389"/>
      <c r="W48" s="417" t="s">
        <v>8</v>
      </c>
      <c r="X48" s="389"/>
      <c r="Y48" s="417" t="s">
        <v>8</v>
      </c>
      <c r="Z48" s="389"/>
      <c r="AA48" s="389" t="s">
        <v>84</v>
      </c>
      <c r="AB48" s="389"/>
      <c r="AC48" s="389" t="s">
        <v>84</v>
      </c>
      <c r="AD48" s="389"/>
      <c r="AE48" s="389" t="s">
        <v>68</v>
      </c>
      <c r="AF48" s="389"/>
      <c r="AG48" s="389" t="s">
        <v>18</v>
      </c>
      <c r="AH48" s="389"/>
      <c r="AI48" s="394"/>
      <c r="AJ48" s="394"/>
      <c r="AK48" s="394" t="s">
        <v>28</v>
      </c>
      <c r="AL48" s="394"/>
      <c r="AM48" s="394" t="s">
        <v>92</v>
      </c>
      <c r="AN48" s="394"/>
      <c r="AO48" s="394" t="s">
        <v>92</v>
      </c>
      <c r="AP48" s="394"/>
      <c r="AQ48" s="394" t="s">
        <v>92</v>
      </c>
      <c r="AR48" s="394"/>
      <c r="AS48" s="391">
        <f t="shared" si="9"/>
        <v>20</v>
      </c>
      <c r="AT48" s="392">
        <f t="shared" si="10"/>
        <v>20</v>
      </c>
    </row>
    <row r="49" ht="45.0" customHeight="1">
      <c r="A49" s="911" t="s">
        <v>163</v>
      </c>
      <c r="B49" s="386" t="s">
        <v>164</v>
      </c>
      <c r="C49" s="387" t="s">
        <v>67</v>
      </c>
      <c r="D49" s="388"/>
      <c r="E49" s="389" t="s">
        <v>67</v>
      </c>
      <c r="F49" s="389"/>
      <c r="G49" s="389" t="s">
        <v>67</v>
      </c>
      <c r="H49" s="389"/>
      <c r="I49" s="389" t="s">
        <v>67</v>
      </c>
      <c r="J49" s="389"/>
      <c r="K49" s="389" t="s">
        <v>76</v>
      </c>
      <c r="L49" s="389"/>
      <c r="M49" s="394" t="s">
        <v>84</v>
      </c>
      <c r="N49" s="389"/>
      <c r="O49" s="389" t="s">
        <v>84</v>
      </c>
      <c r="P49" s="389"/>
      <c r="Q49" s="389" t="s">
        <v>84</v>
      </c>
      <c r="R49" s="389"/>
      <c r="S49" s="389" t="s">
        <v>76</v>
      </c>
      <c r="T49" s="389"/>
      <c r="U49" s="389" t="s">
        <v>76</v>
      </c>
      <c r="V49" s="389"/>
      <c r="W49" s="389" t="s">
        <v>92</v>
      </c>
      <c r="X49" s="389"/>
      <c r="Y49" s="389" t="s">
        <v>92</v>
      </c>
      <c r="Z49" s="389"/>
      <c r="AA49" s="389" t="s">
        <v>84</v>
      </c>
      <c r="AB49" s="389"/>
      <c r="AC49" s="389" t="s">
        <v>84</v>
      </c>
      <c r="AD49" s="389"/>
      <c r="AE49" s="389" t="s">
        <v>18</v>
      </c>
      <c r="AF49" s="389"/>
      <c r="AG49" s="389" t="s">
        <v>18</v>
      </c>
      <c r="AH49" s="389"/>
      <c r="AI49" s="389"/>
      <c r="AJ49" s="394"/>
      <c r="AK49" s="389" t="s">
        <v>28</v>
      </c>
      <c r="AL49" s="394"/>
      <c r="AM49" s="419" t="s">
        <v>84</v>
      </c>
      <c r="AN49" s="394"/>
      <c r="AO49" s="394" t="s">
        <v>37</v>
      </c>
      <c r="AP49" s="394"/>
      <c r="AQ49" s="394" t="s">
        <v>37</v>
      </c>
      <c r="AR49" s="394"/>
      <c r="AS49" s="391">
        <f t="shared" si="9"/>
        <v>20</v>
      </c>
      <c r="AT49" s="392">
        <f t="shared" si="10"/>
        <v>20</v>
      </c>
      <c r="AU49" s="250"/>
      <c r="AV49" s="350"/>
    </row>
    <row r="50" ht="45.0" customHeight="1">
      <c r="A50" s="910" t="s">
        <v>165</v>
      </c>
      <c r="B50" s="379" t="s">
        <v>166</v>
      </c>
      <c r="C50" s="397"/>
      <c r="D50" s="398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400"/>
      <c r="AJ50" s="400"/>
      <c r="AK50" s="400"/>
      <c r="AL50" s="400"/>
      <c r="AM50" s="400"/>
      <c r="AN50" s="400"/>
      <c r="AO50" s="400"/>
      <c r="AP50" s="400"/>
      <c r="AQ50" s="400"/>
      <c r="AR50" s="400"/>
      <c r="AS50" s="400"/>
      <c r="AT50" s="913"/>
      <c r="AU50" s="250"/>
      <c r="AV50" s="350"/>
    </row>
    <row r="51" ht="45.0" customHeight="1">
      <c r="A51" s="918" t="s">
        <v>167</v>
      </c>
      <c r="B51" s="410" t="s">
        <v>168</v>
      </c>
      <c r="C51" s="387"/>
      <c r="D51" s="388"/>
      <c r="E51" s="389"/>
      <c r="F51" s="389"/>
      <c r="G51" s="394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94"/>
      <c r="X51" s="389"/>
      <c r="Y51" s="394"/>
      <c r="Z51" s="389"/>
      <c r="AA51" s="394"/>
      <c r="AB51" s="389"/>
      <c r="AC51" s="394"/>
      <c r="AD51" s="389"/>
      <c r="AE51" s="394"/>
      <c r="AF51" s="389"/>
      <c r="AG51" s="389"/>
      <c r="AH51" s="389"/>
      <c r="AI51" s="389"/>
      <c r="AJ51" s="394"/>
      <c r="AK51" s="389"/>
      <c r="AL51" s="394"/>
      <c r="AM51" s="389"/>
      <c r="AN51" s="394"/>
      <c r="AO51" s="389"/>
      <c r="AP51" s="389"/>
      <c r="AQ51" s="389"/>
      <c r="AR51" s="394"/>
      <c r="AS51" s="391"/>
      <c r="AT51" s="392"/>
    </row>
    <row r="52" ht="45.0" customHeight="1">
      <c r="A52" s="919" t="s">
        <v>169</v>
      </c>
      <c r="B52" s="412" t="s">
        <v>170</v>
      </c>
      <c r="C52" s="387" t="s">
        <v>67</v>
      </c>
      <c r="D52" s="388"/>
      <c r="E52" s="389" t="s">
        <v>56</v>
      </c>
      <c r="F52" s="389"/>
      <c r="G52" s="389" t="s">
        <v>56</v>
      </c>
      <c r="H52" s="389"/>
      <c r="I52" s="389" t="s">
        <v>67</v>
      </c>
      <c r="J52" s="389"/>
      <c r="K52" s="389" t="s">
        <v>76</v>
      </c>
      <c r="L52" s="389"/>
      <c r="M52" s="389" t="s">
        <v>84</v>
      </c>
      <c r="N52" s="389"/>
      <c r="O52" s="389" t="s">
        <v>84</v>
      </c>
      <c r="P52" s="389"/>
      <c r="Q52" s="389" t="s">
        <v>84</v>
      </c>
      <c r="R52" s="389"/>
      <c r="S52" s="389" t="s">
        <v>76</v>
      </c>
      <c r="T52" s="389"/>
      <c r="U52" s="389" t="s">
        <v>76</v>
      </c>
      <c r="V52" s="389"/>
      <c r="W52" s="417" t="s">
        <v>8</v>
      </c>
      <c r="X52" s="389"/>
      <c r="Y52" s="389" t="s">
        <v>92</v>
      </c>
      <c r="Z52" s="389"/>
      <c r="AA52" s="389" t="s">
        <v>84</v>
      </c>
      <c r="AB52" s="389"/>
      <c r="AC52" s="389" t="s">
        <v>84</v>
      </c>
      <c r="AD52" s="389"/>
      <c r="AE52" s="389" t="s">
        <v>18</v>
      </c>
      <c r="AF52" s="389"/>
      <c r="AG52" s="389" t="s">
        <v>18</v>
      </c>
      <c r="AH52" s="389"/>
      <c r="AI52" s="389"/>
      <c r="AJ52" s="394"/>
      <c r="AK52" s="389" t="s">
        <v>28</v>
      </c>
      <c r="AL52" s="394"/>
      <c r="AM52" s="394" t="s">
        <v>47</v>
      </c>
      <c r="AN52" s="394"/>
      <c r="AO52" s="394" t="s">
        <v>37</v>
      </c>
      <c r="AP52" s="394"/>
      <c r="AQ52" s="394" t="s">
        <v>37</v>
      </c>
      <c r="AR52" s="394"/>
      <c r="AS52" s="391">
        <f t="shared" ref="AS52:AS53" si="11">COUNTIF(C52:AR52,"&gt;=R")</f>
        <v>20</v>
      </c>
      <c r="AT52" s="392">
        <f t="shared" ref="AT52:AT53" si="12">AS52</f>
        <v>20</v>
      </c>
      <c r="AU52" s="250"/>
      <c r="AV52" s="350"/>
    </row>
    <row r="53" ht="45.0" customHeight="1">
      <c r="A53" s="919" t="s">
        <v>171</v>
      </c>
      <c r="B53" s="412" t="s">
        <v>172</v>
      </c>
      <c r="C53" s="387" t="s">
        <v>68</v>
      </c>
      <c r="D53" s="388"/>
      <c r="E53" s="387" t="s">
        <v>68</v>
      </c>
      <c r="F53" s="389"/>
      <c r="G53" s="387" t="s">
        <v>68</v>
      </c>
      <c r="H53" s="389"/>
      <c r="I53" s="387" t="s">
        <v>68</v>
      </c>
      <c r="J53" s="389"/>
      <c r="K53" s="387" t="s">
        <v>68</v>
      </c>
      <c r="L53" s="389"/>
      <c r="M53" s="387"/>
      <c r="N53" s="389"/>
      <c r="O53" s="387"/>
      <c r="P53" s="389"/>
      <c r="Q53" s="387"/>
      <c r="R53" s="389"/>
      <c r="S53" s="389"/>
      <c r="T53" s="389"/>
      <c r="U53" s="389"/>
      <c r="V53" s="389"/>
      <c r="W53" s="389" t="s">
        <v>68</v>
      </c>
      <c r="X53" s="389"/>
      <c r="Y53" s="389" t="s">
        <v>68</v>
      </c>
      <c r="Z53" s="389"/>
      <c r="AA53" s="389" t="s">
        <v>68</v>
      </c>
      <c r="AB53" s="389"/>
      <c r="AC53" s="389" t="s">
        <v>68</v>
      </c>
      <c r="AD53" s="389"/>
      <c r="AE53" s="389" t="s">
        <v>68</v>
      </c>
      <c r="AF53" s="389"/>
      <c r="AG53" s="389" t="s">
        <v>68</v>
      </c>
      <c r="AH53" s="389"/>
      <c r="AI53" s="389"/>
      <c r="AJ53" s="394"/>
      <c r="AK53" s="389" t="s">
        <v>68</v>
      </c>
      <c r="AL53" s="394"/>
      <c r="AM53" s="394" t="s">
        <v>68</v>
      </c>
      <c r="AN53" s="394"/>
      <c r="AO53" s="389" t="s">
        <v>68</v>
      </c>
      <c r="AP53" s="389"/>
      <c r="AQ53" s="389" t="s">
        <v>68</v>
      </c>
      <c r="AR53" s="394"/>
      <c r="AS53" s="391">
        <f t="shared" si="11"/>
        <v>15</v>
      </c>
      <c r="AT53" s="392">
        <f t="shared" si="12"/>
        <v>15</v>
      </c>
      <c r="AU53" s="250"/>
      <c r="AV53" s="350"/>
    </row>
    <row r="54" ht="45.0" customHeight="1">
      <c r="A54" s="920" t="s">
        <v>173</v>
      </c>
      <c r="B54" s="415" t="s">
        <v>174</v>
      </c>
      <c r="C54" s="387"/>
      <c r="D54" s="388"/>
      <c r="E54" s="389"/>
      <c r="F54" s="389"/>
      <c r="G54" s="394"/>
      <c r="H54" s="389"/>
      <c r="I54" s="394"/>
      <c r="J54" s="389"/>
      <c r="K54" s="394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94"/>
      <c r="Z54" s="389"/>
      <c r="AA54" s="394"/>
      <c r="AB54" s="389"/>
      <c r="AC54" s="394"/>
      <c r="AD54" s="389"/>
      <c r="AE54" s="394"/>
      <c r="AF54" s="389"/>
      <c r="AG54" s="389"/>
      <c r="AH54" s="389"/>
      <c r="AI54" s="389"/>
      <c r="AJ54" s="394"/>
      <c r="AK54" s="389"/>
      <c r="AL54" s="394"/>
      <c r="AM54" s="389"/>
      <c r="AN54" s="394"/>
      <c r="AO54" s="389"/>
      <c r="AP54" s="389"/>
      <c r="AQ54" s="389"/>
      <c r="AR54" s="394"/>
      <c r="AS54" s="391"/>
      <c r="AT54" s="392"/>
    </row>
    <row r="55" ht="45.0" customHeight="1">
      <c r="A55" s="919" t="s">
        <v>175</v>
      </c>
      <c r="B55" s="412" t="s">
        <v>176</v>
      </c>
      <c r="C55" s="387" t="s">
        <v>68</v>
      </c>
      <c r="D55" s="388"/>
      <c r="E55" s="387" t="s">
        <v>68</v>
      </c>
      <c r="F55" s="389"/>
      <c r="G55" s="389" t="s">
        <v>68</v>
      </c>
      <c r="H55" s="389"/>
      <c r="I55" s="389" t="s">
        <v>68</v>
      </c>
      <c r="J55" s="389"/>
      <c r="K55" s="389" t="s">
        <v>68</v>
      </c>
      <c r="L55" s="389"/>
      <c r="M55" s="389"/>
      <c r="N55" s="389"/>
      <c r="O55" s="389"/>
      <c r="P55" s="389"/>
      <c r="Q55" s="389"/>
      <c r="R55" s="389"/>
      <c r="S55" s="389"/>
      <c r="T55" s="389"/>
      <c r="U55" s="394" t="s">
        <v>68</v>
      </c>
      <c r="V55" s="389"/>
      <c r="W55" s="394" t="s">
        <v>38</v>
      </c>
      <c r="X55" s="389"/>
      <c r="Y55" s="394" t="s">
        <v>48</v>
      </c>
      <c r="Z55" s="389"/>
      <c r="AA55" s="394" t="s">
        <v>48</v>
      </c>
      <c r="AB55" s="389"/>
      <c r="AC55" s="394" t="s">
        <v>48</v>
      </c>
      <c r="AD55" s="389"/>
      <c r="AE55" s="389" t="s">
        <v>85</v>
      </c>
      <c r="AF55" s="389"/>
      <c r="AG55" s="389" t="s">
        <v>85</v>
      </c>
      <c r="AH55" s="389"/>
      <c r="AI55" s="394"/>
      <c r="AJ55" s="394"/>
      <c r="AK55" s="394" t="s">
        <v>93</v>
      </c>
      <c r="AL55" s="394"/>
      <c r="AM55" s="394" t="s">
        <v>57</v>
      </c>
      <c r="AN55" s="394"/>
      <c r="AO55" s="394" t="s">
        <v>57</v>
      </c>
      <c r="AP55" s="394"/>
      <c r="AQ55" s="394" t="s">
        <v>48</v>
      </c>
      <c r="AR55" s="394"/>
      <c r="AS55" s="391">
        <f t="shared" ref="AS55:AS56" si="13">COUNTIF(C55:AR55,"&gt;=R")</f>
        <v>16</v>
      </c>
      <c r="AT55" s="392">
        <f t="shared" ref="AT55:AT56" si="14">AS55</f>
        <v>16</v>
      </c>
    </row>
    <row r="56" ht="45.0" customHeight="1">
      <c r="A56" s="919" t="s">
        <v>177</v>
      </c>
      <c r="B56" s="412" t="s">
        <v>178</v>
      </c>
      <c r="C56" s="387" t="s">
        <v>68</v>
      </c>
      <c r="D56" s="388"/>
      <c r="E56" s="389" t="s">
        <v>68</v>
      </c>
      <c r="F56" s="389"/>
      <c r="G56" s="389" t="s">
        <v>68</v>
      </c>
      <c r="H56" s="389"/>
      <c r="I56" s="389" t="s">
        <v>68</v>
      </c>
      <c r="J56" s="389"/>
      <c r="K56" s="389" t="s">
        <v>68</v>
      </c>
      <c r="L56" s="389"/>
      <c r="M56" s="389"/>
      <c r="N56" s="389"/>
      <c r="O56" s="389"/>
      <c r="P56" s="389"/>
      <c r="Q56" s="389"/>
      <c r="R56" s="389"/>
      <c r="S56" s="389"/>
      <c r="T56" s="389"/>
      <c r="U56" s="389" t="s">
        <v>68</v>
      </c>
      <c r="V56" s="389"/>
      <c r="W56" s="389" t="s">
        <v>57</v>
      </c>
      <c r="X56" s="389"/>
      <c r="Y56" s="389" t="s">
        <v>57</v>
      </c>
      <c r="Z56" s="389"/>
      <c r="AA56" s="389" t="s">
        <v>48</v>
      </c>
      <c r="AB56" s="389"/>
      <c r="AC56" s="389" t="s">
        <v>57</v>
      </c>
      <c r="AD56" s="389"/>
      <c r="AE56" s="389" t="s">
        <v>85</v>
      </c>
      <c r="AF56" s="389"/>
      <c r="AG56" s="389" t="s">
        <v>85</v>
      </c>
      <c r="AH56" s="389"/>
      <c r="AI56" s="394"/>
      <c r="AJ56" s="394"/>
      <c r="AK56" s="394" t="s">
        <v>93</v>
      </c>
      <c r="AL56" s="394"/>
      <c r="AM56" s="394" t="s">
        <v>57</v>
      </c>
      <c r="AN56" s="394"/>
      <c r="AO56" s="394" t="s">
        <v>57</v>
      </c>
      <c r="AP56" s="394"/>
      <c r="AQ56" s="394" t="s">
        <v>48</v>
      </c>
      <c r="AR56" s="394"/>
      <c r="AS56" s="391">
        <f t="shared" si="13"/>
        <v>16</v>
      </c>
      <c r="AT56" s="392">
        <f t="shared" si="14"/>
        <v>16</v>
      </c>
      <c r="AU56" s="250"/>
      <c r="AV56" s="350"/>
    </row>
    <row r="57" ht="45.0" customHeight="1">
      <c r="A57" s="920" t="s">
        <v>179</v>
      </c>
      <c r="B57" s="415" t="s">
        <v>180</v>
      </c>
      <c r="C57" s="387"/>
      <c r="D57" s="388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94"/>
      <c r="X57" s="389"/>
      <c r="Y57" s="394"/>
      <c r="Z57" s="389"/>
      <c r="AA57" s="394"/>
      <c r="AB57" s="389"/>
      <c r="AC57" s="394"/>
      <c r="AD57" s="389"/>
      <c r="AE57" s="389"/>
      <c r="AF57" s="389"/>
      <c r="AG57" s="394"/>
      <c r="AH57" s="389"/>
      <c r="AI57" s="394"/>
      <c r="AJ57" s="394"/>
      <c r="AK57" s="389"/>
      <c r="AL57" s="394"/>
      <c r="AM57" s="389"/>
      <c r="AN57" s="394"/>
      <c r="AO57" s="389"/>
      <c r="AP57" s="389"/>
      <c r="AQ57" s="389"/>
      <c r="AR57" s="394"/>
      <c r="AS57" s="391"/>
      <c r="AT57" s="392"/>
    </row>
    <row r="58" ht="45.0" customHeight="1">
      <c r="A58" s="404" t="s">
        <v>181</v>
      </c>
      <c r="B58" s="794" t="s">
        <v>182</v>
      </c>
      <c r="C58" s="672" t="s">
        <v>68</v>
      </c>
      <c r="D58" s="671"/>
      <c r="E58" s="672" t="s">
        <v>68</v>
      </c>
      <c r="F58" s="673"/>
      <c r="G58" s="672" t="s">
        <v>68</v>
      </c>
      <c r="H58" s="673"/>
      <c r="I58" s="672" t="s">
        <v>68</v>
      </c>
      <c r="J58" s="673"/>
      <c r="K58" s="673" t="s">
        <v>68</v>
      </c>
      <c r="L58" s="673"/>
      <c r="M58" s="673"/>
      <c r="N58" s="673"/>
      <c r="O58" s="673"/>
      <c r="P58" s="673"/>
      <c r="Q58" s="673"/>
      <c r="R58" s="673"/>
      <c r="S58" s="672"/>
      <c r="T58" s="673"/>
      <c r="U58" s="672" t="s">
        <v>68</v>
      </c>
      <c r="V58" s="673"/>
      <c r="W58" s="672" t="s">
        <v>68</v>
      </c>
      <c r="X58" s="673"/>
      <c r="Y58" s="672" t="s">
        <v>68</v>
      </c>
      <c r="Z58" s="673"/>
      <c r="AA58" s="672" t="s">
        <v>68</v>
      </c>
      <c r="AB58" s="673"/>
      <c r="AC58" s="672" t="s">
        <v>68</v>
      </c>
      <c r="AD58" s="673"/>
      <c r="AE58" s="672"/>
      <c r="AF58" s="673"/>
      <c r="AG58" s="672"/>
      <c r="AH58" s="673"/>
      <c r="AI58" s="676"/>
      <c r="AJ58" s="676"/>
      <c r="AK58" s="672"/>
      <c r="AL58" s="676"/>
      <c r="AM58" s="676" t="s">
        <v>68</v>
      </c>
      <c r="AN58" s="676"/>
      <c r="AO58" s="676" t="s">
        <v>68</v>
      </c>
      <c r="AP58" s="676"/>
      <c r="AQ58" s="676" t="s">
        <v>68</v>
      </c>
      <c r="AR58" s="676"/>
      <c r="AS58" s="391">
        <f>COUNTIF(C58:AR58,"&gt;=R")</f>
        <v>13</v>
      </c>
      <c r="AT58" s="392">
        <f>AS58</f>
        <v>13</v>
      </c>
    </row>
    <row r="59" ht="45.0" customHeight="1">
      <c r="A59" s="912" t="s">
        <v>183</v>
      </c>
      <c r="B59" s="396" t="s">
        <v>184</v>
      </c>
      <c r="C59" s="397"/>
      <c r="D59" s="398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  <c r="AA59" s="399"/>
      <c r="AB59" s="399"/>
      <c r="AC59" s="399"/>
      <c r="AD59" s="399"/>
      <c r="AE59" s="399"/>
      <c r="AF59" s="399"/>
      <c r="AG59" s="399"/>
      <c r="AH59" s="399"/>
      <c r="AI59" s="400"/>
      <c r="AJ59" s="400"/>
      <c r="AK59" s="400"/>
      <c r="AL59" s="400"/>
      <c r="AM59" s="400"/>
      <c r="AN59" s="400"/>
      <c r="AO59" s="400"/>
      <c r="AP59" s="400"/>
      <c r="AQ59" s="400"/>
      <c r="AR59" s="400"/>
      <c r="AS59" s="400"/>
      <c r="AT59" s="913"/>
      <c r="AU59" s="250"/>
      <c r="AV59" s="350"/>
    </row>
    <row r="60" ht="45.0" customHeight="1">
      <c r="A60" s="911" t="s">
        <v>185</v>
      </c>
      <c r="B60" s="386" t="s">
        <v>186</v>
      </c>
      <c r="C60" s="387" t="s">
        <v>93</v>
      </c>
      <c r="D60" s="388"/>
      <c r="E60" s="389" t="s">
        <v>93</v>
      </c>
      <c r="F60" s="389"/>
      <c r="G60" s="389" t="s">
        <v>93</v>
      </c>
      <c r="H60" s="389"/>
      <c r="I60" s="389" t="s">
        <v>93</v>
      </c>
      <c r="J60" s="389"/>
      <c r="K60" s="389" t="s">
        <v>93</v>
      </c>
      <c r="L60" s="389"/>
      <c r="M60" s="389"/>
      <c r="N60" s="389"/>
      <c r="O60" s="389"/>
      <c r="P60" s="389"/>
      <c r="Q60" s="389"/>
      <c r="R60" s="389"/>
      <c r="S60" s="389"/>
      <c r="T60" s="389"/>
      <c r="U60" s="389" t="s">
        <v>93</v>
      </c>
      <c r="V60" s="389"/>
      <c r="W60" s="389" t="s">
        <v>93</v>
      </c>
      <c r="X60" s="389"/>
      <c r="Y60" s="389" t="s">
        <v>93</v>
      </c>
      <c r="Z60" s="389"/>
      <c r="AA60" s="389" t="s">
        <v>93</v>
      </c>
      <c r="AB60" s="389"/>
      <c r="AC60" s="389" t="s">
        <v>93</v>
      </c>
      <c r="AD60" s="389"/>
      <c r="AE60" s="389" t="s">
        <v>85</v>
      </c>
      <c r="AF60" s="389"/>
      <c r="AG60" s="389" t="s">
        <v>85</v>
      </c>
      <c r="AH60" s="389"/>
      <c r="AI60" s="394" t="s">
        <v>93</v>
      </c>
      <c r="AJ60" s="394"/>
      <c r="AK60" s="394" t="s">
        <v>93</v>
      </c>
      <c r="AL60" s="394"/>
      <c r="AM60" s="394" t="s">
        <v>85</v>
      </c>
      <c r="AN60" s="394"/>
      <c r="AO60" s="394" t="s">
        <v>85</v>
      </c>
      <c r="AP60" s="394"/>
      <c r="AQ60" s="394" t="s">
        <v>85</v>
      </c>
      <c r="AR60" s="394"/>
      <c r="AS60" s="391">
        <f t="shared" ref="AS60:AS63" si="15">COUNTIF(C60:AR60,"&gt;=R")</f>
        <v>17</v>
      </c>
      <c r="AT60" s="392">
        <f t="shared" ref="AT60:AT63" si="16">AS60</f>
        <v>17</v>
      </c>
      <c r="AU60" s="250"/>
      <c r="AV60" s="350"/>
    </row>
    <row r="61" ht="45.0" customHeight="1">
      <c r="A61" s="911" t="s">
        <v>187</v>
      </c>
      <c r="B61" s="386" t="s">
        <v>188</v>
      </c>
      <c r="C61" s="387"/>
      <c r="D61" s="388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94"/>
      <c r="AJ61" s="394"/>
      <c r="AK61" s="394"/>
      <c r="AL61" s="394"/>
      <c r="AM61" s="394"/>
      <c r="AN61" s="394"/>
      <c r="AO61" s="394"/>
      <c r="AP61" s="394"/>
      <c r="AQ61" s="394"/>
      <c r="AR61" s="394"/>
      <c r="AS61" s="391">
        <f t="shared" si="15"/>
        <v>0</v>
      </c>
      <c r="AT61" s="392">
        <f t="shared" si="16"/>
        <v>0</v>
      </c>
      <c r="AU61" s="250"/>
      <c r="AV61" s="350"/>
    </row>
    <row r="62" ht="45.0" customHeight="1">
      <c r="A62" s="911" t="s">
        <v>189</v>
      </c>
      <c r="B62" s="386" t="s">
        <v>190</v>
      </c>
      <c r="C62" s="388" t="s">
        <v>84</v>
      </c>
      <c r="D62" s="388"/>
      <c r="E62" s="389" t="s">
        <v>84</v>
      </c>
      <c r="F62" s="389"/>
      <c r="G62" s="389" t="s">
        <v>84</v>
      </c>
      <c r="H62" s="389"/>
      <c r="I62" s="389" t="s">
        <v>84</v>
      </c>
      <c r="J62" s="389"/>
      <c r="K62" s="389" t="s">
        <v>84</v>
      </c>
      <c r="L62" s="389"/>
      <c r="M62" s="389" t="s">
        <v>92</v>
      </c>
      <c r="N62" s="389"/>
      <c r="O62" s="389" t="s">
        <v>92</v>
      </c>
      <c r="P62" s="389"/>
      <c r="Q62" s="389" t="s">
        <v>68</v>
      </c>
      <c r="R62" s="389"/>
      <c r="S62" s="389" t="s">
        <v>92</v>
      </c>
      <c r="T62" s="389"/>
      <c r="U62" s="389" t="s">
        <v>92</v>
      </c>
      <c r="V62" s="389"/>
      <c r="W62" s="417" t="s">
        <v>8</v>
      </c>
      <c r="X62" s="389"/>
      <c r="Y62" s="417" t="s">
        <v>8</v>
      </c>
      <c r="Z62" s="389"/>
      <c r="AA62" s="417" t="s">
        <v>8</v>
      </c>
      <c r="AB62" s="389"/>
      <c r="AC62" s="417" t="s">
        <v>8</v>
      </c>
      <c r="AD62" s="389"/>
      <c r="AE62" s="389" t="s">
        <v>77</v>
      </c>
      <c r="AF62" s="389"/>
      <c r="AG62" s="389" t="s">
        <v>77</v>
      </c>
      <c r="AH62" s="389"/>
      <c r="AI62" s="389"/>
      <c r="AJ62" s="394"/>
      <c r="AK62" s="389" t="s">
        <v>77</v>
      </c>
      <c r="AL62" s="394"/>
      <c r="AM62" s="389" t="s">
        <v>18</v>
      </c>
      <c r="AN62" s="394"/>
      <c r="AO62" s="394" t="s">
        <v>18</v>
      </c>
      <c r="AP62" s="394"/>
      <c r="AQ62" s="394" t="s">
        <v>18</v>
      </c>
      <c r="AR62" s="394"/>
      <c r="AS62" s="391">
        <f t="shared" si="15"/>
        <v>20</v>
      </c>
      <c r="AT62" s="392">
        <f t="shared" si="16"/>
        <v>20</v>
      </c>
    </row>
    <row r="63" ht="45.0" customHeight="1">
      <c r="A63" s="911" t="s">
        <v>191</v>
      </c>
      <c r="B63" s="386" t="s">
        <v>192</v>
      </c>
      <c r="C63" s="388"/>
      <c r="D63" s="388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94"/>
      <c r="X63" s="389"/>
      <c r="Y63" s="394"/>
      <c r="Z63" s="389"/>
      <c r="AA63" s="389"/>
      <c r="AB63" s="389"/>
      <c r="AC63" s="389"/>
      <c r="AD63" s="389"/>
      <c r="AE63" s="394"/>
      <c r="AF63" s="389"/>
      <c r="AG63" s="389"/>
      <c r="AH63" s="389"/>
      <c r="AI63" s="389"/>
      <c r="AJ63" s="394"/>
      <c r="AK63" s="389"/>
      <c r="AL63" s="394"/>
      <c r="AM63" s="389"/>
      <c r="AN63" s="394"/>
      <c r="AO63" s="394"/>
      <c r="AP63" s="394"/>
      <c r="AQ63" s="394" t="s">
        <v>18</v>
      </c>
      <c r="AR63" s="394"/>
      <c r="AS63" s="391">
        <f t="shared" si="15"/>
        <v>1</v>
      </c>
      <c r="AT63" s="392">
        <f t="shared" si="16"/>
        <v>1</v>
      </c>
      <c r="AU63" s="250"/>
      <c r="AV63" s="350"/>
    </row>
    <row r="64" ht="45.0" customHeight="1">
      <c r="A64" s="912" t="s">
        <v>193</v>
      </c>
      <c r="B64" s="396" t="s">
        <v>194</v>
      </c>
      <c r="C64" s="397"/>
      <c r="D64" s="398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  <c r="AA64" s="399"/>
      <c r="AB64" s="399"/>
      <c r="AC64" s="399"/>
      <c r="AD64" s="399"/>
      <c r="AE64" s="399"/>
      <c r="AF64" s="399"/>
      <c r="AG64" s="399"/>
      <c r="AH64" s="399"/>
      <c r="AI64" s="400"/>
      <c r="AJ64" s="400"/>
      <c r="AK64" s="400"/>
      <c r="AL64" s="400"/>
      <c r="AM64" s="400"/>
      <c r="AN64" s="400"/>
      <c r="AO64" s="400"/>
      <c r="AP64" s="400"/>
      <c r="AQ64" s="400"/>
      <c r="AR64" s="400"/>
      <c r="AS64" s="400"/>
      <c r="AT64" s="913"/>
      <c r="AU64" s="250"/>
      <c r="AV64" s="350"/>
    </row>
    <row r="65" ht="45.0" customHeight="1">
      <c r="A65" s="920" t="s">
        <v>195</v>
      </c>
      <c r="B65" s="415" t="s">
        <v>196</v>
      </c>
      <c r="C65" s="387"/>
      <c r="D65" s="388"/>
      <c r="E65" s="389"/>
      <c r="F65" s="389"/>
      <c r="G65" s="394"/>
      <c r="H65" s="389"/>
      <c r="I65" s="394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94"/>
      <c r="X65" s="389"/>
      <c r="Y65" s="394"/>
      <c r="Z65" s="389"/>
      <c r="AA65" s="394"/>
      <c r="AB65" s="389"/>
      <c r="AC65" s="394"/>
      <c r="AD65" s="389"/>
      <c r="AE65" s="394"/>
      <c r="AF65" s="389"/>
      <c r="AG65" s="389"/>
      <c r="AH65" s="389"/>
      <c r="AI65" s="389"/>
      <c r="AJ65" s="394"/>
      <c r="AK65" s="389"/>
      <c r="AL65" s="394"/>
      <c r="AM65" s="389"/>
      <c r="AN65" s="394"/>
      <c r="AO65" s="389"/>
      <c r="AP65" s="389"/>
      <c r="AQ65" s="389"/>
      <c r="AR65" s="394"/>
      <c r="AS65" s="391"/>
      <c r="AT65" s="392"/>
    </row>
    <row r="66" ht="45.0" customHeight="1">
      <c r="A66" s="919" t="s">
        <v>197</v>
      </c>
      <c r="B66" s="412" t="s">
        <v>139</v>
      </c>
      <c r="C66" s="387" t="s">
        <v>76</v>
      </c>
      <c r="D66" s="388"/>
      <c r="E66" s="389" t="s">
        <v>76</v>
      </c>
      <c r="F66" s="389"/>
      <c r="G66" s="389" t="s">
        <v>76</v>
      </c>
      <c r="H66" s="389"/>
      <c r="I66" s="389" t="s">
        <v>76</v>
      </c>
      <c r="J66" s="389"/>
      <c r="K66" s="389" t="s">
        <v>84</v>
      </c>
      <c r="L66" s="389"/>
      <c r="M66" s="389" t="s">
        <v>84</v>
      </c>
      <c r="N66" s="389"/>
      <c r="O66" s="389" t="s">
        <v>84</v>
      </c>
      <c r="P66" s="389"/>
      <c r="Q66" s="389" t="s">
        <v>92</v>
      </c>
      <c r="R66" s="389"/>
      <c r="S66" s="389" t="s">
        <v>92</v>
      </c>
      <c r="T66" s="389"/>
      <c r="U66" s="389" t="s">
        <v>92</v>
      </c>
      <c r="V66" s="389"/>
      <c r="W66" s="389" t="s">
        <v>92</v>
      </c>
      <c r="X66" s="389"/>
      <c r="Y66" s="389" t="s">
        <v>92</v>
      </c>
      <c r="Z66" s="389"/>
      <c r="AA66" s="389" t="s">
        <v>92</v>
      </c>
      <c r="AB66" s="389"/>
      <c r="AC66" s="389" t="s">
        <v>92</v>
      </c>
      <c r="AD66" s="389"/>
      <c r="AE66" s="389" t="s">
        <v>93</v>
      </c>
      <c r="AF66" s="389"/>
      <c r="AG66" s="389" t="s">
        <v>93</v>
      </c>
      <c r="AH66" s="389"/>
      <c r="AI66" s="394"/>
      <c r="AJ66" s="394"/>
      <c r="AK66" s="394" t="s">
        <v>93</v>
      </c>
      <c r="AL66" s="394"/>
      <c r="AM66" s="394" t="s">
        <v>92</v>
      </c>
      <c r="AN66" s="394"/>
      <c r="AO66" s="394" t="s">
        <v>92</v>
      </c>
      <c r="AP66" s="394"/>
      <c r="AQ66" s="416" t="s">
        <v>8</v>
      </c>
      <c r="AR66" s="394"/>
      <c r="AS66" s="391">
        <f>COUNTIF(C66:AR66,"&gt;=R")</f>
        <v>20</v>
      </c>
      <c r="AT66" s="392">
        <f>AS66</f>
        <v>20</v>
      </c>
      <c r="AU66" s="250"/>
      <c r="AV66" s="350"/>
    </row>
    <row r="67" ht="45.0" customHeight="1">
      <c r="A67" s="920" t="s">
        <v>198</v>
      </c>
      <c r="B67" s="415" t="s">
        <v>199</v>
      </c>
      <c r="C67" s="387"/>
      <c r="D67" s="388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94"/>
      <c r="AJ67" s="394"/>
      <c r="AK67" s="394"/>
      <c r="AL67" s="394"/>
      <c r="AM67" s="394"/>
      <c r="AN67" s="394"/>
      <c r="AO67" s="394"/>
      <c r="AP67" s="394"/>
      <c r="AQ67" s="394"/>
      <c r="AR67" s="394"/>
      <c r="AS67" s="391"/>
      <c r="AT67" s="392"/>
      <c r="AU67" s="250"/>
      <c r="AV67" s="350"/>
    </row>
    <row r="68" ht="45.0" customHeight="1">
      <c r="A68" s="919" t="s">
        <v>200</v>
      </c>
      <c r="B68" s="412" t="s">
        <v>176</v>
      </c>
      <c r="C68" s="387" t="s">
        <v>68</v>
      </c>
      <c r="D68" s="388"/>
      <c r="E68" s="387" t="s">
        <v>68</v>
      </c>
      <c r="F68" s="389"/>
      <c r="G68" s="394" t="s">
        <v>68</v>
      </c>
      <c r="H68" s="389"/>
      <c r="I68" s="389" t="s">
        <v>68</v>
      </c>
      <c r="J68" s="389"/>
      <c r="K68" s="389" t="s">
        <v>68</v>
      </c>
      <c r="L68" s="389"/>
      <c r="M68" s="389"/>
      <c r="N68" s="389"/>
      <c r="O68" s="389"/>
      <c r="P68" s="389"/>
      <c r="Q68" s="389"/>
      <c r="R68" s="389"/>
      <c r="S68" s="389"/>
      <c r="T68" s="389"/>
      <c r="U68" s="394" t="s">
        <v>68</v>
      </c>
      <c r="V68" s="389"/>
      <c r="W68" s="394" t="s">
        <v>68</v>
      </c>
      <c r="X68" s="389"/>
      <c r="Y68" s="394" t="s">
        <v>68</v>
      </c>
      <c r="Z68" s="389"/>
      <c r="AA68" s="394" t="s">
        <v>57</v>
      </c>
      <c r="AB68" s="389"/>
      <c r="AC68" s="394" t="s">
        <v>57</v>
      </c>
      <c r="AD68" s="389"/>
      <c r="AE68" s="389" t="s">
        <v>85</v>
      </c>
      <c r="AF68" s="389"/>
      <c r="AG68" s="389" t="s">
        <v>85</v>
      </c>
      <c r="AH68" s="389"/>
      <c r="AI68" s="394"/>
      <c r="AJ68" s="394"/>
      <c r="AK68" s="394" t="s">
        <v>93</v>
      </c>
      <c r="AL68" s="394"/>
      <c r="AM68" s="394" t="s">
        <v>57</v>
      </c>
      <c r="AN68" s="394"/>
      <c r="AO68" s="394" t="s">
        <v>57</v>
      </c>
      <c r="AP68" s="394"/>
      <c r="AQ68" s="394" t="s">
        <v>57</v>
      </c>
      <c r="AR68" s="394"/>
      <c r="AS68" s="391">
        <f>COUNTIF(C68:AR68,"&gt;=R")</f>
        <v>16</v>
      </c>
      <c r="AT68" s="392">
        <f>AS68</f>
        <v>16</v>
      </c>
    </row>
    <row r="69" ht="45.0" customHeight="1">
      <c r="A69" s="920" t="s">
        <v>201</v>
      </c>
      <c r="B69" s="415" t="s">
        <v>202</v>
      </c>
      <c r="C69" s="387"/>
      <c r="D69" s="388"/>
      <c r="E69" s="389"/>
      <c r="F69" s="389"/>
      <c r="G69" s="394"/>
      <c r="H69" s="389"/>
      <c r="I69" s="394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94"/>
      <c r="AF69" s="389"/>
      <c r="AG69" s="389"/>
      <c r="AH69" s="389"/>
      <c r="AI69" s="389"/>
      <c r="AJ69" s="394"/>
      <c r="AK69" s="389"/>
      <c r="AL69" s="394"/>
      <c r="AM69" s="389"/>
      <c r="AN69" s="394"/>
      <c r="AO69" s="389"/>
      <c r="AP69" s="389"/>
      <c r="AQ69" s="389"/>
      <c r="AR69" s="394"/>
      <c r="AS69" s="391"/>
      <c r="AT69" s="392"/>
    </row>
    <row r="70" ht="45.0" customHeight="1">
      <c r="A70" s="919" t="s">
        <v>203</v>
      </c>
      <c r="B70" s="412" t="s">
        <v>204</v>
      </c>
      <c r="C70" s="387" t="s">
        <v>68</v>
      </c>
      <c r="D70" s="388"/>
      <c r="E70" s="389" t="s">
        <v>68</v>
      </c>
      <c r="F70" s="389"/>
      <c r="G70" s="389" t="s">
        <v>68</v>
      </c>
      <c r="H70" s="389"/>
      <c r="I70" s="389" t="s">
        <v>68</v>
      </c>
      <c r="J70" s="389"/>
      <c r="K70" s="389" t="s">
        <v>68</v>
      </c>
      <c r="L70" s="389"/>
      <c r="M70" s="389"/>
      <c r="N70" s="389"/>
      <c r="O70" s="389"/>
      <c r="P70" s="389"/>
      <c r="Q70" s="394"/>
      <c r="R70" s="389"/>
      <c r="S70" s="394"/>
      <c r="T70" s="389"/>
      <c r="U70" s="394" t="s">
        <v>68</v>
      </c>
      <c r="V70" s="389"/>
      <c r="W70" s="394" t="s">
        <v>68</v>
      </c>
      <c r="X70" s="389"/>
      <c r="Y70" s="394" t="s">
        <v>68</v>
      </c>
      <c r="Z70" s="389"/>
      <c r="AA70" s="394" t="s">
        <v>57</v>
      </c>
      <c r="AB70" s="389"/>
      <c r="AC70" s="394" t="s">
        <v>57</v>
      </c>
      <c r="AD70" s="389"/>
      <c r="AE70" s="394"/>
      <c r="AF70" s="389"/>
      <c r="AG70" s="389"/>
      <c r="AH70" s="389"/>
      <c r="AI70" s="389"/>
      <c r="AJ70" s="394"/>
      <c r="AK70" s="389"/>
      <c r="AL70" s="394"/>
      <c r="AM70" s="394" t="s">
        <v>68</v>
      </c>
      <c r="AN70" s="394"/>
      <c r="AO70" s="389" t="s">
        <v>68</v>
      </c>
      <c r="AP70" s="389"/>
      <c r="AQ70" s="389" t="s">
        <v>57</v>
      </c>
      <c r="AR70" s="394"/>
      <c r="AS70" s="391">
        <f>COUNTIF(C70:AR70,"&gt;=R")</f>
        <v>13</v>
      </c>
      <c r="AT70" s="392">
        <f>AS70</f>
        <v>13</v>
      </c>
    </row>
    <row r="71" ht="45.0" customHeight="1">
      <c r="A71" s="912" t="s">
        <v>205</v>
      </c>
      <c r="B71" s="396" t="s">
        <v>206</v>
      </c>
      <c r="C71" s="397"/>
      <c r="D71" s="398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  <c r="AA71" s="399"/>
      <c r="AB71" s="399"/>
      <c r="AC71" s="399"/>
      <c r="AD71" s="399"/>
      <c r="AE71" s="399"/>
      <c r="AF71" s="399"/>
      <c r="AG71" s="399"/>
      <c r="AH71" s="399"/>
      <c r="AI71" s="400"/>
      <c r="AJ71" s="400"/>
      <c r="AK71" s="400"/>
      <c r="AL71" s="400"/>
      <c r="AM71" s="400"/>
      <c r="AN71" s="400"/>
      <c r="AO71" s="400"/>
      <c r="AP71" s="400"/>
      <c r="AQ71" s="400"/>
      <c r="AR71" s="400"/>
      <c r="AS71" s="400"/>
      <c r="AT71" s="913"/>
      <c r="AU71" s="250"/>
      <c r="AV71" s="350"/>
    </row>
    <row r="72" ht="45.0" customHeight="1">
      <c r="A72" s="911" t="s">
        <v>207</v>
      </c>
      <c r="B72" s="386" t="s">
        <v>208</v>
      </c>
      <c r="C72" s="388" t="s">
        <v>84</v>
      </c>
      <c r="D72" s="388"/>
      <c r="E72" s="389" t="s">
        <v>84</v>
      </c>
      <c r="F72" s="389"/>
      <c r="G72" s="389" t="s">
        <v>84</v>
      </c>
      <c r="H72" s="389"/>
      <c r="I72" s="389" t="s">
        <v>84</v>
      </c>
      <c r="J72" s="389"/>
      <c r="K72" s="389" t="s">
        <v>84</v>
      </c>
      <c r="L72" s="389"/>
      <c r="M72" s="389" t="s">
        <v>92</v>
      </c>
      <c r="N72" s="389"/>
      <c r="O72" s="389" t="s">
        <v>92</v>
      </c>
      <c r="P72" s="389"/>
      <c r="Q72" s="389" t="s">
        <v>68</v>
      </c>
      <c r="R72" s="389"/>
      <c r="S72" s="389" t="s">
        <v>92</v>
      </c>
      <c r="T72" s="389"/>
      <c r="U72" s="389" t="s">
        <v>92</v>
      </c>
      <c r="V72" s="389"/>
      <c r="W72" s="417" t="s">
        <v>8</v>
      </c>
      <c r="X72" s="389"/>
      <c r="Y72" s="417" t="s">
        <v>8</v>
      </c>
      <c r="Z72" s="389"/>
      <c r="AA72" s="417" t="s">
        <v>8</v>
      </c>
      <c r="AB72" s="389"/>
      <c r="AC72" s="417" t="s">
        <v>8</v>
      </c>
      <c r="AD72" s="389"/>
      <c r="AE72" s="389" t="s">
        <v>77</v>
      </c>
      <c r="AF72" s="389"/>
      <c r="AG72" s="389" t="s">
        <v>77</v>
      </c>
      <c r="AH72" s="389"/>
      <c r="AI72" s="394"/>
      <c r="AJ72" s="394"/>
      <c r="AK72" s="394" t="s">
        <v>77</v>
      </c>
      <c r="AL72" s="394"/>
      <c r="AM72" s="389" t="s">
        <v>18</v>
      </c>
      <c r="AN72" s="394"/>
      <c r="AO72" s="394" t="s">
        <v>18</v>
      </c>
      <c r="AP72" s="394"/>
      <c r="AQ72" s="394" t="s">
        <v>18</v>
      </c>
      <c r="AR72" s="394"/>
      <c r="AS72" s="391">
        <f>COUNTIF(C72:AR72,"&gt;=R")</f>
        <v>20</v>
      </c>
      <c r="AT72" s="392">
        <f>AS72</f>
        <v>20</v>
      </c>
    </row>
    <row r="73" ht="45.0" customHeight="1">
      <c r="A73" s="912" t="s">
        <v>209</v>
      </c>
      <c r="B73" s="396" t="s">
        <v>210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400"/>
      <c r="AJ73" s="400"/>
      <c r="AK73" s="400"/>
      <c r="AL73" s="400"/>
      <c r="AM73" s="400"/>
      <c r="AN73" s="400"/>
      <c r="AO73" s="400"/>
      <c r="AP73" s="400"/>
      <c r="AQ73" s="400"/>
      <c r="AR73" s="400"/>
      <c r="AS73" s="400"/>
      <c r="AT73" s="913"/>
    </row>
    <row r="74" ht="45.0" customHeight="1">
      <c r="A74" s="911" t="s">
        <v>211</v>
      </c>
      <c r="B74" s="386" t="s">
        <v>212</v>
      </c>
      <c r="C74" s="387" t="s">
        <v>68</v>
      </c>
      <c r="D74" s="388"/>
      <c r="E74" s="389" t="s">
        <v>68</v>
      </c>
      <c r="F74" s="389"/>
      <c r="G74" s="389" t="s">
        <v>68</v>
      </c>
      <c r="H74" s="389"/>
      <c r="I74" s="389" t="s">
        <v>68</v>
      </c>
      <c r="J74" s="389"/>
      <c r="K74" s="389" t="s">
        <v>68</v>
      </c>
      <c r="L74" s="389"/>
      <c r="M74" s="389"/>
      <c r="N74" s="389"/>
      <c r="O74" s="389"/>
      <c r="P74" s="389"/>
      <c r="Q74" s="389"/>
      <c r="R74" s="389"/>
      <c r="S74" s="389"/>
      <c r="T74" s="389"/>
      <c r="U74" s="389" t="s">
        <v>68</v>
      </c>
      <c r="V74" s="389"/>
      <c r="W74" s="389" t="s">
        <v>68</v>
      </c>
      <c r="X74" s="389"/>
      <c r="Y74" s="389" t="s">
        <v>68</v>
      </c>
      <c r="Z74" s="389"/>
      <c r="AA74" s="389" t="s">
        <v>68</v>
      </c>
      <c r="AB74" s="389"/>
      <c r="AC74" s="389" t="s">
        <v>77</v>
      </c>
      <c r="AD74" s="389"/>
      <c r="AE74" s="389" t="s">
        <v>77</v>
      </c>
      <c r="AF74" s="389"/>
      <c r="AG74" s="389" t="s">
        <v>77</v>
      </c>
      <c r="AH74" s="389"/>
      <c r="AI74" s="394"/>
      <c r="AJ74" s="394"/>
      <c r="AK74" s="394" t="s">
        <v>77</v>
      </c>
      <c r="AL74" s="394"/>
      <c r="AM74" s="394" t="s">
        <v>77</v>
      </c>
      <c r="AN74" s="394"/>
      <c r="AO74" s="394" t="s">
        <v>77</v>
      </c>
      <c r="AP74" s="394"/>
      <c r="AQ74" s="394" t="s">
        <v>77</v>
      </c>
      <c r="AR74" s="394"/>
      <c r="AS74" s="391">
        <f t="shared" ref="AS74:AS75" si="17">COUNTIF(C74:AR74,"&gt;=R")</f>
        <v>16</v>
      </c>
      <c r="AT74" s="392">
        <f t="shared" ref="AT74:AT75" si="18">AS74</f>
        <v>16</v>
      </c>
    </row>
    <row r="75" ht="45.0" customHeight="1">
      <c r="A75" s="911" t="s">
        <v>213</v>
      </c>
      <c r="B75" s="386" t="s">
        <v>214</v>
      </c>
      <c r="C75" s="387" t="s">
        <v>77</v>
      </c>
      <c r="D75" s="388"/>
      <c r="E75" s="394" t="s">
        <v>85</v>
      </c>
      <c r="F75" s="389"/>
      <c r="G75" s="389" t="s">
        <v>77</v>
      </c>
      <c r="H75" s="389"/>
      <c r="I75" s="389" t="s">
        <v>77</v>
      </c>
      <c r="J75" s="389"/>
      <c r="K75" s="389" t="s">
        <v>85</v>
      </c>
      <c r="L75" s="389"/>
      <c r="M75" s="394"/>
      <c r="N75" s="389"/>
      <c r="O75" s="389"/>
      <c r="P75" s="389"/>
      <c r="Q75" s="389"/>
      <c r="R75" s="389"/>
      <c r="S75" s="389" t="s">
        <v>85</v>
      </c>
      <c r="T75" s="389"/>
      <c r="U75" s="389" t="s">
        <v>85</v>
      </c>
      <c r="V75" s="389"/>
      <c r="W75" s="389" t="s">
        <v>93</v>
      </c>
      <c r="X75" s="389"/>
      <c r="Y75" s="389" t="s">
        <v>93</v>
      </c>
      <c r="Z75" s="389"/>
      <c r="AA75" s="389" t="s">
        <v>93</v>
      </c>
      <c r="AB75" s="389"/>
      <c r="AC75" s="389" t="s">
        <v>93</v>
      </c>
      <c r="AD75" s="389"/>
      <c r="AE75" s="389" t="s">
        <v>93</v>
      </c>
      <c r="AF75" s="389"/>
      <c r="AG75" s="389" t="s">
        <v>93</v>
      </c>
      <c r="AH75" s="389"/>
      <c r="AI75" s="389"/>
      <c r="AJ75" s="394"/>
      <c r="AK75" s="389" t="s">
        <v>93</v>
      </c>
      <c r="AL75" s="394"/>
      <c r="AM75" s="389" t="s">
        <v>85</v>
      </c>
      <c r="AN75" s="394"/>
      <c r="AO75" s="394" t="s">
        <v>85</v>
      </c>
      <c r="AP75" s="394"/>
      <c r="AQ75" s="394" t="s">
        <v>85</v>
      </c>
      <c r="AR75" s="394"/>
      <c r="AS75" s="391">
        <f t="shared" si="17"/>
        <v>17</v>
      </c>
      <c r="AT75" s="392">
        <f t="shared" si="18"/>
        <v>17</v>
      </c>
    </row>
    <row r="76" ht="45.0" customHeight="1">
      <c r="A76" s="912" t="s">
        <v>215</v>
      </c>
      <c r="B76" s="396" t="s">
        <v>216</v>
      </c>
      <c r="C76" s="397"/>
      <c r="D76" s="398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400"/>
      <c r="AJ76" s="400"/>
      <c r="AK76" s="400"/>
      <c r="AL76" s="400"/>
      <c r="AM76" s="400"/>
      <c r="AN76" s="400"/>
      <c r="AO76" s="400"/>
      <c r="AP76" s="400"/>
      <c r="AQ76" s="400"/>
      <c r="AR76" s="400"/>
      <c r="AS76" s="400"/>
      <c r="AT76" s="913"/>
      <c r="AU76" s="250"/>
      <c r="AV76" s="350"/>
    </row>
    <row r="77" ht="45.0" customHeight="1">
      <c r="A77" s="911" t="s">
        <v>217</v>
      </c>
      <c r="B77" s="386" t="s">
        <v>218</v>
      </c>
      <c r="C77" s="387" t="s">
        <v>68</v>
      </c>
      <c r="D77" s="388"/>
      <c r="E77" s="387" t="s">
        <v>68</v>
      </c>
      <c r="F77" s="389"/>
      <c r="G77" s="387" t="s">
        <v>68</v>
      </c>
      <c r="H77" s="389"/>
      <c r="I77" s="387" t="s">
        <v>77</v>
      </c>
      <c r="J77" s="389"/>
      <c r="K77" s="389" t="s">
        <v>77</v>
      </c>
      <c r="L77" s="389"/>
      <c r="M77" s="389"/>
      <c r="N77" s="389"/>
      <c r="O77" s="389"/>
      <c r="P77" s="389"/>
      <c r="Q77" s="389"/>
      <c r="R77" s="389"/>
      <c r="S77" s="389"/>
      <c r="T77" s="394"/>
      <c r="U77" s="389" t="s">
        <v>77</v>
      </c>
      <c r="V77" s="394"/>
      <c r="W77" s="389" t="s">
        <v>77</v>
      </c>
      <c r="X77" s="394"/>
      <c r="Y77" s="394" t="s">
        <v>77</v>
      </c>
      <c r="Z77" s="389"/>
      <c r="AA77" s="394" t="s">
        <v>77</v>
      </c>
      <c r="AB77" s="389"/>
      <c r="AC77" s="394" t="s">
        <v>77</v>
      </c>
      <c r="AD77" s="389"/>
      <c r="AE77" s="387"/>
      <c r="AF77" s="389"/>
      <c r="AG77" s="394"/>
      <c r="AH77" s="389"/>
      <c r="AI77" s="387"/>
      <c r="AJ77" s="394"/>
      <c r="AK77" s="387"/>
      <c r="AL77" s="394"/>
      <c r="AM77" s="394" t="s">
        <v>85</v>
      </c>
      <c r="AN77" s="394"/>
      <c r="AO77" s="394" t="s">
        <v>85</v>
      </c>
      <c r="AP77" s="394"/>
      <c r="AQ77" s="394" t="s">
        <v>85</v>
      </c>
      <c r="AR77" s="394"/>
      <c r="AS77" s="391">
        <f>COUNTIF(C77:AR77,"&gt;=R")</f>
        <v>13</v>
      </c>
      <c r="AT77" s="392">
        <f>AS77</f>
        <v>13</v>
      </c>
    </row>
    <row r="78" ht="45.0" customHeight="1">
      <c r="A78" s="912" t="s">
        <v>219</v>
      </c>
      <c r="B78" s="396" t="s">
        <v>220</v>
      </c>
      <c r="C78" s="397"/>
      <c r="D78" s="398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400"/>
      <c r="AJ78" s="400"/>
      <c r="AK78" s="400"/>
      <c r="AL78" s="400"/>
      <c r="AM78" s="400"/>
      <c r="AN78" s="400"/>
      <c r="AO78" s="400"/>
      <c r="AP78" s="400"/>
      <c r="AQ78" s="400"/>
      <c r="AR78" s="400"/>
      <c r="AS78" s="400"/>
      <c r="AT78" s="913"/>
      <c r="AU78" s="250"/>
      <c r="AV78" s="350"/>
    </row>
    <row r="79" ht="45.0" customHeight="1">
      <c r="A79" s="911" t="s">
        <v>221</v>
      </c>
      <c r="B79" s="386" t="s">
        <v>222</v>
      </c>
      <c r="C79" s="388" t="s">
        <v>76</v>
      </c>
      <c r="D79" s="388"/>
      <c r="E79" s="389" t="s">
        <v>56</v>
      </c>
      <c r="F79" s="389"/>
      <c r="G79" s="389" t="s">
        <v>56</v>
      </c>
      <c r="H79" s="389"/>
      <c r="I79" s="389" t="s">
        <v>76</v>
      </c>
      <c r="J79" s="389"/>
      <c r="K79" s="389" t="s">
        <v>76</v>
      </c>
      <c r="L79" s="389"/>
      <c r="M79" s="389" t="s">
        <v>84</v>
      </c>
      <c r="N79" s="389"/>
      <c r="O79" s="389" t="s">
        <v>84</v>
      </c>
      <c r="P79" s="389"/>
      <c r="Q79" s="389" t="s">
        <v>84</v>
      </c>
      <c r="R79" s="389"/>
      <c r="S79" s="389" t="s">
        <v>76</v>
      </c>
      <c r="T79" s="389"/>
      <c r="U79" s="389" t="s">
        <v>76</v>
      </c>
      <c r="V79" s="389"/>
      <c r="W79" s="417" t="s">
        <v>8</v>
      </c>
      <c r="X79" s="389"/>
      <c r="Y79" s="417" t="s">
        <v>8</v>
      </c>
      <c r="Z79" s="389"/>
      <c r="AA79" s="394" t="s">
        <v>84</v>
      </c>
      <c r="AB79" s="389"/>
      <c r="AC79" s="389" t="s">
        <v>84</v>
      </c>
      <c r="AD79" s="389"/>
      <c r="AE79" s="389" t="s">
        <v>18</v>
      </c>
      <c r="AF79" s="389"/>
      <c r="AG79" s="389" t="s">
        <v>18</v>
      </c>
      <c r="AH79" s="389"/>
      <c r="AI79" s="394"/>
      <c r="AJ79" s="394"/>
      <c r="AK79" s="389" t="s">
        <v>28</v>
      </c>
      <c r="AL79" s="394"/>
      <c r="AM79" s="394" t="s">
        <v>47</v>
      </c>
      <c r="AN79" s="394"/>
      <c r="AO79" s="394" t="s">
        <v>47</v>
      </c>
      <c r="AP79" s="394"/>
      <c r="AQ79" s="394" t="s">
        <v>76</v>
      </c>
      <c r="AR79" s="394"/>
      <c r="AS79" s="391">
        <f t="shared" ref="AS79:AS85" si="19">COUNTIF(C79:AR79,"&gt;=R")</f>
        <v>20</v>
      </c>
      <c r="AT79" s="392">
        <f t="shared" ref="AT79:AT85" si="20">AS79</f>
        <v>20</v>
      </c>
    </row>
    <row r="80" ht="45.0" customHeight="1">
      <c r="A80" s="917" t="s">
        <v>223</v>
      </c>
      <c r="B80" s="408" t="s">
        <v>224</v>
      </c>
      <c r="C80" s="387"/>
      <c r="D80" s="388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94"/>
      <c r="AK80" s="394"/>
      <c r="AL80" s="394"/>
      <c r="AM80" s="394"/>
      <c r="AN80" s="394"/>
      <c r="AO80" s="394"/>
      <c r="AP80" s="394"/>
      <c r="AQ80" s="394"/>
      <c r="AR80" s="394"/>
      <c r="AS80" s="391">
        <f t="shared" si="19"/>
        <v>0</v>
      </c>
      <c r="AT80" s="392">
        <f t="shared" si="20"/>
        <v>0</v>
      </c>
    </row>
    <row r="81" ht="45.0" customHeight="1">
      <c r="A81" s="911" t="s">
        <v>225</v>
      </c>
      <c r="B81" s="386" t="s">
        <v>226</v>
      </c>
      <c r="C81" s="387" t="s">
        <v>76</v>
      </c>
      <c r="D81" s="388"/>
      <c r="E81" s="389" t="s">
        <v>56</v>
      </c>
      <c r="F81" s="389"/>
      <c r="G81" s="389" t="s">
        <v>56</v>
      </c>
      <c r="H81" s="389"/>
      <c r="I81" s="389" t="s">
        <v>76</v>
      </c>
      <c r="J81" s="389"/>
      <c r="K81" s="389" t="s">
        <v>76</v>
      </c>
      <c r="L81" s="389"/>
      <c r="M81" s="389" t="s">
        <v>84</v>
      </c>
      <c r="N81" s="389"/>
      <c r="O81" s="389" t="s">
        <v>84</v>
      </c>
      <c r="P81" s="389"/>
      <c r="Q81" s="389" t="s">
        <v>84</v>
      </c>
      <c r="R81" s="389"/>
      <c r="S81" s="389" t="s">
        <v>76</v>
      </c>
      <c r="T81" s="389"/>
      <c r="U81" s="389" t="s">
        <v>76</v>
      </c>
      <c r="V81" s="389"/>
      <c r="W81" s="417" t="s">
        <v>8</v>
      </c>
      <c r="X81" s="389"/>
      <c r="Y81" s="417" t="s">
        <v>8</v>
      </c>
      <c r="Z81" s="389"/>
      <c r="AA81" s="389" t="s">
        <v>84</v>
      </c>
      <c r="AB81" s="389"/>
      <c r="AC81" s="389" t="s">
        <v>84</v>
      </c>
      <c r="AD81" s="389"/>
      <c r="AE81" s="389" t="s">
        <v>18</v>
      </c>
      <c r="AF81" s="389"/>
      <c r="AG81" s="389" t="s">
        <v>18</v>
      </c>
      <c r="AH81" s="389"/>
      <c r="AI81" s="389"/>
      <c r="AJ81" s="394"/>
      <c r="AK81" s="389" t="s">
        <v>28</v>
      </c>
      <c r="AL81" s="394"/>
      <c r="AM81" s="394" t="s">
        <v>47</v>
      </c>
      <c r="AN81" s="394"/>
      <c r="AO81" s="394" t="s">
        <v>47</v>
      </c>
      <c r="AP81" s="394"/>
      <c r="AQ81" s="394" t="s">
        <v>37</v>
      </c>
      <c r="AR81" s="394"/>
      <c r="AS81" s="391">
        <f t="shared" si="19"/>
        <v>20</v>
      </c>
      <c r="AT81" s="392">
        <f t="shared" si="20"/>
        <v>20</v>
      </c>
    </row>
    <row r="82" ht="45.0" customHeight="1">
      <c r="A82" s="911" t="s">
        <v>227</v>
      </c>
      <c r="B82" s="386" t="s">
        <v>228</v>
      </c>
      <c r="C82" s="387"/>
      <c r="D82" s="388"/>
      <c r="E82" s="387"/>
      <c r="F82" s="389"/>
      <c r="G82" s="387"/>
      <c r="H82" s="389"/>
      <c r="I82" s="387"/>
      <c r="J82" s="389"/>
      <c r="K82" s="387"/>
      <c r="L82" s="389"/>
      <c r="M82" s="387"/>
      <c r="N82" s="389"/>
      <c r="O82" s="387"/>
      <c r="P82" s="389"/>
      <c r="Q82" s="387"/>
      <c r="R82" s="389"/>
      <c r="S82" s="387"/>
      <c r="T82" s="389"/>
      <c r="U82" s="387"/>
      <c r="V82" s="389"/>
      <c r="W82" s="387"/>
      <c r="X82" s="389"/>
      <c r="Y82" s="387"/>
      <c r="Z82" s="389"/>
      <c r="AA82" s="387"/>
      <c r="AB82" s="389"/>
      <c r="AC82" s="387"/>
      <c r="AD82" s="389"/>
      <c r="AE82" s="387"/>
      <c r="AF82" s="389"/>
      <c r="AG82" s="387"/>
      <c r="AH82" s="389"/>
      <c r="AI82" s="387"/>
      <c r="AJ82" s="394"/>
      <c r="AK82" s="387"/>
      <c r="AL82" s="394"/>
      <c r="AM82" s="394"/>
      <c r="AN82" s="394"/>
      <c r="AO82" s="394"/>
      <c r="AP82" s="394"/>
      <c r="AQ82" s="394"/>
      <c r="AR82" s="394"/>
      <c r="AS82" s="391">
        <f t="shared" si="19"/>
        <v>0</v>
      </c>
      <c r="AT82" s="392">
        <f t="shared" si="20"/>
        <v>0</v>
      </c>
      <c r="AU82" s="250"/>
      <c r="AV82" s="350"/>
    </row>
    <row r="83" ht="45.0" customHeight="1">
      <c r="A83" s="911" t="s">
        <v>229</v>
      </c>
      <c r="B83" s="386" t="s">
        <v>230</v>
      </c>
      <c r="C83" s="387"/>
      <c r="D83" s="388"/>
      <c r="E83" s="387"/>
      <c r="F83" s="389"/>
      <c r="G83" s="387"/>
      <c r="H83" s="389"/>
      <c r="I83" s="387"/>
      <c r="J83" s="389"/>
      <c r="K83" s="387"/>
      <c r="L83" s="389"/>
      <c r="M83" s="387"/>
      <c r="N83" s="389"/>
      <c r="O83" s="387"/>
      <c r="P83" s="389"/>
      <c r="Q83" s="387"/>
      <c r="R83" s="389"/>
      <c r="S83" s="387"/>
      <c r="T83" s="389"/>
      <c r="U83" s="387"/>
      <c r="V83" s="389"/>
      <c r="W83" s="387"/>
      <c r="X83" s="389"/>
      <c r="Y83" s="387"/>
      <c r="Z83" s="389"/>
      <c r="AA83" s="387"/>
      <c r="AB83" s="389"/>
      <c r="AC83" s="387"/>
      <c r="AD83" s="389"/>
      <c r="AE83" s="387"/>
      <c r="AF83" s="389"/>
      <c r="AG83" s="387"/>
      <c r="AH83" s="389"/>
      <c r="AI83" s="387"/>
      <c r="AJ83" s="394"/>
      <c r="AK83" s="387"/>
      <c r="AL83" s="394"/>
      <c r="AM83" s="394"/>
      <c r="AN83" s="394"/>
      <c r="AO83" s="394"/>
      <c r="AP83" s="389"/>
      <c r="AQ83" s="389"/>
      <c r="AR83" s="394"/>
      <c r="AS83" s="391">
        <f t="shared" si="19"/>
        <v>0</v>
      </c>
      <c r="AT83" s="392">
        <f t="shared" si="20"/>
        <v>0</v>
      </c>
    </row>
    <row r="84" ht="45.0" customHeight="1">
      <c r="A84" s="911" t="s">
        <v>231</v>
      </c>
      <c r="B84" s="386" t="s">
        <v>232</v>
      </c>
      <c r="C84" s="387" t="s">
        <v>76</v>
      </c>
      <c r="D84" s="387"/>
      <c r="E84" s="394" t="s">
        <v>56</v>
      </c>
      <c r="F84" s="389"/>
      <c r="G84" s="389" t="s">
        <v>56</v>
      </c>
      <c r="H84" s="389"/>
      <c r="I84" s="389" t="s">
        <v>76</v>
      </c>
      <c r="J84" s="389"/>
      <c r="K84" s="389" t="s">
        <v>76</v>
      </c>
      <c r="L84" s="389"/>
      <c r="M84" s="389" t="s">
        <v>84</v>
      </c>
      <c r="N84" s="389"/>
      <c r="O84" s="389" t="s">
        <v>84</v>
      </c>
      <c r="P84" s="389"/>
      <c r="Q84" s="389" t="s">
        <v>84</v>
      </c>
      <c r="R84" s="389"/>
      <c r="S84" s="389" t="s">
        <v>76</v>
      </c>
      <c r="T84" s="389"/>
      <c r="U84" s="389" t="s">
        <v>76</v>
      </c>
      <c r="V84" s="389"/>
      <c r="W84" s="417" t="s">
        <v>8</v>
      </c>
      <c r="X84" s="389"/>
      <c r="Y84" s="417" t="s">
        <v>8</v>
      </c>
      <c r="Z84" s="389"/>
      <c r="AA84" s="389" t="s">
        <v>84</v>
      </c>
      <c r="AB84" s="389"/>
      <c r="AC84" s="389" t="s">
        <v>84</v>
      </c>
      <c r="AD84" s="389"/>
      <c r="AE84" s="389" t="s">
        <v>18</v>
      </c>
      <c r="AF84" s="389"/>
      <c r="AG84" s="389" t="s">
        <v>18</v>
      </c>
      <c r="AH84" s="389"/>
      <c r="AI84" s="389"/>
      <c r="AJ84" s="394"/>
      <c r="AK84" s="389" t="s">
        <v>28</v>
      </c>
      <c r="AL84" s="394"/>
      <c r="AM84" s="394" t="s">
        <v>47</v>
      </c>
      <c r="AN84" s="394"/>
      <c r="AO84" s="394" t="s">
        <v>47</v>
      </c>
      <c r="AP84" s="394"/>
      <c r="AQ84" s="394" t="s">
        <v>37</v>
      </c>
      <c r="AR84" s="394"/>
      <c r="AS84" s="391">
        <f t="shared" si="19"/>
        <v>20</v>
      </c>
      <c r="AT84" s="392">
        <f t="shared" si="20"/>
        <v>20</v>
      </c>
      <c r="AU84" s="250"/>
      <c r="AV84" s="350"/>
    </row>
    <row r="85" ht="45.0" customHeight="1">
      <c r="A85" s="404" t="s">
        <v>233</v>
      </c>
      <c r="B85" s="794" t="s">
        <v>234</v>
      </c>
      <c r="C85" s="672" t="s">
        <v>76</v>
      </c>
      <c r="D85" s="671"/>
      <c r="E85" s="673" t="s">
        <v>56</v>
      </c>
      <c r="F85" s="673"/>
      <c r="G85" s="673" t="s">
        <v>56</v>
      </c>
      <c r="H85" s="673"/>
      <c r="I85" s="673" t="s">
        <v>76</v>
      </c>
      <c r="J85" s="673"/>
      <c r="K85" s="921" t="s">
        <v>84</v>
      </c>
      <c r="L85" s="673"/>
      <c r="M85" s="673" t="s">
        <v>84</v>
      </c>
      <c r="N85" s="673"/>
      <c r="O85" s="673" t="s">
        <v>84</v>
      </c>
      <c r="P85" s="673"/>
      <c r="Q85" s="673" t="s">
        <v>84</v>
      </c>
      <c r="R85" s="673"/>
      <c r="S85" s="921" t="s">
        <v>84</v>
      </c>
      <c r="T85" s="673"/>
      <c r="U85" s="921" t="s">
        <v>84</v>
      </c>
      <c r="V85" s="673"/>
      <c r="W85" s="673" t="s">
        <v>68</v>
      </c>
      <c r="X85" s="673"/>
      <c r="Y85" s="673" t="s">
        <v>68</v>
      </c>
      <c r="Z85" s="673"/>
      <c r="AA85" s="673" t="s">
        <v>84</v>
      </c>
      <c r="AB85" s="673"/>
      <c r="AC85" s="673" t="s">
        <v>84</v>
      </c>
      <c r="AD85" s="673"/>
      <c r="AE85" s="673" t="s">
        <v>68</v>
      </c>
      <c r="AF85" s="673"/>
      <c r="AG85" s="673" t="s">
        <v>68</v>
      </c>
      <c r="AH85" s="673"/>
      <c r="AI85" s="673"/>
      <c r="AJ85" s="676"/>
      <c r="AK85" s="673" t="s">
        <v>28</v>
      </c>
      <c r="AL85" s="676"/>
      <c r="AM85" s="676" t="s">
        <v>47</v>
      </c>
      <c r="AN85" s="676"/>
      <c r="AO85" s="676" t="s">
        <v>47</v>
      </c>
      <c r="AP85" s="676"/>
      <c r="AQ85" s="676" t="s">
        <v>37</v>
      </c>
      <c r="AR85" s="676"/>
      <c r="AS85" s="391">
        <f t="shared" si="19"/>
        <v>20</v>
      </c>
      <c r="AT85" s="392">
        <f t="shared" si="20"/>
        <v>20</v>
      </c>
    </row>
    <row r="86" ht="45.0" customHeight="1">
      <c r="A86" s="912" t="s">
        <v>235</v>
      </c>
      <c r="B86" s="396" t="s">
        <v>236</v>
      </c>
      <c r="C86" s="397"/>
      <c r="D86" s="398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400"/>
      <c r="AJ86" s="400"/>
      <c r="AK86" s="400"/>
      <c r="AL86" s="400"/>
      <c r="AM86" s="400"/>
      <c r="AN86" s="400"/>
      <c r="AO86" s="400"/>
      <c r="AP86" s="400"/>
      <c r="AQ86" s="400"/>
      <c r="AR86" s="400"/>
      <c r="AS86" s="400"/>
      <c r="AT86" s="913"/>
    </row>
    <row r="87" ht="45.0" customHeight="1">
      <c r="A87" s="920" t="s">
        <v>237</v>
      </c>
      <c r="B87" s="415" t="s">
        <v>238</v>
      </c>
      <c r="C87" s="387"/>
      <c r="D87" s="387"/>
      <c r="E87" s="394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94"/>
      <c r="AJ87" s="394"/>
      <c r="AK87" s="394"/>
      <c r="AL87" s="394"/>
      <c r="AM87" s="394"/>
      <c r="AN87" s="394"/>
      <c r="AO87" s="394"/>
      <c r="AP87" s="394"/>
      <c r="AQ87" s="394"/>
      <c r="AR87" s="394"/>
      <c r="AS87" s="391"/>
      <c r="AT87" s="392"/>
    </row>
    <row r="88" ht="45.0" customHeight="1">
      <c r="A88" s="911" t="s">
        <v>239</v>
      </c>
      <c r="B88" s="386" t="s">
        <v>139</v>
      </c>
      <c r="C88" s="388" t="s">
        <v>77</v>
      </c>
      <c r="D88" s="387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7"/>
      <c r="Z88" s="389"/>
      <c r="AA88" s="387"/>
      <c r="AB88" s="389"/>
      <c r="AC88" s="387"/>
      <c r="AD88" s="389"/>
      <c r="AE88" s="387"/>
      <c r="AF88" s="389"/>
      <c r="AG88" s="387"/>
      <c r="AH88" s="389"/>
      <c r="AI88" s="387"/>
      <c r="AJ88" s="394"/>
      <c r="AK88" s="387"/>
      <c r="AL88" s="394"/>
      <c r="AM88" s="387"/>
      <c r="AN88" s="394"/>
      <c r="AO88" s="389"/>
      <c r="AP88" s="389"/>
      <c r="AQ88" s="389"/>
      <c r="AR88" s="394"/>
      <c r="AS88" s="391">
        <f>COUNTIF(C88:AR88,"&gt;=R")</f>
        <v>1</v>
      </c>
      <c r="AT88" s="392">
        <f>AS88</f>
        <v>1</v>
      </c>
      <c r="AU88" s="250"/>
      <c r="AV88" s="350"/>
    </row>
    <row r="89" ht="45.0" customHeight="1">
      <c r="A89" s="920" t="s">
        <v>240</v>
      </c>
      <c r="B89" s="415" t="s">
        <v>241</v>
      </c>
      <c r="C89" s="387"/>
      <c r="D89" s="387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94"/>
      <c r="AK89" s="389"/>
      <c r="AL89" s="394"/>
      <c r="AM89" s="389"/>
      <c r="AN89" s="394"/>
      <c r="AO89" s="389"/>
      <c r="AP89" s="389"/>
      <c r="AQ89" s="389"/>
      <c r="AR89" s="394"/>
      <c r="AS89" s="391"/>
      <c r="AT89" s="392"/>
    </row>
    <row r="90" ht="45.0" customHeight="1">
      <c r="A90" s="919" t="s">
        <v>242</v>
      </c>
      <c r="B90" s="412" t="s">
        <v>243</v>
      </c>
      <c r="C90" s="388" t="s">
        <v>77</v>
      </c>
      <c r="D90" s="387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7"/>
      <c r="Z90" s="389"/>
      <c r="AA90" s="387"/>
      <c r="AB90" s="389"/>
      <c r="AC90" s="387"/>
      <c r="AD90" s="389"/>
      <c r="AE90" s="387"/>
      <c r="AF90" s="389"/>
      <c r="AG90" s="387"/>
      <c r="AH90" s="389"/>
      <c r="AI90" s="387"/>
      <c r="AJ90" s="394"/>
      <c r="AK90" s="387"/>
      <c r="AL90" s="394"/>
      <c r="AM90" s="389"/>
      <c r="AN90" s="394"/>
      <c r="AO90" s="389"/>
      <c r="AP90" s="389"/>
      <c r="AQ90" s="389"/>
      <c r="AR90" s="394"/>
      <c r="AS90" s="391">
        <f t="shared" ref="AS90:AS91" si="21">COUNTIF(C90:AR90,"&gt;=R")</f>
        <v>1</v>
      </c>
      <c r="AT90" s="392">
        <f t="shared" ref="AT90:AT91" si="22">AS90</f>
        <v>1</v>
      </c>
    </row>
    <row r="91" ht="45.0" customHeight="1">
      <c r="A91" s="919" t="s">
        <v>244</v>
      </c>
      <c r="B91" s="412" t="s">
        <v>245</v>
      </c>
      <c r="C91" s="387"/>
      <c r="D91" s="387"/>
      <c r="E91" s="394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94"/>
      <c r="AJ91" s="394"/>
      <c r="AK91" s="394"/>
      <c r="AL91" s="394"/>
      <c r="AM91" s="387"/>
      <c r="AN91" s="394"/>
      <c r="AO91" s="389"/>
      <c r="AP91" s="389"/>
      <c r="AQ91" s="389"/>
      <c r="AR91" s="394"/>
      <c r="AS91" s="391">
        <f t="shared" si="21"/>
        <v>0</v>
      </c>
      <c r="AT91" s="392">
        <f t="shared" si="22"/>
        <v>0</v>
      </c>
    </row>
    <row r="92" ht="45.0" customHeight="1">
      <c r="A92" s="920" t="s">
        <v>246</v>
      </c>
      <c r="B92" s="415" t="s">
        <v>247</v>
      </c>
      <c r="C92" s="387"/>
      <c r="D92" s="387"/>
      <c r="E92" s="394"/>
      <c r="F92" s="389"/>
      <c r="G92" s="389"/>
      <c r="H92" s="389"/>
      <c r="I92" s="389"/>
      <c r="J92" s="389"/>
      <c r="K92" s="389"/>
      <c r="L92" s="389"/>
      <c r="M92" s="394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94"/>
      <c r="AK92" s="389"/>
      <c r="AL92" s="394"/>
      <c r="AM92" s="389"/>
      <c r="AN92" s="394"/>
      <c r="AO92" s="389"/>
      <c r="AP92" s="389"/>
      <c r="AQ92" s="389"/>
      <c r="AR92" s="394"/>
      <c r="AS92" s="391"/>
      <c r="AT92" s="392"/>
    </row>
    <row r="93" ht="45.0" customHeight="1">
      <c r="A93" s="919" t="s">
        <v>248</v>
      </c>
      <c r="B93" s="412" t="s">
        <v>249</v>
      </c>
      <c r="C93" s="388" t="s">
        <v>68</v>
      </c>
      <c r="D93" s="387"/>
      <c r="E93" s="389" t="s">
        <v>68</v>
      </c>
      <c r="F93" s="389"/>
      <c r="G93" s="389" t="s">
        <v>68</v>
      </c>
      <c r="H93" s="389"/>
      <c r="I93" s="389" t="s">
        <v>68</v>
      </c>
      <c r="J93" s="389"/>
      <c r="K93" s="389" t="s">
        <v>68</v>
      </c>
      <c r="L93" s="389"/>
      <c r="M93" s="389"/>
      <c r="N93" s="389"/>
      <c r="O93" s="389"/>
      <c r="P93" s="389"/>
      <c r="Q93" s="389"/>
      <c r="R93" s="389"/>
      <c r="S93" s="389"/>
      <c r="T93" s="389"/>
      <c r="U93" s="389" t="s">
        <v>68</v>
      </c>
      <c r="V93" s="389"/>
      <c r="W93" s="389" t="s">
        <v>68</v>
      </c>
      <c r="X93" s="389"/>
      <c r="Y93" s="387" t="s">
        <v>68</v>
      </c>
      <c r="Z93" s="389"/>
      <c r="AA93" s="387" t="s">
        <v>68</v>
      </c>
      <c r="AB93" s="389"/>
      <c r="AC93" s="387" t="s">
        <v>68</v>
      </c>
      <c r="AD93" s="389"/>
      <c r="AE93" s="387" t="s">
        <v>68</v>
      </c>
      <c r="AF93" s="389"/>
      <c r="AG93" s="387" t="s">
        <v>68</v>
      </c>
      <c r="AH93" s="389"/>
      <c r="AI93" s="387"/>
      <c r="AJ93" s="394"/>
      <c r="AK93" s="387" t="s">
        <v>68</v>
      </c>
      <c r="AL93" s="394"/>
      <c r="AM93" s="394" t="s">
        <v>68</v>
      </c>
      <c r="AN93" s="394"/>
      <c r="AO93" s="394" t="s">
        <v>68</v>
      </c>
      <c r="AP93" s="394"/>
      <c r="AQ93" s="394" t="s">
        <v>68</v>
      </c>
      <c r="AR93" s="394"/>
      <c r="AS93" s="391">
        <f t="shared" ref="AS93:AS94" si="23">COUNTIF(C93:AR93,"&gt;=R")</f>
        <v>16</v>
      </c>
      <c r="AT93" s="392">
        <f t="shared" ref="AT93:AT94" si="24">AS93</f>
        <v>16</v>
      </c>
    </row>
    <row r="94" ht="45.0" customHeight="1">
      <c r="A94" s="919" t="s">
        <v>250</v>
      </c>
      <c r="B94" s="412" t="s">
        <v>251</v>
      </c>
      <c r="C94" s="388" t="s">
        <v>68</v>
      </c>
      <c r="D94" s="387"/>
      <c r="E94" s="389" t="s">
        <v>68</v>
      </c>
      <c r="F94" s="389"/>
      <c r="G94" s="389" t="s">
        <v>68</v>
      </c>
      <c r="H94" s="389"/>
      <c r="I94" s="389" t="s">
        <v>68</v>
      </c>
      <c r="J94" s="389"/>
      <c r="K94" s="389" t="s">
        <v>68</v>
      </c>
      <c r="L94" s="389"/>
      <c r="M94" s="389"/>
      <c r="N94" s="389"/>
      <c r="O94" s="389"/>
      <c r="P94" s="389"/>
      <c r="Q94" s="389"/>
      <c r="R94" s="389"/>
      <c r="S94" s="389"/>
      <c r="T94" s="389"/>
      <c r="U94" s="389" t="s">
        <v>68</v>
      </c>
      <c r="V94" s="389"/>
      <c r="W94" s="389" t="s">
        <v>68</v>
      </c>
      <c r="X94" s="389"/>
      <c r="Y94" s="387" t="s">
        <v>68</v>
      </c>
      <c r="Z94" s="389"/>
      <c r="AA94" s="387" t="s">
        <v>68</v>
      </c>
      <c r="AB94" s="389"/>
      <c r="AC94" s="387" t="s">
        <v>68</v>
      </c>
      <c r="AD94" s="389"/>
      <c r="AE94" s="387" t="s">
        <v>68</v>
      </c>
      <c r="AF94" s="389"/>
      <c r="AG94" s="387" t="s">
        <v>68</v>
      </c>
      <c r="AH94" s="389"/>
      <c r="AI94" s="387"/>
      <c r="AJ94" s="394"/>
      <c r="AK94" s="387" t="s">
        <v>68</v>
      </c>
      <c r="AL94" s="394"/>
      <c r="AM94" s="394" t="s">
        <v>68</v>
      </c>
      <c r="AN94" s="394"/>
      <c r="AO94" s="394" t="s">
        <v>68</v>
      </c>
      <c r="AP94" s="389"/>
      <c r="AQ94" s="389" t="s">
        <v>68</v>
      </c>
      <c r="AR94" s="394"/>
      <c r="AS94" s="391">
        <f t="shared" si="23"/>
        <v>16</v>
      </c>
      <c r="AT94" s="392">
        <f t="shared" si="24"/>
        <v>16</v>
      </c>
    </row>
    <row r="95" ht="45.0" customHeight="1">
      <c r="A95" s="920" t="s">
        <v>252</v>
      </c>
      <c r="B95" s="415" t="s">
        <v>253</v>
      </c>
      <c r="C95" s="387"/>
      <c r="D95" s="387"/>
      <c r="E95" s="394"/>
      <c r="F95" s="389"/>
      <c r="G95" s="394"/>
      <c r="H95" s="389"/>
      <c r="I95" s="394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94"/>
      <c r="AJ95" s="394"/>
      <c r="AK95" s="394"/>
      <c r="AL95" s="394"/>
      <c r="AM95" s="394"/>
      <c r="AN95" s="394"/>
      <c r="AO95" s="394"/>
      <c r="AP95" s="394"/>
      <c r="AQ95" s="394"/>
      <c r="AR95" s="394"/>
      <c r="AS95" s="391"/>
      <c r="AT95" s="392"/>
      <c r="AU95" s="250"/>
      <c r="AV95" s="350"/>
    </row>
    <row r="96" ht="45.0" customHeight="1">
      <c r="A96" s="911" t="s">
        <v>254</v>
      </c>
      <c r="B96" s="386" t="s">
        <v>255</v>
      </c>
      <c r="C96" s="387" t="s">
        <v>68</v>
      </c>
      <c r="D96" s="387"/>
      <c r="E96" s="387"/>
      <c r="F96" s="389"/>
      <c r="G96" s="387"/>
      <c r="H96" s="389"/>
      <c r="I96" s="387"/>
      <c r="J96" s="389"/>
      <c r="K96" s="387"/>
      <c r="L96" s="389"/>
      <c r="M96" s="387"/>
      <c r="N96" s="389"/>
      <c r="O96" s="387"/>
      <c r="P96" s="389"/>
      <c r="Q96" s="387"/>
      <c r="R96" s="389"/>
      <c r="S96" s="387"/>
      <c r="T96" s="389"/>
      <c r="U96" s="387" t="s">
        <v>68</v>
      </c>
      <c r="V96" s="389"/>
      <c r="W96" s="387" t="s">
        <v>68</v>
      </c>
      <c r="X96" s="389"/>
      <c r="Y96" s="387" t="s">
        <v>68</v>
      </c>
      <c r="Z96" s="389"/>
      <c r="AA96" s="387" t="s">
        <v>68</v>
      </c>
      <c r="AB96" s="389"/>
      <c r="AC96" s="387" t="s">
        <v>68</v>
      </c>
      <c r="AD96" s="389"/>
      <c r="AE96" s="387" t="s">
        <v>68</v>
      </c>
      <c r="AF96" s="389"/>
      <c r="AG96" s="387" t="s">
        <v>68</v>
      </c>
      <c r="AH96" s="389"/>
      <c r="AI96" s="387"/>
      <c r="AJ96" s="394"/>
      <c r="AK96" s="387" t="s">
        <v>68</v>
      </c>
      <c r="AL96" s="394"/>
      <c r="AM96" s="387" t="s">
        <v>68</v>
      </c>
      <c r="AN96" s="394"/>
      <c r="AO96" s="389" t="s">
        <v>68</v>
      </c>
      <c r="AP96" s="389"/>
      <c r="AQ96" s="389" t="s">
        <v>68</v>
      </c>
      <c r="AR96" s="394"/>
      <c r="AS96" s="391">
        <f t="shared" ref="AS96:AS99" si="25">COUNTIF(C96:AR96,"&gt;=R")</f>
        <v>12</v>
      </c>
      <c r="AT96" s="392">
        <f t="shared" ref="AT96:AT99" si="26">AS96</f>
        <v>12</v>
      </c>
      <c r="AU96" s="250"/>
      <c r="AV96" s="350"/>
    </row>
    <row r="97" ht="45.0" customHeight="1">
      <c r="A97" s="911" t="s">
        <v>256</v>
      </c>
      <c r="B97" s="386" t="s">
        <v>257</v>
      </c>
      <c r="C97" s="387" t="s">
        <v>77</v>
      </c>
      <c r="D97" s="388"/>
      <c r="E97" s="387"/>
      <c r="F97" s="389"/>
      <c r="G97" s="387"/>
      <c r="H97" s="389"/>
      <c r="I97" s="387"/>
      <c r="J97" s="389"/>
      <c r="K97" s="387"/>
      <c r="L97" s="389"/>
      <c r="M97" s="387"/>
      <c r="N97" s="389"/>
      <c r="O97" s="387"/>
      <c r="P97" s="389"/>
      <c r="Q97" s="387"/>
      <c r="R97" s="389"/>
      <c r="S97" s="387"/>
      <c r="T97" s="389"/>
      <c r="U97" s="387"/>
      <c r="V97" s="389"/>
      <c r="W97" s="387"/>
      <c r="X97" s="389"/>
      <c r="Y97" s="387"/>
      <c r="Z97" s="389"/>
      <c r="AA97" s="387"/>
      <c r="AB97" s="389"/>
      <c r="AC97" s="387"/>
      <c r="AD97" s="389"/>
      <c r="AE97" s="387"/>
      <c r="AF97" s="389"/>
      <c r="AG97" s="387"/>
      <c r="AH97" s="389"/>
      <c r="AI97" s="387"/>
      <c r="AJ97" s="394"/>
      <c r="AK97" s="387"/>
      <c r="AL97" s="394"/>
      <c r="AM97" s="387"/>
      <c r="AN97" s="394"/>
      <c r="AO97" s="389"/>
      <c r="AP97" s="389"/>
      <c r="AQ97" s="389"/>
      <c r="AR97" s="394"/>
      <c r="AS97" s="391">
        <f t="shared" si="25"/>
        <v>1</v>
      </c>
      <c r="AT97" s="392">
        <f t="shared" si="26"/>
        <v>1</v>
      </c>
    </row>
    <row r="98" ht="45.0" customHeight="1">
      <c r="A98" s="911" t="s">
        <v>258</v>
      </c>
      <c r="B98" s="386" t="s">
        <v>259</v>
      </c>
      <c r="C98" s="387" t="s">
        <v>77</v>
      </c>
      <c r="D98" s="388"/>
      <c r="E98" s="387"/>
      <c r="F98" s="389"/>
      <c r="G98" s="387"/>
      <c r="H98" s="389"/>
      <c r="I98" s="387"/>
      <c r="J98" s="389"/>
      <c r="K98" s="387"/>
      <c r="L98" s="389"/>
      <c r="M98" s="387"/>
      <c r="N98" s="389"/>
      <c r="O98" s="387"/>
      <c r="P98" s="389"/>
      <c r="Q98" s="387"/>
      <c r="R98" s="389"/>
      <c r="S98" s="387"/>
      <c r="T98" s="389"/>
      <c r="U98" s="387"/>
      <c r="V98" s="389"/>
      <c r="W98" s="387"/>
      <c r="X98" s="389"/>
      <c r="Y98" s="387"/>
      <c r="Z98" s="389"/>
      <c r="AA98" s="387"/>
      <c r="AB98" s="389"/>
      <c r="AC98" s="387"/>
      <c r="AD98" s="389"/>
      <c r="AE98" s="387"/>
      <c r="AF98" s="389"/>
      <c r="AG98" s="387"/>
      <c r="AH98" s="389"/>
      <c r="AI98" s="387"/>
      <c r="AJ98" s="394"/>
      <c r="AK98" s="387"/>
      <c r="AL98" s="394"/>
      <c r="AM98" s="387"/>
      <c r="AN98" s="394"/>
      <c r="AO98" s="389"/>
      <c r="AP98" s="389"/>
      <c r="AQ98" s="389"/>
      <c r="AR98" s="394"/>
      <c r="AS98" s="391">
        <f t="shared" si="25"/>
        <v>1</v>
      </c>
      <c r="AT98" s="392">
        <f t="shared" si="26"/>
        <v>1</v>
      </c>
      <c r="AU98" s="250"/>
      <c r="AV98" s="350"/>
    </row>
    <row r="99" ht="45.0" customHeight="1">
      <c r="A99" s="911" t="s">
        <v>260</v>
      </c>
      <c r="B99" s="386" t="s">
        <v>261</v>
      </c>
      <c r="C99" s="387" t="s">
        <v>68</v>
      </c>
      <c r="D99" s="388"/>
      <c r="E99" s="387"/>
      <c r="F99" s="389"/>
      <c r="G99" s="387"/>
      <c r="H99" s="389"/>
      <c r="I99" s="387"/>
      <c r="J99" s="389"/>
      <c r="K99" s="387"/>
      <c r="L99" s="389"/>
      <c r="M99" s="387"/>
      <c r="N99" s="389"/>
      <c r="O99" s="387"/>
      <c r="P99" s="389"/>
      <c r="Q99" s="387"/>
      <c r="R99" s="389"/>
      <c r="S99" s="387"/>
      <c r="T99" s="389"/>
      <c r="U99" s="387" t="s">
        <v>68</v>
      </c>
      <c r="V99" s="389"/>
      <c r="W99" s="387" t="s">
        <v>68</v>
      </c>
      <c r="X99" s="389"/>
      <c r="Y99" s="387" t="s">
        <v>68</v>
      </c>
      <c r="Z99" s="389"/>
      <c r="AA99" s="387" t="s">
        <v>68</v>
      </c>
      <c r="AB99" s="389"/>
      <c r="AC99" s="387" t="s">
        <v>68</v>
      </c>
      <c r="AD99" s="389"/>
      <c r="AE99" s="387" t="s">
        <v>68</v>
      </c>
      <c r="AF99" s="389"/>
      <c r="AG99" s="387" t="s">
        <v>68</v>
      </c>
      <c r="AH99" s="389"/>
      <c r="AI99" s="387"/>
      <c r="AJ99" s="394"/>
      <c r="AK99" s="387" t="s">
        <v>68</v>
      </c>
      <c r="AL99" s="394"/>
      <c r="AM99" s="387" t="s">
        <v>68</v>
      </c>
      <c r="AN99" s="394"/>
      <c r="AO99" s="389" t="s">
        <v>68</v>
      </c>
      <c r="AP99" s="389"/>
      <c r="AQ99" s="389" t="s">
        <v>68</v>
      </c>
      <c r="AR99" s="394"/>
      <c r="AS99" s="391">
        <f t="shared" si="25"/>
        <v>12</v>
      </c>
      <c r="AT99" s="392">
        <f t="shared" si="26"/>
        <v>12</v>
      </c>
      <c r="AU99" s="250"/>
      <c r="AV99" s="350"/>
    </row>
    <row r="100" ht="45.0" customHeight="1">
      <c r="A100" s="920" t="s">
        <v>262</v>
      </c>
      <c r="B100" s="415" t="s">
        <v>263</v>
      </c>
      <c r="C100" s="387"/>
      <c r="D100" s="388"/>
      <c r="E100" s="389"/>
      <c r="F100" s="389"/>
      <c r="G100" s="394"/>
      <c r="H100" s="389"/>
      <c r="I100" s="394"/>
      <c r="J100" s="389"/>
      <c r="K100" s="394"/>
      <c r="L100" s="389"/>
      <c r="M100" s="389"/>
      <c r="N100" s="389"/>
      <c r="O100" s="389"/>
      <c r="P100" s="389"/>
      <c r="Q100" s="389"/>
      <c r="R100" s="389"/>
      <c r="S100" s="389"/>
      <c r="T100" s="389"/>
      <c r="U100" s="394"/>
      <c r="V100" s="389"/>
      <c r="W100" s="394"/>
      <c r="X100" s="389"/>
      <c r="Y100" s="394"/>
      <c r="Z100" s="389"/>
      <c r="AA100" s="394"/>
      <c r="AB100" s="389"/>
      <c r="AC100" s="389"/>
      <c r="AD100" s="389"/>
      <c r="AE100" s="389"/>
      <c r="AF100" s="389"/>
      <c r="AG100" s="389"/>
      <c r="AH100" s="389"/>
      <c r="AI100" s="389"/>
      <c r="AJ100" s="394"/>
      <c r="AK100" s="389"/>
      <c r="AL100" s="394"/>
      <c r="AM100" s="389"/>
      <c r="AN100" s="394"/>
      <c r="AO100" s="389"/>
      <c r="AP100" s="389"/>
      <c r="AQ100" s="389"/>
      <c r="AR100" s="394"/>
      <c r="AS100" s="391"/>
      <c r="AT100" s="392"/>
    </row>
    <row r="101" ht="45.0" customHeight="1">
      <c r="A101" s="919" t="s">
        <v>264</v>
      </c>
      <c r="B101" s="412" t="s">
        <v>265</v>
      </c>
      <c r="C101" s="387" t="s">
        <v>76</v>
      </c>
      <c r="D101" s="388"/>
      <c r="E101" s="389" t="s">
        <v>76</v>
      </c>
      <c r="F101" s="389"/>
      <c r="G101" s="389" t="s">
        <v>76</v>
      </c>
      <c r="H101" s="389"/>
      <c r="I101" s="389" t="s">
        <v>76</v>
      </c>
      <c r="J101" s="389"/>
      <c r="K101" s="389" t="s">
        <v>57</v>
      </c>
      <c r="L101" s="389"/>
      <c r="M101" s="389" t="s">
        <v>57</v>
      </c>
      <c r="N101" s="389"/>
      <c r="O101" s="389" t="s">
        <v>57</v>
      </c>
      <c r="P101" s="389"/>
      <c r="Q101" s="389" t="s">
        <v>57</v>
      </c>
      <c r="R101" s="389"/>
      <c r="S101" s="389" t="s">
        <v>57</v>
      </c>
      <c r="T101" s="389"/>
      <c r="U101" s="389" t="s">
        <v>57</v>
      </c>
      <c r="V101" s="389"/>
      <c r="W101" s="389" t="s">
        <v>57</v>
      </c>
      <c r="X101" s="389"/>
      <c r="Y101" s="389" t="s">
        <v>57</v>
      </c>
      <c r="Z101" s="389"/>
      <c r="AA101" s="389" t="s">
        <v>57</v>
      </c>
      <c r="AB101" s="389"/>
      <c r="AC101" s="389" t="s">
        <v>57</v>
      </c>
      <c r="AD101" s="389"/>
      <c r="AE101" s="389" t="s">
        <v>57</v>
      </c>
      <c r="AF101" s="389"/>
      <c r="AG101" s="389" t="s">
        <v>57</v>
      </c>
      <c r="AH101" s="389"/>
      <c r="AI101" s="389"/>
      <c r="AJ101" s="394"/>
      <c r="AK101" s="389" t="s">
        <v>57</v>
      </c>
      <c r="AL101" s="394"/>
      <c r="AM101" s="394" t="s">
        <v>76</v>
      </c>
      <c r="AN101" s="394"/>
      <c r="AO101" s="394" t="s">
        <v>76</v>
      </c>
      <c r="AP101" s="394"/>
      <c r="AQ101" s="394" t="s">
        <v>76</v>
      </c>
      <c r="AR101" s="394"/>
      <c r="AS101" s="391">
        <f>COUNTIF(C101:AR101,"&gt;=R")</f>
        <v>20</v>
      </c>
      <c r="AT101" s="392">
        <f>AS101</f>
        <v>20</v>
      </c>
    </row>
    <row r="102" ht="45.0" customHeight="1">
      <c r="A102" s="922" t="s">
        <v>266</v>
      </c>
      <c r="B102" s="396" t="s">
        <v>267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400"/>
      <c r="AJ102" s="400"/>
      <c r="AK102" s="400"/>
      <c r="AL102" s="400"/>
      <c r="AM102" s="400"/>
      <c r="AN102" s="400"/>
      <c r="AO102" s="400"/>
      <c r="AP102" s="400"/>
      <c r="AQ102" s="400"/>
      <c r="AR102" s="400"/>
      <c r="AS102" s="400"/>
      <c r="AT102" s="913"/>
    </row>
    <row r="103" ht="45.0" customHeight="1">
      <c r="A103" s="911" t="s">
        <v>268</v>
      </c>
      <c r="B103" s="386" t="s">
        <v>269</v>
      </c>
      <c r="C103" s="388" t="s">
        <v>85</v>
      </c>
      <c r="D103" s="388"/>
      <c r="E103" s="389" t="s">
        <v>85</v>
      </c>
      <c r="F103" s="389"/>
      <c r="G103" s="389" t="s">
        <v>85</v>
      </c>
      <c r="H103" s="389"/>
      <c r="I103" s="389" t="s">
        <v>85</v>
      </c>
      <c r="J103" s="389"/>
      <c r="K103" s="389" t="s">
        <v>85</v>
      </c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94"/>
      <c r="AK103" s="394"/>
      <c r="AL103" s="394"/>
      <c r="AM103" s="394" t="s">
        <v>85</v>
      </c>
      <c r="AN103" s="394"/>
      <c r="AO103" s="389"/>
      <c r="AP103" s="389"/>
      <c r="AQ103" s="389"/>
      <c r="AR103" s="394"/>
      <c r="AS103" s="391">
        <f t="shared" ref="AS103:AS104" si="27">COUNTIF(C103:AR103,"&gt;=R")</f>
        <v>6</v>
      </c>
      <c r="AT103" s="392">
        <f t="shared" ref="AT103:AT104" si="28">AS103</f>
        <v>6</v>
      </c>
    </row>
    <row r="104" ht="45.0" customHeight="1">
      <c r="A104" s="911" t="s">
        <v>270</v>
      </c>
      <c r="B104" s="386" t="s">
        <v>271</v>
      </c>
      <c r="C104" s="388" t="s">
        <v>85</v>
      </c>
      <c r="D104" s="388"/>
      <c r="E104" s="389" t="s">
        <v>85</v>
      </c>
      <c r="F104" s="389"/>
      <c r="G104" s="389" t="s">
        <v>85</v>
      </c>
      <c r="H104" s="389"/>
      <c r="I104" s="389" t="s">
        <v>85</v>
      </c>
      <c r="J104" s="389"/>
      <c r="K104" s="389" t="s">
        <v>85</v>
      </c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94"/>
      <c r="AK104" s="394"/>
      <c r="AL104" s="394"/>
      <c r="AM104" s="394" t="s">
        <v>85</v>
      </c>
      <c r="AN104" s="394"/>
      <c r="AO104" s="389"/>
      <c r="AP104" s="389"/>
      <c r="AQ104" s="389"/>
      <c r="AR104" s="394"/>
      <c r="AS104" s="391">
        <f t="shared" si="27"/>
        <v>6</v>
      </c>
      <c r="AT104" s="392">
        <f t="shared" si="28"/>
        <v>6</v>
      </c>
    </row>
    <row r="105" ht="45.0" customHeight="1">
      <c r="A105" s="922" t="s">
        <v>272</v>
      </c>
      <c r="B105" s="396" t="s">
        <v>273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400"/>
      <c r="AJ105" s="400"/>
      <c r="AK105" s="400"/>
      <c r="AL105" s="400"/>
      <c r="AM105" s="400"/>
      <c r="AN105" s="400"/>
      <c r="AO105" s="400"/>
      <c r="AP105" s="400"/>
      <c r="AQ105" s="400"/>
      <c r="AR105" s="400"/>
      <c r="AS105" s="400"/>
      <c r="AT105" s="913"/>
      <c r="AU105" s="250"/>
      <c r="AV105" s="350"/>
    </row>
    <row r="106" ht="45.0" customHeight="1">
      <c r="A106" s="911" t="s">
        <v>274</v>
      </c>
      <c r="B106" s="386" t="s">
        <v>275</v>
      </c>
      <c r="C106" s="387"/>
      <c r="D106" s="387"/>
      <c r="E106" s="387"/>
      <c r="F106" s="389"/>
      <c r="G106" s="387"/>
      <c r="H106" s="389"/>
      <c r="I106" s="387"/>
      <c r="J106" s="389"/>
      <c r="K106" s="387"/>
      <c r="L106" s="389"/>
      <c r="M106" s="387"/>
      <c r="N106" s="389"/>
      <c r="O106" s="387"/>
      <c r="P106" s="389"/>
      <c r="Q106" s="387"/>
      <c r="R106" s="389"/>
      <c r="S106" s="387"/>
      <c r="T106" s="389"/>
      <c r="U106" s="387"/>
      <c r="V106" s="389"/>
      <c r="W106" s="387"/>
      <c r="X106" s="389"/>
      <c r="Y106" s="387"/>
      <c r="Z106" s="389"/>
      <c r="AA106" s="387"/>
      <c r="AB106" s="389"/>
      <c r="AC106" s="387"/>
      <c r="AD106" s="389"/>
      <c r="AE106" s="387"/>
      <c r="AF106" s="389"/>
      <c r="AG106" s="387"/>
      <c r="AH106" s="389"/>
      <c r="AI106" s="387"/>
      <c r="AJ106" s="394"/>
      <c r="AK106" s="387"/>
      <c r="AL106" s="394"/>
      <c r="AM106" s="387"/>
      <c r="AN106" s="394"/>
      <c r="AO106" s="387"/>
      <c r="AP106" s="387"/>
      <c r="AQ106" s="387"/>
      <c r="AR106" s="394"/>
      <c r="AS106" s="391">
        <f t="shared" ref="AS106:AS107" si="29">COUNTIF(C106:AR106,"&gt;=R")</f>
        <v>0</v>
      </c>
      <c r="AT106" s="392">
        <f t="shared" ref="AT106:AT107" si="30">AS106</f>
        <v>0</v>
      </c>
    </row>
    <row r="107" ht="45.0" customHeight="1">
      <c r="A107" s="911" t="s">
        <v>276</v>
      </c>
      <c r="B107" s="386" t="s">
        <v>277</v>
      </c>
      <c r="C107" s="387" t="s">
        <v>68</v>
      </c>
      <c r="D107" s="388"/>
      <c r="E107" s="387" t="s">
        <v>68</v>
      </c>
      <c r="F107" s="389"/>
      <c r="G107" s="387" t="s">
        <v>68</v>
      </c>
      <c r="H107" s="389"/>
      <c r="I107" s="387" t="s">
        <v>68</v>
      </c>
      <c r="J107" s="389"/>
      <c r="K107" s="394" t="s">
        <v>68</v>
      </c>
      <c r="L107" s="389"/>
      <c r="M107" s="394"/>
      <c r="N107" s="389"/>
      <c r="O107" s="394"/>
      <c r="P107" s="389"/>
      <c r="Q107" s="394"/>
      <c r="R107" s="389"/>
      <c r="S107" s="389"/>
      <c r="T107" s="389"/>
      <c r="U107" s="389" t="s">
        <v>68</v>
      </c>
      <c r="V107" s="389"/>
      <c r="W107" s="389" t="s">
        <v>57</v>
      </c>
      <c r="X107" s="389"/>
      <c r="Y107" s="389" t="s">
        <v>57</v>
      </c>
      <c r="Z107" s="389"/>
      <c r="AA107" s="389" t="s">
        <v>57</v>
      </c>
      <c r="AB107" s="389"/>
      <c r="AC107" s="389" t="s">
        <v>57</v>
      </c>
      <c r="AD107" s="389"/>
      <c r="AE107" s="389" t="s">
        <v>57</v>
      </c>
      <c r="AF107" s="389"/>
      <c r="AG107" s="387" t="s">
        <v>77</v>
      </c>
      <c r="AH107" s="389"/>
      <c r="AI107" s="387"/>
      <c r="AJ107" s="394"/>
      <c r="AK107" s="387" t="s">
        <v>77</v>
      </c>
      <c r="AL107" s="394"/>
      <c r="AM107" s="387" t="s">
        <v>68</v>
      </c>
      <c r="AN107" s="394"/>
      <c r="AO107" s="387" t="s">
        <v>68</v>
      </c>
      <c r="AP107" s="387"/>
      <c r="AQ107" s="387" t="s">
        <v>68</v>
      </c>
      <c r="AR107" s="394"/>
      <c r="AS107" s="391">
        <f t="shared" si="29"/>
        <v>16</v>
      </c>
      <c r="AT107" s="392">
        <f t="shared" si="30"/>
        <v>16</v>
      </c>
      <c r="AU107" s="250"/>
      <c r="AV107" s="350"/>
    </row>
    <row r="108" ht="45.0" customHeight="1">
      <c r="A108" s="912" t="s">
        <v>278</v>
      </c>
      <c r="B108" s="396" t="s">
        <v>279</v>
      </c>
      <c r="C108" s="397"/>
      <c r="D108" s="398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  <c r="AA108" s="399"/>
      <c r="AB108" s="399"/>
      <c r="AC108" s="399"/>
      <c r="AD108" s="399"/>
      <c r="AE108" s="399"/>
      <c r="AF108" s="399"/>
      <c r="AG108" s="399"/>
      <c r="AH108" s="399"/>
      <c r="AI108" s="400"/>
      <c r="AJ108" s="400"/>
      <c r="AK108" s="400"/>
      <c r="AL108" s="400"/>
      <c r="AM108" s="400"/>
      <c r="AN108" s="400"/>
      <c r="AO108" s="400"/>
      <c r="AP108" s="400"/>
      <c r="AQ108" s="400"/>
      <c r="AR108" s="400"/>
      <c r="AS108" s="400"/>
      <c r="AT108" s="913"/>
      <c r="AU108" s="250"/>
      <c r="AV108" s="350"/>
    </row>
    <row r="109" ht="45.0" customHeight="1">
      <c r="A109" s="920" t="s">
        <v>280</v>
      </c>
      <c r="B109" s="415" t="s">
        <v>281</v>
      </c>
      <c r="C109" s="387"/>
      <c r="D109" s="388"/>
      <c r="E109" s="389"/>
      <c r="F109" s="389"/>
      <c r="G109" s="394"/>
      <c r="H109" s="389"/>
      <c r="I109" s="394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94"/>
      <c r="AJ109" s="394"/>
      <c r="AK109" s="394"/>
      <c r="AL109" s="394"/>
      <c r="AM109" s="394"/>
      <c r="AN109" s="394"/>
      <c r="AO109" s="394"/>
      <c r="AP109" s="394"/>
      <c r="AQ109" s="394"/>
      <c r="AR109" s="394"/>
      <c r="AS109" s="391"/>
      <c r="AT109" s="392"/>
    </row>
    <row r="110" ht="45.0" customHeight="1">
      <c r="A110" s="404" t="s">
        <v>282</v>
      </c>
      <c r="B110" s="794" t="s">
        <v>283</v>
      </c>
      <c r="C110" s="671"/>
      <c r="D110" s="671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3"/>
      <c r="P110" s="673"/>
      <c r="Q110" s="673"/>
      <c r="R110" s="673"/>
      <c r="S110" s="673"/>
      <c r="T110" s="673"/>
      <c r="U110" s="673"/>
      <c r="V110" s="673"/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6"/>
      <c r="AK110" s="673"/>
      <c r="AL110" s="676"/>
      <c r="AM110" s="673"/>
      <c r="AN110" s="676"/>
      <c r="AO110" s="673"/>
      <c r="AP110" s="673"/>
      <c r="AQ110" s="673"/>
      <c r="AR110" s="676"/>
      <c r="AS110" s="391">
        <f t="shared" ref="AS110:AS111" si="31">COUNTIF(C110:AR110,"&gt;=R")</f>
        <v>0</v>
      </c>
      <c r="AT110" s="392">
        <f t="shared" ref="AT110:AT111" si="32">AS110</f>
        <v>0</v>
      </c>
    </row>
    <row r="111" ht="45.0" customHeight="1">
      <c r="A111" s="919" t="s">
        <v>284</v>
      </c>
      <c r="B111" s="412" t="s">
        <v>285</v>
      </c>
      <c r="C111" s="387"/>
      <c r="D111" s="388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94"/>
      <c r="AJ111" s="394"/>
      <c r="AK111" s="394"/>
      <c r="AL111" s="394"/>
      <c r="AM111" s="394"/>
      <c r="AN111" s="394"/>
      <c r="AO111" s="394"/>
      <c r="AP111" s="394"/>
      <c r="AQ111" s="394"/>
      <c r="AR111" s="394"/>
      <c r="AS111" s="391">
        <f t="shared" si="31"/>
        <v>0</v>
      </c>
      <c r="AT111" s="392">
        <f t="shared" si="32"/>
        <v>0</v>
      </c>
      <c r="AU111" s="250"/>
      <c r="AV111" s="350"/>
    </row>
    <row r="112" ht="45.0" customHeight="1">
      <c r="A112" s="920" t="s">
        <v>286</v>
      </c>
      <c r="B112" s="415" t="s">
        <v>287</v>
      </c>
      <c r="C112" s="387"/>
      <c r="D112" s="388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94"/>
      <c r="AJ112" s="394"/>
      <c r="AK112" s="394"/>
      <c r="AL112" s="394"/>
      <c r="AM112" s="394"/>
      <c r="AN112" s="394"/>
      <c r="AO112" s="394"/>
      <c r="AP112" s="394"/>
      <c r="AQ112" s="394"/>
      <c r="AR112" s="394"/>
      <c r="AS112" s="391"/>
      <c r="AT112" s="392"/>
    </row>
    <row r="113" ht="45.0" customHeight="1">
      <c r="A113" s="911" t="s">
        <v>288</v>
      </c>
      <c r="B113" s="386" t="s">
        <v>289</v>
      </c>
      <c r="C113" s="388"/>
      <c r="D113" s="388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94"/>
      <c r="AK113" s="389"/>
      <c r="AL113" s="394"/>
      <c r="AM113" s="387"/>
      <c r="AN113" s="394"/>
      <c r="AO113" s="387"/>
      <c r="AP113" s="387"/>
      <c r="AQ113" s="387"/>
      <c r="AR113" s="394"/>
      <c r="AS113" s="391">
        <f t="shared" ref="AS113:AS115" si="33">COUNTIF(C113:AR113,"&gt;=R")</f>
        <v>0</v>
      </c>
      <c r="AT113" s="392">
        <f t="shared" ref="AT113:AT115" si="34">AS113</f>
        <v>0</v>
      </c>
      <c r="AU113" s="250"/>
      <c r="AV113" s="350"/>
    </row>
    <row r="114" ht="45.0" customHeight="1">
      <c r="A114" s="911" t="s">
        <v>290</v>
      </c>
      <c r="B114" s="386" t="s">
        <v>291</v>
      </c>
      <c r="C114" s="387"/>
      <c r="D114" s="388"/>
      <c r="E114" s="387"/>
      <c r="F114" s="389"/>
      <c r="G114" s="387"/>
      <c r="H114" s="389"/>
      <c r="I114" s="387"/>
      <c r="J114" s="389"/>
      <c r="K114" s="387"/>
      <c r="L114" s="389"/>
      <c r="M114" s="387"/>
      <c r="N114" s="389"/>
      <c r="O114" s="387"/>
      <c r="P114" s="389"/>
      <c r="Q114" s="387"/>
      <c r="R114" s="389"/>
      <c r="S114" s="387"/>
      <c r="T114" s="389"/>
      <c r="U114" s="387"/>
      <c r="V114" s="389"/>
      <c r="W114" s="387"/>
      <c r="X114" s="389"/>
      <c r="Y114" s="387"/>
      <c r="Z114" s="389"/>
      <c r="AA114" s="387"/>
      <c r="AB114" s="389"/>
      <c r="AC114" s="387"/>
      <c r="AD114" s="389"/>
      <c r="AE114" s="387"/>
      <c r="AF114" s="389"/>
      <c r="AG114" s="387"/>
      <c r="AH114" s="389"/>
      <c r="AI114" s="387"/>
      <c r="AJ114" s="394"/>
      <c r="AK114" s="387"/>
      <c r="AL114" s="394"/>
      <c r="AM114" s="389"/>
      <c r="AN114" s="394"/>
      <c r="AO114" s="389"/>
      <c r="AP114" s="389"/>
      <c r="AQ114" s="389"/>
      <c r="AR114" s="394"/>
      <c r="AS114" s="391">
        <f t="shared" si="33"/>
        <v>0</v>
      </c>
      <c r="AT114" s="392">
        <f t="shared" si="34"/>
        <v>0</v>
      </c>
    </row>
    <row r="115" ht="45.0" customHeight="1">
      <c r="A115" s="404" t="s">
        <v>292</v>
      </c>
      <c r="B115" s="794" t="s">
        <v>293</v>
      </c>
      <c r="C115" s="671"/>
      <c r="D115" s="671"/>
      <c r="E115" s="673"/>
      <c r="F115" s="673"/>
      <c r="G115" s="673"/>
      <c r="H115" s="673"/>
      <c r="I115" s="673"/>
      <c r="J115" s="673"/>
      <c r="K115" s="673"/>
      <c r="L115" s="673"/>
      <c r="M115" s="673"/>
      <c r="N115" s="673"/>
      <c r="O115" s="673"/>
      <c r="P115" s="673"/>
      <c r="Q115" s="673"/>
      <c r="R115" s="673"/>
      <c r="S115" s="673"/>
      <c r="T115" s="673"/>
      <c r="U115" s="673"/>
      <c r="V115" s="673"/>
      <c r="W115" s="673"/>
      <c r="X115" s="673"/>
      <c r="Y115" s="673"/>
      <c r="Z115" s="673"/>
      <c r="AA115" s="673"/>
      <c r="AB115" s="673"/>
      <c r="AC115" s="673"/>
      <c r="AD115" s="673"/>
      <c r="AE115" s="673"/>
      <c r="AF115" s="673"/>
      <c r="AG115" s="673"/>
      <c r="AH115" s="673"/>
      <c r="AI115" s="673"/>
      <c r="AJ115" s="676"/>
      <c r="AK115" s="673"/>
      <c r="AL115" s="676"/>
      <c r="AM115" s="673"/>
      <c r="AN115" s="676"/>
      <c r="AO115" s="673"/>
      <c r="AP115" s="673"/>
      <c r="AQ115" s="673"/>
      <c r="AR115" s="676"/>
      <c r="AS115" s="391">
        <f t="shared" si="33"/>
        <v>0</v>
      </c>
      <c r="AT115" s="392">
        <f t="shared" si="34"/>
        <v>0</v>
      </c>
    </row>
    <row r="116" ht="45.0" customHeight="1">
      <c r="A116" s="912" t="s">
        <v>294</v>
      </c>
      <c r="B116" s="422" t="s">
        <v>295</v>
      </c>
      <c r="C116" s="397"/>
      <c r="D116" s="398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  <c r="AA116" s="399"/>
      <c r="AB116" s="399"/>
      <c r="AC116" s="399"/>
      <c r="AD116" s="399"/>
      <c r="AE116" s="399"/>
      <c r="AF116" s="399"/>
      <c r="AG116" s="399"/>
      <c r="AH116" s="399"/>
      <c r="AI116" s="400"/>
      <c r="AJ116" s="400"/>
      <c r="AK116" s="400"/>
      <c r="AL116" s="400"/>
      <c r="AM116" s="400"/>
      <c r="AN116" s="400"/>
      <c r="AO116" s="400"/>
      <c r="AP116" s="400"/>
      <c r="AQ116" s="400"/>
      <c r="AR116" s="400"/>
      <c r="AS116" s="400"/>
      <c r="AT116" s="913"/>
      <c r="AU116" s="250"/>
      <c r="AV116" s="350"/>
    </row>
    <row r="117" ht="45.0" customHeight="1">
      <c r="A117" s="914" t="s">
        <v>296</v>
      </c>
      <c r="B117" s="386" t="s">
        <v>297</v>
      </c>
      <c r="C117" s="387" t="s">
        <v>68</v>
      </c>
      <c r="D117" s="388"/>
      <c r="E117" s="389" t="s">
        <v>68</v>
      </c>
      <c r="F117" s="389"/>
      <c r="G117" s="389" t="s">
        <v>68</v>
      </c>
      <c r="H117" s="389"/>
      <c r="I117" s="389" t="s">
        <v>68</v>
      </c>
      <c r="J117" s="389"/>
      <c r="K117" s="389" t="s">
        <v>68</v>
      </c>
      <c r="L117" s="389"/>
      <c r="M117" s="389"/>
      <c r="N117" s="389"/>
      <c r="O117" s="389"/>
      <c r="P117" s="389"/>
      <c r="Q117" s="389"/>
      <c r="R117" s="389"/>
      <c r="S117" s="389"/>
      <c r="T117" s="389"/>
      <c r="U117" s="389" t="s">
        <v>68</v>
      </c>
      <c r="V117" s="389"/>
      <c r="W117" s="389" t="s">
        <v>18</v>
      </c>
      <c r="X117" s="389"/>
      <c r="Y117" s="389" t="s">
        <v>18</v>
      </c>
      <c r="Z117" s="389"/>
      <c r="AA117" s="389" t="s">
        <v>18</v>
      </c>
      <c r="AB117" s="389"/>
      <c r="AC117" s="389" t="s">
        <v>18</v>
      </c>
      <c r="AD117" s="389"/>
      <c r="AE117" s="389" t="s">
        <v>85</v>
      </c>
      <c r="AF117" s="389"/>
      <c r="AG117" s="389" t="s">
        <v>85</v>
      </c>
      <c r="AH117" s="389"/>
      <c r="AI117" s="389"/>
      <c r="AJ117" s="394"/>
      <c r="AK117" s="389" t="s">
        <v>85</v>
      </c>
      <c r="AL117" s="394"/>
      <c r="AM117" s="394" t="s">
        <v>28</v>
      </c>
      <c r="AN117" s="394"/>
      <c r="AO117" s="394" t="s">
        <v>28</v>
      </c>
      <c r="AP117" s="394"/>
      <c r="AQ117" s="394" t="s">
        <v>28</v>
      </c>
      <c r="AR117" s="394"/>
      <c r="AS117" s="391">
        <f t="shared" ref="AS117:AS128" si="35">COUNTIF(C117:AR117,"&gt;=R")</f>
        <v>16</v>
      </c>
      <c r="AT117" s="392">
        <f t="shared" ref="AT117:AT128" si="36">AS117</f>
        <v>16</v>
      </c>
      <c r="AU117" s="250"/>
      <c r="AV117" s="350"/>
    </row>
    <row r="118" ht="45.0" customHeight="1">
      <c r="A118" s="914" t="s">
        <v>298</v>
      </c>
      <c r="B118" s="386" t="s">
        <v>299</v>
      </c>
      <c r="C118" s="387" t="s">
        <v>76</v>
      </c>
      <c r="D118" s="388"/>
      <c r="E118" s="389" t="s">
        <v>76</v>
      </c>
      <c r="F118" s="389"/>
      <c r="G118" s="394" t="s">
        <v>76</v>
      </c>
      <c r="H118" s="389"/>
      <c r="I118" s="394" t="s">
        <v>76</v>
      </c>
      <c r="J118" s="389"/>
      <c r="K118" s="394" t="s">
        <v>76</v>
      </c>
      <c r="L118" s="389"/>
      <c r="M118" s="389" t="s">
        <v>76</v>
      </c>
      <c r="N118" s="389"/>
      <c r="O118" s="389"/>
      <c r="P118" s="389"/>
      <c r="Q118" s="394"/>
      <c r="R118" s="389"/>
      <c r="S118" s="394" t="s">
        <v>76</v>
      </c>
      <c r="T118" s="389"/>
      <c r="U118" s="394" t="s">
        <v>76</v>
      </c>
      <c r="V118" s="389"/>
      <c r="W118" s="394" t="s">
        <v>8</v>
      </c>
      <c r="X118" s="389"/>
      <c r="Y118" s="394" t="s">
        <v>8</v>
      </c>
      <c r="Z118" s="389"/>
      <c r="AA118" s="394" t="s">
        <v>8</v>
      </c>
      <c r="AB118" s="389"/>
      <c r="AC118" s="394" t="s">
        <v>8</v>
      </c>
      <c r="AD118" s="389"/>
      <c r="AE118" s="394" t="s">
        <v>18</v>
      </c>
      <c r="AF118" s="389"/>
      <c r="AG118" s="389" t="s">
        <v>18</v>
      </c>
      <c r="AH118" s="389"/>
      <c r="AI118" s="389"/>
      <c r="AJ118" s="394"/>
      <c r="AK118" s="389" t="s">
        <v>28</v>
      </c>
      <c r="AL118" s="394"/>
      <c r="AM118" s="389" t="s">
        <v>76</v>
      </c>
      <c r="AN118" s="394"/>
      <c r="AO118" s="389" t="s">
        <v>76</v>
      </c>
      <c r="AP118" s="389"/>
      <c r="AQ118" s="389" t="s">
        <v>76</v>
      </c>
      <c r="AR118" s="394"/>
      <c r="AS118" s="391">
        <f t="shared" si="35"/>
        <v>18</v>
      </c>
      <c r="AT118" s="392">
        <f t="shared" si="36"/>
        <v>18</v>
      </c>
    </row>
    <row r="119" ht="45.0" customHeight="1">
      <c r="A119" s="914" t="s">
        <v>300</v>
      </c>
      <c r="B119" s="386" t="s">
        <v>301</v>
      </c>
      <c r="C119" s="387"/>
      <c r="D119" s="388"/>
      <c r="E119" s="387"/>
      <c r="F119" s="389"/>
      <c r="G119" s="387"/>
      <c r="H119" s="389"/>
      <c r="I119" s="387"/>
      <c r="J119" s="389"/>
      <c r="K119" s="387"/>
      <c r="L119" s="389"/>
      <c r="M119" s="387"/>
      <c r="N119" s="389"/>
      <c r="O119" s="387"/>
      <c r="P119" s="389"/>
      <c r="Q119" s="387"/>
      <c r="R119" s="389"/>
      <c r="S119" s="387"/>
      <c r="T119" s="389"/>
      <c r="U119" s="387"/>
      <c r="V119" s="389"/>
      <c r="W119" s="387"/>
      <c r="X119" s="389"/>
      <c r="Y119" s="387"/>
      <c r="Z119" s="389"/>
      <c r="AA119" s="387"/>
      <c r="AB119" s="389"/>
      <c r="AC119" s="387"/>
      <c r="AD119" s="389"/>
      <c r="AE119" s="387"/>
      <c r="AF119" s="389"/>
      <c r="AG119" s="387"/>
      <c r="AH119" s="389"/>
      <c r="AI119" s="387"/>
      <c r="AJ119" s="389"/>
      <c r="AK119" s="387"/>
      <c r="AL119" s="394"/>
      <c r="AM119" s="394"/>
      <c r="AN119" s="394"/>
      <c r="AO119" s="389"/>
      <c r="AP119" s="389"/>
      <c r="AQ119" s="389"/>
      <c r="AR119" s="394"/>
      <c r="AS119" s="391">
        <f t="shared" si="35"/>
        <v>0</v>
      </c>
      <c r="AT119" s="392">
        <f t="shared" si="36"/>
        <v>0</v>
      </c>
    </row>
    <row r="120" ht="45.0" customHeight="1">
      <c r="A120" s="914" t="s">
        <v>302</v>
      </c>
      <c r="B120" s="386" t="s">
        <v>303</v>
      </c>
      <c r="C120" s="388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7"/>
      <c r="Z120" s="389"/>
      <c r="AA120" s="387"/>
      <c r="AB120" s="389"/>
      <c r="AC120" s="387"/>
      <c r="AD120" s="389"/>
      <c r="AE120" s="387"/>
      <c r="AF120" s="389"/>
      <c r="AG120" s="387"/>
      <c r="AH120" s="389"/>
      <c r="AI120" s="387"/>
      <c r="AJ120" s="394"/>
      <c r="AK120" s="387"/>
      <c r="AL120" s="394"/>
      <c r="AM120" s="387"/>
      <c r="AN120" s="394"/>
      <c r="AO120" s="389"/>
      <c r="AP120" s="389"/>
      <c r="AQ120" s="389"/>
      <c r="AR120" s="394"/>
      <c r="AS120" s="391">
        <f t="shared" si="35"/>
        <v>0</v>
      </c>
      <c r="AT120" s="392">
        <f t="shared" si="36"/>
        <v>0</v>
      </c>
      <c r="AU120" s="250"/>
      <c r="AV120" s="350"/>
    </row>
    <row r="121" ht="45.0" customHeight="1">
      <c r="A121" s="914" t="s">
        <v>304</v>
      </c>
      <c r="B121" s="386" t="s">
        <v>305</v>
      </c>
      <c r="C121" s="387" t="s">
        <v>85</v>
      </c>
      <c r="D121" s="388"/>
      <c r="E121" s="389" t="s">
        <v>85</v>
      </c>
      <c r="F121" s="389"/>
      <c r="G121" s="394" t="s">
        <v>85</v>
      </c>
      <c r="H121" s="389"/>
      <c r="I121" s="394" t="s">
        <v>85</v>
      </c>
      <c r="J121" s="389"/>
      <c r="K121" s="394" t="s">
        <v>85</v>
      </c>
      <c r="L121" s="389"/>
      <c r="M121" s="389"/>
      <c r="N121" s="389"/>
      <c r="O121" s="389"/>
      <c r="P121" s="389"/>
      <c r="Q121" s="394"/>
      <c r="R121" s="389"/>
      <c r="S121" s="394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94"/>
      <c r="AK121" s="389"/>
      <c r="AL121" s="394"/>
      <c r="AM121" s="394" t="s">
        <v>85</v>
      </c>
      <c r="AN121" s="394"/>
      <c r="AO121" s="394"/>
      <c r="AP121" s="394"/>
      <c r="AQ121" s="394"/>
      <c r="AR121" s="394"/>
      <c r="AS121" s="391">
        <f t="shared" si="35"/>
        <v>6</v>
      </c>
      <c r="AT121" s="392">
        <f t="shared" si="36"/>
        <v>6</v>
      </c>
    </row>
    <row r="122" ht="45.0" customHeight="1">
      <c r="A122" s="914" t="s">
        <v>306</v>
      </c>
      <c r="B122" s="386" t="s">
        <v>307</v>
      </c>
      <c r="C122" s="387" t="s">
        <v>85</v>
      </c>
      <c r="D122" s="388"/>
      <c r="E122" s="389" t="s">
        <v>85</v>
      </c>
      <c r="F122" s="389"/>
      <c r="G122" s="394" t="s">
        <v>85</v>
      </c>
      <c r="H122" s="389"/>
      <c r="I122" s="394" t="s">
        <v>85</v>
      </c>
      <c r="J122" s="389"/>
      <c r="K122" s="394" t="s">
        <v>85</v>
      </c>
      <c r="L122" s="389"/>
      <c r="M122" s="394"/>
      <c r="N122" s="389"/>
      <c r="O122" s="394"/>
      <c r="P122" s="389"/>
      <c r="Q122" s="394"/>
      <c r="R122" s="389"/>
      <c r="S122" s="394"/>
      <c r="T122" s="389"/>
      <c r="U122" s="394"/>
      <c r="V122" s="394"/>
      <c r="W122" s="394"/>
      <c r="X122" s="394"/>
      <c r="Y122" s="394"/>
      <c r="Z122" s="394"/>
      <c r="AA122" s="394"/>
      <c r="AB122" s="394"/>
      <c r="AC122" s="394"/>
      <c r="AD122" s="394"/>
      <c r="AE122" s="394"/>
      <c r="AF122" s="394"/>
      <c r="AG122" s="394"/>
      <c r="AH122" s="394"/>
      <c r="AI122" s="394"/>
      <c r="AJ122" s="394"/>
      <c r="AK122" s="394"/>
      <c r="AL122" s="394"/>
      <c r="AM122" s="394" t="s">
        <v>85</v>
      </c>
      <c r="AN122" s="394"/>
      <c r="AO122" s="394"/>
      <c r="AP122" s="394"/>
      <c r="AQ122" s="394"/>
      <c r="AR122" s="394"/>
      <c r="AS122" s="391">
        <f t="shared" si="35"/>
        <v>6</v>
      </c>
      <c r="AT122" s="392">
        <f t="shared" si="36"/>
        <v>6</v>
      </c>
    </row>
    <row r="123" ht="45.0" customHeight="1">
      <c r="A123" s="914" t="s">
        <v>308</v>
      </c>
      <c r="B123" s="386" t="s">
        <v>309</v>
      </c>
      <c r="C123" s="387"/>
      <c r="D123" s="388"/>
      <c r="E123" s="389"/>
      <c r="F123" s="389"/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94"/>
      <c r="V123" s="394"/>
      <c r="W123" s="394"/>
      <c r="X123" s="394"/>
      <c r="Y123" s="394"/>
      <c r="Z123" s="394"/>
      <c r="AA123" s="394"/>
      <c r="AB123" s="394"/>
      <c r="AC123" s="394"/>
      <c r="AD123" s="394"/>
      <c r="AE123" s="394"/>
      <c r="AF123" s="394"/>
      <c r="AG123" s="394"/>
      <c r="AH123" s="394"/>
      <c r="AI123" s="394"/>
      <c r="AJ123" s="394"/>
      <c r="AK123" s="394"/>
      <c r="AL123" s="394"/>
      <c r="AM123" s="394"/>
      <c r="AN123" s="394"/>
      <c r="AO123" s="394"/>
      <c r="AP123" s="394"/>
      <c r="AQ123" s="394"/>
      <c r="AR123" s="394"/>
      <c r="AS123" s="391">
        <f t="shared" si="35"/>
        <v>0</v>
      </c>
      <c r="AT123" s="392">
        <f t="shared" si="36"/>
        <v>0</v>
      </c>
    </row>
    <row r="124" ht="45.0" customHeight="1">
      <c r="A124" s="914" t="s">
        <v>310</v>
      </c>
      <c r="B124" s="386" t="s">
        <v>311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4"/>
      <c r="AB124" s="394"/>
      <c r="AC124" s="394"/>
      <c r="AD124" s="394"/>
      <c r="AE124" s="394"/>
      <c r="AF124" s="394"/>
      <c r="AG124" s="394"/>
      <c r="AH124" s="394"/>
      <c r="AI124" s="394"/>
      <c r="AJ124" s="394"/>
      <c r="AK124" s="394"/>
      <c r="AL124" s="394"/>
      <c r="AM124" s="394"/>
      <c r="AN124" s="394"/>
      <c r="AO124" s="389"/>
      <c r="AP124" s="389"/>
      <c r="AQ124" s="389"/>
      <c r="AR124" s="394"/>
      <c r="AS124" s="391">
        <f t="shared" si="35"/>
        <v>0</v>
      </c>
      <c r="AT124" s="392">
        <f t="shared" si="36"/>
        <v>0</v>
      </c>
    </row>
    <row r="125" ht="45.0" customHeight="1">
      <c r="A125" s="914" t="s">
        <v>312</v>
      </c>
      <c r="B125" s="386" t="s">
        <v>313</v>
      </c>
      <c r="C125" s="387"/>
      <c r="D125" s="387"/>
      <c r="E125" s="394"/>
      <c r="F125" s="394"/>
      <c r="G125" s="394"/>
      <c r="H125" s="394"/>
      <c r="I125" s="394"/>
      <c r="J125" s="394"/>
      <c r="K125" s="394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  <c r="V125" s="394"/>
      <c r="W125" s="394"/>
      <c r="X125" s="394"/>
      <c r="Y125" s="394"/>
      <c r="Z125" s="394"/>
      <c r="AA125" s="394"/>
      <c r="AB125" s="394"/>
      <c r="AC125" s="394"/>
      <c r="AD125" s="394"/>
      <c r="AE125" s="394"/>
      <c r="AF125" s="394"/>
      <c r="AG125" s="394"/>
      <c r="AH125" s="394"/>
      <c r="AI125" s="394"/>
      <c r="AJ125" s="394"/>
      <c r="AK125" s="394"/>
      <c r="AL125" s="394"/>
      <c r="AM125" s="394"/>
      <c r="AN125" s="394"/>
      <c r="AO125" s="394"/>
      <c r="AP125" s="394"/>
      <c r="AQ125" s="394"/>
      <c r="AR125" s="394"/>
      <c r="AS125" s="391">
        <f t="shared" si="35"/>
        <v>0</v>
      </c>
      <c r="AT125" s="392">
        <f t="shared" si="36"/>
        <v>0</v>
      </c>
    </row>
    <row r="126" ht="45.0" customHeight="1">
      <c r="A126" s="914" t="s">
        <v>314</v>
      </c>
      <c r="B126" s="386" t="s">
        <v>315</v>
      </c>
      <c r="C126" s="387"/>
      <c r="D126" s="387"/>
      <c r="E126" s="394"/>
      <c r="F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  <c r="AA126" s="394"/>
      <c r="AB126" s="394"/>
      <c r="AC126" s="394"/>
      <c r="AD126" s="394"/>
      <c r="AE126" s="394"/>
      <c r="AF126" s="394"/>
      <c r="AG126" s="394"/>
      <c r="AH126" s="394"/>
      <c r="AI126" s="394"/>
      <c r="AJ126" s="394"/>
      <c r="AK126" s="394"/>
      <c r="AL126" s="394"/>
      <c r="AM126" s="394"/>
      <c r="AN126" s="394"/>
      <c r="AO126" s="394"/>
      <c r="AP126" s="394"/>
      <c r="AQ126" s="394"/>
      <c r="AR126" s="394"/>
      <c r="AS126" s="391">
        <f t="shared" si="35"/>
        <v>0</v>
      </c>
      <c r="AT126" s="392">
        <f t="shared" si="36"/>
        <v>0</v>
      </c>
    </row>
    <row r="127" ht="45.0" customHeight="1">
      <c r="A127" s="914" t="s">
        <v>316</v>
      </c>
      <c r="B127" s="386" t="s">
        <v>317</v>
      </c>
      <c r="C127" s="387"/>
      <c r="D127" s="387"/>
      <c r="E127" s="394"/>
      <c r="F127" s="394"/>
      <c r="G127" s="394"/>
      <c r="H127" s="394"/>
      <c r="I127" s="394"/>
      <c r="J127" s="394"/>
      <c r="K127" s="394"/>
      <c r="L127" s="394"/>
      <c r="M127" s="394"/>
      <c r="N127" s="394"/>
      <c r="O127" s="394"/>
      <c r="P127" s="394"/>
      <c r="Q127" s="394"/>
      <c r="R127" s="394"/>
      <c r="S127" s="394"/>
      <c r="T127" s="394"/>
      <c r="U127" s="394"/>
      <c r="V127" s="394"/>
      <c r="W127" s="394"/>
      <c r="X127" s="394"/>
      <c r="Y127" s="394"/>
      <c r="Z127" s="394"/>
      <c r="AA127" s="394"/>
      <c r="AB127" s="394"/>
      <c r="AC127" s="394"/>
      <c r="AD127" s="394"/>
      <c r="AE127" s="394"/>
      <c r="AF127" s="394"/>
      <c r="AG127" s="394"/>
      <c r="AH127" s="394"/>
      <c r="AI127" s="394"/>
      <c r="AJ127" s="394"/>
      <c r="AK127" s="394"/>
      <c r="AL127" s="394"/>
      <c r="AM127" s="387"/>
      <c r="AN127" s="394"/>
      <c r="AO127" s="387"/>
      <c r="AP127" s="387"/>
      <c r="AQ127" s="387"/>
      <c r="AR127" s="394"/>
      <c r="AS127" s="391">
        <f t="shared" si="35"/>
        <v>0</v>
      </c>
      <c r="AT127" s="392">
        <f t="shared" si="36"/>
        <v>0</v>
      </c>
    </row>
    <row r="128" ht="45.0" customHeight="1">
      <c r="A128" s="914" t="s">
        <v>318</v>
      </c>
      <c r="B128" s="386" t="s">
        <v>319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87"/>
      <c r="Z128" s="394"/>
      <c r="AA128" s="387"/>
      <c r="AB128" s="394"/>
      <c r="AC128" s="387"/>
      <c r="AD128" s="394"/>
      <c r="AE128" s="387"/>
      <c r="AF128" s="394"/>
      <c r="AG128" s="387"/>
      <c r="AH128" s="394"/>
      <c r="AI128" s="387"/>
      <c r="AJ128" s="394"/>
      <c r="AK128" s="387"/>
      <c r="AL128" s="394"/>
      <c r="AM128" s="387"/>
      <c r="AN128" s="394"/>
      <c r="AO128" s="387"/>
      <c r="AP128" s="387"/>
      <c r="AQ128" s="387"/>
      <c r="AR128" s="394"/>
      <c r="AS128" s="391">
        <f t="shared" si="35"/>
        <v>0</v>
      </c>
      <c r="AT128" s="392">
        <f t="shared" si="36"/>
        <v>0</v>
      </c>
    </row>
    <row r="129" ht="45.0" customHeight="1">
      <c r="A129" s="923" t="s">
        <v>320</v>
      </c>
      <c r="B129" s="424" t="s">
        <v>321</v>
      </c>
      <c r="C129" s="397"/>
      <c r="D129" s="398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  <c r="AA129" s="399"/>
      <c r="AB129" s="399"/>
      <c r="AC129" s="399"/>
      <c r="AD129" s="399"/>
      <c r="AE129" s="399"/>
      <c r="AF129" s="399"/>
      <c r="AG129" s="399"/>
      <c r="AH129" s="399"/>
      <c r="AI129" s="400"/>
      <c r="AJ129" s="400"/>
      <c r="AK129" s="400"/>
      <c r="AL129" s="400"/>
      <c r="AM129" s="400"/>
      <c r="AN129" s="400"/>
      <c r="AO129" s="400"/>
      <c r="AP129" s="400"/>
      <c r="AQ129" s="400"/>
      <c r="AR129" s="400"/>
      <c r="AS129" s="400"/>
      <c r="AT129" s="913"/>
    </row>
    <row r="130" ht="45.0" customHeight="1">
      <c r="A130" s="910" t="s">
        <v>322</v>
      </c>
      <c r="B130" s="425" t="s">
        <v>323</v>
      </c>
      <c r="C130" s="397"/>
      <c r="D130" s="398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  <c r="AA130" s="399"/>
      <c r="AB130" s="399"/>
      <c r="AC130" s="399"/>
      <c r="AD130" s="399"/>
      <c r="AE130" s="399"/>
      <c r="AF130" s="399"/>
      <c r="AG130" s="399"/>
      <c r="AH130" s="399"/>
      <c r="AI130" s="400"/>
      <c r="AJ130" s="400"/>
      <c r="AK130" s="400"/>
      <c r="AL130" s="400"/>
      <c r="AM130" s="400"/>
      <c r="AN130" s="400"/>
      <c r="AO130" s="400"/>
      <c r="AP130" s="400"/>
      <c r="AQ130" s="400"/>
      <c r="AR130" s="400"/>
      <c r="AS130" s="400"/>
      <c r="AT130" s="913"/>
    </row>
    <row r="131" ht="45.0" customHeight="1">
      <c r="A131" s="919" t="s">
        <v>324</v>
      </c>
      <c r="B131" s="426" t="s">
        <v>325</v>
      </c>
      <c r="C131" s="387"/>
      <c r="D131" s="387"/>
      <c r="E131" s="387"/>
      <c r="F131" s="394"/>
      <c r="G131" s="387"/>
      <c r="H131" s="394"/>
      <c r="I131" s="387"/>
      <c r="J131" s="394"/>
      <c r="K131" s="387"/>
      <c r="L131" s="394"/>
      <c r="M131" s="387"/>
      <c r="N131" s="394"/>
      <c r="O131" s="387"/>
      <c r="P131" s="394"/>
      <c r="Q131" s="387"/>
      <c r="R131" s="394"/>
      <c r="S131" s="387"/>
      <c r="T131" s="394"/>
      <c r="U131" s="387"/>
      <c r="V131" s="394"/>
      <c r="W131" s="387"/>
      <c r="X131" s="394"/>
      <c r="Y131" s="387"/>
      <c r="Z131" s="394"/>
      <c r="AA131" s="387"/>
      <c r="AB131" s="394"/>
      <c r="AC131" s="387"/>
      <c r="AD131" s="394"/>
      <c r="AE131" s="387"/>
      <c r="AF131" s="394"/>
      <c r="AG131" s="387"/>
      <c r="AH131" s="394"/>
      <c r="AI131" s="387"/>
      <c r="AJ131" s="394"/>
      <c r="AK131" s="387"/>
      <c r="AL131" s="394"/>
      <c r="AM131" s="389"/>
      <c r="AN131" s="394"/>
      <c r="AO131" s="389"/>
      <c r="AP131" s="389"/>
      <c r="AQ131" s="389"/>
      <c r="AR131" s="394"/>
      <c r="AS131" s="391">
        <f t="shared" ref="AS131:AS142" si="37">COUNTIF(C131:AR131,"&gt;=R")</f>
        <v>0</v>
      </c>
      <c r="AT131" s="392">
        <f t="shared" ref="AT131:AT142" si="38">AS131</f>
        <v>0</v>
      </c>
    </row>
    <row r="132" ht="45.0" customHeight="1">
      <c r="A132" s="924" t="s">
        <v>326</v>
      </c>
      <c r="B132" s="428" t="s">
        <v>327</v>
      </c>
      <c r="C132" s="387"/>
      <c r="D132" s="387"/>
      <c r="E132" s="387"/>
      <c r="F132" s="394"/>
      <c r="G132" s="387"/>
      <c r="H132" s="394"/>
      <c r="I132" s="387"/>
      <c r="J132" s="394"/>
      <c r="K132" s="387"/>
      <c r="L132" s="394"/>
      <c r="M132" s="387"/>
      <c r="N132" s="394"/>
      <c r="O132" s="387"/>
      <c r="P132" s="394"/>
      <c r="Q132" s="387"/>
      <c r="R132" s="394"/>
      <c r="S132" s="387"/>
      <c r="T132" s="394"/>
      <c r="U132" s="387"/>
      <c r="V132" s="394"/>
      <c r="W132" s="387"/>
      <c r="X132" s="394"/>
      <c r="Y132" s="387"/>
      <c r="Z132" s="394"/>
      <c r="AA132" s="387"/>
      <c r="AB132" s="394"/>
      <c r="AC132" s="387"/>
      <c r="AD132" s="394"/>
      <c r="AE132" s="387"/>
      <c r="AF132" s="394"/>
      <c r="AG132" s="387"/>
      <c r="AH132" s="394"/>
      <c r="AI132" s="387"/>
      <c r="AJ132" s="394"/>
      <c r="AK132" s="387"/>
      <c r="AL132" s="394"/>
      <c r="AM132" s="389"/>
      <c r="AN132" s="394"/>
      <c r="AO132" s="389"/>
      <c r="AP132" s="389"/>
      <c r="AQ132" s="389"/>
      <c r="AR132" s="394"/>
      <c r="AS132" s="391">
        <f t="shared" si="37"/>
        <v>0</v>
      </c>
      <c r="AT132" s="392">
        <f t="shared" si="38"/>
        <v>0</v>
      </c>
    </row>
    <row r="133" ht="45.0" customHeight="1">
      <c r="A133" s="919" t="s">
        <v>328</v>
      </c>
      <c r="B133" s="426" t="s">
        <v>329</v>
      </c>
      <c r="C133" s="387"/>
      <c r="D133" s="387"/>
      <c r="E133" s="394"/>
      <c r="F133" s="394"/>
      <c r="G133" s="394"/>
      <c r="H133" s="394"/>
      <c r="I133" s="394"/>
      <c r="J133" s="394"/>
      <c r="K133" s="394"/>
      <c r="L133" s="394"/>
      <c r="M133" s="394"/>
      <c r="N133" s="394"/>
      <c r="O133" s="389"/>
      <c r="P133" s="394"/>
      <c r="Q133" s="389"/>
      <c r="R133" s="394"/>
      <c r="S133" s="389"/>
      <c r="T133" s="394"/>
      <c r="U133" s="389"/>
      <c r="V133" s="394"/>
      <c r="W133" s="389"/>
      <c r="X133" s="394"/>
      <c r="Y133" s="389"/>
      <c r="Z133" s="394"/>
      <c r="AA133" s="389"/>
      <c r="AB133" s="394"/>
      <c r="AC133" s="389"/>
      <c r="AD133" s="394"/>
      <c r="AE133" s="389"/>
      <c r="AF133" s="394"/>
      <c r="AG133" s="389"/>
      <c r="AH133" s="394"/>
      <c r="AI133" s="389"/>
      <c r="AJ133" s="394"/>
      <c r="AK133" s="389"/>
      <c r="AL133" s="394"/>
      <c r="AM133" s="394"/>
      <c r="AN133" s="394"/>
      <c r="AO133" s="394"/>
      <c r="AP133" s="394"/>
      <c r="AQ133" s="394"/>
      <c r="AR133" s="394"/>
      <c r="AS133" s="391">
        <f t="shared" si="37"/>
        <v>0</v>
      </c>
      <c r="AT133" s="392">
        <f t="shared" si="38"/>
        <v>0</v>
      </c>
    </row>
    <row r="134" ht="45.0" customHeight="1">
      <c r="A134" s="919" t="s">
        <v>330</v>
      </c>
      <c r="B134" s="426" t="s">
        <v>331</v>
      </c>
      <c r="C134" s="388"/>
      <c r="D134" s="387"/>
      <c r="E134" s="389"/>
      <c r="F134" s="394"/>
      <c r="G134" s="389"/>
      <c r="H134" s="394"/>
      <c r="I134" s="389"/>
      <c r="J134" s="394"/>
      <c r="K134" s="389"/>
      <c r="L134" s="394"/>
      <c r="M134" s="389"/>
      <c r="N134" s="394"/>
      <c r="O134" s="389"/>
      <c r="P134" s="394"/>
      <c r="Q134" s="389"/>
      <c r="R134" s="394"/>
      <c r="S134" s="389"/>
      <c r="T134" s="394"/>
      <c r="U134" s="389"/>
      <c r="V134" s="394"/>
      <c r="W134" s="389"/>
      <c r="X134" s="394"/>
      <c r="Y134" s="389"/>
      <c r="Z134" s="394"/>
      <c r="AA134" s="389"/>
      <c r="AB134" s="394"/>
      <c r="AC134" s="389"/>
      <c r="AD134" s="394"/>
      <c r="AE134" s="389"/>
      <c r="AF134" s="394"/>
      <c r="AG134" s="389"/>
      <c r="AH134" s="394"/>
      <c r="AI134" s="389"/>
      <c r="AJ134" s="394"/>
      <c r="AK134" s="389"/>
      <c r="AL134" s="394"/>
      <c r="AM134" s="394"/>
      <c r="AN134" s="394"/>
      <c r="AO134" s="394"/>
      <c r="AP134" s="394"/>
      <c r="AQ134" s="394"/>
      <c r="AR134" s="394"/>
      <c r="AS134" s="391">
        <f t="shared" si="37"/>
        <v>0</v>
      </c>
      <c r="AT134" s="392">
        <f t="shared" si="38"/>
        <v>0</v>
      </c>
    </row>
    <row r="135" ht="45.0" customHeight="1">
      <c r="A135" s="919" t="s">
        <v>332</v>
      </c>
      <c r="B135" s="426" t="s">
        <v>333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4"/>
      <c r="AB135" s="394"/>
      <c r="AC135" s="394"/>
      <c r="AD135" s="394"/>
      <c r="AE135" s="394"/>
      <c r="AF135" s="394"/>
      <c r="AG135" s="394"/>
      <c r="AH135" s="394"/>
      <c r="AI135" s="394"/>
      <c r="AJ135" s="394"/>
      <c r="AK135" s="394"/>
      <c r="AL135" s="394"/>
      <c r="AM135" s="394"/>
      <c r="AN135" s="394"/>
      <c r="AO135" s="394"/>
      <c r="AP135" s="394"/>
      <c r="AQ135" s="394"/>
      <c r="AR135" s="394"/>
      <c r="AS135" s="391">
        <f t="shared" si="37"/>
        <v>0</v>
      </c>
      <c r="AT135" s="392">
        <f t="shared" si="38"/>
        <v>0</v>
      </c>
    </row>
    <row r="136" ht="45.0" customHeight="1">
      <c r="A136" s="919" t="s">
        <v>334</v>
      </c>
      <c r="B136" s="426" t="s">
        <v>335</v>
      </c>
      <c r="C136" s="387"/>
      <c r="D136" s="388"/>
      <c r="E136" s="387"/>
      <c r="F136" s="389"/>
      <c r="G136" s="387"/>
      <c r="H136" s="389"/>
      <c r="I136" s="387"/>
      <c r="J136" s="389"/>
      <c r="K136" s="387"/>
      <c r="L136" s="394"/>
      <c r="M136" s="387"/>
      <c r="N136" s="394"/>
      <c r="O136" s="387"/>
      <c r="P136" s="394"/>
      <c r="Q136" s="387"/>
      <c r="R136" s="394"/>
      <c r="S136" s="387"/>
      <c r="T136" s="394"/>
      <c r="U136" s="387"/>
      <c r="V136" s="394"/>
      <c r="W136" s="387"/>
      <c r="X136" s="394"/>
      <c r="Y136" s="387"/>
      <c r="Z136" s="394"/>
      <c r="AA136" s="387"/>
      <c r="AB136" s="394"/>
      <c r="AC136" s="387"/>
      <c r="AD136" s="394"/>
      <c r="AE136" s="387"/>
      <c r="AF136" s="394"/>
      <c r="AG136" s="387"/>
      <c r="AH136" s="394"/>
      <c r="AI136" s="387"/>
      <c r="AJ136" s="394"/>
      <c r="AK136" s="387"/>
      <c r="AL136" s="394"/>
      <c r="AM136" s="389"/>
      <c r="AN136" s="394"/>
      <c r="AO136" s="389"/>
      <c r="AP136" s="389"/>
      <c r="AQ136" s="389"/>
      <c r="AR136" s="394"/>
      <c r="AS136" s="391">
        <f t="shared" si="37"/>
        <v>0</v>
      </c>
      <c r="AT136" s="392">
        <f t="shared" si="38"/>
        <v>0</v>
      </c>
    </row>
    <row r="137" ht="45.0" customHeight="1">
      <c r="A137" s="919" t="s">
        <v>336</v>
      </c>
      <c r="B137" s="426" t="s">
        <v>337</v>
      </c>
      <c r="C137" s="387"/>
      <c r="D137" s="387"/>
      <c r="E137" s="387"/>
      <c r="F137" s="394"/>
      <c r="G137" s="387"/>
      <c r="H137" s="394"/>
      <c r="I137" s="387"/>
      <c r="J137" s="394"/>
      <c r="K137" s="387"/>
      <c r="L137" s="394"/>
      <c r="M137" s="387"/>
      <c r="N137" s="394"/>
      <c r="O137" s="387"/>
      <c r="P137" s="394"/>
      <c r="Q137" s="387"/>
      <c r="R137" s="394"/>
      <c r="S137" s="387"/>
      <c r="T137" s="394"/>
      <c r="U137" s="387"/>
      <c r="V137" s="394"/>
      <c r="W137" s="387"/>
      <c r="X137" s="394"/>
      <c r="Y137" s="387"/>
      <c r="Z137" s="394"/>
      <c r="AA137" s="387"/>
      <c r="AB137" s="394"/>
      <c r="AC137" s="387"/>
      <c r="AD137" s="394"/>
      <c r="AE137" s="387"/>
      <c r="AF137" s="394"/>
      <c r="AG137" s="387"/>
      <c r="AH137" s="394"/>
      <c r="AI137" s="387"/>
      <c r="AJ137" s="394"/>
      <c r="AK137" s="387"/>
      <c r="AL137" s="394"/>
      <c r="AM137" s="389"/>
      <c r="AN137" s="394"/>
      <c r="AO137" s="394"/>
      <c r="AP137" s="394"/>
      <c r="AQ137" s="394"/>
      <c r="AR137" s="394"/>
      <c r="AS137" s="391">
        <f t="shared" si="37"/>
        <v>0</v>
      </c>
      <c r="AT137" s="392">
        <f t="shared" si="38"/>
        <v>0</v>
      </c>
    </row>
    <row r="138" ht="45.0" customHeight="1">
      <c r="A138" s="919" t="s">
        <v>338</v>
      </c>
      <c r="B138" s="426" t="s">
        <v>339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4"/>
      <c r="AB138" s="394"/>
      <c r="AC138" s="394"/>
      <c r="AD138" s="394"/>
      <c r="AE138" s="394"/>
      <c r="AF138" s="394"/>
      <c r="AG138" s="394"/>
      <c r="AH138" s="394"/>
      <c r="AI138" s="394"/>
      <c r="AJ138" s="394"/>
      <c r="AK138" s="394"/>
      <c r="AL138" s="394"/>
      <c r="AM138" s="387"/>
      <c r="AN138" s="394"/>
      <c r="AO138" s="387"/>
      <c r="AP138" s="387"/>
      <c r="AQ138" s="387"/>
      <c r="AR138" s="394"/>
      <c r="AS138" s="391">
        <f t="shared" si="37"/>
        <v>0</v>
      </c>
      <c r="AT138" s="392">
        <f t="shared" si="38"/>
        <v>0</v>
      </c>
    </row>
    <row r="139" ht="45.0" customHeight="1">
      <c r="A139" s="919" t="s">
        <v>340</v>
      </c>
      <c r="B139" s="426" t="s">
        <v>341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4"/>
      <c r="AB139" s="394"/>
      <c r="AC139" s="394"/>
      <c r="AD139" s="394"/>
      <c r="AE139" s="394"/>
      <c r="AF139" s="394"/>
      <c r="AG139" s="394"/>
      <c r="AH139" s="394"/>
      <c r="AI139" s="394"/>
      <c r="AJ139" s="394"/>
      <c r="AK139" s="394"/>
      <c r="AL139" s="394"/>
      <c r="AM139" s="394"/>
      <c r="AN139" s="394"/>
      <c r="AO139" s="394"/>
      <c r="AP139" s="394"/>
      <c r="AQ139" s="394"/>
      <c r="AR139" s="394"/>
      <c r="AS139" s="391">
        <f t="shared" si="37"/>
        <v>0</v>
      </c>
      <c r="AT139" s="392">
        <f t="shared" si="38"/>
        <v>0</v>
      </c>
    </row>
    <row r="140" ht="45.0" customHeight="1">
      <c r="A140" s="919" t="s">
        <v>342</v>
      </c>
      <c r="B140" s="426" t="s">
        <v>343</v>
      </c>
      <c r="C140" s="387"/>
      <c r="D140" s="387"/>
      <c r="E140" s="394"/>
      <c r="F140" s="394"/>
      <c r="G140" s="394"/>
      <c r="H140" s="394"/>
      <c r="I140" s="394"/>
      <c r="J140" s="394"/>
      <c r="K140" s="394"/>
      <c r="L140" s="394"/>
      <c r="M140" s="394"/>
      <c r="N140" s="394"/>
      <c r="O140" s="394"/>
      <c r="P140" s="394"/>
      <c r="Q140" s="394"/>
      <c r="R140" s="394"/>
      <c r="S140" s="394"/>
      <c r="T140" s="394"/>
      <c r="U140" s="394"/>
      <c r="V140" s="394"/>
      <c r="W140" s="394"/>
      <c r="X140" s="394"/>
      <c r="Y140" s="394"/>
      <c r="Z140" s="394"/>
      <c r="AA140" s="394"/>
      <c r="AB140" s="394"/>
      <c r="AC140" s="394"/>
      <c r="AD140" s="394"/>
      <c r="AE140" s="394"/>
      <c r="AF140" s="394"/>
      <c r="AG140" s="394"/>
      <c r="AH140" s="394"/>
      <c r="AI140" s="394"/>
      <c r="AJ140" s="394"/>
      <c r="AK140" s="394"/>
      <c r="AL140" s="394"/>
      <c r="AM140" s="394"/>
      <c r="AN140" s="394"/>
      <c r="AO140" s="394"/>
      <c r="AP140" s="394"/>
      <c r="AQ140" s="394"/>
      <c r="AR140" s="394"/>
      <c r="AS140" s="391">
        <f t="shared" si="37"/>
        <v>0</v>
      </c>
      <c r="AT140" s="392">
        <f t="shared" si="38"/>
        <v>0</v>
      </c>
    </row>
    <row r="141" ht="45.0" customHeight="1">
      <c r="A141" s="919" t="s">
        <v>344</v>
      </c>
      <c r="B141" s="426" t="s">
        <v>345</v>
      </c>
      <c r="C141" s="387"/>
      <c r="D141" s="387"/>
      <c r="E141" s="394"/>
      <c r="F141" s="394"/>
      <c r="G141" s="394"/>
      <c r="H141" s="394"/>
      <c r="I141" s="394"/>
      <c r="J141" s="394"/>
      <c r="K141" s="394"/>
      <c r="L141" s="394"/>
      <c r="M141" s="394"/>
      <c r="N141" s="394"/>
      <c r="O141" s="394"/>
      <c r="P141" s="394"/>
      <c r="Q141" s="394"/>
      <c r="R141" s="394"/>
      <c r="S141" s="394"/>
      <c r="T141" s="394"/>
      <c r="U141" s="394"/>
      <c r="V141" s="394"/>
      <c r="W141" s="394"/>
      <c r="X141" s="394"/>
      <c r="Y141" s="394"/>
      <c r="Z141" s="394"/>
      <c r="AA141" s="394"/>
      <c r="AB141" s="394"/>
      <c r="AC141" s="394"/>
      <c r="AD141" s="394"/>
      <c r="AE141" s="394"/>
      <c r="AF141" s="394"/>
      <c r="AG141" s="394"/>
      <c r="AH141" s="394"/>
      <c r="AI141" s="394"/>
      <c r="AJ141" s="394"/>
      <c r="AK141" s="394"/>
      <c r="AL141" s="394"/>
      <c r="AM141" s="394"/>
      <c r="AN141" s="394"/>
      <c r="AO141" s="394"/>
      <c r="AP141" s="394"/>
      <c r="AQ141" s="394"/>
      <c r="AR141" s="394"/>
      <c r="AS141" s="391">
        <f t="shared" si="37"/>
        <v>0</v>
      </c>
      <c r="AT141" s="392">
        <f t="shared" si="38"/>
        <v>0</v>
      </c>
    </row>
    <row r="142" ht="45.0" customHeight="1">
      <c r="A142" s="919" t="s">
        <v>346</v>
      </c>
      <c r="B142" s="426" t="s">
        <v>347</v>
      </c>
      <c r="C142" s="387"/>
      <c r="D142" s="387"/>
      <c r="E142" s="394"/>
      <c r="F142" s="394"/>
      <c r="G142" s="394"/>
      <c r="H142" s="394"/>
      <c r="I142" s="394"/>
      <c r="J142" s="394"/>
      <c r="K142" s="394"/>
      <c r="L142" s="394"/>
      <c r="M142" s="394"/>
      <c r="N142" s="394"/>
      <c r="O142" s="394"/>
      <c r="P142" s="394"/>
      <c r="Q142" s="394"/>
      <c r="R142" s="394"/>
      <c r="S142" s="394"/>
      <c r="T142" s="394"/>
      <c r="U142" s="394"/>
      <c r="V142" s="394"/>
      <c r="W142" s="394"/>
      <c r="X142" s="394"/>
      <c r="Y142" s="394"/>
      <c r="Z142" s="394"/>
      <c r="AA142" s="394"/>
      <c r="AB142" s="394"/>
      <c r="AC142" s="394"/>
      <c r="AD142" s="394"/>
      <c r="AE142" s="394"/>
      <c r="AF142" s="394"/>
      <c r="AG142" s="394"/>
      <c r="AH142" s="394"/>
      <c r="AI142" s="394"/>
      <c r="AJ142" s="394"/>
      <c r="AK142" s="394"/>
      <c r="AL142" s="394"/>
      <c r="AM142" s="389"/>
      <c r="AN142" s="394"/>
      <c r="AO142" s="389"/>
      <c r="AP142" s="389"/>
      <c r="AQ142" s="389"/>
      <c r="AR142" s="394"/>
      <c r="AS142" s="391">
        <f t="shared" si="37"/>
        <v>0</v>
      </c>
      <c r="AT142" s="392">
        <f t="shared" si="38"/>
        <v>0</v>
      </c>
    </row>
    <row r="143" ht="45.0" customHeight="1">
      <c r="A143" s="912" t="s">
        <v>348</v>
      </c>
      <c r="B143" s="422" t="s">
        <v>349</v>
      </c>
      <c r="C143" s="397"/>
      <c r="D143" s="398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  <c r="AA143" s="399"/>
      <c r="AB143" s="399"/>
      <c r="AC143" s="399"/>
      <c r="AD143" s="399"/>
      <c r="AE143" s="399"/>
      <c r="AF143" s="399"/>
      <c r="AG143" s="399"/>
      <c r="AH143" s="399"/>
      <c r="AI143" s="400"/>
      <c r="AJ143" s="400"/>
      <c r="AK143" s="400"/>
      <c r="AL143" s="400"/>
      <c r="AM143" s="400"/>
      <c r="AN143" s="400"/>
      <c r="AO143" s="400"/>
      <c r="AP143" s="400"/>
      <c r="AQ143" s="400"/>
      <c r="AR143" s="400"/>
      <c r="AS143" s="400"/>
      <c r="AT143" s="913"/>
    </row>
    <row r="144" ht="45.0" customHeight="1">
      <c r="A144" s="919" t="s">
        <v>350</v>
      </c>
      <c r="B144" s="412" t="s">
        <v>351</v>
      </c>
      <c r="C144" s="387"/>
      <c r="D144" s="387"/>
      <c r="E144" s="387"/>
      <c r="F144" s="394"/>
      <c r="G144" s="387"/>
      <c r="H144" s="394"/>
      <c r="I144" s="387"/>
      <c r="J144" s="394"/>
      <c r="K144" s="387"/>
      <c r="L144" s="394"/>
      <c r="M144" s="387"/>
      <c r="N144" s="394"/>
      <c r="O144" s="387"/>
      <c r="P144" s="394"/>
      <c r="Q144" s="387"/>
      <c r="R144" s="394"/>
      <c r="S144" s="387"/>
      <c r="T144" s="394"/>
      <c r="U144" s="387"/>
      <c r="V144" s="394"/>
      <c r="W144" s="387"/>
      <c r="X144" s="394"/>
      <c r="Y144" s="387"/>
      <c r="Z144" s="394"/>
      <c r="AA144" s="387"/>
      <c r="AB144" s="394"/>
      <c r="AC144" s="387"/>
      <c r="AD144" s="394"/>
      <c r="AE144" s="387"/>
      <c r="AF144" s="394"/>
      <c r="AG144" s="387"/>
      <c r="AH144" s="394"/>
      <c r="AI144" s="387"/>
      <c r="AJ144" s="394"/>
      <c r="AK144" s="387"/>
      <c r="AL144" s="394"/>
      <c r="AM144" s="387"/>
      <c r="AN144" s="394"/>
      <c r="AO144" s="387"/>
      <c r="AP144" s="387"/>
      <c r="AQ144" s="387"/>
      <c r="AR144" s="394"/>
      <c r="AS144" s="391">
        <f t="shared" ref="AS144:AS146" si="39">COUNTIF(C144:AR144,"&gt;=R")</f>
        <v>0</v>
      </c>
      <c r="AT144" s="392">
        <f t="shared" ref="AT144:AT146" si="40">AS144</f>
        <v>0</v>
      </c>
    </row>
    <row r="145" ht="45.0" customHeight="1">
      <c r="A145" s="919" t="s">
        <v>352</v>
      </c>
      <c r="B145" s="412" t="s">
        <v>353</v>
      </c>
      <c r="C145" s="387" t="s">
        <v>68</v>
      </c>
      <c r="D145" s="387"/>
      <c r="E145" s="394" t="s">
        <v>68</v>
      </c>
      <c r="F145" s="394"/>
      <c r="G145" s="394" t="s">
        <v>68</v>
      </c>
      <c r="H145" s="394"/>
      <c r="I145" s="394" t="s">
        <v>68</v>
      </c>
      <c r="J145" s="394"/>
      <c r="K145" s="394" t="s">
        <v>68</v>
      </c>
      <c r="L145" s="394"/>
      <c r="M145" s="394"/>
      <c r="N145" s="394"/>
      <c r="O145" s="394"/>
      <c r="P145" s="394"/>
      <c r="Q145" s="394"/>
      <c r="R145" s="394"/>
      <c r="S145" s="394"/>
      <c r="T145" s="394"/>
      <c r="U145" s="389" t="s">
        <v>8</v>
      </c>
      <c r="V145" s="394"/>
      <c r="W145" s="389" t="s">
        <v>8</v>
      </c>
      <c r="X145" s="394"/>
      <c r="Y145" s="389" t="s">
        <v>28</v>
      </c>
      <c r="Z145" s="394"/>
      <c r="AA145" s="394" t="s">
        <v>28</v>
      </c>
      <c r="AB145" s="394"/>
      <c r="AC145" s="389" t="s">
        <v>28</v>
      </c>
      <c r="AD145" s="394"/>
      <c r="AE145" s="389" t="s">
        <v>57</v>
      </c>
      <c r="AF145" s="394"/>
      <c r="AG145" s="389" t="s">
        <v>57</v>
      </c>
      <c r="AH145" s="394"/>
      <c r="AI145" s="389"/>
      <c r="AJ145" s="394"/>
      <c r="AK145" s="389" t="s">
        <v>57</v>
      </c>
      <c r="AL145" s="394"/>
      <c r="AM145" s="394" t="s">
        <v>28</v>
      </c>
      <c r="AN145" s="394"/>
      <c r="AO145" s="394" t="s">
        <v>57</v>
      </c>
      <c r="AP145" s="394"/>
      <c r="AQ145" s="394" t="s">
        <v>57</v>
      </c>
      <c r="AR145" s="394"/>
      <c r="AS145" s="391">
        <f t="shared" si="39"/>
        <v>16</v>
      </c>
      <c r="AT145" s="392">
        <f t="shared" si="40"/>
        <v>16</v>
      </c>
    </row>
    <row r="146" ht="45.0" customHeight="1">
      <c r="A146" s="919" t="s">
        <v>354</v>
      </c>
      <c r="B146" s="412" t="s">
        <v>355</v>
      </c>
      <c r="C146" s="387" t="s">
        <v>68</v>
      </c>
      <c r="D146" s="387"/>
      <c r="E146" s="394" t="s">
        <v>68</v>
      </c>
      <c r="F146" s="394"/>
      <c r="G146" s="394" t="s">
        <v>68</v>
      </c>
      <c r="H146" s="394"/>
      <c r="I146" s="394" t="s">
        <v>68</v>
      </c>
      <c r="J146" s="394"/>
      <c r="K146" s="394" t="s">
        <v>68</v>
      </c>
      <c r="L146" s="394"/>
      <c r="M146" s="394"/>
      <c r="N146" s="394"/>
      <c r="O146" s="394"/>
      <c r="P146" s="394"/>
      <c r="Q146" s="394"/>
      <c r="R146" s="394"/>
      <c r="S146" s="394"/>
      <c r="T146" s="394"/>
      <c r="U146" s="389" t="s">
        <v>8</v>
      </c>
      <c r="V146" s="394"/>
      <c r="W146" s="389" t="s">
        <v>8</v>
      </c>
      <c r="X146" s="394"/>
      <c r="Y146" s="389" t="s">
        <v>28</v>
      </c>
      <c r="Z146" s="394"/>
      <c r="AA146" s="394" t="s">
        <v>28</v>
      </c>
      <c r="AB146" s="394"/>
      <c r="AC146" s="389" t="s">
        <v>28</v>
      </c>
      <c r="AD146" s="394"/>
      <c r="AE146" s="389" t="s">
        <v>57</v>
      </c>
      <c r="AF146" s="394"/>
      <c r="AG146" s="389" t="s">
        <v>57</v>
      </c>
      <c r="AH146" s="394"/>
      <c r="AI146" s="389"/>
      <c r="AJ146" s="394"/>
      <c r="AK146" s="389" t="s">
        <v>57</v>
      </c>
      <c r="AL146" s="394"/>
      <c r="AM146" s="394" t="s">
        <v>28</v>
      </c>
      <c r="AN146" s="394"/>
      <c r="AO146" s="394" t="s">
        <v>57</v>
      </c>
      <c r="AP146" s="394"/>
      <c r="AQ146" s="394" t="s">
        <v>57</v>
      </c>
      <c r="AR146" s="394"/>
      <c r="AS146" s="391">
        <f t="shared" si="39"/>
        <v>16</v>
      </c>
      <c r="AT146" s="392">
        <f t="shared" si="40"/>
        <v>16</v>
      </c>
    </row>
    <row r="147" ht="45.0" customHeight="1">
      <c r="A147" s="912" t="s">
        <v>356</v>
      </c>
      <c r="B147" s="422" t="s">
        <v>357</v>
      </c>
      <c r="C147" s="397"/>
      <c r="D147" s="398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  <c r="AA147" s="399"/>
      <c r="AB147" s="399"/>
      <c r="AC147" s="399"/>
      <c r="AD147" s="399"/>
      <c r="AE147" s="399"/>
      <c r="AF147" s="399"/>
      <c r="AG147" s="399"/>
      <c r="AH147" s="399"/>
      <c r="AI147" s="400"/>
      <c r="AJ147" s="400"/>
      <c r="AK147" s="400"/>
      <c r="AL147" s="400"/>
      <c r="AM147" s="400"/>
      <c r="AN147" s="400"/>
      <c r="AO147" s="400"/>
      <c r="AP147" s="400"/>
      <c r="AQ147" s="400"/>
      <c r="AR147" s="400"/>
      <c r="AS147" s="400"/>
      <c r="AT147" s="913"/>
    </row>
    <row r="148" ht="45.0" customHeight="1">
      <c r="A148" s="919" t="s">
        <v>358</v>
      </c>
      <c r="B148" s="412" t="s">
        <v>359</v>
      </c>
      <c r="C148" s="387"/>
      <c r="D148" s="387"/>
      <c r="E148" s="387"/>
      <c r="F148" s="394"/>
      <c r="G148" s="387"/>
      <c r="H148" s="394"/>
      <c r="I148" s="387"/>
      <c r="J148" s="394"/>
      <c r="K148" s="387"/>
      <c r="L148" s="394"/>
      <c r="M148" s="387"/>
      <c r="N148" s="394"/>
      <c r="O148" s="387"/>
      <c r="P148" s="394"/>
      <c r="Q148" s="387"/>
      <c r="R148" s="394"/>
      <c r="S148" s="387"/>
      <c r="T148" s="394"/>
      <c r="U148" s="387" t="s">
        <v>28</v>
      </c>
      <c r="V148" s="394"/>
      <c r="W148" s="391" t="s">
        <v>28</v>
      </c>
      <c r="X148" s="394"/>
      <c r="Y148" s="391" t="s">
        <v>28</v>
      </c>
      <c r="Z148" s="394"/>
      <c r="AA148" s="391" t="s">
        <v>28</v>
      </c>
      <c r="AB148" s="394"/>
      <c r="AC148" s="391" t="s">
        <v>28</v>
      </c>
      <c r="AD148" s="394"/>
      <c r="AE148" s="391" t="s">
        <v>28</v>
      </c>
      <c r="AF148" s="394"/>
      <c r="AG148" s="391" t="s">
        <v>28</v>
      </c>
      <c r="AH148" s="394"/>
      <c r="AI148" s="391" t="s">
        <v>28</v>
      </c>
      <c r="AJ148" s="394"/>
      <c r="AK148" s="391" t="s">
        <v>28</v>
      </c>
      <c r="AL148" s="394"/>
      <c r="AM148" s="391" t="s">
        <v>28</v>
      </c>
      <c r="AN148" s="394"/>
      <c r="AO148" s="391" t="s">
        <v>28</v>
      </c>
      <c r="AP148" s="391"/>
      <c r="AQ148" s="391" t="s">
        <v>28</v>
      </c>
      <c r="AR148" s="394"/>
      <c r="AS148" s="391">
        <f t="shared" ref="AS148:AS150" si="41">COUNTIF(C148:AR148,"&gt;=R")</f>
        <v>12</v>
      </c>
      <c r="AT148" s="392">
        <f t="shared" ref="AT148:AT150" si="42">AS148</f>
        <v>12</v>
      </c>
    </row>
    <row r="149" ht="45.0" customHeight="1">
      <c r="A149" s="919" t="s">
        <v>360</v>
      </c>
      <c r="B149" s="412" t="s">
        <v>361</v>
      </c>
      <c r="C149" s="388" t="s">
        <v>7</v>
      </c>
      <c r="D149" s="387"/>
      <c r="E149" s="389" t="s">
        <v>7</v>
      </c>
      <c r="F149" s="394"/>
      <c r="G149" s="389" t="s">
        <v>7</v>
      </c>
      <c r="H149" s="394"/>
      <c r="I149" s="389" t="s">
        <v>7</v>
      </c>
      <c r="J149" s="394"/>
      <c r="K149" s="389" t="s">
        <v>7</v>
      </c>
      <c r="L149" s="394"/>
      <c r="M149" s="389" t="s">
        <v>17</v>
      </c>
      <c r="N149" s="394"/>
      <c r="O149" s="389" t="s">
        <v>17</v>
      </c>
      <c r="P149" s="394"/>
      <c r="Q149" s="389" t="s">
        <v>17</v>
      </c>
      <c r="R149" s="394"/>
      <c r="S149" s="389" t="s">
        <v>17</v>
      </c>
      <c r="T149" s="394"/>
      <c r="U149" s="389" t="s">
        <v>56</v>
      </c>
      <c r="V149" s="394"/>
      <c r="W149" s="389" t="s">
        <v>56</v>
      </c>
      <c r="X149" s="394"/>
      <c r="Y149" s="389" t="s">
        <v>56</v>
      </c>
      <c r="Z149" s="394"/>
      <c r="AA149" s="389" t="s">
        <v>56</v>
      </c>
      <c r="AB149" s="394"/>
      <c r="AC149" s="389" t="s">
        <v>56</v>
      </c>
      <c r="AD149" s="394"/>
      <c r="AE149" s="389" t="s">
        <v>56</v>
      </c>
      <c r="AF149" s="394"/>
      <c r="AG149" s="389" t="s">
        <v>56</v>
      </c>
      <c r="AH149" s="394"/>
      <c r="AI149" s="389" t="s">
        <v>76</v>
      </c>
      <c r="AJ149" s="394"/>
      <c r="AK149" s="389" t="s">
        <v>17</v>
      </c>
      <c r="AL149" s="394"/>
      <c r="AM149" s="389" t="s">
        <v>17</v>
      </c>
      <c r="AN149" s="394"/>
      <c r="AO149" s="389" t="s">
        <v>17</v>
      </c>
      <c r="AP149" s="389"/>
      <c r="AQ149" s="389" t="s">
        <v>426</v>
      </c>
      <c r="AR149" s="394"/>
      <c r="AS149" s="391">
        <f t="shared" si="41"/>
        <v>21</v>
      </c>
      <c r="AT149" s="392">
        <f t="shared" si="42"/>
        <v>21</v>
      </c>
    </row>
    <row r="150" ht="45.0" customHeight="1">
      <c r="A150" s="919" t="s">
        <v>362</v>
      </c>
      <c r="B150" s="412" t="s">
        <v>363</v>
      </c>
      <c r="C150" s="387"/>
      <c r="D150" s="387"/>
      <c r="E150" s="387"/>
      <c r="F150" s="394"/>
      <c r="G150" s="387"/>
      <c r="H150" s="394"/>
      <c r="I150" s="387"/>
      <c r="J150" s="394"/>
      <c r="K150" s="387"/>
      <c r="L150" s="394"/>
      <c r="M150" s="387"/>
      <c r="N150" s="394"/>
      <c r="O150" s="387"/>
      <c r="P150" s="394"/>
      <c r="Q150" s="387"/>
      <c r="R150" s="394"/>
      <c r="S150" s="387"/>
      <c r="T150" s="394"/>
      <c r="U150" s="387"/>
      <c r="V150" s="394"/>
      <c r="W150" s="387"/>
      <c r="X150" s="394"/>
      <c r="Y150" s="387"/>
      <c r="Z150" s="394"/>
      <c r="AA150" s="387"/>
      <c r="AB150" s="394"/>
      <c r="AC150" s="387"/>
      <c r="AD150" s="394"/>
      <c r="AE150" s="387"/>
      <c r="AF150" s="394"/>
      <c r="AG150" s="387"/>
      <c r="AH150" s="394"/>
      <c r="AI150" s="387"/>
      <c r="AJ150" s="394"/>
      <c r="AK150" s="387"/>
      <c r="AL150" s="394"/>
      <c r="AM150" s="387"/>
      <c r="AN150" s="394"/>
      <c r="AO150" s="387"/>
      <c r="AP150" s="387"/>
      <c r="AQ150" s="387"/>
      <c r="AR150" s="394"/>
      <c r="AS150" s="391">
        <f t="shared" si="41"/>
        <v>0</v>
      </c>
      <c r="AT150" s="392">
        <f t="shared" si="42"/>
        <v>0</v>
      </c>
    </row>
    <row r="151" ht="45.0" customHeight="1">
      <c r="A151" s="912" t="s">
        <v>364</v>
      </c>
      <c r="B151" s="396" t="s">
        <v>365</v>
      </c>
      <c r="C151" s="397"/>
      <c r="D151" s="398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  <c r="AA151" s="399"/>
      <c r="AB151" s="399"/>
      <c r="AC151" s="399"/>
      <c r="AD151" s="399"/>
      <c r="AE151" s="399"/>
      <c r="AF151" s="399"/>
      <c r="AG151" s="399"/>
      <c r="AH151" s="399"/>
      <c r="AI151" s="400"/>
      <c r="AJ151" s="400"/>
      <c r="AK151" s="400"/>
      <c r="AL151" s="400"/>
      <c r="AM151" s="400"/>
      <c r="AN151" s="400"/>
      <c r="AO151" s="400"/>
      <c r="AP151" s="400"/>
      <c r="AQ151" s="400"/>
      <c r="AR151" s="400"/>
      <c r="AS151" s="400"/>
      <c r="AT151" s="913"/>
    </row>
    <row r="152" ht="45.0" customHeight="1">
      <c r="A152" s="911" t="s">
        <v>366</v>
      </c>
      <c r="B152" s="386" t="s">
        <v>367</v>
      </c>
      <c r="C152" s="387"/>
      <c r="D152" s="387"/>
      <c r="E152" s="394"/>
      <c r="F152" s="394"/>
      <c r="G152" s="394"/>
      <c r="H152" s="394"/>
      <c r="I152" s="394"/>
      <c r="J152" s="394"/>
      <c r="K152" s="394"/>
      <c r="L152" s="394"/>
      <c r="M152" s="394"/>
      <c r="N152" s="394"/>
      <c r="O152" s="394"/>
      <c r="P152" s="394"/>
      <c r="Q152" s="394"/>
      <c r="R152" s="394"/>
      <c r="S152" s="394"/>
      <c r="T152" s="394"/>
      <c r="U152" s="394"/>
      <c r="V152" s="394"/>
      <c r="W152" s="394"/>
      <c r="X152" s="394"/>
      <c r="Y152" s="394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394"/>
      <c r="AJ152" s="394"/>
      <c r="AK152" s="394"/>
      <c r="AL152" s="394"/>
      <c r="AM152" s="394"/>
      <c r="AN152" s="394"/>
      <c r="AO152" s="394"/>
      <c r="AP152" s="394"/>
      <c r="AQ152" s="394"/>
      <c r="AR152" s="394"/>
      <c r="AS152" s="391">
        <f t="shared" ref="AS152:AS159" si="43">COUNTIF(C152:AR152,"&gt;=R")</f>
        <v>0</v>
      </c>
      <c r="AT152" s="392">
        <f t="shared" ref="AT152:AT159" si="44">AS152</f>
        <v>0</v>
      </c>
    </row>
    <row r="153" ht="45.0" customHeight="1">
      <c r="A153" s="911" t="s">
        <v>368</v>
      </c>
      <c r="B153" s="386" t="s">
        <v>369</v>
      </c>
      <c r="C153" s="387"/>
      <c r="D153" s="387"/>
      <c r="E153" s="394"/>
      <c r="F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394"/>
      <c r="R153" s="394"/>
      <c r="S153" s="394"/>
      <c r="T153" s="394"/>
      <c r="U153" s="394"/>
      <c r="V153" s="394"/>
      <c r="W153" s="394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4"/>
      <c r="AI153" s="394"/>
      <c r="AJ153" s="394"/>
      <c r="AK153" s="394"/>
      <c r="AL153" s="394"/>
      <c r="AM153" s="394"/>
      <c r="AN153" s="394"/>
      <c r="AO153" s="394"/>
      <c r="AP153" s="394"/>
      <c r="AQ153" s="394"/>
      <c r="AR153" s="394"/>
      <c r="AS153" s="391">
        <f t="shared" si="43"/>
        <v>0</v>
      </c>
      <c r="AT153" s="392">
        <f t="shared" si="44"/>
        <v>0</v>
      </c>
    </row>
    <row r="154" ht="45.0" customHeight="1">
      <c r="A154" s="911" t="s">
        <v>370</v>
      </c>
      <c r="B154" s="386" t="s">
        <v>371</v>
      </c>
      <c r="C154" s="388"/>
      <c r="D154" s="387"/>
      <c r="E154" s="389"/>
      <c r="F154" s="394"/>
      <c r="G154" s="389"/>
      <c r="H154" s="394"/>
      <c r="I154" s="389"/>
      <c r="J154" s="394"/>
      <c r="K154" s="389"/>
      <c r="L154" s="394"/>
      <c r="M154" s="389"/>
      <c r="N154" s="394"/>
      <c r="O154" s="389"/>
      <c r="P154" s="394"/>
      <c r="Q154" s="389"/>
      <c r="R154" s="394"/>
      <c r="S154" s="389"/>
      <c r="T154" s="394"/>
      <c r="U154" s="389"/>
      <c r="V154" s="394"/>
      <c r="W154" s="389"/>
      <c r="X154" s="394"/>
      <c r="Y154" s="389"/>
      <c r="Z154" s="394"/>
      <c r="AA154" s="389"/>
      <c r="AB154" s="394"/>
      <c r="AC154" s="389"/>
      <c r="AD154" s="394"/>
      <c r="AE154" s="389"/>
      <c r="AF154" s="394"/>
      <c r="AG154" s="389"/>
      <c r="AH154" s="394"/>
      <c r="AI154" s="389"/>
      <c r="AJ154" s="394"/>
      <c r="AK154" s="389"/>
      <c r="AL154" s="394"/>
      <c r="AM154" s="394"/>
      <c r="AN154" s="394"/>
      <c r="AO154" s="394"/>
      <c r="AP154" s="394"/>
      <c r="AQ154" s="394"/>
      <c r="AR154" s="394"/>
      <c r="AS154" s="391">
        <f t="shared" si="43"/>
        <v>0</v>
      </c>
      <c r="AT154" s="392">
        <f t="shared" si="44"/>
        <v>0</v>
      </c>
    </row>
    <row r="155" ht="45.0" customHeight="1">
      <c r="A155" s="914" t="s">
        <v>372</v>
      </c>
      <c r="B155" s="806" t="s">
        <v>373</v>
      </c>
      <c r="C155" s="388" t="s">
        <v>76</v>
      </c>
      <c r="D155" s="387"/>
      <c r="E155" s="394" t="s">
        <v>76</v>
      </c>
      <c r="F155" s="394"/>
      <c r="G155" s="394" t="s">
        <v>76</v>
      </c>
      <c r="H155" s="394"/>
      <c r="I155" s="389" t="s">
        <v>84</v>
      </c>
      <c r="J155" s="394"/>
      <c r="K155" s="389" t="s">
        <v>84</v>
      </c>
      <c r="L155" s="394"/>
      <c r="M155" s="389" t="s">
        <v>84</v>
      </c>
      <c r="N155" s="394"/>
      <c r="O155" s="389" t="s">
        <v>84</v>
      </c>
      <c r="P155" s="394"/>
      <c r="Q155" s="389" t="s">
        <v>68</v>
      </c>
      <c r="R155" s="394"/>
      <c r="S155" s="389" t="s">
        <v>84</v>
      </c>
      <c r="T155" s="394"/>
      <c r="U155" s="389" t="s">
        <v>84</v>
      </c>
      <c r="V155" s="394"/>
      <c r="W155" s="394" t="s">
        <v>84</v>
      </c>
      <c r="X155" s="394"/>
      <c r="Y155" s="394" t="s">
        <v>84</v>
      </c>
      <c r="Z155" s="394"/>
      <c r="AA155" s="394" t="s">
        <v>84</v>
      </c>
      <c r="AB155" s="394"/>
      <c r="AC155" s="416" t="s">
        <v>8</v>
      </c>
      <c r="AD155" s="394"/>
      <c r="AE155" s="394" t="s">
        <v>57</v>
      </c>
      <c r="AF155" s="394"/>
      <c r="AG155" s="394" t="s">
        <v>57</v>
      </c>
      <c r="AH155" s="394"/>
      <c r="AI155" s="394"/>
      <c r="AJ155" s="394"/>
      <c r="AK155" s="394" t="s">
        <v>57</v>
      </c>
      <c r="AL155" s="394"/>
      <c r="AM155" s="416" t="s">
        <v>8</v>
      </c>
      <c r="AN155" s="394"/>
      <c r="AO155" s="416" t="s">
        <v>8</v>
      </c>
      <c r="AP155" s="394"/>
      <c r="AQ155" s="416" t="s">
        <v>8</v>
      </c>
      <c r="AR155" s="394"/>
      <c r="AS155" s="391">
        <f t="shared" si="43"/>
        <v>20</v>
      </c>
      <c r="AT155" s="392">
        <f t="shared" si="44"/>
        <v>20</v>
      </c>
    </row>
    <row r="156" ht="45.0" customHeight="1">
      <c r="A156" s="914" t="s">
        <v>374</v>
      </c>
      <c r="B156" s="806" t="s">
        <v>375</v>
      </c>
      <c r="C156" s="388"/>
      <c r="D156" s="387"/>
      <c r="E156" s="394"/>
      <c r="F156" s="394"/>
      <c r="G156" s="394"/>
      <c r="H156" s="394"/>
      <c r="I156" s="389"/>
      <c r="J156" s="394"/>
      <c r="K156" s="389"/>
      <c r="L156" s="394"/>
      <c r="M156" s="389"/>
      <c r="N156" s="394"/>
      <c r="O156" s="389"/>
      <c r="P156" s="394"/>
      <c r="Q156" s="389"/>
      <c r="R156" s="394"/>
      <c r="S156" s="389"/>
      <c r="T156" s="394"/>
      <c r="U156" s="389"/>
      <c r="V156" s="394"/>
      <c r="W156" s="394"/>
      <c r="X156" s="394"/>
      <c r="Y156" s="394"/>
      <c r="Z156" s="394"/>
      <c r="AA156" s="394"/>
      <c r="AB156" s="394"/>
      <c r="AC156" s="394"/>
      <c r="AD156" s="394"/>
      <c r="AE156" s="394"/>
      <c r="AF156" s="394"/>
      <c r="AG156" s="394"/>
      <c r="AH156" s="394"/>
      <c r="AI156" s="394"/>
      <c r="AJ156" s="394"/>
      <c r="AK156" s="394"/>
      <c r="AL156" s="394"/>
      <c r="AM156" s="394"/>
      <c r="AN156" s="394"/>
      <c r="AO156" s="394"/>
      <c r="AP156" s="394"/>
      <c r="AQ156" s="394"/>
      <c r="AR156" s="394"/>
      <c r="AS156" s="391">
        <f t="shared" si="43"/>
        <v>0</v>
      </c>
      <c r="AT156" s="392">
        <f t="shared" si="44"/>
        <v>0</v>
      </c>
    </row>
    <row r="157" ht="45.0" customHeight="1">
      <c r="A157" s="914" t="s">
        <v>376</v>
      </c>
      <c r="B157" s="806" t="s">
        <v>377</v>
      </c>
      <c r="C157" s="388"/>
      <c r="D157" s="387"/>
      <c r="E157" s="389"/>
      <c r="F157" s="394"/>
      <c r="G157" s="389"/>
      <c r="H157" s="394"/>
      <c r="I157" s="389"/>
      <c r="J157" s="394"/>
      <c r="K157" s="389"/>
      <c r="L157" s="394"/>
      <c r="M157" s="389"/>
      <c r="N157" s="394"/>
      <c r="O157" s="389"/>
      <c r="P157" s="394"/>
      <c r="Q157" s="389"/>
      <c r="R157" s="394"/>
      <c r="S157" s="389"/>
      <c r="T157" s="394"/>
      <c r="U157" s="389"/>
      <c r="V157" s="394"/>
      <c r="W157" s="389"/>
      <c r="X157" s="394"/>
      <c r="Y157" s="389"/>
      <c r="Z157" s="394"/>
      <c r="AA157" s="389"/>
      <c r="AB157" s="394"/>
      <c r="AC157" s="389"/>
      <c r="AD157" s="394"/>
      <c r="AE157" s="389"/>
      <c r="AF157" s="394"/>
      <c r="AG157" s="389"/>
      <c r="AH157" s="394"/>
      <c r="AI157" s="389"/>
      <c r="AJ157" s="394"/>
      <c r="AK157" s="389"/>
      <c r="AL157" s="394"/>
      <c r="AM157" s="389"/>
      <c r="AN157" s="394"/>
      <c r="AO157" s="394"/>
      <c r="AP157" s="394"/>
      <c r="AQ157" s="394"/>
      <c r="AR157" s="394"/>
      <c r="AS157" s="391">
        <f t="shared" si="43"/>
        <v>0</v>
      </c>
      <c r="AT157" s="392">
        <f t="shared" si="44"/>
        <v>0</v>
      </c>
    </row>
    <row r="158" ht="45.0" customHeight="1">
      <c r="A158" s="914" t="s">
        <v>374</v>
      </c>
      <c r="B158" s="807" t="s">
        <v>375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  <c r="AA158" s="394"/>
      <c r="AB158" s="394"/>
      <c r="AC158" s="394"/>
      <c r="AD158" s="394"/>
      <c r="AE158" s="394"/>
      <c r="AF158" s="394"/>
      <c r="AG158" s="394"/>
      <c r="AH158" s="394"/>
      <c r="AI158" s="394"/>
      <c r="AJ158" s="394"/>
      <c r="AK158" s="394"/>
      <c r="AL158" s="394"/>
      <c r="AM158" s="387"/>
      <c r="AN158" s="394"/>
      <c r="AO158" s="394"/>
      <c r="AP158" s="394"/>
      <c r="AQ158" s="394"/>
      <c r="AR158" s="394"/>
      <c r="AS158" s="391">
        <f t="shared" si="43"/>
        <v>0</v>
      </c>
      <c r="AT158" s="392">
        <f t="shared" si="44"/>
        <v>0</v>
      </c>
    </row>
    <row r="159" ht="45.0" customHeight="1">
      <c r="A159" s="404" t="s">
        <v>378</v>
      </c>
      <c r="B159" s="794" t="s">
        <v>379</v>
      </c>
      <c r="C159" s="387"/>
      <c r="D159" s="387"/>
      <c r="E159" s="394"/>
      <c r="F159" s="394"/>
      <c r="G159" s="394"/>
      <c r="H159" s="394"/>
      <c r="I159" s="394"/>
      <c r="J159" s="394"/>
      <c r="K159" s="394"/>
      <c r="L159" s="394"/>
      <c r="M159" s="394"/>
      <c r="N159" s="394"/>
      <c r="O159" s="394"/>
      <c r="P159" s="394"/>
      <c r="Q159" s="394"/>
      <c r="R159" s="394"/>
      <c r="S159" s="394"/>
      <c r="T159" s="394"/>
      <c r="U159" s="394"/>
      <c r="V159" s="394"/>
      <c r="W159" s="394"/>
      <c r="X159" s="394"/>
      <c r="Y159" s="394"/>
      <c r="Z159" s="394"/>
      <c r="AA159" s="394"/>
      <c r="AB159" s="394"/>
      <c r="AC159" s="394"/>
      <c r="AD159" s="394"/>
      <c r="AE159" s="394"/>
      <c r="AF159" s="394"/>
      <c r="AG159" s="394"/>
      <c r="AH159" s="394"/>
      <c r="AI159" s="394"/>
      <c r="AJ159" s="394"/>
      <c r="AK159" s="394"/>
      <c r="AL159" s="394"/>
      <c r="AM159" s="387"/>
      <c r="AN159" s="394"/>
      <c r="AO159" s="394"/>
      <c r="AP159" s="394"/>
      <c r="AQ159" s="394"/>
      <c r="AR159" s="394"/>
      <c r="AS159" s="391">
        <f t="shared" si="43"/>
        <v>0</v>
      </c>
      <c r="AT159" s="392">
        <f t="shared" si="44"/>
        <v>0</v>
      </c>
    </row>
    <row r="160" ht="45.0" customHeight="1">
      <c r="A160" s="912" t="s">
        <v>380</v>
      </c>
      <c r="B160" s="396" t="s">
        <v>381</v>
      </c>
      <c r="C160" s="397"/>
      <c r="D160" s="398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  <c r="AA160" s="399"/>
      <c r="AB160" s="399"/>
      <c r="AC160" s="399"/>
      <c r="AD160" s="399"/>
      <c r="AE160" s="399"/>
      <c r="AF160" s="399"/>
      <c r="AG160" s="399"/>
      <c r="AH160" s="399"/>
      <c r="AI160" s="400"/>
      <c r="AJ160" s="400"/>
      <c r="AK160" s="400"/>
      <c r="AL160" s="400"/>
      <c r="AM160" s="400"/>
      <c r="AN160" s="400"/>
      <c r="AO160" s="400"/>
      <c r="AP160" s="400"/>
      <c r="AQ160" s="400"/>
      <c r="AR160" s="400"/>
      <c r="AS160" s="400"/>
      <c r="AT160" s="913"/>
    </row>
    <row r="161" ht="45.0" customHeight="1">
      <c r="A161" s="919" t="s">
        <v>382</v>
      </c>
      <c r="B161" s="412" t="s">
        <v>383</v>
      </c>
      <c r="C161" s="387"/>
      <c r="D161" s="387"/>
      <c r="E161" s="394"/>
      <c r="F161" s="394"/>
      <c r="G161" s="394"/>
      <c r="H161" s="394"/>
      <c r="I161" s="394"/>
      <c r="J161" s="394"/>
      <c r="K161" s="394"/>
      <c r="L161" s="394"/>
      <c r="M161" s="394"/>
      <c r="N161" s="394"/>
      <c r="O161" s="394"/>
      <c r="P161" s="394"/>
      <c r="Q161" s="394"/>
      <c r="R161" s="394"/>
      <c r="S161" s="394"/>
      <c r="T161" s="394"/>
      <c r="U161" s="394"/>
      <c r="V161" s="394"/>
      <c r="W161" s="394"/>
      <c r="X161" s="394"/>
      <c r="Y161" s="394"/>
      <c r="Z161" s="394"/>
      <c r="AA161" s="394"/>
      <c r="AB161" s="394"/>
      <c r="AC161" s="394"/>
      <c r="AD161" s="394"/>
      <c r="AE161" s="394"/>
      <c r="AF161" s="394"/>
      <c r="AG161" s="394"/>
      <c r="AH161" s="394"/>
      <c r="AI161" s="394"/>
      <c r="AJ161" s="394"/>
      <c r="AK161" s="394"/>
      <c r="AL161" s="394"/>
      <c r="AM161" s="394"/>
      <c r="AN161" s="394"/>
      <c r="AO161" s="394"/>
      <c r="AP161" s="394"/>
      <c r="AQ161" s="394"/>
      <c r="AR161" s="394"/>
      <c r="AS161" s="391">
        <f t="shared" ref="AS161:AS164" si="45">COUNTIF(C161:AR161,"&gt;=R")</f>
        <v>0</v>
      </c>
      <c r="AT161" s="392">
        <f t="shared" ref="AT161:AT164" si="46">AS161</f>
        <v>0</v>
      </c>
    </row>
    <row r="162" ht="45.0" customHeight="1">
      <c r="A162" s="919" t="s">
        <v>384</v>
      </c>
      <c r="B162" s="412" t="s">
        <v>385</v>
      </c>
      <c r="C162" s="387"/>
      <c r="D162" s="387"/>
      <c r="E162" s="387"/>
      <c r="F162" s="394"/>
      <c r="G162" s="387"/>
      <c r="H162" s="394"/>
      <c r="I162" s="387"/>
      <c r="J162" s="394"/>
      <c r="K162" s="387"/>
      <c r="L162" s="394"/>
      <c r="M162" s="387"/>
      <c r="N162" s="394"/>
      <c r="O162" s="387"/>
      <c r="P162" s="394"/>
      <c r="Q162" s="387"/>
      <c r="R162" s="394"/>
      <c r="S162" s="387"/>
      <c r="T162" s="394"/>
      <c r="U162" s="387"/>
      <c r="V162" s="394"/>
      <c r="W162" s="387"/>
      <c r="X162" s="394"/>
      <c r="Y162" s="387"/>
      <c r="Z162" s="394"/>
      <c r="AA162" s="387"/>
      <c r="AB162" s="394"/>
      <c r="AC162" s="387"/>
      <c r="AD162" s="394"/>
      <c r="AE162" s="387"/>
      <c r="AF162" s="394"/>
      <c r="AG162" s="387"/>
      <c r="AH162" s="394"/>
      <c r="AI162" s="387"/>
      <c r="AJ162" s="394"/>
      <c r="AK162" s="387"/>
      <c r="AL162" s="394"/>
      <c r="AM162" s="389"/>
      <c r="AN162" s="394"/>
      <c r="AO162" s="389"/>
      <c r="AP162" s="389"/>
      <c r="AQ162" s="389"/>
      <c r="AR162" s="394"/>
      <c r="AS162" s="391">
        <f t="shared" si="45"/>
        <v>0</v>
      </c>
      <c r="AT162" s="392">
        <f t="shared" si="46"/>
        <v>0</v>
      </c>
    </row>
    <row r="163" ht="45.0" customHeight="1">
      <c r="A163" s="919" t="s">
        <v>386</v>
      </c>
      <c r="B163" s="412" t="s">
        <v>387</v>
      </c>
      <c r="C163" s="387"/>
      <c r="D163" s="387"/>
      <c r="E163" s="387"/>
      <c r="F163" s="394"/>
      <c r="G163" s="387"/>
      <c r="H163" s="394"/>
      <c r="I163" s="387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87"/>
      <c r="Z163" s="394"/>
      <c r="AA163" s="387"/>
      <c r="AB163" s="394"/>
      <c r="AC163" s="387"/>
      <c r="AD163" s="394"/>
      <c r="AE163" s="387"/>
      <c r="AF163" s="394"/>
      <c r="AG163" s="387"/>
      <c r="AH163" s="394"/>
      <c r="AI163" s="387"/>
      <c r="AJ163" s="394"/>
      <c r="AK163" s="387"/>
      <c r="AL163" s="394"/>
      <c r="AM163" s="387"/>
      <c r="AN163" s="394"/>
      <c r="AO163" s="387"/>
      <c r="AP163" s="387"/>
      <c r="AQ163" s="387"/>
      <c r="AR163" s="394"/>
      <c r="AS163" s="391">
        <f t="shared" si="45"/>
        <v>0</v>
      </c>
      <c r="AT163" s="392">
        <f t="shared" si="46"/>
        <v>0</v>
      </c>
    </row>
    <row r="164" ht="45.0" customHeight="1">
      <c r="A164" s="919" t="s">
        <v>388</v>
      </c>
      <c r="B164" s="412" t="s">
        <v>389</v>
      </c>
      <c r="C164" s="387"/>
      <c r="D164" s="387"/>
      <c r="E164" s="387"/>
      <c r="F164" s="394"/>
      <c r="G164" s="387"/>
      <c r="H164" s="394"/>
      <c r="I164" s="387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87"/>
      <c r="V164" s="394"/>
      <c r="W164" s="387"/>
      <c r="X164" s="394"/>
      <c r="Y164" s="387"/>
      <c r="Z164" s="394"/>
      <c r="AA164" s="387"/>
      <c r="AB164" s="394"/>
      <c r="AC164" s="387"/>
      <c r="AD164" s="394"/>
      <c r="AE164" s="387"/>
      <c r="AF164" s="394"/>
      <c r="AG164" s="387"/>
      <c r="AH164" s="394"/>
      <c r="AI164" s="387"/>
      <c r="AJ164" s="394"/>
      <c r="AK164" s="387"/>
      <c r="AL164" s="394"/>
      <c r="AM164" s="387"/>
      <c r="AN164" s="394"/>
      <c r="AO164" s="387"/>
      <c r="AP164" s="387"/>
      <c r="AQ164" s="387"/>
      <c r="AR164" s="394"/>
      <c r="AS164" s="391">
        <f t="shared" si="45"/>
        <v>0</v>
      </c>
      <c r="AT164" s="392">
        <f t="shared" si="46"/>
        <v>0</v>
      </c>
    </row>
    <row r="165" ht="45.0" customHeight="1">
      <c r="A165" s="912" t="s">
        <v>390</v>
      </c>
      <c r="B165" s="422" t="s">
        <v>391</v>
      </c>
      <c r="C165" s="397"/>
      <c r="D165" s="398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  <c r="AA165" s="399"/>
      <c r="AB165" s="399"/>
      <c r="AC165" s="399"/>
      <c r="AD165" s="399"/>
      <c r="AE165" s="399"/>
      <c r="AF165" s="399"/>
      <c r="AG165" s="399"/>
      <c r="AH165" s="399"/>
      <c r="AI165" s="400"/>
      <c r="AJ165" s="400"/>
      <c r="AK165" s="400"/>
      <c r="AL165" s="400"/>
      <c r="AM165" s="400"/>
      <c r="AN165" s="400"/>
      <c r="AO165" s="400"/>
      <c r="AP165" s="400"/>
      <c r="AQ165" s="400"/>
      <c r="AR165" s="400"/>
      <c r="AS165" s="400"/>
      <c r="AT165" s="913"/>
    </row>
    <row r="166" ht="45.0" customHeight="1">
      <c r="A166" s="911" t="s">
        <v>392</v>
      </c>
      <c r="B166" s="386" t="s">
        <v>393</v>
      </c>
      <c r="C166" s="387"/>
      <c r="D166" s="387"/>
      <c r="E166" s="387"/>
      <c r="F166" s="394"/>
      <c r="G166" s="387"/>
      <c r="H166" s="394"/>
      <c r="I166" s="394"/>
      <c r="J166" s="394"/>
      <c r="K166" s="387"/>
      <c r="L166" s="394"/>
      <c r="M166" s="387"/>
      <c r="N166" s="394"/>
      <c r="O166" s="387"/>
      <c r="P166" s="394"/>
      <c r="Q166" s="387"/>
      <c r="R166" s="394"/>
      <c r="S166" s="387"/>
      <c r="T166" s="394"/>
      <c r="U166" s="387"/>
      <c r="V166" s="394"/>
      <c r="W166" s="387"/>
      <c r="X166" s="394"/>
      <c r="Y166" s="387"/>
      <c r="Z166" s="394"/>
      <c r="AA166" s="387"/>
      <c r="AB166" s="394"/>
      <c r="AC166" s="387"/>
      <c r="AD166" s="394"/>
      <c r="AE166" s="387"/>
      <c r="AF166" s="394"/>
      <c r="AG166" s="387"/>
      <c r="AH166" s="394"/>
      <c r="AI166" s="387"/>
      <c r="AJ166" s="394"/>
      <c r="AK166" s="387"/>
      <c r="AL166" s="394"/>
      <c r="AM166" s="387"/>
      <c r="AN166" s="394"/>
      <c r="AO166" s="387"/>
      <c r="AP166" s="387"/>
      <c r="AQ166" s="387"/>
      <c r="AR166" s="394"/>
      <c r="AS166" s="391">
        <f t="shared" ref="AS166:AS168" si="47">COUNTIF(C166:AR166,"&gt;=R")</f>
        <v>0</v>
      </c>
      <c r="AT166" s="392">
        <f t="shared" ref="AT166:AT168" si="48">AS166</f>
        <v>0</v>
      </c>
    </row>
    <row r="167" ht="45.0" customHeight="1">
      <c r="A167" s="911" t="s">
        <v>394</v>
      </c>
      <c r="B167" s="386" t="s">
        <v>395</v>
      </c>
      <c r="C167" s="387"/>
      <c r="D167" s="387"/>
      <c r="E167" s="387"/>
      <c r="F167" s="394"/>
      <c r="G167" s="387"/>
      <c r="H167" s="394"/>
      <c r="I167" s="394"/>
      <c r="J167" s="394"/>
      <c r="K167" s="387"/>
      <c r="L167" s="394"/>
      <c r="M167" s="387"/>
      <c r="N167" s="394"/>
      <c r="O167" s="387"/>
      <c r="P167" s="394"/>
      <c r="Q167" s="387"/>
      <c r="R167" s="394"/>
      <c r="S167" s="387"/>
      <c r="T167" s="394"/>
      <c r="U167" s="387"/>
      <c r="V167" s="394"/>
      <c r="W167" s="387"/>
      <c r="X167" s="394"/>
      <c r="Y167" s="387"/>
      <c r="Z167" s="394"/>
      <c r="AA167" s="387"/>
      <c r="AB167" s="394"/>
      <c r="AC167" s="387"/>
      <c r="AD167" s="394"/>
      <c r="AE167" s="387"/>
      <c r="AF167" s="394"/>
      <c r="AG167" s="387"/>
      <c r="AH167" s="394"/>
      <c r="AI167" s="387"/>
      <c r="AJ167" s="394"/>
      <c r="AK167" s="387"/>
      <c r="AL167" s="394"/>
      <c r="AM167" s="387"/>
      <c r="AN167" s="394"/>
      <c r="AO167" s="387"/>
      <c r="AP167" s="387"/>
      <c r="AQ167" s="387"/>
      <c r="AR167" s="394"/>
      <c r="AS167" s="391">
        <f t="shared" si="47"/>
        <v>0</v>
      </c>
      <c r="AT167" s="392">
        <f t="shared" si="48"/>
        <v>0</v>
      </c>
      <c r="AU167" s="145"/>
      <c r="AV167" s="440"/>
      <c r="AW167" s="145"/>
      <c r="AX167" s="145"/>
      <c r="AY167" s="145"/>
      <c r="AZ167" s="145"/>
      <c r="BA167" s="145"/>
      <c r="BB167" s="145"/>
      <c r="BC167" s="145"/>
      <c r="BD167" s="145"/>
      <c r="BE167" s="145"/>
      <c r="BF167" s="145"/>
      <c r="BG167" s="145"/>
      <c r="BH167" s="145"/>
      <c r="BI167" s="145"/>
      <c r="BJ167" s="145"/>
      <c r="BK167" s="145"/>
      <c r="BL167" s="145"/>
      <c r="BM167" s="145"/>
      <c r="BN167" s="145"/>
    </row>
    <row r="168" ht="45.0" customHeight="1">
      <c r="A168" s="925" t="s">
        <v>396</v>
      </c>
      <c r="B168" s="809" t="s">
        <v>397</v>
      </c>
      <c r="C168" s="436"/>
      <c r="D168" s="436"/>
      <c r="E168" s="436"/>
      <c r="F168" s="437"/>
      <c r="G168" s="436"/>
      <c r="H168" s="437"/>
      <c r="I168" s="437"/>
      <c r="J168" s="437"/>
      <c r="K168" s="436"/>
      <c r="L168" s="437"/>
      <c r="M168" s="436"/>
      <c r="N168" s="437"/>
      <c r="O168" s="436"/>
      <c r="P168" s="437"/>
      <c r="Q168" s="436"/>
      <c r="R168" s="437"/>
      <c r="S168" s="436"/>
      <c r="T168" s="437"/>
      <c r="U168" s="436"/>
      <c r="V168" s="437"/>
      <c r="W168" s="436"/>
      <c r="X168" s="437"/>
      <c r="Y168" s="436"/>
      <c r="Z168" s="437"/>
      <c r="AA168" s="436"/>
      <c r="AB168" s="437"/>
      <c r="AC168" s="436"/>
      <c r="AD168" s="437"/>
      <c r="AE168" s="436"/>
      <c r="AF168" s="437"/>
      <c r="AG168" s="436"/>
      <c r="AH168" s="437"/>
      <c r="AI168" s="436"/>
      <c r="AJ168" s="437"/>
      <c r="AK168" s="436"/>
      <c r="AL168" s="437"/>
      <c r="AM168" s="436"/>
      <c r="AN168" s="437"/>
      <c r="AO168" s="436"/>
      <c r="AP168" s="436"/>
      <c r="AQ168" s="436"/>
      <c r="AR168" s="437"/>
      <c r="AS168" s="391">
        <f t="shared" si="47"/>
        <v>0</v>
      </c>
      <c r="AT168" s="392">
        <f t="shared" si="48"/>
        <v>0</v>
      </c>
      <c r="AU168" s="145"/>
      <c r="AV168" s="440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ht="33.75" customHeight="1">
      <c r="A169" s="926"/>
      <c r="B169" s="927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3"/>
      <c r="N169" s="693"/>
      <c r="O169" s="693"/>
      <c r="P169" s="693"/>
      <c r="Q169" s="693"/>
      <c r="R169" s="693"/>
      <c r="S169" s="693"/>
      <c r="T169" s="693"/>
      <c r="U169" s="693"/>
      <c r="V169" s="693"/>
      <c r="W169" s="693"/>
      <c r="X169" s="693"/>
      <c r="Y169" s="693"/>
      <c r="Z169" s="693"/>
      <c r="AA169" s="693"/>
      <c r="AB169" s="693"/>
      <c r="AC169" s="693"/>
      <c r="AD169" s="693"/>
      <c r="AE169" s="693"/>
      <c r="AF169" s="693"/>
      <c r="AG169" s="693"/>
      <c r="AH169" s="693"/>
      <c r="AI169" s="693"/>
      <c r="AJ169" s="693"/>
      <c r="AK169" s="693"/>
      <c r="AL169" s="693"/>
      <c r="AM169" s="693"/>
      <c r="AN169" s="693"/>
      <c r="AO169" s="693"/>
      <c r="AP169" s="693"/>
      <c r="AQ169" s="693"/>
      <c r="AR169" s="693"/>
      <c r="AS169" s="693"/>
      <c r="AT169" s="693"/>
      <c r="AU169" s="145"/>
      <c r="AV169" s="440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ht="33.75" customHeight="1">
      <c r="A170" s="926"/>
      <c r="B170" s="927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3"/>
      <c r="N170" s="693"/>
      <c r="O170" s="693"/>
      <c r="P170" s="693"/>
      <c r="Q170" s="693"/>
      <c r="R170" s="693"/>
      <c r="S170" s="693"/>
      <c r="T170" s="693"/>
      <c r="U170" s="693"/>
      <c r="V170" s="693"/>
      <c r="W170" s="693"/>
      <c r="X170" s="693"/>
      <c r="Y170" s="693"/>
      <c r="Z170" s="693"/>
      <c r="AA170" s="693"/>
      <c r="AB170" s="693"/>
      <c r="AC170" s="693"/>
      <c r="AD170" s="693"/>
      <c r="AE170" s="693"/>
      <c r="AF170" s="693"/>
      <c r="AG170" s="693"/>
      <c r="AH170" s="693"/>
      <c r="AI170" s="693"/>
      <c r="AJ170" s="693"/>
      <c r="AK170" s="693"/>
      <c r="AL170" s="693"/>
      <c r="AM170" s="693"/>
      <c r="AN170" s="693"/>
      <c r="AO170" s="693"/>
      <c r="AP170" s="693"/>
      <c r="AQ170" s="693"/>
      <c r="AR170" s="693"/>
      <c r="AS170" s="693"/>
      <c r="AT170" s="693"/>
      <c r="AU170" s="145"/>
      <c r="AV170" s="440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ht="33.75" customHeight="1">
      <c r="A171" s="926"/>
      <c r="B171" s="927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3"/>
      <c r="N171" s="693"/>
      <c r="O171" s="693"/>
      <c r="P171" s="693"/>
      <c r="Q171" s="693"/>
      <c r="R171" s="693"/>
      <c r="S171" s="693"/>
      <c r="T171" s="693"/>
      <c r="U171" s="693"/>
      <c r="V171" s="693"/>
      <c r="W171" s="693"/>
      <c r="X171" s="693"/>
      <c r="Y171" s="693"/>
      <c r="Z171" s="693"/>
      <c r="AA171" s="693"/>
      <c r="AB171" s="693"/>
      <c r="AC171" s="693"/>
      <c r="AD171" s="693"/>
      <c r="AE171" s="693"/>
      <c r="AF171" s="693"/>
      <c r="AG171" s="693"/>
      <c r="AH171" s="693"/>
      <c r="AI171" s="693"/>
      <c r="AJ171" s="693"/>
      <c r="AK171" s="693"/>
      <c r="AL171" s="693"/>
      <c r="AM171" s="693"/>
      <c r="AN171" s="693"/>
      <c r="AO171" s="693"/>
      <c r="AP171" s="693"/>
      <c r="AQ171" s="693"/>
      <c r="AR171" s="693"/>
      <c r="AS171" s="693"/>
      <c r="AT171" s="693"/>
      <c r="AU171" s="145"/>
      <c r="AV171" s="440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ht="33.75" customHeight="1">
      <c r="A172" s="926"/>
      <c r="B172" s="927"/>
      <c r="C172" s="693"/>
      <c r="D172" s="693"/>
      <c r="E172" s="693"/>
      <c r="F172" s="693"/>
      <c r="G172" s="693"/>
      <c r="H172" s="693"/>
      <c r="I172" s="693"/>
      <c r="J172" s="693"/>
      <c r="K172" s="693"/>
      <c r="L172" s="693"/>
      <c r="M172" s="693"/>
      <c r="N172" s="693"/>
      <c r="O172" s="693"/>
      <c r="P172" s="693"/>
      <c r="Q172" s="693"/>
      <c r="R172" s="693"/>
      <c r="S172" s="693"/>
      <c r="T172" s="693"/>
      <c r="U172" s="693"/>
      <c r="V172" s="693"/>
      <c r="W172" s="693"/>
      <c r="X172" s="693"/>
      <c r="Y172" s="693"/>
      <c r="Z172" s="693"/>
      <c r="AA172" s="693"/>
      <c r="AB172" s="693"/>
      <c r="AC172" s="693"/>
      <c r="AD172" s="693"/>
      <c r="AE172" s="693"/>
      <c r="AF172" s="693"/>
      <c r="AG172" s="693"/>
      <c r="AH172" s="693"/>
      <c r="AI172" s="693"/>
      <c r="AJ172" s="693"/>
      <c r="AK172" s="693"/>
      <c r="AL172" s="693"/>
      <c r="AM172" s="693"/>
      <c r="AN172" s="693"/>
      <c r="AO172" s="693"/>
      <c r="AP172" s="693"/>
      <c r="AQ172" s="693"/>
      <c r="AR172" s="693"/>
      <c r="AS172" s="693"/>
      <c r="AT172" s="693"/>
      <c r="AU172" s="145"/>
      <c r="AV172" s="440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ht="33.75" customHeight="1">
      <c r="A173" s="926"/>
      <c r="B173" s="927"/>
      <c r="C173" s="693"/>
      <c r="D173" s="693"/>
      <c r="E173" s="693"/>
      <c r="F173" s="693"/>
      <c r="G173" s="693"/>
      <c r="H173" s="693"/>
      <c r="I173" s="693"/>
      <c r="J173" s="693"/>
      <c r="K173" s="693"/>
      <c r="L173" s="693"/>
      <c r="M173" s="693"/>
      <c r="N173" s="693"/>
      <c r="O173" s="693"/>
      <c r="P173" s="693"/>
      <c r="Q173" s="693"/>
      <c r="R173" s="693"/>
      <c r="S173" s="693"/>
      <c r="T173" s="693"/>
      <c r="U173" s="693"/>
      <c r="V173" s="693"/>
      <c r="W173" s="693"/>
      <c r="X173" s="693"/>
      <c r="Y173" s="693"/>
      <c r="Z173" s="693"/>
      <c r="AA173" s="693"/>
      <c r="AB173" s="693"/>
      <c r="AC173" s="693"/>
      <c r="AD173" s="693"/>
      <c r="AE173" s="693"/>
      <c r="AF173" s="693"/>
      <c r="AG173" s="693"/>
      <c r="AH173" s="693"/>
      <c r="AI173" s="693"/>
      <c r="AJ173" s="693"/>
      <c r="AK173" s="693"/>
      <c r="AL173" s="693"/>
      <c r="AM173" s="693"/>
      <c r="AN173" s="693"/>
      <c r="AO173" s="693"/>
      <c r="AP173" s="693"/>
      <c r="AQ173" s="693"/>
      <c r="AR173" s="693"/>
      <c r="AS173" s="693"/>
      <c r="AT173" s="693"/>
      <c r="AU173" s="145"/>
      <c r="AV173" s="440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ht="33.75" customHeight="1">
      <c r="A174" s="926"/>
      <c r="B174" s="927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3"/>
      <c r="N174" s="693"/>
      <c r="O174" s="693"/>
      <c r="P174" s="693"/>
      <c r="Q174" s="693"/>
      <c r="R174" s="693"/>
      <c r="S174" s="693"/>
      <c r="T174" s="693"/>
      <c r="U174" s="693"/>
      <c r="V174" s="693"/>
      <c r="W174" s="693"/>
      <c r="X174" s="693"/>
      <c r="Y174" s="693"/>
      <c r="Z174" s="693"/>
      <c r="AA174" s="693"/>
      <c r="AB174" s="693"/>
      <c r="AC174" s="693"/>
      <c r="AD174" s="693"/>
      <c r="AE174" s="693"/>
      <c r="AF174" s="693"/>
      <c r="AG174" s="693"/>
      <c r="AH174" s="693"/>
      <c r="AI174" s="693"/>
      <c r="AJ174" s="693"/>
      <c r="AK174" s="693"/>
      <c r="AL174" s="693"/>
      <c r="AM174" s="693"/>
      <c r="AN174" s="693"/>
      <c r="AO174" s="693"/>
      <c r="AP174" s="693"/>
      <c r="AQ174" s="693"/>
      <c r="AR174" s="693"/>
      <c r="AS174" s="693"/>
      <c r="AT174" s="693"/>
      <c r="AU174" s="145"/>
      <c r="AV174" s="440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ht="33.75" customHeight="1">
      <c r="A175" s="928"/>
      <c r="B175" s="693"/>
      <c r="C175" s="693"/>
      <c r="D175" s="693"/>
      <c r="E175" s="693"/>
      <c r="F175" s="693"/>
      <c r="G175" s="693"/>
      <c r="H175" s="693"/>
      <c r="I175" s="693"/>
      <c r="J175" s="693"/>
      <c r="K175" s="693"/>
      <c r="L175" s="693"/>
      <c r="M175" s="693"/>
      <c r="N175" s="693"/>
      <c r="O175" s="693"/>
      <c r="P175" s="693"/>
      <c r="Q175" s="693"/>
      <c r="R175" s="693"/>
      <c r="S175" s="693"/>
      <c r="T175" s="693"/>
      <c r="U175" s="693"/>
      <c r="V175" s="693"/>
      <c r="W175" s="693"/>
      <c r="X175" s="693"/>
      <c r="Y175" s="693"/>
      <c r="Z175" s="693"/>
      <c r="AA175" s="693"/>
      <c r="AB175" s="693"/>
      <c r="AC175" s="693"/>
      <c r="AD175" s="693"/>
      <c r="AE175" s="693"/>
      <c r="AF175" s="693"/>
      <c r="AG175" s="693"/>
      <c r="AH175" s="693"/>
      <c r="AI175" s="693"/>
      <c r="AJ175" s="693"/>
      <c r="AK175" s="693"/>
      <c r="AL175" s="693"/>
      <c r="AM175" s="693"/>
      <c r="AN175" s="693"/>
      <c r="AO175" s="693"/>
      <c r="AP175" s="693"/>
      <c r="AQ175" s="693"/>
      <c r="AR175" s="693"/>
      <c r="AS175" s="693"/>
      <c r="AT175" s="693"/>
      <c r="AU175" s="145"/>
      <c r="AV175" s="440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ht="33.75" customHeight="1">
      <c r="A176" s="929"/>
      <c r="B176" s="696"/>
      <c r="C176" s="695"/>
      <c r="D176" s="695"/>
      <c r="E176" s="695"/>
      <c r="F176" s="696"/>
      <c r="G176" s="696"/>
      <c r="H176" s="696"/>
      <c r="I176" s="697"/>
      <c r="J176" s="697"/>
      <c r="K176" s="697"/>
      <c r="L176" s="697"/>
      <c r="M176" s="697"/>
      <c r="N176" s="697"/>
      <c r="O176" s="693"/>
      <c r="P176" s="695"/>
      <c r="Q176" s="695"/>
      <c r="R176" s="695"/>
      <c r="S176" s="695"/>
      <c r="T176" s="695"/>
      <c r="U176" s="695"/>
      <c r="V176" s="696"/>
      <c r="W176" s="696"/>
      <c r="X176" s="696"/>
      <c r="Y176" s="696"/>
      <c r="Z176" s="697"/>
      <c r="AA176" s="697"/>
      <c r="AB176" s="697"/>
      <c r="AC176" s="696"/>
      <c r="AD176" s="695"/>
      <c r="AE176" s="699"/>
      <c r="AF176" s="699"/>
      <c r="AG176" s="699"/>
      <c r="AH176" s="699"/>
      <c r="AI176" s="697"/>
      <c r="AJ176" s="697"/>
      <c r="AK176" s="697"/>
      <c r="AL176" s="697"/>
      <c r="AM176" s="697"/>
      <c r="AN176" s="697"/>
      <c r="AO176" s="684"/>
      <c r="AP176" s="684"/>
      <c r="AQ176" s="684"/>
      <c r="AR176" s="684"/>
      <c r="AS176" s="684"/>
      <c r="AT176" s="684"/>
      <c r="AU176" s="145"/>
      <c r="AV176" s="440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ht="33.75" customHeight="1">
      <c r="A177" s="926"/>
      <c r="B177" s="695" t="s">
        <v>398</v>
      </c>
      <c r="C177" s="695"/>
      <c r="D177" s="695"/>
      <c r="E177" s="695"/>
      <c r="F177" s="700" t="s">
        <v>44</v>
      </c>
      <c r="G177" s="163"/>
      <c r="H177" s="163"/>
      <c r="I177" s="163"/>
      <c r="J177" s="163"/>
      <c r="K177" s="163"/>
      <c r="L177" s="163"/>
      <c r="M177" s="163"/>
      <c r="N177" s="164"/>
      <c r="O177" s="693"/>
      <c r="P177" s="699"/>
      <c r="Q177" s="699"/>
      <c r="R177" s="699"/>
      <c r="S177" s="699"/>
      <c r="T177" s="693"/>
      <c r="U177" s="693"/>
      <c r="V177" s="684"/>
      <c r="W177" s="930" t="s">
        <v>399</v>
      </c>
      <c r="X177" s="38"/>
      <c r="Y177" s="38"/>
      <c r="Z177" s="38"/>
      <c r="AA177" s="38"/>
      <c r="AB177" s="40"/>
      <c r="AC177" s="695"/>
      <c r="AD177" s="693"/>
      <c r="AE177" s="693"/>
      <c r="AF177" s="693"/>
      <c r="AG177" s="693"/>
      <c r="AH177" s="693"/>
      <c r="AI177" s="931" t="s">
        <v>73</v>
      </c>
      <c r="AJ177" s="163"/>
      <c r="AK177" s="163"/>
      <c r="AL177" s="163"/>
      <c r="AM177" s="163"/>
      <c r="AN177" s="164"/>
      <c r="AO177" s="932"/>
      <c r="AP177" s="932"/>
      <c r="AQ177" s="932"/>
      <c r="AR177" s="932"/>
      <c r="AS177" s="932"/>
      <c r="AT177" s="932"/>
      <c r="AU177" s="932"/>
      <c r="AV177" s="932"/>
      <c r="AW177" s="932"/>
      <c r="AX177" s="932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67"/>
      <c r="BJ177" s="38"/>
      <c r="BK177" s="38"/>
      <c r="BL177" s="38"/>
      <c r="BM177" s="40"/>
      <c r="BN177" s="1"/>
    </row>
    <row r="178" ht="33.75" customHeight="1">
      <c r="A178" s="926"/>
      <c r="B178" s="702" t="s">
        <v>35</v>
      </c>
      <c r="C178" s="702"/>
      <c r="D178" s="702"/>
      <c r="E178" s="702"/>
      <c r="F178" s="703" t="s">
        <v>54</v>
      </c>
      <c r="G178" s="38"/>
      <c r="H178" s="38"/>
      <c r="I178" s="38"/>
      <c r="J178" s="38"/>
      <c r="K178" s="38"/>
      <c r="L178" s="38"/>
      <c r="M178" s="38"/>
      <c r="N178" s="40"/>
      <c r="O178" s="706"/>
      <c r="P178" s="706"/>
      <c r="Q178" s="706"/>
      <c r="R178" s="706"/>
      <c r="S178" s="706"/>
      <c r="T178" s="693"/>
      <c r="U178" s="693"/>
      <c r="V178" s="704" t="s">
        <v>400</v>
      </c>
      <c r="W178" s="38"/>
      <c r="X178" s="38"/>
      <c r="Y178" s="38"/>
      <c r="Z178" s="38"/>
      <c r="AA178" s="38"/>
      <c r="AB178" s="38"/>
      <c r="AC178" s="40"/>
      <c r="AD178" s="693"/>
      <c r="AE178" s="693"/>
      <c r="AF178" s="693"/>
      <c r="AG178" s="693"/>
      <c r="AH178" s="693"/>
      <c r="AI178" s="704" t="s">
        <v>74</v>
      </c>
      <c r="AJ178" s="38"/>
      <c r="AK178" s="38"/>
      <c r="AL178" s="38"/>
      <c r="AM178" s="38"/>
      <c r="AN178" s="40"/>
      <c r="AO178" s="933"/>
      <c r="AP178" s="933"/>
      <c r="AQ178" s="933"/>
      <c r="AR178" s="933"/>
      <c r="AS178" s="933"/>
      <c r="AT178" s="933"/>
      <c r="AU178" s="814"/>
      <c r="AV178" s="460"/>
      <c r="AW178" s="173"/>
      <c r="AX178" s="173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934"/>
      <c r="BJ178" s="38"/>
      <c r="BK178" s="38"/>
      <c r="BL178" s="38"/>
      <c r="BM178" s="40"/>
      <c r="BN178" s="1"/>
    </row>
    <row r="179" ht="33.75" customHeight="1">
      <c r="A179" s="684"/>
      <c r="B179" s="706"/>
      <c r="C179" s="706"/>
      <c r="D179" s="706"/>
      <c r="E179" s="706"/>
      <c r="F179" s="706"/>
      <c r="G179" s="707"/>
      <c r="H179" s="707"/>
      <c r="I179" s="693"/>
      <c r="J179" s="693"/>
      <c r="K179" s="706"/>
      <c r="L179" s="706"/>
      <c r="M179" s="706"/>
      <c r="N179" s="706"/>
      <c r="O179" s="706"/>
      <c r="P179" s="706"/>
      <c r="Q179" s="706"/>
      <c r="R179" s="706"/>
      <c r="S179" s="706"/>
      <c r="T179" s="706"/>
      <c r="U179" s="706"/>
      <c r="V179" s="704"/>
      <c r="W179" s="38"/>
      <c r="X179" s="38"/>
      <c r="Y179" s="38"/>
      <c r="Z179" s="38"/>
      <c r="AA179" s="40"/>
      <c r="AB179" s="693"/>
      <c r="AC179" s="707"/>
      <c r="AD179" s="693"/>
      <c r="AE179" s="693"/>
      <c r="AF179" s="693"/>
      <c r="AG179" s="693"/>
      <c r="AH179" s="693"/>
      <c r="AI179" s="706"/>
      <c r="AJ179" s="706"/>
      <c r="AK179" s="706"/>
      <c r="AL179" s="706"/>
      <c r="AM179" s="706"/>
      <c r="AN179" s="706"/>
      <c r="AO179" s="706"/>
      <c r="AP179" s="706"/>
      <c r="AQ179" s="706"/>
      <c r="AR179" s="706"/>
      <c r="AS179" s="706"/>
      <c r="AT179" s="706"/>
      <c r="AU179" s="814"/>
      <c r="AV179" s="460"/>
      <c r="AW179" s="173"/>
      <c r="AX179" s="173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7">
    <mergeCell ref="O9:Q9"/>
    <mergeCell ref="S9:U9"/>
    <mergeCell ref="W9:Y9"/>
    <mergeCell ref="AA9:AB9"/>
    <mergeCell ref="O10:Q10"/>
    <mergeCell ref="S10:U10"/>
    <mergeCell ref="W10:Y10"/>
    <mergeCell ref="AA10:AB10"/>
    <mergeCell ref="O11:Q11"/>
    <mergeCell ref="S11:U11"/>
    <mergeCell ref="W11:Y11"/>
    <mergeCell ref="AA11:AB11"/>
    <mergeCell ref="O12:Q12"/>
    <mergeCell ref="S12:U12"/>
    <mergeCell ref="W13:Y13"/>
    <mergeCell ref="AA13:AB13"/>
    <mergeCell ref="W14:Y14"/>
    <mergeCell ref="AA14:AB14"/>
    <mergeCell ref="W15:Y15"/>
    <mergeCell ref="AA15:AB15"/>
    <mergeCell ref="W16:Y16"/>
    <mergeCell ref="AA16:AB16"/>
    <mergeCell ref="W17:Y17"/>
    <mergeCell ref="V178:AC178"/>
    <mergeCell ref="V179:AA179"/>
    <mergeCell ref="F177:N177"/>
    <mergeCell ref="W177:AB177"/>
    <mergeCell ref="AI177:AN177"/>
    <mergeCell ref="BI177:BM177"/>
    <mergeCell ref="F178:N178"/>
    <mergeCell ref="AI178:AN178"/>
    <mergeCell ref="BI178:BM178"/>
    <mergeCell ref="W20:X20"/>
    <mergeCell ref="Y20:Z20"/>
    <mergeCell ref="AO20:AP20"/>
    <mergeCell ref="AQ20:AR20"/>
    <mergeCell ref="G20:H20"/>
    <mergeCell ref="I20:J20"/>
    <mergeCell ref="M20:N20"/>
    <mergeCell ref="O20:P20"/>
    <mergeCell ref="Q20:R20"/>
    <mergeCell ref="S20:T20"/>
    <mergeCell ref="U20:V20"/>
    <mergeCell ref="W12:Y12"/>
    <mergeCell ref="AA12:AB12"/>
    <mergeCell ref="O13:Q13"/>
    <mergeCell ref="S13:U13"/>
    <mergeCell ref="O14:Q14"/>
    <mergeCell ref="S14:U14"/>
    <mergeCell ref="O15:Q15"/>
    <mergeCell ref="S15:U15"/>
    <mergeCell ref="O16:Q16"/>
    <mergeCell ref="S16:U16"/>
    <mergeCell ref="O17:Q17"/>
    <mergeCell ref="S17:U17"/>
    <mergeCell ref="A3:A5"/>
    <mergeCell ref="B3:B5"/>
    <mergeCell ref="C3:AO5"/>
    <mergeCell ref="A6:A8"/>
    <mergeCell ref="B6:B8"/>
    <mergeCell ref="C6:AB8"/>
    <mergeCell ref="C9:F14"/>
    <mergeCell ref="G9:I14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A18:A20"/>
    <mergeCell ref="B18:B20"/>
    <mergeCell ref="C20:D20"/>
    <mergeCell ref="E20:F20"/>
    <mergeCell ref="K20:L20"/>
    <mergeCell ref="AI20:AJ20"/>
    <mergeCell ref="AK20:AL20"/>
    <mergeCell ref="AM20:AN20"/>
    <mergeCell ref="AA17:AB17"/>
    <mergeCell ref="AD19:AI19"/>
    <mergeCell ref="AJ19:AK19"/>
    <mergeCell ref="AA20:AB20"/>
    <mergeCell ref="AC20:AD20"/>
    <mergeCell ref="AE20:AF20"/>
    <mergeCell ref="AG20:AH20"/>
  </mergeCells>
  <conditionalFormatting sqref="C110 E110 G110 I110">
    <cfRule type="cellIs" dxfId="6" priority="1" stopIfTrue="1" operator="notEqual">
      <formula>0</formula>
    </cfRule>
  </conditionalFormatting>
  <conditionalFormatting sqref="C110 E110 G110 I110">
    <cfRule type="cellIs" dxfId="7" priority="2" stopIfTrue="1" operator="equal">
      <formula>0</formula>
    </cfRule>
  </conditionalFormatting>
  <conditionalFormatting sqref="C115 E115 G115 I115">
    <cfRule type="cellIs" dxfId="6" priority="3" stopIfTrue="1" operator="notEqual">
      <formula>0</formula>
    </cfRule>
  </conditionalFormatting>
  <conditionalFormatting sqref="C115 E115 G115 I115">
    <cfRule type="cellIs" dxfId="7" priority="4" stopIfTrue="1" operator="equal">
      <formula>0</formula>
    </cfRule>
  </conditionalFormatting>
  <conditionalFormatting sqref="C37:AB37">
    <cfRule type="cellIs" dxfId="6" priority="5" stopIfTrue="1" operator="notEqual">
      <formula>0</formula>
    </cfRule>
  </conditionalFormatting>
  <conditionalFormatting sqref="C37:AB37">
    <cfRule type="cellIs" dxfId="7" priority="6" stopIfTrue="1" operator="equal">
      <formula>0</formula>
    </cfRule>
  </conditionalFormatting>
  <conditionalFormatting sqref="C58:AH58">
    <cfRule type="cellIs" dxfId="6" priority="7" stopIfTrue="1" operator="notEqual">
      <formula>0</formula>
    </cfRule>
  </conditionalFormatting>
  <conditionalFormatting sqref="C58:AH58">
    <cfRule type="cellIs" dxfId="7" priority="8" stopIfTrue="1" operator="equal">
      <formula>0</formula>
    </cfRule>
  </conditionalFormatting>
  <conditionalFormatting sqref="C37:AR37">
    <cfRule type="containsText" dxfId="21" priority="9" operator="containsText" text="R37">
      <formula>NOT(ISERROR(SEARCH(("R37"),(C37))))</formula>
    </cfRule>
  </conditionalFormatting>
  <conditionalFormatting sqref="C37:AR37">
    <cfRule type="containsText" dxfId="1" priority="10" operator="containsText" text="R36">
      <formula>NOT(ISERROR(SEARCH(("R36"),(C37))))</formula>
    </cfRule>
  </conditionalFormatting>
  <conditionalFormatting sqref="C37:AR37">
    <cfRule type="containsText" dxfId="22" priority="11" operator="containsText" text="R35">
      <formula>NOT(ISERROR(SEARCH(("R35"),(C37))))</formula>
    </cfRule>
  </conditionalFormatting>
  <conditionalFormatting sqref="C37:AR37">
    <cfRule type="containsText" dxfId="23" priority="12" operator="containsText" text="R34">
      <formula>NOT(ISERROR(SEARCH(("R34"),(C37))))</formula>
    </cfRule>
  </conditionalFormatting>
  <conditionalFormatting sqref="C37:AR37">
    <cfRule type="containsText" dxfId="24" priority="13" operator="containsText" text="R33">
      <formula>NOT(ISERROR(SEARCH(("R33"),(C37))))</formula>
    </cfRule>
  </conditionalFormatting>
  <conditionalFormatting sqref="C37:AR37">
    <cfRule type="containsText" dxfId="47" priority="14" operator="containsText" text="R28">
      <formula>NOT(ISERROR(SEARCH(("R28"),(C37))))</formula>
    </cfRule>
  </conditionalFormatting>
  <conditionalFormatting sqref="C37:AR37">
    <cfRule type="containsText" dxfId="25" priority="15" operator="containsText" text="R32">
      <formula>NOT(ISERROR(SEARCH(("R32"),(C37))))</formula>
    </cfRule>
  </conditionalFormatting>
  <conditionalFormatting sqref="C37:AR37">
    <cfRule type="containsText" dxfId="26" priority="16" operator="containsText" text="R31">
      <formula>NOT(ISERROR(SEARCH(("R31"),(C37))))</formula>
    </cfRule>
  </conditionalFormatting>
  <conditionalFormatting sqref="C37:AR37">
    <cfRule type="containsText" dxfId="27" priority="17" operator="containsText" text="R30">
      <formula>NOT(ISERROR(SEARCH(("R30"),(C37))))</formula>
    </cfRule>
  </conditionalFormatting>
  <conditionalFormatting sqref="C37:AR37">
    <cfRule type="containsText" dxfId="29" priority="18" operator="containsText" text="R29">
      <formula>NOT(ISERROR(SEARCH(("R29"),(C37))))</formula>
    </cfRule>
  </conditionalFormatting>
  <conditionalFormatting sqref="C37:AR37">
    <cfRule type="containsText" dxfId="30" priority="19" operator="containsText" text="R27">
      <formula>NOT(ISERROR(SEARCH(("R27"),(C37))))</formula>
    </cfRule>
  </conditionalFormatting>
  <conditionalFormatting sqref="C37:AR37">
    <cfRule type="containsText" dxfId="2" priority="20" operator="containsText" text="R26">
      <formula>NOT(ISERROR(SEARCH(("R26"),(C37))))</formula>
    </cfRule>
  </conditionalFormatting>
  <conditionalFormatting sqref="C37:AR37">
    <cfRule type="containsText" dxfId="3" priority="21" operator="containsText" text="R25">
      <formula>NOT(ISERROR(SEARCH(("R25"),(C37))))</formula>
    </cfRule>
  </conditionalFormatting>
  <conditionalFormatting sqref="C37:AR37">
    <cfRule type="containsText" dxfId="31" priority="22" operator="containsText" text="R24">
      <formula>NOT(ISERROR(SEARCH(("R24"),(C37))))</formula>
    </cfRule>
  </conditionalFormatting>
  <conditionalFormatting sqref="C37:AR37">
    <cfRule type="containsText" dxfId="4" priority="23" operator="containsText" text="R23">
      <formula>NOT(ISERROR(SEARCH(("R23"),(C37))))</formula>
    </cfRule>
  </conditionalFormatting>
  <conditionalFormatting sqref="C37:AR37">
    <cfRule type="containsText" dxfId="48" priority="24" operator="containsText" text="R22">
      <formula>NOT(ISERROR(SEARCH(("R22"),(C37))))</formula>
    </cfRule>
  </conditionalFormatting>
  <conditionalFormatting sqref="C37:AR37">
    <cfRule type="containsText" dxfId="8" priority="25" operator="containsText" text="R21">
      <formula>NOT(ISERROR(SEARCH(("R21"),(C37))))</formula>
    </cfRule>
  </conditionalFormatting>
  <conditionalFormatting sqref="C37:AR37">
    <cfRule type="containsText" dxfId="9" priority="26" operator="containsText" text="R20">
      <formula>NOT(ISERROR(SEARCH(("R20"),(C37))))</formula>
    </cfRule>
  </conditionalFormatting>
  <conditionalFormatting sqref="C37:AR37">
    <cfRule type="containsText" dxfId="41" priority="27" operator="containsText" text="R19">
      <formula>NOT(ISERROR(SEARCH(("R19"),(C37))))</formula>
    </cfRule>
  </conditionalFormatting>
  <conditionalFormatting sqref="C37:AR37">
    <cfRule type="containsText" dxfId="34" priority="28" operator="containsText" text="R18">
      <formula>NOT(ISERROR(SEARCH(("R18"),(C37))))</formula>
    </cfRule>
  </conditionalFormatting>
  <conditionalFormatting sqref="C37:AR37">
    <cfRule type="containsText" dxfId="35" priority="29" operator="containsText" text="R17">
      <formula>NOT(ISERROR(SEARCH(("R17"),(C37))))</formula>
    </cfRule>
  </conditionalFormatting>
  <conditionalFormatting sqref="C37:AR37">
    <cfRule type="containsText" dxfId="10" priority="30" operator="containsText" text="R16">
      <formula>NOT(ISERROR(SEARCH(("R16"),(C37))))</formula>
    </cfRule>
  </conditionalFormatting>
  <conditionalFormatting sqref="C37:AR37">
    <cfRule type="containsText" dxfId="11" priority="31" operator="containsText" text="R15">
      <formula>NOT(ISERROR(SEARCH(("R15"),(C37))))</formula>
    </cfRule>
  </conditionalFormatting>
  <conditionalFormatting sqref="C37:AR37">
    <cfRule type="containsText" dxfId="49" priority="32" operator="containsText" text="R15">
      <formula>NOT(ISERROR(SEARCH(("R15"),(C37))))</formula>
    </cfRule>
  </conditionalFormatting>
  <conditionalFormatting sqref="C37:AR37">
    <cfRule type="containsText" dxfId="12" priority="33" operator="containsText" text="R14">
      <formula>NOT(ISERROR(SEARCH(("R14"),(C37))))</formula>
    </cfRule>
  </conditionalFormatting>
  <conditionalFormatting sqref="C58:AR58">
    <cfRule type="containsText" dxfId="21" priority="34" operator="containsText" text="R37">
      <formula>NOT(ISERROR(SEARCH(("R37"),(C58))))</formula>
    </cfRule>
  </conditionalFormatting>
  <conditionalFormatting sqref="C58:AR58">
    <cfRule type="containsText" dxfId="1" priority="35" operator="containsText" text="R36">
      <formula>NOT(ISERROR(SEARCH(("R36"),(C58))))</formula>
    </cfRule>
  </conditionalFormatting>
  <conditionalFormatting sqref="C58:AR58">
    <cfRule type="containsText" dxfId="22" priority="36" operator="containsText" text="R35">
      <formula>NOT(ISERROR(SEARCH(("R35"),(C58))))</formula>
    </cfRule>
  </conditionalFormatting>
  <conditionalFormatting sqref="C58:AR58">
    <cfRule type="containsText" dxfId="23" priority="37" operator="containsText" text="R34">
      <formula>NOT(ISERROR(SEARCH(("R34"),(C58))))</formula>
    </cfRule>
  </conditionalFormatting>
  <conditionalFormatting sqref="C58:AR58">
    <cfRule type="containsText" dxfId="24" priority="38" operator="containsText" text="R33">
      <formula>NOT(ISERROR(SEARCH(("R33"),(C58))))</formula>
    </cfRule>
  </conditionalFormatting>
  <conditionalFormatting sqref="C58:AR58">
    <cfRule type="containsText" dxfId="47" priority="39" operator="containsText" text="R28">
      <formula>NOT(ISERROR(SEARCH(("R28"),(C58))))</formula>
    </cfRule>
  </conditionalFormatting>
  <conditionalFormatting sqref="C58:AR58">
    <cfRule type="containsText" dxfId="25" priority="40" operator="containsText" text="R32">
      <formula>NOT(ISERROR(SEARCH(("R32"),(C58))))</formula>
    </cfRule>
  </conditionalFormatting>
  <conditionalFormatting sqref="C58:AR58">
    <cfRule type="containsText" dxfId="26" priority="41" operator="containsText" text="R31">
      <formula>NOT(ISERROR(SEARCH(("R31"),(C58))))</formula>
    </cfRule>
  </conditionalFormatting>
  <conditionalFormatting sqref="C58:AR58">
    <cfRule type="containsText" dxfId="27" priority="42" operator="containsText" text="R30">
      <formula>NOT(ISERROR(SEARCH(("R30"),(C58))))</formula>
    </cfRule>
  </conditionalFormatting>
  <conditionalFormatting sqref="C58:AR58">
    <cfRule type="containsText" dxfId="29" priority="43" operator="containsText" text="R29">
      <formula>NOT(ISERROR(SEARCH(("R29"),(C58))))</formula>
    </cfRule>
  </conditionalFormatting>
  <conditionalFormatting sqref="C58:AR58">
    <cfRule type="containsText" dxfId="30" priority="44" operator="containsText" text="R27">
      <formula>NOT(ISERROR(SEARCH(("R27"),(C58))))</formula>
    </cfRule>
  </conditionalFormatting>
  <conditionalFormatting sqref="C58:AR58">
    <cfRule type="containsText" dxfId="2" priority="45" operator="containsText" text="R26">
      <formula>NOT(ISERROR(SEARCH(("R26"),(C58))))</formula>
    </cfRule>
  </conditionalFormatting>
  <conditionalFormatting sqref="C58:AR58">
    <cfRule type="containsText" dxfId="3" priority="46" operator="containsText" text="R25">
      <formula>NOT(ISERROR(SEARCH(("R25"),(C58))))</formula>
    </cfRule>
  </conditionalFormatting>
  <conditionalFormatting sqref="C58:AR58">
    <cfRule type="containsText" dxfId="31" priority="47" operator="containsText" text="R24">
      <formula>NOT(ISERROR(SEARCH(("R24"),(C58))))</formula>
    </cfRule>
  </conditionalFormatting>
  <conditionalFormatting sqref="C58:AR58">
    <cfRule type="containsText" dxfId="4" priority="48" operator="containsText" text="R23">
      <formula>NOT(ISERROR(SEARCH(("R23"),(C58))))</formula>
    </cfRule>
  </conditionalFormatting>
  <conditionalFormatting sqref="C58:AR58">
    <cfRule type="containsText" dxfId="48" priority="49" operator="containsText" text="R22">
      <formula>NOT(ISERROR(SEARCH(("R22"),(C58))))</formula>
    </cfRule>
  </conditionalFormatting>
  <conditionalFormatting sqref="C58:AR58">
    <cfRule type="containsText" dxfId="8" priority="50" operator="containsText" text="R21">
      <formula>NOT(ISERROR(SEARCH(("R21"),(C58))))</formula>
    </cfRule>
  </conditionalFormatting>
  <conditionalFormatting sqref="C58:AR58">
    <cfRule type="containsText" dxfId="9" priority="51" operator="containsText" text="R20">
      <formula>NOT(ISERROR(SEARCH(("R20"),(C58))))</formula>
    </cfRule>
  </conditionalFormatting>
  <conditionalFormatting sqref="C58:AR58">
    <cfRule type="containsText" dxfId="41" priority="52" operator="containsText" text="R19">
      <formula>NOT(ISERROR(SEARCH(("R19"),(C58))))</formula>
    </cfRule>
  </conditionalFormatting>
  <conditionalFormatting sqref="C58:AR58">
    <cfRule type="containsText" dxfId="34" priority="53" operator="containsText" text="R18">
      <formula>NOT(ISERROR(SEARCH(("R18"),(C58))))</formula>
    </cfRule>
  </conditionalFormatting>
  <conditionalFormatting sqref="C58:AR58">
    <cfRule type="containsText" dxfId="35" priority="54" operator="containsText" text="R17">
      <formula>NOT(ISERROR(SEARCH(("R17"),(C58))))</formula>
    </cfRule>
  </conditionalFormatting>
  <conditionalFormatting sqref="C58:AR58">
    <cfRule type="containsText" dxfId="10" priority="55" operator="containsText" text="R16">
      <formula>NOT(ISERROR(SEARCH(("R16"),(C58))))</formula>
    </cfRule>
  </conditionalFormatting>
  <conditionalFormatting sqref="C58:AR58">
    <cfRule type="containsText" dxfId="11" priority="56" operator="containsText" text="R15">
      <formula>NOT(ISERROR(SEARCH(("R15"),(C58))))</formula>
    </cfRule>
  </conditionalFormatting>
  <conditionalFormatting sqref="C58:AR58">
    <cfRule type="containsText" dxfId="49" priority="57" operator="containsText" text="R15">
      <formula>NOT(ISERROR(SEARCH(("R15"),(C58))))</formula>
    </cfRule>
  </conditionalFormatting>
  <conditionalFormatting sqref="C58:AR58">
    <cfRule type="containsText" dxfId="12" priority="58" operator="containsText" text="R14">
      <formula>NOT(ISERROR(SEARCH(("R14"),(C58))))</formula>
    </cfRule>
  </conditionalFormatting>
  <conditionalFormatting sqref="C85:AR85">
    <cfRule type="containsText" dxfId="21" priority="59" operator="containsText" text="R37">
      <formula>NOT(ISERROR(SEARCH(("R37"),(C85))))</formula>
    </cfRule>
  </conditionalFormatting>
  <conditionalFormatting sqref="C85:AR85">
    <cfRule type="containsText" dxfId="1" priority="60" operator="containsText" text="R36">
      <formula>NOT(ISERROR(SEARCH(("R36"),(C85))))</formula>
    </cfRule>
  </conditionalFormatting>
  <conditionalFormatting sqref="C85:AR85">
    <cfRule type="containsText" dxfId="22" priority="61" operator="containsText" text="R35">
      <formula>NOT(ISERROR(SEARCH(("R35"),(C85))))</formula>
    </cfRule>
  </conditionalFormatting>
  <conditionalFormatting sqref="C85:AR85">
    <cfRule type="containsText" dxfId="23" priority="62" operator="containsText" text="R34">
      <formula>NOT(ISERROR(SEARCH(("R34"),(C85))))</formula>
    </cfRule>
  </conditionalFormatting>
  <conditionalFormatting sqref="C85:AR85">
    <cfRule type="containsText" dxfId="24" priority="63" operator="containsText" text="R33">
      <formula>NOT(ISERROR(SEARCH(("R33"),(C85))))</formula>
    </cfRule>
  </conditionalFormatting>
  <conditionalFormatting sqref="C85:AR85">
    <cfRule type="containsText" dxfId="47" priority="64" operator="containsText" text="R28">
      <formula>NOT(ISERROR(SEARCH(("R28"),(C85))))</formula>
    </cfRule>
  </conditionalFormatting>
  <conditionalFormatting sqref="C85:AR85">
    <cfRule type="containsText" dxfId="25" priority="65" operator="containsText" text="R32">
      <formula>NOT(ISERROR(SEARCH(("R32"),(C85))))</formula>
    </cfRule>
  </conditionalFormatting>
  <conditionalFormatting sqref="C85:AR85">
    <cfRule type="containsText" dxfId="26" priority="66" operator="containsText" text="R31">
      <formula>NOT(ISERROR(SEARCH(("R31"),(C85))))</formula>
    </cfRule>
  </conditionalFormatting>
  <conditionalFormatting sqref="C85:AR85">
    <cfRule type="containsText" dxfId="27" priority="67" operator="containsText" text="R30">
      <formula>NOT(ISERROR(SEARCH(("R30"),(C85))))</formula>
    </cfRule>
  </conditionalFormatting>
  <conditionalFormatting sqref="C85:AR85">
    <cfRule type="containsText" dxfId="29" priority="68" operator="containsText" text="R29">
      <formula>NOT(ISERROR(SEARCH(("R29"),(C85))))</formula>
    </cfRule>
  </conditionalFormatting>
  <conditionalFormatting sqref="C85:AR85">
    <cfRule type="containsText" dxfId="30" priority="69" operator="containsText" text="R27">
      <formula>NOT(ISERROR(SEARCH(("R27"),(C85))))</formula>
    </cfRule>
  </conditionalFormatting>
  <conditionalFormatting sqref="C85:AR85">
    <cfRule type="containsText" dxfId="2" priority="70" operator="containsText" text="R26">
      <formula>NOT(ISERROR(SEARCH(("R26"),(C85))))</formula>
    </cfRule>
  </conditionalFormatting>
  <conditionalFormatting sqref="C85:AR85">
    <cfRule type="containsText" dxfId="3" priority="71" operator="containsText" text="R25">
      <formula>NOT(ISERROR(SEARCH(("R25"),(C85))))</formula>
    </cfRule>
  </conditionalFormatting>
  <conditionalFormatting sqref="C85:AR85">
    <cfRule type="containsText" dxfId="31" priority="72" operator="containsText" text="R24">
      <formula>NOT(ISERROR(SEARCH(("R24"),(C85))))</formula>
    </cfRule>
  </conditionalFormatting>
  <conditionalFormatting sqref="C85:AR85">
    <cfRule type="containsText" dxfId="4" priority="73" operator="containsText" text="R23">
      <formula>NOT(ISERROR(SEARCH(("R23"),(C85))))</formula>
    </cfRule>
  </conditionalFormatting>
  <conditionalFormatting sqref="C85:AR85">
    <cfRule type="containsText" dxfId="48" priority="74" operator="containsText" text="R22">
      <formula>NOT(ISERROR(SEARCH(("R22"),(C85))))</formula>
    </cfRule>
  </conditionalFormatting>
  <conditionalFormatting sqref="C85:AR85">
    <cfRule type="containsText" dxfId="8" priority="75" operator="containsText" text="R21">
      <formula>NOT(ISERROR(SEARCH(("R21"),(C85))))</formula>
    </cfRule>
  </conditionalFormatting>
  <conditionalFormatting sqref="C85:AR85">
    <cfRule type="containsText" dxfId="9" priority="76" operator="containsText" text="R20">
      <formula>NOT(ISERROR(SEARCH(("R20"),(C85))))</formula>
    </cfRule>
  </conditionalFormatting>
  <conditionalFormatting sqref="C85:AR85">
    <cfRule type="containsText" dxfId="41" priority="77" operator="containsText" text="R19">
      <formula>NOT(ISERROR(SEARCH(("R19"),(C85))))</formula>
    </cfRule>
  </conditionalFormatting>
  <conditionalFormatting sqref="C85:AR85">
    <cfRule type="containsText" dxfId="34" priority="78" operator="containsText" text="R18">
      <formula>NOT(ISERROR(SEARCH(("R18"),(C85))))</formula>
    </cfRule>
  </conditionalFormatting>
  <conditionalFormatting sqref="C85:AR85">
    <cfRule type="containsText" dxfId="35" priority="79" operator="containsText" text="R17">
      <formula>NOT(ISERROR(SEARCH(("R17"),(C85))))</formula>
    </cfRule>
  </conditionalFormatting>
  <conditionalFormatting sqref="C85:AR85">
    <cfRule type="containsText" dxfId="10" priority="80" operator="containsText" text="R16">
      <formula>NOT(ISERROR(SEARCH(("R16"),(C85))))</formula>
    </cfRule>
  </conditionalFormatting>
  <conditionalFormatting sqref="C85:AR85">
    <cfRule type="containsText" dxfId="11" priority="81" operator="containsText" text="R15">
      <formula>NOT(ISERROR(SEARCH(("R15"),(C85))))</formula>
    </cfRule>
  </conditionalFormatting>
  <conditionalFormatting sqref="C85:AR85">
    <cfRule type="containsText" dxfId="49" priority="82" operator="containsText" text="R15">
      <formula>NOT(ISERROR(SEARCH(("R15"),(C85))))</formula>
    </cfRule>
  </conditionalFormatting>
  <conditionalFormatting sqref="C85:AR85">
    <cfRule type="containsText" dxfId="12" priority="83" operator="containsText" text="R14">
      <formula>NOT(ISERROR(SEARCH(("R14"),(C85))))</formula>
    </cfRule>
  </conditionalFormatting>
  <conditionalFormatting sqref="C110:AR110">
    <cfRule type="containsText" dxfId="21" priority="84" operator="containsText" text="R37">
      <formula>NOT(ISERROR(SEARCH(("R37"),(C110))))</formula>
    </cfRule>
  </conditionalFormatting>
  <conditionalFormatting sqref="C110:AR110">
    <cfRule type="containsText" dxfId="1" priority="85" operator="containsText" text="R36">
      <formula>NOT(ISERROR(SEARCH(("R36"),(C110))))</formula>
    </cfRule>
  </conditionalFormatting>
  <conditionalFormatting sqref="C110:AR110">
    <cfRule type="containsText" dxfId="22" priority="86" operator="containsText" text="R35">
      <formula>NOT(ISERROR(SEARCH(("R35"),(C110))))</formula>
    </cfRule>
  </conditionalFormatting>
  <conditionalFormatting sqref="C110:AR110">
    <cfRule type="containsText" dxfId="23" priority="87" operator="containsText" text="R34">
      <formula>NOT(ISERROR(SEARCH(("R34"),(C110))))</formula>
    </cfRule>
  </conditionalFormatting>
  <conditionalFormatting sqref="C110:AR110">
    <cfRule type="containsText" dxfId="24" priority="88" operator="containsText" text="R33">
      <formula>NOT(ISERROR(SEARCH(("R33"),(C110))))</formula>
    </cfRule>
  </conditionalFormatting>
  <conditionalFormatting sqref="C110:AR110">
    <cfRule type="containsText" dxfId="47" priority="89" operator="containsText" text="R28">
      <formula>NOT(ISERROR(SEARCH(("R28"),(C110))))</formula>
    </cfRule>
  </conditionalFormatting>
  <conditionalFormatting sqref="C110:AR110">
    <cfRule type="containsText" dxfId="25" priority="90" operator="containsText" text="R32">
      <formula>NOT(ISERROR(SEARCH(("R32"),(C110))))</formula>
    </cfRule>
  </conditionalFormatting>
  <conditionalFormatting sqref="C110:AR110">
    <cfRule type="containsText" dxfId="26" priority="91" operator="containsText" text="R31">
      <formula>NOT(ISERROR(SEARCH(("R31"),(C110))))</formula>
    </cfRule>
  </conditionalFormatting>
  <conditionalFormatting sqref="C110:AR110">
    <cfRule type="containsText" dxfId="27" priority="92" operator="containsText" text="R30">
      <formula>NOT(ISERROR(SEARCH(("R30"),(C110))))</formula>
    </cfRule>
  </conditionalFormatting>
  <conditionalFormatting sqref="C110:AR110">
    <cfRule type="containsText" dxfId="29" priority="93" operator="containsText" text="R29">
      <formula>NOT(ISERROR(SEARCH(("R29"),(C110))))</formula>
    </cfRule>
  </conditionalFormatting>
  <conditionalFormatting sqref="C110:AR110">
    <cfRule type="containsText" dxfId="30" priority="94" operator="containsText" text="R27">
      <formula>NOT(ISERROR(SEARCH(("R27"),(C110))))</formula>
    </cfRule>
  </conditionalFormatting>
  <conditionalFormatting sqref="C110:AR110">
    <cfRule type="containsText" dxfId="2" priority="95" operator="containsText" text="R26">
      <formula>NOT(ISERROR(SEARCH(("R26"),(C110))))</formula>
    </cfRule>
  </conditionalFormatting>
  <conditionalFormatting sqref="C110:AR110">
    <cfRule type="containsText" dxfId="3" priority="96" operator="containsText" text="R25">
      <formula>NOT(ISERROR(SEARCH(("R25"),(C110))))</formula>
    </cfRule>
  </conditionalFormatting>
  <conditionalFormatting sqref="C110:AR110">
    <cfRule type="containsText" dxfId="31" priority="97" operator="containsText" text="R24">
      <formula>NOT(ISERROR(SEARCH(("R24"),(C110))))</formula>
    </cfRule>
  </conditionalFormatting>
  <conditionalFormatting sqref="C110:AR110">
    <cfRule type="containsText" dxfId="4" priority="98" operator="containsText" text="R23">
      <formula>NOT(ISERROR(SEARCH(("R23"),(C110))))</formula>
    </cfRule>
  </conditionalFormatting>
  <conditionalFormatting sqref="C110:AR110">
    <cfRule type="containsText" dxfId="48" priority="99" operator="containsText" text="R22">
      <formula>NOT(ISERROR(SEARCH(("R22"),(C110))))</formula>
    </cfRule>
  </conditionalFormatting>
  <conditionalFormatting sqref="C110:AR110">
    <cfRule type="containsText" dxfId="8" priority="100" operator="containsText" text="R21">
      <formula>NOT(ISERROR(SEARCH(("R21"),(C110))))</formula>
    </cfRule>
  </conditionalFormatting>
  <conditionalFormatting sqref="C110:AR110">
    <cfRule type="containsText" dxfId="9" priority="101" operator="containsText" text="R20">
      <formula>NOT(ISERROR(SEARCH(("R20"),(C110))))</formula>
    </cfRule>
  </conditionalFormatting>
  <conditionalFormatting sqref="C110:AR110">
    <cfRule type="containsText" dxfId="41" priority="102" operator="containsText" text="R19">
      <formula>NOT(ISERROR(SEARCH(("R19"),(C110))))</formula>
    </cfRule>
  </conditionalFormatting>
  <conditionalFormatting sqref="C110:AR110">
    <cfRule type="containsText" dxfId="34" priority="103" operator="containsText" text="R18">
      <formula>NOT(ISERROR(SEARCH(("R18"),(C110))))</formula>
    </cfRule>
  </conditionalFormatting>
  <conditionalFormatting sqref="C110:AR110">
    <cfRule type="containsText" dxfId="35" priority="104" operator="containsText" text="R17">
      <formula>NOT(ISERROR(SEARCH(("R17"),(C110))))</formula>
    </cfRule>
  </conditionalFormatting>
  <conditionalFormatting sqref="C110:AR110">
    <cfRule type="containsText" dxfId="10" priority="105" operator="containsText" text="R16">
      <formula>NOT(ISERROR(SEARCH(("R16"),(C110))))</formula>
    </cfRule>
  </conditionalFormatting>
  <conditionalFormatting sqref="C110:AR110">
    <cfRule type="containsText" dxfId="11" priority="106" operator="containsText" text="R15">
      <formula>NOT(ISERROR(SEARCH(("R15"),(C110))))</formula>
    </cfRule>
  </conditionalFormatting>
  <conditionalFormatting sqref="C110:AR110">
    <cfRule type="containsText" dxfId="49" priority="107" operator="containsText" text="R15">
      <formula>NOT(ISERROR(SEARCH(("R15"),(C110))))</formula>
    </cfRule>
  </conditionalFormatting>
  <conditionalFormatting sqref="C110:AR110">
    <cfRule type="containsText" dxfId="12" priority="108" operator="containsText" text="R14">
      <formula>NOT(ISERROR(SEARCH(("R14"),(C110))))</formula>
    </cfRule>
  </conditionalFormatting>
  <conditionalFormatting sqref="C115:AR115">
    <cfRule type="containsText" dxfId="21" priority="109" operator="containsText" text="R37">
      <formula>NOT(ISERROR(SEARCH(("R37"),(C115))))</formula>
    </cfRule>
  </conditionalFormatting>
  <conditionalFormatting sqref="C115:AR115">
    <cfRule type="containsText" dxfId="1" priority="110" operator="containsText" text="R36">
      <formula>NOT(ISERROR(SEARCH(("R36"),(C115))))</formula>
    </cfRule>
  </conditionalFormatting>
  <conditionalFormatting sqref="C115:AR115">
    <cfRule type="containsText" dxfId="22" priority="111" operator="containsText" text="R35">
      <formula>NOT(ISERROR(SEARCH(("R35"),(C115))))</formula>
    </cfRule>
  </conditionalFormatting>
  <conditionalFormatting sqref="C115:AR115">
    <cfRule type="containsText" dxfId="23" priority="112" operator="containsText" text="R34">
      <formula>NOT(ISERROR(SEARCH(("R34"),(C115))))</formula>
    </cfRule>
  </conditionalFormatting>
  <conditionalFormatting sqref="C115:AR115">
    <cfRule type="containsText" dxfId="24" priority="113" operator="containsText" text="R33">
      <formula>NOT(ISERROR(SEARCH(("R33"),(C115))))</formula>
    </cfRule>
  </conditionalFormatting>
  <conditionalFormatting sqref="C115:AR115">
    <cfRule type="containsText" dxfId="47" priority="114" operator="containsText" text="R28">
      <formula>NOT(ISERROR(SEARCH(("R28"),(C115))))</formula>
    </cfRule>
  </conditionalFormatting>
  <conditionalFormatting sqref="C115:AR115">
    <cfRule type="containsText" dxfId="25" priority="115" operator="containsText" text="R32">
      <formula>NOT(ISERROR(SEARCH(("R32"),(C115))))</formula>
    </cfRule>
  </conditionalFormatting>
  <conditionalFormatting sqref="C115:AR115">
    <cfRule type="containsText" dxfId="26" priority="116" operator="containsText" text="R31">
      <formula>NOT(ISERROR(SEARCH(("R31"),(C115))))</formula>
    </cfRule>
  </conditionalFormatting>
  <conditionalFormatting sqref="C115:AR115">
    <cfRule type="containsText" dxfId="27" priority="117" operator="containsText" text="R30">
      <formula>NOT(ISERROR(SEARCH(("R30"),(C115))))</formula>
    </cfRule>
  </conditionalFormatting>
  <conditionalFormatting sqref="C115:AR115">
    <cfRule type="containsText" dxfId="29" priority="118" operator="containsText" text="R29">
      <formula>NOT(ISERROR(SEARCH(("R29"),(C115))))</formula>
    </cfRule>
  </conditionalFormatting>
  <conditionalFormatting sqref="C115:AR115">
    <cfRule type="containsText" dxfId="30" priority="119" operator="containsText" text="R27">
      <formula>NOT(ISERROR(SEARCH(("R27"),(C115))))</formula>
    </cfRule>
  </conditionalFormatting>
  <conditionalFormatting sqref="C115:AR115">
    <cfRule type="containsText" dxfId="2" priority="120" operator="containsText" text="R26">
      <formula>NOT(ISERROR(SEARCH(("R26"),(C115))))</formula>
    </cfRule>
  </conditionalFormatting>
  <conditionalFormatting sqref="C115:AR115">
    <cfRule type="containsText" dxfId="3" priority="121" operator="containsText" text="R25">
      <formula>NOT(ISERROR(SEARCH(("R25"),(C115))))</formula>
    </cfRule>
  </conditionalFormatting>
  <conditionalFormatting sqref="C115:AR115">
    <cfRule type="containsText" dxfId="31" priority="122" operator="containsText" text="R24">
      <formula>NOT(ISERROR(SEARCH(("R24"),(C115))))</formula>
    </cfRule>
  </conditionalFormatting>
  <conditionalFormatting sqref="C115:AR115">
    <cfRule type="containsText" dxfId="4" priority="123" operator="containsText" text="R23">
      <formula>NOT(ISERROR(SEARCH(("R23"),(C115))))</formula>
    </cfRule>
  </conditionalFormatting>
  <conditionalFormatting sqref="C115:AR115">
    <cfRule type="containsText" dxfId="48" priority="124" operator="containsText" text="R22">
      <formula>NOT(ISERROR(SEARCH(("R22"),(C115))))</formula>
    </cfRule>
  </conditionalFormatting>
  <conditionalFormatting sqref="C115:AR115">
    <cfRule type="containsText" dxfId="8" priority="125" operator="containsText" text="R21">
      <formula>NOT(ISERROR(SEARCH(("R21"),(C115))))</formula>
    </cfRule>
  </conditionalFormatting>
  <conditionalFormatting sqref="C115:AR115">
    <cfRule type="containsText" dxfId="9" priority="126" operator="containsText" text="R20">
      <formula>NOT(ISERROR(SEARCH(("R20"),(C115))))</formula>
    </cfRule>
  </conditionalFormatting>
  <conditionalFormatting sqref="C115:AR115">
    <cfRule type="containsText" dxfId="41" priority="127" operator="containsText" text="R19">
      <formula>NOT(ISERROR(SEARCH(("R19"),(C115))))</formula>
    </cfRule>
  </conditionalFormatting>
  <conditionalFormatting sqref="C115:AR115">
    <cfRule type="containsText" dxfId="34" priority="128" operator="containsText" text="R18">
      <formula>NOT(ISERROR(SEARCH(("R18"),(C115))))</formula>
    </cfRule>
  </conditionalFormatting>
  <conditionalFormatting sqref="C115:AR115">
    <cfRule type="containsText" dxfId="35" priority="129" operator="containsText" text="R17">
      <formula>NOT(ISERROR(SEARCH(("R17"),(C115))))</formula>
    </cfRule>
  </conditionalFormatting>
  <conditionalFormatting sqref="C115:AR115">
    <cfRule type="containsText" dxfId="10" priority="130" operator="containsText" text="R16">
      <formula>NOT(ISERROR(SEARCH(("R16"),(C115))))</formula>
    </cfRule>
  </conditionalFormatting>
  <conditionalFormatting sqref="C115:AR115">
    <cfRule type="containsText" dxfId="11" priority="131" operator="containsText" text="R15">
      <formula>NOT(ISERROR(SEARCH(("R15"),(C115))))</formula>
    </cfRule>
  </conditionalFormatting>
  <conditionalFormatting sqref="C115:AR115">
    <cfRule type="containsText" dxfId="49" priority="132" operator="containsText" text="R15">
      <formula>NOT(ISERROR(SEARCH(("R15"),(C115))))</formula>
    </cfRule>
  </conditionalFormatting>
  <conditionalFormatting sqref="C115:AR115">
    <cfRule type="containsText" dxfId="12" priority="133" operator="containsText" text="R14">
      <formula>NOT(ISERROR(SEARCH(("R14"),(C115))))</formula>
    </cfRule>
  </conditionalFormatting>
  <conditionalFormatting sqref="G85">
    <cfRule type="cellIs" dxfId="6" priority="134" stopIfTrue="1" operator="notEqual">
      <formula>0</formula>
    </cfRule>
  </conditionalFormatting>
  <conditionalFormatting sqref="G85">
    <cfRule type="cellIs" dxfId="7" priority="135" stopIfTrue="1" operator="equal">
      <formula>0</formula>
    </cfRule>
  </conditionalFormatting>
  <conditionalFormatting sqref="I85 U85 W85 Y85 AA85 AC85 AE85 AG85 AI85">
    <cfRule type="cellIs" dxfId="6" priority="136" stopIfTrue="1" operator="notEqual">
      <formula>0</formula>
    </cfRule>
  </conditionalFormatting>
  <conditionalFormatting sqref="I85 U85 W85 Y85 AA85 AC85 AE85 AG85 AI85">
    <cfRule type="cellIs" dxfId="7" priority="137" stopIfTrue="1" operator="equal">
      <formula>0</formula>
    </cfRule>
  </conditionalFormatting>
  <conditionalFormatting sqref="K110 Q110 AG110">
    <cfRule type="cellIs" dxfId="6" priority="138" stopIfTrue="1" operator="notEqual">
      <formula>0</formula>
    </cfRule>
  </conditionalFormatting>
  <conditionalFormatting sqref="K110 Q110 AG110">
    <cfRule type="cellIs" dxfId="7" priority="139" stopIfTrue="1" operator="equal">
      <formula>0</formula>
    </cfRule>
  </conditionalFormatting>
  <conditionalFormatting sqref="K115 Q115 AG115">
    <cfRule type="cellIs" dxfId="6" priority="140" stopIfTrue="1" operator="notEqual">
      <formula>0</formula>
    </cfRule>
  </conditionalFormatting>
  <conditionalFormatting sqref="K115 Q115 AG115">
    <cfRule type="cellIs" dxfId="7" priority="141" stopIfTrue="1" operator="equal">
      <formula>0</formula>
    </cfRule>
  </conditionalFormatting>
  <conditionalFormatting sqref="K37:Q37 X37">
    <cfRule type="cellIs" dxfId="6" priority="142" stopIfTrue="1" operator="notEqual">
      <formula>0</formula>
    </cfRule>
  </conditionalFormatting>
  <conditionalFormatting sqref="K37:Q37">
    <cfRule type="cellIs" dxfId="7" priority="143" stopIfTrue="1" operator="equal">
      <formula>0</formula>
    </cfRule>
  </conditionalFormatting>
  <conditionalFormatting sqref="M110 O110 S110 U110 W110 Y110 AA110 AC110 AE110 AI110 AK110">
    <cfRule type="cellIs" dxfId="6" priority="144" stopIfTrue="1" operator="notEqual">
      <formula>0</formula>
    </cfRule>
  </conditionalFormatting>
  <conditionalFormatting sqref="M110 O110 S110 U110 W110 Y110 AA110 AC110 AE110 AI110 AK110">
    <cfRule type="cellIs" dxfId="7" priority="145" stopIfTrue="1" operator="equal">
      <formula>0</formula>
    </cfRule>
  </conditionalFormatting>
  <conditionalFormatting sqref="M115 O115 S115 U115 W115 Y115 AA115 AC115 AE115 AI115 AK115">
    <cfRule type="cellIs" dxfId="6" priority="146" stopIfTrue="1" operator="notEqual">
      <formula>0</formula>
    </cfRule>
  </conditionalFormatting>
  <conditionalFormatting sqref="M115 O115 S115 U115 W115 Y115 AA115 AC115 AE115 AI115 AK115">
    <cfRule type="cellIs" dxfId="7" priority="147" stopIfTrue="1" operator="equal">
      <formula>0</formula>
    </cfRule>
  </conditionalFormatting>
  <conditionalFormatting sqref="N37:Q37">
    <cfRule type="cellIs" dxfId="6" priority="148" stopIfTrue="1" operator="notEqual">
      <formula>0</formula>
    </cfRule>
  </conditionalFormatting>
  <conditionalFormatting sqref="N37:Q37">
    <cfRule type="cellIs" dxfId="7" priority="149" stopIfTrue="1" operator="equal">
      <formula>0</formula>
    </cfRule>
  </conditionalFormatting>
  <conditionalFormatting sqref="S37:AC37">
    <cfRule type="cellIs" dxfId="6" priority="150" stopIfTrue="1" operator="notEqual">
      <formula>0</formula>
    </cfRule>
  </conditionalFormatting>
  <conditionalFormatting sqref="S37:AC37">
    <cfRule type="cellIs" dxfId="7" priority="151" stopIfTrue="1" operator="equal">
      <formula>0</formula>
    </cfRule>
  </conditionalFormatting>
  <conditionalFormatting sqref="X37">
    <cfRule type="cellIs" dxfId="7" priority="152" stopIfTrue="1" operator="equal">
      <formula>0</formula>
    </cfRule>
  </conditionalFormatting>
  <conditionalFormatting sqref="AK58">
    <cfRule type="cellIs" dxfId="6" priority="153" stopIfTrue="1" operator="notEqual">
      <formula>0</formula>
    </cfRule>
  </conditionalFormatting>
  <conditionalFormatting sqref="AK58">
    <cfRule type="cellIs" dxfId="7" priority="154" stopIfTrue="1" operator="equal">
      <formula>0</formula>
    </cfRule>
  </conditionalFormatting>
  <conditionalFormatting sqref="AK85">
    <cfRule type="cellIs" dxfId="6" priority="155" stopIfTrue="1" operator="notEqual">
      <formula>0</formula>
    </cfRule>
  </conditionalFormatting>
  <conditionalFormatting sqref="AK85">
    <cfRule type="cellIs" dxfId="7" priority="156" stopIfTrue="1" operator="equal">
      <formula>0</formula>
    </cfRule>
  </conditionalFormatting>
  <conditionalFormatting sqref="AM110 AO110:AQ110">
    <cfRule type="cellIs" dxfId="6" priority="157" stopIfTrue="1" operator="notEqual">
      <formula>0</formula>
    </cfRule>
  </conditionalFormatting>
  <conditionalFormatting sqref="AM110 AO110:AQ110">
    <cfRule type="cellIs" dxfId="7" priority="158" stopIfTrue="1" operator="equal">
      <formula>0</formula>
    </cfRule>
  </conditionalFormatting>
  <conditionalFormatting sqref="AM115 AO115:AQ115">
    <cfRule type="cellIs" dxfId="6" priority="159" stopIfTrue="1" operator="notEqual">
      <formula>0</formula>
    </cfRule>
  </conditionalFormatting>
  <conditionalFormatting sqref="AM115 AO115:AQ115">
    <cfRule type="cellIs" dxfId="7" priority="160" stopIfTrue="1" operator="equal">
      <formula>0</formula>
    </cfRule>
  </conditionalFormatting>
  <conditionalFormatting sqref="AO37:AQ37">
    <cfRule type="cellIs" dxfId="6" priority="161" stopIfTrue="1" operator="notEqual">
      <formula>0</formula>
    </cfRule>
  </conditionalFormatting>
  <conditionalFormatting sqref="AO37:AQ37">
    <cfRule type="cellIs" dxfId="7" priority="162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150.88"/>
    <col customWidth="1" min="3" max="26" width="10.63"/>
    <col customWidth="1" min="27" max="28" width="14.75"/>
    <col customWidth="1" min="29" max="51" width="10.63"/>
  </cols>
  <sheetData>
    <row r="1" ht="14.25" customHeight="1">
      <c r="A1" s="260"/>
      <c r="B1" s="261" t="s">
        <v>0</v>
      </c>
      <c r="C1" s="26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262" t="s">
        <v>1</v>
      </c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</row>
    <row r="2" ht="14.25" customHeight="1">
      <c r="A2" s="9"/>
      <c r="B2" s="9"/>
      <c r="C2" s="10"/>
      <c r="AB2" s="11"/>
      <c r="AC2" s="10"/>
      <c r="AY2" s="11"/>
    </row>
    <row r="3" ht="15.0" customHeight="1">
      <c r="A3" s="12"/>
      <c r="B3" s="12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9"/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9"/>
    </row>
    <row r="4" ht="33.75" customHeight="1">
      <c r="A4" s="265" t="s">
        <v>2</v>
      </c>
      <c r="B4" s="266" t="s">
        <v>3</v>
      </c>
      <c r="C4" s="267" t="s">
        <v>4</v>
      </c>
      <c r="D4" s="19"/>
      <c r="E4" s="19"/>
      <c r="F4" s="20"/>
      <c r="G4" s="268">
        <v>46037.0</v>
      </c>
      <c r="H4" s="5"/>
      <c r="I4" s="179"/>
      <c r="J4" s="819" t="s">
        <v>407</v>
      </c>
      <c r="K4" s="820">
        <v>45814.0</v>
      </c>
      <c r="L4" s="24"/>
      <c r="M4" s="25"/>
      <c r="N4" s="465" t="s">
        <v>36</v>
      </c>
      <c r="O4" s="466">
        <v>45855.0</v>
      </c>
      <c r="P4" s="24"/>
      <c r="Q4" s="25"/>
      <c r="R4" s="616" t="s">
        <v>91</v>
      </c>
      <c r="S4" s="617">
        <v>45905.0</v>
      </c>
      <c r="T4" s="24"/>
      <c r="U4" s="26"/>
      <c r="V4" s="935" t="s">
        <v>67</v>
      </c>
      <c r="W4" s="560">
        <v>45960.0</v>
      </c>
      <c r="X4" s="24"/>
      <c r="Y4" s="25"/>
      <c r="Z4" s="936" t="s">
        <v>28</v>
      </c>
      <c r="AA4" s="937">
        <v>46003.0</v>
      </c>
      <c r="AB4" s="64"/>
      <c r="AC4" s="65"/>
      <c r="AD4" s="323" t="s">
        <v>93</v>
      </c>
      <c r="AE4" s="324">
        <v>46052.0</v>
      </c>
      <c r="AF4" s="38"/>
      <c r="AG4" s="39"/>
      <c r="AH4" s="404"/>
      <c r="AI4" s="404"/>
      <c r="AJ4" s="404"/>
      <c r="AK4" s="404"/>
      <c r="AL4" s="404"/>
      <c r="AM4" s="404"/>
      <c r="AN4" s="404"/>
      <c r="AO4" s="404"/>
      <c r="AP4" s="404"/>
      <c r="AQ4" s="404"/>
      <c r="AR4" s="404"/>
      <c r="AS4" s="404"/>
      <c r="AT4" s="404"/>
      <c r="AU4" s="404"/>
      <c r="AV4" s="404"/>
      <c r="AW4" s="404"/>
      <c r="AX4" s="404"/>
      <c r="AY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938" t="s">
        <v>408</v>
      </c>
      <c r="K5" s="939">
        <v>45821.0</v>
      </c>
      <c r="L5" s="38"/>
      <c r="M5" s="39"/>
      <c r="N5" s="557" t="s">
        <v>46</v>
      </c>
      <c r="O5" s="558">
        <v>45863.0</v>
      </c>
      <c r="P5" s="38"/>
      <c r="Q5" s="39"/>
      <c r="R5" s="502" t="s">
        <v>410</v>
      </c>
      <c r="S5" s="503">
        <v>45912.0</v>
      </c>
      <c r="T5" s="38"/>
      <c r="U5" s="40"/>
      <c r="V5" s="492" t="s">
        <v>76</v>
      </c>
      <c r="W5" s="493">
        <v>45968.0</v>
      </c>
      <c r="X5" s="38"/>
      <c r="Y5" s="39"/>
      <c r="Z5" s="940" t="s">
        <v>38</v>
      </c>
      <c r="AA5" s="470">
        <v>46010.0</v>
      </c>
      <c r="AB5" s="24"/>
      <c r="AC5" s="25"/>
      <c r="AD5" s="941"/>
      <c r="AE5" s="472"/>
      <c r="AF5" s="24"/>
      <c r="AG5" s="25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730" t="s">
        <v>409</v>
      </c>
      <c r="K6" s="731">
        <v>46192.0</v>
      </c>
      <c r="L6" s="38"/>
      <c r="M6" s="39"/>
      <c r="N6" s="562" t="s">
        <v>55</v>
      </c>
      <c r="O6" s="563">
        <v>45870.0</v>
      </c>
      <c r="P6" s="38"/>
      <c r="Q6" s="39"/>
      <c r="R6" s="506" t="s">
        <v>17</v>
      </c>
      <c r="S6" s="507">
        <v>45926.0</v>
      </c>
      <c r="T6" s="38"/>
      <c r="U6" s="40"/>
      <c r="V6" s="496" t="s">
        <v>84</v>
      </c>
      <c r="W6" s="497">
        <v>45975.0</v>
      </c>
      <c r="X6" s="38"/>
      <c r="Y6" s="39"/>
      <c r="Z6" s="942" t="s">
        <v>48</v>
      </c>
      <c r="AA6" s="276">
        <v>46015.0</v>
      </c>
      <c r="AB6" s="38"/>
      <c r="AC6" s="39"/>
      <c r="AD6" s="568"/>
      <c r="AE6" s="481"/>
      <c r="AF6" s="38"/>
      <c r="AG6" s="39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734" t="s">
        <v>16</v>
      </c>
      <c r="K7" s="735">
        <v>45835.0</v>
      </c>
      <c r="L7" s="38"/>
      <c r="M7" s="39"/>
      <c r="N7" s="490" t="s">
        <v>66</v>
      </c>
      <c r="O7" s="491">
        <v>45883.0</v>
      </c>
      <c r="P7" s="38"/>
      <c r="Q7" s="39"/>
      <c r="R7" s="629" t="s">
        <v>37</v>
      </c>
      <c r="S7" s="630">
        <v>45940.0</v>
      </c>
      <c r="T7" s="38"/>
      <c r="U7" s="40"/>
      <c r="V7" s="500" t="s">
        <v>92</v>
      </c>
      <c r="W7" s="501">
        <v>45982.0</v>
      </c>
      <c r="X7" s="38"/>
      <c r="Y7" s="39"/>
      <c r="Z7" s="943" t="s">
        <v>57</v>
      </c>
      <c r="AA7" s="291">
        <v>46022.0</v>
      </c>
      <c r="AB7" s="38"/>
      <c r="AC7" s="39"/>
      <c r="AD7" s="568"/>
      <c r="AE7" s="481"/>
      <c r="AF7" s="38"/>
      <c r="AG7" s="39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</row>
    <row r="8" ht="33.75" customHeight="1">
      <c r="A8" s="282" t="s">
        <v>44</v>
      </c>
      <c r="B8" s="283" t="s">
        <v>54</v>
      </c>
      <c r="C8" s="10"/>
      <c r="F8" s="11"/>
      <c r="G8" s="10"/>
      <c r="I8" s="180"/>
      <c r="J8" s="620" t="s">
        <v>411</v>
      </c>
      <c r="K8" s="621">
        <v>45842.0</v>
      </c>
      <c r="L8" s="38"/>
      <c r="M8" s="39"/>
      <c r="N8" s="494" t="s">
        <v>75</v>
      </c>
      <c r="O8" s="495">
        <v>45891.0</v>
      </c>
      <c r="P8" s="38"/>
      <c r="Q8" s="39"/>
      <c r="R8" s="944" t="s">
        <v>47</v>
      </c>
      <c r="S8" s="945">
        <v>45947.0</v>
      </c>
      <c r="T8" s="38"/>
      <c r="U8" s="40"/>
      <c r="V8" s="504" t="s">
        <v>8</v>
      </c>
      <c r="W8" s="505">
        <v>45989.0</v>
      </c>
      <c r="X8" s="38"/>
      <c r="Y8" s="39"/>
      <c r="Z8" s="946" t="s">
        <v>68</v>
      </c>
      <c r="AA8" s="301">
        <v>46031.0</v>
      </c>
      <c r="AB8" s="38"/>
      <c r="AC8" s="39"/>
      <c r="AD8" s="568"/>
      <c r="AE8" s="481"/>
      <c r="AF8" s="38"/>
      <c r="AG8" s="39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</row>
    <row r="9" ht="33.75" customHeight="1">
      <c r="A9" s="282" t="s">
        <v>62</v>
      </c>
      <c r="B9" s="283" t="s">
        <v>63</v>
      </c>
      <c r="C9" s="47"/>
      <c r="D9" s="48"/>
      <c r="E9" s="48"/>
      <c r="F9" s="49"/>
      <c r="G9" s="13"/>
      <c r="H9" s="14"/>
      <c r="I9" s="181"/>
      <c r="J9" s="514" t="s">
        <v>26</v>
      </c>
      <c r="K9" s="515">
        <v>45849.0</v>
      </c>
      <c r="L9" s="56"/>
      <c r="M9" s="57"/>
      <c r="N9" s="947" t="s">
        <v>83</v>
      </c>
      <c r="O9" s="948">
        <v>45898.0</v>
      </c>
      <c r="P9" s="56"/>
      <c r="Q9" s="57"/>
      <c r="R9" s="555" t="s">
        <v>56</v>
      </c>
      <c r="S9" s="479">
        <v>45954.0</v>
      </c>
      <c r="T9" s="38"/>
      <c r="U9" s="40"/>
      <c r="V9" s="949" t="s">
        <v>18</v>
      </c>
      <c r="W9" s="950">
        <v>45996.0</v>
      </c>
      <c r="X9" s="56"/>
      <c r="Y9" s="57"/>
      <c r="Z9" s="951" t="s">
        <v>77</v>
      </c>
      <c r="AA9" s="952">
        <v>46038.0</v>
      </c>
      <c r="AB9" s="56"/>
      <c r="AC9" s="57"/>
      <c r="AD9" s="953"/>
      <c r="AE9" s="954"/>
      <c r="AF9" s="56"/>
      <c r="AG9" s="57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</row>
    <row r="10" ht="33.75" customHeight="1">
      <c r="A10" s="282" t="s">
        <v>73</v>
      </c>
      <c r="B10" s="283" t="s">
        <v>74</v>
      </c>
      <c r="C10" s="316" t="s">
        <v>64</v>
      </c>
      <c r="D10" s="5"/>
      <c r="E10" s="5"/>
      <c r="F10" s="6"/>
      <c r="G10" s="316" t="s">
        <v>65</v>
      </c>
      <c r="H10" s="5"/>
      <c r="I10" s="6"/>
      <c r="J10" s="549"/>
      <c r="K10" s="472"/>
      <c r="L10" s="24"/>
      <c r="M10" s="26"/>
      <c r="N10" s="549"/>
      <c r="O10" s="472"/>
      <c r="P10" s="24"/>
      <c r="Q10" s="26"/>
      <c r="R10" s="549"/>
      <c r="S10" s="472"/>
      <c r="T10" s="24"/>
      <c r="U10" s="26"/>
      <c r="V10" s="717"/>
      <c r="W10" s="472"/>
      <c r="X10" s="24"/>
      <c r="Y10" s="24"/>
      <c r="Z10" s="24"/>
      <c r="AA10" s="26"/>
      <c r="AB10" s="955"/>
      <c r="AC10" s="483"/>
      <c r="AD10" s="475"/>
      <c r="AE10" s="475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556"/>
      <c r="K11" s="481"/>
      <c r="L11" s="38"/>
      <c r="M11" s="40"/>
      <c r="N11" s="556"/>
      <c r="O11" s="481"/>
      <c r="P11" s="38"/>
      <c r="Q11" s="40"/>
      <c r="R11" s="556"/>
      <c r="S11" s="481"/>
      <c r="T11" s="38"/>
      <c r="U11" s="40"/>
      <c r="V11" s="561"/>
      <c r="W11" s="481"/>
      <c r="X11" s="38"/>
      <c r="Y11" s="38"/>
      <c r="Z11" s="38"/>
      <c r="AA11" s="40"/>
      <c r="AB11" s="955"/>
      <c r="AC11" s="483"/>
      <c r="AD11" s="475"/>
      <c r="AE11" s="475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</row>
    <row r="12" ht="33.75" customHeight="1">
      <c r="A12" s="569" t="s">
        <v>90</v>
      </c>
      <c r="B12" s="570">
        <v>182948.0</v>
      </c>
      <c r="C12" s="10"/>
      <c r="F12" s="11"/>
      <c r="G12" s="10"/>
      <c r="I12" s="11"/>
      <c r="J12" s="556"/>
      <c r="K12" s="481"/>
      <c r="L12" s="38"/>
      <c r="M12" s="40"/>
      <c r="N12" s="556"/>
      <c r="O12" s="481"/>
      <c r="P12" s="38"/>
      <c r="Q12" s="40"/>
      <c r="R12" s="556"/>
      <c r="S12" s="481"/>
      <c r="T12" s="38"/>
      <c r="U12" s="40"/>
      <c r="V12" s="561"/>
      <c r="W12" s="511"/>
      <c r="X12" s="38"/>
      <c r="Y12" s="38"/>
      <c r="Z12" s="38"/>
      <c r="AA12" s="40"/>
      <c r="AB12" s="955"/>
      <c r="AC12" s="483"/>
      <c r="AD12" s="475"/>
      <c r="AE12" s="475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</row>
    <row r="13" ht="33.75" customHeight="1">
      <c r="A13" s="573"/>
      <c r="B13" s="404"/>
      <c r="C13" s="47"/>
      <c r="D13" s="48"/>
      <c r="E13" s="48"/>
      <c r="F13" s="49"/>
      <c r="G13" s="47"/>
      <c r="H13" s="48"/>
      <c r="I13" s="49"/>
      <c r="J13" s="956"/>
      <c r="K13" s="519"/>
      <c r="L13" s="56"/>
      <c r="M13" s="58"/>
      <c r="N13" s="956"/>
      <c r="O13" s="519"/>
      <c r="P13" s="56"/>
      <c r="Q13" s="58"/>
      <c r="R13" s="956"/>
      <c r="S13" s="517"/>
      <c r="T13" s="56"/>
      <c r="U13" s="58"/>
      <c r="V13" s="577"/>
      <c r="W13" s="519"/>
      <c r="X13" s="56"/>
      <c r="Y13" s="56"/>
      <c r="Z13" s="56"/>
      <c r="AA13" s="58"/>
      <c r="AB13" s="957"/>
      <c r="AC13" s="483"/>
      <c r="AD13" s="475"/>
      <c r="AE13" s="475"/>
      <c r="AF13" s="404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</row>
    <row r="14" ht="33.75" customHeight="1">
      <c r="A14" s="749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5"/>
      <c r="AC14" s="404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</row>
    <row r="15" ht="33.75" customHeight="1">
      <c r="A15" s="351" t="s">
        <v>98</v>
      </c>
      <c r="B15" s="352" t="s">
        <v>99</v>
      </c>
      <c r="C15" s="580" t="s">
        <v>100</v>
      </c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R15" s="581"/>
      <c r="S15" s="581"/>
      <c r="T15" s="581"/>
      <c r="U15" s="581"/>
      <c r="V15" s="581"/>
      <c r="W15" s="581"/>
      <c r="X15" s="581"/>
      <c r="Y15" s="581"/>
      <c r="Z15" s="581"/>
      <c r="AA15" s="581"/>
      <c r="AB15" s="581"/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</row>
    <row r="16" ht="33.75" customHeight="1">
      <c r="A16" s="74"/>
      <c r="B16" s="9"/>
      <c r="C16" s="360" t="s">
        <v>101</v>
      </c>
      <c r="D16" s="361"/>
      <c r="E16" s="362"/>
      <c r="F16" s="362"/>
      <c r="G16" s="363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5" t="s">
        <v>102</v>
      </c>
      <c r="V16" s="64"/>
      <c r="W16" s="64"/>
      <c r="X16" s="64"/>
      <c r="Y16" s="64"/>
      <c r="Z16" s="65"/>
      <c r="AA16" s="366" t="s">
        <v>427</v>
      </c>
      <c r="AB16" s="65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</row>
    <row r="17" ht="33.75" customHeight="1">
      <c r="A17" s="83"/>
      <c r="B17" s="84"/>
      <c r="C17" s="368">
        <v>1.0</v>
      </c>
      <c r="D17" s="86"/>
      <c r="E17" s="369">
        <v>2.0</v>
      </c>
      <c r="F17" s="86"/>
      <c r="G17" s="369">
        <v>3.0</v>
      </c>
      <c r="H17" s="86"/>
      <c r="I17" s="369">
        <v>4.0</v>
      </c>
      <c r="J17" s="86"/>
      <c r="K17" s="369">
        <v>5.0</v>
      </c>
      <c r="L17" s="86"/>
      <c r="M17" s="369">
        <v>6.0</v>
      </c>
      <c r="N17" s="86"/>
      <c r="O17" s="369">
        <v>7.0</v>
      </c>
      <c r="P17" s="86"/>
      <c r="Q17" s="369">
        <v>8.0</v>
      </c>
      <c r="R17" s="86"/>
      <c r="S17" s="369">
        <v>9.0</v>
      </c>
      <c r="T17" s="86"/>
      <c r="U17" s="369">
        <v>10.0</v>
      </c>
      <c r="V17" s="86"/>
      <c r="W17" s="369">
        <v>11.0</v>
      </c>
      <c r="X17" s="86"/>
      <c r="Y17" s="369">
        <v>12.0</v>
      </c>
      <c r="Z17" s="86"/>
      <c r="AA17" s="370" t="s">
        <v>104</v>
      </c>
      <c r="AB17" s="371" t="s">
        <v>105</v>
      </c>
      <c r="AC17" s="404"/>
      <c r="AD17" s="404"/>
      <c r="AE17" s="404"/>
      <c r="AF17" s="404"/>
      <c r="AG17" s="449"/>
      <c r="AH17" s="449"/>
      <c r="AI17" s="449"/>
      <c r="AJ17" s="449"/>
      <c r="AK17" s="449"/>
      <c r="AL17" s="449"/>
      <c r="AM17" s="449"/>
      <c r="AN17" s="449"/>
      <c r="AO17" s="449"/>
      <c r="AP17" s="449"/>
      <c r="AQ17" s="449"/>
      <c r="AR17" s="449"/>
      <c r="AS17" s="449"/>
      <c r="AT17" s="449"/>
      <c r="AU17" s="449"/>
      <c r="AV17" s="449"/>
      <c r="AW17" s="449"/>
      <c r="AX17" s="449"/>
      <c r="AY17" s="449"/>
    </row>
    <row r="18" ht="39.75" customHeight="1">
      <c r="A18" s="372" t="s">
        <v>106</v>
      </c>
      <c r="B18" s="373" t="s">
        <v>107</v>
      </c>
      <c r="C18" s="374" t="s">
        <v>108</v>
      </c>
      <c r="D18" s="375" t="s">
        <v>109</v>
      </c>
      <c r="E18" s="376" t="s">
        <v>108</v>
      </c>
      <c r="F18" s="375" t="s">
        <v>109</v>
      </c>
      <c r="G18" s="376" t="s">
        <v>108</v>
      </c>
      <c r="H18" s="375" t="s">
        <v>109</v>
      </c>
      <c r="I18" s="376" t="s">
        <v>108</v>
      </c>
      <c r="J18" s="375" t="s">
        <v>109</v>
      </c>
      <c r="K18" s="376" t="s">
        <v>108</v>
      </c>
      <c r="L18" s="375" t="s">
        <v>109</v>
      </c>
      <c r="M18" s="376" t="s">
        <v>108</v>
      </c>
      <c r="N18" s="375" t="s">
        <v>109</v>
      </c>
      <c r="O18" s="376" t="s">
        <v>108</v>
      </c>
      <c r="P18" s="375" t="s">
        <v>109</v>
      </c>
      <c r="Q18" s="376" t="s">
        <v>108</v>
      </c>
      <c r="R18" s="375" t="s">
        <v>109</v>
      </c>
      <c r="S18" s="376" t="s">
        <v>108</v>
      </c>
      <c r="T18" s="375" t="s">
        <v>109</v>
      </c>
      <c r="U18" s="376" t="s">
        <v>108</v>
      </c>
      <c r="V18" s="375" t="s">
        <v>109</v>
      </c>
      <c r="W18" s="376" t="s">
        <v>108</v>
      </c>
      <c r="X18" s="375" t="s">
        <v>109</v>
      </c>
      <c r="Y18" s="376" t="s">
        <v>108</v>
      </c>
      <c r="Z18" s="375" t="s">
        <v>109</v>
      </c>
      <c r="AA18" s="375"/>
      <c r="AB18" s="377"/>
      <c r="AG18" s="449"/>
      <c r="AH18" s="449"/>
      <c r="AI18" s="449"/>
      <c r="AJ18" s="449"/>
      <c r="AK18" s="449"/>
      <c r="AL18" s="449"/>
      <c r="AM18" s="449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</row>
    <row r="19" ht="39.75" customHeight="1">
      <c r="A19" s="378" t="s">
        <v>110</v>
      </c>
      <c r="B19" s="379" t="s">
        <v>111</v>
      </c>
      <c r="C19" s="380"/>
      <c r="D19" s="381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4"/>
      <c r="AC19" s="404"/>
      <c r="AD19" s="404"/>
      <c r="AE19" s="404"/>
      <c r="AF19" s="404"/>
      <c r="AG19" s="449"/>
      <c r="AH19" s="449"/>
      <c r="AI19" s="449"/>
      <c r="AJ19" s="449"/>
      <c r="AK19" s="449"/>
      <c r="AL19" s="449"/>
      <c r="AM19" s="449"/>
      <c r="AN19" s="449"/>
      <c r="AO19" s="449"/>
      <c r="AP19" s="449"/>
      <c r="AQ19" s="449"/>
      <c r="AR19" s="449"/>
      <c r="AS19" s="449"/>
      <c r="AT19" s="449"/>
      <c r="AU19" s="449"/>
      <c r="AV19" s="449"/>
      <c r="AW19" s="449"/>
      <c r="AX19" s="449"/>
      <c r="AY19" s="449"/>
    </row>
    <row r="20" ht="39.75" customHeight="1">
      <c r="A20" s="385" t="s">
        <v>112</v>
      </c>
      <c r="B20" s="386" t="s">
        <v>113</v>
      </c>
      <c r="C20" s="387" t="s">
        <v>408</v>
      </c>
      <c r="D20" s="388"/>
      <c r="E20" s="387" t="s">
        <v>408</v>
      </c>
      <c r="F20" s="389"/>
      <c r="G20" s="387" t="s">
        <v>408</v>
      </c>
      <c r="H20" s="389"/>
      <c r="I20" s="387" t="s">
        <v>408</v>
      </c>
      <c r="J20" s="389"/>
      <c r="K20" s="387" t="s">
        <v>407</v>
      </c>
      <c r="L20" s="389"/>
      <c r="M20" s="387" t="s">
        <v>407</v>
      </c>
      <c r="N20" s="389"/>
      <c r="O20" s="387" t="s">
        <v>407</v>
      </c>
      <c r="P20" s="389"/>
      <c r="Q20" s="387" t="s">
        <v>408</v>
      </c>
      <c r="R20" s="389"/>
      <c r="S20" s="387" t="s">
        <v>408</v>
      </c>
      <c r="T20" s="389"/>
      <c r="U20" s="387" t="s">
        <v>408</v>
      </c>
      <c r="V20" s="389"/>
      <c r="W20" s="387" t="s">
        <v>408</v>
      </c>
      <c r="X20" s="389"/>
      <c r="Y20" s="389" t="s">
        <v>408</v>
      </c>
      <c r="Z20" s="389"/>
      <c r="AA20" s="391">
        <f t="shared" ref="AA20:AA26" si="1">COUNTIF(C20:Z20,"&gt;=R")</f>
        <v>12</v>
      </c>
      <c r="AB20" s="392">
        <f t="shared" ref="AB20:AB26" si="2">AA20</f>
        <v>12</v>
      </c>
      <c r="AG20" s="449"/>
      <c r="AH20" s="449"/>
      <c r="AI20" s="449"/>
      <c r="AJ20" s="449"/>
      <c r="AK20" s="449"/>
      <c r="AL20" s="449"/>
      <c r="AM20" s="449"/>
      <c r="AN20" s="449"/>
      <c r="AO20" s="449"/>
      <c r="AP20" s="449"/>
      <c r="AQ20" s="449"/>
      <c r="AR20" s="449"/>
      <c r="AS20" s="449"/>
      <c r="AT20" s="449"/>
      <c r="AU20" s="449"/>
      <c r="AV20" s="449"/>
      <c r="AW20" s="449"/>
      <c r="AX20" s="449"/>
      <c r="AY20" s="449"/>
    </row>
    <row r="21" ht="39.75" customHeight="1">
      <c r="A21" s="385" t="s">
        <v>114</v>
      </c>
      <c r="B21" s="386" t="s">
        <v>115</v>
      </c>
      <c r="C21" s="843" t="s">
        <v>409</v>
      </c>
      <c r="D21" s="388"/>
      <c r="E21" s="403" t="s">
        <v>409</v>
      </c>
      <c r="F21" s="389"/>
      <c r="G21" s="390" t="s">
        <v>16</v>
      </c>
      <c r="H21" s="389"/>
      <c r="I21" s="390" t="s">
        <v>16</v>
      </c>
      <c r="J21" s="389"/>
      <c r="K21" s="387" t="s">
        <v>407</v>
      </c>
      <c r="L21" s="389"/>
      <c r="M21" s="387" t="s">
        <v>407</v>
      </c>
      <c r="N21" s="389"/>
      <c r="O21" s="387" t="s">
        <v>407</v>
      </c>
      <c r="P21" s="389"/>
      <c r="Q21" s="387" t="s">
        <v>26</v>
      </c>
      <c r="R21" s="389"/>
      <c r="S21" s="403" t="s">
        <v>409</v>
      </c>
      <c r="T21" s="389"/>
      <c r="U21" s="403" t="s">
        <v>409</v>
      </c>
      <c r="V21" s="389"/>
      <c r="W21" s="403" t="s">
        <v>409</v>
      </c>
      <c r="X21" s="389"/>
      <c r="Y21" s="403" t="s">
        <v>409</v>
      </c>
      <c r="Z21" s="389"/>
      <c r="AA21" s="391">
        <f t="shared" si="1"/>
        <v>12</v>
      </c>
      <c r="AB21" s="392">
        <f t="shared" si="2"/>
        <v>12</v>
      </c>
      <c r="AG21" s="449"/>
      <c r="AH21" s="449"/>
      <c r="AI21" s="449"/>
      <c r="AJ21" s="449"/>
      <c r="AK21" s="449"/>
      <c r="AL21" s="449"/>
      <c r="AM21" s="449"/>
      <c r="AN21" s="449"/>
      <c r="AO21" s="449"/>
      <c r="AP21" s="449"/>
      <c r="AQ21" s="449"/>
      <c r="AR21" s="449"/>
      <c r="AS21" s="449"/>
      <c r="AT21" s="449"/>
      <c r="AU21" s="449"/>
      <c r="AV21" s="449"/>
      <c r="AW21" s="449"/>
      <c r="AX21" s="449"/>
      <c r="AY21" s="449"/>
    </row>
    <row r="22" ht="39.75" customHeight="1">
      <c r="A22" s="385" t="s">
        <v>116</v>
      </c>
      <c r="B22" s="386" t="s">
        <v>117</v>
      </c>
      <c r="C22" s="393" t="s">
        <v>84</v>
      </c>
      <c r="D22" s="388"/>
      <c r="E22" s="390" t="s">
        <v>16</v>
      </c>
      <c r="F22" s="389"/>
      <c r="G22" s="390" t="s">
        <v>16</v>
      </c>
      <c r="H22" s="389"/>
      <c r="I22" s="390" t="s">
        <v>16</v>
      </c>
      <c r="J22" s="389"/>
      <c r="K22" s="387" t="s">
        <v>408</v>
      </c>
      <c r="L22" s="389"/>
      <c r="M22" s="387" t="s">
        <v>408</v>
      </c>
      <c r="N22" s="389"/>
      <c r="O22" s="387" t="s">
        <v>408</v>
      </c>
      <c r="P22" s="389"/>
      <c r="Q22" s="387" t="s">
        <v>26</v>
      </c>
      <c r="R22" s="389"/>
      <c r="S22" s="390" t="s">
        <v>16</v>
      </c>
      <c r="T22" s="389"/>
      <c r="U22" s="390" t="s">
        <v>16</v>
      </c>
      <c r="V22" s="389"/>
      <c r="W22" s="390" t="s">
        <v>16</v>
      </c>
      <c r="X22" s="389"/>
      <c r="Y22" s="390" t="s">
        <v>16</v>
      </c>
      <c r="Z22" s="389"/>
      <c r="AA22" s="391">
        <f t="shared" si="1"/>
        <v>12</v>
      </c>
      <c r="AB22" s="392">
        <f t="shared" si="2"/>
        <v>12</v>
      </c>
      <c r="AG22" s="449"/>
      <c r="AH22" s="449"/>
      <c r="AI22" s="449"/>
      <c r="AJ22" s="449"/>
      <c r="AK22" s="449"/>
      <c r="AL22" s="449"/>
      <c r="AM22" s="449"/>
      <c r="AN22" s="449"/>
      <c r="AO22" s="449"/>
      <c r="AP22" s="449"/>
      <c r="AQ22" s="449"/>
      <c r="AR22" s="449"/>
      <c r="AS22" s="449"/>
      <c r="AT22" s="449"/>
      <c r="AU22" s="449"/>
      <c r="AV22" s="449"/>
      <c r="AW22" s="449"/>
      <c r="AX22" s="449"/>
      <c r="AY22" s="449"/>
    </row>
    <row r="23" ht="39.75" customHeight="1">
      <c r="A23" s="385" t="s">
        <v>118</v>
      </c>
      <c r="B23" s="386" t="s">
        <v>119</v>
      </c>
      <c r="C23" s="406" t="s">
        <v>16</v>
      </c>
      <c r="D23" s="388"/>
      <c r="E23" s="390" t="s">
        <v>16</v>
      </c>
      <c r="F23" s="389"/>
      <c r="G23" s="390" t="s">
        <v>16</v>
      </c>
      <c r="H23" s="389"/>
      <c r="I23" s="390" t="s">
        <v>16</v>
      </c>
      <c r="J23" s="389"/>
      <c r="K23" s="387" t="s">
        <v>408</v>
      </c>
      <c r="L23" s="389"/>
      <c r="M23" s="387" t="s">
        <v>408</v>
      </c>
      <c r="N23" s="389"/>
      <c r="O23" s="387" t="s">
        <v>408</v>
      </c>
      <c r="P23" s="389"/>
      <c r="Q23" s="387" t="s">
        <v>26</v>
      </c>
      <c r="R23" s="389"/>
      <c r="S23" s="390" t="s">
        <v>16</v>
      </c>
      <c r="T23" s="389"/>
      <c r="U23" s="390" t="s">
        <v>16</v>
      </c>
      <c r="V23" s="389"/>
      <c r="W23" s="390" t="s">
        <v>16</v>
      </c>
      <c r="X23" s="389"/>
      <c r="Y23" s="390" t="s">
        <v>16</v>
      </c>
      <c r="Z23" s="389"/>
      <c r="AA23" s="391">
        <f t="shared" si="1"/>
        <v>12</v>
      </c>
      <c r="AB23" s="392">
        <f t="shared" si="2"/>
        <v>12</v>
      </c>
      <c r="AG23" s="449"/>
      <c r="AH23" s="449"/>
      <c r="AI23" s="449"/>
      <c r="AJ23" s="449"/>
      <c r="AK23" s="449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</row>
    <row r="24" ht="39.75" customHeight="1">
      <c r="A24" s="385" t="s">
        <v>120</v>
      </c>
      <c r="B24" s="386" t="s">
        <v>121</v>
      </c>
      <c r="C24" s="388" t="s">
        <v>26</v>
      </c>
      <c r="D24" s="388"/>
      <c r="E24" s="389" t="s">
        <v>26</v>
      </c>
      <c r="F24" s="389"/>
      <c r="G24" s="389" t="s">
        <v>26</v>
      </c>
      <c r="H24" s="389"/>
      <c r="I24" s="389" t="s">
        <v>26</v>
      </c>
      <c r="J24" s="389"/>
      <c r="K24" s="387" t="s">
        <v>408</v>
      </c>
      <c r="L24" s="389"/>
      <c r="M24" s="387" t="s">
        <v>408</v>
      </c>
      <c r="N24" s="389"/>
      <c r="O24" s="387" t="s">
        <v>408</v>
      </c>
      <c r="P24" s="389"/>
      <c r="Q24" s="389" t="s">
        <v>83</v>
      </c>
      <c r="R24" s="389"/>
      <c r="S24" s="389" t="s">
        <v>26</v>
      </c>
      <c r="T24" s="389"/>
      <c r="U24" s="389" t="s">
        <v>26</v>
      </c>
      <c r="V24" s="394"/>
      <c r="W24" s="389" t="s">
        <v>26</v>
      </c>
      <c r="X24" s="389"/>
      <c r="Y24" s="389" t="s">
        <v>26</v>
      </c>
      <c r="Z24" s="389"/>
      <c r="AA24" s="391">
        <f t="shared" si="1"/>
        <v>12</v>
      </c>
      <c r="AB24" s="392">
        <f t="shared" si="2"/>
        <v>12</v>
      </c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</row>
    <row r="25" ht="39.75" customHeight="1">
      <c r="A25" s="385" t="s">
        <v>122</v>
      </c>
      <c r="B25" s="386" t="s">
        <v>123</v>
      </c>
      <c r="C25" s="388" t="s">
        <v>26</v>
      </c>
      <c r="D25" s="388"/>
      <c r="E25" s="389" t="s">
        <v>26</v>
      </c>
      <c r="F25" s="389"/>
      <c r="G25" s="389" t="s">
        <v>26</v>
      </c>
      <c r="H25" s="389"/>
      <c r="I25" s="389" t="s">
        <v>26</v>
      </c>
      <c r="J25" s="389"/>
      <c r="K25" s="387" t="s">
        <v>408</v>
      </c>
      <c r="L25" s="389"/>
      <c r="M25" s="387" t="s">
        <v>408</v>
      </c>
      <c r="N25" s="389"/>
      <c r="O25" s="387" t="s">
        <v>408</v>
      </c>
      <c r="P25" s="389"/>
      <c r="Q25" s="389" t="s">
        <v>83</v>
      </c>
      <c r="R25" s="389"/>
      <c r="S25" s="389" t="s">
        <v>26</v>
      </c>
      <c r="T25" s="389"/>
      <c r="U25" s="389" t="s">
        <v>26</v>
      </c>
      <c r="V25" s="394"/>
      <c r="W25" s="389" t="s">
        <v>26</v>
      </c>
      <c r="X25" s="389"/>
      <c r="Y25" s="389" t="s">
        <v>26</v>
      </c>
      <c r="Z25" s="389"/>
      <c r="AA25" s="391">
        <f t="shared" si="1"/>
        <v>12</v>
      </c>
      <c r="AB25" s="392">
        <f t="shared" si="2"/>
        <v>12</v>
      </c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</row>
    <row r="26" ht="39.75" customHeight="1">
      <c r="A26" s="385" t="s">
        <v>124</v>
      </c>
      <c r="B26" s="386" t="s">
        <v>125</v>
      </c>
      <c r="C26" s="388" t="s">
        <v>26</v>
      </c>
      <c r="D26" s="388"/>
      <c r="E26" s="389" t="s">
        <v>26</v>
      </c>
      <c r="F26" s="389"/>
      <c r="G26" s="389" t="s">
        <v>26</v>
      </c>
      <c r="H26" s="389"/>
      <c r="I26" s="389" t="s">
        <v>26</v>
      </c>
      <c r="J26" s="389"/>
      <c r="K26" s="387" t="s">
        <v>408</v>
      </c>
      <c r="L26" s="389"/>
      <c r="M26" s="387" t="s">
        <v>408</v>
      </c>
      <c r="N26" s="389"/>
      <c r="O26" s="387" t="s">
        <v>408</v>
      </c>
      <c r="P26" s="389"/>
      <c r="Q26" s="389" t="s">
        <v>83</v>
      </c>
      <c r="R26" s="389"/>
      <c r="S26" s="389" t="s">
        <v>26</v>
      </c>
      <c r="T26" s="389"/>
      <c r="U26" s="389" t="s">
        <v>26</v>
      </c>
      <c r="V26" s="394"/>
      <c r="W26" s="389" t="s">
        <v>26</v>
      </c>
      <c r="X26" s="389"/>
      <c r="Y26" s="389" t="s">
        <v>26</v>
      </c>
      <c r="Z26" s="389"/>
      <c r="AA26" s="391">
        <f t="shared" si="1"/>
        <v>12</v>
      </c>
      <c r="AB26" s="392">
        <f t="shared" si="2"/>
        <v>12</v>
      </c>
      <c r="AG26" s="449"/>
      <c r="AH26" s="449"/>
      <c r="AI26" s="449"/>
      <c r="AJ26" s="449"/>
      <c r="AK26" s="449"/>
      <c r="AL26" s="449"/>
      <c r="AM26" s="449"/>
      <c r="AN26" s="449"/>
      <c r="AO26" s="449"/>
      <c r="AP26" s="449"/>
      <c r="AQ26" s="449"/>
      <c r="AR26" s="449"/>
      <c r="AS26" s="449"/>
      <c r="AT26" s="449"/>
      <c r="AU26" s="449"/>
      <c r="AV26" s="449"/>
      <c r="AW26" s="449"/>
      <c r="AX26" s="449"/>
      <c r="AY26" s="449"/>
    </row>
    <row r="27" ht="39.75" customHeight="1">
      <c r="A27" s="395" t="s">
        <v>126</v>
      </c>
      <c r="B27" s="396" t="s">
        <v>127</v>
      </c>
      <c r="C27" s="398"/>
      <c r="D27" s="398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401"/>
      <c r="AC27" s="404"/>
      <c r="AD27" s="404"/>
      <c r="AE27" s="404"/>
      <c r="AF27" s="404"/>
      <c r="AG27" s="449"/>
      <c r="AH27" s="449"/>
      <c r="AI27" s="449"/>
      <c r="AJ27" s="449"/>
      <c r="AK27" s="449"/>
      <c r="AL27" s="449"/>
      <c r="AM27" s="449"/>
      <c r="AN27" s="449"/>
      <c r="AO27" s="449"/>
      <c r="AP27" s="449"/>
      <c r="AQ27" s="449"/>
      <c r="AR27" s="449"/>
      <c r="AS27" s="449"/>
      <c r="AT27" s="449"/>
      <c r="AU27" s="449"/>
      <c r="AV27" s="449"/>
      <c r="AW27" s="449"/>
      <c r="AX27" s="449"/>
      <c r="AY27" s="449"/>
    </row>
    <row r="28" ht="39.75" customHeight="1">
      <c r="A28" s="385" t="s">
        <v>128</v>
      </c>
      <c r="B28" s="386" t="s">
        <v>129</v>
      </c>
      <c r="C28" s="388" t="s">
        <v>26</v>
      </c>
      <c r="D28" s="388"/>
      <c r="E28" s="389" t="s">
        <v>26</v>
      </c>
      <c r="F28" s="389"/>
      <c r="G28" s="389" t="s">
        <v>26</v>
      </c>
      <c r="H28" s="389"/>
      <c r="I28" s="389" t="s">
        <v>26</v>
      </c>
      <c r="J28" s="389"/>
      <c r="K28" s="958" t="s">
        <v>408</v>
      </c>
      <c r="L28" s="389"/>
      <c r="M28" s="958" t="s">
        <v>408</v>
      </c>
      <c r="N28" s="389"/>
      <c r="O28" s="958" t="s">
        <v>408</v>
      </c>
      <c r="P28" s="389"/>
      <c r="Q28" s="389" t="s">
        <v>83</v>
      </c>
      <c r="R28" s="389"/>
      <c r="S28" s="389" t="s">
        <v>26</v>
      </c>
      <c r="T28" s="389"/>
      <c r="U28" s="389" t="s">
        <v>26</v>
      </c>
      <c r="V28" s="394"/>
      <c r="W28" s="389" t="s">
        <v>26</v>
      </c>
      <c r="X28" s="389"/>
      <c r="Y28" s="389" t="s">
        <v>26</v>
      </c>
      <c r="Z28" s="389"/>
      <c r="AA28" s="391">
        <f t="shared" ref="AA28:AA29" si="3">COUNTIF(C28:Z28,"&gt;=R")</f>
        <v>12</v>
      </c>
      <c r="AB28" s="392">
        <f t="shared" ref="AB28:AB29" si="4">AA28</f>
        <v>12</v>
      </c>
      <c r="AG28" s="449"/>
      <c r="AH28" s="449"/>
      <c r="AI28" s="449"/>
      <c r="AJ28" s="449"/>
      <c r="AK28" s="449"/>
      <c r="AL28" s="449"/>
      <c r="AM28" s="449"/>
      <c r="AN28" s="449"/>
      <c r="AO28" s="449"/>
      <c r="AP28" s="449"/>
      <c r="AQ28" s="449"/>
      <c r="AR28" s="449"/>
      <c r="AS28" s="449"/>
      <c r="AT28" s="449"/>
      <c r="AU28" s="449"/>
      <c r="AV28" s="449"/>
      <c r="AW28" s="449"/>
      <c r="AX28" s="449"/>
      <c r="AY28" s="449"/>
    </row>
    <row r="29" ht="39.75" customHeight="1">
      <c r="A29" s="385" t="s">
        <v>130</v>
      </c>
      <c r="B29" s="386" t="s">
        <v>131</v>
      </c>
      <c r="C29" s="388" t="s">
        <v>26</v>
      </c>
      <c r="D29" s="388"/>
      <c r="E29" s="389" t="s">
        <v>26</v>
      </c>
      <c r="F29" s="389"/>
      <c r="G29" s="389" t="s">
        <v>26</v>
      </c>
      <c r="H29" s="389"/>
      <c r="I29" s="389" t="s">
        <v>26</v>
      </c>
      <c r="J29" s="389"/>
      <c r="K29" s="958" t="s">
        <v>408</v>
      </c>
      <c r="L29" s="389"/>
      <c r="M29" s="958" t="s">
        <v>408</v>
      </c>
      <c r="N29" s="389"/>
      <c r="O29" s="958" t="s">
        <v>408</v>
      </c>
      <c r="P29" s="389"/>
      <c r="Q29" s="389" t="s">
        <v>83</v>
      </c>
      <c r="R29" s="389"/>
      <c r="S29" s="389" t="s">
        <v>26</v>
      </c>
      <c r="T29" s="389"/>
      <c r="U29" s="389" t="s">
        <v>26</v>
      </c>
      <c r="V29" s="394"/>
      <c r="W29" s="389" t="s">
        <v>26</v>
      </c>
      <c r="X29" s="389"/>
      <c r="Y29" s="389" t="s">
        <v>26</v>
      </c>
      <c r="Z29" s="389"/>
      <c r="AA29" s="391">
        <f t="shared" si="3"/>
        <v>12</v>
      </c>
      <c r="AB29" s="392">
        <f t="shared" si="4"/>
        <v>12</v>
      </c>
      <c r="AC29" s="404"/>
      <c r="AD29" s="404"/>
      <c r="AE29" s="404"/>
      <c r="AF29" s="404"/>
      <c r="AG29" s="449"/>
      <c r="AH29" s="449"/>
      <c r="AI29" s="449"/>
      <c r="AJ29" s="449"/>
      <c r="AK29" s="449"/>
      <c r="AL29" s="449"/>
      <c r="AM29" s="449"/>
      <c r="AN29" s="449"/>
      <c r="AO29" s="449"/>
      <c r="AP29" s="449"/>
      <c r="AQ29" s="449"/>
      <c r="AR29" s="449"/>
      <c r="AS29" s="449"/>
      <c r="AT29" s="449"/>
      <c r="AU29" s="449"/>
      <c r="AV29" s="449"/>
      <c r="AW29" s="449"/>
      <c r="AX29" s="449"/>
      <c r="AY29" s="449"/>
    </row>
    <row r="30" ht="39.75" customHeight="1">
      <c r="A30" s="395" t="s">
        <v>132</v>
      </c>
      <c r="B30" s="396" t="s">
        <v>133</v>
      </c>
      <c r="C30" s="397"/>
      <c r="D30" s="398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401"/>
      <c r="AC30" s="404"/>
      <c r="AD30" s="404"/>
      <c r="AE30" s="404"/>
      <c r="AF30" s="404"/>
      <c r="AG30" s="449"/>
      <c r="AH30" s="449"/>
      <c r="AI30" s="449"/>
      <c r="AJ30" s="449"/>
      <c r="AK30" s="449"/>
      <c r="AL30" s="449"/>
      <c r="AM30" s="449"/>
      <c r="AN30" s="449"/>
      <c r="AO30" s="449"/>
      <c r="AP30" s="449"/>
      <c r="AQ30" s="449"/>
      <c r="AR30" s="449"/>
      <c r="AS30" s="449"/>
      <c r="AT30" s="449"/>
      <c r="AU30" s="449"/>
      <c r="AV30" s="449"/>
      <c r="AW30" s="449"/>
      <c r="AX30" s="449"/>
      <c r="AY30" s="449"/>
    </row>
    <row r="31" ht="39.75" customHeight="1">
      <c r="A31" s="402" t="s">
        <v>134</v>
      </c>
      <c r="B31" s="386" t="s">
        <v>135</v>
      </c>
      <c r="C31" s="393" t="s">
        <v>84</v>
      </c>
      <c r="D31" s="388"/>
      <c r="E31" s="387" t="s">
        <v>55</v>
      </c>
      <c r="F31" s="389"/>
      <c r="G31" s="387" t="s">
        <v>83</v>
      </c>
      <c r="H31" s="389"/>
      <c r="I31" s="389" t="s">
        <v>83</v>
      </c>
      <c r="J31" s="389"/>
      <c r="K31" s="403" t="s">
        <v>409</v>
      </c>
      <c r="L31" s="389"/>
      <c r="M31" s="403" t="s">
        <v>409</v>
      </c>
      <c r="N31" s="389"/>
      <c r="O31" s="403" t="s">
        <v>409</v>
      </c>
      <c r="P31" s="389"/>
      <c r="Q31" s="418" t="s">
        <v>84</v>
      </c>
      <c r="R31" s="389"/>
      <c r="S31" s="389" t="s">
        <v>55</v>
      </c>
      <c r="T31" s="389"/>
      <c r="U31" s="389" t="s">
        <v>55</v>
      </c>
      <c r="V31" s="389"/>
      <c r="W31" s="389" t="s">
        <v>55</v>
      </c>
      <c r="X31" s="389"/>
      <c r="Y31" s="389" t="s">
        <v>55</v>
      </c>
      <c r="Z31" s="389"/>
      <c r="AA31" s="391">
        <f>COUNTIF(C31:Z31,"&gt;=R")</f>
        <v>12</v>
      </c>
      <c r="AB31" s="392">
        <f>AA31</f>
        <v>12</v>
      </c>
      <c r="AC31" s="404"/>
      <c r="AD31" s="404"/>
      <c r="AE31" s="404"/>
      <c r="AF31" s="404"/>
      <c r="AG31" s="449"/>
      <c r="AH31" s="449"/>
      <c r="AI31" s="449"/>
      <c r="AJ31" s="449"/>
      <c r="AK31" s="449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</row>
    <row r="32" ht="39.75" customHeight="1">
      <c r="A32" s="395" t="s">
        <v>136</v>
      </c>
      <c r="B32" s="396" t="s">
        <v>137</v>
      </c>
      <c r="C32" s="397"/>
      <c r="D32" s="398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  <c r="AA32" s="399"/>
      <c r="AB32" s="401"/>
      <c r="AC32" s="404"/>
      <c r="AD32" s="404"/>
      <c r="AE32" s="404"/>
      <c r="AF32" s="404"/>
      <c r="AG32" s="449"/>
      <c r="AH32" s="449"/>
      <c r="AI32" s="449"/>
      <c r="AJ32" s="449"/>
      <c r="AK32" s="449"/>
      <c r="AL32" s="449"/>
      <c r="AM32" s="449"/>
      <c r="AN32" s="449"/>
      <c r="AO32" s="449"/>
      <c r="AP32" s="449"/>
      <c r="AQ32" s="449"/>
      <c r="AR32" s="449"/>
      <c r="AS32" s="449"/>
      <c r="AT32" s="449"/>
      <c r="AU32" s="449"/>
      <c r="AV32" s="449"/>
      <c r="AW32" s="449"/>
      <c r="AX32" s="449"/>
      <c r="AY32" s="449"/>
    </row>
    <row r="33" ht="39.75" customHeight="1">
      <c r="A33" s="385" t="s">
        <v>138</v>
      </c>
      <c r="B33" s="386" t="s">
        <v>139</v>
      </c>
      <c r="C33" s="387"/>
      <c r="D33" s="388"/>
      <c r="E33" s="387" t="s">
        <v>55</v>
      </c>
      <c r="F33" s="389"/>
      <c r="G33" s="394" t="s">
        <v>83</v>
      </c>
      <c r="H33" s="389"/>
      <c r="I33" s="389" t="s">
        <v>83</v>
      </c>
      <c r="J33" s="389"/>
      <c r="K33" s="390" t="s">
        <v>16</v>
      </c>
      <c r="L33" s="389"/>
      <c r="M33" s="390" t="s">
        <v>16</v>
      </c>
      <c r="N33" s="389"/>
      <c r="O33" s="390" t="s">
        <v>16</v>
      </c>
      <c r="P33" s="389"/>
      <c r="Q33" s="389"/>
      <c r="R33" s="389"/>
      <c r="S33" s="387" t="s">
        <v>55</v>
      </c>
      <c r="T33" s="394"/>
      <c r="U33" s="387" t="s">
        <v>55</v>
      </c>
      <c r="V33" s="394"/>
      <c r="W33" s="387" t="s">
        <v>55</v>
      </c>
      <c r="X33" s="394"/>
      <c r="Y33" s="387" t="s">
        <v>55</v>
      </c>
      <c r="Z33" s="394"/>
      <c r="AA33" s="391">
        <f t="shared" ref="AA33:AA34" si="5">COUNTIF(C33:Z33,"&gt;=R")</f>
        <v>10</v>
      </c>
      <c r="AB33" s="392">
        <f t="shared" ref="AB33:AB34" si="6">AA33</f>
        <v>10</v>
      </c>
      <c r="AG33" s="449"/>
      <c r="AH33" s="449"/>
      <c r="AI33" s="449"/>
      <c r="AJ33" s="449"/>
      <c r="AK33" s="449"/>
      <c r="AL33" s="449"/>
      <c r="AM33" s="449"/>
      <c r="AN33" s="449"/>
      <c r="AO33" s="449"/>
      <c r="AP33" s="449"/>
      <c r="AQ33" s="449"/>
      <c r="AR33" s="449"/>
      <c r="AS33" s="449"/>
      <c r="AT33" s="449"/>
      <c r="AU33" s="449"/>
      <c r="AV33" s="449"/>
      <c r="AW33" s="449"/>
      <c r="AX33" s="449"/>
      <c r="AY33" s="449"/>
    </row>
    <row r="34" ht="39.75" customHeight="1">
      <c r="A34" s="404" t="s">
        <v>140</v>
      </c>
      <c r="B34" s="794" t="s">
        <v>141</v>
      </c>
      <c r="C34" s="387"/>
      <c r="D34" s="388"/>
      <c r="E34" s="387" t="s">
        <v>55</v>
      </c>
      <c r="F34" s="389"/>
      <c r="G34" s="387" t="s">
        <v>83</v>
      </c>
      <c r="H34" s="389"/>
      <c r="I34" s="389" t="s">
        <v>83</v>
      </c>
      <c r="J34" s="389"/>
      <c r="K34" s="390" t="s">
        <v>16</v>
      </c>
      <c r="L34" s="389"/>
      <c r="M34" s="390" t="s">
        <v>16</v>
      </c>
      <c r="N34" s="389"/>
      <c r="O34" s="390" t="s">
        <v>16</v>
      </c>
      <c r="P34" s="389"/>
      <c r="Q34" s="389"/>
      <c r="R34" s="389"/>
      <c r="S34" s="387" t="s">
        <v>55</v>
      </c>
      <c r="T34" s="394"/>
      <c r="U34" s="387" t="s">
        <v>55</v>
      </c>
      <c r="V34" s="394"/>
      <c r="W34" s="387" t="s">
        <v>55</v>
      </c>
      <c r="X34" s="394"/>
      <c r="Y34" s="387" t="s">
        <v>55</v>
      </c>
      <c r="Z34" s="389"/>
      <c r="AA34" s="391">
        <f t="shared" si="5"/>
        <v>10</v>
      </c>
      <c r="AB34" s="392">
        <f t="shared" si="6"/>
        <v>10</v>
      </c>
    </row>
    <row r="35" ht="39.75" customHeight="1">
      <c r="A35" s="395" t="s">
        <v>142</v>
      </c>
      <c r="B35" s="396" t="s">
        <v>143</v>
      </c>
      <c r="C35" s="397"/>
      <c r="D35" s="398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401"/>
      <c r="AG35" s="449"/>
      <c r="AH35" s="449"/>
      <c r="AI35" s="449"/>
      <c r="AJ35" s="449"/>
      <c r="AK35" s="449"/>
      <c r="AL35" s="449"/>
      <c r="AM35" s="449"/>
      <c r="AN35" s="449"/>
      <c r="AO35" s="449"/>
      <c r="AP35" s="449"/>
      <c r="AQ35" s="449"/>
      <c r="AR35" s="449"/>
      <c r="AS35" s="449"/>
      <c r="AT35" s="449"/>
      <c r="AU35" s="449"/>
      <c r="AV35" s="449"/>
      <c r="AW35" s="449"/>
      <c r="AX35" s="449"/>
      <c r="AY35" s="449"/>
    </row>
    <row r="36" ht="39.75" customHeight="1">
      <c r="A36" s="402" t="s">
        <v>144</v>
      </c>
      <c r="B36" s="386" t="s">
        <v>145</v>
      </c>
      <c r="C36" s="388"/>
      <c r="D36" s="388"/>
      <c r="E36" s="387" t="s">
        <v>55</v>
      </c>
      <c r="F36" s="389"/>
      <c r="G36" s="959" t="s">
        <v>83</v>
      </c>
      <c r="H36" s="389"/>
      <c r="I36" s="960" t="s">
        <v>83</v>
      </c>
      <c r="J36" s="389"/>
      <c r="K36" s="390" t="s">
        <v>16</v>
      </c>
      <c r="L36" s="389"/>
      <c r="M36" s="390" t="s">
        <v>16</v>
      </c>
      <c r="N36" s="389"/>
      <c r="O36" s="390" t="s">
        <v>16</v>
      </c>
      <c r="P36" s="389"/>
      <c r="Q36" s="389"/>
      <c r="R36" s="389"/>
      <c r="S36" s="387" t="s">
        <v>55</v>
      </c>
      <c r="T36" s="394"/>
      <c r="U36" s="387" t="s">
        <v>55</v>
      </c>
      <c r="V36" s="394"/>
      <c r="W36" s="387" t="s">
        <v>55</v>
      </c>
      <c r="X36" s="394"/>
      <c r="Y36" s="387" t="s">
        <v>55</v>
      </c>
      <c r="Z36" s="389"/>
      <c r="AA36" s="391">
        <f>COUNTIF(C36:Z36,"&gt;=R")</f>
        <v>10</v>
      </c>
      <c r="AB36" s="392">
        <f>AA36</f>
        <v>10</v>
      </c>
      <c r="AG36" s="449"/>
      <c r="AH36" s="449"/>
      <c r="AI36" s="449"/>
      <c r="AJ36" s="449"/>
      <c r="AK36" s="449"/>
      <c r="AL36" s="449"/>
      <c r="AM36" s="449"/>
      <c r="AN36" s="449"/>
      <c r="AO36" s="449"/>
      <c r="AP36" s="449"/>
      <c r="AQ36" s="449"/>
      <c r="AR36" s="449"/>
      <c r="AS36" s="449"/>
      <c r="AT36" s="449"/>
      <c r="AU36" s="449"/>
      <c r="AV36" s="449"/>
      <c r="AW36" s="449"/>
      <c r="AX36" s="449"/>
      <c r="AY36" s="449"/>
    </row>
    <row r="37" ht="39.75" customHeight="1">
      <c r="A37" s="395" t="s">
        <v>146</v>
      </c>
      <c r="B37" s="396" t="s">
        <v>147</v>
      </c>
      <c r="C37" s="397"/>
      <c r="D37" s="398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401"/>
      <c r="AG37" s="449"/>
      <c r="AH37" s="449"/>
      <c r="AI37" s="449"/>
      <c r="AJ37" s="449"/>
      <c r="AK37" s="449"/>
      <c r="AL37" s="449"/>
      <c r="AM37" s="449"/>
      <c r="AN37" s="449"/>
      <c r="AO37" s="449"/>
      <c r="AP37" s="449"/>
      <c r="AQ37" s="449"/>
      <c r="AR37" s="449"/>
      <c r="AS37" s="449"/>
      <c r="AT37" s="449"/>
      <c r="AU37" s="449"/>
      <c r="AV37" s="449"/>
      <c r="AW37" s="449"/>
      <c r="AX37" s="449"/>
      <c r="AY37" s="449"/>
    </row>
    <row r="38" ht="39.75" customHeight="1">
      <c r="A38" s="385" t="s">
        <v>148</v>
      </c>
      <c r="B38" s="386" t="s">
        <v>139</v>
      </c>
      <c r="C38" s="388" t="s">
        <v>18</v>
      </c>
      <c r="D38" s="388"/>
      <c r="E38" s="387" t="s">
        <v>55</v>
      </c>
      <c r="F38" s="389"/>
      <c r="G38" s="959" t="s">
        <v>83</v>
      </c>
      <c r="H38" s="389"/>
      <c r="I38" s="960" t="s">
        <v>83</v>
      </c>
      <c r="J38" s="389"/>
      <c r="K38" s="390" t="s">
        <v>16</v>
      </c>
      <c r="L38" s="389"/>
      <c r="M38" s="390" t="s">
        <v>16</v>
      </c>
      <c r="N38" s="389"/>
      <c r="O38" s="390" t="s">
        <v>16</v>
      </c>
      <c r="P38" s="389"/>
      <c r="Q38" s="389" t="s">
        <v>18</v>
      </c>
      <c r="R38" s="389"/>
      <c r="S38" s="387" t="s">
        <v>55</v>
      </c>
      <c r="T38" s="389"/>
      <c r="U38" s="387" t="s">
        <v>55</v>
      </c>
      <c r="V38" s="389"/>
      <c r="W38" s="387" t="s">
        <v>55</v>
      </c>
      <c r="X38" s="389"/>
      <c r="Y38" s="387" t="s">
        <v>55</v>
      </c>
      <c r="Z38" s="389"/>
      <c r="AA38" s="391">
        <f t="shared" ref="AA38:AA39" si="7">COUNTIF(C38:Z38,"&gt;=R")</f>
        <v>12</v>
      </c>
      <c r="AB38" s="392">
        <f t="shared" ref="AB38:AB39" si="8">AA38</f>
        <v>12</v>
      </c>
      <c r="AG38" s="449"/>
      <c r="AH38" s="449"/>
      <c r="AI38" s="449"/>
      <c r="AJ38" s="449"/>
      <c r="AK38" s="449"/>
      <c r="AL38" s="449"/>
      <c r="AM38" s="449"/>
      <c r="AN38" s="449"/>
      <c r="AO38" s="449"/>
      <c r="AP38" s="449"/>
      <c r="AQ38" s="449"/>
      <c r="AR38" s="449"/>
      <c r="AS38" s="449"/>
      <c r="AT38" s="449"/>
      <c r="AU38" s="449"/>
      <c r="AV38" s="449"/>
      <c r="AW38" s="449"/>
      <c r="AX38" s="449"/>
      <c r="AY38" s="449"/>
    </row>
    <row r="39" ht="39.75" customHeight="1">
      <c r="A39" s="385" t="s">
        <v>149</v>
      </c>
      <c r="B39" s="386" t="s">
        <v>150</v>
      </c>
      <c r="C39" s="388" t="s">
        <v>68</v>
      </c>
      <c r="D39" s="388"/>
      <c r="E39" s="389" t="s">
        <v>83</v>
      </c>
      <c r="F39" s="389"/>
      <c r="G39" s="389" t="s">
        <v>83</v>
      </c>
      <c r="H39" s="389"/>
      <c r="I39" s="394" t="s">
        <v>83</v>
      </c>
      <c r="J39" s="389"/>
      <c r="K39" s="387" t="s">
        <v>411</v>
      </c>
      <c r="L39" s="389"/>
      <c r="M39" s="387" t="s">
        <v>411</v>
      </c>
      <c r="N39" s="389"/>
      <c r="O39" s="387" t="s">
        <v>411</v>
      </c>
      <c r="P39" s="389"/>
      <c r="Q39" s="389" t="s">
        <v>85</v>
      </c>
      <c r="R39" s="389"/>
      <c r="S39" s="389" t="s">
        <v>83</v>
      </c>
      <c r="T39" s="389"/>
      <c r="U39" s="394" t="s">
        <v>83</v>
      </c>
      <c r="V39" s="389"/>
      <c r="W39" s="394" t="s">
        <v>83</v>
      </c>
      <c r="X39" s="389"/>
      <c r="Y39" s="389" t="s">
        <v>83</v>
      </c>
      <c r="Z39" s="389"/>
      <c r="AA39" s="391">
        <f t="shared" si="7"/>
        <v>12</v>
      </c>
      <c r="AB39" s="392">
        <f t="shared" si="8"/>
        <v>12</v>
      </c>
      <c r="AC39" s="404"/>
      <c r="AD39" s="404"/>
      <c r="AE39" s="404"/>
      <c r="AF39" s="404"/>
      <c r="AG39" s="449"/>
      <c r="AH39" s="449"/>
      <c r="AI39" s="449"/>
      <c r="AJ39" s="449"/>
      <c r="AK39" s="449"/>
      <c r="AL39" s="449"/>
      <c r="AM39" s="449"/>
      <c r="AN39" s="449"/>
      <c r="AO39" s="449"/>
      <c r="AP39" s="449"/>
      <c r="AQ39" s="449"/>
      <c r="AR39" s="449"/>
      <c r="AS39" s="449"/>
      <c r="AT39" s="449"/>
      <c r="AU39" s="449"/>
      <c r="AV39" s="449"/>
      <c r="AW39" s="449"/>
      <c r="AX39" s="449"/>
      <c r="AY39" s="449"/>
    </row>
    <row r="40" ht="39.75" customHeight="1">
      <c r="A40" s="407" t="s">
        <v>151</v>
      </c>
      <c r="B40" s="408" t="s">
        <v>152</v>
      </c>
      <c r="C40" s="387"/>
      <c r="D40" s="388"/>
      <c r="E40" s="389"/>
      <c r="F40" s="389"/>
      <c r="G40" s="389"/>
      <c r="H40" s="389"/>
      <c r="I40" s="389"/>
      <c r="J40" s="389"/>
      <c r="K40" s="389"/>
      <c r="L40" s="389"/>
      <c r="M40" s="394"/>
      <c r="N40" s="389"/>
      <c r="O40" s="389"/>
      <c r="P40" s="389"/>
      <c r="Q40" s="389"/>
      <c r="R40" s="389"/>
      <c r="S40" s="389"/>
      <c r="T40" s="389"/>
      <c r="U40" s="394"/>
      <c r="V40" s="389"/>
      <c r="W40" s="389"/>
      <c r="X40" s="389"/>
      <c r="Y40" s="389"/>
      <c r="Z40" s="389"/>
      <c r="AA40" s="391"/>
      <c r="AB40" s="392"/>
      <c r="AG40" s="449"/>
      <c r="AH40" s="449"/>
      <c r="AI40" s="449"/>
      <c r="AJ40" s="449"/>
      <c r="AK40" s="449"/>
      <c r="AL40" s="449"/>
      <c r="AM40" s="449"/>
      <c r="AN40" s="449"/>
      <c r="AO40" s="449"/>
      <c r="AP40" s="449"/>
      <c r="AQ40" s="449"/>
      <c r="AR40" s="449"/>
      <c r="AS40" s="449"/>
      <c r="AT40" s="449"/>
      <c r="AU40" s="449"/>
      <c r="AV40" s="449"/>
      <c r="AW40" s="449"/>
      <c r="AX40" s="449"/>
      <c r="AY40" s="449"/>
    </row>
    <row r="41" ht="39.75" customHeight="1">
      <c r="A41" s="385" t="s">
        <v>153</v>
      </c>
      <c r="B41" s="386" t="s">
        <v>154</v>
      </c>
      <c r="C41" s="387"/>
      <c r="D41" s="388"/>
      <c r="E41" s="387"/>
      <c r="F41" s="389"/>
      <c r="G41" s="387"/>
      <c r="H41" s="389"/>
      <c r="I41" s="387"/>
      <c r="J41" s="389"/>
      <c r="K41" s="387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91">
        <f t="shared" ref="AA41:AA46" si="9">COUNTIF(C41:Z41,"&gt;=R")</f>
        <v>0</v>
      </c>
      <c r="AB41" s="392">
        <f t="shared" ref="AB41:AB46" si="10">AA41</f>
        <v>0</v>
      </c>
      <c r="AG41" s="449"/>
      <c r="AH41" s="449"/>
      <c r="AI41" s="449"/>
      <c r="AJ41" s="449"/>
      <c r="AK41" s="449"/>
      <c r="AL41" s="449"/>
      <c r="AM41" s="449"/>
      <c r="AN41" s="449"/>
      <c r="AO41" s="449"/>
      <c r="AP41" s="449"/>
      <c r="AQ41" s="449"/>
      <c r="AR41" s="449"/>
      <c r="AS41" s="449"/>
      <c r="AT41" s="449"/>
      <c r="AU41" s="449"/>
      <c r="AV41" s="449"/>
      <c r="AW41" s="449"/>
      <c r="AX41" s="449"/>
      <c r="AY41" s="449"/>
    </row>
    <row r="42" ht="39.75" customHeight="1">
      <c r="A42" s="385" t="s">
        <v>155</v>
      </c>
      <c r="B42" s="386" t="s">
        <v>156</v>
      </c>
      <c r="C42" s="387"/>
      <c r="D42" s="388"/>
      <c r="E42" s="394"/>
      <c r="F42" s="389"/>
      <c r="G42" s="394"/>
      <c r="H42" s="389"/>
      <c r="I42" s="394"/>
      <c r="J42" s="389"/>
      <c r="K42" s="394"/>
      <c r="L42" s="389"/>
      <c r="M42" s="394"/>
      <c r="N42" s="389"/>
      <c r="O42" s="394"/>
      <c r="P42" s="389"/>
      <c r="Q42" s="394"/>
      <c r="R42" s="389"/>
      <c r="S42" s="394"/>
      <c r="T42" s="389"/>
      <c r="U42" s="394"/>
      <c r="V42" s="389"/>
      <c r="W42" s="394"/>
      <c r="X42" s="389"/>
      <c r="Y42" s="389"/>
      <c r="Z42" s="389"/>
      <c r="AA42" s="391">
        <f t="shared" si="9"/>
        <v>0</v>
      </c>
      <c r="AB42" s="392">
        <f t="shared" si="10"/>
        <v>0</v>
      </c>
      <c r="AC42" s="404"/>
      <c r="AD42" s="404"/>
      <c r="AE42" s="404"/>
      <c r="AF42" s="404"/>
      <c r="AG42" s="449"/>
      <c r="AH42" s="449"/>
      <c r="AI42" s="449"/>
      <c r="AJ42" s="449"/>
      <c r="AK42" s="449"/>
      <c r="AL42" s="449"/>
      <c r="AM42" s="449"/>
      <c r="AN42" s="449"/>
      <c r="AO42" s="449"/>
      <c r="AP42" s="449"/>
      <c r="AQ42" s="449"/>
      <c r="AR42" s="449"/>
      <c r="AS42" s="449"/>
      <c r="AT42" s="449"/>
      <c r="AU42" s="449"/>
      <c r="AV42" s="449"/>
      <c r="AW42" s="449"/>
      <c r="AX42" s="449"/>
      <c r="AY42" s="449"/>
    </row>
    <row r="43" ht="39.75" customHeight="1">
      <c r="A43" s="385" t="s">
        <v>157</v>
      </c>
      <c r="B43" s="386" t="s">
        <v>158</v>
      </c>
      <c r="C43" s="388" t="s">
        <v>68</v>
      </c>
      <c r="D43" s="388"/>
      <c r="E43" s="389" t="s">
        <v>37</v>
      </c>
      <c r="F43" s="389"/>
      <c r="G43" s="389" t="s">
        <v>37</v>
      </c>
      <c r="H43" s="389"/>
      <c r="I43" s="394" t="s">
        <v>37</v>
      </c>
      <c r="J43" s="389"/>
      <c r="K43" s="387" t="s">
        <v>411</v>
      </c>
      <c r="L43" s="389"/>
      <c r="M43" s="387" t="s">
        <v>411</v>
      </c>
      <c r="N43" s="389"/>
      <c r="O43" s="387" t="s">
        <v>411</v>
      </c>
      <c r="P43" s="389"/>
      <c r="Q43" s="389"/>
      <c r="R43" s="389"/>
      <c r="S43" s="389" t="s">
        <v>37</v>
      </c>
      <c r="T43" s="389"/>
      <c r="U43" s="394" t="s">
        <v>37</v>
      </c>
      <c r="V43" s="389"/>
      <c r="W43" s="394" t="s">
        <v>37</v>
      </c>
      <c r="X43" s="389"/>
      <c r="Y43" s="389" t="s">
        <v>37</v>
      </c>
      <c r="Z43" s="389"/>
      <c r="AA43" s="391">
        <f t="shared" si="9"/>
        <v>11</v>
      </c>
      <c r="AB43" s="392">
        <f t="shared" si="10"/>
        <v>11</v>
      </c>
      <c r="AG43" s="449"/>
      <c r="AH43" s="449"/>
      <c r="AI43" s="449"/>
      <c r="AJ43" s="449"/>
      <c r="AK43" s="449"/>
      <c r="AL43" s="449"/>
      <c r="AM43" s="449"/>
      <c r="AN43" s="449"/>
      <c r="AO43" s="449"/>
      <c r="AP43" s="449"/>
      <c r="AQ43" s="449"/>
      <c r="AR43" s="449"/>
      <c r="AS43" s="449"/>
      <c r="AT43" s="449"/>
      <c r="AU43" s="449"/>
      <c r="AV43" s="449"/>
      <c r="AW43" s="449"/>
      <c r="AX43" s="449"/>
      <c r="AY43" s="449"/>
    </row>
    <row r="44" ht="39.75" customHeight="1">
      <c r="A44" s="385" t="s">
        <v>159</v>
      </c>
      <c r="B44" s="386" t="s">
        <v>160</v>
      </c>
      <c r="C44" s="387"/>
      <c r="D44" s="388"/>
      <c r="E44" s="389" t="s">
        <v>75</v>
      </c>
      <c r="F44" s="389"/>
      <c r="G44" s="389" t="s">
        <v>75</v>
      </c>
      <c r="H44" s="389"/>
      <c r="I44" s="389" t="s">
        <v>75</v>
      </c>
      <c r="J44" s="389"/>
      <c r="K44" s="389" t="s">
        <v>75</v>
      </c>
      <c r="L44" s="389"/>
      <c r="M44" s="389" t="s">
        <v>75</v>
      </c>
      <c r="N44" s="389"/>
      <c r="O44" s="389" t="s">
        <v>75</v>
      </c>
      <c r="P44" s="389"/>
      <c r="Q44" s="389"/>
      <c r="R44" s="389"/>
      <c r="S44" s="389" t="s">
        <v>75</v>
      </c>
      <c r="T44" s="389"/>
      <c r="U44" s="389" t="s">
        <v>75</v>
      </c>
      <c r="V44" s="389"/>
      <c r="W44" s="389" t="s">
        <v>83</v>
      </c>
      <c r="X44" s="389"/>
      <c r="Y44" s="389" t="s">
        <v>83</v>
      </c>
      <c r="Z44" s="389"/>
      <c r="AA44" s="391">
        <f t="shared" si="9"/>
        <v>10</v>
      </c>
      <c r="AB44" s="392">
        <f t="shared" si="10"/>
        <v>10</v>
      </c>
      <c r="AC44" s="404"/>
      <c r="AD44" s="404"/>
      <c r="AE44" s="404"/>
      <c r="AF44" s="404"/>
      <c r="AG44" s="449"/>
      <c r="AH44" s="449"/>
      <c r="AI44" s="449"/>
      <c r="AJ44" s="449"/>
      <c r="AK44" s="449"/>
      <c r="AL44" s="449"/>
      <c r="AM44" s="449"/>
      <c r="AN44" s="449"/>
      <c r="AO44" s="449"/>
      <c r="AP44" s="449"/>
      <c r="AQ44" s="449"/>
      <c r="AR44" s="449"/>
      <c r="AS44" s="449"/>
      <c r="AT44" s="449"/>
      <c r="AU44" s="449"/>
      <c r="AV44" s="449"/>
      <c r="AW44" s="449"/>
      <c r="AX44" s="449"/>
      <c r="AY44" s="449"/>
    </row>
    <row r="45" ht="39.75" customHeight="1">
      <c r="A45" s="385" t="s">
        <v>161</v>
      </c>
      <c r="B45" s="386" t="s">
        <v>162</v>
      </c>
      <c r="C45" s="387"/>
      <c r="D45" s="388"/>
      <c r="E45" s="389" t="s">
        <v>75</v>
      </c>
      <c r="F45" s="389"/>
      <c r="G45" s="389" t="s">
        <v>75</v>
      </c>
      <c r="H45" s="389"/>
      <c r="I45" s="389" t="s">
        <v>75</v>
      </c>
      <c r="J45" s="389"/>
      <c r="K45" s="389" t="s">
        <v>36</v>
      </c>
      <c r="L45" s="389"/>
      <c r="M45" s="389" t="s">
        <v>36</v>
      </c>
      <c r="N45" s="389"/>
      <c r="O45" s="389" t="s">
        <v>36</v>
      </c>
      <c r="P45" s="389"/>
      <c r="Q45" s="389"/>
      <c r="R45" s="389"/>
      <c r="S45" s="389" t="s">
        <v>75</v>
      </c>
      <c r="T45" s="389"/>
      <c r="U45" s="389" t="s">
        <v>75</v>
      </c>
      <c r="V45" s="389"/>
      <c r="W45" s="389" t="s">
        <v>83</v>
      </c>
      <c r="X45" s="389"/>
      <c r="Y45" s="389" t="s">
        <v>83</v>
      </c>
      <c r="Z45" s="389"/>
      <c r="AA45" s="391">
        <f t="shared" si="9"/>
        <v>10</v>
      </c>
      <c r="AB45" s="392">
        <f t="shared" si="10"/>
        <v>10</v>
      </c>
      <c r="AG45" s="449"/>
      <c r="AH45" s="449"/>
      <c r="AI45" s="449"/>
      <c r="AJ45" s="449"/>
      <c r="AK45" s="449"/>
      <c r="AL45" s="449"/>
      <c r="AM45" s="449"/>
      <c r="AN45" s="449"/>
      <c r="AO45" s="449"/>
      <c r="AP45" s="449"/>
      <c r="AQ45" s="449"/>
      <c r="AR45" s="449"/>
      <c r="AS45" s="449"/>
      <c r="AT45" s="449"/>
      <c r="AU45" s="449"/>
      <c r="AV45" s="449"/>
      <c r="AW45" s="449"/>
      <c r="AX45" s="449"/>
      <c r="AY45" s="449"/>
    </row>
    <row r="46" ht="39.75" customHeight="1">
      <c r="A46" s="385" t="s">
        <v>163</v>
      </c>
      <c r="B46" s="386" t="s">
        <v>164</v>
      </c>
      <c r="C46" s="387"/>
      <c r="D46" s="388"/>
      <c r="E46" s="394" t="s">
        <v>75</v>
      </c>
      <c r="F46" s="389"/>
      <c r="G46" s="389" t="s">
        <v>75</v>
      </c>
      <c r="H46" s="389"/>
      <c r="I46" s="389" t="s">
        <v>75</v>
      </c>
      <c r="J46" s="389"/>
      <c r="K46" s="389" t="s">
        <v>26</v>
      </c>
      <c r="L46" s="389"/>
      <c r="M46" s="394" t="s">
        <v>26</v>
      </c>
      <c r="N46" s="389"/>
      <c r="O46" s="389" t="s">
        <v>26</v>
      </c>
      <c r="P46" s="389"/>
      <c r="Q46" s="389"/>
      <c r="R46" s="389"/>
      <c r="S46" s="389" t="s">
        <v>75</v>
      </c>
      <c r="T46" s="389"/>
      <c r="U46" s="389" t="s">
        <v>75</v>
      </c>
      <c r="V46" s="389"/>
      <c r="W46" s="389" t="s">
        <v>83</v>
      </c>
      <c r="X46" s="389"/>
      <c r="Y46" s="389" t="s">
        <v>83</v>
      </c>
      <c r="Z46" s="389"/>
      <c r="AA46" s="391">
        <f t="shared" si="9"/>
        <v>10</v>
      </c>
      <c r="AB46" s="392">
        <f t="shared" si="10"/>
        <v>10</v>
      </c>
      <c r="AC46" s="404"/>
      <c r="AD46" s="404"/>
      <c r="AE46" s="404"/>
      <c r="AF46" s="404"/>
      <c r="AG46" s="449"/>
      <c r="AH46" s="449"/>
      <c r="AI46" s="449"/>
      <c r="AJ46" s="449"/>
      <c r="AK46" s="449"/>
      <c r="AL46" s="449"/>
      <c r="AM46" s="449"/>
      <c r="AN46" s="449"/>
      <c r="AO46" s="449"/>
      <c r="AP46" s="449"/>
      <c r="AQ46" s="449"/>
      <c r="AR46" s="449"/>
      <c r="AS46" s="449"/>
      <c r="AT46" s="449"/>
      <c r="AU46" s="449"/>
      <c r="AV46" s="449"/>
      <c r="AW46" s="449"/>
      <c r="AX46" s="449"/>
      <c r="AY46" s="449"/>
    </row>
    <row r="47" ht="39.75" customHeight="1">
      <c r="A47" s="378" t="s">
        <v>165</v>
      </c>
      <c r="B47" s="379" t="s">
        <v>166</v>
      </c>
      <c r="C47" s="397"/>
      <c r="D47" s="398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401"/>
      <c r="AC47" s="404"/>
      <c r="AD47" s="404"/>
      <c r="AE47" s="404"/>
      <c r="AF47" s="404"/>
      <c r="AG47" s="449"/>
      <c r="AH47" s="449"/>
      <c r="AI47" s="449"/>
      <c r="AJ47" s="449"/>
      <c r="AK47" s="449"/>
      <c r="AL47" s="449"/>
      <c r="AM47" s="449"/>
      <c r="AN47" s="449"/>
      <c r="AO47" s="449"/>
      <c r="AP47" s="449"/>
      <c r="AQ47" s="449"/>
      <c r="AR47" s="449"/>
      <c r="AS47" s="449"/>
      <c r="AT47" s="449"/>
      <c r="AU47" s="449"/>
      <c r="AV47" s="449"/>
      <c r="AW47" s="449"/>
      <c r="AX47" s="449"/>
      <c r="AY47" s="449"/>
    </row>
    <row r="48" ht="39.75" customHeight="1">
      <c r="A48" s="409" t="s">
        <v>167</v>
      </c>
      <c r="B48" s="410" t="s">
        <v>168</v>
      </c>
      <c r="C48" s="387"/>
      <c r="D48" s="388"/>
      <c r="E48" s="389"/>
      <c r="F48" s="389"/>
      <c r="G48" s="394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94"/>
      <c r="X48" s="389"/>
      <c r="Y48" s="389"/>
      <c r="Z48" s="389"/>
      <c r="AA48" s="391"/>
      <c r="AB48" s="392"/>
      <c r="AG48" s="449"/>
      <c r="AH48" s="449"/>
      <c r="AI48" s="449"/>
      <c r="AJ48" s="449"/>
      <c r="AK48" s="449"/>
      <c r="AL48" s="449"/>
      <c r="AM48" s="449"/>
      <c r="AN48" s="449"/>
      <c r="AO48" s="449"/>
      <c r="AP48" s="449"/>
      <c r="AQ48" s="449"/>
      <c r="AR48" s="449"/>
      <c r="AS48" s="449"/>
      <c r="AT48" s="449"/>
      <c r="AU48" s="449"/>
      <c r="AV48" s="449"/>
      <c r="AW48" s="449"/>
      <c r="AX48" s="449"/>
      <c r="AY48" s="449"/>
    </row>
    <row r="49" ht="39.75" customHeight="1">
      <c r="A49" s="411" t="s">
        <v>169</v>
      </c>
      <c r="B49" s="412" t="s">
        <v>170</v>
      </c>
      <c r="C49" s="387"/>
      <c r="D49" s="388"/>
      <c r="E49" s="389" t="s">
        <v>75</v>
      </c>
      <c r="F49" s="389"/>
      <c r="G49" s="389" t="s">
        <v>91</v>
      </c>
      <c r="H49" s="389"/>
      <c r="I49" s="389" t="s">
        <v>91</v>
      </c>
      <c r="J49" s="389"/>
      <c r="K49" s="389" t="s">
        <v>75</v>
      </c>
      <c r="L49" s="389"/>
      <c r="M49" s="389" t="s">
        <v>75</v>
      </c>
      <c r="N49" s="389"/>
      <c r="O49" s="389" t="s">
        <v>75</v>
      </c>
      <c r="P49" s="389"/>
      <c r="Q49" s="389"/>
      <c r="R49" s="389"/>
      <c r="S49" s="389" t="s">
        <v>17</v>
      </c>
      <c r="T49" s="389"/>
      <c r="U49" s="389" t="s">
        <v>17</v>
      </c>
      <c r="V49" s="389"/>
      <c r="W49" s="389" t="s">
        <v>91</v>
      </c>
      <c r="X49" s="389"/>
      <c r="Y49" s="389" t="s">
        <v>91</v>
      </c>
      <c r="Z49" s="389"/>
      <c r="AA49" s="391">
        <f t="shared" ref="AA49:AA50" si="11">COUNTIF(C49:Z49,"&gt;=R")</f>
        <v>10</v>
      </c>
      <c r="AB49" s="392">
        <f t="shared" ref="AB49:AB50" si="12">AA49</f>
        <v>10</v>
      </c>
      <c r="AC49" s="404"/>
      <c r="AD49" s="404"/>
      <c r="AE49" s="404"/>
      <c r="AF49" s="404"/>
      <c r="AG49" s="449"/>
      <c r="AH49" s="449"/>
      <c r="AI49" s="449"/>
      <c r="AJ49" s="449"/>
      <c r="AK49" s="449"/>
      <c r="AL49" s="449"/>
      <c r="AM49" s="449"/>
      <c r="AN49" s="449"/>
      <c r="AO49" s="449"/>
      <c r="AP49" s="449"/>
      <c r="AQ49" s="449"/>
      <c r="AR49" s="449"/>
      <c r="AS49" s="449"/>
      <c r="AT49" s="449"/>
      <c r="AU49" s="449"/>
      <c r="AV49" s="449"/>
      <c r="AW49" s="449"/>
      <c r="AX49" s="449"/>
      <c r="AY49" s="449"/>
    </row>
    <row r="50" ht="39.75" customHeight="1">
      <c r="A50" s="411" t="s">
        <v>171</v>
      </c>
      <c r="B50" s="412" t="s">
        <v>172</v>
      </c>
      <c r="C50" s="387"/>
      <c r="D50" s="388"/>
      <c r="E50" s="387" t="s">
        <v>28</v>
      </c>
      <c r="F50" s="389"/>
      <c r="G50" s="387" t="s">
        <v>28</v>
      </c>
      <c r="H50" s="389"/>
      <c r="I50" s="387" t="s">
        <v>68</v>
      </c>
      <c r="J50" s="389"/>
      <c r="K50" s="387" t="s">
        <v>68</v>
      </c>
      <c r="L50" s="389"/>
      <c r="M50" s="387" t="s">
        <v>68</v>
      </c>
      <c r="N50" s="389"/>
      <c r="O50" s="387" t="s">
        <v>68</v>
      </c>
      <c r="P50" s="389"/>
      <c r="Q50" s="387"/>
      <c r="R50" s="389"/>
      <c r="S50" s="389" t="s">
        <v>68</v>
      </c>
      <c r="T50" s="389"/>
      <c r="U50" s="389" t="s">
        <v>28</v>
      </c>
      <c r="V50" s="389"/>
      <c r="W50" s="389" t="s">
        <v>28</v>
      </c>
      <c r="X50" s="389"/>
      <c r="Y50" s="389" t="s">
        <v>28</v>
      </c>
      <c r="Z50" s="389"/>
      <c r="AA50" s="391">
        <f t="shared" si="11"/>
        <v>10</v>
      </c>
      <c r="AB50" s="392">
        <f t="shared" si="12"/>
        <v>10</v>
      </c>
      <c r="AC50" s="404"/>
      <c r="AD50" s="404"/>
      <c r="AE50" s="404"/>
      <c r="AF50" s="404"/>
      <c r="AG50" s="449"/>
      <c r="AH50" s="449"/>
      <c r="AI50" s="449"/>
      <c r="AJ50" s="449"/>
      <c r="AK50" s="449"/>
      <c r="AL50" s="449"/>
      <c r="AM50" s="449"/>
      <c r="AN50" s="449"/>
      <c r="AO50" s="449"/>
      <c r="AP50" s="449"/>
      <c r="AQ50" s="449"/>
      <c r="AR50" s="449"/>
      <c r="AS50" s="449"/>
      <c r="AT50" s="449"/>
      <c r="AU50" s="449"/>
      <c r="AV50" s="449"/>
      <c r="AW50" s="449"/>
      <c r="AX50" s="449"/>
      <c r="AY50" s="449"/>
    </row>
    <row r="51" ht="39.75" customHeight="1">
      <c r="A51" s="414" t="s">
        <v>173</v>
      </c>
      <c r="B51" s="415" t="s">
        <v>174</v>
      </c>
      <c r="C51" s="387"/>
      <c r="D51" s="388"/>
      <c r="E51" s="389"/>
      <c r="F51" s="389"/>
      <c r="G51" s="394"/>
      <c r="H51" s="389"/>
      <c r="I51" s="394"/>
      <c r="J51" s="389"/>
      <c r="K51" s="394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91"/>
      <c r="AB51" s="392"/>
      <c r="AG51" s="449"/>
      <c r="AH51" s="449"/>
      <c r="AI51" s="449"/>
      <c r="AJ51" s="449"/>
      <c r="AK51" s="449"/>
      <c r="AL51" s="449"/>
      <c r="AM51" s="449"/>
      <c r="AN51" s="449"/>
      <c r="AO51" s="449"/>
      <c r="AP51" s="449"/>
      <c r="AQ51" s="449"/>
      <c r="AR51" s="449"/>
      <c r="AS51" s="449"/>
      <c r="AT51" s="449"/>
      <c r="AU51" s="449"/>
      <c r="AV51" s="449"/>
      <c r="AW51" s="449"/>
      <c r="AX51" s="449"/>
      <c r="AY51" s="449"/>
    </row>
    <row r="52" ht="39.75" customHeight="1">
      <c r="A52" s="411" t="s">
        <v>175</v>
      </c>
      <c r="B52" s="412" t="s">
        <v>176</v>
      </c>
      <c r="C52" s="387"/>
      <c r="D52" s="388"/>
      <c r="E52" s="387" t="s">
        <v>76</v>
      </c>
      <c r="F52" s="389"/>
      <c r="G52" s="389" t="s">
        <v>67</v>
      </c>
      <c r="H52" s="389"/>
      <c r="I52" s="389" t="s">
        <v>76</v>
      </c>
      <c r="J52" s="389"/>
      <c r="K52" s="418" t="s">
        <v>84</v>
      </c>
      <c r="L52" s="389"/>
      <c r="M52" s="418" t="s">
        <v>84</v>
      </c>
      <c r="N52" s="389"/>
      <c r="O52" s="418" t="s">
        <v>84</v>
      </c>
      <c r="P52" s="389"/>
      <c r="Q52" s="389"/>
      <c r="R52" s="389"/>
      <c r="S52" s="389" t="s">
        <v>76</v>
      </c>
      <c r="T52" s="389"/>
      <c r="U52" s="394" t="s">
        <v>76</v>
      </c>
      <c r="V52" s="389"/>
      <c r="W52" s="394" t="s">
        <v>76</v>
      </c>
      <c r="X52" s="389"/>
      <c r="Y52" s="389" t="s">
        <v>76</v>
      </c>
      <c r="Z52" s="389"/>
      <c r="AA52" s="391">
        <f t="shared" ref="AA52:AA53" si="13">COUNTIF(C52:Z52,"&gt;=R")</f>
        <v>10</v>
      </c>
      <c r="AB52" s="392">
        <f t="shared" ref="AB52:AB53" si="14">AA52</f>
        <v>10</v>
      </c>
      <c r="AG52" s="449"/>
      <c r="AH52" s="449"/>
      <c r="AI52" s="449"/>
      <c r="AJ52" s="449"/>
      <c r="AK52" s="449"/>
      <c r="AL52" s="449"/>
      <c r="AM52" s="449"/>
      <c r="AN52" s="449"/>
      <c r="AO52" s="449"/>
      <c r="AP52" s="449"/>
      <c r="AQ52" s="449"/>
      <c r="AR52" s="449"/>
      <c r="AS52" s="449"/>
      <c r="AT52" s="449"/>
      <c r="AU52" s="449"/>
      <c r="AV52" s="449"/>
      <c r="AW52" s="449"/>
      <c r="AX52" s="449"/>
      <c r="AY52" s="449"/>
    </row>
    <row r="53" ht="39.75" customHeight="1">
      <c r="A53" s="411" t="s">
        <v>177</v>
      </c>
      <c r="B53" s="412" t="s">
        <v>178</v>
      </c>
      <c r="C53" s="387"/>
      <c r="D53" s="388"/>
      <c r="E53" s="389" t="s">
        <v>76</v>
      </c>
      <c r="F53" s="389"/>
      <c r="G53" s="389" t="s">
        <v>67</v>
      </c>
      <c r="H53" s="389"/>
      <c r="I53" s="389" t="s">
        <v>67</v>
      </c>
      <c r="J53" s="389"/>
      <c r="K53" s="389" t="s">
        <v>76</v>
      </c>
      <c r="L53" s="389"/>
      <c r="M53" s="389" t="s">
        <v>76</v>
      </c>
      <c r="N53" s="389"/>
      <c r="O53" s="418" t="s">
        <v>84</v>
      </c>
      <c r="P53" s="389"/>
      <c r="Q53" s="389"/>
      <c r="R53" s="389"/>
      <c r="S53" s="418" t="s">
        <v>84</v>
      </c>
      <c r="T53" s="389"/>
      <c r="U53" s="394" t="s">
        <v>76</v>
      </c>
      <c r="V53" s="389"/>
      <c r="W53" s="394" t="s">
        <v>76</v>
      </c>
      <c r="X53" s="389"/>
      <c r="Y53" s="389" t="s">
        <v>76</v>
      </c>
      <c r="Z53" s="389"/>
      <c r="AA53" s="391">
        <f t="shared" si="13"/>
        <v>10</v>
      </c>
      <c r="AB53" s="392">
        <f t="shared" si="14"/>
        <v>10</v>
      </c>
      <c r="AC53" s="404"/>
      <c r="AD53" s="404"/>
      <c r="AE53" s="404"/>
      <c r="AF53" s="404"/>
      <c r="AG53" s="449"/>
      <c r="AH53" s="449"/>
      <c r="AI53" s="449"/>
      <c r="AJ53" s="449"/>
      <c r="AK53" s="449"/>
      <c r="AL53" s="449"/>
      <c r="AM53" s="449"/>
      <c r="AN53" s="449"/>
      <c r="AO53" s="449"/>
      <c r="AP53" s="449"/>
      <c r="AQ53" s="449"/>
      <c r="AR53" s="449"/>
      <c r="AS53" s="449"/>
      <c r="AT53" s="449"/>
      <c r="AU53" s="449"/>
      <c r="AV53" s="449"/>
      <c r="AW53" s="449"/>
      <c r="AX53" s="449"/>
      <c r="AY53" s="449"/>
    </row>
    <row r="54" ht="39.75" customHeight="1">
      <c r="A54" s="414" t="s">
        <v>179</v>
      </c>
      <c r="B54" s="415" t="s">
        <v>180</v>
      </c>
      <c r="C54" s="387"/>
      <c r="D54" s="388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94"/>
      <c r="X54" s="389"/>
      <c r="Y54" s="389"/>
      <c r="Z54" s="389"/>
      <c r="AA54" s="391"/>
      <c r="AB54" s="392"/>
      <c r="AG54" s="449"/>
      <c r="AH54" s="449"/>
      <c r="AI54" s="449"/>
      <c r="AJ54" s="449"/>
      <c r="AK54" s="449"/>
      <c r="AL54" s="449"/>
      <c r="AM54" s="449"/>
      <c r="AN54" s="449"/>
      <c r="AO54" s="449"/>
      <c r="AP54" s="449"/>
      <c r="AQ54" s="449"/>
      <c r="AR54" s="449"/>
      <c r="AS54" s="449"/>
      <c r="AT54" s="449"/>
      <c r="AU54" s="449"/>
      <c r="AV54" s="449"/>
      <c r="AW54" s="449"/>
      <c r="AX54" s="449"/>
      <c r="AY54" s="449"/>
    </row>
    <row r="55" ht="39.75" customHeight="1">
      <c r="A55" s="404" t="s">
        <v>181</v>
      </c>
      <c r="B55" s="794" t="s">
        <v>182</v>
      </c>
      <c r="C55" s="387"/>
      <c r="D55" s="388"/>
      <c r="E55" s="393" t="s">
        <v>84</v>
      </c>
      <c r="F55" s="389"/>
      <c r="G55" s="393" t="s">
        <v>84</v>
      </c>
      <c r="H55" s="389"/>
      <c r="I55" s="420" t="s">
        <v>8</v>
      </c>
      <c r="J55" s="389"/>
      <c r="K55" s="417" t="s">
        <v>8</v>
      </c>
      <c r="L55" s="389"/>
      <c r="M55" s="417" t="s">
        <v>8</v>
      </c>
      <c r="N55" s="389"/>
      <c r="O55" s="417" t="s">
        <v>8</v>
      </c>
      <c r="P55" s="389"/>
      <c r="Q55" s="389"/>
      <c r="R55" s="389"/>
      <c r="S55" s="420" t="s">
        <v>8</v>
      </c>
      <c r="T55" s="389"/>
      <c r="U55" s="420" t="s">
        <v>8</v>
      </c>
      <c r="V55" s="389"/>
      <c r="W55" s="387"/>
      <c r="X55" s="389"/>
      <c r="Y55" s="418" t="s">
        <v>84</v>
      </c>
      <c r="Z55" s="389"/>
      <c r="AA55" s="391">
        <f>COUNTIF(C55:Z55,"&gt;=R")</f>
        <v>9</v>
      </c>
      <c r="AB55" s="392">
        <f>AA55</f>
        <v>9</v>
      </c>
    </row>
    <row r="56" ht="39.75" customHeight="1">
      <c r="A56" s="395" t="s">
        <v>183</v>
      </c>
      <c r="B56" s="396" t="s">
        <v>184</v>
      </c>
      <c r="C56" s="397"/>
      <c r="D56" s="398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401"/>
      <c r="AC56" s="404"/>
      <c r="AD56" s="404"/>
      <c r="AE56" s="404"/>
      <c r="AF56" s="404"/>
    </row>
    <row r="57" ht="39.75" customHeight="1">
      <c r="A57" s="385" t="s">
        <v>185</v>
      </c>
      <c r="B57" s="386" t="s">
        <v>186</v>
      </c>
      <c r="C57" s="387" t="s">
        <v>85</v>
      </c>
      <c r="D57" s="388"/>
      <c r="E57" s="389" t="s">
        <v>92</v>
      </c>
      <c r="F57" s="389"/>
      <c r="G57" s="389" t="s">
        <v>92</v>
      </c>
      <c r="H57" s="389"/>
      <c r="I57" s="389" t="s">
        <v>92</v>
      </c>
      <c r="J57" s="389"/>
      <c r="K57" s="389" t="s">
        <v>92</v>
      </c>
      <c r="L57" s="389"/>
      <c r="M57" s="389" t="s">
        <v>92</v>
      </c>
      <c r="N57" s="389"/>
      <c r="O57" s="389" t="s">
        <v>92</v>
      </c>
      <c r="P57" s="389"/>
      <c r="Q57" s="389"/>
      <c r="R57" s="389"/>
      <c r="S57" s="389" t="s">
        <v>92</v>
      </c>
      <c r="T57" s="389"/>
      <c r="U57" s="389" t="s">
        <v>92</v>
      </c>
      <c r="V57" s="389"/>
      <c r="W57" s="389" t="s">
        <v>92</v>
      </c>
      <c r="X57" s="389"/>
      <c r="Y57" s="389" t="s">
        <v>92</v>
      </c>
      <c r="Z57" s="389"/>
      <c r="AA57" s="391">
        <f t="shared" ref="AA57:AA60" si="15">COUNTIF(C57:Z57,"&gt;=R")</f>
        <v>11</v>
      </c>
      <c r="AB57" s="392">
        <f t="shared" ref="AB57:AB60" si="16">AA57</f>
        <v>11</v>
      </c>
      <c r="AC57" s="404"/>
      <c r="AD57" s="404"/>
      <c r="AE57" s="404"/>
      <c r="AF57" s="404"/>
      <c r="AG57" s="449"/>
      <c r="AH57" s="449"/>
      <c r="AI57" s="449"/>
      <c r="AJ57" s="449"/>
      <c r="AK57" s="449"/>
      <c r="AL57" s="449"/>
      <c r="AM57" s="449"/>
      <c r="AN57" s="449"/>
      <c r="AO57" s="449"/>
      <c r="AP57" s="449"/>
      <c r="AQ57" s="449"/>
      <c r="AR57" s="449"/>
      <c r="AS57" s="449"/>
      <c r="AT57" s="449"/>
      <c r="AU57" s="449"/>
      <c r="AV57" s="449"/>
      <c r="AW57" s="449"/>
      <c r="AX57" s="449"/>
      <c r="AY57" s="449"/>
    </row>
    <row r="58" ht="39.75" customHeight="1">
      <c r="A58" s="385" t="s">
        <v>187</v>
      </c>
      <c r="B58" s="386" t="s">
        <v>188</v>
      </c>
      <c r="C58" s="387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91">
        <f t="shared" si="15"/>
        <v>0</v>
      </c>
      <c r="AB58" s="392">
        <f t="shared" si="16"/>
        <v>0</v>
      </c>
      <c r="AC58" s="404"/>
      <c r="AD58" s="404"/>
      <c r="AE58" s="404"/>
      <c r="AF58" s="404"/>
      <c r="AG58" s="449"/>
      <c r="AH58" s="449"/>
      <c r="AI58" s="449"/>
      <c r="AJ58" s="449"/>
      <c r="AK58" s="449"/>
      <c r="AL58" s="449"/>
      <c r="AM58" s="449"/>
      <c r="AN58" s="449"/>
      <c r="AO58" s="449"/>
      <c r="AP58" s="449"/>
      <c r="AQ58" s="449"/>
      <c r="AR58" s="449"/>
      <c r="AS58" s="449"/>
      <c r="AT58" s="449"/>
      <c r="AU58" s="449"/>
      <c r="AV58" s="449"/>
      <c r="AW58" s="449"/>
      <c r="AX58" s="449"/>
      <c r="AY58" s="449"/>
    </row>
    <row r="59" ht="39.75" customHeight="1">
      <c r="A59" s="385" t="s">
        <v>189</v>
      </c>
      <c r="B59" s="386" t="s">
        <v>190</v>
      </c>
      <c r="C59" s="388"/>
      <c r="D59" s="388"/>
      <c r="E59" s="389" t="s">
        <v>47</v>
      </c>
      <c r="F59" s="389"/>
      <c r="G59" s="389" t="s">
        <v>56</v>
      </c>
      <c r="H59" s="389"/>
      <c r="I59" s="389" t="s">
        <v>56</v>
      </c>
      <c r="J59" s="389"/>
      <c r="K59" s="389" t="s">
        <v>67</v>
      </c>
      <c r="L59" s="389"/>
      <c r="M59" s="389" t="s">
        <v>67</v>
      </c>
      <c r="N59" s="389"/>
      <c r="O59" s="389" t="s">
        <v>67</v>
      </c>
      <c r="P59" s="389"/>
      <c r="Q59" s="389"/>
      <c r="R59" s="389"/>
      <c r="S59" s="389" t="s">
        <v>67</v>
      </c>
      <c r="T59" s="389"/>
      <c r="U59" s="389" t="s">
        <v>67</v>
      </c>
      <c r="V59" s="389"/>
      <c r="W59" s="389" t="s">
        <v>67</v>
      </c>
      <c r="X59" s="389"/>
      <c r="Y59" s="389" t="s">
        <v>67</v>
      </c>
      <c r="Z59" s="389"/>
      <c r="AA59" s="391">
        <f t="shared" si="15"/>
        <v>10</v>
      </c>
      <c r="AB59" s="392">
        <f t="shared" si="16"/>
        <v>10</v>
      </c>
      <c r="AG59" s="449"/>
      <c r="AH59" s="449"/>
      <c r="AI59" s="449"/>
      <c r="AJ59" s="449"/>
      <c r="AK59" s="449"/>
      <c r="AL59" s="449"/>
      <c r="AM59" s="449"/>
      <c r="AN59" s="449"/>
      <c r="AO59" s="449"/>
      <c r="AP59" s="449"/>
      <c r="AQ59" s="449"/>
      <c r="AR59" s="449"/>
      <c r="AS59" s="449"/>
      <c r="AT59" s="449"/>
      <c r="AU59" s="449"/>
      <c r="AV59" s="449"/>
      <c r="AW59" s="449"/>
      <c r="AX59" s="449"/>
      <c r="AY59" s="449"/>
    </row>
    <row r="60" ht="39.75" customHeight="1">
      <c r="A60" s="385" t="s">
        <v>191</v>
      </c>
      <c r="B60" s="386" t="s">
        <v>192</v>
      </c>
      <c r="C60" s="388"/>
      <c r="D60" s="388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94"/>
      <c r="X60" s="389"/>
      <c r="Y60" s="389"/>
      <c r="Z60" s="389"/>
      <c r="AA60" s="391">
        <f t="shared" si="15"/>
        <v>0</v>
      </c>
      <c r="AB60" s="392">
        <f t="shared" si="16"/>
        <v>0</v>
      </c>
      <c r="AC60" s="404"/>
      <c r="AD60" s="404"/>
      <c r="AE60" s="404"/>
      <c r="AF60" s="404"/>
      <c r="AG60" s="449"/>
      <c r="AH60" s="449"/>
      <c r="AI60" s="449"/>
      <c r="AJ60" s="449"/>
      <c r="AK60" s="449"/>
      <c r="AL60" s="449"/>
      <c r="AM60" s="449"/>
      <c r="AN60" s="449"/>
      <c r="AO60" s="449"/>
      <c r="AP60" s="449"/>
      <c r="AQ60" s="449"/>
      <c r="AR60" s="449"/>
      <c r="AS60" s="449"/>
      <c r="AT60" s="449"/>
      <c r="AU60" s="449"/>
      <c r="AV60" s="449"/>
      <c r="AW60" s="449"/>
      <c r="AX60" s="449"/>
      <c r="AY60" s="449"/>
    </row>
    <row r="61" ht="39.75" customHeight="1">
      <c r="A61" s="395" t="s">
        <v>193</v>
      </c>
      <c r="B61" s="396" t="s">
        <v>194</v>
      </c>
      <c r="C61" s="397"/>
      <c r="D61" s="398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401"/>
      <c r="AC61" s="404"/>
      <c r="AD61" s="404"/>
      <c r="AE61" s="404"/>
      <c r="AF61" s="404"/>
      <c r="AG61" s="449"/>
      <c r="AH61" s="449"/>
      <c r="AI61" s="449"/>
      <c r="AJ61" s="449"/>
      <c r="AK61" s="449"/>
      <c r="AL61" s="449"/>
      <c r="AM61" s="449"/>
      <c r="AN61" s="449"/>
      <c r="AO61" s="449"/>
      <c r="AP61" s="449"/>
      <c r="AQ61" s="449"/>
      <c r="AR61" s="449"/>
      <c r="AS61" s="449"/>
      <c r="AT61" s="449"/>
      <c r="AU61" s="449"/>
      <c r="AV61" s="449"/>
      <c r="AW61" s="449"/>
      <c r="AX61" s="449"/>
      <c r="AY61" s="449"/>
    </row>
    <row r="62" ht="39.75" customHeight="1">
      <c r="A62" s="414" t="s">
        <v>195</v>
      </c>
      <c r="B62" s="415" t="s">
        <v>196</v>
      </c>
      <c r="C62" s="387"/>
      <c r="D62" s="388"/>
      <c r="E62" s="389"/>
      <c r="F62" s="389"/>
      <c r="G62" s="394"/>
      <c r="H62" s="389"/>
      <c r="I62" s="394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94"/>
      <c r="X62" s="389"/>
      <c r="Y62" s="389"/>
      <c r="Z62" s="389"/>
      <c r="AA62" s="391"/>
      <c r="AB62" s="392"/>
      <c r="AG62" s="449"/>
      <c r="AH62" s="449"/>
      <c r="AI62" s="449"/>
      <c r="AJ62" s="449"/>
      <c r="AK62" s="449"/>
      <c r="AL62" s="449"/>
      <c r="AM62" s="449"/>
      <c r="AN62" s="449"/>
      <c r="AO62" s="449"/>
      <c r="AP62" s="449"/>
      <c r="AQ62" s="449"/>
      <c r="AR62" s="449"/>
      <c r="AS62" s="449"/>
      <c r="AT62" s="449"/>
      <c r="AU62" s="449"/>
      <c r="AV62" s="449"/>
      <c r="AW62" s="449"/>
      <c r="AX62" s="449"/>
      <c r="AY62" s="449"/>
    </row>
    <row r="63" ht="39.75" customHeight="1">
      <c r="A63" s="411" t="s">
        <v>197</v>
      </c>
      <c r="B63" s="412" t="s">
        <v>139</v>
      </c>
      <c r="C63" s="387" t="s">
        <v>68</v>
      </c>
      <c r="D63" s="388"/>
      <c r="E63" s="389" t="s">
        <v>75</v>
      </c>
      <c r="F63" s="389"/>
      <c r="G63" s="389" t="s">
        <v>37</v>
      </c>
      <c r="H63" s="389"/>
      <c r="I63" s="389" t="s">
        <v>37</v>
      </c>
      <c r="J63" s="389"/>
      <c r="K63" s="389" t="s">
        <v>37</v>
      </c>
      <c r="L63" s="389"/>
      <c r="M63" s="389" t="s">
        <v>37</v>
      </c>
      <c r="N63" s="389"/>
      <c r="O63" s="389" t="s">
        <v>37</v>
      </c>
      <c r="P63" s="389"/>
      <c r="Q63" s="389" t="s">
        <v>68</v>
      </c>
      <c r="R63" s="389"/>
      <c r="S63" s="389" t="s">
        <v>37</v>
      </c>
      <c r="T63" s="389"/>
      <c r="U63" s="389" t="s">
        <v>37</v>
      </c>
      <c r="V63" s="389"/>
      <c r="W63" s="389" t="s">
        <v>75</v>
      </c>
      <c r="X63" s="389"/>
      <c r="Y63" s="389" t="s">
        <v>75</v>
      </c>
      <c r="Z63" s="389"/>
      <c r="AA63" s="391">
        <f>COUNTIF(C63:Z63,"&gt;=R")</f>
        <v>12</v>
      </c>
      <c r="AB63" s="392">
        <f>AA63</f>
        <v>12</v>
      </c>
      <c r="AC63" s="404"/>
      <c r="AD63" s="404"/>
      <c r="AE63" s="404"/>
      <c r="AF63" s="404"/>
      <c r="AG63" s="449"/>
      <c r="AH63" s="449"/>
      <c r="AI63" s="449"/>
      <c r="AJ63" s="449"/>
      <c r="AK63" s="449"/>
      <c r="AL63" s="449"/>
      <c r="AM63" s="449"/>
      <c r="AN63" s="449"/>
      <c r="AO63" s="449"/>
      <c r="AP63" s="449"/>
      <c r="AQ63" s="449"/>
      <c r="AR63" s="449"/>
      <c r="AS63" s="449"/>
      <c r="AT63" s="449"/>
      <c r="AU63" s="449"/>
      <c r="AV63" s="449"/>
      <c r="AW63" s="449"/>
      <c r="AX63" s="449"/>
      <c r="AY63" s="449"/>
    </row>
    <row r="64" ht="39.75" customHeight="1">
      <c r="A64" s="414" t="s">
        <v>198</v>
      </c>
      <c r="B64" s="415" t="s">
        <v>199</v>
      </c>
      <c r="C64" s="387"/>
      <c r="D64" s="388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91"/>
      <c r="AB64" s="392"/>
      <c r="AC64" s="404"/>
      <c r="AD64" s="404"/>
      <c r="AE64" s="404"/>
      <c r="AF64" s="404"/>
      <c r="AG64" s="449"/>
      <c r="AH64" s="449"/>
      <c r="AI64" s="449"/>
      <c r="AJ64" s="449"/>
      <c r="AK64" s="449"/>
      <c r="AL64" s="449"/>
      <c r="AM64" s="449"/>
      <c r="AN64" s="449"/>
      <c r="AO64" s="449"/>
      <c r="AP64" s="449"/>
      <c r="AQ64" s="449"/>
      <c r="AR64" s="449"/>
      <c r="AS64" s="449"/>
      <c r="AT64" s="449"/>
      <c r="AU64" s="449"/>
      <c r="AV64" s="449"/>
      <c r="AW64" s="449"/>
      <c r="AX64" s="449"/>
      <c r="AY64" s="449"/>
    </row>
    <row r="65" ht="39.75" customHeight="1">
      <c r="A65" s="411" t="s">
        <v>200</v>
      </c>
      <c r="B65" s="412" t="s">
        <v>176</v>
      </c>
      <c r="C65" s="387"/>
      <c r="D65" s="388"/>
      <c r="E65" s="387" t="s">
        <v>76</v>
      </c>
      <c r="F65" s="389"/>
      <c r="G65" s="394" t="s">
        <v>67</v>
      </c>
      <c r="H65" s="389"/>
      <c r="I65" s="389" t="s">
        <v>76</v>
      </c>
      <c r="J65" s="389"/>
      <c r="K65" s="389" t="s">
        <v>28</v>
      </c>
      <c r="L65" s="389"/>
      <c r="M65" s="389" t="s">
        <v>28</v>
      </c>
      <c r="N65" s="389"/>
      <c r="O65" s="389" t="s">
        <v>28</v>
      </c>
      <c r="P65" s="389"/>
      <c r="Q65" s="389"/>
      <c r="R65" s="389"/>
      <c r="S65" s="389" t="s">
        <v>28</v>
      </c>
      <c r="T65" s="389"/>
      <c r="U65" s="394" t="s">
        <v>76</v>
      </c>
      <c r="V65" s="389"/>
      <c r="W65" s="394" t="s">
        <v>76</v>
      </c>
      <c r="X65" s="389"/>
      <c r="Y65" s="389" t="s">
        <v>76</v>
      </c>
      <c r="Z65" s="389"/>
      <c r="AA65" s="391">
        <f>COUNTIF(C65:Z65,"&gt;=R")</f>
        <v>10</v>
      </c>
      <c r="AB65" s="392">
        <f>AA65</f>
        <v>10</v>
      </c>
      <c r="AG65" s="449"/>
      <c r="AH65" s="449"/>
      <c r="AI65" s="449"/>
      <c r="AJ65" s="449"/>
      <c r="AK65" s="449"/>
      <c r="AL65" s="449"/>
      <c r="AM65" s="449"/>
      <c r="AN65" s="449"/>
      <c r="AO65" s="449"/>
      <c r="AP65" s="449"/>
      <c r="AQ65" s="449"/>
      <c r="AR65" s="449"/>
      <c r="AS65" s="449"/>
      <c r="AT65" s="449"/>
      <c r="AU65" s="449"/>
      <c r="AV65" s="449"/>
      <c r="AW65" s="449"/>
      <c r="AX65" s="449"/>
      <c r="AY65" s="449"/>
    </row>
    <row r="66" ht="39.75" customHeight="1">
      <c r="A66" s="414" t="s">
        <v>201</v>
      </c>
      <c r="B66" s="415" t="s">
        <v>202</v>
      </c>
      <c r="C66" s="387"/>
      <c r="D66" s="388"/>
      <c r="E66" s="389"/>
      <c r="F66" s="389"/>
      <c r="G66" s="394"/>
      <c r="H66" s="389"/>
      <c r="I66" s="394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91"/>
      <c r="AB66" s="392"/>
      <c r="AG66" s="449"/>
      <c r="AH66" s="449"/>
      <c r="AI66" s="449"/>
      <c r="AJ66" s="449"/>
      <c r="AK66" s="449"/>
      <c r="AL66" s="449"/>
      <c r="AM66" s="449"/>
      <c r="AN66" s="449"/>
      <c r="AO66" s="449"/>
      <c r="AP66" s="449"/>
      <c r="AQ66" s="449"/>
      <c r="AR66" s="449"/>
      <c r="AS66" s="449"/>
      <c r="AT66" s="449"/>
      <c r="AU66" s="449"/>
      <c r="AV66" s="449"/>
      <c r="AW66" s="449"/>
      <c r="AX66" s="449"/>
      <c r="AY66" s="449"/>
    </row>
    <row r="67" ht="39.75" customHeight="1">
      <c r="A67" s="411" t="s">
        <v>203</v>
      </c>
      <c r="B67" s="412" t="s">
        <v>204</v>
      </c>
      <c r="C67" s="387"/>
      <c r="D67" s="388"/>
      <c r="E67" s="389" t="s">
        <v>76</v>
      </c>
      <c r="F67" s="389"/>
      <c r="G67" s="418" t="s">
        <v>84</v>
      </c>
      <c r="H67" s="389"/>
      <c r="I67" s="418" t="s">
        <v>84</v>
      </c>
      <c r="J67" s="389"/>
      <c r="K67" s="418" t="s">
        <v>84</v>
      </c>
      <c r="L67" s="389"/>
      <c r="M67" s="418" t="s">
        <v>84</v>
      </c>
      <c r="N67" s="389"/>
      <c r="O67" s="418" t="s">
        <v>84</v>
      </c>
      <c r="P67" s="389"/>
      <c r="Q67" s="394"/>
      <c r="R67" s="389"/>
      <c r="S67" s="419" t="s">
        <v>84</v>
      </c>
      <c r="T67" s="389"/>
      <c r="U67" s="419" t="s">
        <v>84</v>
      </c>
      <c r="V67" s="389"/>
      <c r="W67" s="394" t="s">
        <v>76</v>
      </c>
      <c r="X67" s="389"/>
      <c r="Y67" s="389" t="s">
        <v>76</v>
      </c>
      <c r="Z67" s="389"/>
      <c r="AA67" s="391">
        <f>COUNTIF(C67:Z67,"&gt;=R")</f>
        <v>10</v>
      </c>
      <c r="AB67" s="392">
        <f>AA67</f>
        <v>10</v>
      </c>
      <c r="AG67" s="449"/>
      <c r="AH67" s="449"/>
      <c r="AI67" s="449"/>
      <c r="AJ67" s="449"/>
      <c r="AK67" s="449"/>
      <c r="AL67" s="449"/>
      <c r="AM67" s="449"/>
      <c r="AN67" s="449"/>
      <c r="AO67" s="449"/>
      <c r="AP67" s="449"/>
      <c r="AQ67" s="449"/>
      <c r="AR67" s="449"/>
      <c r="AS67" s="449"/>
      <c r="AT67" s="449"/>
      <c r="AU67" s="449"/>
      <c r="AV67" s="449"/>
      <c r="AW67" s="449"/>
      <c r="AX67" s="449"/>
      <c r="AY67" s="449"/>
    </row>
    <row r="68" ht="39.75" customHeight="1">
      <c r="A68" s="395" t="s">
        <v>205</v>
      </c>
      <c r="B68" s="396" t="s">
        <v>206</v>
      </c>
      <c r="C68" s="397"/>
      <c r="D68" s="398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401"/>
      <c r="AC68" s="404"/>
      <c r="AD68" s="404"/>
      <c r="AE68" s="404"/>
      <c r="AF68" s="404"/>
      <c r="AG68" s="449"/>
      <c r="AH68" s="449"/>
      <c r="AI68" s="449"/>
      <c r="AJ68" s="449"/>
      <c r="AK68" s="449"/>
      <c r="AL68" s="449"/>
      <c r="AM68" s="449"/>
      <c r="AN68" s="449"/>
      <c r="AO68" s="449"/>
      <c r="AP68" s="449"/>
      <c r="AQ68" s="449"/>
      <c r="AR68" s="449"/>
      <c r="AS68" s="449"/>
      <c r="AT68" s="449"/>
      <c r="AU68" s="449"/>
      <c r="AV68" s="449"/>
      <c r="AW68" s="449"/>
      <c r="AX68" s="449"/>
      <c r="AY68" s="449"/>
    </row>
    <row r="69" ht="39.75" customHeight="1">
      <c r="A69" s="385" t="s">
        <v>207</v>
      </c>
      <c r="B69" s="386" t="s">
        <v>208</v>
      </c>
      <c r="C69" s="388"/>
      <c r="D69" s="388"/>
      <c r="E69" s="389" t="s">
        <v>47</v>
      </c>
      <c r="F69" s="389"/>
      <c r="G69" s="389" t="s">
        <v>56</v>
      </c>
      <c r="H69" s="389"/>
      <c r="I69" s="389" t="s">
        <v>56</v>
      </c>
      <c r="J69" s="389"/>
      <c r="K69" s="389" t="s">
        <v>67</v>
      </c>
      <c r="L69" s="389"/>
      <c r="M69" s="389" t="s">
        <v>67</v>
      </c>
      <c r="N69" s="389"/>
      <c r="O69" s="389" t="s">
        <v>67</v>
      </c>
      <c r="P69" s="389"/>
      <c r="Q69" s="389"/>
      <c r="R69" s="389"/>
      <c r="S69" s="389" t="s">
        <v>67</v>
      </c>
      <c r="T69" s="389"/>
      <c r="U69" s="389" t="s">
        <v>67</v>
      </c>
      <c r="V69" s="389"/>
      <c r="W69" s="389" t="s">
        <v>67</v>
      </c>
      <c r="X69" s="389"/>
      <c r="Y69" s="389" t="s">
        <v>67</v>
      </c>
      <c r="Z69" s="389"/>
      <c r="AA69" s="391">
        <f>COUNTIF(C69:Z69,"&gt;=R")</f>
        <v>10</v>
      </c>
      <c r="AB69" s="392">
        <f>AA69</f>
        <v>10</v>
      </c>
      <c r="AG69" s="449"/>
      <c r="AH69" s="449"/>
      <c r="AI69" s="449"/>
      <c r="AJ69" s="449"/>
      <c r="AK69" s="449"/>
      <c r="AL69" s="449"/>
      <c r="AM69" s="449"/>
      <c r="AN69" s="449"/>
      <c r="AO69" s="449"/>
      <c r="AP69" s="449"/>
      <c r="AQ69" s="449"/>
      <c r="AR69" s="449"/>
      <c r="AS69" s="449"/>
      <c r="AT69" s="449"/>
      <c r="AU69" s="449"/>
      <c r="AV69" s="449"/>
      <c r="AW69" s="449"/>
      <c r="AX69" s="449"/>
      <c r="AY69" s="449"/>
    </row>
    <row r="70" ht="39.75" customHeight="1">
      <c r="A70" s="395" t="s">
        <v>209</v>
      </c>
      <c r="B70" s="396" t="s">
        <v>210</v>
      </c>
      <c r="C70" s="397"/>
      <c r="D70" s="398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401"/>
      <c r="AG70" s="449"/>
      <c r="AH70" s="449"/>
      <c r="AI70" s="449"/>
      <c r="AJ70" s="449"/>
      <c r="AK70" s="449"/>
      <c r="AL70" s="449"/>
      <c r="AM70" s="449"/>
      <c r="AN70" s="449"/>
      <c r="AO70" s="449"/>
      <c r="AP70" s="449"/>
      <c r="AQ70" s="449"/>
      <c r="AR70" s="449"/>
      <c r="AS70" s="449"/>
      <c r="AT70" s="449"/>
      <c r="AU70" s="449"/>
      <c r="AV70" s="449"/>
      <c r="AW70" s="449"/>
      <c r="AX70" s="449"/>
      <c r="AY70" s="449"/>
    </row>
    <row r="71" ht="39.75" customHeight="1">
      <c r="A71" s="385" t="s">
        <v>211</v>
      </c>
      <c r="B71" s="386" t="s">
        <v>212</v>
      </c>
      <c r="C71" s="387"/>
      <c r="D71" s="388"/>
      <c r="E71" s="389"/>
      <c r="F71" s="389"/>
      <c r="G71" s="389" t="s">
        <v>76</v>
      </c>
      <c r="H71" s="389"/>
      <c r="I71" s="389" t="s">
        <v>76</v>
      </c>
      <c r="J71" s="389"/>
      <c r="K71" s="389" t="s">
        <v>76</v>
      </c>
      <c r="L71" s="389"/>
      <c r="M71" s="389" t="s">
        <v>76</v>
      </c>
      <c r="N71" s="389"/>
      <c r="O71" s="389" t="s">
        <v>76</v>
      </c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91">
        <f t="shared" ref="AA71:AA72" si="17">COUNTIF(C71:Z71,"&gt;=R")</f>
        <v>5</v>
      </c>
      <c r="AB71" s="392">
        <f t="shared" ref="AB71:AB72" si="18">AA71</f>
        <v>5</v>
      </c>
      <c r="AG71" s="449"/>
      <c r="AH71" s="449"/>
      <c r="AI71" s="449"/>
      <c r="AJ71" s="449"/>
      <c r="AK71" s="449"/>
      <c r="AL71" s="449"/>
      <c r="AM71" s="449"/>
      <c r="AN71" s="449"/>
      <c r="AO71" s="449"/>
      <c r="AP71" s="449"/>
      <c r="AQ71" s="449"/>
      <c r="AR71" s="449"/>
      <c r="AS71" s="449"/>
      <c r="AT71" s="449"/>
      <c r="AU71" s="449"/>
      <c r="AV71" s="449"/>
      <c r="AW71" s="449"/>
      <c r="AX71" s="449"/>
      <c r="AY71" s="449"/>
    </row>
    <row r="72" ht="39.75" customHeight="1">
      <c r="A72" s="385" t="s">
        <v>213</v>
      </c>
      <c r="B72" s="386" t="s">
        <v>214</v>
      </c>
      <c r="C72" s="387"/>
      <c r="D72" s="388"/>
      <c r="E72" s="394" t="s">
        <v>28</v>
      </c>
      <c r="F72" s="389"/>
      <c r="G72" s="389" t="s">
        <v>48</v>
      </c>
      <c r="H72" s="389"/>
      <c r="I72" s="389" t="s">
        <v>48</v>
      </c>
      <c r="J72" s="389"/>
      <c r="K72" s="389" t="s">
        <v>48</v>
      </c>
      <c r="L72" s="389"/>
      <c r="M72" s="394" t="s">
        <v>57</v>
      </c>
      <c r="N72" s="389"/>
      <c r="O72" s="389" t="s">
        <v>57</v>
      </c>
      <c r="P72" s="389"/>
      <c r="Q72" s="389"/>
      <c r="R72" s="389"/>
      <c r="S72" s="389" t="s">
        <v>38</v>
      </c>
      <c r="T72" s="389"/>
      <c r="U72" s="389" t="s">
        <v>38</v>
      </c>
      <c r="V72" s="389"/>
      <c r="W72" s="389" t="s">
        <v>38</v>
      </c>
      <c r="X72" s="389"/>
      <c r="Y72" s="389" t="s">
        <v>38</v>
      </c>
      <c r="Z72" s="389"/>
      <c r="AA72" s="391">
        <f t="shared" si="17"/>
        <v>10</v>
      </c>
      <c r="AB72" s="392">
        <f t="shared" si="18"/>
        <v>10</v>
      </c>
      <c r="AG72" s="449"/>
      <c r="AH72" s="449"/>
      <c r="AI72" s="449"/>
      <c r="AJ72" s="449"/>
      <c r="AK72" s="449"/>
      <c r="AL72" s="449"/>
      <c r="AM72" s="449"/>
      <c r="AN72" s="449"/>
      <c r="AO72" s="449"/>
      <c r="AP72" s="449"/>
      <c r="AQ72" s="449"/>
      <c r="AR72" s="449"/>
      <c r="AS72" s="449"/>
      <c r="AT72" s="449"/>
      <c r="AU72" s="449"/>
      <c r="AV72" s="449"/>
      <c r="AW72" s="449"/>
      <c r="AX72" s="449"/>
      <c r="AY72" s="449"/>
    </row>
    <row r="73" ht="39.75" customHeight="1">
      <c r="A73" s="395" t="s">
        <v>215</v>
      </c>
      <c r="B73" s="396" t="s">
        <v>216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401"/>
      <c r="AC73" s="404"/>
      <c r="AD73" s="404"/>
      <c r="AE73" s="404"/>
      <c r="AF73" s="404"/>
      <c r="AG73" s="449"/>
      <c r="AH73" s="449"/>
      <c r="AI73" s="449"/>
      <c r="AJ73" s="449"/>
      <c r="AK73" s="449"/>
      <c r="AL73" s="449"/>
      <c r="AM73" s="449"/>
      <c r="AN73" s="449"/>
      <c r="AO73" s="449"/>
      <c r="AP73" s="449"/>
      <c r="AQ73" s="449"/>
      <c r="AR73" s="449"/>
      <c r="AS73" s="449"/>
      <c r="AT73" s="449"/>
      <c r="AU73" s="449"/>
      <c r="AV73" s="449"/>
      <c r="AW73" s="449"/>
      <c r="AX73" s="449"/>
      <c r="AY73" s="449"/>
    </row>
    <row r="74" ht="39.75" customHeight="1">
      <c r="A74" s="385" t="s">
        <v>217</v>
      </c>
      <c r="B74" s="386" t="s">
        <v>218</v>
      </c>
      <c r="C74" s="387"/>
      <c r="D74" s="388"/>
      <c r="E74" s="420" t="s">
        <v>8</v>
      </c>
      <c r="F74" s="389"/>
      <c r="G74" s="387" t="s">
        <v>85</v>
      </c>
      <c r="H74" s="389"/>
      <c r="I74" s="387" t="s">
        <v>85</v>
      </c>
      <c r="J74" s="389"/>
      <c r="K74" s="389" t="s">
        <v>85</v>
      </c>
      <c r="L74" s="389"/>
      <c r="M74" s="389" t="s">
        <v>85</v>
      </c>
      <c r="N74" s="389"/>
      <c r="O74" s="389" t="s">
        <v>85</v>
      </c>
      <c r="P74" s="389"/>
      <c r="Q74" s="389"/>
      <c r="R74" s="389"/>
      <c r="S74" s="417" t="s">
        <v>8</v>
      </c>
      <c r="T74" s="394"/>
      <c r="U74" s="417" t="s">
        <v>8</v>
      </c>
      <c r="V74" s="394"/>
      <c r="W74" s="417" t="s">
        <v>8</v>
      </c>
      <c r="X74" s="394"/>
      <c r="Y74" s="416" t="s">
        <v>8</v>
      </c>
      <c r="Z74" s="394"/>
      <c r="AA74" s="391">
        <f>COUNTIF(C74:Z74,"&gt;=R")</f>
        <v>10</v>
      </c>
      <c r="AB74" s="392">
        <f>AA74</f>
        <v>10</v>
      </c>
      <c r="AG74" s="449"/>
      <c r="AH74" s="449"/>
      <c r="AI74" s="449"/>
      <c r="AJ74" s="449"/>
      <c r="AK74" s="449"/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9"/>
      <c r="AX74" s="449"/>
      <c r="AY74" s="449"/>
    </row>
    <row r="75" ht="39.75" customHeight="1">
      <c r="A75" s="395" t="s">
        <v>219</v>
      </c>
      <c r="B75" s="396" t="s">
        <v>220</v>
      </c>
      <c r="C75" s="397"/>
      <c r="D75" s="398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401"/>
      <c r="AC75" s="404"/>
      <c r="AD75" s="404"/>
      <c r="AE75" s="404"/>
      <c r="AF75" s="404"/>
      <c r="AG75" s="449"/>
      <c r="AH75" s="449"/>
      <c r="AI75" s="449"/>
      <c r="AJ75" s="449"/>
      <c r="AK75" s="449"/>
      <c r="AL75" s="449"/>
      <c r="AM75" s="449"/>
      <c r="AN75" s="449"/>
      <c r="AO75" s="449"/>
      <c r="AP75" s="449"/>
      <c r="AQ75" s="449"/>
      <c r="AR75" s="449"/>
      <c r="AS75" s="449"/>
      <c r="AT75" s="449"/>
      <c r="AU75" s="449"/>
      <c r="AV75" s="449"/>
      <c r="AW75" s="449"/>
      <c r="AX75" s="449"/>
      <c r="AY75" s="449"/>
    </row>
    <row r="76" ht="39.75" customHeight="1">
      <c r="A76" s="385" t="s">
        <v>221</v>
      </c>
      <c r="B76" s="386" t="s">
        <v>222</v>
      </c>
      <c r="C76" s="388"/>
      <c r="D76" s="388"/>
      <c r="E76" s="389" t="s">
        <v>75</v>
      </c>
      <c r="F76" s="389"/>
      <c r="G76" s="389" t="s">
        <v>91</v>
      </c>
      <c r="H76" s="389"/>
      <c r="I76" s="389" t="s">
        <v>91</v>
      </c>
      <c r="J76" s="389"/>
      <c r="K76" s="389" t="s">
        <v>75</v>
      </c>
      <c r="L76" s="389"/>
      <c r="M76" s="389" t="s">
        <v>75</v>
      </c>
      <c r="N76" s="389"/>
      <c r="O76" s="389" t="s">
        <v>75</v>
      </c>
      <c r="P76" s="389"/>
      <c r="Q76" s="389"/>
      <c r="R76" s="389"/>
      <c r="S76" s="389" t="s">
        <v>17</v>
      </c>
      <c r="T76" s="389"/>
      <c r="U76" s="389" t="s">
        <v>17</v>
      </c>
      <c r="V76" s="389"/>
      <c r="W76" s="389" t="s">
        <v>91</v>
      </c>
      <c r="X76" s="389"/>
      <c r="Y76" s="389" t="s">
        <v>91</v>
      </c>
      <c r="Z76" s="389"/>
      <c r="AA76" s="391">
        <f t="shared" ref="AA76:AA82" si="19">COUNTIF(C76:Z76,"&gt;=R")</f>
        <v>10</v>
      </c>
      <c r="AB76" s="392">
        <f t="shared" ref="AB76:AB82" si="20">AA76</f>
        <v>10</v>
      </c>
      <c r="AG76" s="449"/>
      <c r="AH76" s="449"/>
      <c r="AI76" s="449"/>
      <c r="AJ76" s="449"/>
      <c r="AK76" s="449"/>
      <c r="AL76" s="449"/>
      <c r="AM76" s="449"/>
      <c r="AN76" s="449"/>
      <c r="AO76" s="449"/>
      <c r="AP76" s="449"/>
      <c r="AQ76" s="449"/>
      <c r="AR76" s="449"/>
      <c r="AS76" s="449"/>
      <c r="AT76" s="449"/>
      <c r="AU76" s="449"/>
      <c r="AV76" s="449"/>
      <c r="AW76" s="449"/>
      <c r="AX76" s="449"/>
      <c r="AY76" s="449"/>
    </row>
    <row r="77" ht="39.75" customHeight="1">
      <c r="A77" s="407" t="s">
        <v>223</v>
      </c>
      <c r="B77" s="408" t="s">
        <v>224</v>
      </c>
      <c r="C77" s="387"/>
      <c r="D77" s="388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91">
        <f t="shared" si="19"/>
        <v>0</v>
      </c>
      <c r="AB77" s="392">
        <f t="shared" si="20"/>
        <v>0</v>
      </c>
      <c r="AG77" s="449"/>
      <c r="AH77" s="449"/>
      <c r="AI77" s="449"/>
      <c r="AJ77" s="449"/>
      <c r="AK77" s="449"/>
      <c r="AL77" s="449"/>
      <c r="AM77" s="449"/>
      <c r="AN77" s="449"/>
      <c r="AO77" s="449"/>
      <c r="AP77" s="449"/>
      <c r="AQ77" s="449"/>
      <c r="AR77" s="449"/>
      <c r="AS77" s="449"/>
      <c r="AT77" s="449"/>
      <c r="AU77" s="449"/>
      <c r="AV77" s="449"/>
      <c r="AW77" s="449"/>
      <c r="AX77" s="449"/>
      <c r="AY77" s="449"/>
    </row>
    <row r="78" ht="39.75" customHeight="1">
      <c r="A78" s="385" t="s">
        <v>225</v>
      </c>
      <c r="B78" s="386" t="s">
        <v>226</v>
      </c>
      <c r="C78" s="387"/>
      <c r="D78" s="388"/>
      <c r="E78" s="961" t="s">
        <v>75</v>
      </c>
      <c r="F78" s="389"/>
      <c r="G78" s="860" t="s">
        <v>91</v>
      </c>
      <c r="H78" s="389"/>
      <c r="I78" s="389" t="s">
        <v>91</v>
      </c>
      <c r="J78" s="389"/>
      <c r="K78" s="389" t="s">
        <v>75</v>
      </c>
      <c r="L78" s="389"/>
      <c r="M78" s="389" t="s">
        <v>75</v>
      </c>
      <c r="N78" s="389"/>
      <c r="O78" s="389" t="s">
        <v>75</v>
      </c>
      <c r="P78" s="389"/>
      <c r="Q78" s="389"/>
      <c r="R78" s="389"/>
      <c r="S78" s="389" t="s">
        <v>17</v>
      </c>
      <c r="T78" s="389"/>
      <c r="U78" s="389" t="s">
        <v>17</v>
      </c>
      <c r="V78" s="389"/>
      <c r="W78" s="389" t="s">
        <v>91</v>
      </c>
      <c r="X78" s="389"/>
      <c r="Y78" s="389" t="s">
        <v>91</v>
      </c>
      <c r="Z78" s="389"/>
      <c r="AA78" s="391">
        <f t="shared" si="19"/>
        <v>10</v>
      </c>
      <c r="AB78" s="392">
        <f t="shared" si="20"/>
        <v>10</v>
      </c>
      <c r="AG78" s="449"/>
      <c r="AH78" s="449"/>
      <c r="AI78" s="449"/>
      <c r="AJ78" s="449"/>
      <c r="AK78" s="449"/>
      <c r="AL78" s="449"/>
      <c r="AM78" s="449"/>
      <c r="AN78" s="449"/>
      <c r="AO78" s="449"/>
      <c r="AP78" s="449"/>
      <c r="AQ78" s="449"/>
      <c r="AR78" s="449"/>
      <c r="AS78" s="449"/>
      <c r="AT78" s="449"/>
      <c r="AU78" s="449"/>
      <c r="AV78" s="449"/>
      <c r="AW78" s="449"/>
      <c r="AX78" s="449"/>
      <c r="AY78" s="449"/>
    </row>
    <row r="79" ht="39.75" customHeight="1">
      <c r="A79" s="385" t="s">
        <v>227</v>
      </c>
      <c r="B79" s="386" t="s">
        <v>228</v>
      </c>
      <c r="C79" s="387"/>
      <c r="D79" s="388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7"/>
      <c r="R79" s="389"/>
      <c r="S79" s="387"/>
      <c r="T79" s="389"/>
      <c r="U79" s="387"/>
      <c r="V79" s="389"/>
      <c r="W79" s="387"/>
      <c r="X79" s="389"/>
      <c r="Y79" s="389"/>
      <c r="Z79" s="389"/>
      <c r="AA79" s="391">
        <f t="shared" si="19"/>
        <v>0</v>
      </c>
      <c r="AB79" s="392">
        <f t="shared" si="20"/>
        <v>0</v>
      </c>
      <c r="AC79" s="404"/>
      <c r="AD79" s="404"/>
      <c r="AE79" s="404"/>
      <c r="AF79" s="404"/>
      <c r="AG79" s="449"/>
      <c r="AH79" s="449"/>
      <c r="AI79" s="449"/>
      <c r="AJ79" s="449"/>
      <c r="AK79" s="449"/>
      <c r="AL79" s="449"/>
      <c r="AM79" s="449"/>
      <c r="AN79" s="449"/>
      <c r="AO79" s="449"/>
      <c r="AP79" s="449"/>
      <c r="AQ79" s="449"/>
      <c r="AR79" s="449"/>
      <c r="AS79" s="449"/>
      <c r="AT79" s="449"/>
      <c r="AU79" s="449"/>
      <c r="AV79" s="449"/>
      <c r="AW79" s="449"/>
      <c r="AX79" s="449"/>
      <c r="AY79" s="449"/>
    </row>
    <row r="80" ht="39.75" customHeight="1">
      <c r="A80" s="385" t="s">
        <v>229</v>
      </c>
      <c r="B80" s="386" t="s">
        <v>230</v>
      </c>
      <c r="C80" s="387"/>
      <c r="D80" s="388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7"/>
      <c r="R80" s="389"/>
      <c r="S80" s="387"/>
      <c r="T80" s="389"/>
      <c r="U80" s="387"/>
      <c r="V80" s="389"/>
      <c r="W80" s="387"/>
      <c r="X80" s="389"/>
      <c r="Y80" s="389"/>
      <c r="Z80" s="389"/>
      <c r="AA80" s="391">
        <f t="shared" si="19"/>
        <v>0</v>
      </c>
      <c r="AB80" s="392">
        <f t="shared" si="20"/>
        <v>0</v>
      </c>
      <c r="AG80" s="449"/>
      <c r="AH80" s="449"/>
      <c r="AI80" s="449"/>
      <c r="AJ80" s="449"/>
      <c r="AK80" s="449"/>
      <c r="AL80" s="449"/>
      <c r="AM80" s="449"/>
      <c r="AN80" s="449"/>
      <c r="AO80" s="449"/>
      <c r="AP80" s="449"/>
      <c r="AQ80" s="449"/>
      <c r="AR80" s="449"/>
      <c r="AS80" s="449"/>
      <c r="AT80" s="449"/>
      <c r="AU80" s="449"/>
      <c r="AV80" s="449"/>
      <c r="AW80" s="449"/>
      <c r="AX80" s="449"/>
      <c r="AY80" s="449"/>
    </row>
    <row r="81" ht="39.75" customHeight="1">
      <c r="A81" s="385" t="s">
        <v>231</v>
      </c>
      <c r="B81" s="386" t="s">
        <v>232</v>
      </c>
      <c r="C81" s="387"/>
      <c r="D81" s="387"/>
      <c r="E81" s="389" t="s">
        <v>75</v>
      </c>
      <c r="F81" s="389"/>
      <c r="G81" s="389" t="s">
        <v>37</v>
      </c>
      <c r="H81" s="389"/>
      <c r="I81" s="389" t="s">
        <v>37</v>
      </c>
      <c r="J81" s="389"/>
      <c r="K81" s="389" t="s">
        <v>75</v>
      </c>
      <c r="L81" s="389"/>
      <c r="M81" s="389" t="s">
        <v>75</v>
      </c>
      <c r="N81" s="389"/>
      <c r="O81" s="389" t="s">
        <v>75</v>
      </c>
      <c r="P81" s="389"/>
      <c r="Q81" s="389"/>
      <c r="R81" s="389"/>
      <c r="S81" s="389" t="s">
        <v>17</v>
      </c>
      <c r="T81" s="389"/>
      <c r="U81" s="389" t="s">
        <v>17</v>
      </c>
      <c r="V81" s="389"/>
      <c r="W81" s="389" t="s">
        <v>37</v>
      </c>
      <c r="X81" s="389"/>
      <c r="Y81" s="389" t="s">
        <v>37</v>
      </c>
      <c r="Z81" s="389"/>
      <c r="AA81" s="391">
        <f t="shared" si="19"/>
        <v>10</v>
      </c>
      <c r="AB81" s="392">
        <f t="shared" si="20"/>
        <v>10</v>
      </c>
      <c r="AC81" s="404"/>
      <c r="AD81" s="404"/>
      <c r="AE81" s="404"/>
      <c r="AF81" s="404"/>
      <c r="AG81" s="449"/>
      <c r="AH81" s="449"/>
      <c r="AI81" s="449"/>
      <c r="AJ81" s="449"/>
      <c r="AK81" s="449"/>
      <c r="AL81" s="449"/>
      <c r="AM81" s="449"/>
      <c r="AN81" s="449"/>
      <c r="AO81" s="449"/>
      <c r="AP81" s="449"/>
      <c r="AQ81" s="449"/>
      <c r="AR81" s="449"/>
      <c r="AS81" s="449"/>
      <c r="AT81" s="449"/>
      <c r="AU81" s="449"/>
      <c r="AV81" s="449"/>
      <c r="AW81" s="449"/>
      <c r="AX81" s="449"/>
      <c r="AY81" s="449"/>
    </row>
    <row r="82" ht="39.75" customHeight="1">
      <c r="A82" s="404" t="s">
        <v>233</v>
      </c>
      <c r="B82" s="794" t="s">
        <v>234</v>
      </c>
      <c r="C82" s="387"/>
      <c r="D82" s="388"/>
      <c r="E82" s="389" t="s">
        <v>75</v>
      </c>
      <c r="F82" s="389"/>
      <c r="G82" s="389" t="s">
        <v>91</v>
      </c>
      <c r="H82" s="389"/>
      <c r="I82" s="389" t="s">
        <v>91</v>
      </c>
      <c r="J82" s="389"/>
      <c r="K82" s="389" t="s">
        <v>75</v>
      </c>
      <c r="L82" s="389"/>
      <c r="M82" s="389" t="s">
        <v>75</v>
      </c>
      <c r="N82" s="389"/>
      <c r="O82" s="389" t="s">
        <v>75</v>
      </c>
      <c r="P82" s="389"/>
      <c r="Q82" s="389"/>
      <c r="R82" s="389"/>
      <c r="S82" s="389" t="s">
        <v>17</v>
      </c>
      <c r="T82" s="389"/>
      <c r="U82" s="389" t="s">
        <v>17</v>
      </c>
      <c r="V82" s="389"/>
      <c r="W82" s="389" t="s">
        <v>91</v>
      </c>
      <c r="X82" s="389"/>
      <c r="Y82" s="389" t="s">
        <v>91</v>
      </c>
      <c r="Z82" s="389"/>
      <c r="AA82" s="391">
        <f t="shared" si="19"/>
        <v>10</v>
      </c>
      <c r="AB82" s="392">
        <f t="shared" si="20"/>
        <v>10</v>
      </c>
    </row>
    <row r="83" ht="39.75" customHeight="1">
      <c r="A83" s="395" t="s">
        <v>235</v>
      </c>
      <c r="B83" s="396" t="s">
        <v>236</v>
      </c>
      <c r="C83" s="397"/>
      <c r="D83" s="398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401"/>
      <c r="AG83" s="449"/>
      <c r="AH83" s="449"/>
      <c r="AI83" s="449"/>
      <c r="AJ83" s="449"/>
      <c r="AK83" s="449"/>
      <c r="AL83" s="449"/>
      <c r="AM83" s="449"/>
      <c r="AN83" s="449"/>
      <c r="AO83" s="449"/>
      <c r="AP83" s="449"/>
      <c r="AQ83" s="449"/>
      <c r="AR83" s="449"/>
      <c r="AS83" s="449"/>
      <c r="AT83" s="449"/>
      <c r="AU83" s="449"/>
      <c r="AV83" s="449"/>
      <c r="AW83" s="449"/>
      <c r="AX83" s="449"/>
      <c r="AY83" s="449"/>
    </row>
    <row r="84" ht="39.75" customHeight="1">
      <c r="A84" s="414" t="s">
        <v>237</v>
      </c>
      <c r="B84" s="415" t="s">
        <v>238</v>
      </c>
      <c r="C84" s="387"/>
      <c r="D84" s="387"/>
      <c r="E84" s="394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91"/>
      <c r="AB84" s="392"/>
      <c r="AG84" s="449"/>
      <c r="AH84" s="449"/>
      <c r="AI84" s="449"/>
      <c r="AJ84" s="449"/>
      <c r="AK84" s="449"/>
      <c r="AL84" s="449"/>
      <c r="AM84" s="449"/>
      <c r="AN84" s="449"/>
      <c r="AO84" s="449"/>
      <c r="AP84" s="449"/>
      <c r="AQ84" s="449"/>
      <c r="AR84" s="449"/>
      <c r="AS84" s="449"/>
      <c r="AT84" s="449"/>
      <c r="AU84" s="449"/>
      <c r="AV84" s="449"/>
      <c r="AW84" s="449"/>
      <c r="AX84" s="449"/>
      <c r="AY84" s="449"/>
    </row>
    <row r="85" ht="39.75" customHeight="1">
      <c r="A85" s="385" t="s">
        <v>239</v>
      </c>
      <c r="B85" s="386" t="s">
        <v>139</v>
      </c>
      <c r="C85" s="388"/>
      <c r="D85" s="387"/>
      <c r="E85" s="389" t="s">
        <v>28</v>
      </c>
      <c r="F85" s="389"/>
      <c r="G85" s="389" t="s">
        <v>48</v>
      </c>
      <c r="H85" s="389"/>
      <c r="I85" s="389" t="s">
        <v>48</v>
      </c>
      <c r="J85" s="389"/>
      <c r="K85" s="389" t="s">
        <v>48</v>
      </c>
      <c r="L85" s="389"/>
      <c r="M85" s="389"/>
      <c r="N85" s="389"/>
      <c r="O85" s="389"/>
      <c r="P85" s="389"/>
      <c r="Q85" s="389"/>
      <c r="R85" s="389"/>
      <c r="S85" s="389" t="s">
        <v>38</v>
      </c>
      <c r="T85" s="389"/>
      <c r="U85" s="389" t="s">
        <v>38</v>
      </c>
      <c r="V85" s="389"/>
      <c r="W85" s="389" t="s">
        <v>38</v>
      </c>
      <c r="X85" s="389"/>
      <c r="Y85" s="389" t="s">
        <v>38</v>
      </c>
      <c r="Z85" s="389"/>
      <c r="AA85" s="391">
        <f>COUNTIF(C85:Z85,"&gt;=R")</f>
        <v>8</v>
      </c>
      <c r="AB85" s="392">
        <f>AA85</f>
        <v>8</v>
      </c>
      <c r="AC85" s="404"/>
      <c r="AD85" s="404"/>
      <c r="AE85" s="404"/>
      <c r="AF85" s="404"/>
      <c r="AG85" s="449"/>
      <c r="AH85" s="449"/>
      <c r="AI85" s="449"/>
      <c r="AJ85" s="449"/>
      <c r="AK85" s="449"/>
      <c r="AL85" s="449"/>
      <c r="AM85" s="449"/>
      <c r="AN85" s="449"/>
      <c r="AO85" s="449"/>
      <c r="AP85" s="449"/>
      <c r="AQ85" s="449"/>
      <c r="AR85" s="449"/>
      <c r="AS85" s="449"/>
      <c r="AT85" s="449"/>
      <c r="AU85" s="449"/>
      <c r="AV85" s="449"/>
      <c r="AW85" s="449"/>
      <c r="AX85" s="449"/>
      <c r="AY85" s="449"/>
    </row>
    <row r="86" ht="39.75" customHeight="1">
      <c r="A86" s="414" t="s">
        <v>240</v>
      </c>
      <c r="B86" s="415" t="s">
        <v>241</v>
      </c>
      <c r="C86" s="387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91"/>
      <c r="AB86" s="392"/>
      <c r="AG86" s="449"/>
      <c r="AH86" s="449"/>
      <c r="AI86" s="449"/>
      <c r="AJ86" s="449"/>
      <c r="AK86" s="449"/>
      <c r="AL86" s="449"/>
      <c r="AM86" s="449"/>
      <c r="AN86" s="449"/>
      <c r="AO86" s="449"/>
      <c r="AP86" s="449"/>
      <c r="AQ86" s="449"/>
      <c r="AR86" s="449"/>
      <c r="AS86" s="449"/>
      <c r="AT86" s="449"/>
      <c r="AU86" s="449"/>
      <c r="AV86" s="449"/>
      <c r="AW86" s="449"/>
      <c r="AX86" s="449"/>
      <c r="AY86" s="449"/>
    </row>
    <row r="87" ht="39.75" customHeight="1">
      <c r="A87" s="411" t="s">
        <v>242</v>
      </c>
      <c r="B87" s="412" t="s">
        <v>243</v>
      </c>
      <c r="C87" s="388"/>
      <c r="D87" s="387"/>
      <c r="E87" s="389" t="s">
        <v>28</v>
      </c>
      <c r="F87" s="389"/>
      <c r="G87" s="389" t="s">
        <v>48</v>
      </c>
      <c r="H87" s="389"/>
      <c r="I87" s="389" t="s">
        <v>48</v>
      </c>
      <c r="J87" s="389"/>
      <c r="K87" s="389" t="s">
        <v>48</v>
      </c>
      <c r="L87" s="389"/>
      <c r="M87" s="389"/>
      <c r="N87" s="389"/>
      <c r="O87" s="389"/>
      <c r="P87" s="389"/>
      <c r="Q87" s="389"/>
      <c r="R87" s="389"/>
      <c r="S87" s="389" t="s">
        <v>38</v>
      </c>
      <c r="T87" s="389"/>
      <c r="U87" s="389" t="s">
        <v>38</v>
      </c>
      <c r="V87" s="389"/>
      <c r="W87" s="389" t="s">
        <v>38</v>
      </c>
      <c r="X87" s="389"/>
      <c r="Y87" s="389" t="s">
        <v>38</v>
      </c>
      <c r="Z87" s="389"/>
      <c r="AA87" s="391">
        <f t="shared" ref="AA87:AA88" si="21">COUNTIF(C87:Z87,"&gt;=R")</f>
        <v>8</v>
      </c>
      <c r="AB87" s="392">
        <f t="shared" ref="AB87:AB88" si="22">AA87</f>
        <v>8</v>
      </c>
      <c r="AG87" s="449"/>
      <c r="AH87" s="449"/>
      <c r="AI87" s="449"/>
      <c r="AJ87" s="449"/>
      <c r="AK87" s="449"/>
      <c r="AL87" s="449"/>
      <c r="AM87" s="449"/>
      <c r="AN87" s="449"/>
      <c r="AO87" s="449"/>
      <c r="AP87" s="449"/>
      <c r="AQ87" s="449"/>
      <c r="AR87" s="449"/>
      <c r="AS87" s="449"/>
      <c r="AT87" s="449"/>
      <c r="AU87" s="449"/>
      <c r="AV87" s="449"/>
      <c r="AW87" s="449"/>
      <c r="AX87" s="449"/>
      <c r="AY87" s="449"/>
    </row>
    <row r="88" ht="39.75" customHeight="1">
      <c r="A88" s="411" t="s">
        <v>244</v>
      </c>
      <c r="B88" s="412" t="s">
        <v>245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91">
        <f t="shared" si="21"/>
        <v>0</v>
      </c>
      <c r="AB88" s="392">
        <f t="shared" si="22"/>
        <v>0</v>
      </c>
      <c r="AG88" s="449"/>
      <c r="AH88" s="449"/>
      <c r="AI88" s="449"/>
      <c r="AJ88" s="449"/>
      <c r="AK88" s="449"/>
      <c r="AL88" s="449"/>
      <c r="AM88" s="449"/>
      <c r="AN88" s="449"/>
      <c r="AO88" s="449"/>
      <c r="AP88" s="449"/>
      <c r="AQ88" s="449"/>
      <c r="AR88" s="449"/>
      <c r="AS88" s="449"/>
      <c r="AT88" s="449"/>
      <c r="AU88" s="449"/>
      <c r="AV88" s="449"/>
      <c r="AW88" s="449"/>
      <c r="AX88" s="449"/>
      <c r="AY88" s="449"/>
    </row>
    <row r="89" ht="39.75" customHeight="1">
      <c r="A89" s="414" t="s">
        <v>246</v>
      </c>
      <c r="B89" s="415" t="s">
        <v>247</v>
      </c>
      <c r="C89" s="387"/>
      <c r="D89" s="387"/>
      <c r="E89" s="394"/>
      <c r="F89" s="389"/>
      <c r="G89" s="389"/>
      <c r="H89" s="389"/>
      <c r="I89" s="389"/>
      <c r="J89" s="389"/>
      <c r="K89" s="389"/>
      <c r="L89" s="389"/>
      <c r="M89" s="394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91"/>
      <c r="AB89" s="392"/>
      <c r="AG89" s="449"/>
      <c r="AH89" s="449"/>
      <c r="AI89" s="449"/>
      <c r="AJ89" s="449"/>
      <c r="AK89" s="449"/>
      <c r="AL89" s="449"/>
      <c r="AM89" s="449"/>
      <c r="AN89" s="449"/>
      <c r="AO89" s="449"/>
      <c r="AP89" s="449"/>
      <c r="AQ89" s="449"/>
      <c r="AR89" s="449"/>
      <c r="AS89" s="449"/>
      <c r="AT89" s="449"/>
      <c r="AU89" s="449"/>
      <c r="AV89" s="449"/>
      <c r="AW89" s="449"/>
      <c r="AX89" s="449"/>
      <c r="AY89" s="449"/>
    </row>
    <row r="90" ht="39.75" customHeight="1">
      <c r="A90" s="411" t="s">
        <v>248</v>
      </c>
      <c r="B90" s="412" t="s">
        <v>249</v>
      </c>
      <c r="C90" s="388"/>
      <c r="D90" s="387"/>
      <c r="E90" s="389" t="s">
        <v>18</v>
      </c>
      <c r="F90" s="389"/>
      <c r="G90" s="389" t="s">
        <v>18</v>
      </c>
      <c r="H90" s="389"/>
      <c r="I90" s="389" t="s">
        <v>18</v>
      </c>
      <c r="J90" s="389"/>
      <c r="K90" s="389" t="s">
        <v>18</v>
      </c>
      <c r="L90" s="389"/>
      <c r="M90" s="389" t="s">
        <v>18</v>
      </c>
      <c r="N90" s="389"/>
      <c r="O90" s="389" t="s">
        <v>18</v>
      </c>
      <c r="P90" s="389"/>
      <c r="Q90" s="389"/>
      <c r="R90" s="389"/>
      <c r="S90" s="389" t="s">
        <v>18</v>
      </c>
      <c r="T90" s="389"/>
      <c r="U90" s="389" t="s">
        <v>18</v>
      </c>
      <c r="V90" s="389"/>
      <c r="W90" s="389" t="s">
        <v>18</v>
      </c>
      <c r="X90" s="389"/>
      <c r="Y90" s="389" t="s">
        <v>18</v>
      </c>
      <c r="Z90" s="389"/>
      <c r="AA90" s="391">
        <f t="shared" ref="AA90:AA91" si="23">COUNTIF(C90:Z90,"&gt;=R")</f>
        <v>10</v>
      </c>
      <c r="AB90" s="392">
        <f t="shared" ref="AB90:AB91" si="24">AA90</f>
        <v>10</v>
      </c>
      <c r="AG90" s="449"/>
      <c r="AH90" s="449"/>
      <c r="AI90" s="449"/>
      <c r="AJ90" s="449"/>
      <c r="AK90" s="449"/>
      <c r="AL90" s="449"/>
      <c r="AM90" s="449"/>
      <c r="AN90" s="449"/>
      <c r="AO90" s="449"/>
      <c r="AP90" s="449"/>
      <c r="AQ90" s="449"/>
      <c r="AR90" s="449"/>
      <c r="AS90" s="449"/>
      <c r="AT90" s="449"/>
      <c r="AU90" s="449"/>
      <c r="AV90" s="449"/>
      <c r="AW90" s="449"/>
      <c r="AX90" s="449"/>
      <c r="AY90" s="449"/>
    </row>
    <row r="91" ht="39.75" customHeight="1">
      <c r="A91" s="411" t="s">
        <v>250</v>
      </c>
      <c r="B91" s="412" t="s">
        <v>251</v>
      </c>
      <c r="C91" s="388"/>
      <c r="D91" s="387"/>
      <c r="E91" s="389" t="s">
        <v>18</v>
      </c>
      <c r="F91" s="389"/>
      <c r="G91" s="389" t="s">
        <v>18</v>
      </c>
      <c r="H91" s="389"/>
      <c r="I91" s="389" t="s">
        <v>18</v>
      </c>
      <c r="J91" s="389"/>
      <c r="K91" s="389" t="s">
        <v>18</v>
      </c>
      <c r="L91" s="389"/>
      <c r="M91" s="389" t="s">
        <v>18</v>
      </c>
      <c r="N91" s="389"/>
      <c r="O91" s="389" t="s">
        <v>18</v>
      </c>
      <c r="P91" s="389"/>
      <c r="Q91" s="389"/>
      <c r="R91" s="389"/>
      <c r="S91" s="389" t="s">
        <v>18</v>
      </c>
      <c r="T91" s="389"/>
      <c r="U91" s="389" t="s">
        <v>18</v>
      </c>
      <c r="V91" s="389"/>
      <c r="W91" s="389" t="s">
        <v>18</v>
      </c>
      <c r="X91" s="389"/>
      <c r="Y91" s="389" t="s">
        <v>18</v>
      </c>
      <c r="Z91" s="389"/>
      <c r="AA91" s="391">
        <f t="shared" si="23"/>
        <v>10</v>
      </c>
      <c r="AB91" s="392">
        <f t="shared" si="24"/>
        <v>10</v>
      </c>
      <c r="AG91" s="449"/>
      <c r="AH91" s="449"/>
      <c r="AI91" s="449"/>
      <c r="AJ91" s="449"/>
      <c r="AK91" s="449"/>
      <c r="AL91" s="449"/>
      <c r="AM91" s="449"/>
      <c r="AN91" s="449"/>
      <c r="AO91" s="449"/>
      <c r="AP91" s="449"/>
      <c r="AQ91" s="449"/>
      <c r="AR91" s="449"/>
      <c r="AS91" s="449"/>
      <c r="AT91" s="449"/>
      <c r="AU91" s="449"/>
      <c r="AV91" s="449"/>
      <c r="AW91" s="449"/>
      <c r="AX91" s="449"/>
      <c r="AY91" s="449"/>
    </row>
    <row r="92" ht="39.75" customHeight="1">
      <c r="A92" s="414" t="s">
        <v>252</v>
      </c>
      <c r="B92" s="415" t="s">
        <v>253</v>
      </c>
      <c r="C92" s="387"/>
      <c r="D92" s="387"/>
      <c r="E92" s="394"/>
      <c r="F92" s="389"/>
      <c r="G92" s="394"/>
      <c r="H92" s="389"/>
      <c r="I92" s="394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91"/>
      <c r="AB92" s="392"/>
      <c r="AC92" s="404"/>
      <c r="AD92" s="404"/>
      <c r="AE92" s="404"/>
      <c r="AF92" s="404"/>
      <c r="AG92" s="449"/>
      <c r="AH92" s="449"/>
      <c r="AI92" s="449"/>
      <c r="AJ92" s="449"/>
      <c r="AK92" s="449"/>
      <c r="AL92" s="449"/>
      <c r="AM92" s="449"/>
      <c r="AN92" s="449"/>
      <c r="AO92" s="449"/>
      <c r="AP92" s="449"/>
      <c r="AQ92" s="449"/>
      <c r="AR92" s="449"/>
      <c r="AS92" s="449"/>
      <c r="AT92" s="449"/>
      <c r="AU92" s="449"/>
      <c r="AV92" s="449"/>
      <c r="AW92" s="449"/>
      <c r="AX92" s="449"/>
      <c r="AY92" s="449"/>
    </row>
    <row r="93" ht="39.75" customHeight="1">
      <c r="A93" s="385" t="s">
        <v>254</v>
      </c>
      <c r="B93" s="386" t="s">
        <v>255</v>
      </c>
      <c r="C93" s="387"/>
      <c r="D93" s="387"/>
      <c r="E93" s="387" t="s">
        <v>28</v>
      </c>
      <c r="F93" s="389"/>
      <c r="G93" s="387" t="s">
        <v>48</v>
      </c>
      <c r="H93" s="389"/>
      <c r="I93" s="387" t="s">
        <v>48</v>
      </c>
      <c r="J93" s="389"/>
      <c r="K93" s="387" t="s">
        <v>48</v>
      </c>
      <c r="L93" s="389"/>
      <c r="M93" s="387" t="s">
        <v>68</v>
      </c>
      <c r="N93" s="389"/>
      <c r="O93" s="387" t="s">
        <v>68</v>
      </c>
      <c r="P93" s="389"/>
      <c r="Q93" s="387"/>
      <c r="R93" s="389"/>
      <c r="S93" s="387" t="s">
        <v>48</v>
      </c>
      <c r="T93" s="389"/>
      <c r="U93" s="387" t="s">
        <v>48</v>
      </c>
      <c r="V93" s="389"/>
      <c r="W93" s="387" t="s">
        <v>48</v>
      </c>
      <c r="X93" s="389"/>
      <c r="Y93" s="389" t="s">
        <v>48</v>
      </c>
      <c r="Z93" s="389"/>
      <c r="AA93" s="391">
        <f t="shared" ref="AA93:AA96" si="25">COUNTIF(C93:Z93,"&gt;=R")</f>
        <v>10</v>
      </c>
      <c r="AB93" s="392">
        <f t="shared" ref="AB93:AB96" si="26">AA93</f>
        <v>10</v>
      </c>
      <c r="AC93" s="404"/>
      <c r="AD93" s="404"/>
      <c r="AE93" s="404"/>
      <c r="AF93" s="404"/>
      <c r="AG93" s="449"/>
      <c r="AH93" s="449"/>
      <c r="AI93" s="449"/>
      <c r="AJ93" s="449"/>
      <c r="AK93" s="449"/>
      <c r="AL93" s="449"/>
      <c r="AM93" s="449"/>
      <c r="AN93" s="449"/>
      <c r="AO93" s="449"/>
      <c r="AP93" s="449"/>
      <c r="AQ93" s="449"/>
      <c r="AR93" s="449"/>
      <c r="AS93" s="449"/>
      <c r="AT93" s="449"/>
      <c r="AU93" s="449"/>
      <c r="AV93" s="449"/>
      <c r="AW93" s="449"/>
      <c r="AX93" s="449"/>
      <c r="AY93" s="449"/>
    </row>
    <row r="94" ht="39.75" customHeight="1">
      <c r="A94" s="385" t="s">
        <v>256</v>
      </c>
      <c r="B94" s="386" t="s">
        <v>257</v>
      </c>
      <c r="C94" s="387"/>
      <c r="D94" s="388"/>
      <c r="E94" s="387" t="s">
        <v>28</v>
      </c>
      <c r="F94" s="389"/>
      <c r="G94" s="387" t="s">
        <v>48</v>
      </c>
      <c r="H94" s="389"/>
      <c r="I94" s="387" t="s">
        <v>48</v>
      </c>
      <c r="J94" s="389"/>
      <c r="K94" s="387" t="s">
        <v>48</v>
      </c>
      <c r="L94" s="389"/>
      <c r="M94" s="387" t="s">
        <v>68</v>
      </c>
      <c r="N94" s="389"/>
      <c r="O94" s="387" t="s">
        <v>68</v>
      </c>
      <c r="P94" s="389"/>
      <c r="Q94" s="387"/>
      <c r="R94" s="389"/>
      <c r="S94" s="387" t="s">
        <v>48</v>
      </c>
      <c r="T94" s="389"/>
      <c r="U94" s="387" t="s">
        <v>48</v>
      </c>
      <c r="V94" s="389"/>
      <c r="W94" s="387" t="s">
        <v>48</v>
      </c>
      <c r="X94" s="389"/>
      <c r="Y94" s="389" t="s">
        <v>48</v>
      </c>
      <c r="Z94" s="389"/>
      <c r="AA94" s="391">
        <f t="shared" si="25"/>
        <v>10</v>
      </c>
      <c r="AB94" s="392">
        <f t="shared" si="26"/>
        <v>10</v>
      </c>
      <c r="AG94" s="449"/>
      <c r="AH94" s="449"/>
      <c r="AI94" s="449"/>
      <c r="AJ94" s="449"/>
      <c r="AK94" s="449"/>
      <c r="AL94" s="449"/>
      <c r="AM94" s="449"/>
      <c r="AN94" s="449"/>
      <c r="AO94" s="449"/>
      <c r="AP94" s="449"/>
      <c r="AQ94" s="449"/>
      <c r="AR94" s="449"/>
      <c r="AS94" s="449"/>
      <c r="AT94" s="449"/>
      <c r="AU94" s="449"/>
      <c r="AV94" s="449"/>
      <c r="AW94" s="449"/>
      <c r="AX94" s="449"/>
      <c r="AY94" s="449"/>
    </row>
    <row r="95" ht="39.75" customHeight="1">
      <c r="A95" s="385" t="s">
        <v>258</v>
      </c>
      <c r="B95" s="386" t="s">
        <v>259</v>
      </c>
      <c r="C95" s="387"/>
      <c r="D95" s="388"/>
      <c r="E95" s="387" t="s">
        <v>28</v>
      </c>
      <c r="F95" s="389"/>
      <c r="G95" s="387" t="s">
        <v>48</v>
      </c>
      <c r="H95" s="389"/>
      <c r="I95" s="387" t="s">
        <v>48</v>
      </c>
      <c r="J95" s="389"/>
      <c r="K95" s="387" t="s">
        <v>48</v>
      </c>
      <c r="L95" s="389"/>
      <c r="M95" s="387" t="s">
        <v>68</v>
      </c>
      <c r="N95" s="389"/>
      <c r="O95" s="387" t="s">
        <v>68</v>
      </c>
      <c r="P95" s="389"/>
      <c r="Q95" s="387"/>
      <c r="R95" s="389"/>
      <c r="S95" s="387" t="s">
        <v>38</v>
      </c>
      <c r="T95" s="389"/>
      <c r="U95" s="387" t="s">
        <v>38</v>
      </c>
      <c r="V95" s="389"/>
      <c r="W95" s="387" t="s">
        <v>38</v>
      </c>
      <c r="X95" s="389"/>
      <c r="Y95" s="389" t="s">
        <v>38</v>
      </c>
      <c r="Z95" s="389"/>
      <c r="AA95" s="391">
        <f t="shared" si="25"/>
        <v>10</v>
      </c>
      <c r="AB95" s="392">
        <f t="shared" si="26"/>
        <v>10</v>
      </c>
      <c r="AC95" s="404"/>
      <c r="AD95" s="404"/>
      <c r="AE95" s="404"/>
      <c r="AF95" s="404"/>
      <c r="AG95" s="449"/>
      <c r="AH95" s="449"/>
      <c r="AI95" s="449"/>
      <c r="AJ95" s="449"/>
      <c r="AK95" s="449"/>
      <c r="AL95" s="449"/>
      <c r="AM95" s="449"/>
      <c r="AN95" s="449"/>
      <c r="AO95" s="449"/>
      <c r="AP95" s="449"/>
      <c r="AQ95" s="449"/>
      <c r="AR95" s="449"/>
      <c r="AS95" s="449"/>
      <c r="AT95" s="449"/>
      <c r="AU95" s="449"/>
      <c r="AV95" s="449"/>
      <c r="AW95" s="449"/>
      <c r="AX95" s="449"/>
      <c r="AY95" s="449"/>
    </row>
    <row r="96" ht="39.75" customHeight="1">
      <c r="A96" s="385" t="s">
        <v>260</v>
      </c>
      <c r="B96" s="386" t="s">
        <v>261</v>
      </c>
      <c r="C96" s="387"/>
      <c r="D96" s="388"/>
      <c r="E96" s="387" t="s">
        <v>28</v>
      </c>
      <c r="F96" s="389"/>
      <c r="G96" s="387" t="s">
        <v>48</v>
      </c>
      <c r="H96" s="389"/>
      <c r="I96" s="387" t="s">
        <v>48</v>
      </c>
      <c r="J96" s="389"/>
      <c r="K96" s="387" t="s">
        <v>48</v>
      </c>
      <c r="L96" s="389"/>
      <c r="M96" s="387" t="s">
        <v>68</v>
      </c>
      <c r="N96" s="389"/>
      <c r="O96" s="387" t="s">
        <v>68</v>
      </c>
      <c r="P96" s="389"/>
      <c r="Q96" s="387"/>
      <c r="R96" s="389"/>
      <c r="S96" s="387" t="s">
        <v>48</v>
      </c>
      <c r="T96" s="389"/>
      <c r="U96" s="387" t="s">
        <v>48</v>
      </c>
      <c r="V96" s="389"/>
      <c r="W96" s="387" t="s">
        <v>48</v>
      </c>
      <c r="X96" s="389"/>
      <c r="Y96" s="389" t="s">
        <v>48</v>
      </c>
      <c r="Z96" s="389"/>
      <c r="AA96" s="391">
        <f t="shared" si="25"/>
        <v>10</v>
      </c>
      <c r="AB96" s="392">
        <f t="shared" si="26"/>
        <v>10</v>
      </c>
      <c r="AC96" s="404"/>
      <c r="AD96" s="404"/>
      <c r="AE96" s="404"/>
      <c r="AF96" s="404"/>
      <c r="AG96" s="449"/>
      <c r="AH96" s="449"/>
      <c r="AI96" s="449"/>
      <c r="AJ96" s="449"/>
      <c r="AK96" s="449"/>
      <c r="AL96" s="449"/>
      <c r="AM96" s="449"/>
      <c r="AN96" s="449"/>
      <c r="AO96" s="449"/>
      <c r="AP96" s="449"/>
      <c r="AQ96" s="449"/>
      <c r="AR96" s="449"/>
      <c r="AS96" s="449"/>
      <c r="AT96" s="449"/>
      <c r="AU96" s="449"/>
      <c r="AV96" s="449"/>
      <c r="AW96" s="449"/>
      <c r="AX96" s="449"/>
      <c r="AY96" s="449"/>
    </row>
    <row r="97" ht="39.75" customHeight="1">
      <c r="A97" s="414" t="s">
        <v>262</v>
      </c>
      <c r="B97" s="415" t="s">
        <v>263</v>
      </c>
      <c r="C97" s="387"/>
      <c r="D97" s="388"/>
      <c r="E97" s="389"/>
      <c r="F97" s="389"/>
      <c r="G97" s="394"/>
      <c r="H97" s="389"/>
      <c r="I97" s="394"/>
      <c r="J97" s="389"/>
      <c r="K97" s="394"/>
      <c r="L97" s="389"/>
      <c r="M97" s="389"/>
      <c r="N97" s="389"/>
      <c r="O97" s="389"/>
      <c r="P97" s="389"/>
      <c r="Q97" s="389"/>
      <c r="R97" s="389"/>
      <c r="S97" s="389"/>
      <c r="T97" s="389"/>
      <c r="U97" s="394"/>
      <c r="V97" s="389"/>
      <c r="W97" s="394"/>
      <c r="X97" s="389"/>
      <c r="Y97" s="389"/>
      <c r="Z97" s="389"/>
      <c r="AA97" s="391"/>
      <c r="AB97" s="392"/>
      <c r="AG97" s="449"/>
      <c r="AH97" s="449"/>
      <c r="AI97" s="449"/>
      <c r="AJ97" s="449"/>
      <c r="AK97" s="449"/>
      <c r="AL97" s="449"/>
      <c r="AM97" s="449"/>
      <c r="AN97" s="449"/>
      <c r="AO97" s="449"/>
      <c r="AP97" s="449"/>
      <c r="AQ97" s="449"/>
      <c r="AR97" s="449"/>
      <c r="AS97" s="449"/>
      <c r="AT97" s="449"/>
      <c r="AU97" s="449"/>
      <c r="AV97" s="449"/>
      <c r="AW97" s="449"/>
      <c r="AX97" s="449"/>
      <c r="AY97" s="449"/>
    </row>
    <row r="98" ht="39.75" customHeight="1">
      <c r="A98" s="411" t="s">
        <v>264</v>
      </c>
      <c r="B98" s="412" t="s">
        <v>265</v>
      </c>
      <c r="C98" s="387"/>
      <c r="D98" s="388"/>
      <c r="E98" s="389" t="s">
        <v>75</v>
      </c>
      <c r="F98" s="389"/>
      <c r="G98" s="962" t="s">
        <v>46</v>
      </c>
      <c r="H98" s="389"/>
      <c r="I98" s="962" t="s">
        <v>46</v>
      </c>
      <c r="J98" s="389"/>
      <c r="K98" s="389" t="s">
        <v>26</v>
      </c>
      <c r="L98" s="389"/>
      <c r="M98" s="389" t="s">
        <v>75</v>
      </c>
      <c r="N98" s="389"/>
      <c r="O98" s="389" t="s">
        <v>75</v>
      </c>
      <c r="P98" s="389"/>
      <c r="Q98" s="389"/>
      <c r="R98" s="389"/>
      <c r="S98" s="389" t="s">
        <v>75</v>
      </c>
      <c r="T98" s="389"/>
      <c r="U98" s="389" t="s">
        <v>75</v>
      </c>
      <c r="V98" s="389"/>
      <c r="W98" s="389" t="s">
        <v>75</v>
      </c>
      <c r="X98" s="389"/>
      <c r="Y98" s="389" t="s">
        <v>75</v>
      </c>
      <c r="Z98" s="389"/>
      <c r="AA98" s="391">
        <f>COUNTIF(C98:Z98,"&gt;=R")</f>
        <v>10</v>
      </c>
      <c r="AB98" s="392">
        <f>AA98</f>
        <v>10</v>
      </c>
      <c r="AG98" s="449"/>
      <c r="AH98" s="449"/>
      <c r="AI98" s="449"/>
      <c r="AJ98" s="449"/>
      <c r="AK98" s="449"/>
      <c r="AL98" s="449"/>
      <c r="AM98" s="449"/>
      <c r="AN98" s="449"/>
      <c r="AO98" s="449"/>
      <c r="AP98" s="449"/>
      <c r="AQ98" s="449"/>
      <c r="AR98" s="449"/>
      <c r="AS98" s="449"/>
      <c r="AT98" s="449"/>
      <c r="AU98" s="449"/>
      <c r="AV98" s="449"/>
      <c r="AW98" s="449"/>
      <c r="AX98" s="449"/>
      <c r="AY98" s="449"/>
    </row>
    <row r="99" ht="39.75" customHeight="1">
      <c r="A99" s="421" t="s">
        <v>266</v>
      </c>
      <c r="B99" s="396" t="s">
        <v>267</v>
      </c>
      <c r="C99" s="397"/>
      <c r="D99" s="398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401"/>
      <c r="AG99" s="449"/>
      <c r="AH99" s="449"/>
      <c r="AI99" s="449"/>
      <c r="AJ99" s="449"/>
      <c r="AK99" s="449"/>
      <c r="AL99" s="449"/>
      <c r="AM99" s="449"/>
      <c r="AN99" s="449"/>
      <c r="AO99" s="449"/>
      <c r="AP99" s="449"/>
      <c r="AQ99" s="449"/>
      <c r="AR99" s="449"/>
      <c r="AS99" s="449"/>
      <c r="AT99" s="449"/>
      <c r="AU99" s="449"/>
      <c r="AV99" s="449"/>
      <c r="AW99" s="449"/>
      <c r="AX99" s="449"/>
      <c r="AY99" s="449"/>
    </row>
    <row r="100" ht="39.75" customHeight="1">
      <c r="A100" s="385" t="s">
        <v>268</v>
      </c>
      <c r="B100" s="386" t="s">
        <v>269</v>
      </c>
      <c r="C100" s="388"/>
      <c r="D100" s="388"/>
      <c r="E100" s="389" t="s">
        <v>48</v>
      </c>
      <c r="F100" s="389"/>
      <c r="G100" s="389" t="s">
        <v>68</v>
      </c>
      <c r="H100" s="389"/>
      <c r="I100" s="389" t="s">
        <v>68</v>
      </c>
      <c r="J100" s="389"/>
      <c r="K100" s="389" t="s">
        <v>68</v>
      </c>
      <c r="L100" s="389"/>
      <c r="M100" s="389" t="s">
        <v>68</v>
      </c>
      <c r="N100" s="389"/>
      <c r="O100" s="389" t="s">
        <v>68</v>
      </c>
      <c r="P100" s="389"/>
      <c r="Q100" s="389"/>
      <c r="R100" s="389"/>
      <c r="S100" s="389" t="s">
        <v>48</v>
      </c>
      <c r="T100" s="389"/>
      <c r="U100" s="389" t="s">
        <v>48</v>
      </c>
      <c r="V100" s="389"/>
      <c r="W100" s="389" t="s">
        <v>48</v>
      </c>
      <c r="X100" s="389"/>
      <c r="Y100" s="389" t="s">
        <v>48</v>
      </c>
      <c r="Z100" s="389"/>
      <c r="AA100" s="391">
        <f t="shared" ref="AA100:AA101" si="27">COUNTIF(C100:Z100,"&gt;=R")</f>
        <v>10</v>
      </c>
      <c r="AB100" s="392">
        <f t="shared" ref="AB100:AB101" si="28">AA100</f>
        <v>10</v>
      </c>
      <c r="AG100" s="449"/>
      <c r="AH100" s="449"/>
      <c r="AI100" s="449"/>
      <c r="AJ100" s="449"/>
      <c r="AK100" s="449"/>
      <c r="AL100" s="449"/>
      <c r="AM100" s="449"/>
      <c r="AN100" s="449"/>
      <c r="AO100" s="449"/>
      <c r="AP100" s="449"/>
      <c r="AQ100" s="449"/>
      <c r="AR100" s="449"/>
      <c r="AS100" s="449"/>
      <c r="AT100" s="449"/>
      <c r="AU100" s="449"/>
      <c r="AV100" s="449"/>
      <c r="AW100" s="449"/>
      <c r="AX100" s="449"/>
      <c r="AY100" s="449"/>
    </row>
    <row r="101" ht="39.75" customHeight="1">
      <c r="A101" s="385" t="s">
        <v>270</v>
      </c>
      <c r="B101" s="386" t="s">
        <v>271</v>
      </c>
      <c r="C101" s="388"/>
      <c r="D101" s="388"/>
      <c r="E101" s="389" t="s">
        <v>48</v>
      </c>
      <c r="F101" s="389"/>
      <c r="G101" s="389" t="s">
        <v>68</v>
      </c>
      <c r="H101" s="389"/>
      <c r="I101" s="389" t="s">
        <v>68</v>
      </c>
      <c r="J101" s="389"/>
      <c r="K101" s="389" t="s">
        <v>68</v>
      </c>
      <c r="L101" s="389"/>
      <c r="M101" s="389" t="s">
        <v>68</v>
      </c>
      <c r="N101" s="389"/>
      <c r="O101" s="389" t="s">
        <v>68</v>
      </c>
      <c r="P101" s="389"/>
      <c r="Q101" s="389"/>
      <c r="R101" s="389"/>
      <c r="S101" s="389" t="s">
        <v>48</v>
      </c>
      <c r="T101" s="389"/>
      <c r="U101" s="389" t="s">
        <v>48</v>
      </c>
      <c r="V101" s="389"/>
      <c r="W101" s="389" t="s">
        <v>48</v>
      </c>
      <c r="X101" s="389"/>
      <c r="Y101" s="389" t="s">
        <v>48</v>
      </c>
      <c r="Z101" s="389"/>
      <c r="AA101" s="391">
        <f t="shared" si="27"/>
        <v>10</v>
      </c>
      <c r="AB101" s="392">
        <f t="shared" si="28"/>
        <v>10</v>
      </c>
      <c r="AG101" s="449"/>
      <c r="AH101" s="449"/>
      <c r="AI101" s="449"/>
      <c r="AJ101" s="449"/>
      <c r="AK101" s="449"/>
      <c r="AL101" s="449"/>
      <c r="AM101" s="449"/>
      <c r="AN101" s="449"/>
      <c r="AO101" s="449"/>
      <c r="AP101" s="449"/>
      <c r="AQ101" s="449"/>
      <c r="AR101" s="449"/>
      <c r="AS101" s="449"/>
      <c r="AT101" s="449"/>
      <c r="AU101" s="449"/>
      <c r="AV101" s="449"/>
      <c r="AW101" s="449"/>
      <c r="AX101" s="449"/>
      <c r="AY101" s="449"/>
    </row>
    <row r="102" ht="39.75" customHeight="1">
      <c r="A102" s="421" t="s">
        <v>272</v>
      </c>
      <c r="B102" s="396" t="s">
        <v>273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401"/>
      <c r="AC102" s="404"/>
      <c r="AD102" s="404"/>
      <c r="AE102" s="404"/>
      <c r="AF102" s="404"/>
      <c r="AG102" s="449"/>
      <c r="AH102" s="449"/>
      <c r="AI102" s="449"/>
      <c r="AJ102" s="449"/>
      <c r="AK102" s="449"/>
      <c r="AL102" s="449"/>
      <c r="AM102" s="449"/>
      <c r="AN102" s="449"/>
      <c r="AO102" s="449"/>
      <c r="AP102" s="449"/>
      <c r="AQ102" s="449"/>
      <c r="AR102" s="449"/>
      <c r="AS102" s="449"/>
      <c r="AT102" s="449"/>
      <c r="AU102" s="449"/>
      <c r="AV102" s="449"/>
      <c r="AW102" s="449"/>
      <c r="AX102" s="449"/>
      <c r="AY102" s="449"/>
    </row>
    <row r="103" ht="39.75" customHeight="1">
      <c r="A103" s="385" t="s">
        <v>274</v>
      </c>
      <c r="B103" s="386" t="s">
        <v>275</v>
      </c>
      <c r="C103" s="387"/>
      <c r="D103" s="387"/>
      <c r="E103" s="387"/>
      <c r="F103" s="389"/>
      <c r="G103" s="387"/>
      <c r="H103" s="389"/>
      <c r="I103" s="387"/>
      <c r="J103" s="389"/>
      <c r="K103" s="387"/>
      <c r="L103" s="389"/>
      <c r="M103" s="387"/>
      <c r="N103" s="389"/>
      <c r="O103" s="387"/>
      <c r="P103" s="389"/>
      <c r="Q103" s="387"/>
      <c r="R103" s="389"/>
      <c r="S103" s="387"/>
      <c r="T103" s="389"/>
      <c r="U103" s="387"/>
      <c r="V103" s="389"/>
      <c r="W103" s="387"/>
      <c r="X103" s="389"/>
      <c r="Y103" s="389"/>
      <c r="Z103" s="389"/>
      <c r="AA103" s="391">
        <f t="shared" ref="AA103:AA104" si="29">COUNTIF(C103:Z103,"&gt;=R")</f>
        <v>0</v>
      </c>
      <c r="AB103" s="392">
        <f t="shared" ref="AB103:AB104" si="30">AA103</f>
        <v>0</v>
      </c>
      <c r="AG103" s="449"/>
      <c r="AH103" s="449"/>
      <c r="AI103" s="449"/>
      <c r="AJ103" s="449"/>
      <c r="AK103" s="449"/>
      <c r="AL103" s="449"/>
      <c r="AM103" s="449"/>
      <c r="AN103" s="449"/>
      <c r="AO103" s="449"/>
      <c r="AP103" s="449"/>
      <c r="AQ103" s="449"/>
      <c r="AR103" s="449"/>
      <c r="AS103" s="449"/>
      <c r="AT103" s="449"/>
      <c r="AU103" s="449"/>
      <c r="AV103" s="449"/>
      <c r="AW103" s="449"/>
      <c r="AX103" s="449"/>
      <c r="AY103" s="449"/>
    </row>
    <row r="104" ht="39.75" customHeight="1">
      <c r="A104" s="385" t="s">
        <v>276</v>
      </c>
      <c r="B104" s="386" t="s">
        <v>277</v>
      </c>
      <c r="C104" s="387"/>
      <c r="D104" s="388"/>
      <c r="E104" s="387" t="s">
        <v>67</v>
      </c>
      <c r="F104" s="389"/>
      <c r="G104" s="387" t="s">
        <v>67</v>
      </c>
      <c r="H104" s="389"/>
      <c r="I104" s="387" t="s">
        <v>67</v>
      </c>
      <c r="J104" s="389"/>
      <c r="K104" s="394" t="s">
        <v>67</v>
      </c>
      <c r="L104" s="389"/>
      <c r="M104" s="394" t="s">
        <v>67</v>
      </c>
      <c r="N104" s="389"/>
      <c r="O104" s="394" t="s">
        <v>67</v>
      </c>
      <c r="P104" s="389"/>
      <c r="Q104" s="394"/>
      <c r="R104" s="389"/>
      <c r="S104" s="389" t="s">
        <v>92</v>
      </c>
      <c r="T104" s="389"/>
      <c r="U104" s="389" t="s">
        <v>67</v>
      </c>
      <c r="V104" s="389"/>
      <c r="W104" s="389" t="s">
        <v>67</v>
      </c>
      <c r="X104" s="389"/>
      <c r="Y104" s="389" t="s">
        <v>67</v>
      </c>
      <c r="Z104" s="389"/>
      <c r="AA104" s="391">
        <f t="shared" si="29"/>
        <v>10</v>
      </c>
      <c r="AB104" s="392">
        <f t="shared" si="30"/>
        <v>10</v>
      </c>
      <c r="AC104" s="404"/>
      <c r="AD104" s="404"/>
      <c r="AE104" s="404"/>
      <c r="AF104" s="404"/>
      <c r="AG104" s="449"/>
      <c r="AH104" s="449"/>
      <c r="AI104" s="449"/>
      <c r="AJ104" s="449"/>
      <c r="AK104" s="449"/>
      <c r="AL104" s="449"/>
      <c r="AM104" s="449"/>
      <c r="AN104" s="449"/>
      <c r="AO104" s="449"/>
      <c r="AP104" s="449"/>
      <c r="AQ104" s="449"/>
      <c r="AR104" s="449"/>
      <c r="AS104" s="449"/>
      <c r="AT104" s="449"/>
      <c r="AU104" s="449"/>
      <c r="AV104" s="449"/>
      <c r="AW104" s="449"/>
      <c r="AX104" s="449"/>
      <c r="AY104" s="449"/>
    </row>
    <row r="105" ht="39.75" customHeight="1">
      <c r="A105" s="395" t="s">
        <v>278</v>
      </c>
      <c r="B105" s="396" t="s">
        <v>279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401"/>
      <c r="AC105" s="404"/>
      <c r="AD105" s="404"/>
      <c r="AE105" s="404"/>
      <c r="AF105" s="404"/>
      <c r="AG105" s="449"/>
      <c r="AH105" s="449"/>
      <c r="AI105" s="449"/>
      <c r="AJ105" s="449"/>
      <c r="AK105" s="449"/>
      <c r="AL105" s="449"/>
      <c r="AM105" s="449"/>
      <c r="AN105" s="449"/>
      <c r="AO105" s="449"/>
      <c r="AP105" s="449"/>
      <c r="AQ105" s="449"/>
      <c r="AR105" s="449"/>
      <c r="AS105" s="449"/>
      <c r="AT105" s="449"/>
      <c r="AU105" s="449"/>
      <c r="AV105" s="449"/>
      <c r="AW105" s="449"/>
      <c r="AX105" s="449"/>
      <c r="AY105" s="449"/>
    </row>
    <row r="106" ht="39.75" customHeight="1">
      <c r="A106" s="414" t="s">
        <v>280</v>
      </c>
      <c r="B106" s="415" t="s">
        <v>281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91"/>
      <c r="AB106" s="392"/>
      <c r="AG106" s="449"/>
      <c r="AH106" s="449"/>
      <c r="AI106" s="449"/>
      <c r="AJ106" s="449"/>
      <c r="AK106" s="449"/>
      <c r="AL106" s="449"/>
      <c r="AM106" s="449"/>
      <c r="AN106" s="449"/>
      <c r="AO106" s="449"/>
      <c r="AP106" s="449"/>
      <c r="AQ106" s="449"/>
      <c r="AR106" s="449"/>
      <c r="AS106" s="449"/>
      <c r="AT106" s="449"/>
      <c r="AU106" s="449"/>
      <c r="AV106" s="449"/>
      <c r="AW106" s="449"/>
      <c r="AX106" s="449"/>
      <c r="AY106" s="449"/>
    </row>
    <row r="107" ht="39.75" customHeight="1">
      <c r="A107" s="404" t="s">
        <v>282</v>
      </c>
      <c r="B107" s="794" t="s">
        <v>283</v>
      </c>
      <c r="C107" s="387"/>
      <c r="D107" s="388"/>
      <c r="E107" s="389"/>
      <c r="F107" s="389"/>
      <c r="G107" s="394"/>
      <c r="H107" s="389"/>
      <c r="I107" s="394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91">
        <f t="shared" ref="AA107:AA108" si="31">COUNTIF(C107:Z107,"&gt;=R")</f>
        <v>0</v>
      </c>
      <c r="AB107" s="392">
        <f t="shared" ref="AB107:AB108" si="32">AA107</f>
        <v>0</v>
      </c>
    </row>
    <row r="108" ht="39.75" customHeight="1">
      <c r="A108" s="411" t="s">
        <v>284</v>
      </c>
      <c r="B108" s="412" t="s">
        <v>285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91">
        <f t="shared" si="31"/>
        <v>0</v>
      </c>
      <c r="AB108" s="392">
        <f t="shared" si="32"/>
        <v>0</v>
      </c>
      <c r="AC108" s="404"/>
      <c r="AD108" s="404"/>
      <c r="AE108" s="404"/>
      <c r="AF108" s="404"/>
      <c r="AG108" s="449"/>
      <c r="AH108" s="449"/>
      <c r="AI108" s="449"/>
      <c r="AJ108" s="449"/>
      <c r="AK108" s="449"/>
      <c r="AL108" s="449"/>
      <c r="AM108" s="449"/>
      <c r="AN108" s="449"/>
      <c r="AO108" s="449"/>
      <c r="AP108" s="449"/>
      <c r="AQ108" s="449"/>
      <c r="AR108" s="449"/>
      <c r="AS108" s="449"/>
      <c r="AT108" s="449"/>
      <c r="AU108" s="449"/>
      <c r="AV108" s="449"/>
      <c r="AW108" s="449"/>
      <c r="AX108" s="449"/>
      <c r="AY108" s="449"/>
    </row>
    <row r="109" ht="39.75" customHeight="1">
      <c r="A109" s="414" t="s">
        <v>286</v>
      </c>
      <c r="B109" s="415" t="s">
        <v>287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91"/>
      <c r="AB109" s="392"/>
      <c r="AG109" s="449"/>
      <c r="AH109" s="449"/>
      <c r="AI109" s="449"/>
      <c r="AJ109" s="449"/>
      <c r="AK109" s="449"/>
      <c r="AL109" s="449"/>
      <c r="AM109" s="449"/>
      <c r="AN109" s="449"/>
      <c r="AO109" s="449"/>
      <c r="AP109" s="449"/>
      <c r="AQ109" s="449"/>
      <c r="AR109" s="449"/>
      <c r="AS109" s="449"/>
      <c r="AT109" s="449"/>
      <c r="AU109" s="449"/>
      <c r="AV109" s="449"/>
      <c r="AW109" s="449"/>
      <c r="AX109" s="449"/>
      <c r="AY109" s="449"/>
    </row>
    <row r="110" ht="39.75" customHeight="1">
      <c r="A110" s="385" t="s">
        <v>288</v>
      </c>
      <c r="B110" s="386" t="s">
        <v>289</v>
      </c>
      <c r="C110" s="388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91">
        <f t="shared" ref="AA110:AA112" si="33">COUNTIF(C110:Z110,"&gt;=R")</f>
        <v>0</v>
      </c>
      <c r="AB110" s="392">
        <f t="shared" ref="AB110:AB112" si="34">AA110</f>
        <v>0</v>
      </c>
      <c r="AC110" s="404"/>
      <c r="AD110" s="404"/>
      <c r="AE110" s="404"/>
      <c r="AF110" s="404"/>
      <c r="AG110" s="449"/>
      <c r="AH110" s="449"/>
      <c r="AI110" s="449"/>
      <c r="AJ110" s="449"/>
      <c r="AK110" s="449"/>
      <c r="AL110" s="449"/>
      <c r="AM110" s="449"/>
      <c r="AN110" s="449"/>
      <c r="AO110" s="449"/>
      <c r="AP110" s="449"/>
      <c r="AQ110" s="449"/>
      <c r="AR110" s="449"/>
      <c r="AS110" s="449"/>
      <c r="AT110" s="449"/>
      <c r="AU110" s="449"/>
      <c r="AV110" s="449"/>
      <c r="AW110" s="449"/>
      <c r="AX110" s="449"/>
      <c r="AY110" s="449"/>
    </row>
    <row r="111" ht="39.75" customHeight="1">
      <c r="A111" s="385" t="s">
        <v>290</v>
      </c>
      <c r="B111" s="386" t="s">
        <v>291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87"/>
      <c r="V111" s="389"/>
      <c r="W111" s="387"/>
      <c r="X111" s="389"/>
      <c r="Y111" s="389"/>
      <c r="Z111" s="389"/>
      <c r="AA111" s="391">
        <f t="shared" si="33"/>
        <v>0</v>
      </c>
      <c r="AB111" s="392">
        <f t="shared" si="34"/>
        <v>0</v>
      </c>
      <c r="AG111" s="449"/>
      <c r="AH111" s="449"/>
      <c r="AI111" s="449"/>
      <c r="AJ111" s="449"/>
      <c r="AK111" s="449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</row>
    <row r="112" ht="39.75" customHeight="1">
      <c r="A112" s="404" t="s">
        <v>292</v>
      </c>
      <c r="B112" s="794" t="s">
        <v>293</v>
      </c>
      <c r="C112" s="387"/>
      <c r="D112" s="388"/>
      <c r="E112" s="389"/>
      <c r="F112" s="389"/>
      <c r="G112" s="394"/>
      <c r="H112" s="389"/>
      <c r="I112" s="394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91">
        <f t="shared" si="33"/>
        <v>0</v>
      </c>
      <c r="AB112" s="392">
        <f t="shared" si="34"/>
        <v>0</v>
      </c>
    </row>
    <row r="113" ht="39.75" customHeight="1">
      <c r="A113" s="395" t="s">
        <v>294</v>
      </c>
      <c r="B113" s="422" t="s">
        <v>295</v>
      </c>
      <c r="C113" s="397"/>
      <c r="D113" s="398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  <c r="AA113" s="399"/>
      <c r="AB113" s="401"/>
      <c r="AC113" s="404"/>
      <c r="AD113" s="404"/>
      <c r="AE113" s="404"/>
      <c r="AF113" s="404"/>
      <c r="AG113" s="449"/>
      <c r="AH113" s="449"/>
      <c r="AI113" s="449"/>
      <c r="AJ113" s="449"/>
      <c r="AK113" s="449"/>
      <c r="AL113" s="449"/>
      <c r="AM113" s="449"/>
      <c r="AN113" s="449"/>
      <c r="AO113" s="449"/>
      <c r="AP113" s="449"/>
      <c r="AQ113" s="449"/>
      <c r="AR113" s="449"/>
      <c r="AS113" s="449"/>
      <c r="AT113" s="449"/>
      <c r="AU113" s="449"/>
      <c r="AV113" s="449"/>
      <c r="AW113" s="449"/>
      <c r="AX113" s="449"/>
      <c r="AY113" s="449"/>
    </row>
    <row r="114" ht="39.75" customHeight="1">
      <c r="A114" s="402" t="s">
        <v>296</v>
      </c>
      <c r="B114" s="386" t="s">
        <v>297</v>
      </c>
      <c r="C114" s="387"/>
      <c r="D114" s="388"/>
      <c r="E114" s="389" t="s">
        <v>76</v>
      </c>
      <c r="F114" s="389"/>
      <c r="G114" s="389" t="s">
        <v>67</v>
      </c>
      <c r="H114" s="389"/>
      <c r="I114" s="389" t="s">
        <v>67</v>
      </c>
      <c r="J114" s="389"/>
      <c r="K114" s="389" t="s">
        <v>76</v>
      </c>
      <c r="L114" s="389"/>
      <c r="M114" s="389" t="s">
        <v>76</v>
      </c>
      <c r="N114" s="389"/>
      <c r="O114" s="389" t="s">
        <v>76</v>
      </c>
      <c r="P114" s="389"/>
      <c r="Q114" s="389"/>
      <c r="R114" s="389"/>
      <c r="S114" s="389" t="s">
        <v>76</v>
      </c>
      <c r="T114" s="389"/>
      <c r="U114" s="389" t="s">
        <v>76</v>
      </c>
      <c r="V114" s="389"/>
      <c r="W114" s="389" t="s">
        <v>76</v>
      </c>
      <c r="X114" s="389"/>
      <c r="Y114" s="389" t="s">
        <v>76</v>
      </c>
      <c r="Z114" s="389"/>
      <c r="AA114" s="391">
        <f t="shared" ref="AA114:AA125" si="35">COUNTIF(C114:Z114,"&gt;=R")</f>
        <v>10</v>
      </c>
      <c r="AB114" s="392">
        <f t="shared" ref="AB114:AB125" si="36">AA114</f>
        <v>10</v>
      </c>
      <c r="AC114" s="404"/>
      <c r="AD114" s="404"/>
      <c r="AE114" s="404"/>
      <c r="AF114" s="404"/>
      <c r="AG114" s="449"/>
      <c r="AH114" s="449"/>
      <c r="AI114" s="449"/>
      <c r="AJ114" s="449"/>
      <c r="AK114" s="449"/>
      <c r="AL114" s="449"/>
      <c r="AM114" s="449"/>
      <c r="AN114" s="449"/>
      <c r="AO114" s="449"/>
      <c r="AP114" s="449"/>
      <c r="AQ114" s="449"/>
      <c r="AR114" s="449"/>
      <c r="AS114" s="449"/>
      <c r="AT114" s="449"/>
      <c r="AU114" s="449"/>
      <c r="AV114" s="449"/>
      <c r="AW114" s="449"/>
      <c r="AX114" s="449"/>
      <c r="AY114" s="449"/>
    </row>
    <row r="115" ht="39.75" customHeight="1">
      <c r="A115" s="402" t="s">
        <v>298</v>
      </c>
      <c r="B115" s="386" t="s">
        <v>299</v>
      </c>
      <c r="C115" s="387"/>
      <c r="D115" s="388"/>
      <c r="E115" s="389" t="s">
        <v>410</v>
      </c>
      <c r="F115" s="389"/>
      <c r="G115" s="394" t="s">
        <v>410</v>
      </c>
      <c r="H115" s="389"/>
      <c r="I115" s="394" t="s">
        <v>410</v>
      </c>
      <c r="J115" s="389"/>
      <c r="K115" s="394" t="s">
        <v>410</v>
      </c>
      <c r="L115" s="389"/>
      <c r="M115" s="389" t="s">
        <v>410</v>
      </c>
      <c r="N115" s="389"/>
      <c r="O115" s="389" t="s">
        <v>410</v>
      </c>
      <c r="P115" s="389"/>
      <c r="Q115" s="394"/>
      <c r="R115" s="389"/>
      <c r="S115" s="394" t="s">
        <v>410</v>
      </c>
      <c r="T115" s="389"/>
      <c r="U115" s="394" t="s">
        <v>410</v>
      </c>
      <c r="V115" s="389"/>
      <c r="W115" s="394" t="s">
        <v>410</v>
      </c>
      <c r="X115" s="389"/>
      <c r="Y115" s="389" t="s">
        <v>410</v>
      </c>
      <c r="Z115" s="389"/>
      <c r="AA115" s="391">
        <f t="shared" si="35"/>
        <v>10</v>
      </c>
      <c r="AB115" s="392">
        <f t="shared" si="36"/>
        <v>10</v>
      </c>
      <c r="AG115" s="449"/>
      <c r="AH115" s="449"/>
      <c r="AI115" s="449"/>
      <c r="AJ115" s="449"/>
      <c r="AK115" s="449"/>
      <c r="AL115" s="449"/>
      <c r="AM115" s="449"/>
      <c r="AN115" s="449"/>
      <c r="AO115" s="449"/>
      <c r="AP115" s="449"/>
      <c r="AQ115" s="449"/>
      <c r="AR115" s="449"/>
      <c r="AS115" s="449"/>
      <c r="AT115" s="449"/>
      <c r="AU115" s="449"/>
      <c r="AV115" s="449"/>
      <c r="AW115" s="449"/>
      <c r="AX115" s="449"/>
      <c r="AY115" s="449"/>
    </row>
    <row r="116" ht="39.75" customHeight="1">
      <c r="A116" s="402" t="s">
        <v>300</v>
      </c>
      <c r="B116" s="386" t="s">
        <v>301</v>
      </c>
      <c r="C116" s="387"/>
      <c r="D116" s="388"/>
      <c r="E116" s="387"/>
      <c r="F116" s="389"/>
      <c r="G116" s="387"/>
      <c r="H116" s="389"/>
      <c r="I116" s="387"/>
      <c r="J116" s="389"/>
      <c r="K116" s="387"/>
      <c r="L116" s="389"/>
      <c r="M116" s="387"/>
      <c r="N116" s="389"/>
      <c r="O116" s="387"/>
      <c r="P116" s="389"/>
      <c r="Q116" s="387"/>
      <c r="R116" s="389"/>
      <c r="S116" s="387"/>
      <c r="T116" s="389"/>
      <c r="U116" s="387"/>
      <c r="V116" s="389"/>
      <c r="W116" s="387"/>
      <c r="X116" s="389"/>
      <c r="Y116" s="389"/>
      <c r="Z116" s="389"/>
      <c r="AA116" s="391">
        <f t="shared" si="35"/>
        <v>0</v>
      </c>
      <c r="AB116" s="392">
        <f t="shared" si="36"/>
        <v>0</v>
      </c>
      <c r="AG116" s="449"/>
      <c r="AH116" s="449"/>
      <c r="AI116" s="449"/>
      <c r="AJ116" s="449"/>
      <c r="AK116" s="449"/>
      <c r="AL116" s="449"/>
      <c r="AM116" s="449"/>
      <c r="AN116" s="449"/>
      <c r="AO116" s="449"/>
      <c r="AP116" s="449"/>
      <c r="AQ116" s="449"/>
      <c r="AR116" s="449"/>
      <c r="AS116" s="449"/>
      <c r="AT116" s="449"/>
      <c r="AU116" s="449"/>
      <c r="AV116" s="449"/>
      <c r="AW116" s="449"/>
      <c r="AX116" s="449"/>
      <c r="AY116" s="449"/>
    </row>
    <row r="117" ht="39.75" customHeight="1">
      <c r="A117" s="402" t="s">
        <v>302</v>
      </c>
      <c r="B117" s="386" t="s">
        <v>303</v>
      </c>
      <c r="C117" s="388"/>
      <c r="D117" s="388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91">
        <f t="shared" si="35"/>
        <v>0</v>
      </c>
      <c r="AB117" s="392">
        <f t="shared" si="36"/>
        <v>0</v>
      </c>
      <c r="AC117" s="404"/>
      <c r="AD117" s="404"/>
      <c r="AE117" s="404"/>
      <c r="AF117" s="404"/>
      <c r="AG117" s="449"/>
      <c r="AH117" s="449"/>
      <c r="AI117" s="449"/>
      <c r="AJ117" s="449"/>
      <c r="AK117" s="449"/>
      <c r="AL117" s="449"/>
      <c r="AM117" s="449"/>
      <c r="AN117" s="449"/>
      <c r="AO117" s="449"/>
      <c r="AP117" s="449"/>
      <c r="AQ117" s="449"/>
      <c r="AR117" s="449"/>
      <c r="AS117" s="449"/>
      <c r="AT117" s="449"/>
      <c r="AU117" s="449"/>
      <c r="AV117" s="449"/>
      <c r="AW117" s="449"/>
      <c r="AX117" s="449"/>
      <c r="AY117" s="449"/>
    </row>
    <row r="118" ht="39.75" customHeight="1">
      <c r="A118" s="402" t="s">
        <v>304</v>
      </c>
      <c r="B118" s="386" t="s">
        <v>305</v>
      </c>
      <c r="C118" s="387"/>
      <c r="D118" s="388"/>
      <c r="E118" s="389"/>
      <c r="F118" s="389"/>
      <c r="G118" s="394"/>
      <c r="H118" s="389"/>
      <c r="I118" s="394"/>
      <c r="J118" s="389"/>
      <c r="K118" s="394"/>
      <c r="L118" s="389"/>
      <c r="M118" s="389"/>
      <c r="N118" s="389"/>
      <c r="O118" s="389"/>
      <c r="P118" s="389"/>
      <c r="Q118" s="394"/>
      <c r="R118" s="389"/>
      <c r="S118" s="394"/>
      <c r="T118" s="389"/>
      <c r="U118" s="389"/>
      <c r="V118" s="389"/>
      <c r="W118" s="389"/>
      <c r="X118" s="389"/>
      <c r="Y118" s="389"/>
      <c r="Z118" s="389"/>
      <c r="AA118" s="391">
        <f t="shared" si="35"/>
        <v>0</v>
      </c>
      <c r="AB118" s="392">
        <f t="shared" si="36"/>
        <v>0</v>
      </c>
      <c r="AG118" s="449"/>
      <c r="AH118" s="449"/>
      <c r="AI118" s="449"/>
      <c r="AJ118" s="449"/>
      <c r="AK118" s="449"/>
      <c r="AL118" s="449"/>
      <c r="AM118" s="449"/>
      <c r="AN118" s="449"/>
      <c r="AO118" s="449"/>
      <c r="AP118" s="449"/>
      <c r="AQ118" s="449"/>
      <c r="AR118" s="449"/>
      <c r="AS118" s="449"/>
      <c r="AT118" s="449"/>
      <c r="AU118" s="449"/>
      <c r="AV118" s="449"/>
      <c r="AW118" s="449"/>
      <c r="AX118" s="449"/>
      <c r="AY118" s="449"/>
    </row>
    <row r="119" ht="39.75" customHeight="1">
      <c r="A119" s="402" t="s">
        <v>306</v>
      </c>
      <c r="B119" s="386" t="s">
        <v>307</v>
      </c>
      <c r="C119" s="387"/>
      <c r="D119" s="388"/>
      <c r="E119" s="394" t="s">
        <v>57</v>
      </c>
      <c r="F119" s="389"/>
      <c r="G119" s="394" t="s">
        <v>68</v>
      </c>
      <c r="H119" s="389"/>
      <c r="I119" s="394" t="s">
        <v>68</v>
      </c>
      <c r="J119" s="389"/>
      <c r="K119" s="394" t="s">
        <v>68</v>
      </c>
      <c r="L119" s="389"/>
      <c r="M119" s="394" t="s">
        <v>68</v>
      </c>
      <c r="N119" s="389"/>
      <c r="O119" s="394" t="s">
        <v>68</v>
      </c>
      <c r="P119" s="389"/>
      <c r="Q119" s="394"/>
      <c r="R119" s="389"/>
      <c r="S119" s="394" t="s">
        <v>57</v>
      </c>
      <c r="T119" s="389"/>
      <c r="U119" s="394" t="s">
        <v>57</v>
      </c>
      <c r="V119" s="394"/>
      <c r="W119" s="394" t="s">
        <v>57</v>
      </c>
      <c r="X119" s="394"/>
      <c r="Y119" s="394" t="s">
        <v>57</v>
      </c>
      <c r="Z119" s="394"/>
      <c r="AA119" s="391">
        <f t="shared" si="35"/>
        <v>10</v>
      </c>
      <c r="AB119" s="392">
        <f t="shared" si="36"/>
        <v>10</v>
      </c>
      <c r="AG119" s="449"/>
      <c r="AH119" s="449"/>
      <c r="AI119" s="449"/>
      <c r="AJ119" s="449"/>
      <c r="AK119" s="449"/>
      <c r="AL119" s="449"/>
      <c r="AM119" s="449"/>
      <c r="AN119" s="449"/>
      <c r="AO119" s="449"/>
      <c r="AP119" s="449"/>
      <c r="AQ119" s="449"/>
      <c r="AR119" s="449"/>
      <c r="AS119" s="449"/>
      <c r="AT119" s="449"/>
      <c r="AU119" s="449"/>
      <c r="AV119" s="449"/>
      <c r="AW119" s="449"/>
      <c r="AX119" s="449"/>
      <c r="AY119" s="449"/>
    </row>
    <row r="120" ht="39.75" customHeight="1">
      <c r="A120" s="402" t="s">
        <v>308</v>
      </c>
      <c r="B120" s="386" t="s">
        <v>309</v>
      </c>
      <c r="C120" s="387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94"/>
      <c r="V120" s="394"/>
      <c r="W120" s="394"/>
      <c r="X120" s="394"/>
      <c r="Y120" s="394"/>
      <c r="Z120" s="394"/>
      <c r="AA120" s="391">
        <f t="shared" si="35"/>
        <v>0</v>
      </c>
      <c r="AB120" s="392">
        <f t="shared" si="36"/>
        <v>0</v>
      </c>
      <c r="AG120" s="449"/>
      <c r="AH120" s="449"/>
      <c r="AI120" s="449"/>
      <c r="AJ120" s="449"/>
      <c r="AK120" s="449"/>
      <c r="AL120" s="449"/>
      <c r="AM120" s="449"/>
      <c r="AN120" s="449"/>
      <c r="AO120" s="449"/>
      <c r="AP120" s="449"/>
      <c r="AQ120" s="449"/>
      <c r="AR120" s="449"/>
      <c r="AS120" s="449"/>
      <c r="AT120" s="449"/>
      <c r="AU120" s="449"/>
      <c r="AV120" s="449"/>
      <c r="AW120" s="449"/>
      <c r="AX120" s="449"/>
      <c r="AY120" s="449"/>
    </row>
    <row r="121" ht="39.75" customHeight="1">
      <c r="A121" s="402" t="s">
        <v>310</v>
      </c>
      <c r="B121" s="386" t="s">
        <v>311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  <c r="AA121" s="391">
        <f t="shared" si="35"/>
        <v>0</v>
      </c>
      <c r="AB121" s="392">
        <f t="shared" si="36"/>
        <v>0</v>
      </c>
      <c r="AG121" s="449"/>
      <c r="AH121" s="449"/>
      <c r="AI121" s="449"/>
      <c r="AJ121" s="449"/>
      <c r="AK121" s="449"/>
      <c r="AL121" s="449"/>
      <c r="AM121" s="449"/>
      <c r="AN121" s="449"/>
      <c r="AO121" s="449"/>
      <c r="AP121" s="449"/>
      <c r="AQ121" s="449"/>
      <c r="AR121" s="449"/>
      <c r="AS121" s="449"/>
      <c r="AT121" s="449"/>
      <c r="AU121" s="449"/>
      <c r="AV121" s="449"/>
      <c r="AW121" s="449"/>
      <c r="AX121" s="449"/>
      <c r="AY121" s="449"/>
    </row>
    <row r="122" ht="39.75" customHeight="1">
      <c r="A122" s="402" t="s">
        <v>312</v>
      </c>
      <c r="B122" s="386" t="s">
        <v>313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  <c r="AA122" s="391">
        <f t="shared" si="35"/>
        <v>0</v>
      </c>
      <c r="AB122" s="392">
        <f t="shared" si="36"/>
        <v>0</v>
      </c>
      <c r="AG122" s="449"/>
      <c r="AH122" s="449"/>
      <c r="AI122" s="449"/>
      <c r="AJ122" s="449"/>
      <c r="AK122" s="449"/>
      <c r="AL122" s="449"/>
      <c r="AM122" s="449"/>
      <c r="AN122" s="449"/>
      <c r="AO122" s="449"/>
      <c r="AP122" s="449"/>
      <c r="AQ122" s="449"/>
      <c r="AR122" s="449"/>
      <c r="AS122" s="449"/>
      <c r="AT122" s="449"/>
      <c r="AU122" s="449"/>
      <c r="AV122" s="449"/>
      <c r="AW122" s="449"/>
      <c r="AX122" s="449"/>
      <c r="AY122" s="449"/>
    </row>
    <row r="123" ht="39.75" customHeight="1">
      <c r="A123" s="402" t="s">
        <v>314</v>
      </c>
      <c r="B123" s="386" t="s">
        <v>315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  <c r="AA123" s="391">
        <f t="shared" si="35"/>
        <v>0</v>
      </c>
      <c r="AB123" s="392">
        <f t="shared" si="36"/>
        <v>0</v>
      </c>
      <c r="AG123" s="449"/>
      <c r="AH123" s="449"/>
      <c r="AI123" s="449"/>
      <c r="AJ123" s="449"/>
      <c r="AK123" s="449"/>
      <c r="AL123" s="449"/>
      <c r="AM123" s="449"/>
      <c r="AN123" s="449"/>
      <c r="AO123" s="449"/>
      <c r="AP123" s="449"/>
      <c r="AQ123" s="449"/>
      <c r="AR123" s="449"/>
      <c r="AS123" s="449"/>
      <c r="AT123" s="449"/>
      <c r="AU123" s="449"/>
      <c r="AV123" s="449"/>
      <c r="AW123" s="449"/>
      <c r="AX123" s="449"/>
      <c r="AY123" s="449"/>
    </row>
    <row r="124" ht="39.75" customHeight="1">
      <c r="A124" s="402" t="s">
        <v>316</v>
      </c>
      <c r="B124" s="386" t="s">
        <v>317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  <c r="AA124" s="391">
        <f t="shared" si="35"/>
        <v>0</v>
      </c>
      <c r="AB124" s="392">
        <f t="shared" si="36"/>
        <v>0</v>
      </c>
      <c r="AG124" s="449"/>
      <c r="AH124" s="449"/>
      <c r="AI124" s="449"/>
      <c r="AJ124" s="449"/>
      <c r="AK124" s="449"/>
      <c r="AL124" s="449"/>
      <c r="AM124" s="449"/>
      <c r="AN124" s="449"/>
      <c r="AO124" s="449"/>
      <c r="AP124" s="449"/>
      <c r="AQ124" s="449"/>
      <c r="AR124" s="449"/>
      <c r="AS124" s="449"/>
      <c r="AT124" s="449"/>
      <c r="AU124" s="449"/>
      <c r="AV124" s="449"/>
      <c r="AW124" s="449"/>
      <c r="AX124" s="449"/>
      <c r="AY124" s="449"/>
    </row>
    <row r="125" ht="39.75" customHeight="1">
      <c r="A125" s="402" t="s">
        <v>318</v>
      </c>
      <c r="B125" s="386" t="s">
        <v>319</v>
      </c>
      <c r="C125" s="387"/>
      <c r="D125" s="387"/>
      <c r="E125" s="387"/>
      <c r="F125" s="394"/>
      <c r="G125" s="387"/>
      <c r="H125" s="394"/>
      <c r="I125" s="387"/>
      <c r="J125" s="394"/>
      <c r="K125" s="387"/>
      <c r="L125" s="394"/>
      <c r="M125" s="387"/>
      <c r="N125" s="394"/>
      <c r="O125" s="387"/>
      <c r="P125" s="394"/>
      <c r="Q125" s="387"/>
      <c r="R125" s="394"/>
      <c r="S125" s="387"/>
      <c r="T125" s="394"/>
      <c r="U125" s="387"/>
      <c r="V125" s="394"/>
      <c r="W125" s="387"/>
      <c r="X125" s="394"/>
      <c r="Y125" s="394"/>
      <c r="Z125" s="394"/>
      <c r="AA125" s="391">
        <f t="shared" si="35"/>
        <v>0</v>
      </c>
      <c r="AB125" s="392">
        <f t="shared" si="36"/>
        <v>0</v>
      </c>
      <c r="AG125" s="449"/>
      <c r="AH125" s="449"/>
      <c r="AI125" s="449"/>
      <c r="AJ125" s="449"/>
      <c r="AK125" s="449"/>
      <c r="AL125" s="449"/>
      <c r="AM125" s="449"/>
      <c r="AN125" s="449"/>
      <c r="AO125" s="449"/>
      <c r="AP125" s="449"/>
      <c r="AQ125" s="449"/>
      <c r="AR125" s="449"/>
      <c r="AS125" s="449"/>
      <c r="AT125" s="449"/>
      <c r="AU125" s="449"/>
      <c r="AV125" s="449"/>
      <c r="AW125" s="449"/>
      <c r="AX125" s="449"/>
      <c r="AY125" s="449"/>
    </row>
    <row r="126" ht="39.75" customHeight="1">
      <c r="A126" s="423" t="s">
        <v>320</v>
      </c>
      <c r="B126" s="424" t="s">
        <v>321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401"/>
      <c r="AG126" s="449"/>
      <c r="AH126" s="449"/>
      <c r="AI126" s="449"/>
      <c r="AJ126" s="449"/>
      <c r="AK126" s="449"/>
      <c r="AL126" s="449"/>
      <c r="AM126" s="449"/>
      <c r="AN126" s="449"/>
      <c r="AO126" s="449"/>
      <c r="AP126" s="449"/>
      <c r="AQ126" s="449"/>
      <c r="AR126" s="449"/>
      <c r="AS126" s="449"/>
      <c r="AT126" s="449"/>
      <c r="AU126" s="449"/>
      <c r="AV126" s="449"/>
      <c r="AW126" s="449"/>
      <c r="AX126" s="449"/>
      <c r="AY126" s="449"/>
    </row>
    <row r="127" ht="39.75" customHeight="1">
      <c r="A127" s="378" t="s">
        <v>322</v>
      </c>
      <c r="B127" s="425" t="s">
        <v>323</v>
      </c>
      <c r="C127" s="397"/>
      <c r="D127" s="398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401"/>
      <c r="AG127" s="449"/>
      <c r="AH127" s="449"/>
      <c r="AI127" s="449"/>
      <c r="AJ127" s="449"/>
      <c r="AK127" s="449"/>
      <c r="AL127" s="449"/>
      <c r="AM127" s="449"/>
      <c r="AN127" s="449"/>
      <c r="AO127" s="449"/>
      <c r="AP127" s="449"/>
      <c r="AQ127" s="449"/>
      <c r="AR127" s="449"/>
      <c r="AS127" s="449"/>
      <c r="AT127" s="449"/>
      <c r="AU127" s="449"/>
      <c r="AV127" s="449"/>
      <c r="AW127" s="449"/>
      <c r="AX127" s="449"/>
      <c r="AY127" s="449"/>
    </row>
    <row r="128" ht="39.75" customHeight="1">
      <c r="A128" s="411" t="s">
        <v>324</v>
      </c>
      <c r="B128" s="426" t="s">
        <v>325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94"/>
      <c r="Z128" s="394"/>
      <c r="AA128" s="391">
        <f t="shared" ref="AA128:AA139" si="37">COUNTIF(C128:Z128,"&gt;=R")</f>
        <v>0</v>
      </c>
      <c r="AB128" s="392">
        <f t="shared" ref="AB128:AB139" si="38">AA128</f>
        <v>0</v>
      </c>
      <c r="AG128" s="449"/>
      <c r="AH128" s="449"/>
      <c r="AI128" s="449"/>
      <c r="AJ128" s="449"/>
      <c r="AK128" s="449"/>
      <c r="AL128" s="449"/>
      <c r="AM128" s="449"/>
      <c r="AN128" s="449"/>
      <c r="AO128" s="449"/>
      <c r="AP128" s="449"/>
      <c r="AQ128" s="449"/>
      <c r="AR128" s="449"/>
      <c r="AS128" s="449"/>
      <c r="AT128" s="449"/>
      <c r="AU128" s="449"/>
      <c r="AV128" s="449"/>
      <c r="AW128" s="449"/>
      <c r="AX128" s="449"/>
      <c r="AY128" s="449"/>
    </row>
    <row r="129" ht="39.75" customHeight="1">
      <c r="A129" s="427" t="s">
        <v>326</v>
      </c>
      <c r="B129" s="428" t="s">
        <v>327</v>
      </c>
      <c r="C129" s="387"/>
      <c r="D129" s="387"/>
      <c r="E129" s="387"/>
      <c r="F129" s="394"/>
      <c r="G129" s="387"/>
      <c r="H129" s="394"/>
      <c r="I129" s="387"/>
      <c r="J129" s="394"/>
      <c r="K129" s="387"/>
      <c r="L129" s="394"/>
      <c r="M129" s="387"/>
      <c r="N129" s="394"/>
      <c r="O129" s="387"/>
      <c r="P129" s="394"/>
      <c r="Q129" s="387"/>
      <c r="R129" s="394"/>
      <c r="S129" s="387"/>
      <c r="T129" s="394"/>
      <c r="U129" s="387"/>
      <c r="V129" s="394"/>
      <c r="W129" s="387"/>
      <c r="X129" s="394"/>
      <c r="Y129" s="394"/>
      <c r="Z129" s="394"/>
      <c r="AA129" s="391">
        <f t="shared" si="37"/>
        <v>0</v>
      </c>
      <c r="AB129" s="392">
        <f t="shared" si="38"/>
        <v>0</v>
      </c>
      <c r="AG129" s="449"/>
      <c r="AH129" s="449"/>
      <c r="AI129" s="449"/>
      <c r="AJ129" s="449"/>
      <c r="AK129" s="449"/>
      <c r="AL129" s="449"/>
      <c r="AM129" s="449"/>
      <c r="AN129" s="449"/>
      <c r="AO129" s="449"/>
      <c r="AP129" s="449"/>
      <c r="AQ129" s="449"/>
      <c r="AR129" s="449"/>
      <c r="AS129" s="449"/>
      <c r="AT129" s="449"/>
      <c r="AU129" s="449"/>
      <c r="AV129" s="449"/>
      <c r="AW129" s="449"/>
      <c r="AX129" s="449"/>
      <c r="AY129" s="449"/>
    </row>
    <row r="130" ht="39.75" customHeight="1">
      <c r="A130" s="411" t="s">
        <v>328</v>
      </c>
      <c r="B130" s="426" t="s">
        <v>329</v>
      </c>
      <c r="C130" s="387"/>
      <c r="D130" s="387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89"/>
      <c r="P130" s="394"/>
      <c r="Q130" s="389"/>
      <c r="R130" s="394"/>
      <c r="S130" s="389"/>
      <c r="T130" s="394"/>
      <c r="U130" s="389"/>
      <c r="V130" s="394"/>
      <c r="W130" s="389"/>
      <c r="X130" s="394"/>
      <c r="Y130" s="394"/>
      <c r="Z130" s="394"/>
      <c r="AA130" s="391">
        <f t="shared" si="37"/>
        <v>0</v>
      </c>
      <c r="AB130" s="392">
        <f t="shared" si="38"/>
        <v>0</v>
      </c>
      <c r="AG130" s="449"/>
      <c r="AH130" s="449"/>
      <c r="AI130" s="449"/>
      <c r="AJ130" s="449"/>
      <c r="AK130" s="449"/>
      <c r="AL130" s="449"/>
      <c r="AM130" s="449"/>
      <c r="AN130" s="449"/>
      <c r="AO130" s="449"/>
      <c r="AP130" s="449"/>
      <c r="AQ130" s="449"/>
      <c r="AR130" s="449"/>
      <c r="AS130" s="449"/>
      <c r="AT130" s="449"/>
      <c r="AU130" s="449"/>
      <c r="AV130" s="449"/>
      <c r="AW130" s="449"/>
      <c r="AX130" s="449"/>
      <c r="AY130" s="449"/>
    </row>
    <row r="131" ht="39.75" customHeight="1">
      <c r="A131" s="411" t="s">
        <v>330</v>
      </c>
      <c r="B131" s="426" t="s">
        <v>331</v>
      </c>
      <c r="C131" s="388"/>
      <c r="D131" s="387"/>
      <c r="E131" s="389"/>
      <c r="F131" s="394"/>
      <c r="G131" s="389"/>
      <c r="H131" s="394"/>
      <c r="I131" s="389"/>
      <c r="J131" s="394"/>
      <c r="K131" s="389"/>
      <c r="L131" s="394"/>
      <c r="M131" s="389"/>
      <c r="N131" s="394"/>
      <c r="O131" s="389"/>
      <c r="P131" s="394"/>
      <c r="Q131" s="389"/>
      <c r="R131" s="394"/>
      <c r="S131" s="389"/>
      <c r="T131" s="394"/>
      <c r="U131" s="389"/>
      <c r="V131" s="394"/>
      <c r="W131" s="389"/>
      <c r="X131" s="394"/>
      <c r="Y131" s="394"/>
      <c r="Z131" s="394"/>
      <c r="AA131" s="391">
        <f t="shared" si="37"/>
        <v>0</v>
      </c>
      <c r="AB131" s="392">
        <f t="shared" si="38"/>
        <v>0</v>
      </c>
      <c r="AG131" s="449"/>
      <c r="AH131" s="449"/>
      <c r="AI131" s="449"/>
      <c r="AJ131" s="449"/>
      <c r="AK131" s="449"/>
      <c r="AL131" s="449"/>
      <c r="AM131" s="449"/>
      <c r="AN131" s="449"/>
      <c r="AO131" s="449"/>
      <c r="AP131" s="449"/>
      <c r="AQ131" s="449"/>
      <c r="AR131" s="449"/>
      <c r="AS131" s="449"/>
      <c r="AT131" s="449"/>
      <c r="AU131" s="449"/>
      <c r="AV131" s="449"/>
      <c r="AW131" s="449"/>
      <c r="AX131" s="449"/>
      <c r="AY131" s="449"/>
    </row>
    <row r="132" ht="39.75" customHeight="1">
      <c r="A132" s="411" t="s">
        <v>332</v>
      </c>
      <c r="B132" s="426" t="s">
        <v>333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  <c r="AA132" s="391">
        <f t="shared" si="37"/>
        <v>0</v>
      </c>
      <c r="AB132" s="392">
        <f t="shared" si="38"/>
        <v>0</v>
      </c>
      <c r="AG132" s="449"/>
      <c r="AH132" s="449"/>
      <c r="AI132" s="449"/>
      <c r="AJ132" s="449"/>
      <c r="AK132" s="449"/>
      <c r="AL132" s="449"/>
      <c r="AM132" s="449"/>
      <c r="AN132" s="449"/>
      <c r="AO132" s="449"/>
      <c r="AP132" s="449"/>
      <c r="AQ132" s="449"/>
      <c r="AR132" s="449"/>
      <c r="AS132" s="449"/>
      <c r="AT132" s="449"/>
      <c r="AU132" s="449"/>
      <c r="AV132" s="449"/>
      <c r="AW132" s="449"/>
      <c r="AX132" s="449"/>
      <c r="AY132" s="449"/>
    </row>
    <row r="133" ht="39.75" customHeight="1">
      <c r="A133" s="411" t="s">
        <v>334</v>
      </c>
      <c r="B133" s="426" t="s">
        <v>335</v>
      </c>
      <c r="C133" s="387"/>
      <c r="D133" s="388"/>
      <c r="E133" s="387"/>
      <c r="F133" s="389"/>
      <c r="G133" s="387"/>
      <c r="H133" s="389"/>
      <c r="I133" s="387"/>
      <c r="J133" s="389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94"/>
      <c r="Z133" s="394"/>
      <c r="AA133" s="391">
        <f t="shared" si="37"/>
        <v>0</v>
      </c>
      <c r="AB133" s="392">
        <f t="shared" si="38"/>
        <v>0</v>
      </c>
      <c r="AG133" s="449"/>
      <c r="AH133" s="449"/>
      <c r="AI133" s="449"/>
      <c r="AJ133" s="449"/>
      <c r="AK133" s="449"/>
      <c r="AL133" s="449"/>
      <c r="AM133" s="449"/>
      <c r="AN133" s="449"/>
      <c r="AO133" s="449"/>
      <c r="AP133" s="449"/>
      <c r="AQ133" s="449"/>
      <c r="AR133" s="449"/>
      <c r="AS133" s="449"/>
      <c r="AT133" s="449"/>
      <c r="AU133" s="449"/>
      <c r="AV133" s="449"/>
      <c r="AW133" s="449"/>
      <c r="AX133" s="449"/>
      <c r="AY133" s="449"/>
    </row>
    <row r="134" ht="39.75" customHeight="1">
      <c r="A134" s="411" t="s">
        <v>336</v>
      </c>
      <c r="B134" s="426" t="s">
        <v>337</v>
      </c>
      <c r="C134" s="387"/>
      <c r="D134" s="387"/>
      <c r="E134" s="387"/>
      <c r="F134" s="394"/>
      <c r="G134" s="387"/>
      <c r="H134" s="394"/>
      <c r="I134" s="387"/>
      <c r="J134" s="394"/>
      <c r="K134" s="387"/>
      <c r="L134" s="394"/>
      <c r="M134" s="387"/>
      <c r="N134" s="394"/>
      <c r="O134" s="387"/>
      <c r="P134" s="394"/>
      <c r="Q134" s="387"/>
      <c r="R134" s="394"/>
      <c r="S134" s="387"/>
      <c r="T134" s="394"/>
      <c r="U134" s="387"/>
      <c r="V134" s="394"/>
      <c r="W134" s="387"/>
      <c r="X134" s="394"/>
      <c r="Y134" s="394"/>
      <c r="Z134" s="394"/>
      <c r="AA134" s="391">
        <f t="shared" si="37"/>
        <v>0</v>
      </c>
      <c r="AB134" s="392">
        <f t="shared" si="38"/>
        <v>0</v>
      </c>
      <c r="AG134" s="449"/>
      <c r="AH134" s="449"/>
      <c r="AI134" s="449"/>
      <c r="AJ134" s="449"/>
      <c r="AK134" s="449"/>
      <c r="AL134" s="449"/>
      <c r="AM134" s="449"/>
      <c r="AN134" s="449"/>
      <c r="AO134" s="449"/>
      <c r="AP134" s="449"/>
      <c r="AQ134" s="449"/>
      <c r="AR134" s="449"/>
      <c r="AS134" s="449"/>
      <c r="AT134" s="449"/>
      <c r="AU134" s="449"/>
      <c r="AV134" s="449"/>
      <c r="AW134" s="449"/>
      <c r="AX134" s="449"/>
      <c r="AY134" s="449"/>
    </row>
    <row r="135" ht="39.75" customHeight="1">
      <c r="A135" s="411" t="s">
        <v>338</v>
      </c>
      <c r="B135" s="426" t="s">
        <v>339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  <c r="AA135" s="391">
        <f t="shared" si="37"/>
        <v>0</v>
      </c>
      <c r="AB135" s="392">
        <f t="shared" si="38"/>
        <v>0</v>
      </c>
      <c r="AG135" s="449"/>
      <c r="AH135" s="449"/>
      <c r="AI135" s="449"/>
      <c r="AJ135" s="449"/>
      <c r="AK135" s="449"/>
      <c r="AL135" s="449"/>
      <c r="AM135" s="449"/>
      <c r="AN135" s="449"/>
      <c r="AO135" s="449"/>
      <c r="AP135" s="449"/>
      <c r="AQ135" s="449"/>
      <c r="AR135" s="449"/>
      <c r="AS135" s="449"/>
      <c r="AT135" s="449"/>
      <c r="AU135" s="449"/>
      <c r="AV135" s="449"/>
      <c r="AW135" s="449"/>
      <c r="AX135" s="449"/>
      <c r="AY135" s="449"/>
    </row>
    <row r="136" ht="39.75" customHeight="1">
      <c r="A136" s="411" t="s">
        <v>340</v>
      </c>
      <c r="B136" s="426" t="s">
        <v>341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  <c r="AA136" s="391">
        <f t="shared" si="37"/>
        <v>0</v>
      </c>
      <c r="AB136" s="392">
        <f t="shared" si="38"/>
        <v>0</v>
      </c>
      <c r="AG136" s="449"/>
      <c r="AH136" s="449"/>
      <c r="AI136" s="449"/>
      <c r="AJ136" s="449"/>
      <c r="AK136" s="449"/>
      <c r="AL136" s="449"/>
      <c r="AM136" s="449"/>
      <c r="AN136" s="449"/>
      <c r="AO136" s="449"/>
      <c r="AP136" s="449"/>
      <c r="AQ136" s="449"/>
      <c r="AR136" s="449"/>
      <c r="AS136" s="449"/>
      <c r="AT136" s="449"/>
      <c r="AU136" s="449"/>
      <c r="AV136" s="449"/>
      <c r="AW136" s="449"/>
      <c r="AX136" s="449"/>
      <c r="AY136" s="449"/>
    </row>
    <row r="137" ht="39.75" customHeight="1">
      <c r="A137" s="411" t="s">
        <v>342</v>
      </c>
      <c r="B137" s="426" t="s">
        <v>343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  <c r="AA137" s="391">
        <f t="shared" si="37"/>
        <v>0</v>
      </c>
      <c r="AB137" s="392">
        <f t="shared" si="38"/>
        <v>0</v>
      </c>
      <c r="AG137" s="449"/>
      <c r="AH137" s="449"/>
      <c r="AI137" s="449"/>
      <c r="AJ137" s="449"/>
      <c r="AK137" s="449"/>
      <c r="AL137" s="449"/>
      <c r="AM137" s="449"/>
      <c r="AN137" s="449"/>
      <c r="AO137" s="449"/>
      <c r="AP137" s="449"/>
      <c r="AQ137" s="449"/>
      <c r="AR137" s="449"/>
      <c r="AS137" s="449"/>
      <c r="AT137" s="449"/>
      <c r="AU137" s="449"/>
      <c r="AV137" s="449"/>
      <c r="AW137" s="449"/>
      <c r="AX137" s="449"/>
      <c r="AY137" s="449"/>
    </row>
    <row r="138" ht="39.75" customHeight="1">
      <c r="A138" s="411" t="s">
        <v>344</v>
      </c>
      <c r="B138" s="426" t="s">
        <v>345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  <c r="AA138" s="391">
        <f t="shared" si="37"/>
        <v>0</v>
      </c>
      <c r="AB138" s="392">
        <f t="shared" si="38"/>
        <v>0</v>
      </c>
      <c r="AG138" s="449"/>
      <c r="AH138" s="449"/>
      <c r="AI138" s="449"/>
      <c r="AJ138" s="449"/>
      <c r="AK138" s="449"/>
      <c r="AL138" s="449"/>
      <c r="AM138" s="449"/>
      <c r="AN138" s="449"/>
      <c r="AO138" s="449"/>
      <c r="AP138" s="449"/>
      <c r="AQ138" s="449"/>
      <c r="AR138" s="449"/>
      <c r="AS138" s="449"/>
      <c r="AT138" s="449"/>
      <c r="AU138" s="449"/>
      <c r="AV138" s="449"/>
      <c r="AW138" s="449"/>
      <c r="AX138" s="449"/>
      <c r="AY138" s="449"/>
    </row>
    <row r="139" ht="39.75" customHeight="1">
      <c r="A139" s="411" t="s">
        <v>346</v>
      </c>
      <c r="B139" s="426" t="s">
        <v>347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  <c r="AA139" s="391">
        <f t="shared" si="37"/>
        <v>0</v>
      </c>
      <c r="AB139" s="392">
        <f t="shared" si="38"/>
        <v>0</v>
      </c>
      <c r="AG139" s="449"/>
      <c r="AH139" s="449"/>
      <c r="AI139" s="449"/>
      <c r="AJ139" s="449"/>
      <c r="AK139" s="449"/>
      <c r="AL139" s="449"/>
      <c r="AM139" s="449"/>
      <c r="AN139" s="449"/>
      <c r="AO139" s="449"/>
      <c r="AP139" s="449"/>
      <c r="AQ139" s="449"/>
      <c r="AR139" s="449"/>
      <c r="AS139" s="449"/>
      <c r="AT139" s="449"/>
      <c r="AU139" s="449"/>
      <c r="AV139" s="449"/>
      <c r="AW139" s="449"/>
      <c r="AX139" s="449"/>
      <c r="AY139" s="449"/>
    </row>
    <row r="140" ht="39.75" customHeight="1">
      <c r="A140" s="395" t="s">
        <v>348</v>
      </c>
      <c r="B140" s="422" t="s">
        <v>349</v>
      </c>
      <c r="C140" s="397"/>
      <c r="D140" s="398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401"/>
      <c r="AG140" s="449"/>
      <c r="AH140" s="449"/>
      <c r="AI140" s="449"/>
      <c r="AJ140" s="449"/>
      <c r="AK140" s="449"/>
      <c r="AL140" s="449"/>
      <c r="AM140" s="449"/>
      <c r="AN140" s="449"/>
      <c r="AO140" s="449"/>
      <c r="AP140" s="449"/>
      <c r="AQ140" s="449"/>
      <c r="AR140" s="449"/>
      <c r="AS140" s="449"/>
      <c r="AT140" s="449"/>
      <c r="AU140" s="449"/>
      <c r="AV140" s="449"/>
      <c r="AW140" s="449"/>
      <c r="AX140" s="449"/>
      <c r="AY140" s="449"/>
    </row>
    <row r="141" ht="39.75" customHeight="1">
      <c r="A141" s="411" t="s">
        <v>350</v>
      </c>
      <c r="B141" s="412" t="s">
        <v>351</v>
      </c>
      <c r="C141" s="387"/>
      <c r="D141" s="387"/>
      <c r="E141" s="387"/>
      <c r="F141" s="394"/>
      <c r="G141" s="387"/>
      <c r="H141" s="394"/>
      <c r="I141" s="387"/>
      <c r="J141" s="394"/>
      <c r="K141" s="387"/>
      <c r="L141" s="394"/>
      <c r="M141" s="387"/>
      <c r="N141" s="394"/>
      <c r="O141" s="387"/>
      <c r="P141" s="394"/>
      <c r="Q141" s="387"/>
      <c r="R141" s="394"/>
      <c r="S141" s="387"/>
      <c r="T141" s="394"/>
      <c r="U141" s="387"/>
      <c r="V141" s="394"/>
      <c r="W141" s="387"/>
      <c r="X141" s="394"/>
      <c r="Y141" s="394"/>
      <c r="Z141" s="394"/>
      <c r="AA141" s="391">
        <f t="shared" ref="AA141:AA143" si="39">COUNTIF(C141:Z141,"&gt;=R")</f>
        <v>0</v>
      </c>
      <c r="AB141" s="392">
        <f t="shared" ref="AB141:AB143" si="40">AA141</f>
        <v>0</v>
      </c>
      <c r="AG141" s="449"/>
      <c r="AH141" s="449"/>
      <c r="AI141" s="449"/>
      <c r="AJ141" s="449"/>
      <c r="AK141" s="449"/>
      <c r="AL141" s="449"/>
      <c r="AM141" s="449"/>
      <c r="AN141" s="449"/>
      <c r="AO141" s="449"/>
      <c r="AP141" s="449"/>
      <c r="AQ141" s="449"/>
      <c r="AR141" s="449"/>
      <c r="AS141" s="449"/>
      <c r="AT141" s="449"/>
      <c r="AU141" s="449"/>
      <c r="AV141" s="449"/>
      <c r="AW141" s="449"/>
      <c r="AX141" s="449"/>
      <c r="AY141" s="449"/>
    </row>
    <row r="142" ht="39.75" customHeight="1">
      <c r="A142" s="411" t="s">
        <v>352</v>
      </c>
      <c r="B142" s="412" t="s">
        <v>353</v>
      </c>
      <c r="C142" s="387"/>
      <c r="D142" s="387"/>
      <c r="E142" s="394" t="s">
        <v>66</v>
      </c>
      <c r="F142" s="394"/>
      <c r="G142" s="394" t="s">
        <v>83</v>
      </c>
      <c r="H142" s="394"/>
      <c r="I142" s="394" t="s">
        <v>83</v>
      </c>
      <c r="J142" s="394"/>
      <c r="K142" s="394" t="s">
        <v>83</v>
      </c>
      <c r="L142" s="394"/>
      <c r="M142" s="394" t="s">
        <v>83</v>
      </c>
      <c r="N142" s="394"/>
      <c r="O142" s="394" t="s">
        <v>83</v>
      </c>
      <c r="P142" s="394"/>
      <c r="Q142" s="394"/>
      <c r="R142" s="394"/>
      <c r="S142" s="394" t="s">
        <v>83</v>
      </c>
      <c r="T142" s="394"/>
      <c r="U142" s="389" t="s">
        <v>83</v>
      </c>
      <c r="V142" s="394"/>
      <c r="W142" s="389" t="s">
        <v>83</v>
      </c>
      <c r="X142" s="394"/>
      <c r="Y142" s="394" t="s">
        <v>66</v>
      </c>
      <c r="Z142" s="394"/>
      <c r="AA142" s="391">
        <f t="shared" si="39"/>
        <v>10</v>
      </c>
      <c r="AB142" s="392">
        <f t="shared" si="40"/>
        <v>10</v>
      </c>
      <c r="AG142" s="449"/>
      <c r="AH142" s="449"/>
      <c r="AI142" s="449"/>
      <c r="AJ142" s="449"/>
      <c r="AK142" s="449"/>
      <c r="AL142" s="449"/>
      <c r="AM142" s="449"/>
      <c r="AN142" s="449"/>
      <c r="AO142" s="449"/>
      <c r="AP142" s="449"/>
      <c r="AQ142" s="449"/>
      <c r="AR142" s="449"/>
      <c r="AS142" s="449"/>
      <c r="AT142" s="449"/>
      <c r="AU142" s="449"/>
      <c r="AV142" s="449"/>
      <c r="AW142" s="449"/>
      <c r="AX142" s="449"/>
      <c r="AY142" s="449"/>
    </row>
    <row r="143" ht="39.75" customHeight="1">
      <c r="A143" s="411" t="s">
        <v>354</v>
      </c>
      <c r="B143" s="412" t="s">
        <v>355</v>
      </c>
      <c r="C143" s="387"/>
      <c r="D143" s="387"/>
      <c r="E143" s="394" t="s">
        <v>66</v>
      </c>
      <c r="F143" s="394"/>
      <c r="G143" s="394" t="s">
        <v>83</v>
      </c>
      <c r="H143" s="394"/>
      <c r="I143" s="394" t="s">
        <v>83</v>
      </c>
      <c r="J143" s="394"/>
      <c r="K143" s="394" t="s">
        <v>83</v>
      </c>
      <c r="L143" s="394"/>
      <c r="M143" s="394" t="s">
        <v>83</v>
      </c>
      <c r="N143" s="394"/>
      <c r="O143" s="394" t="s">
        <v>83</v>
      </c>
      <c r="P143" s="394"/>
      <c r="Q143" s="394"/>
      <c r="R143" s="394"/>
      <c r="S143" s="394" t="s">
        <v>83</v>
      </c>
      <c r="T143" s="394"/>
      <c r="U143" s="389" t="s">
        <v>83</v>
      </c>
      <c r="V143" s="394"/>
      <c r="W143" s="389" t="s">
        <v>83</v>
      </c>
      <c r="X143" s="394"/>
      <c r="Y143" s="394" t="s">
        <v>66</v>
      </c>
      <c r="Z143" s="394"/>
      <c r="AA143" s="391">
        <f t="shared" si="39"/>
        <v>10</v>
      </c>
      <c r="AB143" s="392">
        <f t="shared" si="40"/>
        <v>10</v>
      </c>
      <c r="AG143" s="449"/>
      <c r="AH143" s="449"/>
      <c r="AI143" s="449"/>
      <c r="AJ143" s="449"/>
      <c r="AK143" s="449"/>
      <c r="AL143" s="449"/>
      <c r="AM143" s="449"/>
      <c r="AN143" s="449"/>
      <c r="AO143" s="449"/>
      <c r="AP143" s="449"/>
      <c r="AQ143" s="449"/>
      <c r="AR143" s="449"/>
      <c r="AS143" s="449"/>
      <c r="AT143" s="449"/>
      <c r="AU143" s="449"/>
      <c r="AV143" s="449"/>
      <c r="AW143" s="449"/>
      <c r="AX143" s="449"/>
      <c r="AY143" s="449"/>
    </row>
    <row r="144" ht="39.75" customHeight="1">
      <c r="A144" s="395" t="s">
        <v>356</v>
      </c>
      <c r="B144" s="422" t="s">
        <v>357</v>
      </c>
      <c r="C144" s="397"/>
      <c r="D144" s="398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  <c r="AA144" s="399"/>
      <c r="AB144" s="401"/>
      <c r="AG144" s="449"/>
      <c r="AH144" s="449"/>
      <c r="AI144" s="449"/>
      <c r="AJ144" s="449"/>
      <c r="AK144" s="449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9"/>
      <c r="AX144" s="449"/>
      <c r="AY144" s="449"/>
    </row>
    <row r="145" ht="39.75" customHeight="1">
      <c r="A145" s="411" t="s">
        <v>358</v>
      </c>
      <c r="B145" s="412" t="s">
        <v>359</v>
      </c>
      <c r="C145" s="387"/>
      <c r="D145" s="387"/>
      <c r="E145" s="387"/>
      <c r="F145" s="394"/>
      <c r="G145" s="387" t="s">
        <v>57</v>
      </c>
      <c r="H145" s="394"/>
      <c r="I145" s="387" t="s">
        <v>57</v>
      </c>
      <c r="J145" s="394"/>
      <c r="K145" s="387"/>
      <c r="L145" s="394"/>
      <c r="M145" s="387"/>
      <c r="N145" s="394"/>
      <c r="O145" s="387"/>
      <c r="P145" s="394"/>
      <c r="Q145" s="387"/>
      <c r="R145" s="394"/>
      <c r="S145" s="387" t="s">
        <v>76</v>
      </c>
      <c r="T145" s="394"/>
      <c r="U145" s="387" t="s">
        <v>76</v>
      </c>
      <c r="V145" s="394"/>
      <c r="W145" s="391"/>
      <c r="X145" s="394"/>
      <c r="Y145" s="394"/>
      <c r="Z145" s="394"/>
      <c r="AA145" s="391">
        <f t="shared" ref="AA145:AA147" si="41">COUNTIF(C145:Z145,"&gt;=R")</f>
        <v>4</v>
      </c>
      <c r="AB145" s="392">
        <f t="shared" ref="AB145:AB147" si="42">AA145</f>
        <v>4</v>
      </c>
      <c r="AG145" s="449"/>
      <c r="AH145" s="449"/>
      <c r="AI145" s="449"/>
      <c r="AJ145" s="449"/>
      <c r="AK145" s="449"/>
      <c r="AL145" s="449"/>
      <c r="AM145" s="449"/>
      <c r="AN145" s="449"/>
      <c r="AO145" s="449"/>
      <c r="AP145" s="449"/>
      <c r="AQ145" s="449"/>
      <c r="AR145" s="449"/>
      <c r="AS145" s="449"/>
      <c r="AT145" s="449"/>
      <c r="AU145" s="449"/>
      <c r="AV145" s="449"/>
      <c r="AW145" s="449"/>
      <c r="AX145" s="449"/>
      <c r="AY145" s="449"/>
    </row>
    <row r="146" ht="39.75" customHeight="1">
      <c r="A146" s="411" t="s">
        <v>360</v>
      </c>
      <c r="B146" s="412" t="s">
        <v>361</v>
      </c>
      <c r="C146" s="388" t="s">
        <v>36</v>
      </c>
      <c r="D146" s="387"/>
      <c r="E146" s="390" t="s">
        <v>16</v>
      </c>
      <c r="F146" s="394"/>
      <c r="G146" s="389" t="s">
        <v>36</v>
      </c>
      <c r="H146" s="394"/>
      <c r="I146" s="389" t="s">
        <v>36</v>
      </c>
      <c r="J146" s="394"/>
      <c r="K146" s="387" t="s">
        <v>407</v>
      </c>
      <c r="L146" s="389"/>
      <c r="M146" s="387" t="s">
        <v>407</v>
      </c>
      <c r="N146" s="389"/>
      <c r="O146" s="387" t="s">
        <v>407</v>
      </c>
      <c r="P146" s="394"/>
      <c r="Q146" s="389" t="s">
        <v>91</v>
      </c>
      <c r="R146" s="394"/>
      <c r="S146" s="390" t="s">
        <v>16</v>
      </c>
      <c r="T146" s="394"/>
      <c r="U146" s="390" t="s">
        <v>16</v>
      </c>
      <c r="V146" s="394"/>
      <c r="W146" s="390" t="s">
        <v>16</v>
      </c>
      <c r="X146" s="394"/>
      <c r="Y146" s="390" t="s">
        <v>16</v>
      </c>
      <c r="Z146" s="394"/>
      <c r="AA146" s="391">
        <f t="shared" si="41"/>
        <v>12</v>
      </c>
      <c r="AB146" s="392">
        <f t="shared" si="42"/>
        <v>12</v>
      </c>
      <c r="AG146" s="449"/>
      <c r="AH146" s="449"/>
      <c r="AI146" s="449"/>
      <c r="AJ146" s="449"/>
      <c r="AK146" s="449"/>
      <c r="AL146" s="449"/>
      <c r="AM146" s="449"/>
      <c r="AN146" s="449"/>
      <c r="AO146" s="449"/>
      <c r="AP146" s="449"/>
      <c r="AQ146" s="449"/>
      <c r="AR146" s="449"/>
      <c r="AS146" s="449"/>
      <c r="AT146" s="449"/>
      <c r="AU146" s="449"/>
      <c r="AV146" s="449"/>
      <c r="AW146" s="449"/>
      <c r="AX146" s="449"/>
      <c r="AY146" s="449"/>
    </row>
    <row r="147" ht="39.75" customHeight="1">
      <c r="A147" s="411" t="s">
        <v>362</v>
      </c>
      <c r="B147" s="412" t="s">
        <v>363</v>
      </c>
      <c r="C147" s="387" t="s">
        <v>85</v>
      </c>
      <c r="D147" s="387"/>
      <c r="E147" s="387" t="s">
        <v>85</v>
      </c>
      <c r="F147" s="394"/>
      <c r="G147" s="387" t="s">
        <v>85</v>
      </c>
      <c r="H147" s="394"/>
      <c r="I147" s="387" t="s">
        <v>85</v>
      </c>
      <c r="J147" s="394"/>
      <c r="K147" s="387" t="s">
        <v>85</v>
      </c>
      <c r="L147" s="394"/>
      <c r="M147" s="387" t="s">
        <v>85</v>
      </c>
      <c r="N147" s="394"/>
      <c r="O147" s="387" t="s">
        <v>85</v>
      </c>
      <c r="P147" s="394"/>
      <c r="Q147" s="387" t="s">
        <v>85</v>
      </c>
      <c r="R147" s="394"/>
      <c r="S147" s="387" t="s">
        <v>410</v>
      </c>
      <c r="T147" s="394"/>
      <c r="U147" s="387" t="s">
        <v>410</v>
      </c>
      <c r="V147" s="394"/>
      <c r="W147" s="387" t="s">
        <v>85</v>
      </c>
      <c r="X147" s="394"/>
      <c r="Y147" s="394" t="s">
        <v>85</v>
      </c>
      <c r="Z147" s="394"/>
      <c r="AA147" s="391">
        <f t="shared" si="41"/>
        <v>12</v>
      </c>
      <c r="AB147" s="392">
        <f t="shared" si="42"/>
        <v>12</v>
      </c>
      <c r="AG147" s="449"/>
      <c r="AH147" s="449"/>
      <c r="AI147" s="449"/>
      <c r="AJ147" s="449"/>
      <c r="AK147" s="449"/>
      <c r="AL147" s="449"/>
      <c r="AM147" s="449"/>
      <c r="AN147" s="449"/>
      <c r="AO147" s="449"/>
      <c r="AP147" s="449"/>
      <c r="AQ147" s="449"/>
      <c r="AR147" s="449"/>
      <c r="AS147" s="449"/>
      <c r="AT147" s="449"/>
      <c r="AU147" s="449"/>
      <c r="AV147" s="449"/>
      <c r="AW147" s="449"/>
      <c r="AX147" s="449"/>
      <c r="AY147" s="449"/>
    </row>
    <row r="148" ht="39.75" customHeight="1">
      <c r="A148" s="395" t="s">
        <v>364</v>
      </c>
      <c r="B148" s="396" t="s">
        <v>365</v>
      </c>
      <c r="C148" s="397"/>
      <c r="D148" s="398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  <c r="AA148" s="399"/>
      <c r="AB148" s="401"/>
      <c r="AG148" s="449"/>
      <c r="AH148" s="449"/>
      <c r="AI148" s="449"/>
      <c r="AJ148" s="449"/>
      <c r="AK148" s="449"/>
      <c r="AL148" s="449"/>
      <c r="AM148" s="449"/>
      <c r="AN148" s="449"/>
      <c r="AO148" s="449"/>
      <c r="AP148" s="449"/>
      <c r="AQ148" s="449"/>
      <c r="AR148" s="449"/>
      <c r="AS148" s="449"/>
      <c r="AT148" s="449"/>
      <c r="AU148" s="449"/>
      <c r="AV148" s="449"/>
      <c r="AW148" s="449"/>
      <c r="AX148" s="449"/>
      <c r="AY148" s="449"/>
    </row>
    <row r="149" ht="39.75" customHeight="1">
      <c r="A149" s="385" t="s">
        <v>366</v>
      </c>
      <c r="B149" s="386" t="s">
        <v>367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  <c r="AA149" s="391">
        <f t="shared" ref="AA149:AA156" si="43">COUNTIF(C149:Z149,"&gt;=R")</f>
        <v>0</v>
      </c>
      <c r="AB149" s="392">
        <f t="shared" ref="AB149:AB156" si="44">AA149</f>
        <v>0</v>
      </c>
      <c r="AG149" s="449"/>
      <c r="AH149" s="449"/>
      <c r="AI149" s="449"/>
      <c r="AJ149" s="449"/>
      <c r="AK149" s="449"/>
      <c r="AL149" s="449"/>
      <c r="AM149" s="449"/>
      <c r="AN149" s="449"/>
      <c r="AO149" s="449"/>
      <c r="AP149" s="449"/>
      <c r="AQ149" s="449"/>
      <c r="AR149" s="449"/>
      <c r="AS149" s="449"/>
      <c r="AT149" s="449"/>
      <c r="AU149" s="449"/>
      <c r="AV149" s="449"/>
      <c r="AW149" s="449"/>
      <c r="AX149" s="449"/>
      <c r="AY149" s="449"/>
    </row>
    <row r="150" ht="39.75" customHeight="1">
      <c r="A150" s="385" t="s">
        <v>368</v>
      </c>
      <c r="B150" s="386" t="s">
        <v>369</v>
      </c>
      <c r="C150" s="387"/>
      <c r="D150" s="387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  <c r="AA150" s="391">
        <f t="shared" si="43"/>
        <v>0</v>
      </c>
      <c r="AB150" s="392">
        <f t="shared" si="44"/>
        <v>0</v>
      </c>
      <c r="AG150" s="449"/>
      <c r="AH150" s="449"/>
      <c r="AI150" s="449"/>
      <c r="AJ150" s="449"/>
      <c r="AK150" s="449"/>
      <c r="AL150" s="449"/>
      <c r="AM150" s="449"/>
      <c r="AN150" s="449"/>
      <c r="AO150" s="449"/>
      <c r="AP150" s="449"/>
      <c r="AQ150" s="449"/>
      <c r="AR150" s="449"/>
      <c r="AS150" s="449"/>
      <c r="AT150" s="449"/>
      <c r="AU150" s="449"/>
      <c r="AV150" s="449"/>
      <c r="AW150" s="449"/>
      <c r="AX150" s="449"/>
      <c r="AY150" s="449"/>
    </row>
    <row r="151" ht="39.75" customHeight="1">
      <c r="A151" s="385" t="s">
        <v>370</v>
      </c>
      <c r="B151" s="386" t="s">
        <v>371</v>
      </c>
      <c r="C151" s="388"/>
      <c r="D151" s="387"/>
      <c r="E151" s="389"/>
      <c r="F151" s="394"/>
      <c r="G151" s="389"/>
      <c r="H151" s="394"/>
      <c r="I151" s="389"/>
      <c r="J151" s="394"/>
      <c r="K151" s="389"/>
      <c r="L151" s="394"/>
      <c r="M151" s="389"/>
      <c r="N151" s="394"/>
      <c r="O151" s="389"/>
      <c r="P151" s="394"/>
      <c r="Q151" s="389"/>
      <c r="R151" s="394"/>
      <c r="S151" s="389"/>
      <c r="T151" s="394"/>
      <c r="U151" s="389"/>
      <c r="V151" s="394"/>
      <c r="W151" s="389"/>
      <c r="X151" s="394"/>
      <c r="Y151" s="394"/>
      <c r="Z151" s="394"/>
      <c r="AA151" s="391">
        <f t="shared" si="43"/>
        <v>0</v>
      </c>
      <c r="AB151" s="392">
        <f t="shared" si="44"/>
        <v>0</v>
      </c>
      <c r="AG151" s="449"/>
      <c r="AH151" s="449"/>
      <c r="AI151" s="449"/>
      <c r="AJ151" s="449"/>
      <c r="AK151" s="449"/>
      <c r="AL151" s="449"/>
      <c r="AM151" s="449"/>
      <c r="AN151" s="449"/>
      <c r="AO151" s="449"/>
      <c r="AP151" s="449"/>
      <c r="AQ151" s="449"/>
      <c r="AR151" s="449"/>
      <c r="AS151" s="449"/>
      <c r="AT151" s="449"/>
      <c r="AU151" s="449"/>
      <c r="AV151" s="449"/>
      <c r="AW151" s="449"/>
      <c r="AX151" s="449"/>
      <c r="AY151" s="449"/>
    </row>
    <row r="152" ht="39.75" customHeight="1">
      <c r="A152" s="402" t="s">
        <v>372</v>
      </c>
      <c r="B152" s="806" t="s">
        <v>373</v>
      </c>
      <c r="C152" s="388" t="s">
        <v>77</v>
      </c>
      <c r="D152" s="387"/>
      <c r="E152" s="394" t="s">
        <v>75</v>
      </c>
      <c r="F152" s="394"/>
      <c r="G152" s="394" t="s">
        <v>91</v>
      </c>
      <c r="H152" s="394"/>
      <c r="I152" s="389" t="s">
        <v>91</v>
      </c>
      <c r="J152" s="394"/>
      <c r="K152" s="389" t="s">
        <v>91</v>
      </c>
      <c r="L152" s="394"/>
      <c r="M152" s="389" t="s">
        <v>91</v>
      </c>
      <c r="N152" s="394"/>
      <c r="O152" s="389" t="s">
        <v>91</v>
      </c>
      <c r="P152" s="394"/>
      <c r="Q152" s="389"/>
      <c r="R152" s="394"/>
      <c r="S152" s="389" t="s">
        <v>91</v>
      </c>
      <c r="T152" s="394"/>
      <c r="U152" s="389" t="s">
        <v>91</v>
      </c>
      <c r="V152" s="394"/>
      <c r="W152" s="394" t="s">
        <v>75</v>
      </c>
      <c r="X152" s="394"/>
      <c r="Y152" s="394" t="s">
        <v>75</v>
      </c>
      <c r="Z152" s="394"/>
      <c r="AA152" s="391">
        <f t="shared" si="43"/>
        <v>11</v>
      </c>
      <c r="AB152" s="392">
        <f t="shared" si="44"/>
        <v>11</v>
      </c>
      <c r="AG152" s="449"/>
      <c r="AH152" s="449"/>
      <c r="AI152" s="449"/>
      <c r="AJ152" s="449"/>
      <c r="AK152" s="449"/>
      <c r="AL152" s="449"/>
      <c r="AM152" s="449"/>
      <c r="AN152" s="449"/>
      <c r="AO152" s="449"/>
      <c r="AP152" s="449"/>
      <c r="AQ152" s="449"/>
      <c r="AR152" s="449"/>
      <c r="AS152" s="449"/>
      <c r="AT152" s="449"/>
      <c r="AU152" s="449"/>
      <c r="AV152" s="449"/>
      <c r="AW152" s="449"/>
      <c r="AX152" s="449"/>
      <c r="AY152" s="449"/>
    </row>
    <row r="153" ht="39.75" customHeight="1">
      <c r="A153" s="402" t="s">
        <v>374</v>
      </c>
      <c r="B153" s="806" t="s">
        <v>375</v>
      </c>
      <c r="C153" s="388"/>
      <c r="D153" s="387"/>
      <c r="E153" s="394"/>
      <c r="F153" s="394"/>
      <c r="G153" s="394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94"/>
      <c r="X153" s="394"/>
      <c r="Y153" s="394"/>
      <c r="Z153" s="394"/>
      <c r="AA153" s="391">
        <f t="shared" si="43"/>
        <v>0</v>
      </c>
      <c r="AB153" s="392">
        <f t="shared" si="44"/>
        <v>0</v>
      </c>
      <c r="AG153" s="449"/>
      <c r="AH153" s="449"/>
      <c r="AI153" s="449"/>
      <c r="AJ153" s="449"/>
      <c r="AK153" s="449"/>
      <c r="AL153" s="449"/>
      <c r="AM153" s="449"/>
      <c r="AN153" s="449"/>
      <c r="AO153" s="449"/>
      <c r="AP153" s="449"/>
      <c r="AQ153" s="449"/>
      <c r="AR153" s="449"/>
      <c r="AS153" s="449"/>
      <c r="AT153" s="449"/>
      <c r="AU153" s="449"/>
      <c r="AV153" s="449"/>
      <c r="AW153" s="449"/>
      <c r="AX153" s="449"/>
      <c r="AY153" s="449"/>
    </row>
    <row r="154" ht="39.75" customHeight="1">
      <c r="A154" s="402" t="s">
        <v>376</v>
      </c>
      <c r="B154" s="806" t="s">
        <v>377</v>
      </c>
      <c r="C154" s="388"/>
      <c r="D154" s="387"/>
      <c r="E154" s="389" t="s">
        <v>93</v>
      </c>
      <c r="F154" s="394"/>
      <c r="G154" s="389"/>
      <c r="H154" s="394"/>
      <c r="I154" s="389"/>
      <c r="J154" s="394"/>
      <c r="K154" s="389" t="s">
        <v>93</v>
      </c>
      <c r="L154" s="394"/>
      <c r="M154" s="389" t="s">
        <v>93</v>
      </c>
      <c r="N154" s="394"/>
      <c r="O154" s="389"/>
      <c r="P154" s="394"/>
      <c r="Q154" s="389"/>
      <c r="R154" s="394"/>
      <c r="S154" s="389"/>
      <c r="T154" s="394"/>
      <c r="U154" s="389"/>
      <c r="V154" s="394"/>
      <c r="W154" s="389"/>
      <c r="X154" s="394"/>
      <c r="Y154" s="394"/>
      <c r="Z154" s="394"/>
      <c r="AA154" s="391">
        <f t="shared" si="43"/>
        <v>3</v>
      </c>
      <c r="AB154" s="392">
        <f t="shared" si="44"/>
        <v>3</v>
      </c>
      <c r="AG154" s="449"/>
      <c r="AH154" s="449"/>
      <c r="AI154" s="449"/>
      <c r="AJ154" s="449"/>
      <c r="AK154" s="449"/>
      <c r="AL154" s="449"/>
      <c r="AM154" s="449"/>
      <c r="AN154" s="449"/>
      <c r="AO154" s="449"/>
      <c r="AP154" s="449"/>
      <c r="AQ154" s="449"/>
      <c r="AR154" s="449"/>
      <c r="AS154" s="449"/>
      <c r="AT154" s="449"/>
      <c r="AU154" s="449"/>
      <c r="AV154" s="449"/>
      <c r="AW154" s="449"/>
      <c r="AX154" s="449"/>
      <c r="AY154" s="449"/>
    </row>
    <row r="155" ht="39.75" customHeight="1">
      <c r="A155" s="402" t="s">
        <v>374</v>
      </c>
      <c r="B155" s="807" t="s">
        <v>375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  <c r="AA155" s="391">
        <f t="shared" si="43"/>
        <v>0</v>
      </c>
      <c r="AB155" s="392">
        <f t="shared" si="44"/>
        <v>0</v>
      </c>
      <c r="AG155" s="449"/>
      <c r="AH155" s="449"/>
      <c r="AI155" s="449"/>
      <c r="AJ155" s="449"/>
      <c r="AK155" s="449"/>
      <c r="AL155" s="449"/>
      <c r="AM155" s="449"/>
      <c r="AN155" s="449"/>
      <c r="AO155" s="449"/>
      <c r="AP155" s="449"/>
      <c r="AQ155" s="449"/>
      <c r="AR155" s="449"/>
      <c r="AS155" s="449"/>
      <c r="AT155" s="449"/>
      <c r="AU155" s="449"/>
      <c r="AV155" s="449"/>
      <c r="AW155" s="449"/>
      <c r="AX155" s="449"/>
      <c r="AY155" s="449"/>
    </row>
    <row r="156" ht="39.75" customHeight="1">
      <c r="A156" s="404" t="s">
        <v>378</v>
      </c>
      <c r="B156" s="794" t="s">
        <v>379</v>
      </c>
      <c r="C156" s="387"/>
      <c r="D156" s="387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  <c r="AA156" s="391">
        <f t="shared" si="43"/>
        <v>0</v>
      </c>
      <c r="AB156" s="392">
        <f t="shared" si="44"/>
        <v>0</v>
      </c>
    </row>
    <row r="157" ht="39.75" customHeight="1">
      <c r="A157" s="395" t="s">
        <v>380</v>
      </c>
      <c r="B157" s="396" t="s">
        <v>381</v>
      </c>
      <c r="C157" s="397"/>
      <c r="D157" s="398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  <c r="AA157" s="399"/>
      <c r="AB157" s="401"/>
      <c r="AG157" s="449"/>
      <c r="AH157" s="449"/>
      <c r="AI157" s="449"/>
      <c r="AJ157" s="449"/>
      <c r="AK157" s="449"/>
      <c r="AL157" s="449"/>
      <c r="AM157" s="449"/>
      <c r="AN157" s="449"/>
      <c r="AO157" s="449"/>
      <c r="AP157" s="449"/>
      <c r="AQ157" s="449"/>
      <c r="AR157" s="449"/>
      <c r="AS157" s="449"/>
      <c r="AT157" s="449"/>
      <c r="AU157" s="449"/>
      <c r="AV157" s="449"/>
      <c r="AW157" s="449"/>
      <c r="AX157" s="449"/>
      <c r="AY157" s="449"/>
    </row>
    <row r="158" ht="39.75" customHeight="1">
      <c r="A158" s="411" t="s">
        <v>382</v>
      </c>
      <c r="B158" s="412" t="s">
        <v>383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  <c r="AA158" s="391">
        <f t="shared" ref="AA158:AA161" si="45">COUNTIF(C158:Z158,"&gt;=R")</f>
        <v>0</v>
      </c>
      <c r="AB158" s="392">
        <f t="shared" ref="AB158:AB161" si="46">AA158</f>
        <v>0</v>
      </c>
      <c r="AG158" s="449"/>
      <c r="AH158" s="449"/>
      <c r="AI158" s="449"/>
      <c r="AJ158" s="449"/>
      <c r="AK158" s="449"/>
      <c r="AL158" s="449"/>
      <c r="AM158" s="449"/>
      <c r="AN158" s="449"/>
      <c r="AO158" s="449"/>
      <c r="AP158" s="449"/>
      <c r="AQ158" s="449"/>
      <c r="AR158" s="449"/>
      <c r="AS158" s="449"/>
      <c r="AT158" s="449"/>
      <c r="AU158" s="449"/>
      <c r="AV158" s="449"/>
      <c r="AW158" s="449"/>
      <c r="AX158" s="449"/>
      <c r="AY158" s="449"/>
    </row>
    <row r="159" ht="39.75" customHeight="1">
      <c r="A159" s="411" t="s">
        <v>384</v>
      </c>
      <c r="B159" s="412" t="s">
        <v>385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94"/>
      <c r="Z159" s="394"/>
      <c r="AA159" s="391">
        <f t="shared" si="45"/>
        <v>0</v>
      </c>
      <c r="AB159" s="392">
        <f t="shared" si="46"/>
        <v>0</v>
      </c>
      <c r="AG159" s="449"/>
      <c r="AH159" s="449"/>
      <c r="AI159" s="449"/>
      <c r="AJ159" s="449"/>
      <c r="AK159" s="449"/>
      <c r="AL159" s="449"/>
      <c r="AM159" s="449"/>
      <c r="AN159" s="449"/>
      <c r="AO159" s="449"/>
      <c r="AP159" s="449"/>
      <c r="AQ159" s="449"/>
      <c r="AR159" s="449"/>
      <c r="AS159" s="449"/>
      <c r="AT159" s="449"/>
      <c r="AU159" s="449"/>
      <c r="AV159" s="449"/>
      <c r="AW159" s="449"/>
      <c r="AX159" s="449"/>
      <c r="AY159" s="449"/>
    </row>
    <row r="160" ht="39.75" customHeight="1">
      <c r="A160" s="411" t="s">
        <v>386</v>
      </c>
      <c r="B160" s="412" t="s">
        <v>387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94"/>
      <c r="Z160" s="394"/>
      <c r="AA160" s="391">
        <f t="shared" si="45"/>
        <v>0</v>
      </c>
      <c r="AB160" s="392">
        <f t="shared" si="46"/>
        <v>0</v>
      </c>
      <c r="AG160" s="449"/>
      <c r="AH160" s="449"/>
      <c r="AI160" s="449"/>
      <c r="AJ160" s="449"/>
      <c r="AK160" s="449"/>
      <c r="AL160" s="449"/>
      <c r="AM160" s="449"/>
      <c r="AN160" s="449"/>
      <c r="AO160" s="449"/>
      <c r="AP160" s="449"/>
      <c r="AQ160" s="449"/>
      <c r="AR160" s="449"/>
      <c r="AS160" s="449"/>
      <c r="AT160" s="449"/>
      <c r="AU160" s="449"/>
      <c r="AV160" s="449"/>
      <c r="AW160" s="449"/>
      <c r="AX160" s="449"/>
      <c r="AY160" s="449"/>
    </row>
    <row r="161" ht="39.75" customHeight="1">
      <c r="A161" s="411" t="s">
        <v>388</v>
      </c>
      <c r="B161" s="412" t="s">
        <v>389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87"/>
      <c r="V161" s="394"/>
      <c r="W161" s="387"/>
      <c r="X161" s="394"/>
      <c r="Y161" s="394"/>
      <c r="Z161" s="394"/>
      <c r="AA161" s="391">
        <f t="shared" si="45"/>
        <v>0</v>
      </c>
      <c r="AB161" s="392">
        <f t="shared" si="46"/>
        <v>0</v>
      </c>
      <c r="AG161" s="449"/>
      <c r="AH161" s="449"/>
      <c r="AI161" s="449"/>
      <c r="AJ161" s="449"/>
      <c r="AK161" s="449"/>
      <c r="AL161" s="449"/>
      <c r="AM161" s="449"/>
      <c r="AN161" s="449"/>
      <c r="AO161" s="449"/>
      <c r="AP161" s="449"/>
      <c r="AQ161" s="449"/>
      <c r="AR161" s="449"/>
      <c r="AS161" s="449"/>
      <c r="AT161" s="449"/>
      <c r="AU161" s="449"/>
      <c r="AV161" s="449"/>
      <c r="AW161" s="449"/>
      <c r="AX161" s="449"/>
      <c r="AY161" s="449"/>
    </row>
    <row r="162" ht="39.75" customHeight="1">
      <c r="A162" s="395" t="s">
        <v>390</v>
      </c>
      <c r="B162" s="422" t="s">
        <v>391</v>
      </c>
      <c r="C162" s="397"/>
      <c r="D162" s="398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  <c r="AA162" s="399"/>
      <c r="AB162" s="401"/>
      <c r="AG162" s="449"/>
      <c r="AH162" s="449"/>
      <c r="AI162" s="449"/>
      <c r="AJ162" s="449"/>
      <c r="AK162" s="449"/>
      <c r="AL162" s="449"/>
      <c r="AM162" s="449"/>
      <c r="AN162" s="449"/>
      <c r="AO162" s="449"/>
      <c r="AP162" s="449"/>
      <c r="AQ162" s="449"/>
      <c r="AR162" s="449"/>
      <c r="AS162" s="449"/>
      <c r="AT162" s="449"/>
      <c r="AU162" s="449"/>
      <c r="AV162" s="449"/>
      <c r="AW162" s="449"/>
      <c r="AX162" s="449"/>
      <c r="AY162" s="449"/>
    </row>
    <row r="163" ht="39.75" customHeight="1">
      <c r="A163" s="385" t="s">
        <v>392</v>
      </c>
      <c r="B163" s="386" t="s">
        <v>393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94"/>
      <c r="Z163" s="394"/>
      <c r="AA163" s="391">
        <f t="shared" ref="AA163:AA165" si="47">COUNTIF(C163:Z163,"&gt;=R")</f>
        <v>0</v>
      </c>
      <c r="AB163" s="392">
        <f t="shared" ref="AB163:AB165" si="48">AA163</f>
        <v>0</v>
      </c>
      <c r="AG163" s="449"/>
      <c r="AH163" s="449"/>
      <c r="AI163" s="449"/>
      <c r="AJ163" s="449"/>
      <c r="AK163" s="449"/>
      <c r="AL163" s="449"/>
      <c r="AM163" s="449"/>
      <c r="AN163" s="449"/>
      <c r="AO163" s="449"/>
      <c r="AP163" s="449"/>
      <c r="AQ163" s="449"/>
      <c r="AR163" s="449"/>
      <c r="AS163" s="449"/>
      <c r="AT163" s="449"/>
      <c r="AU163" s="449"/>
      <c r="AV163" s="449"/>
      <c r="AW163" s="449"/>
      <c r="AX163" s="449"/>
      <c r="AY163" s="449"/>
    </row>
    <row r="164" ht="39.75" customHeight="1">
      <c r="A164" s="385" t="s">
        <v>394</v>
      </c>
      <c r="B164" s="386" t="s">
        <v>395</v>
      </c>
      <c r="C164" s="387"/>
      <c r="D164" s="387"/>
      <c r="E164" s="387"/>
      <c r="F164" s="394"/>
      <c r="G164" s="387"/>
      <c r="H164" s="394"/>
      <c r="I164" s="394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87"/>
      <c r="V164" s="394"/>
      <c r="W164" s="387"/>
      <c r="X164" s="394"/>
      <c r="Y164" s="394"/>
      <c r="Z164" s="394"/>
      <c r="AA164" s="391">
        <f t="shared" si="47"/>
        <v>0</v>
      </c>
      <c r="AB164" s="392">
        <f t="shared" si="48"/>
        <v>0</v>
      </c>
      <c r="AC164" s="449"/>
      <c r="AD164" s="449"/>
      <c r="AE164" s="449"/>
      <c r="AF164" s="449"/>
      <c r="AG164" s="449"/>
      <c r="AH164" s="449"/>
      <c r="AI164" s="449"/>
      <c r="AJ164" s="449"/>
      <c r="AK164" s="449"/>
      <c r="AL164" s="449"/>
      <c r="AM164" s="449"/>
      <c r="AN164" s="449"/>
      <c r="AO164" s="449"/>
      <c r="AP164" s="449"/>
      <c r="AQ164" s="449"/>
      <c r="AR164" s="449"/>
      <c r="AS164" s="449"/>
      <c r="AT164" s="449"/>
      <c r="AU164" s="449"/>
      <c r="AV164" s="449"/>
      <c r="AW164" s="449"/>
      <c r="AX164" s="449"/>
      <c r="AY164" s="449"/>
    </row>
    <row r="165" ht="39.75" customHeight="1">
      <c r="A165" s="861" t="s">
        <v>396</v>
      </c>
      <c r="B165" s="809" t="s">
        <v>397</v>
      </c>
      <c r="C165" s="436"/>
      <c r="D165" s="436"/>
      <c r="E165" s="436"/>
      <c r="F165" s="437"/>
      <c r="G165" s="436"/>
      <c r="H165" s="437"/>
      <c r="I165" s="437"/>
      <c r="J165" s="437"/>
      <c r="K165" s="436"/>
      <c r="L165" s="437"/>
      <c r="M165" s="436"/>
      <c r="N165" s="437"/>
      <c r="O165" s="436"/>
      <c r="P165" s="437"/>
      <c r="Q165" s="436"/>
      <c r="R165" s="437"/>
      <c r="S165" s="436"/>
      <c r="T165" s="437"/>
      <c r="U165" s="436"/>
      <c r="V165" s="437"/>
      <c r="W165" s="436"/>
      <c r="X165" s="437"/>
      <c r="Y165" s="437"/>
      <c r="Z165" s="437"/>
      <c r="AA165" s="391">
        <f t="shared" si="47"/>
        <v>0</v>
      </c>
      <c r="AB165" s="392">
        <f t="shared" si="48"/>
        <v>0</v>
      </c>
      <c r="AC165" s="449"/>
      <c r="AD165" s="449"/>
      <c r="AE165" s="449"/>
      <c r="AF165" s="449"/>
      <c r="AG165" s="449"/>
      <c r="AH165" s="449"/>
      <c r="AI165" s="449"/>
      <c r="AJ165" s="449"/>
      <c r="AK165" s="449"/>
      <c r="AL165" s="449"/>
      <c r="AM165" s="449"/>
      <c r="AN165" s="449"/>
      <c r="AO165" s="449"/>
      <c r="AP165" s="449"/>
      <c r="AQ165" s="449"/>
      <c r="AR165" s="449"/>
      <c r="AS165" s="449"/>
      <c r="AT165" s="449"/>
      <c r="AU165" s="449"/>
      <c r="AV165" s="449"/>
      <c r="AW165" s="449"/>
      <c r="AX165" s="449"/>
      <c r="AY165" s="449"/>
    </row>
    <row r="166" ht="33.75" customHeight="1">
      <c r="A166" s="963"/>
      <c r="B166" s="455"/>
      <c r="C166" s="447"/>
      <c r="D166" s="447"/>
      <c r="E166" s="447"/>
      <c r="F166" s="447"/>
      <c r="G166" s="447"/>
      <c r="H166" s="447"/>
      <c r="I166" s="447"/>
      <c r="J166" s="447"/>
      <c r="K166" s="447"/>
      <c r="L166" s="447"/>
      <c r="M166" s="447"/>
      <c r="N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  <c r="AA166" s="556"/>
      <c r="AB166" s="552"/>
      <c r="AC166" s="449"/>
      <c r="AD166" s="449"/>
      <c r="AE166" s="449"/>
      <c r="AF166" s="449"/>
      <c r="AG166" s="449"/>
      <c r="AH166" s="449"/>
      <c r="AI166" s="449"/>
      <c r="AJ166" s="449"/>
      <c r="AK166" s="449"/>
      <c r="AL166" s="449"/>
      <c r="AM166" s="449"/>
      <c r="AN166" s="449"/>
      <c r="AO166" s="449"/>
      <c r="AP166" s="449"/>
      <c r="AQ166" s="449"/>
      <c r="AR166" s="449"/>
      <c r="AS166" s="449"/>
      <c r="AT166" s="449"/>
      <c r="AU166" s="449"/>
      <c r="AV166" s="449"/>
      <c r="AW166" s="449"/>
      <c r="AX166" s="449"/>
      <c r="AY166" s="449"/>
    </row>
    <row r="167" ht="33.75" customHeight="1">
      <c r="A167" s="963"/>
      <c r="B167" s="455"/>
      <c r="C167" s="447"/>
      <c r="D167" s="447"/>
      <c r="E167" s="447"/>
      <c r="F167" s="447"/>
      <c r="G167" s="447"/>
      <c r="H167" s="447"/>
      <c r="I167" s="447"/>
      <c r="J167" s="447"/>
      <c r="K167" s="447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  <c r="AA167" s="556"/>
      <c r="AB167" s="552"/>
      <c r="AC167" s="449"/>
      <c r="AD167" s="449"/>
      <c r="AE167" s="449"/>
      <c r="AF167" s="449"/>
      <c r="AG167" s="449"/>
      <c r="AH167" s="449"/>
      <c r="AI167" s="449"/>
      <c r="AJ167" s="449"/>
      <c r="AK167" s="449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9"/>
      <c r="AV167" s="449"/>
      <c r="AW167" s="449"/>
      <c r="AX167" s="449"/>
      <c r="AY167" s="449"/>
    </row>
    <row r="168" ht="33.75" customHeight="1">
      <c r="A168" s="963"/>
      <c r="B168" s="455"/>
      <c r="C168" s="447"/>
      <c r="D168" s="447"/>
      <c r="E168" s="447"/>
      <c r="F168" s="447"/>
      <c r="G168" s="447"/>
      <c r="H168" s="447"/>
      <c r="I168" s="447"/>
      <c r="J168" s="447"/>
      <c r="K168" s="447"/>
      <c r="L168" s="447"/>
      <c r="M168" s="447"/>
      <c r="N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  <c r="AA168" s="556"/>
      <c r="AB168" s="552"/>
      <c r="AC168" s="449"/>
      <c r="AD168" s="449"/>
      <c r="AE168" s="449"/>
      <c r="AF168" s="449"/>
      <c r="AG168" s="449"/>
      <c r="AH168" s="449"/>
      <c r="AI168" s="449"/>
      <c r="AJ168" s="449"/>
      <c r="AK168" s="449"/>
      <c r="AL168" s="449"/>
      <c r="AM168" s="449"/>
      <c r="AN168" s="449"/>
      <c r="AO168" s="449"/>
      <c r="AP168" s="449"/>
      <c r="AQ168" s="449"/>
      <c r="AR168" s="449"/>
      <c r="AS168" s="449"/>
      <c r="AT168" s="449"/>
      <c r="AU168" s="449"/>
      <c r="AV168" s="449"/>
      <c r="AW168" s="449"/>
      <c r="AX168" s="449"/>
      <c r="AY168" s="449"/>
    </row>
    <row r="169" ht="33.75" customHeight="1">
      <c r="A169" s="963"/>
      <c r="B169" s="455"/>
      <c r="C169" s="447"/>
      <c r="D169" s="447"/>
      <c r="E169" s="447"/>
      <c r="F169" s="447"/>
      <c r="G169" s="447"/>
      <c r="H169" s="447"/>
      <c r="I169" s="447"/>
      <c r="J169" s="447"/>
      <c r="K169" s="447"/>
      <c r="L169" s="447"/>
      <c r="M169" s="447"/>
      <c r="N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  <c r="AA169" s="556"/>
      <c r="AB169" s="552"/>
      <c r="AC169" s="449"/>
      <c r="AD169" s="449"/>
      <c r="AE169" s="449"/>
      <c r="AF169" s="449"/>
      <c r="AG169" s="449"/>
      <c r="AH169" s="449"/>
      <c r="AI169" s="449"/>
      <c r="AJ169" s="449"/>
      <c r="AK169" s="449"/>
      <c r="AL169" s="449"/>
      <c r="AM169" s="449"/>
      <c r="AN169" s="449"/>
      <c r="AO169" s="449"/>
      <c r="AP169" s="449"/>
      <c r="AQ169" s="449"/>
      <c r="AR169" s="449"/>
      <c r="AS169" s="449"/>
      <c r="AT169" s="449"/>
      <c r="AU169" s="449"/>
      <c r="AV169" s="449"/>
      <c r="AW169" s="449"/>
      <c r="AX169" s="449"/>
      <c r="AY169" s="449"/>
    </row>
    <row r="170" ht="33.75" customHeight="1">
      <c r="A170" s="963"/>
      <c r="B170" s="455"/>
      <c r="C170" s="447"/>
      <c r="D170" s="447"/>
      <c r="E170" s="447"/>
      <c r="F170" s="447"/>
      <c r="G170" s="447"/>
      <c r="H170" s="447"/>
      <c r="I170" s="447"/>
      <c r="J170" s="447"/>
      <c r="K170" s="447"/>
      <c r="L170" s="447"/>
      <c r="M170" s="447"/>
      <c r="N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  <c r="AA170" s="556"/>
      <c r="AB170" s="552"/>
      <c r="AC170" s="449"/>
      <c r="AD170" s="449"/>
      <c r="AE170" s="449"/>
      <c r="AF170" s="449"/>
      <c r="AG170" s="449"/>
      <c r="AH170" s="449"/>
      <c r="AI170" s="449"/>
      <c r="AJ170" s="449"/>
      <c r="AK170" s="449"/>
      <c r="AL170" s="449"/>
      <c r="AM170" s="449"/>
      <c r="AN170" s="449"/>
      <c r="AO170" s="449"/>
      <c r="AP170" s="449"/>
      <c r="AQ170" s="449"/>
      <c r="AR170" s="449"/>
      <c r="AS170" s="449"/>
      <c r="AT170" s="449"/>
      <c r="AU170" s="449"/>
      <c r="AV170" s="449"/>
      <c r="AW170" s="449"/>
      <c r="AX170" s="449"/>
      <c r="AY170" s="449"/>
    </row>
    <row r="171" ht="33.75" customHeight="1">
      <c r="A171" s="963"/>
      <c r="B171" s="455"/>
      <c r="C171" s="447"/>
      <c r="D171" s="447"/>
      <c r="E171" s="447"/>
      <c r="F171" s="447"/>
      <c r="G171" s="447"/>
      <c r="H171" s="447"/>
      <c r="I171" s="447"/>
      <c r="J171" s="447"/>
      <c r="K171" s="447"/>
      <c r="L171" s="447"/>
      <c r="M171" s="447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  <c r="AA171" s="556"/>
      <c r="AB171" s="552"/>
      <c r="AC171" s="449"/>
      <c r="AD171" s="449"/>
      <c r="AE171" s="449"/>
      <c r="AF171" s="449"/>
      <c r="AG171" s="449"/>
      <c r="AH171" s="449"/>
      <c r="AI171" s="449"/>
      <c r="AJ171" s="449"/>
      <c r="AK171" s="449"/>
      <c r="AL171" s="449"/>
      <c r="AM171" s="449"/>
      <c r="AN171" s="449"/>
      <c r="AO171" s="449"/>
      <c r="AP171" s="449"/>
      <c r="AQ171" s="449"/>
      <c r="AR171" s="449"/>
      <c r="AS171" s="449"/>
      <c r="AT171" s="449"/>
      <c r="AU171" s="449"/>
      <c r="AV171" s="449"/>
      <c r="AW171" s="449"/>
      <c r="AX171" s="449"/>
      <c r="AY171" s="449"/>
    </row>
    <row r="172" ht="24.75" customHeight="1">
      <c r="A172" s="438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24.75" customHeight="1">
      <c r="A173" s="438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24.75" customHeight="1">
      <c r="A174" s="438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24.75" customHeight="1">
      <c r="A175" s="438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24.75" customHeight="1">
      <c r="A176" s="442"/>
      <c r="B176" s="440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24.75" customHeight="1">
      <c r="A177" s="443"/>
      <c r="B177" s="444"/>
      <c r="C177" s="45"/>
      <c r="D177" s="444"/>
      <c r="E177" s="444"/>
      <c r="F177" s="444"/>
      <c r="G177" s="445"/>
      <c r="H177" s="445"/>
      <c r="I177" s="350"/>
      <c r="J177" s="350"/>
      <c r="K177" s="440"/>
      <c r="L177" s="440"/>
      <c r="M177" s="444"/>
      <c r="N177" s="444"/>
      <c r="O177" s="444"/>
      <c r="P177" s="444"/>
      <c r="Q177" s="444"/>
      <c r="R177" s="444"/>
      <c r="S177" s="440"/>
      <c r="T177" s="445"/>
      <c r="U177" s="445"/>
      <c r="V177" s="445"/>
      <c r="W177" s="445"/>
      <c r="X177" s="445"/>
      <c r="Y177" s="445"/>
      <c r="Z177" s="350"/>
      <c r="AA177" s="350"/>
      <c r="AB177" s="350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24.75" customHeight="1">
      <c r="A178" s="446"/>
      <c r="B178" s="447" t="s">
        <v>398</v>
      </c>
      <c r="C178" s="447"/>
      <c r="D178" s="448" t="s">
        <v>44</v>
      </c>
      <c r="E178" s="163"/>
      <c r="F178" s="163"/>
      <c r="G178" s="163"/>
      <c r="H178" s="163"/>
      <c r="I178" s="163"/>
      <c r="J178" s="164"/>
      <c r="K178" s="450"/>
      <c r="L178" s="450"/>
      <c r="M178" s="448" t="s">
        <v>399</v>
      </c>
      <c r="N178" s="163"/>
      <c r="O178" s="163"/>
      <c r="P178" s="163"/>
      <c r="Q178" s="163"/>
      <c r="R178" s="164"/>
      <c r="S178" s="450"/>
      <c r="T178" s="449"/>
      <c r="U178" s="449"/>
      <c r="V178" s="452" t="s">
        <v>73</v>
      </c>
      <c r="W178" s="452"/>
      <c r="X178" s="452"/>
      <c r="Y178" s="452"/>
      <c r="Z178" s="404"/>
      <c r="AA178" s="404"/>
      <c r="AB178" s="404"/>
      <c r="AC178" s="452"/>
      <c r="AD178" s="452"/>
      <c r="AE178" s="452"/>
      <c r="AF178" s="452"/>
      <c r="AG178" s="452"/>
      <c r="AH178" s="452"/>
      <c r="AI178" s="452"/>
      <c r="AJ178" s="452"/>
      <c r="AK178" s="449"/>
      <c r="AL178" s="449"/>
      <c r="AM178" s="449"/>
      <c r="AN178" s="449"/>
      <c r="AO178" s="449"/>
      <c r="AP178" s="449"/>
      <c r="AQ178" s="449"/>
      <c r="AR178" s="449"/>
      <c r="AS178" s="449"/>
      <c r="AT178" s="449"/>
      <c r="AU178" s="599"/>
      <c r="AV178" s="38"/>
      <c r="AW178" s="38"/>
      <c r="AX178" s="38"/>
      <c r="AY178" s="40"/>
    </row>
    <row r="179" ht="24.75" customHeight="1">
      <c r="A179" s="446"/>
      <c r="B179" s="453" t="s">
        <v>35</v>
      </c>
      <c r="C179" s="453"/>
      <c r="D179" s="454" t="s">
        <v>54</v>
      </c>
      <c r="E179" s="38"/>
      <c r="F179" s="38"/>
      <c r="G179" s="38"/>
      <c r="H179" s="38"/>
      <c r="I179" s="38"/>
      <c r="J179" s="40"/>
      <c r="K179" s="455"/>
      <c r="L179" s="455"/>
      <c r="M179" s="456" t="s">
        <v>400</v>
      </c>
      <c r="N179" s="38"/>
      <c r="O179" s="38"/>
      <c r="P179" s="38"/>
      <c r="Q179" s="38"/>
      <c r="R179" s="40"/>
      <c r="S179" s="457"/>
      <c r="T179" s="600" t="s">
        <v>74</v>
      </c>
      <c r="U179" s="38"/>
      <c r="V179" s="38"/>
      <c r="W179" s="38"/>
      <c r="X179" s="38"/>
      <c r="Y179" s="40"/>
      <c r="Z179" s="404"/>
      <c r="AA179" s="404"/>
      <c r="AB179" s="404"/>
      <c r="AC179" s="540"/>
      <c r="AD179" s="540"/>
      <c r="AE179" s="540"/>
      <c r="AF179" s="540"/>
      <c r="AG179" s="458"/>
      <c r="AH179" s="458"/>
      <c r="AI179" s="458"/>
      <c r="AJ179" s="458"/>
      <c r="AK179" s="449"/>
      <c r="AL179" s="449"/>
      <c r="AM179" s="449"/>
      <c r="AN179" s="449"/>
      <c r="AO179" s="449"/>
      <c r="AP179" s="449"/>
      <c r="AQ179" s="449"/>
      <c r="AR179" s="449"/>
      <c r="AS179" s="449"/>
      <c r="AT179" s="449"/>
      <c r="AU179" s="813"/>
      <c r="AV179" s="38"/>
      <c r="AW179" s="38"/>
      <c r="AX179" s="38"/>
      <c r="AY179" s="40"/>
    </row>
    <row r="180" ht="18.0" customHeight="1">
      <c r="A180" s="459"/>
      <c r="B180" s="460"/>
      <c r="C180" s="460"/>
      <c r="D180" s="460"/>
      <c r="E180" s="460"/>
      <c r="F180" s="460"/>
      <c r="G180" s="461"/>
      <c r="H180" s="461"/>
      <c r="I180" s="440"/>
      <c r="J180" s="44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2"/>
      <c r="W180" s="38"/>
      <c r="X180" s="38"/>
      <c r="Y180" s="38"/>
      <c r="Z180" s="38"/>
      <c r="AA180" s="38"/>
      <c r="AB180" s="40"/>
      <c r="AC180" s="173"/>
      <c r="AD180" s="173"/>
      <c r="AE180" s="173"/>
      <c r="AF180" s="173"/>
      <c r="AG180" s="173"/>
      <c r="AH180" s="173"/>
      <c r="AI180" s="173"/>
      <c r="AJ180" s="173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5">
    <mergeCell ref="O4:Q4"/>
    <mergeCell ref="S4:U4"/>
    <mergeCell ref="W4:Y4"/>
    <mergeCell ref="AA4:AC4"/>
    <mergeCell ref="K4:M4"/>
    <mergeCell ref="K5:M5"/>
    <mergeCell ref="O5:Q5"/>
    <mergeCell ref="S5:U5"/>
    <mergeCell ref="W5:Y5"/>
    <mergeCell ref="AA5:AC5"/>
    <mergeCell ref="O6:Q6"/>
    <mergeCell ref="S6:U6"/>
    <mergeCell ref="W6:Y6"/>
    <mergeCell ref="AA6:AC6"/>
    <mergeCell ref="O8:Q8"/>
    <mergeCell ref="S8:U8"/>
    <mergeCell ref="O10:Q10"/>
    <mergeCell ref="S10:U10"/>
    <mergeCell ref="O11:Q11"/>
    <mergeCell ref="S11:U11"/>
    <mergeCell ref="S12:U12"/>
    <mergeCell ref="S13:U13"/>
    <mergeCell ref="AU178:AY178"/>
    <mergeCell ref="AU179:AY179"/>
    <mergeCell ref="V180:AB180"/>
    <mergeCell ref="O12:Q12"/>
    <mergeCell ref="O13:Q13"/>
    <mergeCell ref="D178:J178"/>
    <mergeCell ref="M178:R178"/>
    <mergeCell ref="D179:J179"/>
    <mergeCell ref="M179:R179"/>
    <mergeCell ref="T179:Y179"/>
    <mergeCell ref="M17:N17"/>
    <mergeCell ref="O17:P17"/>
    <mergeCell ref="Q17:R17"/>
    <mergeCell ref="S17:T17"/>
    <mergeCell ref="U17:V17"/>
    <mergeCell ref="W17:X17"/>
    <mergeCell ref="Y17:Z17"/>
    <mergeCell ref="A15:A17"/>
    <mergeCell ref="B15:B17"/>
    <mergeCell ref="C17:D17"/>
    <mergeCell ref="E17:F17"/>
    <mergeCell ref="G17:H17"/>
    <mergeCell ref="I17:J17"/>
    <mergeCell ref="K17:L17"/>
    <mergeCell ref="AE6:AG6"/>
    <mergeCell ref="O7:Q7"/>
    <mergeCell ref="S7:U7"/>
    <mergeCell ref="W7:Y7"/>
    <mergeCell ref="AA7:AC7"/>
    <mergeCell ref="AE7:AG7"/>
    <mergeCell ref="W8:Y8"/>
    <mergeCell ref="AA8:AC8"/>
    <mergeCell ref="W10:AA10"/>
    <mergeCell ref="W11:AA11"/>
    <mergeCell ref="W12:AA12"/>
    <mergeCell ref="W13:AA13"/>
    <mergeCell ref="U16:Z16"/>
    <mergeCell ref="AA16:AB16"/>
    <mergeCell ref="AE8:AG8"/>
    <mergeCell ref="O9:Q9"/>
    <mergeCell ref="S9:U9"/>
    <mergeCell ref="W9:Y9"/>
    <mergeCell ref="AA9:AC9"/>
    <mergeCell ref="AE9:AG9"/>
    <mergeCell ref="A1:A3"/>
    <mergeCell ref="B1:B3"/>
    <mergeCell ref="C1:AB3"/>
    <mergeCell ref="AC1:AY3"/>
    <mergeCell ref="C4:F9"/>
    <mergeCell ref="AE4:AG4"/>
    <mergeCell ref="AE5:AG5"/>
    <mergeCell ref="K10:M10"/>
    <mergeCell ref="K11:M11"/>
    <mergeCell ref="K12:M12"/>
    <mergeCell ref="K13:M13"/>
    <mergeCell ref="A14:AB14"/>
    <mergeCell ref="G4:I9"/>
    <mergeCell ref="K6:M6"/>
    <mergeCell ref="K7:M7"/>
    <mergeCell ref="K8:M8"/>
    <mergeCell ref="K9:M9"/>
    <mergeCell ref="C10:F13"/>
    <mergeCell ref="G10:I13"/>
  </mergeCells>
  <conditionalFormatting sqref="C34:J34 L34 N34 P34:Z34">
    <cfRule type="containsText" dxfId="48" priority="1" operator="containsText" text="R22">
      <formula>NOT(ISERROR(SEARCH(("R22"),(C34))))</formula>
    </cfRule>
  </conditionalFormatting>
  <conditionalFormatting sqref="C34:J34 L34 N34 P34:Z34">
    <cfRule type="containsText" dxfId="8" priority="2" operator="containsText" text="R21">
      <formula>NOT(ISERROR(SEARCH(("R21"),(C34))))</formula>
    </cfRule>
  </conditionalFormatting>
  <conditionalFormatting sqref="C34:J34 L34 N34 P34:Z34">
    <cfRule type="containsText" dxfId="41" priority="3" operator="containsText" text="R19">
      <formula>NOT(ISERROR(SEARCH(("R19"),(C34))))</formula>
    </cfRule>
  </conditionalFormatting>
  <conditionalFormatting sqref="C34:J34 L34 N34 P34:Z34">
    <cfRule type="containsText" dxfId="35" priority="4" operator="containsText" text="R17">
      <formula>NOT(ISERROR(SEARCH(("R17"),(C34))))</formula>
    </cfRule>
  </conditionalFormatting>
  <conditionalFormatting sqref="C34:J34 L34 N34 P34:Z34">
    <cfRule type="containsText" dxfId="10" priority="5" operator="containsText" text="R16">
      <formula>NOT(ISERROR(SEARCH(("R16"),(C34))))</formula>
    </cfRule>
  </conditionalFormatting>
  <conditionalFormatting sqref="C34:J34 L34 N34 P34:Z34">
    <cfRule type="containsText" dxfId="11" priority="6" operator="containsText" text="R15">
      <formula>NOT(ISERROR(SEARCH(("R15"),(C34))))</formula>
    </cfRule>
  </conditionalFormatting>
  <conditionalFormatting sqref="C34:J34 L34 N34 P34:Z34">
    <cfRule type="containsText" dxfId="12" priority="7" operator="containsText" text="R14">
      <formula>NOT(ISERROR(SEARCH(("R14"),(C34))))</formula>
    </cfRule>
  </conditionalFormatting>
  <conditionalFormatting sqref="C34:J34 L34 N34 P34:Z34">
    <cfRule type="containsText" dxfId="42" priority="8" operator="containsText" text="R13">
      <formula>NOT(ISERROR(SEARCH(("R13"),(C34))))</formula>
    </cfRule>
  </conditionalFormatting>
  <conditionalFormatting sqref="C34:J34 L34 N34 P34:Z34">
    <cfRule type="containsText" dxfId="37" priority="9" operator="containsText" text="R12">
      <formula>NOT(ISERROR(SEARCH(("R12"),(C34))))</formula>
    </cfRule>
  </conditionalFormatting>
  <conditionalFormatting sqref="C34:J34 L34 N34 P34:Z34">
    <cfRule type="containsText" dxfId="15" priority="10" operator="containsText" text="R9">
      <formula>NOT(ISERROR(SEARCH(("R9"),(C34))))</formula>
    </cfRule>
  </conditionalFormatting>
  <conditionalFormatting sqref="C34:J34 L34 N34 P34:Z34">
    <cfRule type="containsText" dxfId="16" priority="11" operator="containsText" text="R8">
      <formula>NOT(ISERROR(SEARCH(("R8"),(C34))))</formula>
    </cfRule>
  </conditionalFormatting>
  <conditionalFormatting sqref="C34:J34 L34 N34 P34:Z34">
    <cfRule type="containsText" dxfId="17" priority="12" operator="containsText" text="R7">
      <formula>NOT(ISERROR(SEARCH(("R7"),(C34))))</formula>
    </cfRule>
  </conditionalFormatting>
  <conditionalFormatting sqref="C34:J34 L34 N34 P34:Z34">
    <cfRule type="containsText" dxfId="19" priority="13" operator="containsText" text="R5">
      <formula>NOT(ISERROR(SEARCH(("R5"),(C34))))</formula>
    </cfRule>
  </conditionalFormatting>
  <conditionalFormatting sqref="C34:J34 L34 N34 P34:Z34">
    <cfRule type="containsText" dxfId="20" priority="14" operator="containsText" text="R4">
      <formula>NOT(ISERROR(SEARCH(("R4"),(C34))))</formula>
    </cfRule>
  </conditionalFormatting>
  <conditionalFormatting sqref="C34:J34 L34 N34 P34:Z34">
    <cfRule type="containsText" dxfId="38" priority="15" operator="containsText" text="R3">
      <formula>NOT(ISERROR(SEARCH(("R3"),(C34))))</formula>
    </cfRule>
  </conditionalFormatting>
  <conditionalFormatting sqref="C34:J34 L34">
    <cfRule type="cellIs" dxfId="6" priority="16" stopIfTrue="1" operator="notEqual">
      <formula>0</formula>
    </cfRule>
  </conditionalFormatting>
  <conditionalFormatting sqref="C34:J34 L34">
    <cfRule type="cellIs" dxfId="7" priority="17" stopIfTrue="1" operator="equal">
      <formula>0</formula>
    </cfRule>
  </conditionalFormatting>
  <conditionalFormatting sqref="C34:J34 L34 N34 P34:Z34">
    <cfRule type="containsText" dxfId="14" priority="18" operator="containsText" text="R10">
      <formula>NOT(ISERROR(SEARCH(("R10"),(C34))))</formula>
    </cfRule>
  </conditionalFormatting>
  <conditionalFormatting sqref="C34:Z34">
    <cfRule type="containsText" dxfId="21" priority="19" operator="containsText" text="R37">
      <formula>NOT(ISERROR(SEARCH(("R37"),(C34))))</formula>
    </cfRule>
  </conditionalFormatting>
  <conditionalFormatting sqref="C34:Z34">
    <cfRule type="containsText" dxfId="1" priority="20" operator="containsText" text="R36">
      <formula>NOT(ISERROR(SEARCH(("R36"),(C34))))</formula>
    </cfRule>
  </conditionalFormatting>
  <conditionalFormatting sqref="C34:Z34">
    <cfRule type="containsText" dxfId="22" priority="21" operator="containsText" text="R35">
      <formula>NOT(ISERROR(SEARCH(("R35"),(C34))))</formula>
    </cfRule>
  </conditionalFormatting>
  <conditionalFormatting sqref="C34:Z34">
    <cfRule type="containsText" dxfId="23" priority="22" operator="containsText" text="R34">
      <formula>NOT(ISERROR(SEARCH(("R34"),(C34))))</formula>
    </cfRule>
  </conditionalFormatting>
  <conditionalFormatting sqref="C34:Z34">
    <cfRule type="containsText" dxfId="24" priority="23" operator="containsText" text="R33">
      <formula>NOT(ISERROR(SEARCH(("R33"),(C34))))</formula>
    </cfRule>
  </conditionalFormatting>
  <conditionalFormatting sqref="C34:Z34">
    <cfRule type="containsText" dxfId="25" priority="24" operator="containsText" text="R32">
      <formula>NOT(ISERROR(SEARCH(("R32"),(C34))))</formula>
    </cfRule>
  </conditionalFormatting>
  <conditionalFormatting sqref="C34:Z34">
    <cfRule type="containsText" dxfId="26" priority="25" operator="containsText" text="R31">
      <formula>NOT(ISERROR(SEARCH(("R31"),(C34))))</formula>
    </cfRule>
  </conditionalFormatting>
  <conditionalFormatting sqref="C34:Z34">
    <cfRule type="containsText" dxfId="27" priority="26" operator="containsText" text="R30">
      <formula>NOT(ISERROR(SEARCH(("R30"),(C34))))</formula>
    </cfRule>
  </conditionalFormatting>
  <conditionalFormatting sqref="C34:Z34">
    <cfRule type="containsText" dxfId="29" priority="27" operator="containsText" text="R29">
      <formula>NOT(ISERROR(SEARCH(("R29"),(C34))))</formula>
    </cfRule>
  </conditionalFormatting>
  <conditionalFormatting sqref="C34:Z34">
    <cfRule type="containsText" dxfId="30" priority="28" operator="containsText" text="R27">
      <formula>NOT(ISERROR(SEARCH(("R27"),(C34))))</formula>
    </cfRule>
  </conditionalFormatting>
  <conditionalFormatting sqref="C34:Z34">
    <cfRule type="containsText" dxfId="3" priority="29" operator="containsText" text="R25">
      <formula>NOT(ISERROR(SEARCH(("R25"),(C34))))</formula>
    </cfRule>
  </conditionalFormatting>
  <conditionalFormatting sqref="C34:Z34">
    <cfRule type="containsText" dxfId="1" priority="30" operator="containsText" text="R12">
      <formula>NOT(ISERROR(SEARCH(("R12"),(C34))))</formula>
    </cfRule>
  </conditionalFormatting>
  <conditionalFormatting sqref="C34:Z34">
    <cfRule type="containsText" dxfId="31" priority="31" operator="containsText" text="R24">
      <formula>NOT(ISERROR(SEARCH(("R24"),(C34))))</formula>
    </cfRule>
  </conditionalFormatting>
  <conditionalFormatting sqref="C34:Z34">
    <cfRule type="containsText" dxfId="4" priority="32" operator="containsText" text="R23">
      <formula>NOT(ISERROR(SEARCH(("R23"),(C34))))</formula>
    </cfRule>
  </conditionalFormatting>
  <conditionalFormatting sqref="C55:Z55">
    <cfRule type="containsText" dxfId="21" priority="33" operator="containsText" text="R37">
      <formula>NOT(ISERROR(SEARCH(("R37"),(C55))))</formula>
    </cfRule>
  </conditionalFormatting>
  <conditionalFormatting sqref="C55:Z55">
    <cfRule type="containsText" dxfId="1" priority="34" operator="containsText" text="R36">
      <formula>NOT(ISERROR(SEARCH(("R36"),(C55))))</formula>
    </cfRule>
  </conditionalFormatting>
  <conditionalFormatting sqref="C55:Z55">
    <cfRule type="containsText" dxfId="22" priority="35" operator="containsText" text="R35">
      <formula>NOT(ISERROR(SEARCH(("R35"),(C55))))</formula>
    </cfRule>
  </conditionalFormatting>
  <conditionalFormatting sqref="C55:Z55">
    <cfRule type="containsText" dxfId="23" priority="36" operator="containsText" text="R34">
      <formula>NOT(ISERROR(SEARCH(("R34"),(C55))))</formula>
    </cfRule>
  </conditionalFormatting>
  <conditionalFormatting sqref="C55:Z55">
    <cfRule type="containsText" dxfId="24" priority="37" operator="containsText" text="R33">
      <formula>NOT(ISERROR(SEARCH(("R33"),(C55))))</formula>
    </cfRule>
  </conditionalFormatting>
  <conditionalFormatting sqref="C55:Z55">
    <cfRule type="containsText" dxfId="25" priority="38" operator="containsText" text="R32">
      <formula>NOT(ISERROR(SEARCH(("R32"),(C55))))</formula>
    </cfRule>
  </conditionalFormatting>
  <conditionalFormatting sqref="C55:Z55">
    <cfRule type="containsText" dxfId="26" priority="39" operator="containsText" text="R31">
      <formula>NOT(ISERROR(SEARCH(("R31"),(C55))))</formula>
    </cfRule>
  </conditionalFormatting>
  <conditionalFormatting sqref="C55:Z55">
    <cfRule type="containsText" dxfId="27" priority="40" operator="containsText" text="R30">
      <formula>NOT(ISERROR(SEARCH(("R30"),(C55))))</formula>
    </cfRule>
  </conditionalFormatting>
  <conditionalFormatting sqref="C55:Z55">
    <cfRule type="containsText" dxfId="29" priority="41" operator="containsText" text="R29">
      <formula>NOT(ISERROR(SEARCH(("R29"),(C55))))</formula>
    </cfRule>
  </conditionalFormatting>
  <conditionalFormatting sqref="C55:Z55">
    <cfRule type="containsText" dxfId="30" priority="42" operator="containsText" text="R27">
      <formula>NOT(ISERROR(SEARCH(("R27"),(C55))))</formula>
    </cfRule>
  </conditionalFormatting>
  <conditionalFormatting sqref="C55:Z55">
    <cfRule type="containsText" dxfId="3" priority="43" operator="containsText" text="R25">
      <formula>NOT(ISERROR(SEARCH(("R25"),(C55))))</formula>
    </cfRule>
  </conditionalFormatting>
  <conditionalFormatting sqref="C55:Z55">
    <cfRule type="containsText" dxfId="1" priority="44" operator="containsText" text="R12">
      <formula>NOT(ISERROR(SEARCH(("R12"),(C55))))</formula>
    </cfRule>
  </conditionalFormatting>
  <conditionalFormatting sqref="C55:Z55">
    <cfRule type="containsText" dxfId="31" priority="45" operator="containsText" text="R24">
      <formula>NOT(ISERROR(SEARCH(("R24"),(C55))))</formula>
    </cfRule>
  </conditionalFormatting>
  <conditionalFormatting sqref="C55:Z55">
    <cfRule type="containsText" dxfId="4" priority="46" operator="containsText" text="R23">
      <formula>NOT(ISERROR(SEARCH(("R23"),(C55))))</formula>
    </cfRule>
  </conditionalFormatting>
  <conditionalFormatting sqref="C55:Z55">
    <cfRule type="containsText" dxfId="48" priority="47" operator="containsText" text="R22">
      <formula>NOT(ISERROR(SEARCH(("R22"),(C55))))</formula>
    </cfRule>
  </conditionalFormatting>
  <conditionalFormatting sqref="C55:Z55">
    <cfRule type="containsText" dxfId="8" priority="48" operator="containsText" text="R21">
      <formula>NOT(ISERROR(SEARCH(("R21"),(C55))))</formula>
    </cfRule>
  </conditionalFormatting>
  <conditionalFormatting sqref="C55:Z55">
    <cfRule type="containsText" dxfId="41" priority="49" operator="containsText" text="R19">
      <formula>NOT(ISERROR(SEARCH(("R19"),(C55))))</formula>
    </cfRule>
  </conditionalFormatting>
  <conditionalFormatting sqref="C55:Z55">
    <cfRule type="containsText" dxfId="35" priority="50" operator="containsText" text="R17">
      <formula>NOT(ISERROR(SEARCH(("R17"),(C55))))</formula>
    </cfRule>
  </conditionalFormatting>
  <conditionalFormatting sqref="C55:Z55">
    <cfRule type="containsText" dxfId="10" priority="51" operator="containsText" text="R16">
      <formula>NOT(ISERROR(SEARCH(("R16"),(C55))))</formula>
    </cfRule>
  </conditionalFormatting>
  <conditionalFormatting sqref="C55:Z55">
    <cfRule type="containsText" dxfId="11" priority="52" operator="containsText" text="R15">
      <formula>NOT(ISERROR(SEARCH(("R15"),(C55))))</formula>
    </cfRule>
  </conditionalFormatting>
  <conditionalFormatting sqref="C55:Z55">
    <cfRule type="containsText" dxfId="12" priority="53" operator="containsText" text="R14">
      <formula>NOT(ISERROR(SEARCH(("R14"),(C55))))</formula>
    </cfRule>
  </conditionalFormatting>
  <conditionalFormatting sqref="C55:Z55">
    <cfRule type="containsText" dxfId="42" priority="54" operator="containsText" text="R13">
      <formula>NOT(ISERROR(SEARCH(("R13"),(C55))))</formula>
    </cfRule>
  </conditionalFormatting>
  <conditionalFormatting sqref="C55:Z55">
    <cfRule type="containsText" dxfId="37" priority="55" operator="containsText" text="R12">
      <formula>NOT(ISERROR(SEARCH(("R12"),(C55))))</formula>
    </cfRule>
  </conditionalFormatting>
  <conditionalFormatting sqref="C55:Z55">
    <cfRule type="containsText" dxfId="14" priority="56" operator="containsText" text="R10">
      <formula>NOT(ISERROR(SEARCH(("R10"),(C55))))</formula>
    </cfRule>
  </conditionalFormatting>
  <conditionalFormatting sqref="C55:Z55">
    <cfRule type="containsText" dxfId="15" priority="57" operator="containsText" text="R9">
      <formula>NOT(ISERROR(SEARCH(("R9"),(C55))))</formula>
    </cfRule>
  </conditionalFormatting>
  <conditionalFormatting sqref="C55:Z55">
    <cfRule type="containsText" dxfId="16" priority="58" operator="containsText" text="R8">
      <formula>NOT(ISERROR(SEARCH(("R8"),(C55))))</formula>
    </cfRule>
  </conditionalFormatting>
  <conditionalFormatting sqref="C55:Z55">
    <cfRule type="containsText" dxfId="17" priority="59" operator="containsText" text="R7">
      <formula>NOT(ISERROR(SEARCH(("R7"),(C55))))</formula>
    </cfRule>
  </conditionalFormatting>
  <conditionalFormatting sqref="C55:Z55">
    <cfRule type="containsText" dxfId="18" priority="60" operator="containsText" text="R6">
      <formula>NOT(ISERROR(SEARCH(("R6"),(C55))))</formula>
    </cfRule>
  </conditionalFormatting>
  <conditionalFormatting sqref="C55:Z55">
    <cfRule type="containsText" dxfId="19" priority="61" operator="containsText" text="R5">
      <formula>NOT(ISERROR(SEARCH(("R5"),(C55))))</formula>
    </cfRule>
  </conditionalFormatting>
  <conditionalFormatting sqref="C55:Z55">
    <cfRule type="containsText" dxfId="20" priority="62" operator="containsText" text="R4">
      <formula>NOT(ISERROR(SEARCH(("R4"),(C55))))</formula>
    </cfRule>
  </conditionalFormatting>
  <conditionalFormatting sqref="C55:Z55">
    <cfRule type="containsText" dxfId="38" priority="63" operator="containsText" text="R3">
      <formula>NOT(ISERROR(SEARCH(("R3"),(C55))))</formula>
    </cfRule>
  </conditionalFormatting>
  <conditionalFormatting sqref="C55:Z55">
    <cfRule type="cellIs" dxfId="6" priority="64" stopIfTrue="1" operator="notEqual">
      <formula>0</formula>
    </cfRule>
  </conditionalFormatting>
  <conditionalFormatting sqref="C55:Z55">
    <cfRule type="cellIs" dxfId="7" priority="65" stopIfTrue="1" operator="equal">
      <formula>0</formula>
    </cfRule>
  </conditionalFormatting>
  <conditionalFormatting sqref="C82:Z82">
    <cfRule type="containsText" dxfId="21" priority="66" operator="containsText" text="R37">
      <formula>NOT(ISERROR(SEARCH(("R37"),(C82))))</formula>
    </cfRule>
  </conditionalFormatting>
  <conditionalFormatting sqref="C82:Z82">
    <cfRule type="containsText" dxfId="1" priority="67" operator="containsText" text="R36">
      <formula>NOT(ISERROR(SEARCH(("R36"),(C82))))</formula>
    </cfRule>
  </conditionalFormatting>
  <conditionalFormatting sqref="C82:Z82">
    <cfRule type="containsText" dxfId="22" priority="68" operator="containsText" text="R35">
      <formula>NOT(ISERROR(SEARCH(("R35"),(C82))))</formula>
    </cfRule>
  </conditionalFormatting>
  <conditionalFormatting sqref="C82:Z82">
    <cfRule type="containsText" dxfId="23" priority="69" operator="containsText" text="R34">
      <formula>NOT(ISERROR(SEARCH(("R34"),(C82))))</formula>
    </cfRule>
  </conditionalFormatting>
  <conditionalFormatting sqref="C82:Z82">
    <cfRule type="containsText" dxfId="24" priority="70" operator="containsText" text="R33">
      <formula>NOT(ISERROR(SEARCH(("R33"),(C82))))</formula>
    </cfRule>
  </conditionalFormatting>
  <conditionalFormatting sqref="C82:Z82">
    <cfRule type="containsText" dxfId="25" priority="71" operator="containsText" text="R32">
      <formula>NOT(ISERROR(SEARCH(("R32"),(C82))))</formula>
    </cfRule>
  </conditionalFormatting>
  <conditionalFormatting sqref="C82:Z82">
    <cfRule type="containsText" dxfId="26" priority="72" operator="containsText" text="R31">
      <formula>NOT(ISERROR(SEARCH(("R31"),(C82))))</formula>
    </cfRule>
  </conditionalFormatting>
  <conditionalFormatting sqref="C82:Z82">
    <cfRule type="containsText" dxfId="27" priority="73" operator="containsText" text="R30">
      <formula>NOT(ISERROR(SEARCH(("R30"),(C82))))</formula>
    </cfRule>
  </conditionalFormatting>
  <conditionalFormatting sqref="C82:Z82">
    <cfRule type="containsText" dxfId="29" priority="74" operator="containsText" text="R29">
      <formula>NOT(ISERROR(SEARCH(("R29"),(C82))))</formula>
    </cfRule>
  </conditionalFormatting>
  <conditionalFormatting sqref="C82:Z82">
    <cfRule type="containsText" dxfId="30" priority="75" operator="containsText" text="R27">
      <formula>NOT(ISERROR(SEARCH(("R27"),(C82))))</formula>
    </cfRule>
  </conditionalFormatting>
  <conditionalFormatting sqref="C82:Z82">
    <cfRule type="containsText" dxfId="3" priority="76" operator="containsText" text="R25">
      <formula>NOT(ISERROR(SEARCH(("R25"),(C82))))</formula>
    </cfRule>
  </conditionalFormatting>
  <conditionalFormatting sqref="C82:Z82">
    <cfRule type="containsText" dxfId="1" priority="77" operator="containsText" text="R12">
      <formula>NOT(ISERROR(SEARCH(("R12"),(C82))))</formula>
    </cfRule>
  </conditionalFormatting>
  <conditionalFormatting sqref="C82:Z82">
    <cfRule type="containsText" dxfId="31" priority="78" operator="containsText" text="R24">
      <formula>NOT(ISERROR(SEARCH(("R24"),(C82))))</formula>
    </cfRule>
  </conditionalFormatting>
  <conditionalFormatting sqref="C82:Z82">
    <cfRule type="containsText" dxfId="4" priority="79" operator="containsText" text="R23">
      <formula>NOT(ISERROR(SEARCH(("R23"),(C82))))</formula>
    </cfRule>
  </conditionalFormatting>
  <conditionalFormatting sqref="C82:Z82">
    <cfRule type="containsText" dxfId="48" priority="80" operator="containsText" text="R22">
      <formula>NOT(ISERROR(SEARCH(("R22"),(C82))))</formula>
    </cfRule>
  </conditionalFormatting>
  <conditionalFormatting sqref="C82:Z82">
    <cfRule type="containsText" dxfId="8" priority="81" operator="containsText" text="R21">
      <formula>NOT(ISERROR(SEARCH(("R21"),(C82))))</formula>
    </cfRule>
  </conditionalFormatting>
  <conditionalFormatting sqref="C82:Z82">
    <cfRule type="containsText" dxfId="41" priority="82" operator="containsText" text="R19">
      <formula>NOT(ISERROR(SEARCH(("R19"),(C82))))</formula>
    </cfRule>
  </conditionalFormatting>
  <conditionalFormatting sqref="C82:Z82">
    <cfRule type="containsText" dxfId="35" priority="83" operator="containsText" text="R17">
      <formula>NOT(ISERROR(SEARCH(("R17"),(C82))))</formula>
    </cfRule>
  </conditionalFormatting>
  <conditionalFormatting sqref="C82:Z82">
    <cfRule type="containsText" dxfId="10" priority="84" operator="containsText" text="R16">
      <formula>NOT(ISERROR(SEARCH(("R16"),(C82))))</formula>
    </cfRule>
  </conditionalFormatting>
  <conditionalFormatting sqref="C82:Z82">
    <cfRule type="containsText" dxfId="11" priority="85" operator="containsText" text="R15">
      <formula>NOT(ISERROR(SEARCH(("R15"),(C82))))</formula>
    </cfRule>
  </conditionalFormatting>
  <conditionalFormatting sqref="C82:Z82">
    <cfRule type="containsText" dxfId="12" priority="86" operator="containsText" text="R14">
      <formula>NOT(ISERROR(SEARCH(("R14"),(C82))))</formula>
    </cfRule>
  </conditionalFormatting>
  <conditionalFormatting sqref="C82:Z82">
    <cfRule type="containsText" dxfId="42" priority="87" operator="containsText" text="R13">
      <formula>NOT(ISERROR(SEARCH(("R13"),(C82))))</formula>
    </cfRule>
  </conditionalFormatting>
  <conditionalFormatting sqref="C82:Z82">
    <cfRule type="containsText" dxfId="37" priority="88" operator="containsText" text="R12">
      <formula>NOT(ISERROR(SEARCH(("R12"),(C82))))</formula>
    </cfRule>
  </conditionalFormatting>
  <conditionalFormatting sqref="C82:Z82">
    <cfRule type="containsText" dxfId="14" priority="89" operator="containsText" text="R10">
      <formula>NOT(ISERROR(SEARCH(("R10"),(C82))))</formula>
    </cfRule>
  </conditionalFormatting>
  <conditionalFormatting sqref="C82:Z82">
    <cfRule type="containsText" dxfId="15" priority="90" operator="containsText" text="R9">
      <formula>NOT(ISERROR(SEARCH(("R9"),(C82))))</formula>
    </cfRule>
  </conditionalFormatting>
  <conditionalFormatting sqref="C82:Z82">
    <cfRule type="containsText" dxfId="16" priority="91" operator="containsText" text="R8">
      <formula>NOT(ISERROR(SEARCH(("R8"),(C82))))</formula>
    </cfRule>
  </conditionalFormatting>
  <conditionalFormatting sqref="C82:Z82">
    <cfRule type="containsText" dxfId="17" priority="92" operator="containsText" text="R7">
      <formula>NOT(ISERROR(SEARCH(("R7"),(C82))))</formula>
    </cfRule>
  </conditionalFormatting>
  <conditionalFormatting sqref="C82:Z82">
    <cfRule type="containsText" dxfId="18" priority="93" operator="containsText" text="R6">
      <formula>NOT(ISERROR(SEARCH(("R6"),(C82))))</formula>
    </cfRule>
  </conditionalFormatting>
  <conditionalFormatting sqref="C82:Z82">
    <cfRule type="containsText" dxfId="19" priority="94" operator="containsText" text="R5">
      <formula>NOT(ISERROR(SEARCH(("R5"),(C82))))</formula>
    </cfRule>
  </conditionalFormatting>
  <conditionalFormatting sqref="C82:Z82">
    <cfRule type="containsText" dxfId="20" priority="95" operator="containsText" text="R4">
      <formula>NOT(ISERROR(SEARCH(("R4"),(C82))))</formula>
    </cfRule>
  </conditionalFormatting>
  <conditionalFormatting sqref="C82:Z82">
    <cfRule type="containsText" dxfId="38" priority="96" operator="containsText" text="R3">
      <formula>NOT(ISERROR(SEARCH(("R3"),(C82))))</formula>
    </cfRule>
  </conditionalFormatting>
  <conditionalFormatting sqref="C166:Z171">
    <cfRule type="containsText" dxfId="37" priority="97" operator="containsText" text="R12">
      <formula>NOT(ISERROR(SEARCH(("R12"),(C166))))</formula>
    </cfRule>
  </conditionalFormatting>
  <conditionalFormatting sqref="C166:Z171">
    <cfRule type="containsText" dxfId="14" priority="98" operator="containsText" text="R10">
      <formula>NOT(ISERROR(SEARCH(("R10"),(C166))))</formula>
    </cfRule>
  </conditionalFormatting>
  <conditionalFormatting sqref="C166:Z171">
    <cfRule type="containsText" dxfId="15" priority="99" operator="containsText" text="R9">
      <formula>NOT(ISERROR(SEARCH(("R9"),(C166))))</formula>
    </cfRule>
  </conditionalFormatting>
  <conditionalFormatting sqref="C166:Z171">
    <cfRule type="containsText" dxfId="16" priority="100" operator="containsText" text="R8">
      <formula>NOT(ISERROR(SEARCH(("R8"),(C166))))</formula>
    </cfRule>
  </conditionalFormatting>
  <conditionalFormatting sqref="C166:Z171">
    <cfRule type="containsText" dxfId="17" priority="101" operator="containsText" text="R7">
      <formula>NOT(ISERROR(SEARCH(("R7"),(C166))))</formula>
    </cfRule>
  </conditionalFormatting>
  <conditionalFormatting sqref="C166:Z171">
    <cfRule type="containsText" dxfId="18" priority="102" operator="containsText" text="R6">
      <formula>NOT(ISERROR(SEARCH(("R6"),(C166))))</formula>
    </cfRule>
  </conditionalFormatting>
  <conditionalFormatting sqref="C166:Z171">
    <cfRule type="containsText" dxfId="19" priority="103" operator="containsText" text="R5">
      <formula>NOT(ISERROR(SEARCH(("R5"),(C166))))</formula>
    </cfRule>
  </conditionalFormatting>
  <conditionalFormatting sqref="C166:Z171">
    <cfRule type="containsText" dxfId="20" priority="104" operator="containsText" text="R4">
      <formula>NOT(ISERROR(SEARCH(("R4"),(C166))))</formula>
    </cfRule>
  </conditionalFormatting>
  <conditionalFormatting sqref="C166:Z171">
    <cfRule type="containsText" dxfId="38" priority="105" operator="containsText" text="R3">
      <formula>NOT(ISERROR(SEARCH(("R3"),(C166))))</formula>
    </cfRule>
  </conditionalFormatting>
  <conditionalFormatting sqref="E34">
    <cfRule type="cellIs" dxfId="6" priority="106" stopIfTrue="1" operator="notEqual">
      <formula>0</formula>
    </cfRule>
  </conditionalFormatting>
  <conditionalFormatting sqref="E34">
    <cfRule type="cellIs" dxfId="7" priority="107" stopIfTrue="1" operator="equal">
      <formula>0</formula>
    </cfRule>
  </conditionalFormatting>
  <conditionalFormatting sqref="G82">
    <cfRule type="cellIs" dxfId="6" priority="108" stopIfTrue="1" operator="notEqual">
      <formula>0</formula>
    </cfRule>
  </conditionalFormatting>
  <conditionalFormatting sqref="G82">
    <cfRule type="cellIs" dxfId="7" priority="109" stopIfTrue="1" operator="equal">
      <formula>0</formula>
    </cfRule>
  </conditionalFormatting>
  <conditionalFormatting sqref="K34 M34 O34">
    <cfRule type="cellIs" dxfId="6" priority="110" stopIfTrue="1" operator="notEqual">
      <formula>0</formula>
    </cfRule>
  </conditionalFormatting>
  <conditionalFormatting sqref="K34 M34 O34">
    <cfRule type="cellIs" dxfId="7" priority="111" stopIfTrue="1" operator="equal">
      <formula>0</formula>
    </cfRule>
  </conditionalFormatting>
  <conditionalFormatting sqref="K34 M34 O34">
    <cfRule type="containsText" dxfId="8" priority="112" operator="containsText" text="R21">
      <formula>NOT(ISERROR(SEARCH(("R21"),(K34))))</formula>
    </cfRule>
  </conditionalFormatting>
  <conditionalFormatting sqref="K34 M34 O34">
    <cfRule type="containsText" dxfId="9" priority="113" operator="containsText" text="R20">
      <formula>NOT(ISERROR(SEARCH(("R20"),(K34))))</formula>
    </cfRule>
  </conditionalFormatting>
  <conditionalFormatting sqref="K34 M34 O34">
    <cfRule type="containsText" dxfId="10" priority="114" operator="containsText" text="R16">
      <formula>NOT(ISERROR(SEARCH(("R16"),(K34))))</formula>
    </cfRule>
  </conditionalFormatting>
  <conditionalFormatting sqref="K34 M34 O34">
    <cfRule type="containsText" dxfId="11" priority="115" operator="containsText" text="R15">
      <formula>NOT(ISERROR(SEARCH(("R15"),(K34))))</formula>
    </cfRule>
  </conditionalFormatting>
  <conditionalFormatting sqref="K34 M34 O34">
    <cfRule type="containsText" dxfId="12" priority="116" operator="containsText" text="R14">
      <formula>NOT(ISERROR(SEARCH(("R14"),(K34))))</formula>
    </cfRule>
  </conditionalFormatting>
  <conditionalFormatting sqref="K34 M34 O34">
    <cfRule type="containsText" dxfId="1" priority="117" operator="containsText" text="R12">
      <formula>NOT(ISERROR(SEARCH(("R12"),(K34))))</formula>
    </cfRule>
  </conditionalFormatting>
  <conditionalFormatting sqref="K34 M34 O34">
    <cfRule type="containsText" dxfId="13" priority="118" operator="containsText" text="R11">
      <formula>NOT(ISERROR(SEARCH(("R11"),(K34))))</formula>
    </cfRule>
  </conditionalFormatting>
  <conditionalFormatting sqref="K34 M34 O34">
    <cfRule type="containsText" dxfId="14" priority="119" operator="containsText" text="R10">
      <formula>NOT(ISERROR(SEARCH(("R10"),(K34))))</formula>
    </cfRule>
  </conditionalFormatting>
  <conditionalFormatting sqref="K34 M34 O34">
    <cfRule type="containsText" dxfId="15" priority="120" operator="containsText" text="R9">
      <formula>NOT(ISERROR(SEARCH(("R9"),(K34))))</formula>
    </cfRule>
  </conditionalFormatting>
  <conditionalFormatting sqref="K34 M34 O34">
    <cfRule type="containsText" dxfId="16" priority="121" operator="containsText" text="R8">
      <formula>NOT(ISERROR(SEARCH(("R8"),(K34))))</formula>
    </cfRule>
  </conditionalFormatting>
  <conditionalFormatting sqref="K34 M34 O34">
    <cfRule type="containsText" dxfId="17" priority="122" operator="containsText" text="R7">
      <formula>NOT(ISERROR(SEARCH(("R7"),(K34))))</formula>
    </cfRule>
  </conditionalFormatting>
  <conditionalFormatting sqref="K34 M34 O34">
    <cfRule type="containsText" dxfId="18" priority="123" operator="containsText" text="R6">
      <formula>NOT(ISERROR(SEARCH(("R6"),(K34))))</formula>
    </cfRule>
  </conditionalFormatting>
  <conditionalFormatting sqref="K34 M34 O34">
    <cfRule type="containsText" dxfId="19" priority="124" operator="containsText" text="R5">
      <formula>NOT(ISERROR(SEARCH(("R5"),(K34))))</formula>
    </cfRule>
  </conditionalFormatting>
  <conditionalFormatting sqref="K34 M34 O34">
    <cfRule type="containsText" dxfId="20" priority="125" operator="containsText" text="R4">
      <formula>NOT(ISERROR(SEARCH(("R4"),(K34))))</formula>
    </cfRule>
  </conditionalFormatting>
  <conditionalFormatting sqref="K34 M34 O34">
    <cfRule type="cellIs" dxfId="6" priority="126" stopIfTrue="1" operator="notEqual">
      <formula>0</formula>
    </cfRule>
  </conditionalFormatting>
  <conditionalFormatting sqref="K34 M34 O34">
    <cfRule type="cellIs" dxfId="7" priority="127" stopIfTrue="1" operator="equal">
      <formula>0</formula>
    </cfRule>
  </conditionalFormatting>
  <conditionalFormatting sqref="C34:J34 L34 N34 P34:Z34">
    <cfRule type="containsText" dxfId="18" priority="128" operator="containsText" text="R6">
      <formula>NOT(ISERROR(SEARCH(("R6"),(C34))))</formula>
    </cfRule>
  </conditionalFormatting>
  <conditionalFormatting sqref="N34 P34:Z34">
    <cfRule type="cellIs" dxfId="6" priority="129" stopIfTrue="1" operator="notEqual">
      <formula>0</formula>
    </cfRule>
  </conditionalFormatting>
  <conditionalFormatting sqref="N34 P34:Z34">
    <cfRule type="cellIs" dxfId="7" priority="130" stopIfTrue="1" operator="equal">
      <formula>0</formula>
    </cfRule>
  </conditionalFormatting>
  <conditionalFormatting sqref="N34 S34 U34 W34">
    <cfRule type="cellIs" dxfId="6" priority="131" stopIfTrue="1" operator="notEqual">
      <formula>0</formula>
    </cfRule>
  </conditionalFormatting>
  <conditionalFormatting sqref="N34 S34 U34 W34">
    <cfRule type="cellIs" dxfId="7" priority="132" stopIfTrue="1" operator="equal">
      <formula>0</formula>
    </cfRule>
  </conditionalFormatting>
  <conditionalFormatting sqref="N34">
    <cfRule type="cellIs" dxfId="6" priority="133" stopIfTrue="1" operator="notEqual">
      <formula>0</formula>
    </cfRule>
  </conditionalFormatting>
  <conditionalFormatting sqref="N34">
    <cfRule type="cellIs" dxfId="7" priority="134" stopIfTrue="1" operator="equal">
      <formula>0</formula>
    </cfRule>
  </conditionalFormatting>
  <conditionalFormatting sqref="S34">
    <cfRule type="cellIs" dxfId="6" priority="135" stopIfTrue="1" operator="notEqual">
      <formula>0</formula>
    </cfRule>
  </conditionalFormatting>
  <conditionalFormatting sqref="S34">
    <cfRule type="cellIs" dxfId="7" priority="136" stopIfTrue="1" operator="equal">
      <formula>0</formula>
    </cfRule>
  </conditionalFormatting>
  <conditionalFormatting sqref="S82:U82">
    <cfRule type="cellIs" dxfId="6" priority="137" stopIfTrue="1" operator="notEqual">
      <formula>0</formula>
    </cfRule>
  </conditionalFormatting>
  <conditionalFormatting sqref="S82:U82">
    <cfRule type="cellIs" dxfId="7" priority="138" stopIfTrue="1" operator="equal">
      <formula>0</formula>
    </cfRule>
  </conditionalFormatting>
  <conditionalFormatting sqref="U34">
    <cfRule type="cellIs" dxfId="6" priority="139" stopIfTrue="1" operator="notEqual">
      <formula>0</formula>
    </cfRule>
  </conditionalFormatting>
  <conditionalFormatting sqref="U34">
    <cfRule type="cellIs" dxfId="7" priority="140" stopIfTrue="1" operator="equal">
      <formula>0</formula>
    </cfRule>
  </conditionalFormatting>
  <conditionalFormatting sqref="U82 W82">
    <cfRule type="cellIs" dxfId="6" priority="141" stopIfTrue="1" operator="notEqual">
      <formula>0</formula>
    </cfRule>
  </conditionalFormatting>
  <conditionalFormatting sqref="U82 W82">
    <cfRule type="cellIs" dxfId="7" priority="142" stopIfTrue="1" operator="equal">
      <formula>0</formula>
    </cfRule>
  </conditionalFormatting>
  <conditionalFormatting sqref="W34">
    <cfRule type="cellIs" dxfId="6" priority="143" stopIfTrue="1" operator="notEqual">
      <formula>0</formula>
    </cfRule>
  </conditionalFormatting>
  <conditionalFormatting sqref="W34">
    <cfRule type="cellIs" dxfId="7" priority="144" stopIfTrue="1" operator="equal">
      <formula>0</formula>
    </cfRule>
  </conditionalFormatting>
  <conditionalFormatting sqref="Y34">
    <cfRule type="cellIs" dxfId="6" priority="145" stopIfTrue="1" operator="notEqual">
      <formula>0</formula>
    </cfRule>
  </conditionalFormatting>
  <conditionalFormatting sqref="Y34">
    <cfRule type="cellIs" dxfId="7" priority="146" stopIfTrue="1" operator="equal">
      <formula>0</formula>
    </cfRule>
  </conditionalFormatting>
  <conditionalFormatting sqref="AA166:AA171">
    <cfRule type="containsText" dxfId="19" priority="147" operator="containsText" text="R5">
      <formula>NOT(ISERROR(SEARCH(("R5"),(AA166))))</formula>
    </cfRule>
  </conditionalFormatting>
  <conditionalFormatting sqref="AA166:AB171">
    <cfRule type="containsText" dxfId="20" priority="148" operator="containsText" text="R4">
      <formula>NOT(ISERROR(SEARCH(("R4"),(AA166))))</formula>
    </cfRule>
  </conditionalFormatting>
  <conditionalFormatting sqref="AA166:AB171">
    <cfRule type="cellIs" dxfId="6" priority="149" stopIfTrue="1" operator="notEqual">
      <formula>0</formula>
    </cfRule>
  </conditionalFormatting>
  <conditionalFormatting sqref="AA166:AB171">
    <cfRule type="cellIs" dxfId="7" priority="150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47.25"/>
    <col customWidth="1" min="3" max="3" width="11.63"/>
    <col customWidth="1" min="4" max="4" width="10.63"/>
    <col customWidth="1" min="5" max="5" width="11.63"/>
    <col customWidth="1" min="6" max="6" width="10.63"/>
    <col customWidth="1" min="7" max="7" width="11.63"/>
    <col customWidth="1" min="8" max="8" width="10.63"/>
    <col customWidth="1" min="9" max="9" width="11.63"/>
    <col customWidth="1" min="10" max="10" width="10.63"/>
    <col customWidth="1" min="11" max="11" width="11.63"/>
    <col customWidth="1" min="12" max="12" width="10.63"/>
    <col customWidth="1" min="13" max="13" width="11.63"/>
    <col customWidth="1" min="14" max="14" width="10.63"/>
    <col customWidth="1" min="15" max="15" width="11.63"/>
    <col customWidth="1" min="16" max="16" width="10.63"/>
    <col customWidth="1" min="17" max="17" width="11.63"/>
    <col customWidth="1" min="18" max="18" width="10.63"/>
    <col customWidth="1" min="19" max="19" width="11.63"/>
    <col customWidth="1" min="20" max="20" width="10.63"/>
    <col customWidth="1" min="21" max="21" width="11.63"/>
    <col customWidth="1" min="22" max="22" width="10.63"/>
    <col customWidth="1" min="23" max="23" width="11.63"/>
    <col customWidth="1" min="24" max="24" width="10.63"/>
    <col customWidth="1" min="25" max="26" width="15.5"/>
    <col customWidth="1" min="27" max="31" width="10.63"/>
  </cols>
  <sheetData>
    <row r="1" ht="23.25" customHeight="1">
      <c r="A1" s="260"/>
      <c r="B1" s="261" t="s">
        <v>0</v>
      </c>
      <c r="C1" s="26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964"/>
      <c r="AB1" s="964"/>
      <c r="AC1" s="250"/>
    </row>
    <row r="2" ht="23.25" customHeight="1">
      <c r="A2" s="9"/>
      <c r="B2" s="9"/>
      <c r="C2" s="10"/>
      <c r="Z2" s="11"/>
      <c r="AA2" s="964"/>
      <c r="AB2" s="964"/>
      <c r="AC2" s="250"/>
    </row>
    <row r="3" ht="82.5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  <c r="AA3" s="964"/>
      <c r="AB3" s="964"/>
      <c r="AC3" s="250"/>
    </row>
    <row r="4" ht="33.75" customHeight="1">
      <c r="A4" s="265" t="s">
        <v>2</v>
      </c>
      <c r="B4" s="266" t="s">
        <v>3</v>
      </c>
      <c r="C4" s="267" t="s">
        <v>4</v>
      </c>
      <c r="D4" s="19"/>
      <c r="E4" s="19"/>
      <c r="F4" s="20"/>
      <c r="G4" s="268">
        <v>46037.0</v>
      </c>
      <c r="H4" s="5"/>
      <c r="I4" s="179"/>
      <c r="J4" s="819" t="s">
        <v>407</v>
      </c>
      <c r="K4" s="820">
        <v>45783.0</v>
      </c>
      <c r="L4" s="24"/>
      <c r="M4" s="26"/>
      <c r="N4" s="965" t="s">
        <v>56</v>
      </c>
      <c r="O4" s="966">
        <v>45954.0</v>
      </c>
      <c r="P4" s="24"/>
      <c r="Q4" s="25"/>
      <c r="R4" s="967" t="s">
        <v>57</v>
      </c>
      <c r="S4" s="968">
        <v>46022.0</v>
      </c>
      <c r="T4" s="24"/>
      <c r="U4" s="25"/>
      <c r="V4" s="969"/>
      <c r="W4" s="970"/>
      <c r="X4" s="24"/>
      <c r="Y4" s="25"/>
      <c r="Z4" s="473"/>
      <c r="AA4" s="971"/>
      <c r="AB4" s="971"/>
      <c r="AC4" s="725"/>
      <c r="AD4" s="475"/>
      <c r="AE4" s="404"/>
    </row>
    <row r="5" ht="33.75" customHeight="1">
      <c r="A5" s="282" t="s">
        <v>14</v>
      </c>
      <c r="B5" s="283" t="s">
        <v>15</v>
      </c>
      <c r="C5" s="10"/>
      <c r="F5" s="11"/>
      <c r="G5" s="10"/>
      <c r="I5" s="180"/>
      <c r="J5" s="972" t="s">
        <v>408</v>
      </c>
      <c r="K5" s="973">
        <v>45821.0</v>
      </c>
      <c r="L5" s="38"/>
      <c r="M5" s="40"/>
      <c r="N5" s="486" t="s">
        <v>67</v>
      </c>
      <c r="O5" s="487">
        <v>45960.0</v>
      </c>
      <c r="P5" s="38"/>
      <c r="Q5" s="39"/>
      <c r="R5" s="300" t="s">
        <v>68</v>
      </c>
      <c r="S5" s="301">
        <v>46031.0</v>
      </c>
      <c r="T5" s="38"/>
      <c r="U5" s="40"/>
      <c r="V5" s="974"/>
      <c r="W5" s="975"/>
      <c r="X5" s="38"/>
      <c r="Y5" s="39"/>
      <c r="Z5" s="482"/>
      <c r="AA5" s="447"/>
      <c r="AB5" s="447"/>
      <c r="AC5" s="725"/>
      <c r="AD5" s="475"/>
      <c r="AE5" s="404"/>
    </row>
    <row r="6" ht="33.75" customHeight="1">
      <c r="A6" s="282" t="s">
        <v>24</v>
      </c>
      <c r="B6" s="283" t="s">
        <v>25</v>
      </c>
      <c r="C6" s="10"/>
      <c r="F6" s="11"/>
      <c r="G6" s="10"/>
      <c r="I6" s="180"/>
      <c r="J6" s="734" t="s">
        <v>16</v>
      </c>
      <c r="K6" s="735">
        <v>45835.0</v>
      </c>
      <c r="L6" s="38"/>
      <c r="M6" s="40"/>
      <c r="N6" s="492" t="s">
        <v>76</v>
      </c>
      <c r="O6" s="493">
        <v>45968.0</v>
      </c>
      <c r="P6" s="38"/>
      <c r="Q6" s="39"/>
      <c r="R6" s="308" t="s">
        <v>77</v>
      </c>
      <c r="S6" s="309">
        <v>46038.0</v>
      </c>
      <c r="T6" s="38"/>
      <c r="U6" s="39"/>
      <c r="V6" s="976"/>
      <c r="W6" s="975"/>
      <c r="X6" s="38"/>
      <c r="Y6" s="39"/>
      <c r="Z6" s="489"/>
      <c r="AA6" s="447"/>
      <c r="AB6" s="447"/>
      <c r="AC6" s="725"/>
      <c r="AD6" s="475"/>
      <c r="AE6" s="404"/>
    </row>
    <row r="7" ht="33.75" customHeight="1">
      <c r="A7" s="282" t="s">
        <v>34</v>
      </c>
      <c r="B7" s="283" t="s">
        <v>35</v>
      </c>
      <c r="C7" s="10"/>
      <c r="F7" s="11"/>
      <c r="G7" s="10"/>
      <c r="I7" s="180"/>
      <c r="J7" s="553" t="s">
        <v>36</v>
      </c>
      <c r="K7" s="554">
        <v>45855.0</v>
      </c>
      <c r="L7" s="38"/>
      <c r="M7" s="40"/>
      <c r="N7" s="496" t="s">
        <v>84</v>
      </c>
      <c r="O7" s="497">
        <v>45975.0</v>
      </c>
      <c r="P7" s="38"/>
      <c r="Q7" s="39"/>
      <c r="R7" s="199" t="s">
        <v>85</v>
      </c>
      <c r="S7" s="200">
        <v>46045.0</v>
      </c>
      <c r="T7" s="38"/>
      <c r="U7" s="39"/>
      <c r="V7" s="976"/>
      <c r="W7" s="975"/>
      <c r="X7" s="38"/>
      <c r="Y7" s="39"/>
      <c r="Z7" s="489"/>
      <c r="AA7" s="447"/>
      <c r="AB7" s="447"/>
      <c r="AC7" s="404"/>
      <c r="AD7" s="404"/>
      <c r="AE7" s="404"/>
    </row>
    <row r="8" ht="33.75" customHeight="1">
      <c r="A8" s="282" t="s">
        <v>44</v>
      </c>
      <c r="B8" s="283" t="s">
        <v>54</v>
      </c>
      <c r="C8" s="10"/>
      <c r="F8" s="11"/>
      <c r="G8" s="10"/>
      <c r="I8" s="180"/>
      <c r="J8" s="977" t="s">
        <v>46</v>
      </c>
      <c r="K8" s="978">
        <v>45802.0</v>
      </c>
      <c r="L8" s="38"/>
      <c r="M8" s="40"/>
      <c r="N8" s="500" t="s">
        <v>92</v>
      </c>
      <c r="O8" s="501">
        <v>45982.0</v>
      </c>
      <c r="P8" s="38"/>
      <c r="Q8" s="39"/>
      <c r="R8" s="323" t="s">
        <v>93</v>
      </c>
      <c r="S8" s="324">
        <v>46052.0</v>
      </c>
      <c r="T8" s="38"/>
      <c r="U8" s="39"/>
      <c r="V8" s="976"/>
      <c r="W8" s="975"/>
      <c r="X8" s="38"/>
      <c r="Y8" s="39"/>
      <c r="Z8" s="489"/>
      <c r="AA8" s="447"/>
      <c r="AB8" s="447"/>
      <c r="AC8" s="725"/>
      <c r="AD8" s="475"/>
      <c r="AE8" s="404"/>
    </row>
    <row r="9" ht="33.75" customHeight="1">
      <c r="A9" s="282" t="s">
        <v>62</v>
      </c>
      <c r="B9" s="283" t="s">
        <v>63</v>
      </c>
      <c r="C9" s="47"/>
      <c r="D9" s="48"/>
      <c r="E9" s="48"/>
      <c r="F9" s="49"/>
      <c r="G9" s="47"/>
      <c r="H9" s="48"/>
      <c r="I9" s="203"/>
      <c r="J9" s="484" t="s">
        <v>55</v>
      </c>
      <c r="K9" s="485">
        <v>45778.0</v>
      </c>
      <c r="L9" s="38"/>
      <c r="M9" s="40"/>
      <c r="N9" s="504" t="s">
        <v>8</v>
      </c>
      <c r="O9" s="505">
        <v>45989.0</v>
      </c>
      <c r="P9" s="38"/>
      <c r="Q9" s="39"/>
      <c r="R9" s="979"/>
      <c r="S9" s="975"/>
      <c r="T9" s="38"/>
      <c r="U9" s="39"/>
      <c r="V9" s="976"/>
      <c r="W9" s="975"/>
      <c r="X9" s="38"/>
      <c r="Y9" s="39"/>
      <c r="Z9" s="489"/>
      <c r="AA9" s="447"/>
      <c r="AB9" s="447"/>
      <c r="AC9" s="725"/>
      <c r="AD9" s="475"/>
      <c r="AE9" s="404"/>
    </row>
    <row r="10" ht="33.75" customHeight="1">
      <c r="A10" s="282" t="s">
        <v>73</v>
      </c>
      <c r="B10" s="283" t="s">
        <v>74</v>
      </c>
      <c r="C10" s="316" t="s">
        <v>64</v>
      </c>
      <c r="D10" s="5"/>
      <c r="E10" s="5"/>
      <c r="F10" s="6"/>
      <c r="G10" s="316" t="s">
        <v>65</v>
      </c>
      <c r="H10" s="5"/>
      <c r="I10" s="6"/>
      <c r="J10" s="498" t="s">
        <v>83</v>
      </c>
      <c r="K10" s="499">
        <v>45898.0</v>
      </c>
      <c r="L10" s="38"/>
      <c r="M10" s="40"/>
      <c r="N10" s="508" t="s">
        <v>18</v>
      </c>
      <c r="O10" s="509">
        <v>45996.0</v>
      </c>
      <c r="P10" s="38"/>
      <c r="Q10" s="39"/>
      <c r="R10" s="979"/>
      <c r="S10" s="975"/>
      <c r="T10" s="38"/>
      <c r="U10" s="39"/>
      <c r="V10" s="976"/>
      <c r="W10" s="975"/>
      <c r="X10" s="38"/>
      <c r="Y10" s="39"/>
      <c r="Z10" s="489"/>
      <c r="AA10" s="447"/>
      <c r="AB10" s="447"/>
      <c r="AC10" s="725"/>
      <c r="AD10" s="475"/>
      <c r="AE10" s="404"/>
    </row>
    <row r="11" ht="33.75" customHeight="1">
      <c r="A11" s="282" t="s">
        <v>82</v>
      </c>
      <c r="B11" s="283" t="s">
        <v>400</v>
      </c>
      <c r="C11" s="10"/>
      <c r="F11" s="11"/>
      <c r="G11" s="10"/>
      <c r="I11" s="11"/>
      <c r="J11" s="732" t="s">
        <v>91</v>
      </c>
      <c r="K11" s="733">
        <v>45905.0</v>
      </c>
      <c r="L11" s="38"/>
      <c r="M11" s="40"/>
      <c r="N11" s="514" t="s">
        <v>28</v>
      </c>
      <c r="O11" s="515">
        <v>46003.0</v>
      </c>
      <c r="P11" s="56"/>
      <c r="Q11" s="57"/>
      <c r="R11" s="979"/>
      <c r="S11" s="975"/>
      <c r="T11" s="38"/>
      <c r="U11" s="39"/>
      <c r="V11" s="976"/>
      <c r="W11" s="975"/>
      <c r="X11" s="38"/>
      <c r="Y11" s="39"/>
      <c r="Z11" s="489"/>
      <c r="AA11" s="447"/>
      <c r="AB11" s="447"/>
      <c r="AC11" s="725"/>
      <c r="AD11" s="475"/>
      <c r="AE11" s="404"/>
    </row>
    <row r="12" ht="33.75" customHeight="1">
      <c r="A12" s="569" t="s">
        <v>90</v>
      </c>
      <c r="B12" s="570">
        <v>182948.0</v>
      </c>
      <c r="C12" s="10"/>
      <c r="F12" s="11"/>
      <c r="G12" s="10"/>
      <c r="I12" s="11"/>
      <c r="J12" s="980" t="s">
        <v>37</v>
      </c>
      <c r="K12" s="981">
        <v>45940.0</v>
      </c>
      <c r="L12" s="38"/>
      <c r="M12" s="40"/>
      <c r="N12" s="469" t="s">
        <v>38</v>
      </c>
      <c r="O12" s="470">
        <v>46010.0</v>
      </c>
      <c r="P12" s="24"/>
      <c r="Q12" s="26"/>
      <c r="R12" s="979"/>
      <c r="S12" s="975"/>
      <c r="T12" s="38"/>
      <c r="U12" s="39"/>
      <c r="V12" s="976"/>
      <c r="W12" s="982"/>
      <c r="X12" s="38"/>
      <c r="Y12" s="39"/>
      <c r="Z12" s="489"/>
      <c r="AA12" s="447"/>
      <c r="AB12" s="447"/>
      <c r="AC12" s="725"/>
      <c r="AD12" s="475"/>
      <c r="AE12" s="404"/>
    </row>
    <row r="13" ht="33.75" customHeight="1">
      <c r="A13" s="573"/>
      <c r="B13" s="404"/>
      <c r="C13" s="47"/>
      <c r="D13" s="48"/>
      <c r="E13" s="48"/>
      <c r="F13" s="49"/>
      <c r="G13" s="47"/>
      <c r="H13" s="48"/>
      <c r="I13" s="49"/>
      <c r="J13" s="944" t="s">
        <v>47</v>
      </c>
      <c r="K13" s="983">
        <v>45947.0</v>
      </c>
      <c r="L13" s="38"/>
      <c r="M13" s="40"/>
      <c r="N13" s="984" t="s">
        <v>48</v>
      </c>
      <c r="O13" s="985">
        <v>46015.0</v>
      </c>
      <c r="P13" s="56"/>
      <c r="Q13" s="57"/>
      <c r="R13" s="986"/>
      <c r="S13" s="954"/>
      <c r="T13" s="56"/>
      <c r="U13" s="57"/>
      <c r="V13" s="987"/>
      <c r="W13" s="988"/>
      <c r="X13" s="56"/>
      <c r="Y13" s="57"/>
      <c r="Z13" s="520"/>
      <c r="AA13" s="447"/>
      <c r="AB13" s="447"/>
      <c r="AC13" s="725"/>
      <c r="AD13" s="475"/>
      <c r="AE13" s="404"/>
    </row>
    <row r="14" ht="33.75" customHeight="1">
      <c r="A14" s="825"/>
      <c r="B14" s="639"/>
      <c r="C14" s="749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218"/>
      <c r="AA14" s="404"/>
      <c r="AB14" s="404"/>
      <c r="AC14" s="404"/>
      <c r="AD14" s="404"/>
      <c r="AE14" s="404"/>
    </row>
    <row r="15" ht="33.75" customHeight="1">
      <c r="A15" s="351" t="s">
        <v>98</v>
      </c>
      <c r="B15" s="352" t="s">
        <v>99</v>
      </c>
      <c r="C15" s="523" t="s">
        <v>100</v>
      </c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524"/>
      <c r="AA15" s="404"/>
      <c r="AB15" s="404"/>
      <c r="AC15" s="404"/>
      <c r="AD15" s="404"/>
      <c r="AE15" s="404"/>
    </row>
    <row r="16" ht="33.75" customHeight="1">
      <c r="A16" s="74"/>
      <c r="B16" s="9"/>
      <c r="C16" s="525" t="s">
        <v>101</v>
      </c>
      <c r="D16" s="526"/>
      <c r="E16" s="527"/>
      <c r="F16" s="527"/>
      <c r="G16" s="528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5" t="s">
        <v>102</v>
      </c>
      <c r="T16" s="64"/>
      <c r="U16" s="64"/>
      <c r="V16" s="64"/>
      <c r="W16" s="64"/>
      <c r="X16" s="65"/>
      <c r="Y16" s="366" t="s">
        <v>428</v>
      </c>
      <c r="Z16" s="65"/>
      <c r="AA16" s="404"/>
      <c r="AB16" s="404"/>
      <c r="AC16" s="404"/>
      <c r="AD16" s="404"/>
      <c r="AE16" s="404"/>
    </row>
    <row r="17" ht="33.75" customHeight="1">
      <c r="A17" s="83"/>
      <c r="B17" s="84"/>
      <c r="C17" s="368">
        <v>1.0</v>
      </c>
      <c r="D17" s="86"/>
      <c r="E17" s="369">
        <v>2.0</v>
      </c>
      <c r="F17" s="86"/>
      <c r="G17" s="369">
        <v>3.0</v>
      </c>
      <c r="H17" s="86"/>
      <c r="I17" s="369">
        <v>4.0</v>
      </c>
      <c r="J17" s="86"/>
      <c r="K17" s="369">
        <v>5.0</v>
      </c>
      <c r="L17" s="86"/>
      <c r="M17" s="369">
        <v>6.0</v>
      </c>
      <c r="N17" s="86"/>
      <c r="O17" s="369">
        <v>7.0</v>
      </c>
      <c r="P17" s="86"/>
      <c r="Q17" s="369">
        <v>8.0</v>
      </c>
      <c r="R17" s="86"/>
      <c r="S17" s="369">
        <v>9.0</v>
      </c>
      <c r="T17" s="86"/>
      <c r="U17" s="369">
        <v>10.0</v>
      </c>
      <c r="V17" s="86"/>
      <c r="W17" s="369">
        <v>11.0</v>
      </c>
      <c r="X17" s="86"/>
      <c r="Y17" s="370" t="s">
        <v>104</v>
      </c>
      <c r="Z17" s="371" t="s">
        <v>105</v>
      </c>
      <c r="AA17" s="404"/>
      <c r="AB17" s="404"/>
      <c r="AC17" s="404"/>
      <c r="AD17" s="404"/>
      <c r="AE17" s="404"/>
    </row>
    <row r="18" ht="39.75" customHeight="1">
      <c r="A18" s="372" t="s">
        <v>106</v>
      </c>
      <c r="B18" s="373" t="s">
        <v>107</v>
      </c>
      <c r="C18" s="374" t="s">
        <v>108</v>
      </c>
      <c r="D18" s="375" t="s">
        <v>109</v>
      </c>
      <c r="E18" s="376" t="s">
        <v>108</v>
      </c>
      <c r="F18" s="375" t="s">
        <v>109</v>
      </c>
      <c r="G18" s="376" t="s">
        <v>108</v>
      </c>
      <c r="H18" s="375" t="s">
        <v>109</v>
      </c>
      <c r="I18" s="376" t="s">
        <v>108</v>
      </c>
      <c r="J18" s="375" t="s">
        <v>109</v>
      </c>
      <c r="K18" s="376" t="s">
        <v>108</v>
      </c>
      <c r="L18" s="375" t="s">
        <v>109</v>
      </c>
      <c r="M18" s="376" t="s">
        <v>108</v>
      </c>
      <c r="N18" s="375" t="s">
        <v>109</v>
      </c>
      <c r="O18" s="376" t="s">
        <v>108</v>
      </c>
      <c r="P18" s="375" t="s">
        <v>109</v>
      </c>
      <c r="Q18" s="376" t="s">
        <v>108</v>
      </c>
      <c r="R18" s="375" t="s">
        <v>109</v>
      </c>
      <c r="S18" s="376" t="s">
        <v>108</v>
      </c>
      <c r="T18" s="375" t="s">
        <v>109</v>
      </c>
      <c r="U18" s="376" t="s">
        <v>108</v>
      </c>
      <c r="V18" s="375" t="s">
        <v>109</v>
      </c>
      <c r="W18" s="376" t="s">
        <v>108</v>
      </c>
      <c r="X18" s="375" t="s">
        <v>109</v>
      </c>
      <c r="Y18" s="375"/>
      <c r="Z18" s="377"/>
    </row>
    <row r="19" ht="39.75" customHeight="1">
      <c r="A19" s="378" t="s">
        <v>110</v>
      </c>
      <c r="B19" s="379" t="s">
        <v>111</v>
      </c>
      <c r="C19" s="380"/>
      <c r="D19" s="381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4"/>
      <c r="AA19" s="404"/>
      <c r="AB19" s="404"/>
      <c r="AC19" s="404"/>
      <c r="AD19" s="404"/>
      <c r="AE19" s="404"/>
    </row>
    <row r="20" ht="39.75" customHeight="1">
      <c r="A20" s="385" t="s">
        <v>112</v>
      </c>
      <c r="B20" s="386" t="s">
        <v>113</v>
      </c>
      <c r="C20" s="387" t="s">
        <v>56</v>
      </c>
      <c r="D20" s="388"/>
      <c r="E20" s="387" t="s">
        <v>56</v>
      </c>
      <c r="F20" s="389"/>
      <c r="G20" s="387" t="s">
        <v>56</v>
      </c>
      <c r="H20" s="389"/>
      <c r="I20" s="387" t="s">
        <v>56</v>
      </c>
      <c r="J20" s="389"/>
      <c r="K20" s="387" t="s">
        <v>56</v>
      </c>
      <c r="L20" s="389"/>
      <c r="M20" s="387" t="s">
        <v>407</v>
      </c>
      <c r="N20" s="389"/>
      <c r="O20" s="387" t="s">
        <v>407</v>
      </c>
      <c r="P20" s="389"/>
      <c r="Q20" s="387" t="s">
        <v>83</v>
      </c>
      <c r="R20" s="389"/>
      <c r="S20" s="387" t="s">
        <v>83</v>
      </c>
      <c r="T20" s="389"/>
      <c r="U20" s="387" t="s">
        <v>56</v>
      </c>
      <c r="V20" s="389"/>
      <c r="W20" s="387" t="s">
        <v>56</v>
      </c>
      <c r="X20" s="389"/>
      <c r="Y20" s="391">
        <f t="shared" ref="Y20:Y26" si="1">COUNTIF(C20:X20,"&gt;=R")</f>
        <v>11</v>
      </c>
      <c r="Z20" s="392">
        <f t="shared" ref="Z20:Z26" si="2">Y20</f>
        <v>11</v>
      </c>
    </row>
    <row r="21" ht="39.75" customHeight="1">
      <c r="A21" s="385" t="s">
        <v>114</v>
      </c>
      <c r="B21" s="386" t="s">
        <v>115</v>
      </c>
      <c r="C21" s="387" t="s">
        <v>56</v>
      </c>
      <c r="D21" s="388"/>
      <c r="E21" s="387" t="s">
        <v>56</v>
      </c>
      <c r="F21" s="389"/>
      <c r="G21" s="387" t="s">
        <v>67</v>
      </c>
      <c r="H21" s="389"/>
      <c r="I21" s="387" t="s">
        <v>67</v>
      </c>
      <c r="J21" s="389"/>
      <c r="K21" s="387" t="s">
        <v>67</v>
      </c>
      <c r="L21" s="389"/>
      <c r="M21" s="387" t="s">
        <v>407</v>
      </c>
      <c r="N21" s="389"/>
      <c r="O21" s="387" t="s">
        <v>407</v>
      </c>
      <c r="P21" s="389"/>
      <c r="Q21" s="387" t="s">
        <v>83</v>
      </c>
      <c r="R21" s="389"/>
      <c r="S21" s="387" t="s">
        <v>83</v>
      </c>
      <c r="T21" s="389"/>
      <c r="U21" s="387" t="s">
        <v>56</v>
      </c>
      <c r="V21" s="389"/>
      <c r="W21" s="387" t="s">
        <v>56</v>
      </c>
      <c r="X21" s="389"/>
      <c r="Y21" s="391">
        <f t="shared" si="1"/>
        <v>11</v>
      </c>
      <c r="Z21" s="392">
        <f t="shared" si="2"/>
        <v>11</v>
      </c>
    </row>
    <row r="22" ht="39.75" customHeight="1">
      <c r="A22" s="385" t="s">
        <v>116</v>
      </c>
      <c r="B22" s="386" t="s">
        <v>117</v>
      </c>
      <c r="C22" s="387" t="s">
        <v>56</v>
      </c>
      <c r="D22" s="388"/>
      <c r="E22" s="387" t="s">
        <v>56</v>
      </c>
      <c r="F22" s="389"/>
      <c r="G22" s="387" t="s">
        <v>67</v>
      </c>
      <c r="H22" s="389"/>
      <c r="I22" s="387" t="s">
        <v>67</v>
      </c>
      <c r="J22" s="389"/>
      <c r="K22" s="387" t="s">
        <v>67</v>
      </c>
      <c r="L22" s="389"/>
      <c r="M22" s="387" t="s">
        <v>408</v>
      </c>
      <c r="N22" s="389"/>
      <c r="O22" s="387" t="s">
        <v>408</v>
      </c>
      <c r="P22" s="389"/>
      <c r="Q22" s="387" t="s">
        <v>83</v>
      </c>
      <c r="R22" s="389"/>
      <c r="S22" s="387" t="s">
        <v>83</v>
      </c>
      <c r="T22" s="389"/>
      <c r="U22" s="387" t="s">
        <v>56</v>
      </c>
      <c r="V22" s="389"/>
      <c r="W22" s="387" t="s">
        <v>56</v>
      </c>
      <c r="X22" s="389"/>
      <c r="Y22" s="391">
        <f t="shared" si="1"/>
        <v>11</v>
      </c>
      <c r="Z22" s="392">
        <f t="shared" si="2"/>
        <v>11</v>
      </c>
    </row>
    <row r="23" ht="39.75" customHeight="1">
      <c r="A23" s="385" t="s">
        <v>118</v>
      </c>
      <c r="B23" s="386" t="s">
        <v>119</v>
      </c>
      <c r="C23" s="387" t="s">
        <v>56</v>
      </c>
      <c r="D23" s="388"/>
      <c r="E23" s="387" t="s">
        <v>56</v>
      </c>
      <c r="F23" s="389"/>
      <c r="G23" s="387" t="s">
        <v>67</v>
      </c>
      <c r="H23" s="389"/>
      <c r="I23" s="387" t="s">
        <v>67</v>
      </c>
      <c r="J23" s="389"/>
      <c r="K23" s="387" t="s">
        <v>67</v>
      </c>
      <c r="L23" s="389"/>
      <c r="M23" s="387" t="s">
        <v>408</v>
      </c>
      <c r="N23" s="389"/>
      <c r="O23" s="387" t="s">
        <v>408</v>
      </c>
      <c r="P23" s="389"/>
      <c r="Q23" s="387" t="s">
        <v>83</v>
      </c>
      <c r="R23" s="389"/>
      <c r="S23" s="387" t="s">
        <v>83</v>
      </c>
      <c r="T23" s="389"/>
      <c r="U23" s="387" t="s">
        <v>56</v>
      </c>
      <c r="V23" s="389"/>
      <c r="W23" s="387" t="s">
        <v>56</v>
      </c>
      <c r="X23" s="389"/>
      <c r="Y23" s="391">
        <f t="shared" si="1"/>
        <v>11</v>
      </c>
      <c r="Z23" s="392">
        <f t="shared" si="2"/>
        <v>11</v>
      </c>
    </row>
    <row r="24" ht="39.75" customHeight="1">
      <c r="A24" s="385" t="s">
        <v>120</v>
      </c>
      <c r="B24" s="386" t="s">
        <v>121</v>
      </c>
      <c r="C24" s="388" t="s">
        <v>67</v>
      </c>
      <c r="D24" s="388"/>
      <c r="E24" s="389" t="s">
        <v>67</v>
      </c>
      <c r="F24" s="389"/>
      <c r="G24" s="389" t="s">
        <v>67</v>
      </c>
      <c r="H24" s="389"/>
      <c r="I24" s="389" t="s">
        <v>76</v>
      </c>
      <c r="J24" s="389"/>
      <c r="K24" s="389" t="s">
        <v>76</v>
      </c>
      <c r="L24" s="389"/>
      <c r="M24" s="387" t="s">
        <v>408</v>
      </c>
      <c r="N24" s="389"/>
      <c r="O24" s="387" t="s">
        <v>408</v>
      </c>
      <c r="P24" s="389"/>
      <c r="Q24" s="389" t="s">
        <v>91</v>
      </c>
      <c r="R24" s="389"/>
      <c r="S24" s="389" t="s">
        <v>91</v>
      </c>
      <c r="T24" s="389"/>
      <c r="U24" s="389" t="s">
        <v>76</v>
      </c>
      <c r="V24" s="394"/>
      <c r="W24" s="389" t="s">
        <v>76</v>
      </c>
      <c r="X24" s="389"/>
      <c r="Y24" s="391">
        <f t="shared" si="1"/>
        <v>11</v>
      </c>
      <c r="Z24" s="392">
        <f t="shared" si="2"/>
        <v>11</v>
      </c>
    </row>
    <row r="25" ht="39.75" customHeight="1">
      <c r="A25" s="385" t="s">
        <v>122</v>
      </c>
      <c r="B25" s="386" t="s">
        <v>123</v>
      </c>
      <c r="C25" s="388" t="s">
        <v>67</v>
      </c>
      <c r="D25" s="388"/>
      <c r="E25" s="389" t="s">
        <v>67</v>
      </c>
      <c r="F25" s="389"/>
      <c r="G25" s="389" t="s">
        <v>67</v>
      </c>
      <c r="H25" s="389"/>
      <c r="I25" s="389" t="s">
        <v>76</v>
      </c>
      <c r="J25" s="389"/>
      <c r="K25" s="389" t="s">
        <v>76</v>
      </c>
      <c r="L25" s="389"/>
      <c r="M25" s="387" t="s">
        <v>408</v>
      </c>
      <c r="N25" s="389"/>
      <c r="O25" s="387" t="s">
        <v>408</v>
      </c>
      <c r="P25" s="389"/>
      <c r="Q25" s="389" t="s">
        <v>91</v>
      </c>
      <c r="R25" s="389"/>
      <c r="S25" s="389" t="s">
        <v>91</v>
      </c>
      <c r="T25" s="389"/>
      <c r="U25" s="389" t="s">
        <v>76</v>
      </c>
      <c r="V25" s="394"/>
      <c r="W25" s="389" t="s">
        <v>76</v>
      </c>
      <c r="X25" s="389"/>
      <c r="Y25" s="391">
        <f t="shared" si="1"/>
        <v>11</v>
      </c>
      <c r="Z25" s="392">
        <f t="shared" si="2"/>
        <v>11</v>
      </c>
    </row>
    <row r="26" ht="39.75" customHeight="1">
      <c r="A26" s="385" t="s">
        <v>124</v>
      </c>
      <c r="B26" s="386" t="s">
        <v>125</v>
      </c>
      <c r="C26" s="388" t="s">
        <v>67</v>
      </c>
      <c r="D26" s="388"/>
      <c r="E26" s="389" t="s">
        <v>67</v>
      </c>
      <c r="F26" s="389"/>
      <c r="G26" s="389" t="s">
        <v>67</v>
      </c>
      <c r="H26" s="389"/>
      <c r="I26" s="389" t="s">
        <v>76</v>
      </c>
      <c r="J26" s="389"/>
      <c r="K26" s="389" t="s">
        <v>76</v>
      </c>
      <c r="L26" s="389"/>
      <c r="M26" s="387" t="s">
        <v>408</v>
      </c>
      <c r="N26" s="389"/>
      <c r="O26" s="387" t="s">
        <v>408</v>
      </c>
      <c r="P26" s="389"/>
      <c r="Q26" s="389" t="s">
        <v>91</v>
      </c>
      <c r="R26" s="389"/>
      <c r="S26" s="389" t="s">
        <v>91</v>
      </c>
      <c r="T26" s="389"/>
      <c r="U26" s="389" t="s">
        <v>76</v>
      </c>
      <c r="V26" s="394"/>
      <c r="W26" s="389" t="s">
        <v>76</v>
      </c>
      <c r="X26" s="389"/>
      <c r="Y26" s="391">
        <f t="shared" si="1"/>
        <v>11</v>
      </c>
      <c r="Z26" s="392">
        <f t="shared" si="2"/>
        <v>11</v>
      </c>
    </row>
    <row r="27" ht="39.75" customHeight="1">
      <c r="A27" s="395" t="s">
        <v>126</v>
      </c>
      <c r="B27" s="396" t="s">
        <v>127</v>
      </c>
      <c r="C27" s="397"/>
      <c r="D27" s="398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401"/>
      <c r="AA27" s="404"/>
      <c r="AB27" s="404"/>
      <c r="AC27" s="404"/>
      <c r="AD27" s="404"/>
      <c r="AE27" s="404"/>
    </row>
    <row r="28" ht="39.75" customHeight="1">
      <c r="A28" s="385" t="s">
        <v>128</v>
      </c>
      <c r="B28" s="386" t="s">
        <v>129</v>
      </c>
      <c r="C28" s="388" t="s">
        <v>67</v>
      </c>
      <c r="D28" s="388"/>
      <c r="E28" s="389" t="s">
        <v>67</v>
      </c>
      <c r="F28" s="389"/>
      <c r="G28" s="389" t="s">
        <v>67</v>
      </c>
      <c r="H28" s="389"/>
      <c r="I28" s="389" t="s">
        <v>76</v>
      </c>
      <c r="J28" s="389"/>
      <c r="K28" s="389" t="s">
        <v>76</v>
      </c>
      <c r="L28" s="389"/>
      <c r="M28" s="958" t="s">
        <v>408</v>
      </c>
      <c r="N28" s="389"/>
      <c r="O28" s="958" t="s">
        <v>408</v>
      </c>
      <c r="P28" s="389"/>
      <c r="Q28" s="389" t="s">
        <v>91</v>
      </c>
      <c r="R28" s="389"/>
      <c r="S28" s="389" t="s">
        <v>91</v>
      </c>
      <c r="T28" s="389"/>
      <c r="U28" s="389" t="s">
        <v>76</v>
      </c>
      <c r="V28" s="394"/>
      <c r="W28" s="389" t="s">
        <v>76</v>
      </c>
      <c r="X28" s="389"/>
      <c r="Y28" s="391">
        <f t="shared" ref="Y28:Y29" si="3">COUNTIF(C28:X28,"&gt;=R")</f>
        <v>11</v>
      </c>
      <c r="Z28" s="392">
        <f t="shared" ref="Z28:Z29" si="4">Y28</f>
        <v>11</v>
      </c>
    </row>
    <row r="29" ht="39.75" customHeight="1">
      <c r="A29" s="385" t="s">
        <v>130</v>
      </c>
      <c r="B29" s="386" t="s">
        <v>131</v>
      </c>
      <c r="C29" s="388" t="s">
        <v>67</v>
      </c>
      <c r="D29" s="388"/>
      <c r="E29" s="389" t="s">
        <v>67</v>
      </c>
      <c r="F29" s="389"/>
      <c r="G29" s="389" t="s">
        <v>67</v>
      </c>
      <c r="H29" s="389"/>
      <c r="I29" s="389" t="s">
        <v>76</v>
      </c>
      <c r="J29" s="389"/>
      <c r="K29" s="389" t="s">
        <v>76</v>
      </c>
      <c r="L29" s="389"/>
      <c r="M29" s="958" t="s">
        <v>408</v>
      </c>
      <c r="N29" s="389"/>
      <c r="O29" s="958" t="s">
        <v>408</v>
      </c>
      <c r="P29" s="389"/>
      <c r="Q29" s="389" t="s">
        <v>91</v>
      </c>
      <c r="R29" s="389"/>
      <c r="S29" s="389" t="s">
        <v>91</v>
      </c>
      <c r="T29" s="389"/>
      <c r="U29" s="389" t="s">
        <v>76</v>
      </c>
      <c r="V29" s="394"/>
      <c r="W29" s="389" t="s">
        <v>76</v>
      </c>
      <c r="X29" s="389"/>
      <c r="Y29" s="391">
        <f t="shared" si="3"/>
        <v>11</v>
      </c>
      <c r="Z29" s="392">
        <f t="shared" si="4"/>
        <v>11</v>
      </c>
      <c r="AA29" s="404"/>
      <c r="AB29" s="404"/>
      <c r="AC29" s="404"/>
      <c r="AD29" s="404"/>
      <c r="AE29" s="404"/>
    </row>
    <row r="30" ht="39.75" customHeight="1">
      <c r="A30" s="395" t="s">
        <v>132</v>
      </c>
      <c r="B30" s="396" t="s">
        <v>133</v>
      </c>
      <c r="C30" s="397"/>
      <c r="D30" s="398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401"/>
      <c r="AA30" s="404"/>
      <c r="AB30" s="404"/>
      <c r="AC30" s="404"/>
      <c r="AD30" s="404"/>
      <c r="AE30" s="404"/>
    </row>
    <row r="31" ht="39.75" customHeight="1">
      <c r="A31" s="402" t="s">
        <v>134</v>
      </c>
      <c r="B31" s="386" t="s">
        <v>135</v>
      </c>
      <c r="C31" s="387" t="s">
        <v>57</v>
      </c>
      <c r="D31" s="388"/>
      <c r="E31" s="387" t="s">
        <v>38</v>
      </c>
      <c r="F31" s="389"/>
      <c r="G31" s="387" t="s">
        <v>38</v>
      </c>
      <c r="H31" s="389"/>
      <c r="I31" s="389" t="s">
        <v>38</v>
      </c>
      <c r="J31" s="389"/>
      <c r="K31" s="389" t="s">
        <v>38</v>
      </c>
      <c r="L31" s="389"/>
      <c r="M31" s="390" t="s">
        <v>16</v>
      </c>
      <c r="N31" s="389"/>
      <c r="O31" s="389" t="s">
        <v>57</v>
      </c>
      <c r="P31" s="389"/>
      <c r="Q31" s="389" t="s">
        <v>76</v>
      </c>
      <c r="R31" s="389"/>
      <c r="S31" s="389" t="s">
        <v>76</v>
      </c>
      <c r="T31" s="389"/>
      <c r="U31" s="389" t="s">
        <v>76</v>
      </c>
      <c r="V31" s="389"/>
      <c r="W31" s="389" t="s">
        <v>76</v>
      </c>
      <c r="X31" s="389"/>
      <c r="Y31" s="391">
        <f>COUNTIF(C31:X31,"&gt;=R")</f>
        <v>11</v>
      </c>
      <c r="Z31" s="392">
        <f>Y31</f>
        <v>11</v>
      </c>
      <c r="AA31" s="404"/>
      <c r="AB31" s="404"/>
      <c r="AC31" s="404"/>
      <c r="AD31" s="404"/>
      <c r="AE31" s="404"/>
    </row>
    <row r="32" ht="39.75" customHeight="1">
      <c r="A32" s="395" t="s">
        <v>136</v>
      </c>
      <c r="B32" s="396" t="s">
        <v>137</v>
      </c>
      <c r="C32" s="397"/>
      <c r="D32" s="398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401"/>
      <c r="AA32" s="404"/>
      <c r="AB32" s="404"/>
      <c r="AC32" s="404"/>
      <c r="AD32" s="404"/>
      <c r="AE32" s="404"/>
    </row>
    <row r="33" ht="39.75" customHeight="1">
      <c r="A33" s="385" t="s">
        <v>138</v>
      </c>
      <c r="B33" s="386" t="s">
        <v>139</v>
      </c>
      <c r="C33" s="387"/>
      <c r="D33" s="388"/>
      <c r="E33" s="394" t="s">
        <v>38</v>
      </c>
      <c r="F33" s="389"/>
      <c r="G33" s="394" t="s">
        <v>38</v>
      </c>
      <c r="H33" s="389"/>
      <c r="I33" s="389" t="s">
        <v>38</v>
      </c>
      <c r="J33" s="389"/>
      <c r="K33" s="389" t="s">
        <v>38</v>
      </c>
      <c r="L33" s="389"/>
      <c r="M33" s="390" t="s">
        <v>16</v>
      </c>
      <c r="N33" s="389"/>
      <c r="O33" s="389"/>
      <c r="P33" s="389"/>
      <c r="Q33" s="389" t="s">
        <v>77</v>
      </c>
      <c r="R33" s="389"/>
      <c r="S33" s="389" t="s">
        <v>77</v>
      </c>
      <c r="T33" s="394"/>
      <c r="U33" s="389" t="s">
        <v>68</v>
      </c>
      <c r="V33" s="394"/>
      <c r="W33" s="389" t="s">
        <v>68</v>
      </c>
      <c r="X33" s="394"/>
      <c r="Y33" s="391">
        <f t="shared" ref="Y33:Y34" si="5">COUNTIF(C33:X33,"&gt;=R")</f>
        <v>9</v>
      </c>
      <c r="Z33" s="392">
        <f t="shared" ref="Z33:Z34" si="6">Y33</f>
        <v>9</v>
      </c>
    </row>
    <row r="34" ht="39.75" customHeight="1">
      <c r="A34" s="404" t="s">
        <v>140</v>
      </c>
      <c r="B34" s="794" t="s">
        <v>141</v>
      </c>
      <c r="C34" s="387"/>
      <c r="D34" s="388"/>
      <c r="E34" s="387" t="s">
        <v>38</v>
      </c>
      <c r="F34" s="389"/>
      <c r="G34" s="387" t="s">
        <v>38</v>
      </c>
      <c r="H34" s="389"/>
      <c r="I34" s="389" t="s">
        <v>38</v>
      </c>
      <c r="J34" s="389"/>
      <c r="K34" s="389" t="s">
        <v>38</v>
      </c>
      <c r="L34" s="389"/>
      <c r="M34" s="390" t="s">
        <v>16</v>
      </c>
      <c r="N34" s="389"/>
      <c r="O34" s="389"/>
      <c r="P34" s="389"/>
      <c r="Q34" s="389" t="s">
        <v>77</v>
      </c>
      <c r="R34" s="389"/>
      <c r="S34" s="389" t="s">
        <v>77</v>
      </c>
      <c r="T34" s="389"/>
      <c r="U34" s="389" t="s">
        <v>68</v>
      </c>
      <c r="V34" s="389"/>
      <c r="W34" s="389" t="s">
        <v>68</v>
      </c>
      <c r="X34" s="389"/>
      <c r="Y34" s="391">
        <f t="shared" si="5"/>
        <v>9</v>
      </c>
      <c r="Z34" s="392">
        <f t="shared" si="6"/>
        <v>9</v>
      </c>
    </row>
    <row r="35" ht="39.75" customHeight="1">
      <c r="A35" s="395" t="s">
        <v>142</v>
      </c>
      <c r="B35" s="396" t="s">
        <v>143</v>
      </c>
      <c r="C35" s="397"/>
      <c r="D35" s="398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401"/>
    </row>
    <row r="36" ht="39.75" customHeight="1">
      <c r="A36" s="402" t="s">
        <v>144</v>
      </c>
      <c r="B36" s="386" t="s">
        <v>145</v>
      </c>
      <c r="C36" s="388"/>
      <c r="D36" s="388"/>
      <c r="E36" s="389" t="s">
        <v>38</v>
      </c>
      <c r="F36" s="389"/>
      <c r="G36" s="389" t="s">
        <v>57</v>
      </c>
      <c r="H36" s="389"/>
      <c r="I36" s="389" t="s">
        <v>38</v>
      </c>
      <c r="J36" s="389"/>
      <c r="K36" s="389" t="s">
        <v>38</v>
      </c>
      <c r="L36" s="389"/>
      <c r="M36" s="389" t="s">
        <v>46</v>
      </c>
      <c r="N36" s="389"/>
      <c r="O36" s="389"/>
      <c r="P36" s="389"/>
      <c r="Q36" s="389" t="s">
        <v>77</v>
      </c>
      <c r="R36" s="389"/>
      <c r="S36" s="389" t="s">
        <v>77</v>
      </c>
      <c r="T36" s="389"/>
      <c r="U36" s="389" t="s">
        <v>68</v>
      </c>
      <c r="V36" s="389"/>
      <c r="W36" s="389" t="s">
        <v>68</v>
      </c>
      <c r="X36" s="389"/>
      <c r="Y36" s="391">
        <f>COUNTIF(C36:X36,"&gt;=R")</f>
        <v>9</v>
      </c>
      <c r="Z36" s="392">
        <f>Y36</f>
        <v>9</v>
      </c>
    </row>
    <row r="37" ht="39.75" customHeight="1">
      <c r="A37" s="395" t="s">
        <v>146</v>
      </c>
      <c r="B37" s="396" t="s">
        <v>147</v>
      </c>
      <c r="C37" s="397"/>
      <c r="D37" s="398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401"/>
    </row>
    <row r="38" ht="39.75" customHeight="1">
      <c r="A38" s="385" t="s">
        <v>148</v>
      </c>
      <c r="B38" s="386" t="s">
        <v>139</v>
      </c>
      <c r="C38" s="388" t="s">
        <v>18</v>
      </c>
      <c r="D38" s="388"/>
      <c r="E38" s="389" t="s">
        <v>38</v>
      </c>
      <c r="F38" s="389"/>
      <c r="G38" s="394" t="s">
        <v>68</v>
      </c>
      <c r="H38" s="389"/>
      <c r="I38" s="389" t="s">
        <v>38</v>
      </c>
      <c r="J38" s="389"/>
      <c r="K38" s="389" t="s">
        <v>38</v>
      </c>
      <c r="L38" s="389"/>
      <c r="M38" s="389" t="s">
        <v>46</v>
      </c>
      <c r="N38" s="389"/>
      <c r="O38" s="389" t="s">
        <v>18</v>
      </c>
      <c r="P38" s="389"/>
      <c r="Q38" s="389" t="s">
        <v>77</v>
      </c>
      <c r="R38" s="389"/>
      <c r="S38" s="389" t="s">
        <v>77</v>
      </c>
      <c r="T38" s="389"/>
      <c r="U38" s="389" t="s">
        <v>68</v>
      </c>
      <c r="V38" s="389"/>
      <c r="W38" s="389" t="s">
        <v>68</v>
      </c>
      <c r="X38" s="389"/>
      <c r="Y38" s="391">
        <f t="shared" ref="Y38:Y39" si="7">COUNTIF(C38:X38,"&gt;=R")</f>
        <v>11</v>
      </c>
      <c r="Z38" s="392">
        <f t="shared" ref="Z38:Z39" si="8">Y38</f>
        <v>11</v>
      </c>
    </row>
    <row r="39" ht="39.75" customHeight="1">
      <c r="A39" s="385" t="s">
        <v>149</v>
      </c>
      <c r="B39" s="386" t="s">
        <v>150</v>
      </c>
      <c r="C39" s="388" t="s">
        <v>18</v>
      </c>
      <c r="D39" s="388"/>
      <c r="E39" s="389" t="s">
        <v>38</v>
      </c>
      <c r="F39" s="389"/>
      <c r="G39" s="389" t="s">
        <v>68</v>
      </c>
      <c r="H39" s="389"/>
      <c r="I39" s="394" t="s">
        <v>68</v>
      </c>
      <c r="J39" s="389"/>
      <c r="K39" s="394" t="s">
        <v>68</v>
      </c>
      <c r="L39" s="389"/>
      <c r="M39" s="394" t="s">
        <v>36</v>
      </c>
      <c r="N39" s="389"/>
      <c r="O39" s="394" t="s">
        <v>18</v>
      </c>
      <c r="P39" s="389"/>
      <c r="Q39" s="389" t="s">
        <v>77</v>
      </c>
      <c r="R39" s="389"/>
      <c r="S39" s="389" t="s">
        <v>77</v>
      </c>
      <c r="T39" s="389"/>
      <c r="U39" s="394" t="s">
        <v>68</v>
      </c>
      <c r="V39" s="389"/>
      <c r="W39" s="394" t="s">
        <v>68</v>
      </c>
      <c r="X39" s="389"/>
      <c r="Y39" s="391">
        <f t="shared" si="7"/>
        <v>11</v>
      </c>
      <c r="Z39" s="392">
        <f t="shared" si="8"/>
        <v>11</v>
      </c>
      <c r="AA39" s="404"/>
      <c r="AB39" s="404"/>
      <c r="AC39" s="404"/>
      <c r="AD39" s="404"/>
      <c r="AE39" s="404"/>
    </row>
    <row r="40" ht="39.75" customHeight="1">
      <c r="A40" s="407" t="s">
        <v>151</v>
      </c>
      <c r="B40" s="408" t="s">
        <v>152</v>
      </c>
      <c r="C40" s="387"/>
      <c r="D40" s="388"/>
      <c r="E40" s="389"/>
      <c r="F40" s="389"/>
      <c r="G40" s="389"/>
      <c r="H40" s="389"/>
      <c r="I40" s="389"/>
      <c r="J40" s="389"/>
      <c r="K40" s="389"/>
      <c r="L40" s="389"/>
      <c r="M40" s="394"/>
      <c r="N40" s="389"/>
      <c r="O40" s="389"/>
      <c r="P40" s="389"/>
      <c r="Q40" s="389"/>
      <c r="R40" s="389"/>
      <c r="S40" s="389"/>
      <c r="T40" s="389"/>
      <c r="U40" s="394"/>
      <c r="V40" s="389"/>
      <c r="W40" s="389"/>
      <c r="X40" s="389"/>
      <c r="Y40" s="391"/>
      <c r="Z40" s="392"/>
    </row>
    <row r="41" ht="39.75" customHeight="1">
      <c r="A41" s="385" t="s">
        <v>153</v>
      </c>
      <c r="B41" s="386" t="s">
        <v>154</v>
      </c>
      <c r="C41" s="387"/>
      <c r="D41" s="388"/>
      <c r="E41" s="387"/>
      <c r="F41" s="389"/>
      <c r="G41" s="387"/>
      <c r="H41" s="389"/>
      <c r="I41" s="387"/>
      <c r="J41" s="389"/>
      <c r="K41" s="387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91">
        <f t="shared" ref="Y41:Y46" si="9">COUNTIF(C41:X41,"&gt;=R")</f>
        <v>0</v>
      </c>
      <c r="Z41" s="392">
        <f t="shared" ref="Z41:Z46" si="10">Y41</f>
        <v>0</v>
      </c>
    </row>
    <row r="42" ht="39.75" customHeight="1">
      <c r="A42" s="385" t="s">
        <v>155</v>
      </c>
      <c r="B42" s="386" t="s">
        <v>156</v>
      </c>
      <c r="C42" s="387"/>
      <c r="D42" s="388"/>
      <c r="E42" s="394"/>
      <c r="F42" s="389"/>
      <c r="G42" s="394"/>
      <c r="H42" s="389"/>
      <c r="I42" s="394"/>
      <c r="J42" s="389"/>
      <c r="K42" s="394"/>
      <c r="L42" s="389"/>
      <c r="M42" s="394"/>
      <c r="N42" s="389"/>
      <c r="O42" s="394"/>
      <c r="P42" s="389"/>
      <c r="Q42" s="394"/>
      <c r="R42" s="389"/>
      <c r="S42" s="394"/>
      <c r="T42" s="389"/>
      <c r="U42" s="394"/>
      <c r="V42" s="389"/>
      <c r="W42" s="394"/>
      <c r="X42" s="389"/>
      <c r="Y42" s="391">
        <f t="shared" si="9"/>
        <v>0</v>
      </c>
      <c r="Z42" s="392">
        <f t="shared" si="10"/>
        <v>0</v>
      </c>
      <c r="AA42" s="404"/>
      <c r="AB42" s="404"/>
      <c r="AC42" s="404"/>
      <c r="AD42" s="404"/>
      <c r="AE42" s="404"/>
    </row>
    <row r="43" ht="39.75" customHeight="1">
      <c r="A43" s="385" t="s">
        <v>157</v>
      </c>
      <c r="B43" s="386" t="s">
        <v>158</v>
      </c>
      <c r="C43" s="388" t="s">
        <v>18</v>
      </c>
      <c r="D43" s="388"/>
      <c r="E43" s="389"/>
      <c r="F43" s="389"/>
      <c r="G43" s="389"/>
      <c r="H43" s="389"/>
      <c r="I43" s="394"/>
      <c r="J43" s="389"/>
      <c r="K43" s="394"/>
      <c r="L43" s="389"/>
      <c r="M43" s="394" t="s">
        <v>36</v>
      </c>
      <c r="N43" s="389"/>
      <c r="O43" s="394" t="s">
        <v>18</v>
      </c>
      <c r="P43" s="389"/>
      <c r="Q43" s="389" t="s">
        <v>77</v>
      </c>
      <c r="R43" s="389"/>
      <c r="S43" s="389" t="s">
        <v>77</v>
      </c>
      <c r="T43" s="389"/>
      <c r="U43" s="394" t="s">
        <v>68</v>
      </c>
      <c r="V43" s="389"/>
      <c r="W43" s="394" t="s">
        <v>68</v>
      </c>
      <c r="X43" s="389"/>
      <c r="Y43" s="391">
        <f t="shared" si="9"/>
        <v>7</v>
      </c>
      <c r="Z43" s="392">
        <f t="shared" si="10"/>
        <v>7</v>
      </c>
    </row>
    <row r="44" ht="39.75" customHeight="1">
      <c r="A44" s="385" t="s">
        <v>159</v>
      </c>
      <c r="B44" s="386" t="s">
        <v>160</v>
      </c>
      <c r="C44" s="387"/>
      <c r="D44" s="388"/>
      <c r="E44" s="389" t="s">
        <v>93</v>
      </c>
      <c r="F44" s="389"/>
      <c r="G44" s="389" t="s">
        <v>93</v>
      </c>
      <c r="H44" s="389"/>
      <c r="I44" s="389"/>
      <c r="J44" s="389"/>
      <c r="K44" s="389"/>
      <c r="L44" s="389"/>
      <c r="M44" s="389" t="s">
        <v>83</v>
      </c>
      <c r="N44" s="389"/>
      <c r="O44" s="389"/>
      <c r="P44" s="389"/>
      <c r="Q44" s="389" t="s">
        <v>38</v>
      </c>
      <c r="R44" s="389"/>
      <c r="S44" s="389" t="s">
        <v>38</v>
      </c>
      <c r="T44" s="389"/>
      <c r="U44" s="389" t="s">
        <v>38</v>
      </c>
      <c r="V44" s="389"/>
      <c r="W44" s="389" t="s">
        <v>38</v>
      </c>
      <c r="X44" s="389"/>
      <c r="Y44" s="391">
        <f t="shared" si="9"/>
        <v>7</v>
      </c>
      <c r="Z44" s="392">
        <f t="shared" si="10"/>
        <v>7</v>
      </c>
      <c r="AA44" s="404"/>
      <c r="AB44" s="404"/>
      <c r="AC44" s="404"/>
      <c r="AD44" s="404"/>
      <c r="AE44" s="404"/>
    </row>
    <row r="45" ht="39.75" customHeight="1">
      <c r="A45" s="385" t="s">
        <v>161</v>
      </c>
      <c r="B45" s="386" t="s">
        <v>162</v>
      </c>
      <c r="C45" s="387"/>
      <c r="D45" s="388"/>
      <c r="E45" s="389" t="s">
        <v>93</v>
      </c>
      <c r="F45" s="389"/>
      <c r="G45" s="389" t="s">
        <v>85</v>
      </c>
      <c r="H45" s="389"/>
      <c r="I45" s="389"/>
      <c r="J45" s="389"/>
      <c r="K45" s="389"/>
      <c r="L45" s="389"/>
      <c r="M45" s="389" t="s">
        <v>36</v>
      </c>
      <c r="N45" s="389"/>
      <c r="O45" s="389"/>
      <c r="P45" s="389"/>
      <c r="Q45" s="389" t="s">
        <v>93</v>
      </c>
      <c r="R45" s="389"/>
      <c r="S45" s="389" t="s">
        <v>93</v>
      </c>
      <c r="T45" s="389"/>
      <c r="U45" s="389" t="s">
        <v>38</v>
      </c>
      <c r="V45" s="389"/>
      <c r="W45" s="389" t="s">
        <v>38</v>
      </c>
      <c r="X45" s="389"/>
      <c r="Y45" s="391">
        <f t="shared" si="9"/>
        <v>7</v>
      </c>
      <c r="Z45" s="392">
        <f t="shared" si="10"/>
        <v>7</v>
      </c>
    </row>
    <row r="46" ht="39.75" customHeight="1">
      <c r="A46" s="385" t="s">
        <v>163</v>
      </c>
      <c r="B46" s="386" t="s">
        <v>164</v>
      </c>
      <c r="C46" s="387" t="s">
        <v>18</v>
      </c>
      <c r="D46" s="388"/>
      <c r="E46" s="394" t="s">
        <v>85</v>
      </c>
      <c r="F46" s="389"/>
      <c r="G46" s="389" t="s">
        <v>85</v>
      </c>
      <c r="H46" s="389"/>
      <c r="I46" s="389" t="s">
        <v>77</v>
      </c>
      <c r="J46" s="389"/>
      <c r="K46" s="389" t="s">
        <v>77</v>
      </c>
      <c r="L46" s="389"/>
      <c r="M46" s="394" t="s">
        <v>36</v>
      </c>
      <c r="N46" s="389"/>
      <c r="O46" s="389" t="s">
        <v>18</v>
      </c>
      <c r="P46" s="389"/>
      <c r="Q46" s="389" t="s">
        <v>38</v>
      </c>
      <c r="R46" s="389"/>
      <c r="S46" s="389" t="s">
        <v>38</v>
      </c>
      <c r="T46" s="389"/>
      <c r="U46" s="389" t="s">
        <v>38</v>
      </c>
      <c r="V46" s="389"/>
      <c r="W46" s="389" t="s">
        <v>38</v>
      </c>
      <c r="X46" s="389"/>
      <c r="Y46" s="391">
        <f t="shared" si="9"/>
        <v>11</v>
      </c>
      <c r="Z46" s="392">
        <f t="shared" si="10"/>
        <v>11</v>
      </c>
      <c r="AA46" s="404"/>
      <c r="AB46" s="404"/>
      <c r="AC46" s="404"/>
      <c r="AD46" s="404"/>
      <c r="AE46" s="404"/>
    </row>
    <row r="47" ht="39.75" customHeight="1">
      <c r="A47" s="378" t="s">
        <v>165</v>
      </c>
      <c r="B47" s="379" t="s">
        <v>166</v>
      </c>
      <c r="C47" s="397"/>
      <c r="D47" s="398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401"/>
      <c r="AA47" s="404"/>
      <c r="AB47" s="404"/>
      <c r="AC47" s="404"/>
      <c r="AD47" s="404"/>
      <c r="AE47" s="404"/>
    </row>
    <row r="48" ht="39.75" customHeight="1">
      <c r="A48" s="409" t="s">
        <v>167</v>
      </c>
      <c r="B48" s="410" t="s">
        <v>168</v>
      </c>
      <c r="C48" s="387"/>
      <c r="D48" s="388"/>
      <c r="E48" s="389"/>
      <c r="F48" s="389"/>
      <c r="G48" s="394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94"/>
      <c r="X48" s="389"/>
      <c r="Y48" s="391"/>
      <c r="Z48" s="392"/>
    </row>
    <row r="49" ht="39.75" customHeight="1">
      <c r="A49" s="411" t="s">
        <v>169</v>
      </c>
      <c r="B49" s="412" t="s">
        <v>170</v>
      </c>
      <c r="C49" s="387" t="s">
        <v>18</v>
      </c>
      <c r="D49" s="388"/>
      <c r="E49" s="389" t="s">
        <v>85</v>
      </c>
      <c r="F49" s="389"/>
      <c r="G49" s="389" t="s">
        <v>85</v>
      </c>
      <c r="H49" s="389"/>
      <c r="I49" s="389" t="s">
        <v>77</v>
      </c>
      <c r="J49" s="389"/>
      <c r="K49" s="389" t="s">
        <v>77</v>
      </c>
      <c r="L49" s="389"/>
      <c r="M49" s="389" t="s">
        <v>91</v>
      </c>
      <c r="N49" s="389"/>
      <c r="O49" s="389" t="s">
        <v>18</v>
      </c>
      <c r="P49" s="389"/>
      <c r="Q49" s="389" t="s">
        <v>48</v>
      </c>
      <c r="R49" s="389"/>
      <c r="S49" s="389" t="s">
        <v>48</v>
      </c>
      <c r="T49" s="389"/>
      <c r="U49" s="389" t="s">
        <v>48</v>
      </c>
      <c r="V49" s="389"/>
      <c r="W49" s="389" t="s">
        <v>48</v>
      </c>
      <c r="X49" s="389"/>
      <c r="Y49" s="391">
        <f t="shared" ref="Y49:Y50" si="11">COUNTIF(C49:X49,"&gt;=R")</f>
        <v>11</v>
      </c>
      <c r="Z49" s="392">
        <f t="shared" ref="Z49:Z50" si="12">Y49</f>
        <v>11</v>
      </c>
      <c r="AA49" s="404"/>
      <c r="AB49" s="404"/>
      <c r="AC49" s="404"/>
      <c r="AD49" s="404"/>
      <c r="AE49" s="404"/>
    </row>
    <row r="50" ht="39.75" customHeight="1">
      <c r="A50" s="411" t="s">
        <v>171</v>
      </c>
      <c r="B50" s="412" t="s">
        <v>172</v>
      </c>
      <c r="C50" s="387"/>
      <c r="D50" s="388"/>
      <c r="E50" s="387"/>
      <c r="F50" s="389"/>
      <c r="G50" s="387"/>
      <c r="H50" s="389"/>
      <c r="I50" s="387"/>
      <c r="J50" s="389"/>
      <c r="K50" s="387"/>
      <c r="L50" s="389"/>
      <c r="M50" s="387"/>
      <c r="N50" s="389"/>
      <c r="O50" s="387"/>
      <c r="P50" s="389"/>
      <c r="Q50" s="387"/>
      <c r="R50" s="389"/>
      <c r="S50" s="389"/>
      <c r="T50" s="389"/>
      <c r="U50" s="389"/>
      <c r="V50" s="389"/>
      <c r="W50" s="389"/>
      <c r="X50" s="389"/>
      <c r="Y50" s="391">
        <f t="shared" si="11"/>
        <v>0</v>
      </c>
      <c r="Z50" s="392">
        <f t="shared" si="12"/>
        <v>0</v>
      </c>
      <c r="AA50" s="404"/>
      <c r="AB50" s="404"/>
      <c r="AC50" s="404"/>
      <c r="AD50" s="404"/>
      <c r="AE50" s="404"/>
    </row>
    <row r="51" ht="39.75" customHeight="1">
      <c r="A51" s="414" t="s">
        <v>173</v>
      </c>
      <c r="B51" s="415" t="s">
        <v>174</v>
      </c>
      <c r="C51" s="387"/>
      <c r="D51" s="388"/>
      <c r="E51" s="389"/>
      <c r="F51" s="389"/>
      <c r="G51" s="394"/>
      <c r="H51" s="389"/>
      <c r="I51" s="394"/>
      <c r="J51" s="389"/>
      <c r="K51" s="394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91"/>
      <c r="Z51" s="392"/>
    </row>
    <row r="52" ht="39.75" customHeight="1">
      <c r="A52" s="411" t="s">
        <v>175</v>
      </c>
      <c r="B52" s="412" t="s">
        <v>176</v>
      </c>
      <c r="C52" s="387" t="s">
        <v>93</v>
      </c>
      <c r="D52" s="388"/>
      <c r="E52" s="387"/>
      <c r="F52" s="389"/>
      <c r="G52" s="389"/>
      <c r="H52" s="389"/>
      <c r="I52" s="389"/>
      <c r="J52" s="389"/>
      <c r="K52" s="389"/>
      <c r="L52" s="389"/>
      <c r="M52" s="389"/>
      <c r="N52" s="389"/>
      <c r="O52" s="389" t="s">
        <v>93</v>
      </c>
      <c r="P52" s="389"/>
      <c r="Q52" s="389"/>
      <c r="R52" s="389"/>
      <c r="S52" s="389"/>
      <c r="T52" s="389"/>
      <c r="U52" s="394"/>
      <c r="V52" s="389"/>
      <c r="W52" s="394"/>
      <c r="X52" s="389"/>
      <c r="Y52" s="391">
        <f t="shared" ref="Y52:Y53" si="13">COUNTIF(C52:X52,"&gt;=R")</f>
        <v>2</v>
      </c>
      <c r="Z52" s="392">
        <f t="shared" ref="Z52:Z53" si="14">Y52</f>
        <v>2</v>
      </c>
    </row>
    <row r="53" ht="39.75" customHeight="1">
      <c r="A53" s="411" t="s">
        <v>177</v>
      </c>
      <c r="B53" s="412" t="s">
        <v>178</v>
      </c>
      <c r="C53" s="387"/>
      <c r="D53" s="388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91">
        <f t="shared" si="13"/>
        <v>0</v>
      </c>
      <c r="Z53" s="392">
        <f t="shared" si="14"/>
        <v>0</v>
      </c>
      <c r="AA53" s="404"/>
      <c r="AB53" s="404"/>
      <c r="AC53" s="404"/>
      <c r="AD53" s="404"/>
      <c r="AE53" s="404"/>
    </row>
    <row r="54" ht="39.75" customHeight="1">
      <c r="A54" s="414" t="s">
        <v>179</v>
      </c>
      <c r="B54" s="415" t="s">
        <v>180</v>
      </c>
      <c r="C54" s="387"/>
      <c r="D54" s="388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94"/>
      <c r="X54" s="389"/>
      <c r="Y54" s="391"/>
      <c r="Z54" s="392"/>
    </row>
    <row r="55" ht="39.75" customHeight="1">
      <c r="A55" s="404" t="s">
        <v>181</v>
      </c>
      <c r="B55" s="794" t="s">
        <v>182</v>
      </c>
      <c r="C55" s="387"/>
      <c r="D55" s="388"/>
      <c r="E55" s="387"/>
      <c r="F55" s="389"/>
      <c r="G55" s="387"/>
      <c r="H55" s="389"/>
      <c r="I55" s="387"/>
      <c r="J55" s="389"/>
      <c r="K55" s="389"/>
      <c r="L55" s="389"/>
      <c r="M55" s="389"/>
      <c r="N55" s="389"/>
      <c r="O55" s="389"/>
      <c r="P55" s="389"/>
      <c r="Q55" s="389"/>
      <c r="R55" s="389"/>
      <c r="S55" s="387"/>
      <c r="T55" s="389"/>
      <c r="U55" s="387"/>
      <c r="V55" s="389"/>
      <c r="W55" s="387"/>
      <c r="X55" s="389"/>
      <c r="Y55" s="391">
        <f>COUNTIF(C55:X55,"&gt;=R")</f>
        <v>0</v>
      </c>
      <c r="Z55" s="392">
        <f>Y55</f>
        <v>0</v>
      </c>
    </row>
    <row r="56" ht="39.75" customHeight="1">
      <c r="A56" s="395" t="s">
        <v>183</v>
      </c>
      <c r="B56" s="396" t="s">
        <v>184</v>
      </c>
      <c r="C56" s="397"/>
      <c r="D56" s="398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401"/>
      <c r="AA56" s="404"/>
      <c r="AB56" s="404"/>
      <c r="AC56" s="404"/>
      <c r="AD56" s="404"/>
      <c r="AE56" s="404"/>
    </row>
    <row r="57" ht="39.75" customHeight="1">
      <c r="A57" s="385" t="s">
        <v>185</v>
      </c>
      <c r="B57" s="386" t="s">
        <v>186</v>
      </c>
      <c r="C57" s="387" t="s">
        <v>85</v>
      </c>
      <c r="D57" s="388"/>
      <c r="E57" s="389" t="s">
        <v>93</v>
      </c>
      <c r="F57" s="389"/>
      <c r="G57" s="389" t="s">
        <v>93</v>
      </c>
      <c r="H57" s="389"/>
      <c r="I57" s="389" t="s">
        <v>93</v>
      </c>
      <c r="J57" s="389"/>
      <c r="K57" s="389" t="s">
        <v>93</v>
      </c>
      <c r="L57" s="389"/>
      <c r="M57" s="389"/>
      <c r="N57" s="389"/>
      <c r="O57" s="389" t="s">
        <v>85</v>
      </c>
      <c r="P57" s="389"/>
      <c r="Q57" s="389" t="s">
        <v>93</v>
      </c>
      <c r="R57" s="389"/>
      <c r="S57" s="389" t="s">
        <v>93</v>
      </c>
      <c r="T57" s="389"/>
      <c r="U57" s="389" t="s">
        <v>85</v>
      </c>
      <c r="V57" s="389"/>
      <c r="W57" s="389" t="s">
        <v>85</v>
      </c>
      <c r="X57" s="389"/>
      <c r="Y57" s="391">
        <f t="shared" ref="Y57:Y60" si="15">COUNTIF(C57:X57,"&gt;=R")</f>
        <v>10</v>
      </c>
      <c r="Z57" s="392">
        <f t="shared" ref="Z57:Z60" si="16">Y57</f>
        <v>10</v>
      </c>
      <c r="AA57" s="404"/>
      <c r="AB57" s="404"/>
      <c r="AC57" s="404"/>
      <c r="AD57" s="404"/>
      <c r="AE57" s="404"/>
    </row>
    <row r="58" ht="39.75" customHeight="1">
      <c r="A58" s="385" t="s">
        <v>187</v>
      </c>
      <c r="B58" s="386" t="s">
        <v>188</v>
      </c>
      <c r="C58" s="387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91">
        <f t="shared" si="15"/>
        <v>0</v>
      </c>
      <c r="Z58" s="392">
        <f t="shared" si="16"/>
        <v>0</v>
      </c>
      <c r="AA58" s="404"/>
      <c r="AB58" s="404"/>
      <c r="AC58" s="404"/>
      <c r="AD58" s="404"/>
      <c r="AE58" s="404"/>
    </row>
    <row r="59" ht="39.75" customHeight="1">
      <c r="A59" s="385" t="s">
        <v>189</v>
      </c>
      <c r="B59" s="386" t="s">
        <v>190</v>
      </c>
      <c r="C59" s="388" t="s">
        <v>85</v>
      </c>
      <c r="D59" s="388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 t="s">
        <v>85</v>
      </c>
      <c r="P59" s="389"/>
      <c r="Q59" s="389"/>
      <c r="R59" s="389"/>
      <c r="S59" s="389"/>
      <c r="T59" s="389"/>
      <c r="U59" s="389"/>
      <c r="V59" s="389"/>
      <c r="W59" s="389"/>
      <c r="X59" s="389"/>
      <c r="Y59" s="391">
        <f t="shared" si="15"/>
        <v>2</v>
      </c>
      <c r="Z59" s="392">
        <f t="shared" si="16"/>
        <v>2</v>
      </c>
    </row>
    <row r="60" ht="39.75" customHeight="1">
      <c r="A60" s="385" t="s">
        <v>191</v>
      </c>
      <c r="B60" s="386" t="s">
        <v>192</v>
      </c>
      <c r="C60" s="388"/>
      <c r="D60" s="388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94"/>
      <c r="X60" s="389"/>
      <c r="Y60" s="391">
        <f t="shared" si="15"/>
        <v>0</v>
      </c>
      <c r="Z60" s="392">
        <f t="shared" si="16"/>
        <v>0</v>
      </c>
      <c r="AA60" s="404"/>
      <c r="AB60" s="404"/>
      <c r="AC60" s="404"/>
      <c r="AD60" s="404"/>
      <c r="AE60" s="404"/>
    </row>
    <row r="61" ht="39.75" customHeight="1">
      <c r="A61" s="395" t="s">
        <v>193</v>
      </c>
      <c r="B61" s="396" t="s">
        <v>194</v>
      </c>
      <c r="C61" s="397"/>
      <c r="D61" s="398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401"/>
      <c r="AA61" s="404"/>
      <c r="AB61" s="404"/>
      <c r="AC61" s="404"/>
      <c r="AD61" s="404"/>
      <c r="AE61" s="404"/>
    </row>
    <row r="62" ht="39.75" customHeight="1">
      <c r="A62" s="414" t="s">
        <v>195</v>
      </c>
      <c r="B62" s="415" t="s">
        <v>196</v>
      </c>
      <c r="C62" s="387"/>
      <c r="D62" s="388"/>
      <c r="E62" s="389"/>
      <c r="F62" s="389"/>
      <c r="G62" s="394"/>
      <c r="H62" s="389"/>
      <c r="I62" s="394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94"/>
      <c r="X62" s="389"/>
      <c r="Y62" s="391"/>
      <c r="Z62" s="392"/>
    </row>
    <row r="63" ht="39.75" customHeight="1">
      <c r="A63" s="411" t="s">
        <v>197</v>
      </c>
      <c r="B63" s="412" t="s">
        <v>139</v>
      </c>
      <c r="C63" s="387" t="s">
        <v>77</v>
      </c>
      <c r="D63" s="388"/>
      <c r="E63" s="389" t="s">
        <v>68</v>
      </c>
      <c r="F63" s="389"/>
      <c r="G63" s="389" t="s">
        <v>68</v>
      </c>
      <c r="H63" s="389"/>
      <c r="I63" s="389" t="s">
        <v>68</v>
      </c>
      <c r="J63" s="389"/>
      <c r="K63" s="989" t="s">
        <v>77</v>
      </c>
      <c r="L63" s="389"/>
      <c r="M63" s="990" t="s">
        <v>92</v>
      </c>
      <c r="N63" s="389"/>
      <c r="O63" s="389" t="s">
        <v>77</v>
      </c>
      <c r="P63" s="389"/>
      <c r="Q63" s="389" t="s">
        <v>48</v>
      </c>
      <c r="R63" s="389"/>
      <c r="S63" s="389" t="s">
        <v>48</v>
      </c>
      <c r="T63" s="389"/>
      <c r="U63" s="389" t="s">
        <v>48</v>
      </c>
      <c r="V63" s="389"/>
      <c r="W63" s="389" t="s">
        <v>48</v>
      </c>
      <c r="X63" s="389"/>
      <c r="Y63" s="391">
        <f>COUNTIF(C63:X63,"&gt;=R")</f>
        <v>11</v>
      </c>
      <c r="Z63" s="392">
        <f>Y63</f>
        <v>11</v>
      </c>
      <c r="AA63" s="404"/>
      <c r="AB63" s="404"/>
      <c r="AC63" s="404"/>
      <c r="AD63" s="404"/>
      <c r="AE63" s="404"/>
    </row>
    <row r="64" ht="39.75" customHeight="1">
      <c r="A64" s="414" t="s">
        <v>198</v>
      </c>
      <c r="B64" s="415" t="s">
        <v>199</v>
      </c>
      <c r="C64" s="387"/>
      <c r="D64" s="388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91"/>
      <c r="Z64" s="392"/>
      <c r="AA64" s="404"/>
      <c r="AB64" s="404"/>
      <c r="AC64" s="404"/>
      <c r="AD64" s="404"/>
      <c r="AE64" s="404"/>
    </row>
    <row r="65" ht="39.75" customHeight="1">
      <c r="A65" s="411" t="s">
        <v>200</v>
      </c>
      <c r="B65" s="412" t="s">
        <v>176</v>
      </c>
      <c r="C65" s="387" t="s">
        <v>93</v>
      </c>
      <c r="D65" s="388"/>
      <c r="E65" s="387"/>
      <c r="F65" s="389"/>
      <c r="G65" s="394"/>
      <c r="H65" s="389"/>
      <c r="I65" s="389"/>
      <c r="J65" s="389"/>
      <c r="K65" s="389"/>
      <c r="L65" s="389"/>
      <c r="M65" s="389"/>
      <c r="N65" s="389"/>
      <c r="O65" s="389" t="s">
        <v>93</v>
      </c>
      <c r="P65" s="389"/>
      <c r="Q65" s="389"/>
      <c r="R65" s="389"/>
      <c r="S65" s="389"/>
      <c r="T65" s="389"/>
      <c r="U65" s="394"/>
      <c r="V65" s="389"/>
      <c r="W65" s="394"/>
      <c r="X65" s="389"/>
      <c r="Y65" s="391">
        <f>COUNTIF(C65:X65,"&gt;=R")</f>
        <v>2</v>
      </c>
      <c r="Z65" s="392">
        <f>Y65</f>
        <v>2</v>
      </c>
    </row>
    <row r="66" ht="39.75" customHeight="1">
      <c r="A66" s="414" t="s">
        <v>201</v>
      </c>
      <c r="B66" s="415" t="s">
        <v>202</v>
      </c>
      <c r="C66" s="387"/>
      <c r="D66" s="388"/>
      <c r="E66" s="389"/>
      <c r="F66" s="389"/>
      <c r="G66" s="394"/>
      <c r="H66" s="389"/>
      <c r="I66" s="394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91"/>
      <c r="Z66" s="392"/>
    </row>
    <row r="67" ht="39.75" customHeight="1">
      <c r="A67" s="411" t="s">
        <v>203</v>
      </c>
      <c r="B67" s="412" t="s">
        <v>204</v>
      </c>
      <c r="C67" s="387"/>
      <c r="D67" s="388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94"/>
      <c r="R67" s="389"/>
      <c r="S67" s="394"/>
      <c r="T67" s="389"/>
      <c r="U67" s="394"/>
      <c r="V67" s="389"/>
      <c r="W67" s="394"/>
      <c r="X67" s="389"/>
      <c r="Y67" s="391">
        <f>COUNTIF(C67:X67,"&gt;=R")</f>
        <v>0</v>
      </c>
      <c r="Z67" s="392">
        <f>Y67</f>
        <v>0</v>
      </c>
    </row>
    <row r="68" ht="39.75" customHeight="1">
      <c r="A68" s="395" t="s">
        <v>205</v>
      </c>
      <c r="B68" s="396" t="s">
        <v>206</v>
      </c>
      <c r="C68" s="397"/>
      <c r="D68" s="398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401"/>
      <c r="AA68" s="404"/>
      <c r="AB68" s="404"/>
      <c r="AC68" s="404"/>
      <c r="AD68" s="404"/>
      <c r="AE68" s="404"/>
    </row>
    <row r="69" ht="39.75" customHeight="1">
      <c r="A69" s="385" t="s">
        <v>207</v>
      </c>
      <c r="B69" s="386" t="s">
        <v>208</v>
      </c>
      <c r="C69" s="388" t="s">
        <v>85</v>
      </c>
      <c r="D69" s="388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 t="s">
        <v>85</v>
      </c>
      <c r="P69" s="389"/>
      <c r="Q69" s="389"/>
      <c r="R69" s="389"/>
      <c r="S69" s="389"/>
      <c r="T69" s="389"/>
      <c r="U69" s="389"/>
      <c r="V69" s="389"/>
      <c r="W69" s="389"/>
      <c r="X69" s="389"/>
      <c r="Y69" s="391">
        <f>COUNTIF(C69:X69,"&gt;=R")</f>
        <v>2</v>
      </c>
      <c r="Z69" s="392">
        <f>Y69</f>
        <v>2</v>
      </c>
    </row>
    <row r="70" ht="39.75" customHeight="1">
      <c r="A70" s="395" t="s">
        <v>209</v>
      </c>
      <c r="B70" s="396" t="s">
        <v>210</v>
      </c>
      <c r="C70" s="397"/>
      <c r="D70" s="398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401"/>
    </row>
    <row r="71" ht="39.75" customHeight="1">
      <c r="A71" s="385" t="s">
        <v>211</v>
      </c>
      <c r="B71" s="386" t="s">
        <v>212</v>
      </c>
      <c r="C71" s="387"/>
      <c r="D71" s="388"/>
      <c r="E71" s="389"/>
      <c r="F71" s="389"/>
      <c r="G71" s="389"/>
      <c r="H71" s="389"/>
      <c r="I71" s="389"/>
      <c r="J71" s="389"/>
      <c r="K71" s="389"/>
      <c r="L71" s="389"/>
      <c r="M71" s="389" t="s">
        <v>76</v>
      </c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91">
        <f t="shared" ref="Y71:Y72" si="17">COUNTIF(C71:X71,"&gt;=R")</f>
        <v>1</v>
      </c>
      <c r="Z71" s="392">
        <f t="shared" ref="Z71:Z72" si="18">Y71</f>
        <v>1</v>
      </c>
    </row>
    <row r="72" ht="39.75" customHeight="1">
      <c r="A72" s="385" t="s">
        <v>213</v>
      </c>
      <c r="B72" s="386" t="s">
        <v>214</v>
      </c>
      <c r="C72" s="387"/>
      <c r="D72" s="388"/>
      <c r="E72" s="394"/>
      <c r="F72" s="389"/>
      <c r="G72" s="389"/>
      <c r="H72" s="389"/>
      <c r="I72" s="389"/>
      <c r="J72" s="389"/>
      <c r="K72" s="389"/>
      <c r="L72" s="389"/>
      <c r="M72" s="394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91">
        <f t="shared" si="17"/>
        <v>0</v>
      </c>
      <c r="Z72" s="392">
        <f t="shared" si="18"/>
        <v>0</v>
      </c>
    </row>
    <row r="73" ht="39.75" customHeight="1">
      <c r="A73" s="395" t="s">
        <v>215</v>
      </c>
      <c r="B73" s="396" t="s">
        <v>216</v>
      </c>
      <c r="C73" s="397"/>
      <c r="D73" s="398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401"/>
      <c r="AA73" s="404"/>
      <c r="AB73" s="404"/>
      <c r="AC73" s="404"/>
      <c r="AD73" s="404"/>
      <c r="AE73" s="404"/>
    </row>
    <row r="74" ht="39.75" customHeight="1">
      <c r="A74" s="385" t="s">
        <v>217</v>
      </c>
      <c r="B74" s="386" t="s">
        <v>218</v>
      </c>
      <c r="C74" s="387"/>
      <c r="D74" s="388"/>
      <c r="E74" s="387"/>
      <c r="F74" s="389"/>
      <c r="G74" s="387"/>
      <c r="H74" s="389"/>
      <c r="I74" s="387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94"/>
      <c r="U74" s="389"/>
      <c r="V74" s="394"/>
      <c r="W74" s="389"/>
      <c r="X74" s="394"/>
      <c r="Y74" s="391">
        <f>COUNTIF(C74:X74,"&gt;=R")</f>
        <v>0</v>
      </c>
      <c r="Z74" s="392">
        <f>Y74</f>
        <v>0</v>
      </c>
    </row>
    <row r="75" ht="39.75" customHeight="1">
      <c r="A75" s="395" t="s">
        <v>219</v>
      </c>
      <c r="B75" s="396" t="s">
        <v>220</v>
      </c>
      <c r="C75" s="397"/>
      <c r="D75" s="398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401"/>
      <c r="AA75" s="404"/>
      <c r="AB75" s="404"/>
      <c r="AC75" s="404"/>
      <c r="AD75" s="404"/>
      <c r="AE75" s="404"/>
    </row>
    <row r="76" ht="39.75" customHeight="1">
      <c r="A76" s="385" t="s">
        <v>221</v>
      </c>
      <c r="B76" s="386" t="s">
        <v>222</v>
      </c>
      <c r="C76" s="388" t="s">
        <v>18</v>
      </c>
      <c r="D76" s="388"/>
      <c r="E76" s="389" t="s">
        <v>85</v>
      </c>
      <c r="F76" s="389"/>
      <c r="G76" s="389" t="s">
        <v>85</v>
      </c>
      <c r="H76" s="389"/>
      <c r="I76" s="389" t="s">
        <v>77</v>
      </c>
      <c r="J76" s="389"/>
      <c r="K76" s="389" t="s">
        <v>77</v>
      </c>
      <c r="L76" s="389"/>
      <c r="M76" s="389" t="s">
        <v>91</v>
      </c>
      <c r="N76" s="389"/>
      <c r="O76" s="389" t="s">
        <v>18</v>
      </c>
      <c r="P76" s="389"/>
      <c r="Q76" s="389" t="s">
        <v>48</v>
      </c>
      <c r="R76" s="389"/>
      <c r="S76" s="389" t="s">
        <v>48</v>
      </c>
      <c r="T76" s="389"/>
      <c r="U76" s="389" t="s">
        <v>48</v>
      </c>
      <c r="V76" s="389"/>
      <c r="W76" s="389" t="s">
        <v>48</v>
      </c>
      <c r="X76" s="389"/>
      <c r="Y76" s="391">
        <f>COUNTIF(C76:X76,"&gt;=R")</f>
        <v>11</v>
      </c>
      <c r="Z76" s="392">
        <f>Y76</f>
        <v>11</v>
      </c>
    </row>
    <row r="77" ht="39.75" customHeight="1">
      <c r="A77" s="407" t="s">
        <v>223</v>
      </c>
      <c r="B77" s="408" t="s">
        <v>224</v>
      </c>
      <c r="C77" s="387"/>
      <c r="D77" s="388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91"/>
      <c r="Z77" s="392"/>
    </row>
    <row r="78" ht="39.75" customHeight="1">
      <c r="A78" s="385" t="s">
        <v>225</v>
      </c>
      <c r="B78" s="386" t="s">
        <v>226</v>
      </c>
      <c r="C78" s="387" t="s">
        <v>18</v>
      </c>
      <c r="D78" s="388"/>
      <c r="E78" s="389" t="s">
        <v>85</v>
      </c>
      <c r="F78" s="389"/>
      <c r="G78" s="389" t="s">
        <v>85</v>
      </c>
      <c r="H78" s="389"/>
      <c r="I78" s="389" t="s">
        <v>77</v>
      </c>
      <c r="J78" s="389"/>
      <c r="K78" s="389" t="s">
        <v>77</v>
      </c>
      <c r="L78" s="389"/>
      <c r="M78" s="389" t="s">
        <v>91</v>
      </c>
      <c r="N78" s="389"/>
      <c r="O78" s="389" t="s">
        <v>18</v>
      </c>
      <c r="P78" s="389"/>
      <c r="Q78" s="389" t="s">
        <v>48</v>
      </c>
      <c r="R78" s="389"/>
      <c r="S78" s="389" t="s">
        <v>48</v>
      </c>
      <c r="T78" s="389"/>
      <c r="U78" s="389" t="s">
        <v>48</v>
      </c>
      <c r="V78" s="389"/>
      <c r="W78" s="389" t="s">
        <v>48</v>
      </c>
      <c r="X78" s="389"/>
      <c r="Y78" s="391">
        <f t="shared" ref="Y78:Y82" si="19">COUNTIF(C78:X78,"&gt;=R")</f>
        <v>11</v>
      </c>
      <c r="Z78" s="392">
        <f t="shared" ref="Z78:Z82" si="20">Y78</f>
        <v>11</v>
      </c>
    </row>
    <row r="79" ht="39.75" customHeight="1">
      <c r="A79" s="385" t="s">
        <v>227</v>
      </c>
      <c r="B79" s="386" t="s">
        <v>228</v>
      </c>
      <c r="C79" s="387"/>
      <c r="D79" s="388"/>
      <c r="E79" s="387"/>
      <c r="F79" s="389"/>
      <c r="G79" s="387"/>
      <c r="H79" s="389"/>
      <c r="I79" s="387"/>
      <c r="J79" s="389"/>
      <c r="K79" s="387"/>
      <c r="L79" s="389"/>
      <c r="M79" s="387"/>
      <c r="N79" s="389"/>
      <c r="O79" s="387"/>
      <c r="P79" s="389"/>
      <c r="Q79" s="387"/>
      <c r="R79" s="389"/>
      <c r="S79" s="387"/>
      <c r="T79" s="389"/>
      <c r="U79" s="387"/>
      <c r="V79" s="389"/>
      <c r="W79" s="387"/>
      <c r="X79" s="389"/>
      <c r="Y79" s="391">
        <f t="shared" si="19"/>
        <v>0</v>
      </c>
      <c r="Z79" s="392">
        <f t="shared" si="20"/>
        <v>0</v>
      </c>
      <c r="AA79" s="404"/>
      <c r="AB79" s="404"/>
      <c r="AC79" s="404"/>
      <c r="AD79" s="404"/>
      <c r="AE79" s="404"/>
    </row>
    <row r="80" ht="39.75" customHeight="1">
      <c r="A80" s="385" t="s">
        <v>229</v>
      </c>
      <c r="B80" s="386" t="s">
        <v>230</v>
      </c>
      <c r="C80" s="387"/>
      <c r="D80" s="388"/>
      <c r="E80" s="387"/>
      <c r="F80" s="389"/>
      <c r="G80" s="387"/>
      <c r="H80" s="389"/>
      <c r="I80" s="387"/>
      <c r="J80" s="389"/>
      <c r="K80" s="387"/>
      <c r="L80" s="389"/>
      <c r="M80" s="387"/>
      <c r="N80" s="389"/>
      <c r="O80" s="387"/>
      <c r="P80" s="389"/>
      <c r="Q80" s="387"/>
      <c r="R80" s="389"/>
      <c r="S80" s="387"/>
      <c r="T80" s="389"/>
      <c r="U80" s="387"/>
      <c r="V80" s="389"/>
      <c r="W80" s="387"/>
      <c r="X80" s="389"/>
      <c r="Y80" s="391">
        <f t="shared" si="19"/>
        <v>0</v>
      </c>
      <c r="Z80" s="392">
        <f t="shared" si="20"/>
        <v>0</v>
      </c>
    </row>
    <row r="81" ht="39.75" customHeight="1">
      <c r="A81" s="385" t="s">
        <v>231</v>
      </c>
      <c r="B81" s="386" t="s">
        <v>232</v>
      </c>
      <c r="C81" s="387" t="s">
        <v>18</v>
      </c>
      <c r="D81" s="387"/>
      <c r="E81" s="394"/>
      <c r="F81" s="389"/>
      <c r="G81" s="389"/>
      <c r="H81" s="389"/>
      <c r="I81" s="389"/>
      <c r="J81" s="389"/>
      <c r="K81" s="389"/>
      <c r="L81" s="389"/>
      <c r="M81" s="389" t="s">
        <v>76</v>
      </c>
      <c r="N81" s="389"/>
      <c r="O81" s="389" t="s">
        <v>18</v>
      </c>
      <c r="P81" s="389"/>
      <c r="Q81" s="389" t="s">
        <v>48</v>
      </c>
      <c r="R81" s="389"/>
      <c r="S81" s="389" t="s">
        <v>48</v>
      </c>
      <c r="T81" s="389"/>
      <c r="U81" s="389" t="s">
        <v>48</v>
      </c>
      <c r="V81" s="389"/>
      <c r="W81" s="389" t="s">
        <v>48</v>
      </c>
      <c r="X81" s="389"/>
      <c r="Y81" s="391">
        <f t="shared" si="19"/>
        <v>7</v>
      </c>
      <c r="Z81" s="392">
        <f t="shared" si="20"/>
        <v>7</v>
      </c>
      <c r="AA81" s="404"/>
      <c r="AB81" s="404"/>
      <c r="AC81" s="404"/>
      <c r="AD81" s="404"/>
      <c r="AE81" s="404"/>
    </row>
    <row r="82" ht="39.75" customHeight="1">
      <c r="A82" s="404" t="s">
        <v>233</v>
      </c>
      <c r="B82" s="794" t="s">
        <v>234</v>
      </c>
      <c r="C82" s="387"/>
      <c r="D82" s="388"/>
      <c r="E82" s="389"/>
      <c r="F82" s="389"/>
      <c r="G82" s="389"/>
      <c r="H82" s="389"/>
      <c r="I82" s="389"/>
      <c r="J82" s="389"/>
      <c r="K82" s="389"/>
      <c r="L82" s="389"/>
      <c r="M82" s="389" t="s">
        <v>91</v>
      </c>
      <c r="N82" s="389"/>
      <c r="O82" s="389"/>
      <c r="P82" s="389"/>
      <c r="Q82" s="389" t="s">
        <v>48</v>
      </c>
      <c r="R82" s="389"/>
      <c r="S82" s="389" t="s">
        <v>48</v>
      </c>
      <c r="T82" s="389"/>
      <c r="U82" s="389" t="s">
        <v>48</v>
      </c>
      <c r="V82" s="389"/>
      <c r="W82" s="389" t="s">
        <v>48</v>
      </c>
      <c r="X82" s="389"/>
      <c r="Y82" s="391">
        <f t="shared" si="19"/>
        <v>5</v>
      </c>
      <c r="Z82" s="392">
        <f t="shared" si="20"/>
        <v>5</v>
      </c>
    </row>
    <row r="83" ht="39.75" customHeight="1">
      <c r="A83" s="395" t="s">
        <v>235</v>
      </c>
      <c r="B83" s="396" t="s">
        <v>236</v>
      </c>
      <c r="C83" s="397"/>
      <c r="D83" s="398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401"/>
    </row>
    <row r="84" ht="39.75" customHeight="1">
      <c r="A84" s="414" t="s">
        <v>237</v>
      </c>
      <c r="B84" s="415" t="s">
        <v>238</v>
      </c>
      <c r="C84" s="387"/>
      <c r="D84" s="387"/>
      <c r="E84" s="394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91"/>
      <c r="Z84" s="392"/>
    </row>
    <row r="85" ht="39.75" customHeight="1">
      <c r="A85" s="385" t="s">
        <v>239</v>
      </c>
      <c r="B85" s="386" t="s">
        <v>139</v>
      </c>
      <c r="C85" s="388"/>
      <c r="D85" s="387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91">
        <f>COUNTIF(C85:X85,"&gt;=R")</f>
        <v>0</v>
      </c>
      <c r="Z85" s="392">
        <f>Y85</f>
        <v>0</v>
      </c>
      <c r="AA85" s="404"/>
      <c r="AB85" s="404"/>
      <c r="AC85" s="404"/>
      <c r="AD85" s="404"/>
      <c r="AE85" s="404"/>
    </row>
    <row r="86" ht="39.75" customHeight="1">
      <c r="A86" s="414" t="s">
        <v>240</v>
      </c>
      <c r="B86" s="415" t="s">
        <v>241</v>
      </c>
      <c r="C86" s="387"/>
      <c r="D86" s="387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91"/>
      <c r="Z86" s="392"/>
    </row>
    <row r="87" ht="39.75" customHeight="1">
      <c r="A87" s="411" t="s">
        <v>242</v>
      </c>
      <c r="B87" s="412" t="s">
        <v>243</v>
      </c>
      <c r="C87" s="388"/>
      <c r="D87" s="387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91">
        <f t="shared" ref="Y87:Y88" si="21">COUNTIF(C87:X87,"&gt;=R")</f>
        <v>0</v>
      </c>
      <c r="Z87" s="392">
        <f t="shared" ref="Z87:Z88" si="22">Y87</f>
        <v>0</v>
      </c>
    </row>
    <row r="88" ht="39.75" customHeight="1">
      <c r="A88" s="411" t="s">
        <v>244</v>
      </c>
      <c r="B88" s="412" t="s">
        <v>245</v>
      </c>
      <c r="C88" s="387"/>
      <c r="D88" s="387"/>
      <c r="E88" s="394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91">
        <f t="shared" si="21"/>
        <v>0</v>
      </c>
      <c r="Z88" s="392">
        <f t="shared" si="22"/>
        <v>0</v>
      </c>
    </row>
    <row r="89" ht="39.75" customHeight="1">
      <c r="A89" s="414" t="s">
        <v>246</v>
      </c>
      <c r="B89" s="415" t="s">
        <v>247</v>
      </c>
      <c r="C89" s="387"/>
      <c r="D89" s="387"/>
      <c r="E89" s="394"/>
      <c r="F89" s="389"/>
      <c r="G89" s="389"/>
      <c r="H89" s="389"/>
      <c r="I89" s="389"/>
      <c r="J89" s="389"/>
      <c r="K89" s="389"/>
      <c r="L89" s="389"/>
      <c r="M89" s="394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91"/>
      <c r="Z89" s="392"/>
    </row>
    <row r="90" ht="39.75" customHeight="1">
      <c r="A90" s="411" t="s">
        <v>248</v>
      </c>
      <c r="B90" s="412" t="s">
        <v>249</v>
      </c>
      <c r="C90" s="388"/>
      <c r="D90" s="387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91">
        <f t="shared" ref="Y90:Y91" si="23">COUNTIF(C90:X90,"&gt;=R")</f>
        <v>0</v>
      </c>
      <c r="Z90" s="392">
        <f t="shared" ref="Z90:Z91" si="24">Y90</f>
        <v>0</v>
      </c>
    </row>
    <row r="91" ht="39.75" customHeight="1">
      <c r="A91" s="411" t="s">
        <v>250</v>
      </c>
      <c r="B91" s="412" t="s">
        <v>251</v>
      </c>
      <c r="C91" s="388"/>
      <c r="D91" s="387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91">
        <f t="shared" si="23"/>
        <v>0</v>
      </c>
      <c r="Z91" s="392">
        <f t="shared" si="24"/>
        <v>0</v>
      </c>
    </row>
    <row r="92" ht="39.75" customHeight="1">
      <c r="A92" s="414" t="s">
        <v>252</v>
      </c>
      <c r="B92" s="415" t="s">
        <v>253</v>
      </c>
      <c r="C92" s="387"/>
      <c r="D92" s="387"/>
      <c r="E92" s="394"/>
      <c r="F92" s="389"/>
      <c r="G92" s="394"/>
      <c r="H92" s="389"/>
      <c r="I92" s="394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91"/>
      <c r="Z92" s="392"/>
      <c r="AA92" s="404"/>
      <c r="AB92" s="404"/>
      <c r="AC92" s="404"/>
      <c r="AD92" s="404"/>
      <c r="AE92" s="404"/>
    </row>
    <row r="93" ht="39.75" customHeight="1">
      <c r="A93" s="385" t="s">
        <v>254</v>
      </c>
      <c r="B93" s="386" t="s">
        <v>255</v>
      </c>
      <c r="C93" s="387"/>
      <c r="D93" s="387"/>
      <c r="E93" s="387"/>
      <c r="F93" s="389"/>
      <c r="G93" s="387"/>
      <c r="H93" s="389"/>
      <c r="I93" s="387"/>
      <c r="J93" s="389"/>
      <c r="K93" s="387"/>
      <c r="L93" s="389"/>
      <c r="M93" s="387"/>
      <c r="N93" s="389"/>
      <c r="O93" s="387"/>
      <c r="P93" s="389"/>
      <c r="Q93" s="387"/>
      <c r="R93" s="389"/>
      <c r="S93" s="387"/>
      <c r="T93" s="389"/>
      <c r="U93" s="387"/>
      <c r="V93" s="389"/>
      <c r="W93" s="387"/>
      <c r="X93" s="389"/>
      <c r="Y93" s="391">
        <f t="shared" ref="Y93:Y96" si="25">COUNTIF(C93:X93,"&gt;=R")</f>
        <v>0</v>
      </c>
      <c r="Z93" s="392">
        <f t="shared" ref="Z93:Z96" si="26">Y93</f>
        <v>0</v>
      </c>
      <c r="AA93" s="404"/>
      <c r="AB93" s="404"/>
      <c r="AC93" s="404"/>
      <c r="AD93" s="404"/>
      <c r="AE93" s="404"/>
    </row>
    <row r="94" ht="39.75" customHeight="1">
      <c r="A94" s="385" t="s">
        <v>256</v>
      </c>
      <c r="B94" s="386" t="s">
        <v>257</v>
      </c>
      <c r="C94" s="387"/>
      <c r="D94" s="388"/>
      <c r="E94" s="387"/>
      <c r="F94" s="389"/>
      <c r="G94" s="387"/>
      <c r="H94" s="389"/>
      <c r="I94" s="387"/>
      <c r="J94" s="389"/>
      <c r="K94" s="387"/>
      <c r="L94" s="389"/>
      <c r="M94" s="387"/>
      <c r="N94" s="389"/>
      <c r="O94" s="387"/>
      <c r="P94" s="389"/>
      <c r="Q94" s="387"/>
      <c r="R94" s="389"/>
      <c r="S94" s="387"/>
      <c r="T94" s="389"/>
      <c r="U94" s="387"/>
      <c r="V94" s="389"/>
      <c r="W94" s="387"/>
      <c r="X94" s="389"/>
      <c r="Y94" s="391">
        <f t="shared" si="25"/>
        <v>0</v>
      </c>
      <c r="Z94" s="392">
        <f t="shared" si="26"/>
        <v>0</v>
      </c>
    </row>
    <row r="95" ht="39.75" customHeight="1">
      <c r="A95" s="385" t="s">
        <v>258</v>
      </c>
      <c r="B95" s="386" t="s">
        <v>259</v>
      </c>
      <c r="C95" s="387"/>
      <c r="D95" s="388"/>
      <c r="E95" s="387"/>
      <c r="F95" s="389"/>
      <c r="G95" s="387"/>
      <c r="H95" s="389"/>
      <c r="I95" s="387"/>
      <c r="J95" s="389"/>
      <c r="K95" s="387"/>
      <c r="L95" s="389"/>
      <c r="M95" s="387"/>
      <c r="N95" s="389"/>
      <c r="O95" s="387"/>
      <c r="P95" s="389"/>
      <c r="Q95" s="387"/>
      <c r="R95" s="389"/>
      <c r="S95" s="387"/>
      <c r="T95" s="389"/>
      <c r="U95" s="387"/>
      <c r="V95" s="389"/>
      <c r="W95" s="387"/>
      <c r="X95" s="389"/>
      <c r="Y95" s="391">
        <f t="shared" si="25"/>
        <v>0</v>
      </c>
      <c r="Z95" s="392">
        <f t="shared" si="26"/>
        <v>0</v>
      </c>
      <c r="AA95" s="404"/>
      <c r="AB95" s="404"/>
      <c r="AC95" s="404"/>
      <c r="AD95" s="404"/>
      <c r="AE95" s="404"/>
    </row>
    <row r="96" ht="39.75" customHeight="1">
      <c r="A96" s="385" t="s">
        <v>260</v>
      </c>
      <c r="B96" s="386" t="s">
        <v>261</v>
      </c>
      <c r="C96" s="387"/>
      <c r="D96" s="388"/>
      <c r="E96" s="387"/>
      <c r="F96" s="389"/>
      <c r="G96" s="387"/>
      <c r="H96" s="389"/>
      <c r="I96" s="387"/>
      <c r="J96" s="389"/>
      <c r="K96" s="387"/>
      <c r="L96" s="389"/>
      <c r="M96" s="387"/>
      <c r="N96" s="389"/>
      <c r="O96" s="387"/>
      <c r="P96" s="389"/>
      <c r="Q96" s="387"/>
      <c r="R96" s="389"/>
      <c r="S96" s="387"/>
      <c r="T96" s="389"/>
      <c r="U96" s="387"/>
      <c r="V96" s="389"/>
      <c r="W96" s="387"/>
      <c r="X96" s="389"/>
      <c r="Y96" s="391">
        <f t="shared" si="25"/>
        <v>0</v>
      </c>
      <c r="Z96" s="392">
        <f t="shared" si="26"/>
        <v>0</v>
      </c>
      <c r="AA96" s="404"/>
      <c r="AB96" s="404"/>
      <c r="AC96" s="404"/>
      <c r="AD96" s="404"/>
      <c r="AE96" s="404"/>
    </row>
    <row r="97" ht="39.75" customHeight="1">
      <c r="A97" s="414" t="s">
        <v>262</v>
      </c>
      <c r="B97" s="415" t="s">
        <v>263</v>
      </c>
      <c r="C97" s="387"/>
      <c r="D97" s="388"/>
      <c r="E97" s="389"/>
      <c r="F97" s="389"/>
      <c r="G97" s="394"/>
      <c r="H97" s="389"/>
      <c r="I97" s="394"/>
      <c r="J97" s="389"/>
      <c r="K97" s="394"/>
      <c r="L97" s="389"/>
      <c r="M97" s="389"/>
      <c r="N97" s="389"/>
      <c r="O97" s="389"/>
      <c r="P97" s="389"/>
      <c r="Q97" s="389"/>
      <c r="R97" s="389"/>
      <c r="S97" s="389"/>
      <c r="T97" s="389"/>
      <c r="U97" s="394"/>
      <c r="V97" s="389"/>
      <c r="W97" s="394"/>
      <c r="X97" s="389"/>
      <c r="Y97" s="391"/>
      <c r="Z97" s="392"/>
    </row>
    <row r="98" ht="39.75" customHeight="1">
      <c r="A98" s="411" t="s">
        <v>264</v>
      </c>
      <c r="B98" s="412" t="s">
        <v>265</v>
      </c>
      <c r="C98" s="387" t="s">
        <v>57</v>
      </c>
      <c r="D98" s="388"/>
      <c r="E98" s="389"/>
      <c r="F98" s="389"/>
      <c r="G98" s="389"/>
      <c r="H98" s="389"/>
      <c r="I98" s="389"/>
      <c r="J98" s="389"/>
      <c r="K98" s="389"/>
      <c r="L98" s="389"/>
      <c r="M98" s="389" t="s">
        <v>46</v>
      </c>
      <c r="N98" s="389"/>
      <c r="O98" s="389" t="s">
        <v>57</v>
      </c>
      <c r="P98" s="389"/>
      <c r="Q98" s="389" t="s">
        <v>57</v>
      </c>
      <c r="R98" s="389"/>
      <c r="S98" s="389" t="s">
        <v>57</v>
      </c>
      <c r="T98" s="389"/>
      <c r="U98" s="389" t="s">
        <v>57</v>
      </c>
      <c r="V98" s="389"/>
      <c r="W98" s="389" t="s">
        <v>57</v>
      </c>
      <c r="X98" s="389"/>
      <c r="Y98" s="391">
        <f>COUNTIF(C98:X98,"&gt;=R")</f>
        <v>7</v>
      </c>
      <c r="Z98" s="392">
        <f>Y98</f>
        <v>7</v>
      </c>
    </row>
    <row r="99" ht="39.75" customHeight="1">
      <c r="A99" s="421" t="s">
        <v>266</v>
      </c>
      <c r="B99" s="396" t="s">
        <v>267</v>
      </c>
      <c r="C99" s="397"/>
      <c r="D99" s="398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401"/>
    </row>
    <row r="100" ht="39.75" customHeight="1">
      <c r="A100" s="385" t="s">
        <v>268</v>
      </c>
      <c r="B100" s="386" t="s">
        <v>269</v>
      </c>
      <c r="C100" s="388"/>
      <c r="D100" s="388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91">
        <f t="shared" ref="Y100:Y101" si="27">COUNTIF(C100:X100,"&gt;=R")</f>
        <v>0</v>
      </c>
      <c r="Z100" s="392">
        <f t="shared" ref="Z100:Z101" si="28">Y100</f>
        <v>0</v>
      </c>
    </row>
    <row r="101" ht="39.75" customHeight="1">
      <c r="A101" s="385" t="s">
        <v>270</v>
      </c>
      <c r="B101" s="386" t="s">
        <v>271</v>
      </c>
      <c r="C101" s="388"/>
      <c r="D101" s="388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91">
        <f t="shared" si="27"/>
        <v>0</v>
      </c>
      <c r="Z101" s="392">
        <f t="shared" si="28"/>
        <v>0</v>
      </c>
    </row>
    <row r="102" ht="39.75" customHeight="1">
      <c r="A102" s="421" t="s">
        <v>272</v>
      </c>
      <c r="B102" s="396" t="s">
        <v>273</v>
      </c>
      <c r="C102" s="397"/>
      <c r="D102" s="398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401"/>
      <c r="AA102" s="404"/>
      <c r="AB102" s="404"/>
      <c r="AC102" s="404"/>
      <c r="AD102" s="404"/>
      <c r="AE102" s="404"/>
    </row>
    <row r="103" ht="39.75" customHeight="1">
      <c r="A103" s="385" t="s">
        <v>274</v>
      </c>
      <c r="B103" s="386" t="s">
        <v>275</v>
      </c>
      <c r="C103" s="387"/>
      <c r="D103" s="387"/>
      <c r="E103" s="387"/>
      <c r="F103" s="389"/>
      <c r="G103" s="387"/>
      <c r="H103" s="389"/>
      <c r="I103" s="387"/>
      <c r="J103" s="389"/>
      <c r="K103" s="387"/>
      <c r="L103" s="389"/>
      <c r="M103" s="387"/>
      <c r="N103" s="389"/>
      <c r="O103" s="387"/>
      <c r="P103" s="389"/>
      <c r="Q103" s="387"/>
      <c r="R103" s="389"/>
      <c r="S103" s="387"/>
      <c r="T103" s="389"/>
      <c r="U103" s="387"/>
      <c r="V103" s="389"/>
      <c r="W103" s="387"/>
      <c r="X103" s="389"/>
      <c r="Y103" s="391">
        <f t="shared" ref="Y103:Y104" si="29">COUNTIF(C103:X103,"&gt;=R")</f>
        <v>0</v>
      </c>
      <c r="Z103" s="392">
        <f t="shared" ref="Z103:Z104" si="30">Y103</f>
        <v>0</v>
      </c>
    </row>
    <row r="104" ht="39.75" customHeight="1">
      <c r="A104" s="385" t="s">
        <v>276</v>
      </c>
      <c r="B104" s="386" t="s">
        <v>277</v>
      </c>
      <c r="C104" s="387" t="s">
        <v>68</v>
      </c>
      <c r="D104" s="388"/>
      <c r="E104" s="387"/>
      <c r="F104" s="389"/>
      <c r="G104" s="387"/>
      <c r="H104" s="389"/>
      <c r="I104" s="387"/>
      <c r="J104" s="389"/>
      <c r="K104" s="394"/>
      <c r="L104" s="389"/>
      <c r="M104" s="394" t="s">
        <v>77</v>
      </c>
      <c r="N104" s="389"/>
      <c r="O104" s="394" t="s">
        <v>57</v>
      </c>
      <c r="P104" s="389"/>
      <c r="Q104" s="394" t="s">
        <v>57</v>
      </c>
      <c r="R104" s="389"/>
      <c r="S104" s="389" t="s">
        <v>57</v>
      </c>
      <c r="T104" s="389"/>
      <c r="U104" s="389" t="s">
        <v>77</v>
      </c>
      <c r="V104" s="389"/>
      <c r="W104" s="389" t="s">
        <v>77</v>
      </c>
      <c r="X104" s="389"/>
      <c r="Y104" s="391">
        <f t="shared" si="29"/>
        <v>7</v>
      </c>
      <c r="Z104" s="392">
        <f t="shared" si="30"/>
        <v>7</v>
      </c>
      <c r="AA104" s="404"/>
      <c r="AB104" s="404"/>
      <c r="AC104" s="404"/>
      <c r="AD104" s="404"/>
      <c r="AE104" s="404"/>
    </row>
    <row r="105" ht="39.75" customHeight="1">
      <c r="A105" s="395" t="s">
        <v>278</v>
      </c>
      <c r="B105" s="396" t="s">
        <v>279</v>
      </c>
      <c r="C105" s="397"/>
      <c r="D105" s="398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401"/>
      <c r="AA105" s="404"/>
      <c r="AB105" s="404"/>
      <c r="AC105" s="404"/>
      <c r="AD105" s="404"/>
      <c r="AE105" s="404"/>
    </row>
    <row r="106" ht="39.75" customHeight="1">
      <c r="A106" s="414" t="s">
        <v>280</v>
      </c>
      <c r="B106" s="415" t="s">
        <v>281</v>
      </c>
      <c r="C106" s="387"/>
      <c r="D106" s="388"/>
      <c r="E106" s="389"/>
      <c r="F106" s="389"/>
      <c r="G106" s="394"/>
      <c r="H106" s="389"/>
      <c r="I106" s="394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91"/>
      <c r="Z106" s="392"/>
    </row>
    <row r="107" ht="39.75" customHeight="1">
      <c r="A107" s="404" t="s">
        <v>282</v>
      </c>
      <c r="B107" s="794" t="s">
        <v>283</v>
      </c>
      <c r="C107" s="387"/>
      <c r="D107" s="388"/>
      <c r="E107" s="389"/>
      <c r="F107" s="389"/>
      <c r="G107" s="394"/>
      <c r="H107" s="389"/>
      <c r="I107" s="394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91">
        <f t="shared" ref="Y107:Y108" si="31">COUNTIF(C107:X107,"&gt;=R")</f>
        <v>0</v>
      </c>
      <c r="Z107" s="392">
        <f t="shared" ref="Z107:Z108" si="32">Y107</f>
        <v>0</v>
      </c>
    </row>
    <row r="108" ht="39.75" customHeight="1">
      <c r="A108" s="411" t="s">
        <v>284</v>
      </c>
      <c r="B108" s="412" t="s">
        <v>285</v>
      </c>
      <c r="C108" s="387"/>
      <c r="D108" s="388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91">
        <f t="shared" si="31"/>
        <v>0</v>
      </c>
      <c r="Z108" s="392">
        <f t="shared" si="32"/>
        <v>0</v>
      </c>
      <c r="AA108" s="404"/>
      <c r="AB108" s="404"/>
      <c r="AC108" s="404"/>
      <c r="AD108" s="404"/>
      <c r="AE108" s="404"/>
    </row>
    <row r="109" ht="39.75" customHeight="1">
      <c r="A109" s="414" t="s">
        <v>286</v>
      </c>
      <c r="B109" s="415" t="s">
        <v>287</v>
      </c>
      <c r="C109" s="387"/>
      <c r="D109" s="388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91"/>
      <c r="Z109" s="392"/>
    </row>
    <row r="110" ht="39.75" customHeight="1">
      <c r="A110" s="385" t="s">
        <v>288</v>
      </c>
      <c r="B110" s="386" t="s">
        <v>289</v>
      </c>
      <c r="C110" s="388"/>
      <c r="D110" s="388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91">
        <f t="shared" ref="Y110:Y112" si="33">COUNTIF(C110:X110,"&gt;=R")</f>
        <v>0</v>
      </c>
      <c r="Z110" s="392">
        <f t="shared" ref="Z110:Z112" si="34">Y110</f>
        <v>0</v>
      </c>
      <c r="AA110" s="404"/>
      <c r="AB110" s="404"/>
      <c r="AC110" s="404"/>
      <c r="AD110" s="404"/>
      <c r="AE110" s="404"/>
    </row>
    <row r="111" ht="39.75" customHeight="1">
      <c r="A111" s="385" t="s">
        <v>290</v>
      </c>
      <c r="B111" s="386" t="s">
        <v>291</v>
      </c>
      <c r="C111" s="387"/>
      <c r="D111" s="388"/>
      <c r="E111" s="387"/>
      <c r="F111" s="389"/>
      <c r="G111" s="387"/>
      <c r="H111" s="389"/>
      <c r="I111" s="387"/>
      <c r="J111" s="389"/>
      <c r="K111" s="387"/>
      <c r="L111" s="389"/>
      <c r="M111" s="387"/>
      <c r="N111" s="389"/>
      <c r="O111" s="387"/>
      <c r="P111" s="389"/>
      <c r="Q111" s="387"/>
      <c r="R111" s="389"/>
      <c r="S111" s="387"/>
      <c r="T111" s="389"/>
      <c r="U111" s="387"/>
      <c r="V111" s="389"/>
      <c r="W111" s="387"/>
      <c r="X111" s="389"/>
      <c r="Y111" s="391">
        <f t="shared" si="33"/>
        <v>0</v>
      </c>
      <c r="Z111" s="392">
        <f t="shared" si="34"/>
        <v>0</v>
      </c>
    </row>
    <row r="112" ht="39.75" customHeight="1">
      <c r="A112" s="404" t="s">
        <v>292</v>
      </c>
      <c r="B112" s="794" t="s">
        <v>293</v>
      </c>
      <c r="C112" s="387"/>
      <c r="D112" s="388"/>
      <c r="E112" s="389"/>
      <c r="F112" s="389"/>
      <c r="G112" s="394"/>
      <c r="H112" s="389"/>
      <c r="I112" s="394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91">
        <f t="shared" si="33"/>
        <v>0</v>
      </c>
      <c r="Z112" s="392">
        <f t="shared" si="34"/>
        <v>0</v>
      </c>
    </row>
    <row r="113" ht="39.75" customHeight="1">
      <c r="A113" s="395" t="s">
        <v>294</v>
      </c>
      <c r="B113" s="422" t="s">
        <v>295</v>
      </c>
      <c r="C113" s="397"/>
      <c r="D113" s="398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401"/>
      <c r="AA113" s="404"/>
      <c r="AB113" s="404"/>
      <c r="AC113" s="404"/>
      <c r="AD113" s="404"/>
      <c r="AE113" s="404"/>
    </row>
    <row r="114" ht="39.75" customHeight="1">
      <c r="A114" s="402" t="s">
        <v>296</v>
      </c>
      <c r="B114" s="386" t="s">
        <v>297</v>
      </c>
      <c r="C114" s="387" t="s">
        <v>93</v>
      </c>
      <c r="D114" s="388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 t="s">
        <v>93</v>
      </c>
      <c r="P114" s="389"/>
      <c r="Q114" s="389"/>
      <c r="R114" s="389"/>
      <c r="S114" s="389"/>
      <c r="T114" s="389"/>
      <c r="U114" s="389"/>
      <c r="V114" s="389"/>
      <c r="W114" s="389"/>
      <c r="X114" s="389"/>
      <c r="Y114" s="391">
        <f t="shared" ref="Y114:Y125" si="35">COUNTIF(C114:X114,"&gt;=R")</f>
        <v>2</v>
      </c>
      <c r="Z114" s="392">
        <f t="shared" ref="Z114:Z125" si="36">Y114</f>
        <v>2</v>
      </c>
      <c r="AA114" s="404"/>
      <c r="AB114" s="404"/>
      <c r="AC114" s="404"/>
      <c r="AD114" s="404"/>
      <c r="AE114" s="404"/>
    </row>
    <row r="115" ht="39.75" customHeight="1">
      <c r="A115" s="402" t="s">
        <v>298</v>
      </c>
      <c r="B115" s="386" t="s">
        <v>299</v>
      </c>
      <c r="C115" s="387" t="s">
        <v>48</v>
      </c>
      <c r="D115" s="388"/>
      <c r="E115" s="389" t="s">
        <v>85</v>
      </c>
      <c r="F115" s="389"/>
      <c r="G115" s="394" t="s">
        <v>85</v>
      </c>
      <c r="H115" s="389"/>
      <c r="I115" s="394" t="s">
        <v>77</v>
      </c>
      <c r="J115" s="389"/>
      <c r="K115" s="394" t="s">
        <v>77</v>
      </c>
      <c r="L115" s="389"/>
      <c r="M115" s="389" t="s">
        <v>77</v>
      </c>
      <c r="N115" s="389"/>
      <c r="O115" s="389" t="s">
        <v>48</v>
      </c>
      <c r="P115" s="389"/>
      <c r="Q115" s="394" t="s">
        <v>48</v>
      </c>
      <c r="R115" s="389"/>
      <c r="S115" s="394" t="s">
        <v>48</v>
      </c>
      <c r="T115" s="389"/>
      <c r="U115" s="394" t="s">
        <v>48</v>
      </c>
      <c r="V115" s="389"/>
      <c r="W115" s="394" t="s">
        <v>48</v>
      </c>
      <c r="X115" s="389"/>
      <c r="Y115" s="391">
        <f t="shared" si="35"/>
        <v>11</v>
      </c>
      <c r="Z115" s="392">
        <f t="shared" si="36"/>
        <v>11</v>
      </c>
    </row>
    <row r="116" ht="39.75" customHeight="1">
      <c r="A116" s="402" t="s">
        <v>300</v>
      </c>
      <c r="B116" s="386" t="s">
        <v>301</v>
      </c>
      <c r="C116" s="387"/>
      <c r="D116" s="388"/>
      <c r="E116" s="387"/>
      <c r="F116" s="389"/>
      <c r="G116" s="387"/>
      <c r="H116" s="389"/>
      <c r="I116" s="387"/>
      <c r="J116" s="389"/>
      <c r="K116" s="387"/>
      <c r="L116" s="389"/>
      <c r="M116" s="387"/>
      <c r="N116" s="389"/>
      <c r="O116" s="387"/>
      <c r="P116" s="389"/>
      <c r="Q116" s="387"/>
      <c r="R116" s="389"/>
      <c r="S116" s="387"/>
      <c r="T116" s="389"/>
      <c r="U116" s="387"/>
      <c r="V116" s="389"/>
      <c r="W116" s="387"/>
      <c r="X116" s="389"/>
      <c r="Y116" s="391">
        <f t="shared" si="35"/>
        <v>0</v>
      </c>
      <c r="Z116" s="392">
        <f t="shared" si="36"/>
        <v>0</v>
      </c>
    </row>
    <row r="117" ht="39.75" customHeight="1">
      <c r="A117" s="402" t="s">
        <v>302</v>
      </c>
      <c r="B117" s="386" t="s">
        <v>303</v>
      </c>
      <c r="C117" s="388"/>
      <c r="D117" s="388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91">
        <f t="shared" si="35"/>
        <v>0</v>
      </c>
      <c r="Z117" s="392">
        <f t="shared" si="36"/>
        <v>0</v>
      </c>
      <c r="AA117" s="404"/>
      <c r="AB117" s="404"/>
      <c r="AC117" s="404"/>
      <c r="AD117" s="404"/>
      <c r="AE117" s="404"/>
    </row>
    <row r="118" ht="39.75" customHeight="1">
      <c r="A118" s="402" t="s">
        <v>304</v>
      </c>
      <c r="B118" s="386" t="s">
        <v>305</v>
      </c>
      <c r="C118" s="387"/>
      <c r="D118" s="388"/>
      <c r="E118" s="389"/>
      <c r="F118" s="389"/>
      <c r="G118" s="394"/>
      <c r="H118" s="389"/>
      <c r="I118" s="394"/>
      <c r="J118" s="389"/>
      <c r="K118" s="394"/>
      <c r="L118" s="389"/>
      <c r="M118" s="389"/>
      <c r="N118" s="389"/>
      <c r="O118" s="389"/>
      <c r="P118" s="389"/>
      <c r="Q118" s="394"/>
      <c r="R118" s="389"/>
      <c r="S118" s="394"/>
      <c r="T118" s="389"/>
      <c r="U118" s="389"/>
      <c r="V118" s="389"/>
      <c r="W118" s="389"/>
      <c r="X118" s="389"/>
      <c r="Y118" s="391">
        <f t="shared" si="35"/>
        <v>0</v>
      </c>
      <c r="Z118" s="392">
        <f t="shared" si="36"/>
        <v>0</v>
      </c>
    </row>
    <row r="119" ht="39.75" customHeight="1">
      <c r="A119" s="402" t="s">
        <v>306</v>
      </c>
      <c r="B119" s="386" t="s">
        <v>307</v>
      </c>
      <c r="C119" s="387"/>
      <c r="D119" s="388"/>
      <c r="E119" s="394"/>
      <c r="F119" s="389"/>
      <c r="G119" s="394"/>
      <c r="H119" s="389"/>
      <c r="I119" s="394"/>
      <c r="J119" s="389"/>
      <c r="K119" s="394"/>
      <c r="L119" s="389"/>
      <c r="M119" s="394"/>
      <c r="N119" s="389"/>
      <c r="O119" s="394"/>
      <c r="P119" s="389"/>
      <c r="Q119" s="394"/>
      <c r="R119" s="389"/>
      <c r="S119" s="394"/>
      <c r="T119" s="389"/>
      <c r="U119" s="394"/>
      <c r="V119" s="394"/>
      <c r="W119" s="394"/>
      <c r="X119" s="394"/>
      <c r="Y119" s="391">
        <f t="shared" si="35"/>
        <v>0</v>
      </c>
      <c r="Z119" s="392">
        <f t="shared" si="36"/>
        <v>0</v>
      </c>
    </row>
    <row r="120" ht="39.75" customHeight="1">
      <c r="A120" s="402" t="s">
        <v>308</v>
      </c>
      <c r="B120" s="386" t="s">
        <v>309</v>
      </c>
      <c r="C120" s="387"/>
      <c r="D120" s="388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94"/>
      <c r="V120" s="394"/>
      <c r="W120" s="394"/>
      <c r="X120" s="394"/>
      <c r="Y120" s="391">
        <f t="shared" si="35"/>
        <v>0</v>
      </c>
      <c r="Z120" s="392">
        <f t="shared" si="36"/>
        <v>0</v>
      </c>
    </row>
    <row r="121" ht="39.75" customHeight="1">
      <c r="A121" s="402" t="s">
        <v>310</v>
      </c>
      <c r="B121" s="386" t="s">
        <v>311</v>
      </c>
      <c r="C121" s="387"/>
      <c r="D121" s="387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1">
        <f t="shared" si="35"/>
        <v>0</v>
      </c>
      <c r="Z121" s="392">
        <f t="shared" si="36"/>
        <v>0</v>
      </c>
    </row>
    <row r="122" ht="39.75" customHeight="1">
      <c r="A122" s="402" t="s">
        <v>312</v>
      </c>
      <c r="B122" s="386" t="s">
        <v>313</v>
      </c>
      <c r="C122" s="387"/>
      <c r="D122" s="387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1">
        <f t="shared" si="35"/>
        <v>0</v>
      </c>
      <c r="Z122" s="392">
        <f t="shared" si="36"/>
        <v>0</v>
      </c>
    </row>
    <row r="123" ht="39.75" customHeight="1">
      <c r="A123" s="402" t="s">
        <v>314</v>
      </c>
      <c r="B123" s="386" t="s">
        <v>315</v>
      </c>
      <c r="C123" s="387"/>
      <c r="D123" s="387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1">
        <f t="shared" si="35"/>
        <v>0</v>
      </c>
      <c r="Z123" s="392">
        <f t="shared" si="36"/>
        <v>0</v>
      </c>
    </row>
    <row r="124" ht="39.75" customHeight="1">
      <c r="A124" s="402" t="s">
        <v>316</v>
      </c>
      <c r="B124" s="386" t="s">
        <v>317</v>
      </c>
      <c r="C124" s="387"/>
      <c r="D124" s="387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1">
        <f t="shared" si="35"/>
        <v>0</v>
      </c>
      <c r="Z124" s="392">
        <f t="shared" si="36"/>
        <v>0</v>
      </c>
    </row>
    <row r="125" ht="39.75" customHeight="1">
      <c r="A125" s="402" t="s">
        <v>318</v>
      </c>
      <c r="B125" s="386" t="s">
        <v>319</v>
      </c>
      <c r="C125" s="387"/>
      <c r="D125" s="387"/>
      <c r="E125" s="387"/>
      <c r="F125" s="394"/>
      <c r="G125" s="387"/>
      <c r="H125" s="394"/>
      <c r="I125" s="387"/>
      <c r="J125" s="394"/>
      <c r="K125" s="387"/>
      <c r="L125" s="394"/>
      <c r="M125" s="387"/>
      <c r="N125" s="394"/>
      <c r="O125" s="387"/>
      <c r="P125" s="394"/>
      <c r="Q125" s="387"/>
      <c r="R125" s="394"/>
      <c r="S125" s="387"/>
      <c r="T125" s="394"/>
      <c r="U125" s="387"/>
      <c r="V125" s="394"/>
      <c r="W125" s="387"/>
      <c r="X125" s="394"/>
      <c r="Y125" s="391">
        <f t="shared" si="35"/>
        <v>0</v>
      </c>
      <c r="Z125" s="392">
        <f t="shared" si="36"/>
        <v>0</v>
      </c>
    </row>
    <row r="126" ht="39.75" customHeight="1">
      <c r="A126" s="423" t="s">
        <v>320</v>
      </c>
      <c r="B126" s="424" t="s">
        <v>321</v>
      </c>
      <c r="C126" s="397"/>
      <c r="D126" s="398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401"/>
    </row>
    <row r="127" ht="39.75" customHeight="1">
      <c r="A127" s="378" t="s">
        <v>322</v>
      </c>
      <c r="B127" s="425" t="s">
        <v>323</v>
      </c>
      <c r="C127" s="397"/>
      <c r="D127" s="398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401"/>
    </row>
    <row r="128" ht="39.75" customHeight="1">
      <c r="A128" s="411" t="s">
        <v>324</v>
      </c>
      <c r="B128" s="426" t="s">
        <v>325</v>
      </c>
      <c r="C128" s="387"/>
      <c r="D128" s="387"/>
      <c r="E128" s="387"/>
      <c r="F128" s="394"/>
      <c r="G128" s="387"/>
      <c r="H128" s="394"/>
      <c r="I128" s="387"/>
      <c r="J128" s="394"/>
      <c r="K128" s="387"/>
      <c r="L128" s="394"/>
      <c r="M128" s="387"/>
      <c r="N128" s="394"/>
      <c r="O128" s="387"/>
      <c r="P128" s="394"/>
      <c r="Q128" s="387"/>
      <c r="R128" s="394"/>
      <c r="S128" s="387"/>
      <c r="T128" s="394"/>
      <c r="U128" s="387"/>
      <c r="V128" s="394"/>
      <c r="W128" s="387"/>
      <c r="X128" s="394"/>
      <c r="Y128" s="391">
        <f t="shared" ref="Y128:Y139" si="37">COUNTIF(C128:X128,"&gt;=R")</f>
        <v>0</v>
      </c>
      <c r="Z128" s="392">
        <f t="shared" ref="Z128:Z139" si="38">Y128</f>
        <v>0</v>
      </c>
    </row>
    <row r="129" ht="39.75" customHeight="1">
      <c r="A129" s="427" t="s">
        <v>326</v>
      </c>
      <c r="B129" s="428" t="s">
        <v>327</v>
      </c>
      <c r="C129" s="387"/>
      <c r="D129" s="387"/>
      <c r="E129" s="387"/>
      <c r="F129" s="394"/>
      <c r="G129" s="387"/>
      <c r="H129" s="394"/>
      <c r="I129" s="387"/>
      <c r="J129" s="394"/>
      <c r="K129" s="387"/>
      <c r="L129" s="394"/>
      <c r="M129" s="387"/>
      <c r="N129" s="394"/>
      <c r="O129" s="387"/>
      <c r="P129" s="394"/>
      <c r="Q129" s="387"/>
      <c r="R129" s="394"/>
      <c r="S129" s="387"/>
      <c r="T129" s="394"/>
      <c r="U129" s="387"/>
      <c r="V129" s="394"/>
      <c r="W129" s="387"/>
      <c r="X129" s="394"/>
      <c r="Y129" s="391">
        <f t="shared" si="37"/>
        <v>0</v>
      </c>
      <c r="Z129" s="392">
        <f t="shared" si="38"/>
        <v>0</v>
      </c>
    </row>
    <row r="130" ht="39.75" customHeight="1">
      <c r="A130" s="411" t="s">
        <v>328</v>
      </c>
      <c r="B130" s="426" t="s">
        <v>329</v>
      </c>
      <c r="C130" s="387"/>
      <c r="D130" s="387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89"/>
      <c r="P130" s="394"/>
      <c r="Q130" s="389"/>
      <c r="R130" s="394"/>
      <c r="S130" s="389"/>
      <c r="T130" s="394"/>
      <c r="U130" s="389"/>
      <c r="V130" s="394"/>
      <c r="W130" s="389"/>
      <c r="X130" s="394"/>
      <c r="Y130" s="391">
        <f t="shared" si="37"/>
        <v>0</v>
      </c>
      <c r="Z130" s="392">
        <f t="shared" si="38"/>
        <v>0</v>
      </c>
    </row>
    <row r="131" ht="39.75" customHeight="1">
      <c r="A131" s="411" t="s">
        <v>330</v>
      </c>
      <c r="B131" s="426" t="s">
        <v>331</v>
      </c>
      <c r="C131" s="388"/>
      <c r="D131" s="387"/>
      <c r="E131" s="389"/>
      <c r="F131" s="394"/>
      <c r="G131" s="389"/>
      <c r="H131" s="394"/>
      <c r="I131" s="389"/>
      <c r="J131" s="394"/>
      <c r="K131" s="389"/>
      <c r="L131" s="394"/>
      <c r="M131" s="389"/>
      <c r="N131" s="394"/>
      <c r="O131" s="389"/>
      <c r="P131" s="394"/>
      <c r="Q131" s="389"/>
      <c r="R131" s="394"/>
      <c r="S131" s="389"/>
      <c r="T131" s="394"/>
      <c r="U131" s="389"/>
      <c r="V131" s="394"/>
      <c r="W131" s="389"/>
      <c r="X131" s="394"/>
      <c r="Y131" s="391">
        <f t="shared" si="37"/>
        <v>0</v>
      </c>
      <c r="Z131" s="392">
        <f t="shared" si="38"/>
        <v>0</v>
      </c>
    </row>
    <row r="132" ht="39.75" customHeight="1">
      <c r="A132" s="411" t="s">
        <v>332</v>
      </c>
      <c r="B132" s="426" t="s">
        <v>333</v>
      </c>
      <c r="C132" s="387"/>
      <c r="D132" s="387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1">
        <f t="shared" si="37"/>
        <v>0</v>
      </c>
      <c r="Z132" s="392">
        <f t="shared" si="38"/>
        <v>0</v>
      </c>
    </row>
    <row r="133" ht="39.75" customHeight="1">
      <c r="A133" s="411" t="s">
        <v>334</v>
      </c>
      <c r="B133" s="426" t="s">
        <v>335</v>
      </c>
      <c r="C133" s="387"/>
      <c r="D133" s="388"/>
      <c r="E133" s="387"/>
      <c r="F133" s="389"/>
      <c r="G133" s="387"/>
      <c r="H133" s="389"/>
      <c r="I133" s="387"/>
      <c r="J133" s="389"/>
      <c r="K133" s="387"/>
      <c r="L133" s="394"/>
      <c r="M133" s="387"/>
      <c r="N133" s="394"/>
      <c r="O133" s="387"/>
      <c r="P133" s="394"/>
      <c r="Q133" s="387"/>
      <c r="R133" s="394"/>
      <c r="S133" s="387"/>
      <c r="T133" s="394"/>
      <c r="U133" s="387"/>
      <c r="V133" s="394"/>
      <c r="W133" s="387"/>
      <c r="X133" s="394"/>
      <c r="Y133" s="391">
        <f t="shared" si="37"/>
        <v>0</v>
      </c>
      <c r="Z133" s="392">
        <f t="shared" si="38"/>
        <v>0</v>
      </c>
    </row>
    <row r="134" ht="39.75" customHeight="1">
      <c r="A134" s="411" t="s">
        <v>336</v>
      </c>
      <c r="B134" s="426" t="s">
        <v>337</v>
      </c>
      <c r="C134" s="387"/>
      <c r="D134" s="387"/>
      <c r="E134" s="387"/>
      <c r="F134" s="394"/>
      <c r="G134" s="387"/>
      <c r="H134" s="394"/>
      <c r="I134" s="387"/>
      <c r="J134" s="394"/>
      <c r="K134" s="387"/>
      <c r="L134" s="394"/>
      <c r="M134" s="387"/>
      <c r="N134" s="394"/>
      <c r="O134" s="387"/>
      <c r="P134" s="394"/>
      <c r="Q134" s="387"/>
      <c r="R134" s="394"/>
      <c r="S134" s="387"/>
      <c r="T134" s="394"/>
      <c r="U134" s="387"/>
      <c r="V134" s="394"/>
      <c r="W134" s="387"/>
      <c r="X134" s="394"/>
      <c r="Y134" s="391">
        <f t="shared" si="37"/>
        <v>0</v>
      </c>
      <c r="Z134" s="392">
        <f t="shared" si="38"/>
        <v>0</v>
      </c>
    </row>
    <row r="135" ht="39.75" customHeight="1">
      <c r="A135" s="411" t="s">
        <v>338</v>
      </c>
      <c r="B135" s="426" t="s">
        <v>339</v>
      </c>
      <c r="C135" s="387"/>
      <c r="D135" s="387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1">
        <f t="shared" si="37"/>
        <v>0</v>
      </c>
      <c r="Z135" s="392">
        <f t="shared" si="38"/>
        <v>0</v>
      </c>
    </row>
    <row r="136" ht="39.75" customHeight="1">
      <c r="A136" s="411" t="s">
        <v>340</v>
      </c>
      <c r="B136" s="426" t="s">
        <v>341</v>
      </c>
      <c r="C136" s="387"/>
      <c r="D136" s="387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1">
        <f t="shared" si="37"/>
        <v>0</v>
      </c>
      <c r="Z136" s="392">
        <f t="shared" si="38"/>
        <v>0</v>
      </c>
    </row>
    <row r="137" ht="39.75" customHeight="1">
      <c r="A137" s="411" t="s">
        <v>342</v>
      </c>
      <c r="B137" s="426" t="s">
        <v>343</v>
      </c>
      <c r="C137" s="387"/>
      <c r="D137" s="387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1">
        <f t="shared" si="37"/>
        <v>0</v>
      </c>
      <c r="Z137" s="392">
        <f t="shared" si="38"/>
        <v>0</v>
      </c>
    </row>
    <row r="138" ht="39.75" customHeight="1">
      <c r="A138" s="411" t="s">
        <v>344</v>
      </c>
      <c r="B138" s="426" t="s">
        <v>345</v>
      </c>
      <c r="C138" s="387"/>
      <c r="D138" s="387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1">
        <f t="shared" si="37"/>
        <v>0</v>
      </c>
      <c r="Z138" s="392">
        <f t="shared" si="38"/>
        <v>0</v>
      </c>
    </row>
    <row r="139" ht="39.75" customHeight="1">
      <c r="A139" s="411" t="s">
        <v>346</v>
      </c>
      <c r="B139" s="426" t="s">
        <v>347</v>
      </c>
      <c r="C139" s="387"/>
      <c r="D139" s="387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1">
        <f t="shared" si="37"/>
        <v>0</v>
      </c>
      <c r="Z139" s="392">
        <f t="shared" si="38"/>
        <v>0</v>
      </c>
    </row>
    <row r="140" ht="39.75" customHeight="1">
      <c r="A140" s="395" t="s">
        <v>348</v>
      </c>
      <c r="B140" s="422" t="s">
        <v>349</v>
      </c>
      <c r="C140" s="397"/>
      <c r="D140" s="398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401"/>
    </row>
    <row r="141" ht="39.75" customHeight="1">
      <c r="A141" s="411" t="s">
        <v>350</v>
      </c>
      <c r="B141" s="412" t="s">
        <v>351</v>
      </c>
      <c r="C141" s="387"/>
      <c r="D141" s="387"/>
      <c r="E141" s="387"/>
      <c r="F141" s="394"/>
      <c r="G141" s="387"/>
      <c r="H141" s="394"/>
      <c r="I141" s="387"/>
      <c r="J141" s="394"/>
      <c r="K141" s="387"/>
      <c r="L141" s="394"/>
      <c r="M141" s="387"/>
      <c r="N141" s="394"/>
      <c r="O141" s="387"/>
      <c r="P141" s="394"/>
      <c r="Q141" s="387"/>
      <c r="R141" s="394"/>
      <c r="S141" s="387"/>
      <c r="T141" s="394"/>
      <c r="U141" s="387"/>
      <c r="V141" s="394"/>
      <c r="W141" s="387"/>
      <c r="X141" s="394"/>
      <c r="Y141" s="391">
        <f t="shared" ref="Y141:Y143" si="39">COUNTIF(C141:X141,"&gt;=R")</f>
        <v>0</v>
      </c>
      <c r="Z141" s="392">
        <f t="shared" ref="Z141:Z143" si="40">Y141</f>
        <v>0</v>
      </c>
    </row>
    <row r="142" ht="39.75" customHeight="1">
      <c r="A142" s="411" t="s">
        <v>352</v>
      </c>
      <c r="B142" s="412" t="s">
        <v>353</v>
      </c>
      <c r="C142" s="387"/>
      <c r="D142" s="387"/>
      <c r="E142" s="394"/>
      <c r="F142" s="394"/>
      <c r="G142" s="394"/>
      <c r="H142" s="394"/>
      <c r="I142" s="394"/>
      <c r="J142" s="394"/>
      <c r="K142" s="394"/>
      <c r="L142" s="394"/>
      <c r="M142" s="394" t="s">
        <v>91</v>
      </c>
      <c r="N142" s="394"/>
      <c r="O142" s="394"/>
      <c r="P142" s="394"/>
      <c r="Q142" s="394"/>
      <c r="R142" s="394"/>
      <c r="S142" s="394"/>
      <c r="T142" s="394"/>
      <c r="U142" s="389" t="s">
        <v>85</v>
      </c>
      <c r="V142" s="394"/>
      <c r="W142" s="389" t="s">
        <v>85</v>
      </c>
      <c r="X142" s="394"/>
      <c r="Y142" s="391">
        <f t="shared" si="39"/>
        <v>3</v>
      </c>
      <c r="Z142" s="392">
        <f t="shared" si="40"/>
        <v>3</v>
      </c>
    </row>
    <row r="143" ht="39.75" customHeight="1">
      <c r="A143" s="411" t="s">
        <v>354</v>
      </c>
      <c r="B143" s="412" t="s">
        <v>355</v>
      </c>
      <c r="C143" s="387"/>
      <c r="D143" s="387"/>
      <c r="E143" s="394"/>
      <c r="F143" s="394"/>
      <c r="G143" s="394"/>
      <c r="H143" s="394"/>
      <c r="I143" s="394"/>
      <c r="J143" s="394"/>
      <c r="K143" s="394"/>
      <c r="L143" s="394"/>
      <c r="M143" s="394" t="s">
        <v>91</v>
      </c>
      <c r="N143" s="394"/>
      <c r="O143" s="394"/>
      <c r="P143" s="394"/>
      <c r="Q143" s="394"/>
      <c r="R143" s="394"/>
      <c r="S143" s="394"/>
      <c r="T143" s="394"/>
      <c r="U143" s="389" t="s">
        <v>85</v>
      </c>
      <c r="V143" s="394"/>
      <c r="W143" s="389" t="s">
        <v>85</v>
      </c>
      <c r="X143" s="394"/>
      <c r="Y143" s="391">
        <f t="shared" si="39"/>
        <v>3</v>
      </c>
      <c r="Z143" s="392">
        <f t="shared" si="40"/>
        <v>3</v>
      </c>
    </row>
    <row r="144" ht="39.75" customHeight="1">
      <c r="A144" s="395" t="s">
        <v>356</v>
      </c>
      <c r="B144" s="422" t="s">
        <v>357</v>
      </c>
      <c r="C144" s="397"/>
      <c r="D144" s="398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401"/>
    </row>
    <row r="145" ht="39.75" customHeight="1">
      <c r="A145" s="411" t="s">
        <v>358</v>
      </c>
      <c r="B145" s="412" t="s">
        <v>359</v>
      </c>
      <c r="C145" s="387"/>
      <c r="D145" s="387"/>
      <c r="E145" s="387"/>
      <c r="F145" s="394"/>
      <c r="G145" s="387"/>
      <c r="H145" s="394"/>
      <c r="I145" s="387"/>
      <c r="J145" s="394"/>
      <c r="K145" s="387"/>
      <c r="L145" s="394"/>
      <c r="M145" s="387"/>
      <c r="N145" s="394"/>
      <c r="O145" s="387"/>
      <c r="P145" s="394"/>
      <c r="Q145" s="387" t="s">
        <v>57</v>
      </c>
      <c r="R145" s="394"/>
      <c r="S145" s="387" t="s">
        <v>57</v>
      </c>
      <c r="T145" s="394"/>
      <c r="U145" s="387"/>
      <c r="V145" s="394"/>
      <c r="W145" s="391"/>
      <c r="X145" s="394"/>
      <c r="Y145" s="391">
        <f t="shared" ref="Y145:Y147" si="41">COUNTIF(C145:X145,"&gt;=R")</f>
        <v>2</v>
      </c>
      <c r="Z145" s="392">
        <f t="shared" ref="Z145:Z147" si="42">Y145</f>
        <v>2</v>
      </c>
    </row>
    <row r="146" ht="39.75" customHeight="1">
      <c r="A146" s="411" t="s">
        <v>360</v>
      </c>
      <c r="B146" s="412" t="s">
        <v>361</v>
      </c>
      <c r="C146" s="388" t="s">
        <v>76</v>
      </c>
      <c r="D146" s="387"/>
      <c r="E146" s="389" t="s">
        <v>76</v>
      </c>
      <c r="F146" s="394"/>
      <c r="G146" s="389" t="s">
        <v>76</v>
      </c>
      <c r="H146" s="394"/>
      <c r="I146" s="389" t="s">
        <v>76</v>
      </c>
      <c r="J146" s="394"/>
      <c r="K146" s="389" t="s">
        <v>76</v>
      </c>
      <c r="L146" s="394"/>
      <c r="M146" s="389" t="s">
        <v>407</v>
      </c>
      <c r="N146" s="394"/>
      <c r="O146" s="389" t="s">
        <v>407</v>
      </c>
      <c r="P146" s="394"/>
      <c r="Q146" s="673" t="s">
        <v>37</v>
      </c>
      <c r="R146" s="394"/>
      <c r="S146" s="673" t="s">
        <v>37</v>
      </c>
      <c r="T146" s="394"/>
      <c r="U146" s="389" t="s">
        <v>76</v>
      </c>
      <c r="V146" s="394"/>
      <c r="W146" s="389" t="s">
        <v>76</v>
      </c>
      <c r="X146" s="394"/>
      <c r="Y146" s="391">
        <f t="shared" si="41"/>
        <v>11</v>
      </c>
      <c r="Z146" s="392">
        <f t="shared" si="42"/>
        <v>11</v>
      </c>
    </row>
    <row r="147" ht="39.75" customHeight="1">
      <c r="A147" s="411" t="s">
        <v>362</v>
      </c>
      <c r="B147" s="412" t="s">
        <v>363</v>
      </c>
      <c r="C147" s="387"/>
      <c r="D147" s="387"/>
      <c r="E147" s="387"/>
      <c r="F147" s="394"/>
      <c r="G147" s="387"/>
      <c r="H147" s="394"/>
      <c r="I147" s="387"/>
      <c r="J147" s="394"/>
      <c r="K147" s="387"/>
      <c r="L147" s="394"/>
      <c r="M147" s="387"/>
      <c r="N147" s="394"/>
      <c r="O147" s="387"/>
      <c r="P147" s="394"/>
      <c r="Q147" s="387"/>
      <c r="R147" s="394"/>
      <c r="S147" s="387"/>
      <c r="T147" s="394"/>
      <c r="U147" s="387"/>
      <c r="V147" s="394"/>
      <c r="W147" s="387"/>
      <c r="X147" s="394"/>
      <c r="Y147" s="391">
        <f t="shared" si="41"/>
        <v>0</v>
      </c>
      <c r="Z147" s="392">
        <f t="shared" si="42"/>
        <v>0</v>
      </c>
    </row>
    <row r="148" ht="39.75" customHeight="1">
      <c r="A148" s="395" t="s">
        <v>364</v>
      </c>
      <c r="B148" s="396" t="s">
        <v>365</v>
      </c>
      <c r="C148" s="397"/>
      <c r="D148" s="398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401"/>
    </row>
    <row r="149" ht="39.75" customHeight="1">
      <c r="A149" s="385" t="s">
        <v>366</v>
      </c>
      <c r="B149" s="386" t="s">
        <v>367</v>
      </c>
      <c r="C149" s="387"/>
      <c r="D149" s="387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1">
        <f t="shared" ref="Y149:Y156" si="43">COUNTIF(C149:X149,"&gt;=R")</f>
        <v>0</v>
      </c>
      <c r="Z149" s="392">
        <f t="shared" ref="Z149:Z156" si="44">Y149</f>
        <v>0</v>
      </c>
    </row>
    <row r="150" ht="39.75" customHeight="1">
      <c r="A150" s="385" t="s">
        <v>368</v>
      </c>
      <c r="B150" s="386" t="s">
        <v>369</v>
      </c>
      <c r="C150" s="387"/>
      <c r="D150" s="387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1">
        <f t="shared" si="43"/>
        <v>0</v>
      </c>
      <c r="Z150" s="392">
        <f t="shared" si="44"/>
        <v>0</v>
      </c>
    </row>
    <row r="151" ht="39.75" customHeight="1">
      <c r="A151" s="385" t="s">
        <v>370</v>
      </c>
      <c r="B151" s="386" t="s">
        <v>371</v>
      </c>
      <c r="C151" s="388"/>
      <c r="D151" s="387"/>
      <c r="E151" s="389"/>
      <c r="F151" s="394"/>
      <c r="G151" s="389"/>
      <c r="H151" s="394"/>
      <c r="I151" s="389"/>
      <c r="J151" s="394"/>
      <c r="K151" s="389"/>
      <c r="L151" s="394"/>
      <c r="M151" s="389"/>
      <c r="N151" s="394"/>
      <c r="O151" s="389"/>
      <c r="P151" s="394"/>
      <c r="Q151" s="389"/>
      <c r="R151" s="394"/>
      <c r="S151" s="389"/>
      <c r="T151" s="394"/>
      <c r="U151" s="389"/>
      <c r="V151" s="394"/>
      <c r="W151" s="389"/>
      <c r="X151" s="394"/>
      <c r="Y151" s="391">
        <f t="shared" si="43"/>
        <v>0</v>
      </c>
      <c r="Z151" s="392">
        <f t="shared" si="44"/>
        <v>0</v>
      </c>
    </row>
    <row r="152" ht="39.75" customHeight="1">
      <c r="A152" s="402" t="s">
        <v>372</v>
      </c>
      <c r="B152" s="806" t="s">
        <v>373</v>
      </c>
      <c r="C152" s="388" t="s">
        <v>93</v>
      </c>
      <c r="D152" s="387"/>
      <c r="E152" s="394" t="s">
        <v>85</v>
      </c>
      <c r="F152" s="394"/>
      <c r="G152" s="394" t="s">
        <v>85</v>
      </c>
      <c r="H152" s="394"/>
      <c r="I152" s="389" t="s">
        <v>85</v>
      </c>
      <c r="J152" s="394"/>
      <c r="K152" s="389" t="s">
        <v>93</v>
      </c>
      <c r="L152" s="394"/>
      <c r="M152" s="389" t="s">
        <v>93</v>
      </c>
      <c r="N152" s="394"/>
      <c r="O152" s="389" t="s">
        <v>77</v>
      </c>
      <c r="P152" s="394"/>
      <c r="Q152" s="389" t="s">
        <v>85</v>
      </c>
      <c r="R152" s="394"/>
      <c r="S152" s="389" t="s">
        <v>93</v>
      </c>
      <c r="T152" s="394"/>
      <c r="U152" s="389" t="s">
        <v>85</v>
      </c>
      <c r="V152" s="394"/>
      <c r="W152" s="394" t="s">
        <v>85</v>
      </c>
      <c r="X152" s="394"/>
      <c r="Y152" s="391">
        <f t="shared" si="43"/>
        <v>11</v>
      </c>
      <c r="Z152" s="392">
        <f t="shared" si="44"/>
        <v>11</v>
      </c>
    </row>
    <row r="153" ht="39.75" customHeight="1">
      <c r="A153" s="402" t="s">
        <v>374</v>
      </c>
      <c r="B153" s="806" t="s">
        <v>375</v>
      </c>
      <c r="C153" s="388"/>
      <c r="D153" s="387"/>
      <c r="E153" s="394"/>
      <c r="F153" s="394"/>
      <c r="G153" s="394"/>
      <c r="H153" s="394"/>
      <c r="I153" s="389"/>
      <c r="J153" s="394"/>
      <c r="K153" s="389"/>
      <c r="L153" s="394"/>
      <c r="M153" s="389"/>
      <c r="N153" s="394"/>
      <c r="O153" s="389"/>
      <c r="P153" s="394"/>
      <c r="Q153" s="389"/>
      <c r="R153" s="394"/>
      <c r="S153" s="389"/>
      <c r="T153" s="394"/>
      <c r="U153" s="389"/>
      <c r="V153" s="394"/>
      <c r="W153" s="394"/>
      <c r="X153" s="394"/>
      <c r="Y153" s="391">
        <f t="shared" si="43"/>
        <v>0</v>
      </c>
      <c r="Z153" s="392">
        <f t="shared" si="44"/>
        <v>0</v>
      </c>
    </row>
    <row r="154" ht="39.75" customHeight="1">
      <c r="A154" s="402" t="s">
        <v>376</v>
      </c>
      <c r="B154" s="806" t="s">
        <v>377</v>
      </c>
      <c r="C154" s="388"/>
      <c r="D154" s="387"/>
      <c r="E154" s="389"/>
      <c r="F154" s="394"/>
      <c r="G154" s="389"/>
      <c r="H154" s="394"/>
      <c r="I154" s="389"/>
      <c r="J154" s="394"/>
      <c r="K154" s="389"/>
      <c r="L154" s="394"/>
      <c r="M154" s="389"/>
      <c r="N154" s="394"/>
      <c r="O154" s="389"/>
      <c r="P154" s="394"/>
      <c r="Q154" s="389"/>
      <c r="R154" s="394"/>
      <c r="S154" s="389"/>
      <c r="T154" s="394"/>
      <c r="U154" s="389"/>
      <c r="V154" s="394"/>
      <c r="W154" s="389"/>
      <c r="X154" s="394"/>
      <c r="Y154" s="391">
        <f t="shared" si="43"/>
        <v>0</v>
      </c>
      <c r="Z154" s="392">
        <f t="shared" si="44"/>
        <v>0</v>
      </c>
    </row>
    <row r="155" ht="39.75" customHeight="1">
      <c r="A155" s="402" t="s">
        <v>374</v>
      </c>
      <c r="B155" s="807" t="s">
        <v>375</v>
      </c>
      <c r="C155" s="387"/>
      <c r="D155" s="387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1">
        <f t="shared" si="43"/>
        <v>0</v>
      </c>
      <c r="Z155" s="392">
        <f t="shared" si="44"/>
        <v>0</v>
      </c>
    </row>
    <row r="156" ht="39.75" customHeight="1">
      <c r="A156" s="404" t="s">
        <v>378</v>
      </c>
      <c r="B156" s="794" t="s">
        <v>379</v>
      </c>
      <c r="C156" s="387"/>
      <c r="D156" s="388"/>
      <c r="E156" s="389"/>
      <c r="F156" s="389"/>
      <c r="G156" s="394"/>
      <c r="H156" s="389"/>
      <c r="I156" s="394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91">
        <f t="shared" si="43"/>
        <v>0</v>
      </c>
      <c r="Z156" s="392">
        <f t="shared" si="44"/>
        <v>0</v>
      </c>
    </row>
    <row r="157" ht="39.75" customHeight="1">
      <c r="A157" s="395" t="s">
        <v>380</v>
      </c>
      <c r="B157" s="396" t="s">
        <v>381</v>
      </c>
      <c r="C157" s="397"/>
      <c r="D157" s="398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401"/>
    </row>
    <row r="158" ht="39.75" customHeight="1">
      <c r="A158" s="411" t="s">
        <v>382</v>
      </c>
      <c r="B158" s="412" t="s">
        <v>383</v>
      </c>
      <c r="C158" s="387"/>
      <c r="D158" s="387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1">
        <f t="shared" ref="Y158:Y161" si="45">COUNTIF(C158:X158,"&gt;=R")</f>
        <v>0</v>
      </c>
      <c r="Z158" s="392">
        <f t="shared" ref="Z158:Z161" si="46">Y158</f>
        <v>0</v>
      </c>
    </row>
    <row r="159" ht="39.75" customHeight="1">
      <c r="A159" s="411" t="s">
        <v>384</v>
      </c>
      <c r="B159" s="412" t="s">
        <v>385</v>
      </c>
      <c r="C159" s="387"/>
      <c r="D159" s="387"/>
      <c r="E159" s="387"/>
      <c r="F159" s="394"/>
      <c r="G159" s="387"/>
      <c r="H159" s="394"/>
      <c r="I159" s="387"/>
      <c r="J159" s="394"/>
      <c r="K159" s="387"/>
      <c r="L159" s="394"/>
      <c r="M159" s="387"/>
      <c r="N159" s="394"/>
      <c r="O159" s="387"/>
      <c r="P159" s="394"/>
      <c r="Q159" s="387"/>
      <c r="R159" s="394"/>
      <c r="S159" s="387"/>
      <c r="T159" s="394"/>
      <c r="U159" s="387"/>
      <c r="V159" s="394"/>
      <c r="W159" s="387"/>
      <c r="X159" s="394"/>
      <c r="Y159" s="391">
        <f t="shared" si="45"/>
        <v>0</v>
      </c>
      <c r="Z159" s="392">
        <f t="shared" si="46"/>
        <v>0</v>
      </c>
    </row>
    <row r="160" ht="39.75" customHeight="1">
      <c r="A160" s="411" t="s">
        <v>386</v>
      </c>
      <c r="B160" s="412" t="s">
        <v>387</v>
      </c>
      <c r="C160" s="387"/>
      <c r="D160" s="387"/>
      <c r="E160" s="387"/>
      <c r="F160" s="394"/>
      <c r="G160" s="387"/>
      <c r="H160" s="394"/>
      <c r="I160" s="387"/>
      <c r="J160" s="394"/>
      <c r="K160" s="387"/>
      <c r="L160" s="394"/>
      <c r="M160" s="387"/>
      <c r="N160" s="394"/>
      <c r="O160" s="387"/>
      <c r="P160" s="394"/>
      <c r="Q160" s="387"/>
      <c r="R160" s="394"/>
      <c r="S160" s="387"/>
      <c r="T160" s="394"/>
      <c r="U160" s="387"/>
      <c r="V160" s="394"/>
      <c r="W160" s="387"/>
      <c r="X160" s="394"/>
      <c r="Y160" s="391">
        <f t="shared" si="45"/>
        <v>0</v>
      </c>
      <c r="Z160" s="392">
        <f t="shared" si="46"/>
        <v>0</v>
      </c>
    </row>
    <row r="161" ht="39.75" customHeight="1">
      <c r="A161" s="411" t="s">
        <v>388</v>
      </c>
      <c r="B161" s="412" t="s">
        <v>389</v>
      </c>
      <c r="C161" s="387"/>
      <c r="D161" s="387"/>
      <c r="E161" s="387"/>
      <c r="F161" s="394"/>
      <c r="G161" s="387"/>
      <c r="H161" s="394"/>
      <c r="I161" s="387"/>
      <c r="J161" s="394"/>
      <c r="K161" s="387"/>
      <c r="L161" s="394"/>
      <c r="M161" s="387"/>
      <c r="N161" s="394"/>
      <c r="O161" s="387"/>
      <c r="P161" s="394"/>
      <c r="Q161" s="387"/>
      <c r="R161" s="394"/>
      <c r="S161" s="387"/>
      <c r="T161" s="394"/>
      <c r="U161" s="387"/>
      <c r="V161" s="394"/>
      <c r="W161" s="387"/>
      <c r="X161" s="394"/>
      <c r="Y161" s="391">
        <f t="shared" si="45"/>
        <v>0</v>
      </c>
      <c r="Z161" s="392">
        <f t="shared" si="46"/>
        <v>0</v>
      </c>
    </row>
    <row r="162" ht="39.75" customHeight="1">
      <c r="A162" s="395" t="s">
        <v>390</v>
      </c>
      <c r="B162" s="422" t="s">
        <v>391</v>
      </c>
      <c r="C162" s="397"/>
      <c r="D162" s="398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401"/>
    </row>
    <row r="163" ht="39.75" customHeight="1">
      <c r="A163" s="385" t="s">
        <v>392</v>
      </c>
      <c r="B163" s="386" t="s">
        <v>393</v>
      </c>
      <c r="C163" s="387"/>
      <c r="D163" s="387"/>
      <c r="E163" s="387"/>
      <c r="F163" s="394"/>
      <c r="G163" s="387"/>
      <c r="H163" s="394"/>
      <c r="I163" s="394"/>
      <c r="J163" s="394"/>
      <c r="K163" s="387"/>
      <c r="L163" s="394"/>
      <c r="M163" s="387"/>
      <c r="N163" s="394"/>
      <c r="O163" s="387"/>
      <c r="P163" s="394"/>
      <c r="Q163" s="387"/>
      <c r="R163" s="394"/>
      <c r="S163" s="387"/>
      <c r="T163" s="394"/>
      <c r="U163" s="387"/>
      <c r="V163" s="394"/>
      <c r="W163" s="387"/>
      <c r="X163" s="394"/>
      <c r="Y163" s="391">
        <f t="shared" ref="Y163:Y165" si="47">COUNTIF(C163:X163,"&gt;=R")</f>
        <v>0</v>
      </c>
      <c r="Z163" s="392">
        <f t="shared" ref="Z163:Z165" si="48">Y163</f>
        <v>0</v>
      </c>
    </row>
    <row r="164" ht="39.75" customHeight="1">
      <c r="A164" s="385" t="s">
        <v>394</v>
      </c>
      <c r="B164" s="386" t="s">
        <v>395</v>
      </c>
      <c r="C164" s="387"/>
      <c r="D164" s="387"/>
      <c r="E164" s="387"/>
      <c r="F164" s="394"/>
      <c r="G164" s="387"/>
      <c r="H164" s="394"/>
      <c r="I164" s="394"/>
      <c r="J164" s="394"/>
      <c r="K164" s="387"/>
      <c r="L164" s="394"/>
      <c r="M164" s="387"/>
      <c r="N164" s="394"/>
      <c r="O164" s="387"/>
      <c r="P164" s="394"/>
      <c r="Q164" s="387"/>
      <c r="R164" s="394"/>
      <c r="S164" s="387"/>
      <c r="T164" s="394"/>
      <c r="U164" s="387"/>
      <c r="V164" s="394"/>
      <c r="W164" s="387"/>
      <c r="X164" s="394"/>
      <c r="Y164" s="391">
        <f t="shared" si="47"/>
        <v>0</v>
      </c>
      <c r="Z164" s="392">
        <f t="shared" si="48"/>
        <v>0</v>
      </c>
      <c r="AA164" s="449"/>
      <c r="AB164" s="449"/>
      <c r="AC164" s="449"/>
      <c r="AD164" s="449"/>
      <c r="AE164" s="449"/>
    </row>
    <row r="165" ht="39.75" customHeight="1">
      <c r="A165" s="861" t="s">
        <v>396</v>
      </c>
      <c r="B165" s="809" t="s">
        <v>397</v>
      </c>
      <c r="C165" s="436"/>
      <c r="D165" s="436"/>
      <c r="E165" s="436"/>
      <c r="F165" s="437"/>
      <c r="G165" s="436"/>
      <c r="H165" s="437"/>
      <c r="I165" s="437"/>
      <c r="J165" s="437"/>
      <c r="K165" s="436"/>
      <c r="L165" s="437"/>
      <c r="M165" s="436"/>
      <c r="N165" s="437"/>
      <c r="O165" s="436"/>
      <c r="P165" s="437"/>
      <c r="Q165" s="436"/>
      <c r="R165" s="437"/>
      <c r="S165" s="436"/>
      <c r="T165" s="437"/>
      <c r="U165" s="436"/>
      <c r="V165" s="437"/>
      <c r="W165" s="436"/>
      <c r="X165" s="437"/>
      <c r="Y165" s="391">
        <f t="shared" si="47"/>
        <v>0</v>
      </c>
      <c r="Z165" s="392">
        <f t="shared" si="48"/>
        <v>0</v>
      </c>
      <c r="AA165" s="449"/>
      <c r="AB165" s="449"/>
      <c r="AC165" s="449"/>
      <c r="AD165" s="449"/>
      <c r="AE165" s="449"/>
    </row>
    <row r="166" ht="24.75" customHeight="1">
      <c r="A166" s="438"/>
      <c r="B166" s="439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145"/>
      <c r="AB166" s="145"/>
      <c r="AC166" s="145"/>
      <c r="AD166" s="1"/>
      <c r="AE166" s="1"/>
    </row>
    <row r="167" ht="24.75" customHeight="1">
      <c r="A167" s="438"/>
      <c r="B167" s="439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145"/>
      <c r="AB167" s="145"/>
      <c r="AC167" s="145"/>
      <c r="AD167" s="1"/>
      <c r="AE167" s="1"/>
    </row>
    <row r="168" ht="24.75" customHeight="1">
      <c r="A168" s="438"/>
      <c r="B168" s="439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145"/>
      <c r="AB168" s="145"/>
      <c r="AC168" s="145"/>
      <c r="AD168" s="1"/>
      <c r="AE168" s="1"/>
    </row>
    <row r="169" ht="24.75" customHeight="1">
      <c r="A169" s="438"/>
      <c r="B169" s="439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145"/>
      <c r="AB169" s="145"/>
      <c r="AC169" s="145"/>
      <c r="AD169" s="1"/>
      <c r="AE169" s="1"/>
    </row>
    <row r="170" ht="24.75" customHeight="1">
      <c r="A170" s="438"/>
      <c r="B170" s="439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145"/>
      <c r="AB170" s="145"/>
      <c r="AC170" s="145"/>
      <c r="AD170" s="1"/>
      <c r="AE170" s="1"/>
    </row>
    <row r="171" ht="24.75" customHeight="1">
      <c r="A171" s="438"/>
      <c r="B171" s="439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145"/>
      <c r="AB171" s="145"/>
      <c r="AC171" s="145"/>
      <c r="AD171" s="1"/>
      <c r="AE171" s="1"/>
    </row>
    <row r="172" ht="24.75" customHeight="1">
      <c r="A172" s="438"/>
      <c r="B172" s="439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145"/>
      <c r="AB172" s="145"/>
      <c r="AC172" s="145"/>
      <c r="AD172" s="1"/>
      <c r="AE172" s="1"/>
    </row>
    <row r="173" ht="24.75" customHeight="1">
      <c r="A173" s="441"/>
      <c r="B173" s="439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145"/>
      <c r="AB173" s="145"/>
      <c r="AC173" s="145"/>
      <c r="AD173" s="1"/>
      <c r="AE173" s="1"/>
    </row>
    <row r="174" ht="24.75" customHeight="1">
      <c r="A174" s="441"/>
      <c r="B174" s="439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145"/>
      <c r="AB174" s="145"/>
      <c r="AC174" s="145"/>
      <c r="AD174" s="1"/>
      <c r="AE174" s="1"/>
    </row>
    <row r="175" ht="24.75" customHeight="1">
      <c r="A175" s="441"/>
      <c r="B175" s="439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145"/>
      <c r="AB175" s="145"/>
      <c r="AC175" s="145"/>
      <c r="AD175" s="1"/>
      <c r="AE175" s="1"/>
    </row>
    <row r="176" ht="24.75" customHeight="1">
      <c r="A176" s="441"/>
      <c r="B176" s="439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145"/>
      <c r="AB176" s="145"/>
      <c r="AC176" s="145"/>
      <c r="AD176" s="1"/>
      <c r="AE176" s="1"/>
    </row>
    <row r="177" ht="24.75" customHeight="1">
      <c r="A177" s="442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145"/>
      <c r="AB177" s="145"/>
      <c r="AC177" s="145"/>
      <c r="AD177" s="1"/>
      <c r="AE177" s="1"/>
    </row>
    <row r="178" ht="24.75" customHeight="1">
      <c r="A178" s="443"/>
      <c r="B178" s="444"/>
      <c r="C178" s="45"/>
      <c r="D178" s="444"/>
      <c r="E178" s="444"/>
      <c r="F178" s="444"/>
      <c r="G178" s="444"/>
      <c r="H178" s="444"/>
      <c r="I178" s="445"/>
      <c r="J178" s="445"/>
      <c r="K178" s="445"/>
      <c r="L178" s="440"/>
      <c r="M178" s="440"/>
      <c r="N178" s="536"/>
      <c r="O178" s="536"/>
      <c r="P178" s="536"/>
      <c r="Q178" s="536"/>
      <c r="R178" s="536"/>
      <c r="S178" s="536"/>
      <c r="T178" s="536"/>
      <c r="U178" s="350"/>
      <c r="V178" s="537"/>
      <c r="W178" s="537"/>
      <c r="X178" s="445"/>
      <c r="Y178" s="445"/>
      <c r="Z178" s="445"/>
      <c r="AA178" s="250"/>
      <c r="AB178" s="250"/>
      <c r="AC178" s="145"/>
      <c r="AD178" s="1"/>
      <c r="AE178" s="1"/>
    </row>
    <row r="179" ht="24.75" customHeight="1">
      <c r="A179" s="446"/>
      <c r="B179" s="447" t="s">
        <v>398</v>
      </c>
      <c r="C179" s="447"/>
      <c r="D179" s="538" t="s">
        <v>44</v>
      </c>
      <c r="E179" s="38"/>
      <c r="F179" s="38"/>
      <c r="G179" s="38"/>
      <c r="H179" s="38"/>
      <c r="I179" s="38"/>
      <c r="J179" s="38"/>
      <c r="K179" s="40"/>
      <c r="L179" s="450"/>
      <c r="M179" s="450"/>
      <c r="N179" s="448" t="s">
        <v>399</v>
      </c>
      <c r="O179" s="163"/>
      <c r="P179" s="163"/>
      <c r="Q179" s="163"/>
      <c r="R179" s="163"/>
      <c r="S179" s="163"/>
      <c r="T179" s="164"/>
      <c r="U179" s="404"/>
      <c r="V179" s="451" t="s">
        <v>73</v>
      </c>
      <c r="W179" s="163"/>
      <c r="X179" s="163"/>
      <c r="Y179" s="163"/>
      <c r="Z179" s="164"/>
      <c r="AA179" s="404"/>
      <c r="AB179" s="404"/>
      <c r="AC179" s="452"/>
      <c r="AD179" s="452"/>
      <c r="AE179" s="452"/>
    </row>
    <row r="180" ht="24.75" customHeight="1">
      <c r="A180" s="446"/>
      <c r="B180" s="453" t="s">
        <v>35</v>
      </c>
      <c r="C180" s="453"/>
      <c r="D180" s="454" t="s">
        <v>54</v>
      </c>
      <c r="E180" s="38"/>
      <c r="F180" s="38"/>
      <c r="G180" s="38"/>
      <c r="H180" s="38"/>
      <c r="I180" s="38"/>
      <c r="J180" s="38"/>
      <c r="K180" s="40"/>
      <c r="L180" s="455"/>
      <c r="M180" s="455"/>
      <c r="N180" s="456" t="s">
        <v>400</v>
      </c>
      <c r="O180" s="38"/>
      <c r="P180" s="38"/>
      <c r="Q180" s="38"/>
      <c r="R180" s="38"/>
      <c r="S180" s="38"/>
      <c r="T180" s="40"/>
      <c r="U180" s="404"/>
      <c r="V180" s="600" t="s">
        <v>74</v>
      </c>
      <c r="W180" s="38"/>
      <c r="X180" s="38"/>
      <c r="Y180" s="38"/>
      <c r="Z180" s="40"/>
      <c r="AA180" s="404"/>
      <c r="AB180" s="404"/>
      <c r="AC180" s="540"/>
      <c r="AD180" s="540"/>
      <c r="AE180" s="540"/>
    </row>
    <row r="181" ht="24.75" customHeight="1">
      <c r="A181" s="459"/>
      <c r="B181" s="460"/>
      <c r="C181" s="460"/>
      <c r="D181" s="460"/>
      <c r="E181" s="460"/>
      <c r="F181" s="460"/>
      <c r="G181" s="461"/>
      <c r="H181" s="461"/>
      <c r="I181" s="440"/>
      <c r="J181" s="44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2"/>
      <c r="W181" s="38"/>
      <c r="X181" s="38"/>
      <c r="Y181" s="38"/>
      <c r="Z181" s="40"/>
      <c r="AA181" s="814"/>
      <c r="AB181" s="814"/>
      <c r="AC181" s="814"/>
      <c r="AD181" s="173"/>
      <c r="AE181" s="173"/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0">
    <mergeCell ref="S4:U4"/>
    <mergeCell ref="W4:Y4"/>
    <mergeCell ref="O4:Q4"/>
    <mergeCell ref="O5:Q5"/>
    <mergeCell ref="S5:U5"/>
    <mergeCell ref="W5:Y5"/>
    <mergeCell ref="K6:M6"/>
    <mergeCell ref="O6:Q6"/>
    <mergeCell ref="S6:U6"/>
    <mergeCell ref="W6:Y6"/>
    <mergeCell ref="K7:M7"/>
    <mergeCell ref="O7:Q7"/>
    <mergeCell ref="S7:U7"/>
    <mergeCell ref="W7:Y7"/>
    <mergeCell ref="K9:M9"/>
    <mergeCell ref="O9:Q9"/>
    <mergeCell ref="G10:I13"/>
    <mergeCell ref="O10:Q10"/>
    <mergeCell ref="O11:Q11"/>
    <mergeCell ref="O12:Q12"/>
    <mergeCell ref="O13:Q13"/>
    <mergeCell ref="V180:Z180"/>
    <mergeCell ref="V181:Z181"/>
    <mergeCell ref="K10:M10"/>
    <mergeCell ref="K13:M13"/>
    <mergeCell ref="D179:K179"/>
    <mergeCell ref="N179:T179"/>
    <mergeCell ref="V179:Z179"/>
    <mergeCell ref="D180:K180"/>
    <mergeCell ref="N180:T180"/>
    <mergeCell ref="K8:M8"/>
    <mergeCell ref="O8:Q8"/>
    <mergeCell ref="S8:U8"/>
    <mergeCell ref="W8:Y8"/>
    <mergeCell ref="A1:A3"/>
    <mergeCell ref="B1:B3"/>
    <mergeCell ref="C1:Z3"/>
    <mergeCell ref="C4:F9"/>
    <mergeCell ref="G4:I9"/>
    <mergeCell ref="K4:M4"/>
    <mergeCell ref="K5:M5"/>
    <mergeCell ref="K11:M11"/>
    <mergeCell ref="K12:M12"/>
    <mergeCell ref="K17:L17"/>
    <mergeCell ref="M17:N17"/>
    <mergeCell ref="O17:P17"/>
    <mergeCell ref="Q17:R17"/>
    <mergeCell ref="S12:U12"/>
    <mergeCell ref="S13:U13"/>
    <mergeCell ref="C14:Z14"/>
    <mergeCell ref="C10:F13"/>
    <mergeCell ref="A15:A17"/>
    <mergeCell ref="B15:B17"/>
    <mergeCell ref="C17:D17"/>
    <mergeCell ref="E17:F17"/>
    <mergeCell ref="G17:H17"/>
    <mergeCell ref="I17:J17"/>
    <mergeCell ref="W13:Y13"/>
    <mergeCell ref="S16:X16"/>
    <mergeCell ref="Y16:Z16"/>
    <mergeCell ref="S17:T17"/>
    <mergeCell ref="U17:V17"/>
    <mergeCell ref="W17:X17"/>
    <mergeCell ref="S9:U9"/>
    <mergeCell ref="W9:Y9"/>
    <mergeCell ref="S10:U10"/>
    <mergeCell ref="W10:Y10"/>
    <mergeCell ref="S11:U11"/>
    <mergeCell ref="W11:Y11"/>
    <mergeCell ref="W12:Y12"/>
  </mergeCells>
  <conditionalFormatting sqref="C34:L34 N34:X34">
    <cfRule type="containsText" dxfId="50" priority="1" operator="containsText" text="R23">
      <formula>NOT(ISERROR(SEARCH(("R23"),(C34))))</formula>
    </cfRule>
  </conditionalFormatting>
  <conditionalFormatting sqref="C34:L34 N34:X34">
    <cfRule type="containsText" dxfId="8" priority="2" operator="containsText" text="R21">
      <formula>NOT(ISERROR(SEARCH(("R21"),(C34))))</formula>
    </cfRule>
  </conditionalFormatting>
  <conditionalFormatting sqref="C34:L34 N34:X34">
    <cfRule type="containsText" dxfId="10" priority="3" operator="containsText" text="R16">
      <formula>NOT(ISERROR(SEARCH(("R16"),(C34))))</formula>
    </cfRule>
  </conditionalFormatting>
  <conditionalFormatting sqref="C34:L34 N34:X34">
    <cfRule type="containsText" dxfId="11" priority="4" operator="containsText" text="R15">
      <formula>NOT(ISERROR(SEARCH(("R15"),(C34))))</formula>
    </cfRule>
  </conditionalFormatting>
  <conditionalFormatting sqref="C34:L34 N34:X34">
    <cfRule type="containsText" dxfId="1" priority="5" operator="containsText" text="R12">
      <formula>NOT(ISERROR(SEARCH(("R12"),(C34))))</formula>
    </cfRule>
  </conditionalFormatting>
  <conditionalFormatting sqref="C34:L34 N34:X34">
    <cfRule type="containsText" dxfId="13" priority="6" operator="containsText" text="R11">
      <formula>NOT(ISERROR(SEARCH(("R11"),(C34))))</formula>
    </cfRule>
  </conditionalFormatting>
  <conditionalFormatting sqref="C34:L34 N34:X34">
    <cfRule type="containsText" dxfId="14" priority="7" operator="containsText" text="R10">
      <formula>NOT(ISERROR(SEARCH(("R10"),(C34))))</formula>
    </cfRule>
  </conditionalFormatting>
  <conditionalFormatting sqref="C34:L34 N34:X34">
    <cfRule type="containsText" dxfId="17" priority="8" operator="containsText" text="R7">
      <formula>NOT(ISERROR(SEARCH(("R7"),(C34))))</formula>
    </cfRule>
  </conditionalFormatting>
  <conditionalFormatting sqref="C34:L34 N34:X34">
    <cfRule type="containsText" dxfId="19" priority="9" operator="containsText" text="R5">
      <formula>NOT(ISERROR(SEARCH(("R5"),(C34))))</formula>
    </cfRule>
  </conditionalFormatting>
  <conditionalFormatting sqref="C34:L34 N34:X34">
    <cfRule type="containsText" dxfId="20" priority="10" operator="containsText" text="R4">
      <formula>NOT(ISERROR(SEARCH(("R4"),(C34))))</formula>
    </cfRule>
  </conditionalFormatting>
  <conditionalFormatting sqref="C34:L34 N34:X34">
    <cfRule type="containsText" dxfId="38" priority="11" operator="containsText" text="R3">
      <formula>NOT(ISERROR(SEARCH(("R3"),(C34))))</formula>
    </cfRule>
  </conditionalFormatting>
  <conditionalFormatting sqref="C34:L34">
    <cfRule type="cellIs" dxfId="6" priority="12" stopIfTrue="1" operator="notEqual">
      <formula>0</formula>
    </cfRule>
  </conditionalFormatting>
  <conditionalFormatting sqref="C34:L34">
    <cfRule type="cellIs" dxfId="7" priority="13" stopIfTrue="1" operator="equal">
      <formula>0</formula>
    </cfRule>
  </conditionalFormatting>
  <conditionalFormatting sqref="C34:X34">
    <cfRule type="containsText" dxfId="21" priority="14" operator="containsText" text="R37">
      <formula>NOT(ISERROR(SEARCH(("R37"),(C34))))</formula>
    </cfRule>
  </conditionalFormatting>
  <conditionalFormatting sqref="C34:X34">
    <cfRule type="containsText" dxfId="1" priority="15" operator="containsText" text="R36">
      <formula>NOT(ISERROR(SEARCH(("R36"),(C34))))</formula>
    </cfRule>
  </conditionalFormatting>
  <conditionalFormatting sqref="C34:X34">
    <cfRule type="containsText" dxfId="22" priority="16" operator="containsText" text="R35">
      <formula>NOT(ISERROR(SEARCH(("R35"),(C34))))</formula>
    </cfRule>
  </conditionalFormatting>
  <conditionalFormatting sqref="C34:X34">
    <cfRule type="containsText" dxfId="23" priority="17" operator="containsText" text="R34">
      <formula>NOT(ISERROR(SEARCH(("R34"),(C34))))</formula>
    </cfRule>
  </conditionalFormatting>
  <conditionalFormatting sqref="C34:X34">
    <cfRule type="containsText" dxfId="24" priority="18" operator="containsText" text="R33">
      <formula>NOT(ISERROR(SEARCH(("R33"),(C34))))</formula>
    </cfRule>
  </conditionalFormatting>
  <conditionalFormatting sqref="C34:X34">
    <cfRule type="containsText" dxfId="25" priority="19" operator="containsText" text="R32">
      <formula>NOT(ISERROR(SEARCH(("R32"),(C34))))</formula>
    </cfRule>
  </conditionalFormatting>
  <conditionalFormatting sqref="C34:X34">
    <cfRule type="containsText" dxfId="26" priority="20" operator="containsText" text="R31">
      <formula>NOT(ISERROR(SEARCH(("R31"),(C34))))</formula>
    </cfRule>
  </conditionalFormatting>
  <conditionalFormatting sqref="C34:X34">
    <cfRule type="containsText" dxfId="29" priority="21" operator="containsText" text="R29">
      <formula>NOT(ISERROR(SEARCH(("R29"),(C34))))</formula>
    </cfRule>
  </conditionalFormatting>
  <conditionalFormatting sqref="C34:X34">
    <cfRule type="containsText" dxfId="3" priority="22" operator="containsText" text="R25">
      <formula>NOT(ISERROR(SEARCH(("R25"),(C34))))</formula>
    </cfRule>
  </conditionalFormatting>
  <conditionalFormatting sqref="C34:X34">
    <cfRule type="containsText" dxfId="31" priority="23" operator="containsText" text="R24">
      <formula>NOT(ISERROR(SEARCH(("R24"),(C34))))</formula>
    </cfRule>
  </conditionalFormatting>
  <conditionalFormatting sqref="C55:X55">
    <cfRule type="containsText" dxfId="21" priority="24" operator="containsText" text="R37">
      <formula>NOT(ISERROR(SEARCH(("R37"),(C55))))</formula>
    </cfRule>
  </conditionalFormatting>
  <conditionalFormatting sqref="C55:X55">
    <cfRule type="containsText" dxfId="1" priority="25" operator="containsText" text="R36">
      <formula>NOT(ISERROR(SEARCH(("R36"),(C55))))</formula>
    </cfRule>
  </conditionalFormatting>
  <conditionalFormatting sqref="C55:X55">
    <cfRule type="containsText" dxfId="22" priority="26" operator="containsText" text="R35">
      <formula>NOT(ISERROR(SEARCH(("R35"),(C55))))</formula>
    </cfRule>
  </conditionalFormatting>
  <conditionalFormatting sqref="C55:X55">
    <cfRule type="containsText" dxfId="23" priority="27" operator="containsText" text="R34">
      <formula>NOT(ISERROR(SEARCH(("R34"),(C55))))</formula>
    </cfRule>
  </conditionalFormatting>
  <conditionalFormatting sqref="C55:X55">
    <cfRule type="containsText" dxfId="24" priority="28" operator="containsText" text="R33">
      <formula>NOT(ISERROR(SEARCH(("R33"),(C55))))</formula>
    </cfRule>
  </conditionalFormatting>
  <conditionalFormatting sqref="C55:X55">
    <cfRule type="containsText" dxfId="25" priority="29" operator="containsText" text="R32">
      <formula>NOT(ISERROR(SEARCH(("R32"),(C55))))</formula>
    </cfRule>
  </conditionalFormatting>
  <conditionalFormatting sqref="C55:X55">
    <cfRule type="containsText" dxfId="26" priority="30" operator="containsText" text="R31">
      <formula>NOT(ISERROR(SEARCH(("R31"),(C55))))</formula>
    </cfRule>
  </conditionalFormatting>
  <conditionalFormatting sqref="C55:X55">
    <cfRule type="containsText" dxfId="29" priority="31" operator="containsText" text="R29">
      <formula>NOT(ISERROR(SEARCH(("R29"),(C55))))</formula>
    </cfRule>
  </conditionalFormatting>
  <conditionalFormatting sqref="C55:X55">
    <cfRule type="containsText" dxfId="3" priority="32" operator="containsText" text="R25">
      <formula>NOT(ISERROR(SEARCH(("R25"),(C55))))</formula>
    </cfRule>
  </conditionalFormatting>
  <conditionalFormatting sqref="C55:X55">
    <cfRule type="containsText" dxfId="31" priority="33" operator="containsText" text="R24">
      <formula>NOT(ISERROR(SEARCH(("R24"),(C55))))</formula>
    </cfRule>
  </conditionalFormatting>
  <conditionalFormatting sqref="C55:X55">
    <cfRule type="containsText" dxfId="50" priority="34" operator="containsText" text="R23">
      <formula>NOT(ISERROR(SEARCH(("R23"),(C55))))</formula>
    </cfRule>
  </conditionalFormatting>
  <conditionalFormatting sqref="C55:X55">
    <cfRule type="containsText" dxfId="8" priority="35" operator="containsText" text="R21">
      <formula>NOT(ISERROR(SEARCH(("R21"),(C55))))</formula>
    </cfRule>
  </conditionalFormatting>
  <conditionalFormatting sqref="C55:X55">
    <cfRule type="containsText" dxfId="10" priority="36" operator="containsText" text="R16">
      <formula>NOT(ISERROR(SEARCH(("R16"),(C55))))</formula>
    </cfRule>
  </conditionalFormatting>
  <conditionalFormatting sqref="C55:X55">
    <cfRule type="containsText" dxfId="11" priority="37" operator="containsText" text="R15">
      <formula>NOT(ISERROR(SEARCH(("R15"),(C55))))</formula>
    </cfRule>
  </conditionalFormatting>
  <conditionalFormatting sqref="C55:X55">
    <cfRule type="containsText" dxfId="1" priority="38" operator="containsText" text="R12">
      <formula>NOT(ISERROR(SEARCH(("R12"),(C55))))</formula>
    </cfRule>
  </conditionalFormatting>
  <conditionalFormatting sqref="C55:X55">
    <cfRule type="containsText" dxfId="13" priority="39" operator="containsText" text="R11">
      <formula>NOT(ISERROR(SEARCH(("R11"),(C55))))</formula>
    </cfRule>
  </conditionalFormatting>
  <conditionalFormatting sqref="C55:X55">
    <cfRule type="containsText" dxfId="14" priority="40" operator="containsText" text="R10">
      <formula>NOT(ISERROR(SEARCH(("R10"),(C55))))</formula>
    </cfRule>
  </conditionalFormatting>
  <conditionalFormatting sqref="C55:X55">
    <cfRule type="containsText" dxfId="17" priority="41" operator="containsText" text="R7">
      <formula>NOT(ISERROR(SEARCH(("R7"),(C55))))</formula>
    </cfRule>
  </conditionalFormatting>
  <conditionalFormatting sqref="C55:X55">
    <cfRule type="containsText" dxfId="19" priority="42" operator="containsText" text="R5">
      <formula>NOT(ISERROR(SEARCH(("R5"),(C55))))</formula>
    </cfRule>
  </conditionalFormatting>
  <conditionalFormatting sqref="C55:X55">
    <cfRule type="containsText" dxfId="20" priority="43" operator="containsText" text="R4">
      <formula>NOT(ISERROR(SEARCH(("R4"),(C55))))</formula>
    </cfRule>
  </conditionalFormatting>
  <conditionalFormatting sqref="C55:X55">
    <cfRule type="containsText" dxfId="38" priority="44" operator="containsText" text="R3">
      <formula>NOT(ISERROR(SEARCH(("R3"),(C55))))</formula>
    </cfRule>
  </conditionalFormatting>
  <conditionalFormatting sqref="C55:X55">
    <cfRule type="cellIs" dxfId="6" priority="45" stopIfTrue="1" operator="notEqual">
      <formula>0</formula>
    </cfRule>
  </conditionalFormatting>
  <conditionalFormatting sqref="C55:X55">
    <cfRule type="cellIs" dxfId="7" priority="46" stopIfTrue="1" operator="equal">
      <formula>0</formula>
    </cfRule>
  </conditionalFormatting>
  <conditionalFormatting sqref="C82:X82">
    <cfRule type="containsText" dxfId="21" priority="47" operator="containsText" text="R37">
      <formula>NOT(ISERROR(SEARCH(("R37"),(C82))))</formula>
    </cfRule>
  </conditionalFormatting>
  <conditionalFormatting sqref="C82:X82">
    <cfRule type="containsText" dxfId="1" priority="48" operator="containsText" text="R36">
      <formula>NOT(ISERROR(SEARCH(("R36"),(C82))))</formula>
    </cfRule>
  </conditionalFormatting>
  <conditionalFormatting sqref="C82:X82">
    <cfRule type="containsText" dxfId="22" priority="49" operator="containsText" text="R35">
      <formula>NOT(ISERROR(SEARCH(("R35"),(C82))))</formula>
    </cfRule>
  </conditionalFormatting>
  <conditionalFormatting sqref="C82:X82">
    <cfRule type="containsText" dxfId="23" priority="50" operator="containsText" text="R34">
      <formula>NOT(ISERROR(SEARCH(("R34"),(C82))))</formula>
    </cfRule>
  </conditionalFormatting>
  <conditionalFormatting sqref="C82:X82">
    <cfRule type="containsText" dxfId="24" priority="51" operator="containsText" text="R33">
      <formula>NOT(ISERROR(SEARCH(("R33"),(C82))))</formula>
    </cfRule>
  </conditionalFormatting>
  <conditionalFormatting sqref="C82:X82">
    <cfRule type="containsText" dxfId="25" priority="52" operator="containsText" text="R32">
      <formula>NOT(ISERROR(SEARCH(("R32"),(C82))))</formula>
    </cfRule>
  </conditionalFormatting>
  <conditionalFormatting sqref="C82:X82">
    <cfRule type="containsText" dxfId="26" priority="53" operator="containsText" text="R31">
      <formula>NOT(ISERROR(SEARCH(("R31"),(C82))))</formula>
    </cfRule>
  </conditionalFormatting>
  <conditionalFormatting sqref="C82:X82">
    <cfRule type="containsText" dxfId="29" priority="54" operator="containsText" text="R29">
      <formula>NOT(ISERROR(SEARCH(("R29"),(C82))))</formula>
    </cfRule>
  </conditionalFormatting>
  <conditionalFormatting sqref="C82:X82">
    <cfRule type="containsText" dxfId="3" priority="55" operator="containsText" text="R25">
      <formula>NOT(ISERROR(SEARCH(("R25"),(C82))))</formula>
    </cfRule>
  </conditionalFormatting>
  <conditionalFormatting sqref="C82:X82">
    <cfRule type="containsText" dxfId="31" priority="56" operator="containsText" text="R24">
      <formula>NOT(ISERROR(SEARCH(("R24"),(C82))))</formula>
    </cfRule>
  </conditionalFormatting>
  <conditionalFormatting sqref="C82:X82">
    <cfRule type="containsText" dxfId="50" priority="57" operator="containsText" text="R23">
      <formula>NOT(ISERROR(SEARCH(("R23"),(C82))))</formula>
    </cfRule>
  </conditionalFormatting>
  <conditionalFormatting sqref="C82:X82">
    <cfRule type="containsText" dxfId="8" priority="58" operator="containsText" text="R21">
      <formula>NOT(ISERROR(SEARCH(("R21"),(C82))))</formula>
    </cfRule>
  </conditionalFormatting>
  <conditionalFormatting sqref="C82:X82">
    <cfRule type="containsText" dxfId="10" priority="59" operator="containsText" text="R16">
      <formula>NOT(ISERROR(SEARCH(("R16"),(C82))))</formula>
    </cfRule>
  </conditionalFormatting>
  <conditionalFormatting sqref="C82:X82">
    <cfRule type="containsText" dxfId="11" priority="60" operator="containsText" text="R15">
      <formula>NOT(ISERROR(SEARCH(("R15"),(C82))))</formula>
    </cfRule>
  </conditionalFormatting>
  <conditionalFormatting sqref="C82:X82">
    <cfRule type="containsText" dxfId="1" priority="61" operator="containsText" text="R12">
      <formula>NOT(ISERROR(SEARCH(("R12"),(C82))))</formula>
    </cfRule>
  </conditionalFormatting>
  <conditionalFormatting sqref="C82:X82">
    <cfRule type="containsText" dxfId="13" priority="62" operator="containsText" text="R11">
      <formula>NOT(ISERROR(SEARCH(("R11"),(C82))))</formula>
    </cfRule>
  </conditionalFormatting>
  <conditionalFormatting sqref="C82:X82">
    <cfRule type="containsText" dxfId="14" priority="63" operator="containsText" text="R10">
      <formula>NOT(ISERROR(SEARCH(("R10"),(C82))))</formula>
    </cfRule>
  </conditionalFormatting>
  <conditionalFormatting sqref="C82:X82">
    <cfRule type="containsText" dxfId="17" priority="64" operator="containsText" text="R7">
      <formula>NOT(ISERROR(SEARCH(("R7"),(C82))))</formula>
    </cfRule>
  </conditionalFormatting>
  <conditionalFormatting sqref="C82:X82">
    <cfRule type="containsText" dxfId="19" priority="65" operator="containsText" text="R5">
      <formula>NOT(ISERROR(SEARCH(("R5"),(C82))))</formula>
    </cfRule>
  </conditionalFormatting>
  <conditionalFormatting sqref="C82:X82">
    <cfRule type="containsText" dxfId="20" priority="66" operator="containsText" text="R4">
      <formula>NOT(ISERROR(SEARCH(("R4"),(C82))))</formula>
    </cfRule>
  </conditionalFormatting>
  <conditionalFormatting sqref="C82:X82">
    <cfRule type="containsText" dxfId="38" priority="67" operator="containsText" text="R3">
      <formula>NOT(ISERROR(SEARCH(("R3"),(C82))))</formula>
    </cfRule>
  </conditionalFormatting>
  <conditionalFormatting sqref="G82">
    <cfRule type="cellIs" dxfId="6" priority="68" stopIfTrue="1" operator="notEqual">
      <formula>0</formula>
    </cfRule>
  </conditionalFormatting>
  <conditionalFormatting sqref="G82">
    <cfRule type="cellIs" dxfId="7" priority="69" stopIfTrue="1" operator="equal">
      <formula>0</formula>
    </cfRule>
  </conditionalFormatting>
  <conditionalFormatting sqref="M34">
    <cfRule type="cellIs" dxfId="6" priority="70" stopIfTrue="1" operator="notEqual">
      <formula>0</formula>
    </cfRule>
  </conditionalFormatting>
  <conditionalFormatting sqref="M34">
    <cfRule type="cellIs" dxfId="7" priority="71" stopIfTrue="1" operator="equal">
      <formula>0</formula>
    </cfRule>
  </conditionalFormatting>
  <conditionalFormatting sqref="M34">
    <cfRule type="containsText" dxfId="4" priority="72" operator="containsText" text="R23">
      <formula>NOT(ISERROR(SEARCH(("R23"),(M34))))</formula>
    </cfRule>
  </conditionalFormatting>
  <conditionalFormatting sqref="M34">
    <cfRule type="containsText" dxfId="8" priority="73" operator="containsText" text="R21">
      <formula>NOT(ISERROR(SEARCH(("R21"),(M34))))</formula>
    </cfRule>
  </conditionalFormatting>
  <conditionalFormatting sqref="M34">
    <cfRule type="containsText" dxfId="9" priority="74" operator="containsText" text="R20">
      <formula>NOT(ISERROR(SEARCH(("R20"),(M34))))</formula>
    </cfRule>
  </conditionalFormatting>
  <conditionalFormatting sqref="M34">
    <cfRule type="containsText" dxfId="10" priority="75" operator="containsText" text="R16">
      <formula>NOT(ISERROR(SEARCH(("R16"),(M34))))</formula>
    </cfRule>
  </conditionalFormatting>
  <conditionalFormatting sqref="M34">
    <cfRule type="containsText" dxfId="11" priority="76" operator="containsText" text="R15">
      <formula>NOT(ISERROR(SEARCH(("R15"),(M34))))</formula>
    </cfRule>
  </conditionalFormatting>
  <conditionalFormatting sqref="M34">
    <cfRule type="containsText" dxfId="12" priority="77" operator="containsText" text="R14">
      <formula>NOT(ISERROR(SEARCH(("R14"),(M34))))</formula>
    </cfRule>
  </conditionalFormatting>
  <conditionalFormatting sqref="M34">
    <cfRule type="containsText" dxfId="1" priority="78" operator="containsText" text="R12">
      <formula>NOT(ISERROR(SEARCH(("R12"),(M34))))</formula>
    </cfRule>
  </conditionalFormatting>
  <conditionalFormatting sqref="M34">
    <cfRule type="containsText" dxfId="13" priority="79" operator="containsText" text="R11">
      <formula>NOT(ISERROR(SEARCH(("R11"),(M34))))</formula>
    </cfRule>
  </conditionalFormatting>
  <conditionalFormatting sqref="M34">
    <cfRule type="containsText" dxfId="14" priority="80" operator="containsText" text="R10">
      <formula>NOT(ISERROR(SEARCH(("R10"),(M34))))</formula>
    </cfRule>
  </conditionalFormatting>
  <conditionalFormatting sqref="M34">
    <cfRule type="containsText" dxfId="15" priority="81" operator="containsText" text="R9">
      <formula>NOT(ISERROR(SEARCH(("R9"),(M34))))</formula>
    </cfRule>
  </conditionalFormatting>
  <conditionalFormatting sqref="M34">
    <cfRule type="containsText" dxfId="16" priority="82" operator="containsText" text="R8">
      <formula>NOT(ISERROR(SEARCH(("R8"),(M34))))</formula>
    </cfRule>
  </conditionalFormatting>
  <conditionalFormatting sqref="M34">
    <cfRule type="containsText" dxfId="17" priority="83" operator="containsText" text="R7">
      <formula>NOT(ISERROR(SEARCH(("R7"),(M34))))</formula>
    </cfRule>
  </conditionalFormatting>
  <conditionalFormatting sqref="M34">
    <cfRule type="containsText" dxfId="18" priority="84" operator="containsText" text="R6">
      <formula>NOT(ISERROR(SEARCH(("R6"),(M34))))</formula>
    </cfRule>
  </conditionalFormatting>
  <conditionalFormatting sqref="M34">
    <cfRule type="containsText" dxfId="19" priority="85" operator="containsText" text="R5">
      <formula>NOT(ISERROR(SEARCH(("R5"),(M34))))</formula>
    </cfRule>
  </conditionalFormatting>
  <conditionalFormatting sqref="M34">
    <cfRule type="containsText" dxfId="20" priority="86" operator="containsText" text="R4">
      <formula>NOT(ISERROR(SEARCH(("R4"),(M34))))</formula>
    </cfRule>
  </conditionalFormatting>
  <conditionalFormatting sqref="M34">
    <cfRule type="cellIs" dxfId="6" priority="87" stopIfTrue="1" operator="notEqual">
      <formula>0</formula>
    </cfRule>
  </conditionalFormatting>
  <conditionalFormatting sqref="M34">
    <cfRule type="cellIs" dxfId="7" priority="88" stopIfTrue="1" operator="equal">
      <formula>0</formula>
    </cfRule>
  </conditionalFormatting>
  <conditionalFormatting sqref="M82 U82 W82">
    <cfRule type="cellIs" dxfId="6" priority="89" stopIfTrue="1" operator="notEqual">
      <formula>0</formula>
    </cfRule>
  </conditionalFormatting>
  <conditionalFormatting sqref="M82 U82 W82">
    <cfRule type="cellIs" dxfId="7" priority="90" stopIfTrue="1" operator="equal">
      <formula>0</formula>
    </cfRule>
  </conditionalFormatting>
  <conditionalFormatting sqref="N34:X34">
    <cfRule type="cellIs" dxfId="6" priority="91" stopIfTrue="1" operator="notEqual">
      <formula>0</formula>
    </cfRule>
  </conditionalFormatting>
  <conditionalFormatting sqref="N34:X34">
    <cfRule type="cellIs" dxfId="7" priority="92" stopIfTrue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03.0"/>
    <col customWidth="1" min="3" max="40" width="10.63"/>
  </cols>
  <sheetData>
    <row r="1" ht="27.0" customHeight="1">
      <c r="A1" s="991"/>
      <c r="B1" s="991" t="s">
        <v>0</v>
      </c>
      <c r="C1" s="992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ht="27.0" customHeight="1">
      <c r="A2" s="9"/>
      <c r="B2" s="9"/>
      <c r="C2" s="10"/>
      <c r="P2" s="11"/>
    </row>
    <row r="3" ht="79.5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ht="18.0" customHeight="1">
      <c r="A4" s="993" t="s">
        <v>2</v>
      </c>
      <c r="B4" s="994" t="s">
        <v>3</v>
      </c>
      <c r="C4" s="995" t="s">
        <v>4</v>
      </c>
      <c r="D4" s="5"/>
      <c r="E4" s="6"/>
      <c r="F4" s="21">
        <v>45966.0</v>
      </c>
      <c r="G4" s="5"/>
      <c r="H4" s="6"/>
      <c r="I4" s="996" t="s">
        <v>91</v>
      </c>
      <c r="J4" s="997">
        <v>45905.0</v>
      </c>
      <c r="K4" s="24"/>
      <c r="L4" s="25"/>
      <c r="M4" s="998"/>
      <c r="O4" s="999"/>
      <c r="P4" s="1000"/>
    </row>
    <row r="5" ht="18.0" customHeight="1">
      <c r="A5" s="1001" t="s">
        <v>14</v>
      </c>
      <c r="B5" s="1002" t="s">
        <v>15</v>
      </c>
      <c r="C5" s="1003"/>
      <c r="E5" s="11"/>
      <c r="F5" s="10"/>
      <c r="H5" s="11"/>
      <c r="I5" s="1004" t="s">
        <v>410</v>
      </c>
      <c r="J5" s="1005">
        <v>45912.0</v>
      </c>
      <c r="K5" s="38"/>
      <c r="L5" s="39"/>
      <c r="M5" s="998"/>
      <c r="O5" s="999"/>
      <c r="P5" s="1000"/>
    </row>
    <row r="6" ht="18.0" customHeight="1">
      <c r="A6" s="1001" t="s">
        <v>24</v>
      </c>
      <c r="B6" s="1002" t="s">
        <v>25</v>
      </c>
      <c r="C6" s="1003"/>
      <c r="E6" s="11"/>
      <c r="F6" s="10"/>
      <c r="H6" s="11"/>
      <c r="I6" s="1006"/>
      <c r="J6" s="1007"/>
      <c r="K6" s="38"/>
      <c r="L6" s="39"/>
      <c r="M6" s="998"/>
      <c r="O6" s="999"/>
      <c r="P6" s="1000"/>
    </row>
    <row r="7" ht="18.0" customHeight="1">
      <c r="A7" s="1001" t="s">
        <v>34</v>
      </c>
      <c r="B7" s="1002" t="s">
        <v>35</v>
      </c>
      <c r="C7" s="1003"/>
      <c r="E7" s="11"/>
      <c r="F7" s="10"/>
      <c r="H7" s="11"/>
      <c r="I7" s="1006"/>
      <c r="J7" s="1007"/>
      <c r="K7" s="38"/>
      <c r="L7" s="39"/>
      <c r="M7" s="998"/>
      <c r="O7" s="999"/>
      <c r="P7" s="1000"/>
    </row>
    <row r="8" ht="18.0" customHeight="1">
      <c r="A8" s="1001" t="s">
        <v>44</v>
      </c>
      <c r="B8" s="1002" t="s">
        <v>54</v>
      </c>
      <c r="C8" s="1008"/>
      <c r="D8" s="48"/>
      <c r="E8" s="49"/>
      <c r="F8" s="47"/>
      <c r="G8" s="48"/>
      <c r="H8" s="49"/>
      <c r="I8" s="1009"/>
      <c r="J8" s="1007"/>
      <c r="K8" s="38"/>
      <c r="L8" s="39"/>
      <c r="M8" s="998"/>
      <c r="O8" s="999"/>
      <c r="P8" s="1000"/>
    </row>
    <row r="9" ht="18.0" customHeight="1">
      <c r="A9" s="1001" t="s">
        <v>62</v>
      </c>
      <c r="B9" s="1002" t="s">
        <v>63</v>
      </c>
      <c r="C9" s="995" t="s">
        <v>64</v>
      </c>
      <c r="D9" s="5"/>
      <c r="E9" s="6"/>
      <c r="F9" s="51" t="s">
        <v>65</v>
      </c>
      <c r="G9" s="5"/>
      <c r="H9" s="6"/>
      <c r="I9" s="1009"/>
      <c r="J9" s="1007"/>
      <c r="K9" s="38"/>
      <c r="L9" s="39"/>
      <c r="M9" s="998"/>
      <c r="O9" s="999"/>
      <c r="P9" s="1000"/>
    </row>
    <row r="10" ht="18.0" customHeight="1">
      <c r="A10" s="1001" t="s">
        <v>73</v>
      </c>
      <c r="B10" s="1002" t="s">
        <v>74</v>
      </c>
      <c r="C10" s="1003"/>
      <c r="E10" s="11"/>
      <c r="F10" s="10"/>
      <c r="H10" s="11"/>
      <c r="I10" s="1009"/>
      <c r="J10" s="1010"/>
      <c r="K10" s="38"/>
      <c r="L10" s="39"/>
      <c r="M10" s="998"/>
      <c r="O10" s="999"/>
      <c r="P10" s="1000"/>
    </row>
    <row r="11" ht="18.0" customHeight="1">
      <c r="A11" s="1001" t="s">
        <v>82</v>
      </c>
      <c r="B11" s="1002" t="s">
        <v>400</v>
      </c>
      <c r="C11" s="1003"/>
      <c r="E11" s="11"/>
      <c r="F11" s="10"/>
      <c r="H11" s="11"/>
      <c r="I11" s="1006"/>
      <c r="J11" s="1007"/>
      <c r="K11" s="38"/>
      <c r="L11" s="39"/>
      <c r="M11" s="998"/>
      <c r="O11" s="999"/>
      <c r="P11" s="1000"/>
    </row>
    <row r="12" ht="18.0" customHeight="1">
      <c r="A12" s="1011" t="s">
        <v>90</v>
      </c>
      <c r="B12" s="1012">
        <v>182948.0</v>
      </c>
      <c r="C12" s="1008"/>
      <c r="D12" s="48"/>
      <c r="E12" s="49"/>
      <c r="F12" s="47"/>
      <c r="G12" s="48"/>
      <c r="H12" s="49"/>
      <c r="I12" s="1013"/>
      <c r="J12" s="1014"/>
      <c r="K12" s="56"/>
      <c r="L12" s="57"/>
      <c r="M12" s="998"/>
      <c r="O12" s="999"/>
      <c r="P12" s="1000"/>
    </row>
    <row r="13" ht="27.0" customHeight="1">
      <c r="A13" s="1015"/>
      <c r="B13" s="1016"/>
      <c r="C13" s="1016"/>
      <c r="D13" s="1016"/>
      <c r="E13" s="1016"/>
      <c r="F13" s="1016"/>
      <c r="G13" s="1017"/>
      <c r="H13" s="1017"/>
      <c r="I13" s="1017"/>
      <c r="J13" s="1017"/>
      <c r="K13" s="1017"/>
      <c r="L13" s="1017"/>
      <c r="M13" s="250"/>
      <c r="N13" s="250"/>
    </row>
    <row r="14" ht="27.0" customHeight="1">
      <c r="A14" s="1018" t="s">
        <v>98</v>
      </c>
      <c r="B14" s="1019" t="s">
        <v>99</v>
      </c>
      <c r="C14" s="1020" t="s">
        <v>100</v>
      </c>
      <c r="D14" s="1021"/>
      <c r="E14" s="1021"/>
      <c r="F14" s="1022"/>
      <c r="G14" s="250"/>
      <c r="H14" s="250"/>
      <c r="I14" s="250"/>
      <c r="J14" s="250"/>
      <c r="K14" s="250"/>
      <c r="L14" s="250"/>
      <c r="M14" s="250"/>
      <c r="N14" s="250"/>
    </row>
    <row r="15" ht="27.0" customHeight="1">
      <c r="A15" s="9"/>
      <c r="B15" s="1023"/>
      <c r="C15" s="1024" t="s">
        <v>429</v>
      </c>
      <c r="D15" s="1025"/>
      <c r="E15" s="1025"/>
      <c r="F15" s="1026"/>
      <c r="G15" s="250"/>
      <c r="H15" s="250"/>
      <c r="I15" s="250"/>
      <c r="J15" s="250"/>
      <c r="K15" s="250"/>
      <c r="L15" s="250"/>
      <c r="M15" s="250"/>
      <c r="N15" s="250"/>
    </row>
    <row r="16" ht="27.0" customHeight="1">
      <c r="A16" s="12"/>
      <c r="B16" s="1027"/>
      <c r="C16" s="1028">
        <v>1.0</v>
      </c>
      <c r="D16" s="86"/>
      <c r="E16" s="88" t="s">
        <v>104</v>
      </c>
      <c r="F16" s="89" t="s">
        <v>105</v>
      </c>
      <c r="G16" s="250"/>
      <c r="H16" s="250"/>
      <c r="I16" s="250"/>
      <c r="J16" s="250"/>
      <c r="K16" s="250"/>
      <c r="L16" s="250"/>
      <c r="M16" s="250"/>
      <c r="N16" s="250"/>
    </row>
    <row r="17" ht="39.75" customHeight="1">
      <c r="A17" s="1029" t="s">
        <v>106</v>
      </c>
      <c r="B17" s="1030" t="s">
        <v>107</v>
      </c>
      <c r="C17" s="1031" t="s">
        <v>108</v>
      </c>
      <c r="D17" s="1032" t="s">
        <v>109</v>
      </c>
      <c r="E17" s="1033"/>
      <c r="F17" s="1034"/>
    </row>
    <row r="18" ht="39.75" customHeight="1">
      <c r="A18" s="1035" t="s">
        <v>110</v>
      </c>
      <c r="B18" s="1036" t="s">
        <v>111</v>
      </c>
      <c r="C18" s="1037"/>
      <c r="D18" s="1038"/>
      <c r="E18" s="102"/>
      <c r="F18" s="103"/>
      <c r="G18" s="250"/>
      <c r="H18" s="250"/>
      <c r="I18" s="250"/>
      <c r="J18" s="250"/>
      <c r="K18" s="250"/>
      <c r="L18" s="250"/>
      <c r="M18" s="250"/>
      <c r="N18" s="250"/>
    </row>
    <row r="19" ht="39.75" customHeight="1">
      <c r="A19" s="1039" t="s">
        <v>112</v>
      </c>
      <c r="B19" s="1040" t="s">
        <v>113</v>
      </c>
      <c r="C19" s="1041" t="s">
        <v>91</v>
      </c>
      <c r="D19" s="1042"/>
      <c r="E19" s="109">
        <v>1.0</v>
      </c>
      <c r="F19" s="120"/>
    </row>
    <row r="20" ht="39.75" customHeight="1">
      <c r="A20" s="1039" t="s">
        <v>114</v>
      </c>
      <c r="B20" s="1040" t="s">
        <v>115</v>
      </c>
      <c r="C20" s="1041" t="s">
        <v>91</v>
      </c>
      <c r="D20" s="1042"/>
      <c r="E20" s="109">
        <v>1.0</v>
      </c>
      <c r="F20" s="120"/>
    </row>
    <row r="21" ht="39.75" customHeight="1">
      <c r="A21" s="1039" t="s">
        <v>116</v>
      </c>
      <c r="B21" s="1040" t="s">
        <v>117</v>
      </c>
      <c r="C21" s="1041" t="s">
        <v>91</v>
      </c>
      <c r="D21" s="1042"/>
      <c r="E21" s="109">
        <v>1.0</v>
      </c>
      <c r="F21" s="120"/>
    </row>
    <row r="22" ht="39.75" customHeight="1">
      <c r="A22" s="1039" t="s">
        <v>118</v>
      </c>
      <c r="B22" s="1040" t="s">
        <v>119</v>
      </c>
      <c r="C22" s="1041" t="s">
        <v>91</v>
      </c>
      <c r="D22" s="1042"/>
      <c r="E22" s="109">
        <v>1.0</v>
      </c>
      <c r="F22" s="120"/>
    </row>
    <row r="23" ht="39.75" customHeight="1">
      <c r="A23" s="1039" t="s">
        <v>120</v>
      </c>
      <c r="B23" s="1040" t="s">
        <v>121</v>
      </c>
      <c r="C23" s="1041" t="s">
        <v>410</v>
      </c>
      <c r="D23" s="1042"/>
      <c r="E23" s="109">
        <v>1.0</v>
      </c>
      <c r="F23" s="120"/>
    </row>
    <row r="24" ht="39.75" customHeight="1">
      <c r="A24" s="1039" t="s">
        <v>122</v>
      </c>
      <c r="B24" s="1040" t="s">
        <v>123</v>
      </c>
      <c r="C24" s="1041" t="s">
        <v>410</v>
      </c>
      <c r="D24" s="1042"/>
      <c r="E24" s="109">
        <v>1.0</v>
      </c>
      <c r="F24" s="120"/>
    </row>
    <row r="25" ht="39.75" customHeight="1">
      <c r="A25" s="1039" t="s">
        <v>124</v>
      </c>
      <c r="B25" s="1040" t="s">
        <v>125</v>
      </c>
      <c r="C25" s="1041" t="s">
        <v>410</v>
      </c>
      <c r="D25" s="1042"/>
      <c r="E25" s="109">
        <v>1.0</v>
      </c>
      <c r="F25" s="120"/>
    </row>
    <row r="26" ht="39.75" customHeight="1">
      <c r="A26" s="1043" t="s">
        <v>126</v>
      </c>
      <c r="B26" s="1044" t="s">
        <v>127</v>
      </c>
      <c r="C26" s="1045"/>
      <c r="D26" s="1046"/>
      <c r="E26" s="1046"/>
      <c r="F26" s="1047"/>
      <c r="G26" s="250"/>
      <c r="H26" s="250"/>
      <c r="I26" s="250"/>
      <c r="J26" s="250"/>
      <c r="K26" s="250"/>
      <c r="L26" s="250"/>
      <c r="M26" s="250"/>
      <c r="N26" s="250"/>
    </row>
    <row r="27" ht="39.75" customHeight="1">
      <c r="A27" s="1039" t="s">
        <v>128</v>
      </c>
      <c r="B27" s="1040" t="s">
        <v>129</v>
      </c>
      <c r="C27" s="1041" t="s">
        <v>410</v>
      </c>
      <c r="D27" s="1042"/>
      <c r="E27" s="109">
        <v>1.0</v>
      </c>
      <c r="F27" s="120"/>
    </row>
    <row r="28" ht="39.75" customHeight="1">
      <c r="A28" s="1039" t="s">
        <v>130</v>
      </c>
      <c r="B28" s="1040" t="s">
        <v>430</v>
      </c>
      <c r="C28" s="1041" t="s">
        <v>410</v>
      </c>
      <c r="D28" s="1042"/>
      <c r="E28" s="109">
        <v>1.0</v>
      </c>
      <c r="F28" s="120"/>
      <c r="G28" s="250"/>
      <c r="H28" s="250"/>
      <c r="I28" s="250"/>
      <c r="J28" s="250"/>
      <c r="K28" s="250"/>
      <c r="L28" s="250"/>
      <c r="M28" s="250"/>
      <c r="N28" s="250"/>
    </row>
    <row r="29" ht="39.75" customHeight="1">
      <c r="A29" s="1043" t="s">
        <v>132</v>
      </c>
      <c r="B29" s="1044" t="s">
        <v>133</v>
      </c>
      <c r="C29" s="1045"/>
      <c r="D29" s="1046"/>
      <c r="E29" s="1048"/>
      <c r="F29" s="1047"/>
      <c r="G29" s="250"/>
      <c r="H29" s="250"/>
      <c r="I29" s="250"/>
      <c r="J29" s="250"/>
      <c r="K29" s="250"/>
      <c r="L29" s="250"/>
      <c r="M29" s="250"/>
      <c r="N29" s="250"/>
    </row>
    <row r="30" ht="39.75" customHeight="1">
      <c r="A30" s="1049" t="s">
        <v>431</v>
      </c>
      <c r="B30" s="1050" t="s">
        <v>139</v>
      </c>
      <c r="C30" s="1041"/>
      <c r="D30" s="1051"/>
      <c r="E30" s="109"/>
      <c r="F30" s="120"/>
    </row>
    <row r="31" ht="39.75" customHeight="1">
      <c r="A31" s="1052" t="s">
        <v>134</v>
      </c>
      <c r="B31" s="1040" t="s">
        <v>135</v>
      </c>
      <c r="C31" s="1041"/>
      <c r="D31" s="1042"/>
      <c r="E31" s="109"/>
      <c r="F31" s="120"/>
      <c r="G31" s="250"/>
      <c r="H31" s="250"/>
      <c r="I31" s="250"/>
      <c r="J31" s="250"/>
      <c r="K31" s="250"/>
      <c r="L31" s="250"/>
      <c r="M31" s="250"/>
      <c r="N31" s="250"/>
    </row>
    <row r="32" ht="39.75" customHeight="1">
      <c r="A32" s="1052" t="s">
        <v>432</v>
      </c>
      <c r="B32" s="1040" t="s">
        <v>433</v>
      </c>
      <c r="C32" s="1041"/>
      <c r="D32" s="1051"/>
      <c r="E32" s="109"/>
      <c r="F32" s="120"/>
    </row>
    <row r="33" ht="39.75" customHeight="1">
      <c r="A33" s="1043" t="s">
        <v>146</v>
      </c>
      <c r="B33" s="1044" t="s">
        <v>147</v>
      </c>
      <c r="C33" s="1053"/>
      <c r="D33" s="1046"/>
      <c r="E33" s="1048"/>
      <c r="F33" s="1047"/>
    </row>
    <row r="34" ht="39.75" customHeight="1">
      <c r="A34" s="1049" t="s">
        <v>434</v>
      </c>
      <c r="B34" s="1050" t="s">
        <v>435</v>
      </c>
      <c r="C34" s="1054"/>
      <c r="D34" s="1042"/>
      <c r="E34" s="109"/>
      <c r="F34" s="120"/>
    </row>
    <row r="35" ht="39.75" customHeight="1">
      <c r="A35" s="1039" t="s">
        <v>148</v>
      </c>
      <c r="B35" s="1040" t="s">
        <v>139</v>
      </c>
      <c r="C35" s="1055"/>
      <c r="D35" s="1051"/>
      <c r="E35" s="109"/>
      <c r="F35" s="120"/>
    </row>
    <row r="36" ht="39.75" customHeight="1">
      <c r="A36" s="1056" t="s">
        <v>436</v>
      </c>
      <c r="B36" s="1057" t="s">
        <v>437</v>
      </c>
      <c r="C36" s="1054"/>
      <c r="D36" s="1042"/>
      <c r="E36" s="109"/>
      <c r="F36" s="120"/>
    </row>
    <row r="37" ht="39.75" customHeight="1">
      <c r="A37" s="1039" t="s">
        <v>149</v>
      </c>
      <c r="B37" s="1040" t="s">
        <v>150</v>
      </c>
      <c r="C37" s="1058"/>
      <c r="D37" s="1042"/>
      <c r="E37" s="109"/>
      <c r="F37" s="120"/>
      <c r="G37" s="250"/>
      <c r="H37" s="250"/>
      <c r="I37" s="250"/>
      <c r="J37" s="250"/>
      <c r="K37" s="250"/>
      <c r="L37" s="250"/>
      <c r="M37" s="250"/>
      <c r="N37" s="250"/>
    </row>
    <row r="38" ht="39.75" customHeight="1">
      <c r="A38" s="1056" t="s">
        <v>151</v>
      </c>
      <c r="B38" s="1057" t="s">
        <v>152</v>
      </c>
      <c r="C38" s="1054"/>
      <c r="D38" s="1042"/>
      <c r="E38" s="109"/>
      <c r="F38" s="120"/>
    </row>
    <row r="39" ht="39.75" customHeight="1">
      <c r="A39" s="1039" t="s">
        <v>153</v>
      </c>
      <c r="B39" s="1040" t="s">
        <v>154</v>
      </c>
      <c r="C39" s="1055"/>
      <c r="D39" s="1042"/>
      <c r="E39" s="109"/>
      <c r="F39" s="120"/>
    </row>
    <row r="40" ht="39.75" customHeight="1">
      <c r="A40" s="1039" t="s">
        <v>155</v>
      </c>
      <c r="B40" s="1040" t="s">
        <v>156</v>
      </c>
      <c r="C40" s="1055"/>
      <c r="D40" s="1042"/>
      <c r="E40" s="109"/>
      <c r="F40" s="120"/>
      <c r="G40" s="250"/>
      <c r="H40" s="250"/>
      <c r="I40" s="250"/>
      <c r="J40" s="250"/>
      <c r="K40" s="250"/>
      <c r="L40" s="250"/>
      <c r="M40" s="250"/>
      <c r="N40" s="250"/>
    </row>
    <row r="41" ht="39.75" customHeight="1">
      <c r="A41" s="1043" t="s">
        <v>438</v>
      </c>
      <c r="B41" s="1044" t="s">
        <v>439</v>
      </c>
      <c r="C41" s="1059"/>
      <c r="D41" s="1046"/>
      <c r="E41" s="1048"/>
      <c r="F41" s="1060"/>
      <c r="G41" s="250"/>
      <c r="H41" s="250"/>
      <c r="I41" s="250"/>
      <c r="J41" s="250"/>
      <c r="K41" s="250"/>
      <c r="L41" s="250"/>
      <c r="M41" s="250"/>
      <c r="N41" s="250"/>
    </row>
    <row r="42" ht="39.75" customHeight="1">
      <c r="A42" s="1061" t="s">
        <v>157</v>
      </c>
      <c r="B42" s="1062" t="s">
        <v>158</v>
      </c>
      <c r="C42" s="1058"/>
      <c r="D42" s="1042"/>
      <c r="E42" s="109"/>
      <c r="F42" s="120"/>
      <c r="G42" s="250"/>
      <c r="H42" s="250"/>
      <c r="I42" s="250"/>
      <c r="J42" s="250"/>
      <c r="K42" s="250"/>
      <c r="L42" s="250"/>
      <c r="M42" s="250"/>
      <c r="N42" s="250"/>
    </row>
    <row r="43" ht="39.75" customHeight="1">
      <c r="A43" s="1061" t="s">
        <v>159</v>
      </c>
      <c r="B43" s="1062" t="s">
        <v>160</v>
      </c>
      <c r="C43" s="1055"/>
      <c r="D43" s="109"/>
      <c r="E43" s="109"/>
      <c r="F43" s="120"/>
      <c r="G43" s="250"/>
      <c r="H43" s="250"/>
      <c r="I43" s="250"/>
      <c r="J43" s="250"/>
      <c r="K43" s="250"/>
      <c r="L43" s="250"/>
      <c r="M43" s="250"/>
      <c r="N43" s="250"/>
    </row>
    <row r="44" ht="39.75" customHeight="1">
      <c r="A44" s="1061" t="s">
        <v>161</v>
      </c>
      <c r="B44" s="1062" t="s">
        <v>162</v>
      </c>
      <c r="C44" s="1055"/>
      <c r="D44" s="109"/>
      <c r="E44" s="109"/>
      <c r="F44" s="120"/>
      <c r="G44" s="250"/>
      <c r="H44" s="250"/>
      <c r="I44" s="250"/>
      <c r="J44" s="250"/>
      <c r="K44" s="250"/>
      <c r="L44" s="250"/>
      <c r="M44" s="250"/>
      <c r="N44" s="250"/>
    </row>
    <row r="45" ht="39.75" customHeight="1">
      <c r="A45" s="1061" t="s">
        <v>163</v>
      </c>
      <c r="B45" s="1062" t="s">
        <v>164</v>
      </c>
      <c r="C45" s="1055"/>
      <c r="D45" s="109"/>
      <c r="E45" s="109"/>
      <c r="F45" s="120"/>
      <c r="G45" s="250"/>
      <c r="H45" s="250"/>
      <c r="I45" s="250"/>
      <c r="J45" s="250"/>
      <c r="K45" s="250"/>
      <c r="L45" s="250"/>
      <c r="M45" s="250"/>
      <c r="N45" s="250"/>
    </row>
    <row r="46" ht="39.75" customHeight="1">
      <c r="A46" s="1043" t="s">
        <v>412</v>
      </c>
      <c r="B46" s="1044" t="s">
        <v>440</v>
      </c>
      <c r="C46" s="1053"/>
      <c r="D46" s="1046"/>
      <c r="E46" s="1048"/>
      <c r="F46" s="1047"/>
    </row>
    <row r="47" ht="39.75" customHeight="1">
      <c r="A47" s="1063" t="s">
        <v>165</v>
      </c>
      <c r="B47" s="1064" t="s">
        <v>166</v>
      </c>
      <c r="C47" s="1053"/>
      <c r="D47" s="1046"/>
      <c r="E47" s="1048"/>
      <c r="F47" s="1047"/>
      <c r="G47" s="250"/>
      <c r="H47" s="250"/>
      <c r="I47" s="250"/>
      <c r="J47" s="250"/>
      <c r="K47" s="250"/>
      <c r="L47" s="250"/>
      <c r="M47" s="250"/>
      <c r="N47" s="250"/>
    </row>
    <row r="48" ht="39.75" customHeight="1">
      <c r="A48" s="1065" t="s">
        <v>167</v>
      </c>
      <c r="B48" s="1066" t="s">
        <v>168</v>
      </c>
      <c r="C48" s="1054"/>
      <c r="D48" s="1042"/>
      <c r="E48" s="109"/>
      <c r="F48" s="120"/>
    </row>
    <row r="49" ht="39.75" customHeight="1">
      <c r="A49" s="1061" t="s">
        <v>441</v>
      </c>
      <c r="B49" s="1062" t="s">
        <v>442</v>
      </c>
      <c r="C49" s="1058"/>
      <c r="D49" s="1042"/>
      <c r="E49" s="109"/>
      <c r="F49" s="120"/>
      <c r="G49" s="250"/>
      <c r="H49" s="250"/>
      <c r="I49" s="250"/>
      <c r="J49" s="250"/>
      <c r="K49" s="250"/>
      <c r="L49" s="250"/>
      <c r="M49" s="250"/>
      <c r="N49" s="250"/>
    </row>
    <row r="50" ht="39.75" customHeight="1">
      <c r="A50" s="1061" t="s">
        <v>443</v>
      </c>
      <c r="B50" s="1062" t="s">
        <v>444</v>
      </c>
      <c r="C50" s="138"/>
      <c r="D50" s="1042"/>
      <c r="E50" s="109"/>
      <c r="F50" s="120"/>
      <c r="G50" s="250"/>
      <c r="H50" s="250"/>
      <c r="I50" s="250"/>
      <c r="J50" s="250"/>
      <c r="K50" s="250"/>
      <c r="L50" s="250"/>
      <c r="M50" s="250"/>
      <c r="N50" s="250"/>
    </row>
    <row r="51" ht="39.75" customHeight="1">
      <c r="A51" s="1049" t="s">
        <v>173</v>
      </c>
      <c r="B51" s="1050" t="s">
        <v>174</v>
      </c>
      <c r="C51" s="1054"/>
      <c r="D51" s="1042"/>
      <c r="E51" s="109"/>
      <c r="F51" s="120"/>
    </row>
    <row r="52" ht="39.75" customHeight="1">
      <c r="A52" s="1061" t="s">
        <v>175</v>
      </c>
      <c r="B52" s="1062" t="s">
        <v>176</v>
      </c>
      <c r="C52" s="1055"/>
      <c r="D52" s="109"/>
      <c r="E52" s="109"/>
      <c r="F52" s="120"/>
    </row>
    <row r="53" ht="39.75" customHeight="1">
      <c r="A53" s="1049" t="s">
        <v>179</v>
      </c>
      <c r="B53" s="1050" t="s">
        <v>180</v>
      </c>
      <c r="C53" s="1054"/>
      <c r="D53" s="1042"/>
      <c r="E53" s="109"/>
      <c r="F53" s="120"/>
    </row>
    <row r="54" ht="39.75" customHeight="1">
      <c r="A54" s="1061" t="s">
        <v>445</v>
      </c>
      <c r="B54" s="1040" t="s">
        <v>446</v>
      </c>
      <c r="C54" s="1055"/>
      <c r="D54" s="109"/>
      <c r="E54" s="109"/>
      <c r="F54" s="120"/>
    </row>
    <row r="55" ht="39.75" customHeight="1">
      <c r="A55" s="1061" t="s">
        <v>447</v>
      </c>
      <c r="B55" s="1040" t="s">
        <v>448</v>
      </c>
      <c r="C55" s="1055"/>
      <c r="D55" s="109"/>
      <c r="E55" s="109"/>
      <c r="F55" s="120"/>
    </row>
    <row r="56" ht="39.75" customHeight="1">
      <c r="A56" s="1043" t="s">
        <v>412</v>
      </c>
      <c r="B56" s="1044" t="s">
        <v>440</v>
      </c>
      <c r="C56" s="1059"/>
      <c r="D56" s="1046"/>
      <c r="E56" s="1048"/>
      <c r="F56" s="1060"/>
      <c r="G56" s="250"/>
      <c r="H56" s="250"/>
      <c r="I56" s="250"/>
      <c r="J56" s="250"/>
      <c r="K56" s="250"/>
      <c r="L56" s="250"/>
      <c r="M56" s="250"/>
      <c r="N56" s="250"/>
    </row>
    <row r="57" ht="39.75" customHeight="1">
      <c r="A57" s="1039" t="s">
        <v>191</v>
      </c>
      <c r="B57" s="1040" t="s">
        <v>449</v>
      </c>
      <c r="C57" s="1055"/>
      <c r="D57" s="109"/>
      <c r="E57" s="109"/>
      <c r="F57" s="120"/>
    </row>
    <row r="58" ht="39.75" customHeight="1">
      <c r="A58" s="1043" t="s">
        <v>193</v>
      </c>
      <c r="B58" s="1044" t="s">
        <v>194</v>
      </c>
      <c r="C58" s="1053"/>
      <c r="D58" s="1067"/>
      <c r="E58" s="1048"/>
      <c r="F58" s="1047"/>
      <c r="G58" s="250"/>
      <c r="H58" s="250"/>
      <c r="I58" s="250"/>
      <c r="J58" s="250"/>
      <c r="K58" s="250"/>
      <c r="L58" s="250"/>
      <c r="M58" s="250"/>
      <c r="N58" s="250"/>
    </row>
    <row r="59" ht="39.75" customHeight="1">
      <c r="A59" s="1049" t="s">
        <v>195</v>
      </c>
      <c r="B59" s="1050" t="s">
        <v>196</v>
      </c>
      <c r="C59" s="1054"/>
      <c r="D59" s="1042"/>
      <c r="E59" s="109"/>
      <c r="F59" s="120"/>
    </row>
    <row r="60" ht="39.75" customHeight="1">
      <c r="A60" s="1061" t="s">
        <v>197</v>
      </c>
      <c r="B60" s="1062" t="s">
        <v>139</v>
      </c>
      <c r="C60" s="1055"/>
      <c r="D60" s="1051"/>
      <c r="E60" s="109"/>
      <c r="F60" s="120"/>
      <c r="G60" s="250"/>
      <c r="H60" s="250"/>
      <c r="I60" s="250"/>
      <c r="J60" s="250"/>
      <c r="K60" s="250"/>
      <c r="L60" s="250"/>
      <c r="M60" s="250"/>
      <c r="N60" s="250"/>
    </row>
    <row r="61" ht="39.75" customHeight="1">
      <c r="A61" s="1049" t="s">
        <v>198</v>
      </c>
      <c r="B61" s="1050" t="s">
        <v>199</v>
      </c>
      <c r="C61" s="1054"/>
      <c r="D61" s="1042"/>
      <c r="E61" s="109"/>
      <c r="F61" s="120"/>
      <c r="G61" s="250"/>
      <c r="H61" s="250"/>
      <c r="I61" s="250"/>
      <c r="J61" s="250"/>
      <c r="K61" s="250"/>
      <c r="L61" s="250"/>
      <c r="M61" s="250"/>
      <c r="N61" s="250"/>
    </row>
    <row r="62" ht="39.75" customHeight="1">
      <c r="A62" s="1061" t="s">
        <v>200</v>
      </c>
      <c r="B62" s="1062" t="s">
        <v>176</v>
      </c>
      <c r="C62" s="1055"/>
      <c r="D62" s="109"/>
      <c r="E62" s="109"/>
      <c r="F62" s="120"/>
    </row>
    <row r="63" ht="39.75" customHeight="1">
      <c r="A63" s="1049" t="s">
        <v>201</v>
      </c>
      <c r="B63" s="1057" t="s">
        <v>202</v>
      </c>
      <c r="C63" s="1054"/>
      <c r="D63" s="1042"/>
      <c r="E63" s="109"/>
      <c r="F63" s="120"/>
    </row>
    <row r="64" ht="39.75" customHeight="1">
      <c r="A64" s="1061" t="s">
        <v>203</v>
      </c>
      <c r="B64" s="1062" t="s">
        <v>204</v>
      </c>
      <c r="C64" s="1055"/>
      <c r="D64" s="109"/>
      <c r="E64" s="109"/>
      <c r="F64" s="120"/>
    </row>
    <row r="65" ht="39.75" customHeight="1">
      <c r="A65" s="1043" t="s">
        <v>205</v>
      </c>
      <c r="B65" s="1044" t="s">
        <v>206</v>
      </c>
      <c r="C65" s="1053"/>
      <c r="D65" s="1046"/>
      <c r="E65" s="1048"/>
      <c r="F65" s="1047"/>
      <c r="G65" s="250"/>
      <c r="H65" s="250"/>
      <c r="I65" s="250"/>
      <c r="J65" s="250"/>
      <c r="K65" s="250"/>
      <c r="L65" s="250"/>
      <c r="M65" s="250"/>
      <c r="N65" s="250"/>
    </row>
    <row r="66" ht="39.75" customHeight="1">
      <c r="A66" s="1039" t="s">
        <v>450</v>
      </c>
      <c r="B66" s="1040" t="s">
        <v>451</v>
      </c>
      <c r="C66" s="1055"/>
      <c r="D66" s="109"/>
      <c r="E66" s="109"/>
      <c r="F66" s="120"/>
      <c r="G66" s="250"/>
      <c r="H66" s="250"/>
      <c r="I66" s="250"/>
      <c r="J66" s="250"/>
      <c r="K66" s="250"/>
      <c r="L66" s="250"/>
      <c r="M66" s="250"/>
      <c r="N66" s="250"/>
    </row>
    <row r="67" ht="39.75" customHeight="1">
      <c r="A67" s="1043" t="s">
        <v>209</v>
      </c>
      <c r="B67" s="1044" t="s">
        <v>210</v>
      </c>
      <c r="C67" s="1053"/>
      <c r="D67" s="1067"/>
      <c r="E67" s="1048"/>
      <c r="F67" s="1047"/>
    </row>
    <row r="68" ht="39.75" customHeight="1">
      <c r="A68" s="1039" t="s">
        <v>211</v>
      </c>
      <c r="B68" s="1040" t="s">
        <v>212</v>
      </c>
      <c r="C68" s="1058"/>
      <c r="D68" s="1068"/>
      <c r="E68" s="109"/>
      <c r="F68" s="120"/>
    </row>
    <row r="69" ht="39.75" customHeight="1">
      <c r="A69" s="1043" t="s">
        <v>219</v>
      </c>
      <c r="B69" s="1044" t="s">
        <v>220</v>
      </c>
      <c r="C69" s="1053"/>
      <c r="D69" s="1069"/>
      <c r="E69" s="1048"/>
      <c r="F69" s="1047"/>
      <c r="G69" s="250"/>
      <c r="H69" s="250"/>
      <c r="I69" s="250"/>
      <c r="J69" s="250"/>
      <c r="K69" s="250"/>
      <c r="L69" s="250"/>
      <c r="M69" s="250"/>
      <c r="N69" s="250"/>
    </row>
    <row r="70" ht="39.75" customHeight="1">
      <c r="A70" s="1049" t="s">
        <v>452</v>
      </c>
      <c r="B70" s="1050" t="s">
        <v>453</v>
      </c>
      <c r="C70" s="1054"/>
      <c r="D70" s="1070"/>
      <c r="E70" s="109"/>
      <c r="F70" s="120"/>
    </row>
    <row r="71" ht="39.75" customHeight="1">
      <c r="A71" s="1039" t="s">
        <v>221</v>
      </c>
      <c r="B71" s="1040" t="s">
        <v>222</v>
      </c>
      <c r="C71" s="1055"/>
      <c r="D71" s="1070"/>
      <c r="E71" s="109"/>
      <c r="F71" s="120"/>
    </row>
    <row r="72" ht="39.75" customHeight="1">
      <c r="A72" s="1039" t="s">
        <v>454</v>
      </c>
      <c r="B72" s="1040" t="s">
        <v>455</v>
      </c>
      <c r="C72" s="138"/>
      <c r="D72" s="1070"/>
      <c r="E72" s="109"/>
      <c r="F72" s="120"/>
      <c r="G72" s="250"/>
      <c r="H72" s="250"/>
      <c r="I72" s="250"/>
      <c r="J72" s="250"/>
      <c r="K72" s="250"/>
      <c r="L72" s="250"/>
      <c r="M72" s="250"/>
      <c r="N72" s="250"/>
    </row>
    <row r="73" ht="39.75" customHeight="1">
      <c r="A73" s="1056" t="s">
        <v>223</v>
      </c>
      <c r="B73" s="1057" t="s">
        <v>224</v>
      </c>
      <c r="C73" s="1054"/>
      <c r="D73" s="1070"/>
      <c r="E73" s="109"/>
      <c r="F73" s="120"/>
    </row>
    <row r="74" ht="39.75" customHeight="1">
      <c r="A74" s="1039" t="s">
        <v>225</v>
      </c>
      <c r="B74" s="1040" t="s">
        <v>456</v>
      </c>
      <c r="C74" s="138"/>
      <c r="D74" s="1071"/>
      <c r="E74" s="109"/>
      <c r="F74" s="120"/>
    </row>
    <row r="75" ht="39.75" customHeight="1">
      <c r="A75" s="1039" t="s">
        <v>457</v>
      </c>
      <c r="B75" s="1040" t="s">
        <v>234</v>
      </c>
      <c r="C75" s="1058"/>
      <c r="D75" s="1068"/>
      <c r="E75" s="109"/>
      <c r="F75" s="120"/>
      <c r="G75" s="250"/>
      <c r="H75" s="250"/>
      <c r="I75" s="250"/>
      <c r="J75" s="250"/>
      <c r="K75" s="250"/>
      <c r="L75" s="250"/>
      <c r="M75" s="250"/>
      <c r="N75" s="250"/>
    </row>
    <row r="76" ht="39.75" customHeight="1">
      <c r="A76" s="1039" t="s">
        <v>227</v>
      </c>
      <c r="B76" s="1040" t="s">
        <v>228</v>
      </c>
      <c r="C76" s="138"/>
      <c r="D76" s="1051"/>
      <c r="E76" s="109"/>
      <c r="F76" s="120"/>
      <c r="G76" s="250"/>
      <c r="H76" s="250"/>
      <c r="I76" s="250"/>
      <c r="J76" s="250"/>
      <c r="K76" s="250"/>
      <c r="L76" s="250"/>
      <c r="M76" s="250"/>
      <c r="N76" s="250"/>
    </row>
    <row r="77" ht="39.75" customHeight="1">
      <c r="A77" s="1039" t="s">
        <v>229</v>
      </c>
      <c r="B77" s="1040" t="s">
        <v>230</v>
      </c>
      <c r="C77" s="138"/>
      <c r="D77" s="1070"/>
      <c r="E77" s="109"/>
      <c r="F77" s="120"/>
    </row>
    <row r="78" ht="39.75" customHeight="1">
      <c r="A78" s="1039" t="s">
        <v>231</v>
      </c>
      <c r="B78" s="1040" t="s">
        <v>458</v>
      </c>
      <c r="C78" s="1058"/>
      <c r="D78" s="1068"/>
      <c r="E78" s="109"/>
      <c r="F78" s="120"/>
      <c r="G78" s="250"/>
      <c r="H78" s="250"/>
      <c r="I78" s="250"/>
      <c r="J78" s="250"/>
      <c r="K78" s="250"/>
      <c r="L78" s="250"/>
      <c r="M78" s="250"/>
      <c r="N78" s="250"/>
    </row>
    <row r="79" ht="39.75" customHeight="1">
      <c r="A79" s="1043" t="s">
        <v>235</v>
      </c>
      <c r="B79" s="1044" t="s">
        <v>236</v>
      </c>
      <c r="C79" s="1053"/>
      <c r="D79" s="1072"/>
      <c r="E79" s="1048"/>
      <c r="F79" s="1047"/>
    </row>
    <row r="80" ht="39.75" customHeight="1">
      <c r="A80" s="1049" t="s">
        <v>237</v>
      </c>
      <c r="B80" s="1050" t="s">
        <v>238</v>
      </c>
      <c r="C80" s="1054"/>
      <c r="D80" s="1073"/>
      <c r="E80" s="109"/>
      <c r="F80" s="120"/>
    </row>
    <row r="81" ht="39.75" customHeight="1">
      <c r="A81" s="1039" t="s">
        <v>239</v>
      </c>
      <c r="B81" s="1040" t="s">
        <v>139</v>
      </c>
      <c r="C81" s="1058"/>
      <c r="D81" s="1068"/>
      <c r="E81" s="109"/>
      <c r="F81" s="120"/>
      <c r="G81" s="250"/>
      <c r="H81" s="250"/>
      <c r="I81" s="250"/>
      <c r="J81" s="250"/>
      <c r="K81" s="250"/>
      <c r="L81" s="250"/>
      <c r="M81" s="250"/>
      <c r="N81" s="250"/>
    </row>
    <row r="82" ht="39.75" customHeight="1">
      <c r="A82" s="1049" t="s">
        <v>240</v>
      </c>
      <c r="B82" s="1050" t="s">
        <v>241</v>
      </c>
      <c r="C82" s="1054"/>
      <c r="D82" s="1074"/>
      <c r="E82" s="109"/>
      <c r="F82" s="120"/>
    </row>
    <row r="83" ht="39.75" customHeight="1">
      <c r="A83" s="1061" t="s">
        <v>242</v>
      </c>
      <c r="B83" s="1062" t="s">
        <v>243</v>
      </c>
      <c r="C83" s="1058"/>
      <c r="D83" s="1068"/>
      <c r="E83" s="109"/>
      <c r="F83" s="120"/>
    </row>
    <row r="84" ht="39.75" customHeight="1">
      <c r="A84" s="1061" t="s">
        <v>459</v>
      </c>
      <c r="B84" s="1062" t="s">
        <v>460</v>
      </c>
      <c r="C84" s="138"/>
      <c r="D84" s="1074"/>
      <c r="E84" s="109"/>
      <c r="F84" s="120"/>
    </row>
    <row r="85" ht="39.75" customHeight="1">
      <c r="A85" s="1061" t="s">
        <v>244</v>
      </c>
      <c r="B85" s="1062" t="s">
        <v>245</v>
      </c>
      <c r="C85" s="1058"/>
      <c r="D85" s="1068"/>
      <c r="E85" s="109"/>
      <c r="F85" s="120"/>
    </row>
    <row r="86" ht="39.75" customHeight="1">
      <c r="A86" s="1049" t="s">
        <v>246</v>
      </c>
      <c r="B86" s="1050" t="s">
        <v>247</v>
      </c>
      <c r="C86" s="1054"/>
      <c r="D86" s="1074"/>
      <c r="E86" s="109"/>
      <c r="F86" s="120"/>
    </row>
    <row r="87" ht="39.75" customHeight="1">
      <c r="A87" s="1061" t="s">
        <v>248</v>
      </c>
      <c r="B87" s="1062" t="s">
        <v>460</v>
      </c>
      <c r="C87" s="1058"/>
      <c r="D87" s="1068"/>
      <c r="E87" s="109"/>
      <c r="F87" s="120"/>
    </row>
    <row r="88" ht="39.75" customHeight="1">
      <c r="A88" s="1049" t="s">
        <v>252</v>
      </c>
      <c r="B88" s="1057" t="s">
        <v>253</v>
      </c>
      <c r="C88" s="1054"/>
      <c r="D88" s="1074"/>
      <c r="E88" s="109"/>
      <c r="F88" s="120"/>
      <c r="G88" s="250"/>
      <c r="H88" s="250"/>
      <c r="I88" s="250"/>
      <c r="J88" s="250"/>
      <c r="K88" s="250"/>
      <c r="L88" s="250"/>
      <c r="M88" s="250"/>
      <c r="N88" s="250"/>
    </row>
    <row r="89" ht="39.75" customHeight="1">
      <c r="A89" s="1039" t="s">
        <v>254</v>
      </c>
      <c r="B89" s="1040" t="s">
        <v>255</v>
      </c>
      <c r="C89" s="1055"/>
      <c r="D89" s="1074"/>
      <c r="E89" s="109"/>
      <c r="F89" s="120"/>
      <c r="G89" s="250"/>
      <c r="H89" s="250"/>
      <c r="I89" s="250"/>
      <c r="J89" s="250"/>
      <c r="K89" s="250"/>
      <c r="L89" s="250"/>
      <c r="M89" s="250"/>
      <c r="N89" s="250"/>
    </row>
    <row r="90" ht="39.75" customHeight="1">
      <c r="A90" s="1039" t="s">
        <v>256</v>
      </c>
      <c r="B90" s="1040" t="s">
        <v>257</v>
      </c>
      <c r="C90" s="1055"/>
      <c r="D90" s="1071"/>
      <c r="E90" s="109"/>
      <c r="F90" s="120"/>
    </row>
    <row r="91" ht="39.75" customHeight="1">
      <c r="A91" s="1039" t="s">
        <v>258</v>
      </c>
      <c r="B91" s="1040" t="s">
        <v>259</v>
      </c>
      <c r="C91" s="1055"/>
      <c r="D91" s="1070"/>
      <c r="E91" s="109"/>
      <c r="F91" s="120"/>
      <c r="G91" s="250"/>
      <c r="H91" s="250"/>
      <c r="I91" s="250"/>
      <c r="J91" s="250"/>
      <c r="K91" s="250"/>
      <c r="L91" s="250"/>
      <c r="M91" s="250"/>
      <c r="N91" s="250"/>
    </row>
    <row r="92" ht="39.75" customHeight="1">
      <c r="A92" s="1039" t="s">
        <v>260</v>
      </c>
      <c r="B92" s="1040" t="s">
        <v>261</v>
      </c>
      <c r="C92" s="1055"/>
      <c r="D92" s="1070"/>
      <c r="E92" s="109"/>
      <c r="F92" s="120"/>
      <c r="G92" s="250"/>
      <c r="H92" s="250"/>
      <c r="I92" s="250"/>
      <c r="J92" s="250"/>
      <c r="K92" s="250"/>
      <c r="L92" s="250"/>
      <c r="M92" s="250"/>
      <c r="N92" s="250"/>
    </row>
    <row r="93" ht="39.75" customHeight="1">
      <c r="A93" s="1049" t="s">
        <v>262</v>
      </c>
      <c r="B93" s="1050" t="s">
        <v>263</v>
      </c>
      <c r="C93" s="1054"/>
      <c r="D93" s="1070"/>
      <c r="E93" s="109"/>
      <c r="F93" s="120"/>
    </row>
    <row r="94" ht="39.75" customHeight="1">
      <c r="A94" s="1061" t="s">
        <v>264</v>
      </c>
      <c r="B94" s="1062" t="s">
        <v>461</v>
      </c>
      <c r="C94" s="1058"/>
      <c r="D94" s="1070"/>
      <c r="E94" s="109"/>
      <c r="F94" s="120"/>
    </row>
    <row r="95" ht="39.75" customHeight="1">
      <c r="A95" s="1075" t="s">
        <v>266</v>
      </c>
      <c r="B95" s="1044" t="s">
        <v>267</v>
      </c>
      <c r="C95" s="1053"/>
      <c r="D95" s="1069"/>
      <c r="E95" s="1048"/>
      <c r="F95" s="1047"/>
    </row>
    <row r="96" ht="39.75" customHeight="1">
      <c r="A96" s="1039" t="s">
        <v>268</v>
      </c>
      <c r="B96" s="1040" t="s">
        <v>269</v>
      </c>
      <c r="C96" s="1058"/>
      <c r="D96" s="1068"/>
      <c r="E96" s="109"/>
      <c r="F96" s="120"/>
    </row>
    <row r="97" ht="39.75" customHeight="1">
      <c r="A97" s="1039" t="s">
        <v>270</v>
      </c>
      <c r="B97" s="1040" t="s">
        <v>271</v>
      </c>
      <c r="C97" s="1058"/>
      <c r="D97" s="1068"/>
      <c r="E97" s="109"/>
      <c r="F97" s="120"/>
    </row>
    <row r="98" ht="39.75" customHeight="1">
      <c r="A98" s="1075" t="s">
        <v>272</v>
      </c>
      <c r="B98" s="1044" t="s">
        <v>273</v>
      </c>
      <c r="C98" s="1053"/>
      <c r="D98" s="1072"/>
      <c r="E98" s="1048"/>
      <c r="F98" s="1047"/>
      <c r="G98" s="250"/>
      <c r="H98" s="250"/>
      <c r="I98" s="250"/>
      <c r="J98" s="250"/>
      <c r="K98" s="250"/>
      <c r="L98" s="250"/>
      <c r="M98" s="250"/>
      <c r="N98" s="250"/>
    </row>
    <row r="99" ht="39.75" customHeight="1">
      <c r="A99" s="1039" t="s">
        <v>274</v>
      </c>
      <c r="B99" s="1040" t="s">
        <v>275</v>
      </c>
      <c r="C99" s="1076"/>
      <c r="D99" s="1073"/>
      <c r="E99" s="109"/>
      <c r="F99" s="120"/>
    </row>
    <row r="100" ht="39.75" customHeight="1">
      <c r="A100" s="1039" t="s">
        <v>462</v>
      </c>
      <c r="B100" s="1040" t="s">
        <v>463</v>
      </c>
      <c r="C100" s="138"/>
      <c r="D100" s="1070"/>
      <c r="E100" s="109"/>
      <c r="F100" s="120"/>
    </row>
    <row r="101" ht="39.75" customHeight="1">
      <c r="A101" s="1039" t="s">
        <v>464</v>
      </c>
      <c r="B101" s="1040" t="s">
        <v>465</v>
      </c>
      <c r="C101" s="138"/>
      <c r="D101" s="1070"/>
      <c r="E101" s="109"/>
      <c r="F101" s="120"/>
      <c r="G101" s="250"/>
      <c r="H101" s="250"/>
      <c r="I101" s="250"/>
      <c r="J101" s="250"/>
      <c r="K101" s="250"/>
      <c r="L101" s="250"/>
      <c r="M101" s="250"/>
      <c r="N101" s="250"/>
    </row>
    <row r="102" ht="39.75" customHeight="1">
      <c r="A102" s="1039" t="s">
        <v>276</v>
      </c>
      <c r="B102" s="1040" t="s">
        <v>277</v>
      </c>
      <c r="C102" s="138"/>
      <c r="D102" s="1070"/>
      <c r="E102" s="109"/>
      <c r="F102" s="120"/>
      <c r="G102" s="250"/>
      <c r="H102" s="250"/>
      <c r="I102" s="250"/>
      <c r="J102" s="250"/>
      <c r="K102" s="250"/>
      <c r="L102" s="250"/>
      <c r="M102" s="250"/>
      <c r="N102" s="250"/>
    </row>
    <row r="103" ht="39.75" customHeight="1">
      <c r="A103" s="1043" t="s">
        <v>278</v>
      </c>
      <c r="B103" s="1044" t="s">
        <v>279</v>
      </c>
      <c r="C103" s="1053"/>
      <c r="D103" s="1069"/>
      <c r="E103" s="1048"/>
      <c r="F103" s="1047"/>
      <c r="G103" s="250"/>
      <c r="H103" s="250"/>
      <c r="I103" s="250"/>
      <c r="J103" s="250"/>
      <c r="K103" s="250"/>
      <c r="L103" s="250"/>
      <c r="M103" s="250"/>
      <c r="N103" s="250"/>
    </row>
    <row r="104" ht="39.75" customHeight="1">
      <c r="A104" s="1049" t="s">
        <v>280</v>
      </c>
      <c r="B104" s="1050" t="s">
        <v>281</v>
      </c>
      <c r="C104" s="1054"/>
      <c r="D104" s="1071"/>
      <c r="E104" s="109"/>
      <c r="F104" s="120"/>
    </row>
    <row r="105" ht="39.75" customHeight="1">
      <c r="A105" s="1061" t="s">
        <v>466</v>
      </c>
      <c r="B105" s="1062" t="s">
        <v>467</v>
      </c>
      <c r="C105" s="1055"/>
      <c r="D105" s="1070"/>
      <c r="E105" s="109"/>
      <c r="F105" s="120"/>
    </row>
    <row r="106" ht="39.75" customHeight="1">
      <c r="A106" s="1061" t="s">
        <v>284</v>
      </c>
      <c r="B106" s="1062" t="s">
        <v>468</v>
      </c>
      <c r="C106" s="1055"/>
      <c r="D106" s="1070"/>
      <c r="E106" s="109"/>
      <c r="F106" s="120"/>
      <c r="G106" s="250"/>
      <c r="H106" s="250"/>
      <c r="I106" s="250"/>
      <c r="J106" s="250"/>
      <c r="K106" s="250"/>
      <c r="L106" s="250"/>
      <c r="M106" s="250"/>
      <c r="N106" s="250"/>
    </row>
    <row r="107" ht="39.75" customHeight="1">
      <c r="A107" s="1049" t="s">
        <v>286</v>
      </c>
      <c r="B107" s="1050" t="s">
        <v>287</v>
      </c>
      <c r="C107" s="1054"/>
      <c r="D107" s="1071"/>
      <c r="E107" s="109"/>
      <c r="F107" s="120"/>
    </row>
    <row r="108" ht="39.75" customHeight="1">
      <c r="A108" s="1039" t="s">
        <v>288</v>
      </c>
      <c r="B108" s="1040" t="s">
        <v>289</v>
      </c>
      <c r="C108" s="138"/>
      <c r="D108" s="1070"/>
      <c r="E108" s="109"/>
      <c r="F108" s="120"/>
      <c r="G108" s="250"/>
      <c r="H108" s="250"/>
      <c r="I108" s="250"/>
      <c r="J108" s="250"/>
      <c r="K108" s="250"/>
      <c r="L108" s="250"/>
      <c r="M108" s="250"/>
      <c r="N108" s="250"/>
    </row>
    <row r="109" ht="39.75" customHeight="1">
      <c r="A109" s="1039" t="s">
        <v>290</v>
      </c>
      <c r="B109" s="1040" t="s">
        <v>291</v>
      </c>
      <c r="C109" s="138"/>
      <c r="D109" s="1070"/>
      <c r="E109" s="109"/>
      <c r="F109" s="120"/>
    </row>
    <row r="110" ht="39.75" customHeight="1">
      <c r="A110" s="1039" t="s">
        <v>469</v>
      </c>
      <c r="B110" s="1040" t="s">
        <v>293</v>
      </c>
      <c r="C110" s="138"/>
      <c r="D110" s="1071"/>
      <c r="E110" s="109"/>
      <c r="F110" s="120"/>
    </row>
    <row r="111" ht="39.75" customHeight="1">
      <c r="A111" s="1043" t="s">
        <v>294</v>
      </c>
      <c r="B111" s="1077" t="s">
        <v>295</v>
      </c>
      <c r="C111" s="1078"/>
      <c r="D111" s="1069"/>
      <c r="E111" s="1048"/>
      <c r="F111" s="1047"/>
      <c r="G111" s="250"/>
      <c r="H111" s="250"/>
      <c r="I111" s="250"/>
      <c r="J111" s="250"/>
      <c r="K111" s="250"/>
      <c r="L111" s="250"/>
      <c r="M111" s="250"/>
      <c r="N111" s="250"/>
    </row>
    <row r="112" ht="39.75" customHeight="1">
      <c r="A112" s="1052" t="s">
        <v>296</v>
      </c>
      <c r="B112" s="1040" t="s">
        <v>470</v>
      </c>
      <c r="C112" s="1079"/>
      <c r="D112" s="1080"/>
      <c r="E112" s="109"/>
      <c r="F112" s="120"/>
      <c r="G112" s="250"/>
      <c r="H112" s="250"/>
      <c r="I112" s="250"/>
      <c r="J112" s="250"/>
      <c r="K112" s="250"/>
      <c r="L112" s="250"/>
      <c r="M112" s="250"/>
      <c r="N112" s="250"/>
    </row>
    <row r="113" ht="39.75" customHeight="1">
      <c r="A113" s="1052" t="s">
        <v>298</v>
      </c>
      <c r="B113" s="1040" t="s">
        <v>299</v>
      </c>
      <c r="C113" s="1058"/>
      <c r="D113" s="1070"/>
      <c r="E113" s="109"/>
      <c r="F113" s="120"/>
      <c r="G113" s="250"/>
      <c r="H113" s="250"/>
      <c r="I113" s="250"/>
      <c r="J113" s="250"/>
      <c r="K113" s="250"/>
      <c r="L113" s="250"/>
      <c r="M113" s="250"/>
      <c r="N113" s="250"/>
    </row>
    <row r="114" ht="39.75" customHeight="1">
      <c r="A114" s="1052" t="s">
        <v>302</v>
      </c>
      <c r="B114" s="1040" t="s">
        <v>303</v>
      </c>
      <c r="C114" s="138"/>
      <c r="D114" s="1070"/>
      <c r="E114" s="109"/>
      <c r="F114" s="120"/>
    </row>
    <row r="115" ht="39.75" customHeight="1">
      <c r="A115" s="1052" t="s">
        <v>304</v>
      </c>
      <c r="B115" s="1040" t="s">
        <v>305</v>
      </c>
      <c r="C115" s="1058"/>
      <c r="D115" s="1068"/>
      <c r="E115" s="109"/>
      <c r="F115" s="120"/>
      <c r="G115" s="250"/>
      <c r="H115" s="250"/>
      <c r="I115" s="250"/>
      <c r="J115" s="250"/>
      <c r="K115" s="250"/>
      <c r="L115" s="250"/>
      <c r="M115" s="250"/>
      <c r="N115" s="250"/>
    </row>
    <row r="116" ht="39.75" customHeight="1">
      <c r="A116" s="1052" t="s">
        <v>306</v>
      </c>
      <c r="B116" s="1040" t="s">
        <v>307</v>
      </c>
      <c r="C116" s="1058"/>
      <c r="D116" s="1070"/>
      <c r="E116" s="109"/>
      <c r="F116" s="120"/>
    </row>
    <row r="117" ht="39.75" customHeight="1">
      <c r="A117" s="1052" t="s">
        <v>308</v>
      </c>
      <c r="B117" s="1040" t="s">
        <v>309</v>
      </c>
      <c r="C117" s="1055"/>
      <c r="D117" s="1042"/>
      <c r="E117" s="109"/>
      <c r="F117" s="120"/>
    </row>
    <row r="118" ht="39.75" customHeight="1">
      <c r="A118" s="1052" t="s">
        <v>310</v>
      </c>
      <c r="B118" s="1040" t="s">
        <v>311</v>
      </c>
      <c r="C118" s="138"/>
      <c r="D118" s="1042"/>
      <c r="E118" s="109"/>
      <c r="F118" s="120"/>
    </row>
    <row r="119" ht="39.75" customHeight="1">
      <c r="A119" s="1052" t="s">
        <v>471</v>
      </c>
      <c r="B119" s="1040" t="s">
        <v>472</v>
      </c>
      <c r="C119" s="138"/>
      <c r="D119" s="1081"/>
      <c r="E119" s="109"/>
      <c r="F119" s="120"/>
    </row>
    <row r="120" ht="39.75" customHeight="1">
      <c r="A120" s="1052" t="s">
        <v>318</v>
      </c>
      <c r="B120" s="1082" t="s">
        <v>473</v>
      </c>
      <c r="C120" s="1055"/>
      <c r="D120" s="1081"/>
      <c r="E120" s="109"/>
      <c r="F120" s="120"/>
    </row>
    <row r="121" ht="39.75" customHeight="1">
      <c r="A121" s="1043" t="s">
        <v>320</v>
      </c>
      <c r="B121" s="1044" t="s">
        <v>321</v>
      </c>
      <c r="C121" s="1053"/>
      <c r="D121" s="1083"/>
      <c r="E121" s="1048"/>
      <c r="F121" s="1047"/>
    </row>
    <row r="122" ht="39.75" customHeight="1">
      <c r="A122" s="1043" t="s">
        <v>322</v>
      </c>
      <c r="B122" s="1077" t="s">
        <v>323</v>
      </c>
      <c r="C122" s="1078"/>
      <c r="D122" s="1083"/>
      <c r="E122" s="1048"/>
      <c r="F122" s="1047"/>
    </row>
    <row r="123" ht="39.75" customHeight="1">
      <c r="A123" s="1061" t="s">
        <v>324</v>
      </c>
      <c r="B123" s="1084" t="s">
        <v>325</v>
      </c>
      <c r="C123" s="1055"/>
      <c r="D123" s="1081"/>
      <c r="E123" s="109"/>
      <c r="F123" s="120"/>
    </row>
    <row r="124" ht="39.75" customHeight="1">
      <c r="A124" s="1085" t="s">
        <v>326</v>
      </c>
      <c r="B124" s="1086" t="s">
        <v>327</v>
      </c>
      <c r="C124" s="1055"/>
      <c r="D124" s="1081"/>
      <c r="E124" s="109"/>
      <c r="F124" s="120"/>
    </row>
    <row r="125" ht="39.75" customHeight="1">
      <c r="A125" s="1061" t="s">
        <v>328</v>
      </c>
      <c r="B125" s="1084" t="s">
        <v>329</v>
      </c>
      <c r="C125" s="1055"/>
      <c r="D125" s="1081"/>
      <c r="E125" s="109"/>
      <c r="F125" s="120"/>
    </row>
    <row r="126" ht="39.75" customHeight="1">
      <c r="A126" s="1061" t="s">
        <v>334</v>
      </c>
      <c r="B126" s="1084" t="s">
        <v>335</v>
      </c>
      <c r="C126" s="140"/>
      <c r="D126" s="1042"/>
      <c r="E126" s="109"/>
      <c r="F126" s="120"/>
    </row>
    <row r="127" ht="39.75" customHeight="1">
      <c r="A127" s="1061" t="s">
        <v>338</v>
      </c>
      <c r="B127" s="1084" t="s">
        <v>339</v>
      </c>
      <c r="C127" s="1055"/>
      <c r="D127" s="1081"/>
      <c r="E127" s="109"/>
      <c r="F127" s="120"/>
    </row>
    <row r="128" ht="39.75" customHeight="1">
      <c r="A128" s="1061" t="s">
        <v>340</v>
      </c>
      <c r="B128" s="1084" t="s">
        <v>341</v>
      </c>
      <c r="C128" s="1055"/>
      <c r="D128" s="1081"/>
      <c r="E128" s="109"/>
      <c r="F128" s="120"/>
    </row>
    <row r="129" ht="39.75" customHeight="1">
      <c r="A129" s="1061" t="s">
        <v>344</v>
      </c>
      <c r="B129" s="1084" t="s">
        <v>345</v>
      </c>
      <c r="C129" s="1055"/>
      <c r="D129" s="1081"/>
      <c r="E129" s="109"/>
      <c r="F129" s="120"/>
    </row>
    <row r="130" ht="39.75" customHeight="1">
      <c r="A130" s="1043" t="s">
        <v>348</v>
      </c>
      <c r="B130" s="1077" t="s">
        <v>349</v>
      </c>
      <c r="C130" s="1078"/>
      <c r="D130" s="1083"/>
      <c r="E130" s="1048"/>
      <c r="F130" s="1047"/>
    </row>
    <row r="131" ht="39.75" customHeight="1">
      <c r="A131" s="1061" t="s">
        <v>350</v>
      </c>
      <c r="B131" s="1062" t="s">
        <v>351</v>
      </c>
      <c r="C131" s="1055"/>
      <c r="D131" s="1081"/>
      <c r="E131" s="109"/>
      <c r="F131" s="120"/>
    </row>
    <row r="132" ht="39.75" customHeight="1">
      <c r="A132" s="1061" t="s">
        <v>352</v>
      </c>
      <c r="B132" s="1062" t="s">
        <v>353</v>
      </c>
      <c r="C132" s="1058"/>
      <c r="D132" s="1081"/>
      <c r="E132" s="109"/>
      <c r="F132" s="120"/>
    </row>
    <row r="133" ht="39.75" customHeight="1">
      <c r="A133" s="1061" t="s">
        <v>354</v>
      </c>
      <c r="B133" s="1062" t="s">
        <v>355</v>
      </c>
      <c r="C133" s="1058"/>
      <c r="D133" s="1081"/>
      <c r="E133" s="109"/>
      <c r="F133" s="120"/>
    </row>
    <row r="134" ht="39.75" customHeight="1">
      <c r="A134" s="1043" t="s">
        <v>356</v>
      </c>
      <c r="B134" s="1077" t="s">
        <v>357</v>
      </c>
      <c r="C134" s="1078"/>
      <c r="D134" s="1083"/>
      <c r="E134" s="1048"/>
      <c r="F134" s="1047"/>
    </row>
    <row r="135" ht="39.75" customHeight="1">
      <c r="A135" s="1061" t="s">
        <v>358</v>
      </c>
      <c r="B135" s="1062" t="s">
        <v>359</v>
      </c>
      <c r="C135" s="1055" t="s">
        <v>77</v>
      </c>
      <c r="D135" s="1081"/>
      <c r="E135" s="109"/>
      <c r="F135" s="120"/>
    </row>
    <row r="136" ht="39.75" customHeight="1">
      <c r="A136" s="1061" t="s">
        <v>360</v>
      </c>
      <c r="B136" s="1062" t="s">
        <v>361</v>
      </c>
      <c r="C136" s="1055" t="s">
        <v>77</v>
      </c>
      <c r="D136" s="109"/>
      <c r="E136" s="109"/>
      <c r="F136" s="120"/>
    </row>
    <row r="137" ht="39.75" customHeight="1">
      <c r="A137" s="1061" t="s">
        <v>362</v>
      </c>
      <c r="B137" s="1062" t="s">
        <v>363</v>
      </c>
      <c r="C137" s="138"/>
      <c r="D137" s="1081"/>
      <c r="E137" s="109"/>
      <c r="F137" s="120"/>
    </row>
    <row r="138" ht="39.75" customHeight="1">
      <c r="A138" s="1043" t="s">
        <v>364</v>
      </c>
      <c r="B138" s="1044" t="s">
        <v>365</v>
      </c>
      <c r="C138" s="1053"/>
      <c r="D138" s="1083"/>
      <c r="E138" s="1048"/>
      <c r="F138" s="1047"/>
    </row>
    <row r="139" ht="39.75" customHeight="1">
      <c r="A139" s="1061" t="s">
        <v>366</v>
      </c>
      <c r="B139" s="1062" t="s">
        <v>367</v>
      </c>
      <c r="C139" s="1055"/>
      <c r="D139" s="1081"/>
      <c r="E139" s="109"/>
      <c r="F139" s="120"/>
    </row>
    <row r="140" ht="39.75" customHeight="1">
      <c r="A140" s="1061" t="s">
        <v>368</v>
      </c>
      <c r="B140" s="1062" t="s">
        <v>369</v>
      </c>
      <c r="C140" s="1055"/>
      <c r="D140" s="1081"/>
      <c r="E140" s="109"/>
      <c r="F140" s="120"/>
    </row>
    <row r="141" ht="39.75" customHeight="1">
      <c r="A141" s="1061" t="s">
        <v>370</v>
      </c>
      <c r="B141" s="1062" t="s">
        <v>371</v>
      </c>
      <c r="C141" s="1055"/>
      <c r="D141" s="1081"/>
      <c r="E141" s="109"/>
      <c r="F141" s="120"/>
    </row>
    <row r="142" ht="39.75" customHeight="1">
      <c r="A142" s="1061" t="s">
        <v>474</v>
      </c>
      <c r="B142" s="1062" t="s">
        <v>383</v>
      </c>
      <c r="C142" s="1076"/>
      <c r="D142" s="1081"/>
      <c r="E142" s="109"/>
      <c r="F142" s="120"/>
    </row>
    <row r="143" ht="39.75" customHeight="1">
      <c r="A143" s="1043" t="s">
        <v>380</v>
      </c>
      <c r="B143" s="1044" t="s">
        <v>381</v>
      </c>
      <c r="C143" s="1053"/>
      <c r="D143" s="1083"/>
      <c r="E143" s="1048"/>
      <c r="F143" s="1047"/>
    </row>
    <row r="144" ht="39.75" customHeight="1">
      <c r="A144" s="1061" t="s">
        <v>382</v>
      </c>
      <c r="B144" s="1062" t="s">
        <v>383</v>
      </c>
      <c r="C144" s="138"/>
      <c r="D144" s="1081"/>
      <c r="E144" s="109"/>
      <c r="F144" s="120"/>
    </row>
    <row r="145" ht="39.75" customHeight="1">
      <c r="A145" s="1061" t="s">
        <v>384</v>
      </c>
      <c r="B145" s="1062" t="s">
        <v>385</v>
      </c>
      <c r="C145" s="138"/>
      <c r="D145" s="1081"/>
      <c r="E145" s="109"/>
      <c r="F145" s="120"/>
    </row>
    <row r="146" ht="39.75" customHeight="1">
      <c r="A146" s="1061" t="s">
        <v>386</v>
      </c>
      <c r="B146" s="1062" t="s">
        <v>387</v>
      </c>
      <c r="C146" s="138"/>
      <c r="D146" s="1081"/>
      <c r="E146" s="109"/>
      <c r="F146" s="120"/>
    </row>
    <row r="147" ht="39.75" customHeight="1">
      <c r="A147" s="1061" t="s">
        <v>388</v>
      </c>
      <c r="B147" s="1062" t="s">
        <v>389</v>
      </c>
      <c r="C147" s="138"/>
      <c r="D147" s="1081"/>
      <c r="E147" s="109"/>
      <c r="F147" s="120"/>
    </row>
    <row r="148" ht="39.75" customHeight="1">
      <c r="A148" s="1043" t="s">
        <v>390</v>
      </c>
      <c r="B148" s="1077" t="s">
        <v>391</v>
      </c>
      <c r="C148" s="1078"/>
      <c r="D148" s="1083"/>
      <c r="E148" s="1048"/>
      <c r="F148" s="1047"/>
      <c r="G148" s="145"/>
      <c r="H148" s="145"/>
      <c r="I148" s="145"/>
      <c r="J148" s="145"/>
      <c r="K148" s="145"/>
      <c r="L148" s="145"/>
    </row>
    <row r="149" ht="39.75" customHeight="1">
      <c r="A149" s="1087" t="s">
        <v>392</v>
      </c>
      <c r="B149" s="1088" t="s">
        <v>393</v>
      </c>
      <c r="C149" s="1089"/>
      <c r="D149" s="1090"/>
      <c r="E149" s="150"/>
      <c r="F149" s="151"/>
      <c r="G149" s="145"/>
      <c r="H149" s="145"/>
      <c r="I149" s="145"/>
      <c r="J149" s="145"/>
      <c r="K149" s="145"/>
      <c r="L149" s="145"/>
    </row>
    <row r="150" ht="34.5" customHeight="1">
      <c r="A150" s="1017"/>
      <c r="B150" s="1091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</row>
    <row r="151" ht="23.25" customHeight="1">
      <c r="A151" s="1017"/>
      <c r="B151" s="1091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23.25" customHeight="1">
      <c r="A152" s="1017"/>
      <c r="B152" s="1091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24.75" customHeight="1">
      <c r="A153" s="1092"/>
      <c r="B153" s="1093"/>
      <c r="C153" s="694"/>
      <c r="D153" s="694"/>
      <c r="E153" s="694"/>
      <c r="F153" s="694"/>
      <c r="G153" s="694"/>
      <c r="H153" s="694"/>
      <c r="I153" s="694"/>
      <c r="J153" s="694"/>
      <c r="K153" s="694"/>
      <c r="L153" s="694"/>
      <c r="M153" s="694"/>
      <c r="N153" s="694"/>
      <c r="O153" s="694"/>
      <c r="P153" s="694"/>
      <c r="Q153" s="694"/>
      <c r="R153" s="694"/>
      <c r="S153" s="694"/>
      <c r="T153" s="694"/>
      <c r="U153" s="694"/>
      <c r="V153" s="694"/>
      <c r="W153" s="694"/>
      <c r="X153" s="694"/>
      <c r="Y153" s="694"/>
      <c r="Z153" s="694"/>
      <c r="AA153" s="694"/>
      <c r="AB153" s="694"/>
      <c r="AC153" s="694"/>
      <c r="AD153" s="694"/>
      <c r="AE153" s="694"/>
      <c r="AF153" s="608"/>
      <c r="AG153" s="608"/>
      <c r="AH153" s="608"/>
      <c r="AI153" s="608"/>
      <c r="AJ153" s="608"/>
      <c r="AK153" s="608"/>
      <c r="AL153" s="608"/>
      <c r="AM153" s="608"/>
      <c r="AN153" s="608"/>
    </row>
    <row r="154" ht="24.75" customHeight="1">
      <c r="A154" s="1092"/>
      <c r="B154" s="1093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694"/>
      <c r="AB154" s="694"/>
      <c r="AC154" s="694"/>
      <c r="AD154" s="694"/>
      <c r="AE154" s="694"/>
      <c r="AF154" s="608"/>
      <c r="AG154" s="608"/>
      <c r="AH154" s="608"/>
      <c r="AI154" s="608"/>
      <c r="AJ154" s="608"/>
      <c r="AK154" s="608"/>
      <c r="AL154" s="608"/>
      <c r="AM154" s="608"/>
      <c r="AN154" s="608"/>
    </row>
    <row r="155" ht="24.75" customHeight="1">
      <c r="A155" s="1092"/>
      <c r="B155" s="1093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694"/>
      <c r="AB155" s="694"/>
      <c r="AC155" s="694"/>
      <c r="AD155" s="694"/>
      <c r="AE155" s="694"/>
      <c r="AF155" s="608"/>
      <c r="AG155" s="608"/>
      <c r="AH155" s="608"/>
      <c r="AI155" s="608"/>
      <c r="AJ155" s="608"/>
      <c r="AK155" s="608"/>
      <c r="AL155" s="608"/>
      <c r="AM155" s="608"/>
      <c r="AN155" s="608"/>
    </row>
    <row r="156" ht="24.75" customHeight="1">
      <c r="A156" s="1092"/>
      <c r="B156" s="1093"/>
      <c r="C156" s="694"/>
      <c r="D156" s="694"/>
      <c r="E156" s="694"/>
      <c r="F156" s="694"/>
      <c r="G156" s="694"/>
      <c r="H156" s="694"/>
      <c r="I156" s="694"/>
      <c r="J156" s="694"/>
      <c r="K156" s="694"/>
      <c r="L156" s="694"/>
      <c r="M156" s="694"/>
      <c r="N156" s="694"/>
      <c r="O156" s="694"/>
      <c r="P156" s="694"/>
      <c r="Q156" s="694"/>
      <c r="R156" s="694"/>
      <c r="S156" s="694"/>
      <c r="T156" s="694"/>
      <c r="U156" s="694"/>
      <c r="V156" s="694"/>
      <c r="W156" s="694"/>
      <c r="X156" s="694"/>
      <c r="Y156" s="694"/>
      <c r="Z156" s="694"/>
      <c r="AA156" s="694"/>
      <c r="AB156" s="694"/>
      <c r="AC156" s="694"/>
      <c r="AD156" s="694"/>
      <c r="AE156" s="694"/>
      <c r="AF156" s="608"/>
      <c r="AG156" s="608"/>
      <c r="AH156" s="608"/>
      <c r="AI156" s="608"/>
      <c r="AJ156" s="608"/>
      <c r="AK156" s="608"/>
      <c r="AL156" s="608"/>
      <c r="AM156" s="608"/>
      <c r="AN156" s="608"/>
    </row>
    <row r="157" ht="24.75" customHeight="1">
      <c r="A157" s="1094"/>
      <c r="B157" s="694"/>
      <c r="C157" s="694"/>
      <c r="D157" s="694"/>
      <c r="E157" s="694"/>
      <c r="F157" s="694"/>
      <c r="G157" s="694"/>
      <c r="H157" s="694"/>
      <c r="I157" s="694"/>
      <c r="J157" s="694"/>
      <c r="K157" s="694"/>
      <c r="L157" s="694"/>
      <c r="M157" s="694"/>
      <c r="N157" s="694"/>
      <c r="O157" s="694"/>
      <c r="P157" s="694"/>
      <c r="Q157" s="694"/>
      <c r="R157" s="694"/>
      <c r="S157" s="694"/>
      <c r="T157" s="694"/>
      <c r="U157" s="694"/>
      <c r="V157" s="694"/>
      <c r="W157" s="694"/>
      <c r="X157" s="694"/>
      <c r="Y157" s="694"/>
      <c r="Z157" s="694"/>
      <c r="AA157" s="694"/>
      <c r="AB157" s="694"/>
      <c r="AC157" s="694"/>
      <c r="AD157" s="694"/>
      <c r="AE157" s="694"/>
      <c r="AF157" s="608"/>
      <c r="AG157" s="608"/>
      <c r="AH157" s="608"/>
      <c r="AI157" s="608"/>
      <c r="AJ157" s="608"/>
      <c r="AK157" s="608"/>
      <c r="AL157" s="608"/>
      <c r="AM157" s="608"/>
      <c r="AN157" s="608"/>
    </row>
    <row r="158" ht="24.75" customHeight="1">
      <c r="A158" s="1095"/>
      <c r="B158" s="1096"/>
      <c r="C158" s="1097"/>
      <c r="D158" s="1096"/>
      <c r="E158" s="1096"/>
      <c r="F158" s="1096"/>
      <c r="G158" s="1096"/>
      <c r="H158" s="1096"/>
      <c r="I158" s="1098"/>
      <c r="J158" s="1098"/>
      <c r="K158" s="1098"/>
      <c r="L158" s="694"/>
      <c r="M158" s="694"/>
      <c r="N158" s="1099"/>
      <c r="O158" s="1099"/>
      <c r="P158" s="1099"/>
      <c r="Q158" s="1099"/>
      <c r="R158" s="1099"/>
      <c r="S158" s="1099"/>
      <c r="T158" s="1099"/>
      <c r="U158" s="608"/>
      <c r="V158" s="1100"/>
      <c r="W158" s="1100"/>
      <c r="X158" s="1098"/>
      <c r="Y158" s="1098"/>
      <c r="Z158" s="1098"/>
      <c r="AA158" s="1100"/>
      <c r="AB158" s="608"/>
      <c r="AC158" s="694"/>
      <c r="AD158" s="694"/>
      <c r="AE158" s="694"/>
      <c r="AF158" s="608"/>
      <c r="AG158" s="608"/>
      <c r="AH158" s="608"/>
      <c r="AI158" s="608"/>
      <c r="AJ158" s="608"/>
      <c r="AK158" s="608"/>
      <c r="AL158" s="608"/>
      <c r="AM158" s="608"/>
      <c r="AN158" s="608"/>
    </row>
    <row r="159" ht="24.75" customHeight="1">
      <c r="A159" s="1092"/>
      <c r="B159" s="1097" t="s">
        <v>398</v>
      </c>
      <c r="C159" s="1097"/>
      <c r="D159" s="1101" t="s">
        <v>44</v>
      </c>
      <c r="E159" s="38"/>
      <c r="F159" s="38"/>
      <c r="G159" s="38"/>
      <c r="H159" s="38"/>
      <c r="I159" s="38"/>
      <c r="J159" s="38"/>
      <c r="K159" s="40"/>
      <c r="L159" s="155"/>
      <c r="M159" s="155"/>
      <c r="N159" s="1102" t="s">
        <v>399</v>
      </c>
      <c r="O159" s="163"/>
      <c r="P159" s="163"/>
      <c r="Q159" s="163"/>
      <c r="R159" s="163"/>
      <c r="S159" s="163"/>
      <c r="T159" s="164"/>
      <c r="U159" s="608"/>
      <c r="V159" s="1103" t="s">
        <v>73</v>
      </c>
      <c r="W159" s="38"/>
      <c r="X159" s="38"/>
      <c r="Y159" s="38"/>
      <c r="Z159" s="40"/>
      <c r="AA159" s="608"/>
      <c r="AB159" s="608"/>
      <c r="AC159" s="606"/>
      <c r="AD159" s="606"/>
      <c r="AE159" s="606"/>
      <c r="AF159" s="608"/>
      <c r="AG159" s="608"/>
      <c r="AH159" s="608"/>
      <c r="AI159" s="608"/>
      <c r="AJ159" s="608"/>
      <c r="AK159" s="608"/>
      <c r="AL159" s="608"/>
      <c r="AM159" s="608"/>
      <c r="AN159" s="608"/>
    </row>
    <row r="160" ht="24.75" customHeight="1">
      <c r="A160" s="1092"/>
      <c r="B160" s="1104" t="s">
        <v>35</v>
      </c>
      <c r="C160" s="1104"/>
      <c r="D160" s="1105" t="s">
        <v>54</v>
      </c>
      <c r="E160" s="38"/>
      <c r="F160" s="38"/>
      <c r="G160" s="38"/>
      <c r="H160" s="38"/>
      <c r="I160" s="38"/>
      <c r="J160" s="38"/>
      <c r="K160" s="40"/>
      <c r="L160" s="708"/>
      <c r="M160" s="708"/>
      <c r="N160" s="1106" t="s">
        <v>400</v>
      </c>
      <c r="O160" s="38"/>
      <c r="P160" s="38"/>
      <c r="Q160" s="38"/>
      <c r="R160" s="38"/>
      <c r="S160" s="38"/>
      <c r="T160" s="40"/>
      <c r="U160" s="608"/>
      <c r="V160" s="1107" t="s">
        <v>74</v>
      </c>
      <c r="W160" s="38"/>
      <c r="X160" s="38"/>
      <c r="Y160" s="38"/>
      <c r="Z160" s="40"/>
      <c r="AA160" s="608"/>
      <c r="AB160" s="608"/>
      <c r="AC160" s="1108"/>
      <c r="AD160" s="1108"/>
      <c r="AE160" s="1108"/>
      <c r="AF160" s="608"/>
      <c r="AG160" s="608"/>
      <c r="AH160" s="608"/>
      <c r="AI160" s="608"/>
      <c r="AJ160" s="608"/>
      <c r="AK160" s="608"/>
      <c r="AL160" s="608"/>
      <c r="AM160" s="608"/>
      <c r="AN160" s="608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4">
    <mergeCell ref="P11:R11"/>
    <mergeCell ref="P12:R12"/>
    <mergeCell ref="P4:R4"/>
    <mergeCell ref="P5:R5"/>
    <mergeCell ref="P6:R6"/>
    <mergeCell ref="P7:R7"/>
    <mergeCell ref="P8:R8"/>
    <mergeCell ref="P9:R9"/>
    <mergeCell ref="P10:R10"/>
    <mergeCell ref="J4:L4"/>
    <mergeCell ref="J5:L5"/>
    <mergeCell ref="J6:L6"/>
    <mergeCell ref="M6:N6"/>
    <mergeCell ref="J7:L7"/>
    <mergeCell ref="M7:N7"/>
    <mergeCell ref="A1:A3"/>
    <mergeCell ref="B1:B3"/>
    <mergeCell ref="C1:P3"/>
    <mergeCell ref="C4:E8"/>
    <mergeCell ref="F4:H8"/>
    <mergeCell ref="M4:N4"/>
    <mergeCell ref="M5:N5"/>
    <mergeCell ref="J10:L10"/>
    <mergeCell ref="J11:L11"/>
    <mergeCell ref="D159:K159"/>
    <mergeCell ref="N159:T159"/>
    <mergeCell ref="V159:Z159"/>
    <mergeCell ref="D160:K160"/>
    <mergeCell ref="N160:T160"/>
    <mergeCell ref="V160:Z160"/>
    <mergeCell ref="M11:N11"/>
    <mergeCell ref="J12:L12"/>
    <mergeCell ref="M12:N12"/>
    <mergeCell ref="A14:A16"/>
    <mergeCell ref="B14:B16"/>
    <mergeCell ref="C15:F15"/>
    <mergeCell ref="C16:D16"/>
    <mergeCell ref="J8:L8"/>
    <mergeCell ref="M8:N8"/>
    <mergeCell ref="C9:E12"/>
    <mergeCell ref="F9:H12"/>
    <mergeCell ref="J9:L9"/>
    <mergeCell ref="M9:N9"/>
    <mergeCell ref="M10:N1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115.75"/>
    <col customWidth="1" min="3" max="53" width="10.63"/>
  </cols>
  <sheetData>
    <row r="1" ht="27.0" customHeight="1">
      <c r="A1" s="1109"/>
      <c r="B1" s="1109" t="s">
        <v>0</v>
      </c>
      <c r="C1" s="1110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179"/>
      <c r="AY1" s="1"/>
      <c r="AZ1" s="1"/>
      <c r="BA1" s="1"/>
    </row>
    <row r="2" ht="27.0" customHeight="1">
      <c r="A2" s="9"/>
      <c r="B2" s="9"/>
      <c r="C2" s="10"/>
      <c r="AM2" s="180"/>
      <c r="AY2" s="1"/>
      <c r="AZ2" s="1"/>
      <c r="BA2" s="1"/>
    </row>
    <row r="3" ht="79.5" customHeight="1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81"/>
      <c r="AY3" s="1"/>
      <c r="AZ3" s="1"/>
      <c r="BA3" s="1"/>
    </row>
    <row r="4" ht="21.75" customHeight="1">
      <c r="A4" s="1111" t="s">
        <v>2</v>
      </c>
      <c r="B4" s="1112" t="s">
        <v>3</v>
      </c>
      <c r="C4" s="1113" t="s">
        <v>4</v>
      </c>
      <c r="D4" s="5"/>
      <c r="E4" s="5"/>
      <c r="F4" s="6"/>
      <c r="G4" s="1114">
        <v>45939.0</v>
      </c>
      <c r="H4" s="5"/>
      <c r="I4" s="5"/>
      <c r="J4" s="5"/>
      <c r="K4" s="6"/>
      <c r="L4" s="1115"/>
      <c r="M4" s="1116"/>
      <c r="N4" s="40"/>
      <c r="O4" s="1115"/>
      <c r="P4" s="1116"/>
      <c r="Q4" s="40"/>
      <c r="R4" s="1115"/>
      <c r="S4" s="1115"/>
      <c r="T4" s="1115"/>
      <c r="U4" s="1115"/>
      <c r="V4" s="1115"/>
      <c r="W4" s="1115"/>
      <c r="X4" s="1115"/>
      <c r="Y4" s="1115"/>
      <c r="Z4" s="1115"/>
      <c r="AA4" s="1116"/>
      <c r="AB4" s="40"/>
      <c r="AC4" s="1115"/>
      <c r="AD4" s="1116"/>
      <c r="AE4" s="40"/>
      <c r="AF4" s="1115"/>
      <c r="AG4" s="1116"/>
      <c r="AH4" s="40"/>
      <c r="AI4" s="1117"/>
      <c r="AJ4" s="1118"/>
      <c r="AK4" s="40"/>
      <c r="AL4" s="1119"/>
      <c r="AM4" s="1120"/>
      <c r="AO4" s="1119"/>
      <c r="AP4" s="1120"/>
      <c r="AR4" s="1119"/>
      <c r="AS4" s="1120"/>
      <c r="AU4" s="1119"/>
      <c r="AV4" s="1120"/>
      <c r="AX4" s="1119"/>
      <c r="AY4" s="1120"/>
      <c r="BA4" s="1"/>
    </row>
    <row r="5" ht="21.75" customHeight="1">
      <c r="A5" s="1121" t="s">
        <v>14</v>
      </c>
      <c r="B5" s="1122" t="s">
        <v>15</v>
      </c>
      <c r="C5" s="10"/>
      <c r="F5" s="11"/>
      <c r="G5" s="10"/>
      <c r="K5" s="11"/>
      <c r="L5" s="1115"/>
      <c r="M5" s="1116"/>
      <c r="N5" s="40"/>
      <c r="O5" s="1115"/>
      <c r="P5" s="1116"/>
      <c r="Q5" s="40"/>
      <c r="R5" s="1115"/>
      <c r="S5" s="1115"/>
      <c r="T5" s="1115"/>
      <c r="U5" s="1115"/>
      <c r="V5" s="1115"/>
      <c r="W5" s="1115"/>
      <c r="X5" s="1115"/>
      <c r="Y5" s="1115"/>
      <c r="Z5" s="1115"/>
      <c r="AA5" s="1116"/>
      <c r="AB5" s="40"/>
      <c r="AC5" s="1115"/>
      <c r="AD5" s="1116"/>
      <c r="AE5" s="40"/>
      <c r="AF5" s="1115"/>
      <c r="AG5" s="1116"/>
      <c r="AH5" s="40"/>
      <c r="AI5" s="1123"/>
      <c r="AJ5" s="1120"/>
      <c r="AL5" s="1119"/>
      <c r="AM5" s="1120"/>
      <c r="AO5" s="1119"/>
      <c r="AP5" s="1120"/>
      <c r="AR5" s="1119"/>
      <c r="AS5" s="1120"/>
      <c r="AU5" s="1119"/>
      <c r="AV5" s="1120"/>
      <c r="AX5" s="1119"/>
      <c r="AY5" s="1120"/>
      <c r="BA5" s="1"/>
    </row>
    <row r="6" ht="21.75" customHeight="1">
      <c r="A6" s="1121" t="s">
        <v>24</v>
      </c>
      <c r="B6" s="1122" t="s">
        <v>25</v>
      </c>
      <c r="C6" s="10"/>
      <c r="F6" s="11"/>
      <c r="G6" s="10"/>
      <c r="K6" s="11"/>
      <c r="L6" s="1115"/>
      <c r="M6" s="1116"/>
      <c r="N6" s="40"/>
      <c r="O6" s="1115"/>
      <c r="P6" s="1116"/>
      <c r="Q6" s="40"/>
      <c r="R6" s="1115"/>
      <c r="S6" s="1115"/>
      <c r="T6" s="1115"/>
      <c r="U6" s="1115"/>
      <c r="V6" s="1115"/>
      <c r="W6" s="1115"/>
      <c r="X6" s="1115"/>
      <c r="Y6" s="1115"/>
      <c r="Z6" s="1115"/>
      <c r="AA6" s="1116"/>
      <c r="AB6" s="40"/>
      <c r="AC6" s="1115"/>
      <c r="AD6" s="1116"/>
      <c r="AE6" s="40"/>
      <c r="AF6" s="1115"/>
      <c r="AG6" s="1116"/>
      <c r="AH6" s="40"/>
      <c r="AI6" s="1123"/>
      <c r="AJ6" s="1120"/>
      <c r="AL6" s="1119"/>
      <c r="AM6" s="1120"/>
      <c r="AO6" s="1119"/>
      <c r="AP6" s="1120"/>
      <c r="AR6" s="1119"/>
      <c r="AS6" s="1120"/>
      <c r="AU6" s="1119"/>
      <c r="AV6" s="1120"/>
      <c r="AX6" s="1119"/>
      <c r="AY6" s="1120"/>
      <c r="BA6" s="1"/>
    </row>
    <row r="7" ht="21.75" customHeight="1">
      <c r="A7" s="1121" t="s">
        <v>34</v>
      </c>
      <c r="B7" s="1122" t="s">
        <v>35</v>
      </c>
      <c r="C7" s="10"/>
      <c r="F7" s="11"/>
      <c r="G7" s="10"/>
      <c r="K7" s="11"/>
      <c r="L7" s="1115"/>
      <c r="M7" s="1116"/>
      <c r="N7" s="40"/>
      <c r="O7" s="1115"/>
      <c r="P7" s="1116"/>
      <c r="Q7" s="40"/>
      <c r="R7" s="1115"/>
      <c r="S7" s="1115"/>
      <c r="T7" s="1115"/>
      <c r="U7" s="1115"/>
      <c r="V7" s="1115"/>
      <c r="W7" s="1115"/>
      <c r="X7" s="1115"/>
      <c r="Y7" s="1115"/>
      <c r="Z7" s="1115"/>
      <c r="AA7" s="1116"/>
      <c r="AB7" s="40"/>
      <c r="AC7" s="1115"/>
      <c r="AD7" s="1116"/>
      <c r="AE7" s="40"/>
      <c r="AF7" s="1115"/>
      <c r="AG7" s="1116"/>
      <c r="AH7" s="40"/>
      <c r="AI7" s="1123"/>
      <c r="AJ7" s="1120"/>
      <c r="AL7" s="1119"/>
      <c r="AM7" s="1120"/>
      <c r="AO7" s="1119"/>
      <c r="AP7" s="1120"/>
      <c r="AR7" s="1119"/>
      <c r="AS7" s="1120"/>
      <c r="AU7" s="1119"/>
      <c r="AV7" s="1120"/>
      <c r="AX7" s="1119"/>
      <c r="AY7" s="1120"/>
      <c r="BA7" s="1"/>
    </row>
    <row r="8" ht="19.5" customHeight="1">
      <c r="A8" s="1121" t="s">
        <v>44</v>
      </c>
      <c r="B8" s="1122" t="s">
        <v>45</v>
      </c>
      <c r="C8" s="10"/>
      <c r="F8" s="11"/>
      <c r="G8" s="10"/>
      <c r="K8" s="11"/>
      <c r="L8" s="1115"/>
      <c r="M8" s="1116"/>
      <c r="N8" s="40"/>
      <c r="O8" s="1115"/>
      <c r="P8" s="1116"/>
      <c r="Q8" s="40"/>
      <c r="R8" s="1115"/>
      <c r="S8" s="1115"/>
      <c r="T8" s="1115"/>
      <c r="U8" s="1115"/>
      <c r="V8" s="1115"/>
      <c r="W8" s="1115"/>
      <c r="X8" s="1115"/>
      <c r="Y8" s="1115"/>
      <c r="Z8" s="1115"/>
      <c r="AA8" s="1116"/>
      <c r="AB8" s="40"/>
      <c r="AC8" s="1115"/>
      <c r="AD8" s="1116"/>
      <c r="AE8" s="40"/>
      <c r="AF8" s="1115"/>
      <c r="AG8" s="1116"/>
      <c r="AH8" s="40"/>
      <c r="AI8" s="1123"/>
      <c r="AJ8" s="1120"/>
      <c r="AL8" s="1119"/>
      <c r="AM8" s="1120"/>
      <c r="AO8" s="1119"/>
      <c r="AP8" s="1120"/>
      <c r="AR8" s="1119"/>
      <c r="AS8" s="1120"/>
      <c r="AU8" s="1119"/>
      <c r="AV8" s="1120"/>
      <c r="AX8" s="1119"/>
      <c r="AY8" s="1120"/>
      <c r="BA8" s="1"/>
    </row>
    <row r="9" ht="21.75" customHeight="1">
      <c r="A9" s="1121" t="s">
        <v>44</v>
      </c>
      <c r="B9" s="1122" t="s">
        <v>54</v>
      </c>
      <c r="C9" s="47"/>
      <c r="D9" s="48"/>
      <c r="E9" s="48"/>
      <c r="F9" s="49"/>
      <c r="G9" s="47"/>
      <c r="H9" s="48"/>
      <c r="I9" s="48"/>
      <c r="J9" s="48"/>
      <c r="K9" s="49"/>
      <c r="L9" s="1115"/>
      <c r="M9" s="1116"/>
      <c r="N9" s="40"/>
      <c r="O9" s="1115"/>
      <c r="P9" s="1116"/>
      <c r="Q9" s="40"/>
      <c r="R9" s="1115"/>
      <c r="S9" s="1115"/>
      <c r="T9" s="1115"/>
      <c r="U9" s="1115"/>
      <c r="V9" s="1115"/>
      <c r="W9" s="1115"/>
      <c r="X9" s="1115"/>
      <c r="Y9" s="1115"/>
      <c r="Z9" s="1115"/>
      <c r="AA9" s="1116"/>
      <c r="AB9" s="40"/>
      <c r="AC9" s="1115"/>
      <c r="AD9" s="1116"/>
      <c r="AE9" s="40"/>
      <c r="AF9" s="1115"/>
      <c r="AG9" s="1116"/>
      <c r="AH9" s="40"/>
      <c r="AI9" s="1123"/>
      <c r="AJ9" s="1120"/>
      <c r="AL9" s="1119"/>
      <c r="AM9" s="1120"/>
      <c r="AO9" s="1119"/>
      <c r="AP9" s="1120"/>
      <c r="AR9" s="1119"/>
      <c r="AS9" s="1120"/>
      <c r="AU9" s="1119"/>
      <c r="AV9" s="1120"/>
      <c r="AX9" s="1119"/>
      <c r="AY9" s="1120"/>
      <c r="BA9" s="1"/>
    </row>
    <row r="10" ht="21.75" customHeight="1">
      <c r="A10" s="1121" t="s">
        <v>62</v>
      </c>
      <c r="B10" s="1122" t="s">
        <v>63</v>
      </c>
      <c r="C10" s="1113" t="s">
        <v>64</v>
      </c>
      <c r="D10" s="5"/>
      <c r="E10" s="5"/>
      <c r="F10" s="6"/>
      <c r="G10" s="1113" t="s">
        <v>65</v>
      </c>
      <c r="H10" s="5"/>
      <c r="I10" s="5"/>
      <c r="J10" s="5"/>
      <c r="K10" s="6"/>
      <c r="L10" s="1115"/>
      <c r="M10" s="1116"/>
      <c r="N10" s="40"/>
      <c r="O10" s="1115"/>
      <c r="P10" s="1116"/>
      <c r="Q10" s="40"/>
      <c r="R10" s="1115"/>
      <c r="S10" s="1115"/>
      <c r="T10" s="1115"/>
      <c r="U10" s="1115"/>
      <c r="V10" s="1115"/>
      <c r="W10" s="1115"/>
      <c r="X10" s="1115"/>
      <c r="Y10" s="1115"/>
      <c r="Z10" s="1115"/>
      <c r="AA10" s="1116"/>
      <c r="AB10" s="40"/>
      <c r="AC10" s="1115"/>
      <c r="AD10" s="1116"/>
      <c r="AE10" s="40"/>
      <c r="AF10" s="1115"/>
      <c r="AG10" s="1116"/>
      <c r="AH10" s="40"/>
      <c r="AI10" s="1123"/>
      <c r="AJ10" s="1120"/>
      <c r="AL10" s="1119"/>
      <c r="AM10" s="1120"/>
      <c r="AO10" s="1119"/>
      <c r="AP10" s="1120"/>
      <c r="AR10" s="1119"/>
      <c r="AS10" s="1120"/>
      <c r="AU10" s="1119"/>
      <c r="AV10" s="1120"/>
      <c r="AX10" s="1119"/>
      <c r="AY10" s="1120"/>
      <c r="BA10" s="1"/>
    </row>
    <row r="11" ht="21.75" customHeight="1">
      <c r="A11" s="1121" t="s">
        <v>73</v>
      </c>
      <c r="B11" s="1122" t="s">
        <v>74</v>
      </c>
      <c r="C11" s="10"/>
      <c r="F11" s="11"/>
      <c r="G11" s="10"/>
      <c r="K11" s="11"/>
      <c r="L11" s="1115"/>
      <c r="M11" s="1116"/>
      <c r="N11" s="40"/>
      <c r="O11" s="1115"/>
      <c r="P11" s="1116"/>
      <c r="Q11" s="40"/>
      <c r="R11" s="1115"/>
      <c r="S11" s="1115"/>
      <c r="T11" s="1115"/>
      <c r="U11" s="1115"/>
      <c r="V11" s="1115"/>
      <c r="W11" s="1115"/>
      <c r="X11" s="1115"/>
      <c r="Y11" s="1115"/>
      <c r="Z11" s="1115"/>
      <c r="AA11" s="1116"/>
      <c r="AB11" s="40"/>
      <c r="AC11" s="1115"/>
      <c r="AD11" s="1116"/>
      <c r="AE11" s="40"/>
      <c r="AF11" s="1115"/>
      <c r="AG11" s="1116"/>
      <c r="AH11" s="40"/>
      <c r="AI11" s="1123"/>
      <c r="AJ11" s="1120"/>
      <c r="AL11" s="1119"/>
      <c r="AM11" s="1120"/>
      <c r="AO11" s="1119"/>
      <c r="AP11" s="1120"/>
      <c r="AR11" s="1119"/>
      <c r="AS11" s="1120"/>
      <c r="AU11" s="1119"/>
      <c r="AV11" s="1120"/>
      <c r="AX11" s="1119"/>
      <c r="AY11" s="1120"/>
      <c r="BA11" s="1"/>
    </row>
    <row r="12" ht="21.75" customHeight="1">
      <c r="A12" s="1121" t="s">
        <v>82</v>
      </c>
      <c r="B12" s="1122" t="s">
        <v>400</v>
      </c>
      <c r="C12" s="10"/>
      <c r="F12" s="11"/>
      <c r="G12" s="10"/>
      <c r="K12" s="11"/>
      <c r="L12" s="1115"/>
      <c r="M12" s="1116"/>
      <c r="N12" s="40"/>
      <c r="O12" s="1115"/>
      <c r="P12" s="1116"/>
      <c r="Q12" s="40"/>
      <c r="R12" s="1115"/>
      <c r="S12" s="1115"/>
      <c r="T12" s="1115"/>
      <c r="U12" s="1115"/>
      <c r="V12" s="1115"/>
      <c r="W12" s="1115"/>
      <c r="X12" s="1115"/>
      <c r="Y12" s="1115"/>
      <c r="Z12" s="1115"/>
      <c r="AA12" s="1116"/>
      <c r="AB12" s="40"/>
      <c r="AC12" s="1115"/>
      <c r="AD12" s="1116"/>
      <c r="AE12" s="40"/>
      <c r="AF12" s="1115"/>
      <c r="AG12" s="1116"/>
      <c r="AH12" s="40"/>
      <c r="AI12" s="1123"/>
      <c r="AJ12" s="1120"/>
      <c r="AL12" s="1119"/>
      <c r="AM12" s="1120"/>
      <c r="AO12" s="1119"/>
      <c r="AP12" s="1120"/>
      <c r="AR12" s="1119"/>
      <c r="AS12" s="1120"/>
      <c r="AU12" s="1119"/>
      <c r="AV12" s="1120"/>
      <c r="AX12" s="1119"/>
      <c r="AY12" s="1120"/>
      <c r="BA12" s="1124"/>
    </row>
    <row r="13" ht="21.75" customHeight="1">
      <c r="A13" s="1125" t="s">
        <v>90</v>
      </c>
      <c r="B13" s="1126">
        <v>182948.0</v>
      </c>
      <c r="C13" s="47"/>
      <c r="D13" s="48"/>
      <c r="E13" s="48"/>
      <c r="F13" s="49"/>
      <c r="G13" s="47"/>
      <c r="H13" s="48"/>
      <c r="I13" s="48"/>
      <c r="J13" s="48"/>
      <c r="K13" s="49"/>
      <c r="L13" s="1115"/>
      <c r="M13" s="1116"/>
      <c r="N13" s="40"/>
      <c r="O13" s="1115"/>
      <c r="P13" s="1116"/>
      <c r="Q13" s="40"/>
      <c r="R13" s="1115"/>
      <c r="S13" s="1115"/>
      <c r="T13" s="1115"/>
      <c r="U13" s="1115"/>
      <c r="V13" s="1115"/>
      <c r="W13" s="1115"/>
      <c r="X13" s="1115"/>
      <c r="Y13" s="1115"/>
      <c r="Z13" s="1115"/>
      <c r="AA13" s="1116"/>
      <c r="AB13" s="40"/>
      <c r="AC13" s="1115"/>
      <c r="AD13" s="1116"/>
      <c r="AE13" s="40"/>
      <c r="AF13" s="1115"/>
      <c r="AG13" s="1116"/>
      <c r="AH13" s="40"/>
      <c r="AI13" s="1127"/>
      <c r="AJ13" s="1120"/>
      <c r="AL13" s="1119"/>
      <c r="AM13" s="1120"/>
      <c r="AO13" s="1119"/>
      <c r="AP13" s="1120"/>
      <c r="AR13" s="1119"/>
      <c r="AS13" s="1120"/>
      <c r="AU13" s="1119"/>
      <c r="AV13" s="1120"/>
      <c r="AX13" s="1119"/>
      <c r="AY13" s="1120"/>
      <c r="BA13" s="1124"/>
    </row>
    <row r="14" ht="27.0" customHeight="1">
      <c r="A14" s="1128"/>
      <c r="B14" s="1129"/>
      <c r="C14" s="1129"/>
      <c r="D14" s="1129"/>
      <c r="E14" s="1129"/>
      <c r="F14" s="1129"/>
      <c r="G14" s="1129"/>
      <c r="H14" s="1129"/>
      <c r="I14" s="1129"/>
      <c r="J14" s="1129"/>
      <c r="K14" s="1129"/>
      <c r="L14" s="1130"/>
      <c r="M14" s="1130"/>
      <c r="N14" s="1130"/>
      <c r="O14" s="1130"/>
      <c r="P14" s="1130"/>
      <c r="Q14" s="1130"/>
      <c r="R14" s="1130"/>
      <c r="S14" s="1130"/>
      <c r="T14" s="1130"/>
      <c r="U14" s="1130"/>
      <c r="V14" s="1130"/>
      <c r="W14" s="1130"/>
      <c r="X14" s="1130"/>
      <c r="Y14" s="1130"/>
      <c r="Z14" s="1130"/>
      <c r="AA14" s="1130"/>
      <c r="AB14" s="1130"/>
      <c r="AC14" s="1130"/>
      <c r="AD14" s="1130"/>
      <c r="AE14" s="1130"/>
      <c r="AF14" s="1130"/>
      <c r="AG14" s="1130"/>
      <c r="AH14" s="1130"/>
      <c r="AI14" s="1"/>
      <c r="AJ14" s="1"/>
      <c r="AK14" s="1"/>
      <c r="AL14" s="1"/>
      <c r="AM14" s="1"/>
      <c r="AY14" s="1131"/>
    </row>
    <row r="15" ht="24.75" customHeight="1">
      <c r="A15" s="1132" t="s">
        <v>98</v>
      </c>
      <c r="B15" s="1133" t="s">
        <v>99</v>
      </c>
      <c r="C15" s="1134" t="s">
        <v>475</v>
      </c>
      <c r="D15" s="1135"/>
      <c r="E15" s="1135"/>
      <c r="F15" s="1135"/>
      <c r="G15" s="1135"/>
      <c r="H15" s="1135"/>
      <c r="I15" s="1135"/>
      <c r="J15" s="1135"/>
      <c r="K15" s="1135"/>
      <c r="L15" s="1135"/>
      <c r="M15" s="1135"/>
      <c r="N15" s="1135"/>
      <c r="O15" s="1135"/>
      <c r="P15" s="1135"/>
      <c r="Q15" s="1135"/>
      <c r="R15" s="1135"/>
      <c r="S15" s="1135"/>
      <c r="T15" s="1135"/>
      <c r="U15" s="1135"/>
      <c r="V15" s="1135"/>
      <c r="W15" s="1135"/>
      <c r="X15" s="1135"/>
      <c r="Y15" s="1135"/>
      <c r="Z15" s="1135"/>
      <c r="AA15" s="1135"/>
      <c r="AB15" s="1135"/>
      <c r="AC15" s="1135"/>
      <c r="AD15" s="1135"/>
      <c r="AE15" s="1135"/>
      <c r="AF15" s="1135"/>
      <c r="AG15" s="1135"/>
      <c r="AH15" s="1136"/>
      <c r="AI15" s="1137"/>
      <c r="AJ15" s="1137"/>
      <c r="AK15" s="1137"/>
      <c r="AL15" s="1137"/>
      <c r="AM15" s="1137"/>
      <c r="AN15" s="1137"/>
      <c r="AO15" s="1138"/>
      <c r="AP15" s="1138"/>
      <c r="AQ15" s="1138"/>
      <c r="AR15" s="1138"/>
      <c r="AS15" s="1138"/>
      <c r="AT15" s="1138"/>
      <c r="AU15" s="1138"/>
      <c r="AV15" s="1138"/>
      <c r="AW15" s="1138"/>
      <c r="AX15" s="1138"/>
      <c r="AY15" s="1000"/>
    </row>
    <row r="16" ht="24.75" customHeight="1">
      <c r="A16" s="9"/>
      <c r="B16" s="74"/>
      <c r="C16" s="1139" t="s">
        <v>476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5"/>
      <c r="S16" s="1140"/>
      <c r="T16" s="1140"/>
      <c r="U16" s="1140"/>
      <c r="V16" s="1140"/>
      <c r="W16" s="1140"/>
      <c r="X16" s="1140"/>
      <c r="Y16" s="1140"/>
      <c r="Z16" s="1140"/>
      <c r="AA16" s="1141" t="s">
        <v>477</v>
      </c>
      <c r="AB16" s="64"/>
      <c r="AC16" s="64"/>
      <c r="AD16" s="64"/>
      <c r="AE16" s="64"/>
      <c r="AF16" s="65"/>
      <c r="AG16" s="1142" t="s">
        <v>105</v>
      </c>
      <c r="AH16" s="6"/>
      <c r="AI16" s="1137"/>
      <c r="AJ16" s="1137"/>
      <c r="AK16" s="1137"/>
      <c r="AL16" s="1137"/>
      <c r="AM16" s="1137"/>
      <c r="AN16" s="1137"/>
      <c r="AO16" s="1138"/>
      <c r="AP16" s="1138"/>
      <c r="AQ16" s="1138"/>
      <c r="AR16" s="1138"/>
      <c r="AS16" s="1138"/>
      <c r="AT16" s="1138"/>
      <c r="AU16" s="1138"/>
      <c r="AV16" s="1138"/>
      <c r="AW16" s="1138"/>
      <c r="AX16" s="1138"/>
      <c r="AY16" s="1137"/>
      <c r="AZ16" s="1137"/>
      <c r="BA16" s="1137"/>
    </row>
    <row r="17" ht="24.75" customHeight="1">
      <c r="A17" s="84"/>
      <c r="B17" s="83"/>
      <c r="C17" s="1143" t="s">
        <v>478</v>
      </c>
      <c r="D17" s="25"/>
      <c r="E17" s="1144" t="s">
        <v>479</v>
      </c>
      <c r="F17" s="25"/>
      <c r="G17" s="1145" t="s">
        <v>480</v>
      </c>
      <c r="H17" s="25"/>
      <c r="I17" s="1146" t="s">
        <v>481</v>
      </c>
      <c r="J17" s="25"/>
      <c r="K17" s="1147" t="s">
        <v>482</v>
      </c>
      <c r="L17" s="25"/>
      <c r="M17" s="1148" t="s">
        <v>483</v>
      </c>
      <c r="N17" s="25"/>
      <c r="O17" s="1149" t="s">
        <v>484</v>
      </c>
      <c r="P17" s="25"/>
      <c r="Q17" s="1150" t="s">
        <v>485</v>
      </c>
      <c r="R17" s="25"/>
      <c r="S17" s="1151" t="s">
        <v>486</v>
      </c>
      <c r="T17" s="25"/>
      <c r="U17" s="1152" t="s">
        <v>487</v>
      </c>
      <c r="V17" s="25"/>
      <c r="W17" s="1153" t="s">
        <v>488</v>
      </c>
      <c r="X17" s="25"/>
      <c r="Y17" s="1154" t="s">
        <v>489</v>
      </c>
      <c r="Z17" s="25"/>
      <c r="AA17" s="1143" t="s">
        <v>429</v>
      </c>
      <c r="AB17" s="24"/>
      <c r="AC17" s="24"/>
      <c r="AD17" s="24"/>
      <c r="AE17" s="24"/>
      <c r="AF17" s="1155"/>
      <c r="AG17" s="1008"/>
      <c r="AH17" s="49"/>
      <c r="AI17" s="1137"/>
      <c r="AJ17" s="1137"/>
      <c r="AK17" s="1137"/>
      <c r="AL17" s="1137"/>
      <c r="AM17" s="1137"/>
      <c r="AN17" s="1137"/>
      <c r="AO17" s="1137"/>
      <c r="AP17" s="1137"/>
      <c r="AQ17" s="1137"/>
      <c r="AR17" s="1137"/>
      <c r="AS17" s="1137"/>
      <c r="AT17" s="1137"/>
      <c r="AU17" s="1137"/>
      <c r="AV17" s="1137"/>
      <c r="AW17" s="1137"/>
      <c r="AX17" s="1137"/>
      <c r="AY17" s="1137"/>
      <c r="AZ17" s="1137"/>
      <c r="BA17" s="1137"/>
    </row>
    <row r="18" ht="39.75" customHeight="1">
      <c r="A18" s="1156" t="s">
        <v>106</v>
      </c>
      <c r="B18" s="1157" t="s">
        <v>107</v>
      </c>
      <c r="C18" s="1158"/>
      <c r="D18" s="1159"/>
      <c r="E18" s="1158"/>
      <c r="F18" s="1159"/>
      <c r="G18" s="1158"/>
      <c r="H18" s="1159"/>
      <c r="I18" s="1158"/>
      <c r="J18" s="1159"/>
      <c r="K18" s="1158"/>
      <c r="L18" s="1159"/>
      <c r="M18" s="1158"/>
      <c r="N18" s="1159"/>
      <c r="O18" s="1158"/>
      <c r="P18" s="1159"/>
      <c r="Q18" s="1158"/>
      <c r="R18" s="1159"/>
      <c r="S18" s="1158"/>
      <c r="T18" s="1158"/>
      <c r="U18" s="1158"/>
      <c r="V18" s="1158"/>
      <c r="W18" s="1158"/>
      <c r="X18" s="1158"/>
      <c r="Y18" s="1158"/>
      <c r="Z18" s="1158"/>
      <c r="AA18" s="1158"/>
      <c r="AB18" s="1159"/>
      <c r="AC18" s="1159"/>
      <c r="AD18" s="1159"/>
      <c r="AE18" s="1159"/>
      <c r="AF18" s="1159"/>
      <c r="AG18" s="1158"/>
      <c r="AH18" s="1160"/>
      <c r="AI18" s="1137"/>
      <c r="AJ18" s="1137"/>
      <c r="AK18" s="1137"/>
      <c r="AL18" s="1137"/>
      <c r="AM18" s="1137"/>
      <c r="AN18" s="1137"/>
      <c r="AO18" s="1137"/>
      <c r="AP18" s="1137"/>
      <c r="AQ18" s="1137"/>
      <c r="AR18" s="1137"/>
      <c r="AS18" s="1137"/>
      <c r="AT18" s="1137"/>
      <c r="AU18" s="1137"/>
      <c r="AV18" s="1137"/>
      <c r="AW18" s="1137"/>
      <c r="AX18" s="1137"/>
      <c r="AY18" s="1137"/>
      <c r="AZ18" s="1137"/>
      <c r="BA18" s="1137"/>
    </row>
    <row r="19" ht="39.75" customHeight="1">
      <c r="A19" s="1161" t="s">
        <v>110</v>
      </c>
      <c r="B19" s="1162" t="s">
        <v>111</v>
      </c>
      <c r="C19" s="1163"/>
      <c r="D19" s="1163"/>
      <c r="E19" s="1163"/>
      <c r="F19" s="1163"/>
      <c r="G19" s="1163"/>
      <c r="H19" s="1163"/>
      <c r="I19" s="1163"/>
      <c r="J19" s="1163"/>
      <c r="K19" s="1163"/>
      <c r="L19" s="1163"/>
      <c r="M19" s="1163"/>
      <c r="N19" s="1163"/>
      <c r="O19" s="1163"/>
      <c r="P19" s="1163"/>
      <c r="Q19" s="1163"/>
      <c r="R19" s="1163"/>
      <c r="S19" s="1163"/>
      <c r="T19" s="1163"/>
      <c r="U19" s="1163"/>
      <c r="V19" s="1163"/>
      <c r="W19" s="1163"/>
      <c r="X19" s="1163"/>
      <c r="Y19" s="1163"/>
      <c r="Z19" s="1163"/>
      <c r="AA19" s="1163"/>
      <c r="AB19" s="1163"/>
      <c r="AC19" s="1163"/>
      <c r="AD19" s="1163"/>
      <c r="AE19" s="1163"/>
      <c r="AF19" s="1163"/>
      <c r="AG19" s="1163"/>
      <c r="AH19" s="1164"/>
      <c r="AI19" s="1137"/>
      <c r="AJ19" s="1137"/>
      <c r="AK19" s="1137"/>
      <c r="AL19" s="1137"/>
      <c r="AM19" s="1137"/>
      <c r="AN19" s="1137"/>
      <c r="AO19" s="1137"/>
      <c r="AP19" s="1137"/>
      <c r="AQ19" s="1137"/>
      <c r="AR19" s="1137"/>
      <c r="AS19" s="1137"/>
      <c r="AT19" s="1137"/>
      <c r="AU19" s="1137"/>
      <c r="AV19" s="1137"/>
      <c r="AW19" s="1137"/>
      <c r="AX19" s="1137"/>
      <c r="AY19" s="1137"/>
      <c r="AZ19" s="1137"/>
      <c r="BA19" s="1137"/>
    </row>
    <row r="20" ht="39.75" customHeight="1">
      <c r="A20" s="1165" t="s">
        <v>112</v>
      </c>
      <c r="B20" s="1166" t="s">
        <v>113</v>
      </c>
      <c r="C20" s="1167" t="str">
        <f>'MANZ. A'!H22</f>
        <v/>
      </c>
      <c r="D20" s="1168"/>
      <c r="E20" s="1169">
        <f>'MANZ. B'!R20</f>
        <v>5</v>
      </c>
      <c r="F20" s="1168"/>
      <c r="G20" s="1170" t="str">
        <f>MANZ.C!#REF!</f>
        <v>#ERROR!</v>
      </c>
      <c r="H20" s="1168"/>
      <c r="I20" s="1170" t="str">
        <f>MANZ.D!#REF!</f>
        <v>#ERROR!</v>
      </c>
      <c r="J20" s="1168"/>
      <c r="K20" s="1170" t="str">
        <f>MANZ.E!#REF!</f>
        <v>#ERROR!</v>
      </c>
      <c r="L20" s="1168"/>
      <c r="M20" s="1170" t="str">
        <f>MANZ.F!#REF!</f>
        <v>#ERROR!</v>
      </c>
      <c r="N20" s="1168"/>
      <c r="O20" s="1169" t="str">
        <f>MANZ.G!#REF!</f>
        <v>#ERROR!</v>
      </c>
      <c r="P20" s="1168"/>
      <c r="Q20" s="1170" t="str">
        <f>MANZ.H!#REF!</f>
        <v>#ERROR!</v>
      </c>
      <c r="R20" s="1168"/>
      <c r="S20" s="1170" t="str">
        <f>MANZ.I!#REF!</f>
        <v>#ERROR!</v>
      </c>
      <c r="T20" s="1168"/>
      <c r="U20" s="1170" t="str">
        <f>MANZ.J!#REF!</f>
        <v>#ERROR!</v>
      </c>
      <c r="V20" s="1168"/>
      <c r="W20" s="1170" t="str">
        <f>MANZ.K!#REF!</f>
        <v>#ERROR!</v>
      </c>
      <c r="X20" s="1168"/>
      <c r="Y20" s="1170" t="str">
        <f>MANZ.L!#REF!</f>
        <v>#ERROR!</v>
      </c>
      <c r="Z20" s="1168"/>
      <c r="AA20" s="1170" t="str">
        <f>'SALA MULTIUSO'!F19</f>
        <v/>
      </c>
      <c r="AB20" s="1171"/>
      <c r="AC20" s="1171"/>
      <c r="AD20" s="1171"/>
      <c r="AE20" s="1171"/>
      <c r="AF20" s="1168"/>
      <c r="AG20" s="1172" t="str">
        <f>SUM(C20:AF20)</f>
        <v>#ERROR!</v>
      </c>
      <c r="AH20" s="1173"/>
      <c r="AI20" s="1137"/>
      <c r="AJ20" s="1137"/>
      <c r="AK20" s="1137"/>
      <c r="AL20" s="1137"/>
      <c r="AM20" s="1137"/>
      <c r="AN20" s="1137"/>
      <c r="AO20" s="1137"/>
      <c r="AP20" s="1137"/>
      <c r="AQ20" s="1137"/>
      <c r="AR20" s="1137"/>
      <c r="AS20" s="1137"/>
      <c r="AT20" s="1137"/>
      <c r="AU20" s="1137"/>
      <c r="AV20" s="1137"/>
      <c r="AW20" s="1137"/>
      <c r="AX20" s="1137"/>
      <c r="AY20" s="1137"/>
      <c r="AZ20" s="1137"/>
      <c r="BA20" s="1137"/>
    </row>
    <row r="21" ht="39.75" customHeight="1">
      <c r="A21" s="1165" t="s">
        <v>114</v>
      </c>
      <c r="B21" s="1166" t="s">
        <v>115</v>
      </c>
      <c r="C21" s="1167" t="str">
        <f>'MANZ. A'!H23</f>
        <v/>
      </c>
      <c r="D21" s="1168"/>
      <c r="E21" s="1169">
        <f>'MANZ. B'!R21</f>
        <v>5</v>
      </c>
      <c r="F21" s="1168"/>
      <c r="G21" s="1170" t="str">
        <f>MANZ.C!#REF!</f>
        <v>#ERROR!</v>
      </c>
      <c r="H21" s="1168"/>
      <c r="I21" s="1170" t="str">
        <f>MANZ.D!#REF!</f>
        <v>#ERROR!</v>
      </c>
      <c r="J21" s="1168"/>
      <c r="K21" s="1170" t="str">
        <f>MANZ.E!#REF!</f>
        <v>#ERROR!</v>
      </c>
      <c r="L21" s="1168"/>
      <c r="M21" s="1170" t="str">
        <f>MANZ.F!#REF!</f>
        <v>#ERROR!</v>
      </c>
      <c r="N21" s="1168"/>
      <c r="O21" s="1169" t="str">
        <f>MANZ.G!#REF!</f>
        <v>#ERROR!</v>
      </c>
      <c r="P21" s="1168"/>
      <c r="Q21" s="1170" t="str">
        <f>MANZ.H!#REF!</f>
        <v>#ERROR!</v>
      </c>
      <c r="R21" s="1168"/>
      <c r="S21" s="1170" t="str">
        <f>MANZ.I!#REF!</f>
        <v>#ERROR!</v>
      </c>
      <c r="T21" s="1168"/>
      <c r="U21" s="1170" t="str">
        <f>MANZ.J!#REF!</f>
        <v>#ERROR!</v>
      </c>
      <c r="V21" s="1168"/>
      <c r="W21" s="1170" t="str">
        <f>MANZ.K!#REF!</f>
        <v>#ERROR!</v>
      </c>
      <c r="X21" s="1168"/>
      <c r="Y21" s="1170" t="str">
        <f>MANZ.L!#REF!</f>
        <v>#ERROR!</v>
      </c>
      <c r="Z21" s="1168"/>
      <c r="AA21" s="1170" t="str">
        <f>'SALA MULTIUSO'!F20</f>
        <v/>
      </c>
      <c r="AB21" s="1171"/>
      <c r="AC21" s="1171"/>
      <c r="AD21" s="1171"/>
      <c r="AE21" s="1171"/>
      <c r="AF21" s="1168"/>
      <c r="AG21" s="1172" t="str">
        <f t="shared" ref="AG21:AG26" si="1">SUM(#REF!)</f>
        <v>#REF!</v>
      </c>
      <c r="AH21" s="1173"/>
      <c r="AI21" s="1137"/>
      <c r="AJ21" s="1137"/>
      <c r="AK21" s="1137"/>
      <c r="AL21" s="1137"/>
      <c r="AM21" s="1137"/>
      <c r="AN21" s="1137"/>
      <c r="AO21" s="1137"/>
      <c r="AP21" s="1137"/>
      <c r="AQ21" s="1137"/>
      <c r="AR21" s="1137"/>
      <c r="AS21" s="1137"/>
      <c r="AT21" s="1137"/>
      <c r="AU21" s="1137"/>
      <c r="AV21" s="1137"/>
      <c r="AW21" s="1137"/>
      <c r="AX21" s="1137"/>
      <c r="AY21" s="1137"/>
      <c r="AZ21" s="1137"/>
      <c r="BA21" s="1137"/>
    </row>
    <row r="22" ht="39.75" customHeight="1">
      <c r="A22" s="1165" t="s">
        <v>116</v>
      </c>
      <c r="B22" s="1166" t="s">
        <v>117</v>
      </c>
      <c r="C22" s="1167" t="str">
        <f>'MANZ. A'!H24</f>
        <v/>
      </c>
      <c r="D22" s="1168"/>
      <c r="E22" s="1169">
        <f>'MANZ. B'!R22</f>
        <v>5</v>
      </c>
      <c r="F22" s="1168"/>
      <c r="G22" s="1170" t="str">
        <f>MANZ.C!#REF!</f>
        <v>#ERROR!</v>
      </c>
      <c r="H22" s="1168"/>
      <c r="I22" s="1170" t="str">
        <f>MANZ.D!#REF!</f>
        <v>#ERROR!</v>
      </c>
      <c r="J22" s="1168"/>
      <c r="K22" s="1170" t="str">
        <f>MANZ.E!#REF!</f>
        <v>#ERROR!</v>
      </c>
      <c r="L22" s="1168"/>
      <c r="M22" s="1170" t="str">
        <f>MANZ.F!#REF!</f>
        <v>#ERROR!</v>
      </c>
      <c r="N22" s="1168"/>
      <c r="O22" s="1169" t="str">
        <f>MANZ.G!#REF!</f>
        <v>#ERROR!</v>
      </c>
      <c r="P22" s="1168"/>
      <c r="Q22" s="1170" t="str">
        <f>MANZ.H!#REF!</f>
        <v>#ERROR!</v>
      </c>
      <c r="R22" s="1168"/>
      <c r="S22" s="1170" t="str">
        <f>MANZ.I!#REF!</f>
        <v>#ERROR!</v>
      </c>
      <c r="T22" s="1168"/>
      <c r="U22" s="1170" t="str">
        <f>MANZ.J!#REF!</f>
        <v>#ERROR!</v>
      </c>
      <c r="V22" s="1168"/>
      <c r="W22" s="1170" t="str">
        <f>MANZ.K!#REF!</f>
        <v>#ERROR!</v>
      </c>
      <c r="X22" s="1168"/>
      <c r="Y22" s="1170" t="str">
        <f>MANZ.L!#REF!</f>
        <v>#ERROR!</v>
      </c>
      <c r="Z22" s="1168"/>
      <c r="AA22" s="1170" t="str">
        <f>'SALA MULTIUSO'!F21</f>
        <v/>
      </c>
      <c r="AB22" s="1171"/>
      <c r="AC22" s="1171"/>
      <c r="AD22" s="1171"/>
      <c r="AE22" s="1171"/>
      <c r="AF22" s="1168"/>
      <c r="AG22" s="1172" t="str">
        <f t="shared" si="1"/>
        <v>#REF!</v>
      </c>
      <c r="AH22" s="1173"/>
      <c r="AI22" s="1137"/>
      <c r="AJ22" s="1137"/>
      <c r="AK22" s="1137"/>
      <c r="AL22" s="1137"/>
      <c r="AM22" s="1137"/>
      <c r="AN22" s="1137"/>
      <c r="AO22" s="1137"/>
      <c r="AP22" s="1137"/>
      <c r="AQ22" s="1137"/>
      <c r="AR22" s="1137"/>
      <c r="AS22" s="1137"/>
      <c r="AT22" s="1137"/>
      <c r="AU22" s="1137"/>
      <c r="AV22" s="1137"/>
      <c r="AW22" s="1137"/>
      <c r="AX22" s="1137"/>
      <c r="AY22" s="1137"/>
      <c r="AZ22" s="1137"/>
      <c r="BA22" s="1137"/>
    </row>
    <row r="23" ht="39.75" customHeight="1">
      <c r="A23" s="1165" t="s">
        <v>118</v>
      </c>
      <c r="B23" s="1166" t="s">
        <v>119</v>
      </c>
      <c r="C23" s="1167" t="str">
        <f>'MANZ. A'!H25</f>
        <v/>
      </c>
      <c r="D23" s="1168"/>
      <c r="E23" s="1169">
        <f>'MANZ. B'!R23</f>
        <v>5</v>
      </c>
      <c r="F23" s="1168"/>
      <c r="G23" s="1170" t="str">
        <f>MANZ.C!#REF!</f>
        <v>#ERROR!</v>
      </c>
      <c r="H23" s="1168"/>
      <c r="I23" s="1170" t="str">
        <f>MANZ.D!#REF!</f>
        <v>#ERROR!</v>
      </c>
      <c r="J23" s="1168"/>
      <c r="K23" s="1170" t="str">
        <f>MANZ.E!#REF!</f>
        <v>#ERROR!</v>
      </c>
      <c r="L23" s="1168"/>
      <c r="M23" s="1170" t="str">
        <f>MANZ.F!#REF!</f>
        <v>#ERROR!</v>
      </c>
      <c r="N23" s="1168"/>
      <c r="O23" s="1169" t="str">
        <f>MANZ.G!#REF!</f>
        <v>#ERROR!</v>
      </c>
      <c r="P23" s="1168"/>
      <c r="Q23" s="1170" t="str">
        <f>MANZ.H!#REF!</f>
        <v>#ERROR!</v>
      </c>
      <c r="R23" s="1168"/>
      <c r="S23" s="1170" t="str">
        <f>MANZ.I!#REF!</f>
        <v>#ERROR!</v>
      </c>
      <c r="T23" s="1168"/>
      <c r="U23" s="1170" t="str">
        <f>MANZ.J!#REF!</f>
        <v>#ERROR!</v>
      </c>
      <c r="V23" s="1168"/>
      <c r="W23" s="1170" t="str">
        <f>MANZ.K!#REF!</f>
        <v>#ERROR!</v>
      </c>
      <c r="X23" s="1168"/>
      <c r="Y23" s="1170" t="str">
        <f>MANZ.L!#REF!</f>
        <v>#ERROR!</v>
      </c>
      <c r="Z23" s="1168"/>
      <c r="AA23" s="1170" t="str">
        <f>'SALA MULTIUSO'!F22</f>
        <v/>
      </c>
      <c r="AB23" s="1171"/>
      <c r="AC23" s="1171"/>
      <c r="AD23" s="1171"/>
      <c r="AE23" s="1171"/>
      <c r="AF23" s="1168"/>
      <c r="AG23" s="1172" t="str">
        <f t="shared" si="1"/>
        <v>#REF!</v>
      </c>
      <c r="AH23" s="1173"/>
      <c r="AI23" s="1137"/>
      <c r="AJ23" s="1137"/>
      <c r="AK23" s="1137"/>
      <c r="AL23" s="1137"/>
      <c r="AM23" s="1137"/>
      <c r="AN23" s="1137"/>
      <c r="AO23" s="1137"/>
      <c r="AP23" s="1137"/>
      <c r="AQ23" s="1137"/>
      <c r="AR23" s="1137"/>
      <c r="AS23" s="1137"/>
      <c r="AT23" s="1137"/>
      <c r="AU23" s="1137"/>
      <c r="AV23" s="1137"/>
      <c r="AW23" s="1137"/>
      <c r="AX23" s="1137"/>
      <c r="AY23" s="1137"/>
      <c r="AZ23" s="1137"/>
      <c r="BA23" s="1137"/>
    </row>
    <row r="24" ht="39.75" customHeight="1">
      <c r="A24" s="1165" t="s">
        <v>120</v>
      </c>
      <c r="B24" s="1166" t="s">
        <v>121</v>
      </c>
      <c r="C24" s="1167" t="str">
        <f>'MANZ. A'!H26</f>
        <v/>
      </c>
      <c r="D24" s="1168"/>
      <c r="E24" s="1169">
        <f>'MANZ. B'!R24</f>
        <v>5</v>
      </c>
      <c r="F24" s="1168"/>
      <c r="G24" s="1170" t="str">
        <f>MANZ.C!#REF!</f>
        <v>#ERROR!</v>
      </c>
      <c r="H24" s="1168"/>
      <c r="I24" s="1170" t="str">
        <f>MANZ.D!#REF!</f>
        <v>#ERROR!</v>
      </c>
      <c r="J24" s="1168"/>
      <c r="K24" s="1170" t="str">
        <f>MANZ.E!#REF!</f>
        <v>#ERROR!</v>
      </c>
      <c r="L24" s="1168"/>
      <c r="M24" s="1170" t="str">
        <f>MANZ.F!#REF!</f>
        <v>#ERROR!</v>
      </c>
      <c r="N24" s="1168"/>
      <c r="O24" s="1169" t="str">
        <f>MANZ.G!#REF!</f>
        <v>#ERROR!</v>
      </c>
      <c r="P24" s="1168"/>
      <c r="Q24" s="1170" t="str">
        <f>MANZ.H!#REF!</f>
        <v>#ERROR!</v>
      </c>
      <c r="R24" s="1168"/>
      <c r="S24" s="1170" t="str">
        <f>MANZ.I!#REF!</f>
        <v>#ERROR!</v>
      </c>
      <c r="T24" s="1168"/>
      <c r="U24" s="1170" t="str">
        <f>MANZ.J!#REF!</f>
        <v>#ERROR!</v>
      </c>
      <c r="V24" s="1168"/>
      <c r="W24" s="1170" t="str">
        <f>MANZ.K!#REF!</f>
        <v>#ERROR!</v>
      </c>
      <c r="X24" s="1168"/>
      <c r="Y24" s="1170" t="str">
        <f>MANZ.L!#REF!</f>
        <v>#ERROR!</v>
      </c>
      <c r="Z24" s="1168"/>
      <c r="AA24" s="1170" t="str">
        <f>'SALA MULTIUSO'!F23</f>
        <v/>
      </c>
      <c r="AB24" s="1171"/>
      <c r="AC24" s="1171"/>
      <c r="AD24" s="1171"/>
      <c r="AE24" s="1171"/>
      <c r="AF24" s="1168"/>
      <c r="AG24" s="1172" t="str">
        <f t="shared" si="1"/>
        <v>#REF!</v>
      </c>
      <c r="AH24" s="1173"/>
      <c r="AI24" s="1137"/>
      <c r="AJ24" s="1137"/>
      <c r="AK24" s="1137"/>
      <c r="AL24" s="1137"/>
      <c r="AM24" s="1137"/>
      <c r="AN24" s="1137"/>
      <c r="AO24" s="1137"/>
      <c r="AP24" s="1137"/>
      <c r="AQ24" s="1137"/>
      <c r="AR24" s="1137"/>
      <c r="AS24" s="1137"/>
      <c r="AT24" s="1137"/>
      <c r="AU24" s="1137"/>
      <c r="AV24" s="1137"/>
      <c r="AW24" s="1137"/>
      <c r="AX24" s="1137"/>
      <c r="AY24" s="1137"/>
      <c r="AZ24" s="1137"/>
      <c r="BA24" s="1137"/>
    </row>
    <row r="25" ht="39.75" customHeight="1">
      <c r="A25" s="1165" t="s">
        <v>122</v>
      </c>
      <c r="B25" s="1166" t="s">
        <v>123</v>
      </c>
      <c r="C25" s="1167" t="str">
        <f>'MANZ. A'!H27</f>
        <v/>
      </c>
      <c r="D25" s="1168"/>
      <c r="E25" s="1169">
        <f>'MANZ. B'!R25</f>
        <v>5</v>
      </c>
      <c r="F25" s="1168"/>
      <c r="G25" s="1170" t="str">
        <f>MANZ.C!#REF!</f>
        <v>#ERROR!</v>
      </c>
      <c r="H25" s="1168"/>
      <c r="I25" s="1170" t="str">
        <f>MANZ.D!#REF!</f>
        <v>#ERROR!</v>
      </c>
      <c r="J25" s="1168"/>
      <c r="K25" s="1170" t="str">
        <f>MANZ.E!#REF!</f>
        <v>#ERROR!</v>
      </c>
      <c r="L25" s="1168"/>
      <c r="M25" s="1170" t="str">
        <f>MANZ.F!#REF!</f>
        <v>#ERROR!</v>
      </c>
      <c r="N25" s="1168"/>
      <c r="O25" s="1169" t="str">
        <f>MANZ.G!#REF!</f>
        <v>#ERROR!</v>
      </c>
      <c r="P25" s="1168"/>
      <c r="Q25" s="1170" t="str">
        <f>MANZ.H!#REF!</f>
        <v>#ERROR!</v>
      </c>
      <c r="R25" s="1168"/>
      <c r="S25" s="1170" t="str">
        <f>MANZ.I!#REF!</f>
        <v>#ERROR!</v>
      </c>
      <c r="T25" s="1168"/>
      <c r="U25" s="1170" t="str">
        <f>MANZ.J!#REF!</f>
        <v>#ERROR!</v>
      </c>
      <c r="V25" s="1168"/>
      <c r="W25" s="1170" t="str">
        <f>MANZ.K!#REF!</f>
        <v>#ERROR!</v>
      </c>
      <c r="X25" s="1168"/>
      <c r="Y25" s="1170" t="str">
        <f>MANZ.L!#REF!</f>
        <v>#ERROR!</v>
      </c>
      <c r="Z25" s="1168"/>
      <c r="AA25" s="1170" t="str">
        <f>'SALA MULTIUSO'!F24</f>
        <v/>
      </c>
      <c r="AB25" s="1171"/>
      <c r="AC25" s="1171"/>
      <c r="AD25" s="1171"/>
      <c r="AE25" s="1171"/>
      <c r="AF25" s="1168"/>
      <c r="AG25" s="1172" t="str">
        <f t="shared" si="1"/>
        <v>#REF!</v>
      </c>
      <c r="AH25" s="1173"/>
      <c r="AI25" s="1137"/>
      <c r="AJ25" s="1137"/>
      <c r="AK25" s="1137"/>
      <c r="AL25" s="1137"/>
      <c r="AM25" s="1137"/>
      <c r="AN25" s="1137"/>
      <c r="AO25" s="1137"/>
      <c r="AP25" s="1137"/>
      <c r="AQ25" s="1137"/>
      <c r="AR25" s="1137"/>
      <c r="AS25" s="1137"/>
      <c r="AT25" s="1137"/>
      <c r="AU25" s="1137"/>
      <c r="AV25" s="1137"/>
      <c r="AW25" s="1137"/>
      <c r="AX25" s="1137"/>
      <c r="AY25" s="1137"/>
      <c r="AZ25" s="1137"/>
      <c r="BA25" s="1137"/>
    </row>
    <row r="26" ht="39.75" customHeight="1">
      <c r="A26" s="1165" t="s">
        <v>124</v>
      </c>
      <c r="B26" s="1166" t="s">
        <v>125</v>
      </c>
      <c r="C26" s="1167" t="str">
        <f>'MANZ. A'!H28</f>
        <v/>
      </c>
      <c r="D26" s="1168"/>
      <c r="E26" s="1169">
        <f>'MANZ. B'!R26</f>
        <v>5</v>
      </c>
      <c r="F26" s="1168"/>
      <c r="G26" s="1170" t="str">
        <f>MANZ.C!#REF!</f>
        <v>#ERROR!</v>
      </c>
      <c r="H26" s="1168"/>
      <c r="I26" s="1170" t="str">
        <f>MANZ.D!#REF!</f>
        <v>#ERROR!</v>
      </c>
      <c r="J26" s="1168"/>
      <c r="K26" s="1170" t="str">
        <f>MANZ.E!#REF!</f>
        <v>#ERROR!</v>
      </c>
      <c r="L26" s="1168"/>
      <c r="M26" s="1170" t="str">
        <f>MANZ.F!#REF!</f>
        <v>#ERROR!</v>
      </c>
      <c r="N26" s="1168"/>
      <c r="O26" s="1169" t="str">
        <f>MANZ.G!#REF!</f>
        <v>#ERROR!</v>
      </c>
      <c r="P26" s="1168"/>
      <c r="Q26" s="1170" t="str">
        <f>MANZ.H!#REF!</f>
        <v>#ERROR!</v>
      </c>
      <c r="R26" s="1168"/>
      <c r="S26" s="1170" t="str">
        <f>MANZ.I!#REF!</f>
        <v>#ERROR!</v>
      </c>
      <c r="T26" s="1168"/>
      <c r="U26" s="1170" t="str">
        <f>MANZ.J!#REF!</f>
        <v>#ERROR!</v>
      </c>
      <c r="V26" s="1168"/>
      <c r="W26" s="1170" t="str">
        <f>MANZ.K!#REF!</f>
        <v>#ERROR!</v>
      </c>
      <c r="X26" s="1168"/>
      <c r="Y26" s="1170" t="str">
        <f>MANZ.L!#REF!</f>
        <v>#ERROR!</v>
      </c>
      <c r="Z26" s="1168"/>
      <c r="AA26" s="1170" t="str">
        <f>'SALA MULTIUSO'!F25</f>
        <v/>
      </c>
      <c r="AB26" s="1171"/>
      <c r="AC26" s="1171"/>
      <c r="AD26" s="1171"/>
      <c r="AE26" s="1171"/>
      <c r="AF26" s="1168"/>
      <c r="AG26" s="1172" t="str">
        <f t="shared" si="1"/>
        <v>#REF!</v>
      </c>
      <c r="AH26" s="1173"/>
      <c r="AI26" s="1137"/>
      <c r="AJ26" s="1137"/>
      <c r="AK26" s="1137"/>
      <c r="AL26" s="1137"/>
      <c r="AM26" s="1137"/>
      <c r="AN26" s="1137"/>
      <c r="AO26" s="1137"/>
      <c r="AP26" s="1137"/>
      <c r="AQ26" s="1137"/>
      <c r="AR26" s="1137"/>
      <c r="AS26" s="1137"/>
      <c r="AT26" s="1137"/>
      <c r="AU26" s="1137"/>
      <c r="AV26" s="1137"/>
      <c r="AW26" s="1137"/>
      <c r="AX26" s="1137"/>
      <c r="AY26" s="1137"/>
      <c r="AZ26" s="1137"/>
      <c r="BA26" s="1137"/>
    </row>
    <row r="27" ht="39.75" customHeight="1">
      <c r="A27" s="1174" t="s">
        <v>126</v>
      </c>
      <c r="B27" s="1175" t="s">
        <v>127</v>
      </c>
      <c r="C27" s="1163"/>
      <c r="D27" s="1163"/>
      <c r="E27" s="1163"/>
      <c r="F27" s="1163"/>
      <c r="G27" s="1163"/>
      <c r="H27" s="1163"/>
      <c r="I27" s="1163"/>
      <c r="J27" s="1163"/>
      <c r="K27" s="1163"/>
      <c r="L27" s="1163"/>
      <c r="M27" s="1163"/>
      <c r="N27" s="1163"/>
      <c r="O27" s="1163"/>
      <c r="P27" s="1163"/>
      <c r="Q27" s="1163"/>
      <c r="R27" s="1163"/>
      <c r="S27" s="1163"/>
      <c r="T27" s="1163"/>
      <c r="U27" s="1163"/>
      <c r="V27" s="1163"/>
      <c r="W27" s="1163"/>
      <c r="X27" s="1163"/>
      <c r="Y27" s="1163"/>
      <c r="Z27" s="1163"/>
      <c r="AA27" s="1163"/>
      <c r="AB27" s="1163"/>
      <c r="AC27" s="1163"/>
      <c r="AD27" s="1163"/>
      <c r="AE27" s="1163"/>
      <c r="AF27" s="1163"/>
      <c r="AG27" s="1163"/>
      <c r="AH27" s="1164"/>
      <c r="AI27" s="1137"/>
      <c r="AJ27" s="1137"/>
      <c r="AK27" s="1137"/>
      <c r="AL27" s="1137"/>
      <c r="AM27" s="1137"/>
      <c r="AN27" s="1137"/>
      <c r="AO27" s="1137"/>
      <c r="AP27" s="1137"/>
      <c r="AQ27" s="1137"/>
      <c r="AR27" s="1137"/>
      <c r="AS27" s="1137"/>
      <c r="AT27" s="1137"/>
      <c r="AU27" s="1137"/>
      <c r="AV27" s="1137"/>
      <c r="AW27" s="1137"/>
      <c r="AX27" s="1137"/>
      <c r="AY27" s="1137"/>
      <c r="AZ27" s="1137"/>
      <c r="BA27" s="1137"/>
    </row>
    <row r="28" ht="39.75" customHeight="1">
      <c r="A28" s="1165" t="s">
        <v>128</v>
      </c>
      <c r="B28" s="1166" t="s">
        <v>129</v>
      </c>
      <c r="C28" s="1167" t="str">
        <f>'MANZ. A'!H30</f>
        <v/>
      </c>
      <c r="D28" s="1168"/>
      <c r="E28" s="1169" t="str">
        <f>'MANZ. B'!R18</f>
        <v/>
      </c>
      <c r="F28" s="1168"/>
      <c r="G28" s="1170" t="str">
        <f>MANZ.C!AL17</f>
        <v/>
      </c>
      <c r="H28" s="1168"/>
      <c r="I28" s="1170" t="str">
        <f>MANZ.D!Z17</f>
        <v/>
      </c>
      <c r="J28" s="1168"/>
      <c r="K28" s="1170" t="str">
        <f>MANZ.E!AL18</f>
        <v/>
      </c>
      <c r="L28" s="1168"/>
      <c r="M28" s="1170" t="str">
        <f>MANZ.F!AB17</f>
        <v/>
      </c>
      <c r="N28" s="1168"/>
      <c r="O28" s="1169" t="str">
        <f>MANZ.G!AT20</f>
        <v/>
      </c>
      <c r="P28" s="1168"/>
      <c r="Q28" s="1170" t="str">
        <f>MANZ.H!V18</f>
        <v/>
      </c>
      <c r="R28" s="1168"/>
      <c r="S28" s="1170" t="str">
        <f>MANZ.I!AB18</f>
        <v/>
      </c>
      <c r="T28" s="1168"/>
      <c r="U28" s="1170" t="str">
        <f>MANZ.J!AT21</f>
        <v/>
      </c>
      <c r="V28" s="1168"/>
      <c r="W28" s="1170" t="str">
        <f>MANZ.K!AB18</f>
        <v/>
      </c>
      <c r="X28" s="1168"/>
      <c r="Y28" s="1170" t="str">
        <f>MANZ.L!Z18</f>
        <v/>
      </c>
      <c r="Z28" s="1168"/>
      <c r="AA28" s="1170" t="str">
        <f>'SALA MULTIUSO'!F27</f>
        <v/>
      </c>
      <c r="AB28" s="1171"/>
      <c r="AC28" s="1171"/>
      <c r="AD28" s="1171"/>
      <c r="AE28" s="1171"/>
      <c r="AF28" s="1168"/>
      <c r="AG28" s="1172">
        <f t="shared" ref="AG28:AG29" si="2">SUM(C18:AA18)</f>
        <v>0</v>
      </c>
      <c r="AH28" s="1173"/>
      <c r="AI28" s="1137"/>
      <c r="AJ28" s="1137"/>
      <c r="AK28" s="1137"/>
      <c r="AL28" s="1137"/>
      <c r="AM28" s="1137"/>
      <c r="AN28" s="1137"/>
      <c r="AO28" s="1137"/>
      <c r="AP28" s="1137"/>
      <c r="AQ28" s="1137"/>
      <c r="AR28" s="1137"/>
      <c r="AS28" s="1137"/>
      <c r="AT28" s="1137"/>
      <c r="AU28" s="1137"/>
      <c r="AV28" s="1137"/>
      <c r="AW28" s="1137"/>
      <c r="AX28" s="1137"/>
      <c r="AY28" s="1137"/>
      <c r="AZ28" s="1137"/>
      <c r="BA28" s="1137"/>
    </row>
    <row r="29" ht="39.75" customHeight="1">
      <c r="A29" s="1165" t="s">
        <v>130</v>
      </c>
      <c r="B29" s="1166" t="s">
        <v>131</v>
      </c>
      <c r="C29" s="1167" t="str">
        <f>'MANZ. A'!H31</f>
        <v/>
      </c>
      <c r="D29" s="1168"/>
      <c r="E29" s="1169" t="str">
        <f>'MANZ. B'!R19</f>
        <v/>
      </c>
      <c r="F29" s="1168"/>
      <c r="G29" s="1170" t="str">
        <f>MANZ.C!AL18</f>
        <v/>
      </c>
      <c r="H29" s="1168"/>
      <c r="I29" s="1170" t="str">
        <f>MANZ.D!Z18</f>
        <v/>
      </c>
      <c r="J29" s="1168"/>
      <c r="K29" s="1170" t="str">
        <f>MANZ.E!AL18</f>
        <v/>
      </c>
      <c r="L29" s="1168"/>
      <c r="M29" s="1170" t="str">
        <f>MANZ.F!AB18</f>
        <v/>
      </c>
      <c r="N29" s="1168"/>
      <c r="O29" s="1169" t="str">
        <f>MANZ.G!AT21</f>
        <v/>
      </c>
      <c r="P29" s="1168"/>
      <c r="Q29" s="1170" t="str">
        <f>MANZ.H!V19</f>
        <v/>
      </c>
      <c r="R29" s="1168"/>
      <c r="S29" s="1170" t="str">
        <f>MANZ.I!AB19</f>
        <v/>
      </c>
      <c r="T29" s="1168"/>
      <c r="U29" s="1170" t="str">
        <f>MANZ.J!AT22</f>
        <v/>
      </c>
      <c r="V29" s="1168"/>
      <c r="W29" s="1170" t="str">
        <f>MANZ.K!AB19</f>
        <v/>
      </c>
      <c r="X29" s="1168"/>
      <c r="Y29" s="1170" t="str">
        <f>MANZ.L!Z19</f>
        <v/>
      </c>
      <c r="Z29" s="1168"/>
      <c r="AA29" s="1170" t="str">
        <f>'SALA MULTIUSO'!F28</f>
        <v/>
      </c>
      <c r="AB29" s="1171"/>
      <c r="AC29" s="1171"/>
      <c r="AD29" s="1171"/>
      <c r="AE29" s="1171"/>
      <c r="AF29" s="1168"/>
      <c r="AG29" s="1172">
        <f t="shared" si="2"/>
        <v>0</v>
      </c>
      <c r="AH29" s="1173"/>
      <c r="AI29" s="1137"/>
      <c r="AJ29" s="1137"/>
      <c r="AK29" s="1137"/>
      <c r="AL29" s="1137"/>
      <c r="AM29" s="1137"/>
      <c r="AN29" s="1137"/>
      <c r="AO29" s="1137"/>
      <c r="AP29" s="1137"/>
      <c r="AQ29" s="1137"/>
      <c r="AR29" s="1137"/>
      <c r="AS29" s="1137"/>
      <c r="AT29" s="1137"/>
      <c r="AU29" s="1137"/>
      <c r="AV29" s="1137"/>
      <c r="AW29" s="1137"/>
      <c r="AX29" s="1137"/>
      <c r="AY29" s="1137"/>
      <c r="AZ29" s="1137"/>
      <c r="BA29" s="1137"/>
    </row>
    <row r="30" ht="39.75" customHeight="1">
      <c r="A30" s="1174" t="s">
        <v>132</v>
      </c>
      <c r="B30" s="1175" t="s">
        <v>133</v>
      </c>
      <c r="C30" s="1163"/>
      <c r="D30" s="1163"/>
      <c r="E30" s="1163"/>
      <c r="F30" s="1163"/>
      <c r="G30" s="1163"/>
      <c r="H30" s="1163"/>
      <c r="I30" s="1163"/>
      <c r="J30" s="1163"/>
      <c r="K30" s="1163"/>
      <c r="L30" s="1163"/>
      <c r="M30" s="1163"/>
      <c r="N30" s="1163"/>
      <c r="O30" s="1163"/>
      <c r="P30" s="1163"/>
      <c r="Q30" s="1163"/>
      <c r="R30" s="1163"/>
      <c r="S30" s="1163"/>
      <c r="T30" s="1163"/>
      <c r="U30" s="1163"/>
      <c r="V30" s="1163"/>
      <c r="W30" s="1163"/>
      <c r="X30" s="1163"/>
      <c r="Y30" s="1163"/>
      <c r="Z30" s="1163"/>
      <c r="AA30" s="1163"/>
      <c r="AB30" s="1163"/>
      <c r="AC30" s="1163"/>
      <c r="AD30" s="1163"/>
      <c r="AE30" s="1163"/>
      <c r="AF30" s="1163"/>
      <c r="AG30" s="1163"/>
      <c r="AH30" s="1164"/>
      <c r="AI30" s="1137"/>
      <c r="AJ30" s="1137"/>
      <c r="AK30" s="1137"/>
      <c r="AL30" s="1137"/>
      <c r="AM30" s="1137"/>
      <c r="AN30" s="1137"/>
      <c r="AO30" s="1137"/>
      <c r="AP30" s="1137"/>
      <c r="AQ30" s="1137"/>
      <c r="AR30" s="1137"/>
      <c r="AS30" s="1137"/>
      <c r="AT30" s="1137"/>
      <c r="AU30" s="1137"/>
      <c r="AV30" s="1137"/>
      <c r="AW30" s="1137"/>
      <c r="AX30" s="1137"/>
      <c r="AY30" s="1137"/>
      <c r="AZ30" s="1137"/>
      <c r="BA30" s="1137"/>
    </row>
    <row r="31" ht="39.75" customHeight="1">
      <c r="A31" s="1165" t="s">
        <v>134</v>
      </c>
      <c r="B31" s="1166" t="s">
        <v>135</v>
      </c>
      <c r="C31" s="1167" t="str">
        <f>'MANZ. A'!H33</f>
        <v/>
      </c>
      <c r="D31" s="1168"/>
      <c r="E31" s="1169">
        <f>'MANZ. B'!R22</f>
        <v>5</v>
      </c>
      <c r="F31" s="1168"/>
      <c r="G31" s="1170">
        <f>MANZ.C!AL21</f>
        <v>17</v>
      </c>
      <c r="H31" s="1168"/>
      <c r="I31" s="1170">
        <f>MANZ.D!Z21</f>
        <v>11</v>
      </c>
      <c r="J31" s="1168"/>
      <c r="K31" s="1169">
        <f>MANZ.E!AK22</f>
        <v>17</v>
      </c>
      <c r="L31" s="1168"/>
      <c r="M31" s="1170">
        <f>MANZ.F!AB21</f>
        <v>12</v>
      </c>
      <c r="N31" s="1168"/>
      <c r="O31" s="1169">
        <f>MANZ.G!AT23</f>
        <v>19</v>
      </c>
      <c r="P31" s="1168"/>
      <c r="Q31" s="1170">
        <f>MANZ.H!V22</f>
        <v>9</v>
      </c>
      <c r="R31" s="1168"/>
      <c r="S31" s="1170">
        <f>MANZ.I!AB22</f>
        <v>12</v>
      </c>
      <c r="T31" s="1168"/>
      <c r="U31" s="1170">
        <f>MANZ.J!AT25</f>
        <v>21</v>
      </c>
      <c r="V31" s="1168"/>
      <c r="W31" s="1170">
        <f>MANZ.K!AB22</f>
        <v>12</v>
      </c>
      <c r="X31" s="1168"/>
      <c r="Y31" s="1170">
        <f>MANZ.L!Z22</f>
        <v>11</v>
      </c>
      <c r="Z31" s="1168"/>
      <c r="AA31" s="1169" t="str">
        <f>'SALA MULTIUSO'!F31</f>
        <v/>
      </c>
      <c r="AB31" s="1171"/>
      <c r="AC31" s="1171"/>
      <c r="AD31" s="1171"/>
      <c r="AE31" s="1171"/>
      <c r="AF31" s="1168"/>
      <c r="AG31" s="1172" t="str">
        <f>SUM(C22:AA22)</f>
        <v>#ERROR!</v>
      </c>
      <c r="AH31" s="1173"/>
      <c r="AI31" s="1137"/>
      <c r="AJ31" s="1137"/>
      <c r="AK31" s="1137"/>
      <c r="AL31" s="1137"/>
      <c r="AM31" s="1137"/>
      <c r="AN31" s="1137"/>
      <c r="AO31" s="1137"/>
      <c r="AP31" s="1137"/>
      <c r="AQ31" s="1137"/>
      <c r="AR31" s="1137"/>
      <c r="AS31" s="1137"/>
      <c r="AT31" s="1137"/>
      <c r="AU31" s="1137"/>
      <c r="AV31" s="1137"/>
      <c r="AW31" s="1137"/>
      <c r="AX31" s="1137"/>
      <c r="AY31" s="1137"/>
      <c r="AZ31" s="1137"/>
      <c r="BA31" s="1137"/>
    </row>
    <row r="32" ht="39.75" customHeight="1">
      <c r="A32" s="1174" t="s">
        <v>136</v>
      </c>
      <c r="B32" s="1175" t="s">
        <v>137</v>
      </c>
      <c r="C32" s="1163"/>
      <c r="D32" s="1163"/>
      <c r="E32" s="1163"/>
      <c r="F32" s="1163"/>
      <c r="G32" s="1163"/>
      <c r="H32" s="1163"/>
      <c r="I32" s="1163"/>
      <c r="J32" s="1163"/>
      <c r="K32" s="1163"/>
      <c r="L32" s="1163"/>
      <c r="M32" s="1163"/>
      <c r="N32" s="1163"/>
      <c r="O32" s="1163"/>
      <c r="P32" s="1163"/>
      <c r="Q32" s="1163"/>
      <c r="R32" s="1163"/>
      <c r="S32" s="1163"/>
      <c r="T32" s="1163"/>
      <c r="U32" s="1163"/>
      <c r="V32" s="1163"/>
      <c r="W32" s="1163"/>
      <c r="X32" s="1163"/>
      <c r="Y32" s="1163"/>
      <c r="Z32" s="1163"/>
      <c r="AA32" s="1163"/>
      <c r="AB32" s="1163"/>
      <c r="AC32" s="1163"/>
      <c r="AD32" s="1163"/>
      <c r="AE32" s="1163"/>
      <c r="AF32" s="1163"/>
      <c r="AG32" s="1163"/>
      <c r="AH32" s="1164"/>
      <c r="AI32" s="1137"/>
      <c r="AJ32" s="1137"/>
      <c r="AK32" s="1137"/>
      <c r="AL32" s="1137"/>
      <c r="AM32" s="1137"/>
      <c r="AN32" s="1137"/>
      <c r="AO32" s="1137"/>
      <c r="AP32" s="1137"/>
      <c r="AQ32" s="1137"/>
      <c r="AR32" s="1137"/>
      <c r="AS32" s="1137"/>
      <c r="AT32" s="1137"/>
      <c r="AU32" s="1137"/>
      <c r="AV32" s="1137"/>
      <c r="AW32" s="1137"/>
      <c r="AX32" s="1137"/>
      <c r="AY32" s="1137"/>
      <c r="AZ32" s="1137"/>
      <c r="BA32" s="1137"/>
    </row>
    <row r="33" ht="39.75" customHeight="1">
      <c r="A33" s="1165" t="s">
        <v>138</v>
      </c>
      <c r="B33" s="1166" t="s">
        <v>139</v>
      </c>
      <c r="C33" s="1167" t="str">
        <f>'MANZ. A'!H35</f>
        <v/>
      </c>
      <c r="D33" s="1168"/>
      <c r="E33" s="1169">
        <f>'MANZ. B'!R25</f>
        <v>5</v>
      </c>
      <c r="F33" s="1168"/>
      <c r="G33" s="1170">
        <f>MANZ.C!AL24</f>
        <v>17</v>
      </c>
      <c r="H33" s="1168"/>
      <c r="I33" s="1169">
        <f>MANZ.D!Z24</f>
        <v>11</v>
      </c>
      <c r="J33" s="1168"/>
      <c r="K33" s="1169">
        <f>MANZ.E!AK25</f>
        <v>17</v>
      </c>
      <c r="L33" s="1168"/>
      <c r="M33" s="1169">
        <f>MANZ.F!AB24</f>
        <v>11</v>
      </c>
      <c r="N33" s="1168"/>
      <c r="O33" s="1169">
        <f>MANZ.G!AT25</f>
        <v>19</v>
      </c>
      <c r="P33" s="1168"/>
      <c r="Q33" s="1170">
        <f>MANZ.H!V25</f>
        <v>9</v>
      </c>
      <c r="R33" s="1168"/>
      <c r="S33" s="1169">
        <f>MANZ.I!AB25</f>
        <v>12</v>
      </c>
      <c r="T33" s="1168"/>
      <c r="U33" s="1169">
        <f>MANZ.J!AT28</f>
        <v>21</v>
      </c>
      <c r="V33" s="1168"/>
      <c r="W33" s="1169">
        <f>MANZ.K!AB25</f>
        <v>12</v>
      </c>
      <c r="X33" s="1168"/>
      <c r="Y33" s="1169">
        <f>MANZ.L!Z25</f>
        <v>11</v>
      </c>
      <c r="Z33" s="1168"/>
      <c r="AA33" s="1169" t="str">
        <f>'SALA MULTIUSO'!F34</f>
        <v/>
      </c>
      <c r="AB33" s="1171"/>
      <c r="AC33" s="1171"/>
      <c r="AD33" s="1171"/>
      <c r="AE33" s="1171"/>
      <c r="AF33" s="1168"/>
      <c r="AG33" s="1172" t="str">
        <f>SUM(C25:AA25)</f>
        <v>#ERROR!</v>
      </c>
      <c r="AH33" s="1173"/>
      <c r="AI33" s="1137"/>
      <c r="AJ33" s="1137"/>
      <c r="AK33" s="1137"/>
      <c r="AL33" s="1137"/>
      <c r="AM33" s="1137"/>
      <c r="AN33" s="1137"/>
      <c r="AO33" s="1137"/>
      <c r="AP33" s="1137"/>
      <c r="AQ33" s="1137"/>
      <c r="AR33" s="1137"/>
      <c r="AS33" s="1137"/>
      <c r="AT33" s="1137"/>
      <c r="AU33" s="1137"/>
      <c r="AV33" s="1137"/>
      <c r="AW33" s="1137"/>
      <c r="AX33" s="1137"/>
      <c r="AY33" s="1137"/>
      <c r="AZ33" s="1137"/>
      <c r="BA33" s="1137"/>
    </row>
    <row r="34" ht="39.75" customHeight="1">
      <c r="A34" s="1176" t="s">
        <v>140</v>
      </c>
      <c r="B34" s="1177" t="s">
        <v>141</v>
      </c>
      <c r="C34" s="1167"/>
      <c r="D34" s="1168"/>
      <c r="E34" s="1169"/>
      <c r="F34" s="1168"/>
      <c r="G34" s="1169"/>
      <c r="H34" s="1168"/>
      <c r="I34" s="1169"/>
      <c r="J34" s="1168"/>
      <c r="K34" s="1169"/>
      <c r="L34" s="1168"/>
      <c r="M34" s="1169"/>
      <c r="N34" s="1168"/>
      <c r="O34" s="1169">
        <f>MANZ.G!AS30</f>
        <v>19</v>
      </c>
      <c r="P34" s="1168"/>
      <c r="Q34" s="1169"/>
      <c r="R34" s="1168"/>
      <c r="S34" s="1169"/>
      <c r="T34" s="1168"/>
      <c r="U34" s="1169"/>
      <c r="V34" s="1168"/>
      <c r="W34" s="1169"/>
      <c r="X34" s="1168"/>
      <c r="Y34" s="1169"/>
      <c r="Z34" s="1168"/>
      <c r="AA34" s="1169"/>
      <c r="AB34" s="1171"/>
      <c r="AC34" s="1171"/>
      <c r="AD34" s="1171"/>
      <c r="AE34" s="1171"/>
      <c r="AF34" s="1168"/>
      <c r="AG34" s="1172">
        <f>SUM(C35:AA35)</f>
        <v>0</v>
      </c>
      <c r="AH34" s="1173"/>
    </row>
    <row r="35" ht="39.75" customHeight="1">
      <c r="A35" s="1174" t="s">
        <v>142</v>
      </c>
      <c r="B35" s="1175" t="s">
        <v>143</v>
      </c>
      <c r="C35" s="1163"/>
      <c r="D35" s="1163"/>
      <c r="E35" s="1163"/>
      <c r="F35" s="1163"/>
      <c r="G35" s="1163"/>
      <c r="H35" s="1163"/>
      <c r="I35" s="1163"/>
      <c r="J35" s="1163"/>
      <c r="K35" s="1163"/>
      <c r="L35" s="1163"/>
      <c r="M35" s="1163"/>
      <c r="N35" s="1163"/>
      <c r="O35" s="1163"/>
      <c r="P35" s="1163"/>
      <c r="Q35" s="1163"/>
      <c r="R35" s="1163"/>
      <c r="S35" s="1163"/>
      <c r="T35" s="1163"/>
      <c r="U35" s="1163"/>
      <c r="V35" s="1163"/>
      <c r="W35" s="1163"/>
      <c r="X35" s="1163"/>
      <c r="Y35" s="1163"/>
      <c r="Z35" s="1163"/>
      <c r="AA35" s="1163"/>
      <c r="AB35" s="1163"/>
      <c r="AC35" s="1163"/>
      <c r="AD35" s="1163"/>
      <c r="AE35" s="1163"/>
      <c r="AF35" s="1163"/>
      <c r="AG35" s="1163"/>
      <c r="AH35" s="1164"/>
      <c r="AI35" s="1137"/>
      <c r="AJ35" s="1137"/>
      <c r="AK35" s="1137"/>
      <c r="AL35" s="1137"/>
      <c r="AM35" s="1137"/>
      <c r="AN35" s="1137"/>
      <c r="AO35" s="1137"/>
      <c r="AP35" s="1137"/>
      <c r="AQ35" s="1137"/>
      <c r="AR35" s="1137"/>
      <c r="AS35" s="1137"/>
      <c r="AT35" s="1137"/>
      <c r="AU35" s="1137"/>
      <c r="AV35" s="1137"/>
      <c r="AW35" s="1137"/>
      <c r="AX35" s="1137"/>
      <c r="AY35" s="1137"/>
      <c r="AZ35" s="1137"/>
      <c r="BA35" s="1137"/>
    </row>
    <row r="36" ht="39.75" customHeight="1">
      <c r="A36" s="1165" t="s">
        <v>144</v>
      </c>
      <c r="B36" s="1166" t="s">
        <v>145</v>
      </c>
      <c r="C36" s="1167" t="str">
        <f>'MANZ. A'!H38</f>
        <v/>
      </c>
      <c r="D36" s="1168"/>
      <c r="E36" s="1169">
        <f>'MANZ. B'!R29</f>
        <v>5</v>
      </c>
      <c r="F36" s="1168"/>
      <c r="G36" s="1170">
        <f>MANZ.C!AL28</f>
        <v>17</v>
      </c>
      <c r="H36" s="1168"/>
      <c r="I36" s="1169">
        <f>MANZ.D!Z28</f>
        <v>11</v>
      </c>
      <c r="J36" s="1168"/>
      <c r="K36" s="1169">
        <f>MANZ.E!AK29</f>
        <v>17</v>
      </c>
      <c r="L36" s="1168"/>
      <c r="M36" s="1169">
        <f>MANZ.F!AB28</f>
        <v>12</v>
      </c>
      <c r="N36" s="1168"/>
      <c r="O36" s="1169">
        <f>MANZ.G!AT28</f>
        <v>19</v>
      </c>
      <c r="P36" s="1168"/>
      <c r="Q36" s="1170">
        <f>MANZ.H!V29</f>
        <v>9</v>
      </c>
      <c r="R36" s="1168"/>
      <c r="S36" s="1169">
        <f>MANZ.I!AB29</f>
        <v>12</v>
      </c>
      <c r="T36" s="1168"/>
      <c r="U36" s="1169">
        <f>MANZ.J!AS32</f>
        <v>21</v>
      </c>
      <c r="V36" s="1168"/>
      <c r="W36" s="1169">
        <f>MANZ.K!AB29</f>
        <v>12</v>
      </c>
      <c r="X36" s="1168"/>
      <c r="Y36" s="1169">
        <f>MANZ.L!Z29</f>
        <v>11</v>
      </c>
      <c r="Z36" s="1168"/>
      <c r="AA36" s="1169" t="str">
        <f>'SALA MULTIUSO'!F38</f>
        <v/>
      </c>
      <c r="AB36" s="1171"/>
      <c r="AC36" s="1171"/>
      <c r="AD36" s="1171"/>
      <c r="AE36" s="1171"/>
      <c r="AF36" s="1168"/>
      <c r="AG36" s="1172">
        <f>SUM(C29:AA29)</f>
        <v>0</v>
      </c>
      <c r="AH36" s="1173"/>
      <c r="AI36" s="1137"/>
      <c r="AJ36" s="1137"/>
      <c r="AK36" s="1137"/>
      <c r="AL36" s="1137"/>
      <c r="AM36" s="1137"/>
      <c r="AN36" s="1137"/>
      <c r="AO36" s="1137"/>
      <c r="AP36" s="1137"/>
      <c r="AQ36" s="1137"/>
      <c r="AR36" s="1137"/>
      <c r="AS36" s="1137"/>
      <c r="AT36" s="1137"/>
      <c r="AU36" s="1137"/>
      <c r="AV36" s="1137"/>
      <c r="AW36" s="1137"/>
      <c r="AX36" s="1137"/>
      <c r="AY36" s="1137"/>
      <c r="AZ36" s="1137"/>
      <c r="BA36" s="1137"/>
    </row>
    <row r="37" ht="39.75" customHeight="1">
      <c r="A37" s="1174" t="s">
        <v>146</v>
      </c>
      <c r="B37" s="1175" t="s">
        <v>147</v>
      </c>
      <c r="C37" s="1163"/>
      <c r="D37" s="1163"/>
      <c r="E37" s="1163"/>
      <c r="F37" s="1163"/>
      <c r="G37" s="1163"/>
      <c r="H37" s="1163"/>
      <c r="I37" s="1163"/>
      <c r="J37" s="1163"/>
      <c r="K37" s="1163"/>
      <c r="L37" s="1163"/>
      <c r="M37" s="1163"/>
      <c r="N37" s="1163"/>
      <c r="O37" s="1163"/>
      <c r="P37" s="1163"/>
      <c r="Q37" s="1163"/>
      <c r="R37" s="1163"/>
      <c r="S37" s="1163"/>
      <c r="T37" s="1163"/>
      <c r="U37" s="1163"/>
      <c r="V37" s="1163"/>
      <c r="W37" s="1163"/>
      <c r="X37" s="1163"/>
      <c r="Y37" s="1163"/>
      <c r="Z37" s="1163"/>
      <c r="AA37" s="1163"/>
      <c r="AB37" s="1163"/>
      <c r="AC37" s="1163"/>
      <c r="AD37" s="1163"/>
      <c r="AE37" s="1163"/>
      <c r="AF37" s="1163"/>
      <c r="AG37" s="1163"/>
      <c r="AH37" s="1164"/>
      <c r="AI37" s="1137"/>
      <c r="AJ37" s="1137"/>
      <c r="AK37" s="1137"/>
      <c r="AL37" s="1137"/>
      <c r="AM37" s="1137"/>
      <c r="AN37" s="1137"/>
      <c r="AO37" s="1137"/>
      <c r="AP37" s="1137"/>
      <c r="AQ37" s="1137"/>
      <c r="AR37" s="1137"/>
      <c r="AS37" s="1137"/>
      <c r="AT37" s="1137"/>
      <c r="AU37" s="1137"/>
      <c r="AV37" s="1137"/>
      <c r="AW37" s="1137"/>
      <c r="AX37" s="1137"/>
      <c r="AY37" s="1137"/>
      <c r="AZ37" s="1137"/>
      <c r="BA37" s="1137"/>
    </row>
    <row r="38" ht="39.75" customHeight="1">
      <c r="A38" s="1165" t="s">
        <v>148</v>
      </c>
      <c r="B38" s="1166" t="s">
        <v>139</v>
      </c>
      <c r="C38" s="1167" t="str">
        <f>'MANZ. A'!H40</f>
        <v/>
      </c>
      <c r="D38" s="1168"/>
      <c r="E38" s="1169" t="str">
        <f>'MANZ. B'!R32</f>
        <v/>
      </c>
      <c r="F38" s="1168"/>
      <c r="G38" s="1170" t="str">
        <f>MANZ.C!AL31</f>
        <v/>
      </c>
      <c r="H38" s="1168"/>
      <c r="I38" s="1170" t="str">
        <f>MANZ.D!Z31</f>
        <v/>
      </c>
      <c r="J38" s="1168"/>
      <c r="K38" s="1169" t="str">
        <f>MANZ.E!AK32</f>
        <v/>
      </c>
      <c r="L38" s="1168"/>
      <c r="M38" s="1170" t="str">
        <f>MANZ.F!AB31</f>
        <v/>
      </c>
      <c r="N38" s="1168"/>
      <c r="O38" s="1169">
        <f>MANZ.G!AT30</f>
        <v>19</v>
      </c>
      <c r="P38" s="1168"/>
      <c r="Q38" s="1170" t="str">
        <f>MANZ.H!V32</f>
        <v/>
      </c>
      <c r="R38" s="1168"/>
      <c r="S38" s="1170" t="str">
        <f>MANZ.I!AB32</f>
        <v/>
      </c>
      <c r="T38" s="1168"/>
      <c r="U38" s="1169" t="str">
        <f>MANZ.J!AT35</f>
        <v/>
      </c>
      <c r="V38" s="1168"/>
      <c r="W38" s="1170" t="str">
        <f>MANZ.K!AB32</f>
        <v/>
      </c>
      <c r="X38" s="1168"/>
      <c r="Y38" s="1169" t="str">
        <f>MANZ.L!Z32</f>
        <v/>
      </c>
      <c r="Z38" s="1168"/>
      <c r="AA38" s="1169" t="str">
        <f>'SALA MULTIUSO'!F41</f>
        <v/>
      </c>
      <c r="AB38" s="1171"/>
      <c r="AC38" s="1171"/>
      <c r="AD38" s="1171"/>
      <c r="AE38" s="1171"/>
      <c r="AF38" s="1168"/>
      <c r="AG38" s="1172">
        <f>SUM(C32:AA32)</f>
        <v>0</v>
      </c>
      <c r="AH38" s="1173"/>
      <c r="AI38" s="1137"/>
      <c r="AJ38" s="1137"/>
      <c r="AK38" s="1137"/>
      <c r="AL38" s="1137"/>
      <c r="AM38" s="1137"/>
      <c r="AN38" s="1137"/>
      <c r="AO38" s="1137"/>
      <c r="AP38" s="1137"/>
      <c r="AQ38" s="1137"/>
      <c r="AR38" s="1137"/>
      <c r="AS38" s="1137"/>
      <c r="AT38" s="1137"/>
      <c r="AU38" s="1137"/>
      <c r="AV38" s="1137"/>
      <c r="AW38" s="1137"/>
      <c r="AX38" s="1137"/>
      <c r="AY38" s="1137"/>
      <c r="AZ38" s="1137"/>
      <c r="BA38" s="1137"/>
    </row>
    <row r="39" ht="39.75" customHeight="1">
      <c r="A39" s="1165" t="s">
        <v>149</v>
      </c>
      <c r="B39" s="1166" t="s">
        <v>150</v>
      </c>
      <c r="C39" s="1167" t="str">
        <f>'MANZ. A'!H41</f>
        <v/>
      </c>
      <c r="D39" s="1168"/>
      <c r="E39" s="1169" t="str">
        <f>'MANZ. B'!R34</f>
        <v/>
      </c>
      <c r="F39" s="1168"/>
      <c r="G39" s="1170">
        <f>MANZ.C!AL33</f>
        <v>17</v>
      </c>
      <c r="H39" s="1168"/>
      <c r="I39" s="1170">
        <f>MANZ.D!Z33</f>
        <v>10</v>
      </c>
      <c r="J39" s="1168"/>
      <c r="K39" s="1169">
        <f>MANZ.E!AK34</f>
        <v>15</v>
      </c>
      <c r="L39" s="1168"/>
      <c r="M39" s="1170">
        <f>MANZ.F!AB33</f>
        <v>10</v>
      </c>
      <c r="N39" s="1168"/>
      <c r="O39" s="1169" t="str">
        <f>MANZ.G!AT32</f>
        <v/>
      </c>
      <c r="P39" s="1168"/>
      <c r="Q39" s="1170">
        <f>MANZ.H!V34</f>
        <v>9</v>
      </c>
      <c r="R39" s="1168"/>
      <c r="S39" s="1170">
        <f>MANZ.I!AB34</f>
        <v>10</v>
      </c>
      <c r="T39" s="1168"/>
      <c r="U39" s="1169">
        <f>MANZ.J!AS37</f>
        <v>19</v>
      </c>
      <c r="V39" s="1168"/>
      <c r="W39" s="1169">
        <f>MANZ.K!AB34</f>
        <v>10</v>
      </c>
      <c r="X39" s="1168"/>
      <c r="Y39" s="1169">
        <f>MANZ.L!Z34</f>
        <v>9</v>
      </c>
      <c r="Z39" s="1168"/>
      <c r="AA39" s="1169" t="str">
        <f>'SALA MULTIUSO'!F43</f>
        <v/>
      </c>
      <c r="AB39" s="1171"/>
      <c r="AC39" s="1171"/>
      <c r="AD39" s="1171"/>
      <c r="AE39" s="1171"/>
      <c r="AF39" s="1168"/>
      <c r="AG39" s="1172">
        <f>SUM(C34:AA34)</f>
        <v>19</v>
      </c>
      <c r="AH39" s="1173"/>
      <c r="AI39" s="1137"/>
      <c r="AJ39" s="1137"/>
      <c r="AK39" s="1137"/>
      <c r="AL39" s="1137"/>
      <c r="AM39" s="1137"/>
      <c r="AN39" s="1137"/>
      <c r="AO39" s="1137"/>
      <c r="AP39" s="1137"/>
      <c r="AQ39" s="1137"/>
      <c r="AR39" s="1137"/>
      <c r="AS39" s="1137"/>
      <c r="AT39" s="1137"/>
      <c r="AU39" s="1137"/>
      <c r="AV39" s="1137"/>
      <c r="AW39" s="1137"/>
      <c r="AX39" s="1137"/>
      <c r="AY39" s="1137"/>
      <c r="AZ39" s="1137"/>
      <c r="BA39" s="1137"/>
    </row>
    <row r="40" ht="39.75" customHeight="1">
      <c r="A40" s="1178" t="s">
        <v>151</v>
      </c>
      <c r="B40" s="1179" t="s">
        <v>152</v>
      </c>
      <c r="C40" s="1167"/>
      <c r="D40" s="1168"/>
      <c r="E40" s="1169"/>
      <c r="F40" s="1168"/>
      <c r="G40" s="1169"/>
      <c r="H40" s="1168"/>
      <c r="I40" s="1169"/>
      <c r="J40" s="1168"/>
      <c r="K40" s="1169"/>
      <c r="L40" s="1168"/>
      <c r="M40" s="1169"/>
      <c r="N40" s="1168"/>
      <c r="O40" s="1169"/>
      <c r="P40" s="1168"/>
      <c r="Q40" s="1169"/>
      <c r="R40" s="1168"/>
      <c r="S40" s="1169"/>
      <c r="T40" s="1168"/>
      <c r="U40" s="1169"/>
      <c r="V40" s="1168"/>
      <c r="W40" s="1169"/>
      <c r="X40" s="1168"/>
      <c r="Y40" s="1169"/>
      <c r="Z40" s="1168"/>
      <c r="AA40" s="1169"/>
      <c r="AB40" s="1171"/>
      <c r="AC40" s="1171"/>
      <c r="AD40" s="1171"/>
      <c r="AE40" s="1171"/>
      <c r="AF40" s="1168"/>
      <c r="AG40" s="1172"/>
      <c r="AH40" s="1173"/>
      <c r="AI40" s="1137"/>
      <c r="AJ40" s="1137"/>
      <c r="AK40" s="1137"/>
      <c r="AL40" s="1137"/>
      <c r="AM40" s="1137"/>
      <c r="AN40" s="1137"/>
      <c r="AO40" s="1137"/>
      <c r="AP40" s="1137"/>
      <c r="AQ40" s="1137"/>
      <c r="AR40" s="1137"/>
      <c r="AS40" s="1137"/>
      <c r="AT40" s="1137"/>
      <c r="AU40" s="1137"/>
      <c r="AV40" s="1137"/>
      <c r="AW40" s="1137"/>
      <c r="AX40" s="1137"/>
      <c r="AY40" s="1137"/>
      <c r="AZ40" s="1137"/>
      <c r="BA40" s="1137"/>
    </row>
    <row r="41" ht="39.75" customHeight="1">
      <c r="A41" s="1165" t="s">
        <v>153</v>
      </c>
      <c r="B41" s="1166" t="s">
        <v>154</v>
      </c>
      <c r="C41" s="1167" t="str">
        <f>'MANZ. A'!H43</f>
        <v/>
      </c>
      <c r="D41" s="1168"/>
      <c r="E41" s="1169">
        <f>'MANZ. B'!R36</f>
        <v>5</v>
      </c>
      <c r="F41" s="1168"/>
      <c r="G41" s="1170">
        <f>MANZ.C!AL35</f>
        <v>17</v>
      </c>
      <c r="H41" s="1168"/>
      <c r="I41" s="1170">
        <f>MANZ.D!Z35</f>
        <v>10</v>
      </c>
      <c r="J41" s="1168"/>
      <c r="K41" s="1169" t="str">
        <f>MANZ.E!AL35</f>
        <v/>
      </c>
      <c r="L41" s="1168"/>
      <c r="M41" s="1169">
        <f>MANZ.F!AB35</f>
        <v>10</v>
      </c>
      <c r="N41" s="1168"/>
      <c r="O41" s="1169" t="str">
        <f>MANZ.G!AT34</f>
        <v/>
      </c>
      <c r="P41" s="1168"/>
      <c r="Q41" s="1169">
        <f>MANZ.H!V36</f>
        <v>9</v>
      </c>
      <c r="R41" s="1168"/>
      <c r="S41" s="1169">
        <f>MANZ.I!AB36</f>
        <v>10</v>
      </c>
      <c r="T41" s="1168"/>
      <c r="U41" s="1169">
        <f>MANZ.J!AT39</f>
        <v>19</v>
      </c>
      <c r="V41" s="1168"/>
      <c r="W41" s="1169">
        <f>MANZ.K!AB36</f>
        <v>10</v>
      </c>
      <c r="X41" s="1168"/>
      <c r="Y41" s="1169">
        <f>MANZ.L!Z36</f>
        <v>9</v>
      </c>
      <c r="Z41" s="1168"/>
      <c r="AA41" s="1169" t="str">
        <f>'SALA MULTIUSO'!F45</f>
        <v/>
      </c>
      <c r="AB41" s="1171"/>
      <c r="AC41" s="1171"/>
      <c r="AD41" s="1171"/>
      <c r="AE41" s="1171"/>
      <c r="AF41" s="1168"/>
      <c r="AG41" s="1172">
        <f>SUM(C36:AA36)</f>
        <v>146</v>
      </c>
      <c r="AH41" s="1173"/>
      <c r="AI41" s="1137"/>
      <c r="AJ41" s="1137"/>
      <c r="AK41" s="1137"/>
      <c r="AL41" s="1137"/>
      <c r="AM41" s="1137"/>
      <c r="AN41" s="1137"/>
      <c r="AO41" s="1137"/>
      <c r="AP41" s="1137"/>
      <c r="AQ41" s="1137"/>
      <c r="AR41" s="1137"/>
      <c r="AS41" s="1137"/>
      <c r="AT41" s="1137"/>
      <c r="AU41" s="1137"/>
      <c r="AV41" s="1137"/>
      <c r="AW41" s="1137"/>
      <c r="AX41" s="1137"/>
      <c r="AY41" s="1137"/>
      <c r="AZ41" s="1137"/>
      <c r="BA41" s="1137"/>
    </row>
    <row r="42" ht="39.75" customHeight="1">
      <c r="A42" s="1165" t="s">
        <v>155</v>
      </c>
      <c r="B42" s="1166" t="s">
        <v>156</v>
      </c>
      <c r="C42" s="1167" t="str">
        <f>'MANZ. A'!H44</f>
        <v/>
      </c>
      <c r="D42" s="1168"/>
      <c r="E42" s="1169" t="str">
        <f>'MANZ. B'!R37</f>
        <v/>
      </c>
      <c r="F42" s="1168"/>
      <c r="G42" s="1169" t="str">
        <f>MANZ.C!AL36</f>
        <v/>
      </c>
      <c r="H42" s="1168"/>
      <c r="I42" s="1169" t="str">
        <f>MANZ.D!Z36</f>
        <v/>
      </c>
      <c r="J42" s="1168"/>
      <c r="K42" s="1169">
        <f>MANZ.E!AL36</f>
        <v>15</v>
      </c>
      <c r="L42" s="1168"/>
      <c r="M42" s="1169" t="str">
        <f>MANZ.F!AB36</f>
        <v/>
      </c>
      <c r="N42" s="1168"/>
      <c r="O42" s="1169">
        <f>MANZ.G!AT35</f>
        <v>18</v>
      </c>
      <c r="P42" s="1168"/>
      <c r="Q42" s="1169" t="str">
        <f>MANZ.H!V37</f>
        <v/>
      </c>
      <c r="R42" s="1168"/>
      <c r="S42" s="1169" t="str">
        <f>MANZ.I!AB37</f>
        <v/>
      </c>
      <c r="T42" s="1168"/>
      <c r="U42" s="1169" t="str">
        <f>MANZ.J!AT40</f>
        <v/>
      </c>
      <c r="V42" s="1168"/>
      <c r="W42" s="1169" t="str">
        <f>MANZ.K!AB37</f>
        <v/>
      </c>
      <c r="X42" s="1168"/>
      <c r="Y42" s="1169" t="str">
        <f>MANZ.L!Z37</f>
        <v/>
      </c>
      <c r="Z42" s="1168"/>
      <c r="AA42" s="1169" t="str">
        <f>'SALA MULTIUSO'!F46</f>
        <v/>
      </c>
      <c r="AB42" s="1171"/>
      <c r="AC42" s="1171"/>
      <c r="AD42" s="1171"/>
      <c r="AE42" s="1171"/>
      <c r="AF42" s="1168"/>
      <c r="AG42" s="1172"/>
      <c r="AH42" s="1173"/>
      <c r="AI42" s="1137"/>
      <c r="AJ42" s="1137"/>
      <c r="AK42" s="1137"/>
      <c r="AL42" s="1137"/>
      <c r="AM42" s="1137"/>
      <c r="AN42" s="1137"/>
      <c r="AO42" s="1137"/>
      <c r="AP42" s="1137"/>
      <c r="AQ42" s="1137"/>
      <c r="AR42" s="1137"/>
      <c r="AS42" s="1137"/>
      <c r="AT42" s="1137"/>
      <c r="AU42" s="1137"/>
      <c r="AV42" s="1137"/>
      <c r="AW42" s="1137"/>
      <c r="AX42" s="1137"/>
      <c r="AY42" s="1137"/>
      <c r="AZ42" s="1137"/>
      <c r="BA42" s="1137"/>
    </row>
    <row r="43" ht="39.75" customHeight="1">
      <c r="A43" s="1165" t="s">
        <v>157</v>
      </c>
      <c r="B43" s="1166" t="s">
        <v>158</v>
      </c>
      <c r="C43" s="1167" t="str">
        <f>'MANZ. A'!H45</f>
        <v/>
      </c>
      <c r="D43" s="1168"/>
      <c r="E43" s="1169">
        <f>'MANZ. B'!R38</f>
        <v>0</v>
      </c>
      <c r="F43" s="1168"/>
      <c r="G43" s="1170">
        <f>MANZ.C!AL37</f>
        <v>17</v>
      </c>
      <c r="H43" s="1168"/>
      <c r="I43" s="1170">
        <f>MANZ.D!Z37</f>
        <v>11</v>
      </c>
      <c r="J43" s="1168"/>
      <c r="K43" s="1169">
        <f>MANZ.E!AK38</f>
        <v>15</v>
      </c>
      <c r="L43" s="1168"/>
      <c r="M43" s="1169">
        <f>MANZ.F!AB37</f>
        <v>12</v>
      </c>
      <c r="N43" s="1168"/>
      <c r="O43" s="1169">
        <f>MANZ.G!AT36</f>
        <v>18</v>
      </c>
      <c r="P43" s="1168"/>
      <c r="Q43" s="1170">
        <f>MANZ.H!V38</f>
        <v>9</v>
      </c>
      <c r="R43" s="1168"/>
      <c r="S43" s="1169">
        <f>MANZ.I!AB38</f>
        <v>12</v>
      </c>
      <c r="T43" s="1168"/>
      <c r="U43" s="1169">
        <f>MANZ.J!AT41</f>
        <v>20</v>
      </c>
      <c r="V43" s="1168"/>
      <c r="W43" s="1169">
        <f>MANZ.K!AB38</f>
        <v>12</v>
      </c>
      <c r="X43" s="1168"/>
      <c r="Y43" s="1169">
        <f>MANZ.L!Z38</f>
        <v>11</v>
      </c>
      <c r="Z43" s="1168"/>
      <c r="AA43" s="1169" t="str">
        <f>'SALA MULTIUSO'!F47</f>
        <v/>
      </c>
      <c r="AB43" s="1171"/>
      <c r="AC43" s="1171"/>
      <c r="AD43" s="1171"/>
      <c r="AE43" s="1171"/>
      <c r="AF43" s="1168"/>
      <c r="AG43" s="1172">
        <f>SUM(C38:AA38)-3</f>
        <v>16</v>
      </c>
      <c r="AH43" s="1173"/>
      <c r="AI43" s="1137"/>
      <c r="AJ43" s="1137"/>
      <c r="AK43" s="1137"/>
      <c r="AL43" s="1137"/>
      <c r="AM43" s="1137"/>
      <c r="AN43" s="1137"/>
      <c r="AO43" s="1137"/>
      <c r="AP43" s="1137"/>
      <c r="AQ43" s="1137"/>
      <c r="AR43" s="1137"/>
      <c r="AS43" s="1137"/>
      <c r="AT43" s="1137"/>
      <c r="AU43" s="1137"/>
      <c r="AV43" s="1137"/>
      <c r="AW43" s="1137"/>
      <c r="AX43" s="1137"/>
      <c r="AY43" s="1137"/>
      <c r="AZ43" s="1137"/>
      <c r="BA43" s="1137"/>
    </row>
    <row r="44" ht="39.75" customHeight="1">
      <c r="A44" s="1165" t="s">
        <v>159</v>
      </c>
      <c r="B44" s="1166" t="s">
        <v>160</v>
      </c>
      <c r="C44" s="1167" t="str">
        <f>'MANZ. A'!H46</f>
        <v/>
      </c>
      <c r="D44" s="1168"/>
      <c r="E44" s="1169">
        <f>'MANZ. B'!R39</f>
        <v>0</v>
      </c>
      <c r="F44" s="1168"/>
      <c r="G44" s="1170">
        <f>MANZ.C!AL38</f>
        <v>17</v>
      </c>
      <c r="H44" s="1168"/>
      <c r="I44" s="1169">
        <f>MANZ.D!Z38</f>
        <v>11</v>
      </c>
      <c r="J44" s="1168"/>
      <c r="K44" s="1169">
        <f>MANZ.E!AK39</f>
        <v>15</v>
      </c>
      <c r="L44" s="1168"/>
      <c r="M44" s="1169">
        <f>MANZ.F!AB38</f>
        <v>12</v>
      </c>
      <c r="N44" s="1168"/>
      <c r="O44" s="1169" t="str">
        <f>MANZ.G!AT37</f>
        <v/>
      </c>
      <c r="P44" s="1168"/>
      <c r="Q44" s="1170">
        <f>MANZ.H!V39</f>
        <v>9</v>
      </c>
      <c r="R44" s="1168"/>
      <c r="S44" s="1169">
        <f>MANZ.I!AB39</f>
        <v>12</v>
      </c>
      <c r="T44" s="1168"/>
      <c r="U44" s="1169">
        <f>MANZ.J!AT42</f>
        <v>20</v>
      </c>
      <c r="V44" s="1168"/>
      <c r="W44" s="1169">
        <f>MANZ.K!AB39</f>
        <v>12</v>
      </c>
      <c r="X44" s="1168"/>
      <c r="Y44" s="1169">
        <f>MANZ.L!Z39</f>
        <v>11</v>
      </c>
      <c r="Z44" s="1168"/>
      <c r="AA44" s="1169" t="str">
        <f>'SALA MULTIUSO'!F48</f>
        <v/>
      </c>
      <c r="AB44" s="1171"/>
      <c r="AC44" s="1171"/>
      <c r="AD44" s="1171"/>
      <c r="AE44" s="1171"/>
      <c r="AF44" s="1168"/>
      <c r="AG44" s="1172">
        <f t="shared" ref="AG44:AG46" si="3">SUM(C39:AA39)</f>
        <v>109</v>
      </c>
      <c r="AH44" s="1173"/>
      <c r="AI44" s="1137"/>
      <c r="AJ44" s="1137"/>
      <c r="AK44" s="1137"/>
      <c r="AL44" s="1137"/>
      <c r="AM44" s="1137"/>
      <c r="AN44" s="1137"/>
      <c r="AO44" s="1137"/>
      <c r="AP44" s="1137"/>
      <c r="AQ44" s="1137"/>
      <c r="AR44" s="1137"/>
      <c r="AS44" s="1137"/>
      <c r="AT44" s="1137"/>
      <c r="AU44" s="1137"/>
      <c r="AV44" s="1137"/>
      <c r="AW44" s="1137"/>
      <c r="AX44" s="1137"/>
      <c r="AY44" s="1137"/>
      <c r="AZ44" s="1137"/>
      <c r="BA44" s="1137"/>
    </row>
    <row r="45" ht="39.75" customHeight="1">
      <c r="A45" s="1165" t="s">
        <v>161</v>
      </c>
      <c r="B45" s="1166" t="s">
        <v>162</v>
      </c>
      <c r="C45" s="1167" t="str">
        <f>'MANZ. A'!H47</f>
        <v/>
      </c>
      <c r="D45" s="1168"/>
      <c r="E45" s="1169">
        <f>'MANZ. B'!R40</f>
        <v>0</v>
      </c>
      <c r="F45" s="1168"/>
      <c r="G45" s="1170" t="str">
        <f>MANZ.C!AK39</f>
        <v/>
      </c>
      <c r="H45" s="1168"/>
      <c r="I45" s="1170" t="str">
        <f>MANZ.D!Z39</f>
        <v/>
      </c>
      <c r="J45" s="1168"/>
      <c r="K45" s="1169">
        <f>MANZ.E!AL40</f>
        <v>0</v>
      </c>
      <c r="L45" s="1168"/>
      <c r="M45" s="1169" t="str">
        <f>MANZ.F!AB39</f>
        <v/>
      </c>
      <c r="N45" s="1168"/>
      <c r="O45" s="1169">
        <f>MANZ.G!AS38</f>
        <v>18</v>
      </c>
      <c r="P45" s="1168"/>
      <c r="Q45" s="1170" t="str">
        <f>MANZ.H!V40</f>
        <v/>
      </c>
      <c r="R45" s="1168"/>
      <c r="S45" s="1169" t="str">
        <f>MANZ.I!AB40</f>
        <v/>
      </c>
      <c r="T45" s="1168"/>
      <c r="U45" s="1169" t="str">
        <f>MANZ.J!AT43</f>
        <v/>
      </c>
      <c r="V45" s="1168"/>
      <c r="W45" s="1169" t="str">
        <f>MANZ.K!AB40</f>
        <v/>
      </c>
      <c r="X45" s="1168"/>
      <c r="Y45" s="1169" t="str">
        <f>MANZ.L!Z40</f>
        <v/>
      </c>
      <c r="Z45" s="1168"/>
      <c r="AA45" s="1169" t="str">
        <f>'SALA MULTIUSO'!F49</f>
        <v/>
      </c>
      <c r="AB45" s="1171"/>
      <c r="AC45" s="1171"/>
      <c r="AD45" s="1171"/>
      <c r="AE45" s="1171"/>
      <c r="AF45" s="1168"/>
      <c r="AG45" s="1172">
        <f t="shared" si="3"/>
        <v>0</v>
      </c>
      <c r="AH45" s="1173"/>
      <c r="AI45" s="1137"/>
      <c r="AJ45" s="1137"/>
      <c r="AK45" s="1137"/>
      <c r="AL45" s="1137"/>
      <c r="AM45" s="1137"/>
      <c r="AN45" s="1137"/>
      <c r="AO45" s="1137"/>
      <c r="AP45" s="1137"/>
      <c r="AQ45" s="1137"/>
      <c r="AR45" s="1137"/>
      <c r="AS45" s="1137"/>
      <c r="AT45" s="1137"/>
      <c r="AU45" s="1137"/>
      <c r="AV45" s="1137"/>
      <c r="AW45" s="1137"/>
      <c r="AX45" s="1137"/>
      <c r="AY45" s="1137"/>
      <c r="AZ45" s="1137"/>
      <c r="BA45" s="1137"/>
    </row>
    <row r="46" ht="39.75" customHeight="1">
      <c r="A46" s="1165" t="s">
        <v>163</v>
      </c>
      <c r="B46" s="1166" t="s">
        <v>164</v>
      </c>
      <c r="C46" s="1167" t="str">
        <f>'MANZ. A'!H48</f>
        <v/>
      </c>
      <c r="D46" s="1168"/>
      <c r="E46" s="1169">
        <f>'MANZ. B'!R41</f>
        <v>0</v>
      </c>
      <c r="F46" s="1168"/>
      <c r="G46" s="1170">
        <f>MANZ.C!AL40</f>
        <v>17</v>
      </c>
      <c r="H46" s="1168"/>
      <c r="I46" s="1170">
        <f>MANZ.D!Z40</f>
        <v>11</v>
      </c>
      <c r="J46" s="1168"/>
      <c r="K46" s="1169">
        <f>MANZ.E!AK41</f>
        <v>15</v>
      </c>
      <c r="L46" s="1168"/>
      <c r="M46" s="1169">
        <f>MANZ.F!AB40</f>
        <v>10</v>
      </c>
      <c r="N46" s="1168"/>
      <c r="O46" s="1169" t="str">
        <f>MANZ.G!AT39</f>
        <v/>
      </c>
      <c r="P46" s="1168"/>
      <c r="Q46" s="1170">
        <f>MANZ.H!V41</f>
        <v>0</v>
      </c>
      <c r="R46" s="1168"/>
      <c r="S46" s="1169">
        <f>MANZ.I!AB41</f>
        <v>0</v>
      </c>
      <c r="T46" s="1168"/>
      <c r="U46" s="1169">
        <f>MANZ.J!AT44</f>
        <v>0</v>
      </c>
      <c r="V46" s="1168"/>
      <c r="W46" s="1169">
        <f>MANZ.K!AB41</f>
        <v>0</v>
      </c>
      <c r="X46" s="1168"/>
      <c r="Y46" s="1169">
        <f>MANZ.L!Z41</f>
        <v>0</v>
      </c>
      <c r="Z46" s="1168"/>
      <c r="AA46" s="1169" t="str">
        <f>'SALA MULTIUSO'!F50</f>
        <v/>
      </c>
      <c r="AB46" s="1171"/>
      <c r="AC46" s="1171"/>
      <c r="AD46" s="1171"/>
      <c r="AE46" s="1171"/>
      <c r="AF46" s="1168"/>
      <c r="AG46" s="1172">
        <f t="shared" si="3"/>
        <v>99</v>
      </c>
      <c r="AH46" s="1173"/>
      <c r="AI46" s="1137"/>
      <c r="AJ46" s="1137"/>
      <c r="AK46" s="1137"/>
      <c r="AL46" s="1137"/>
      <c r="AM46" s="1137"/>
      <c r="AN46" s="1137"/>
      <c r="AO46" s="1137"/>
      <c r="AP46" s="1137"/>
      <c r="AQ46" s="1137"/>
      <c r="AR46" s="1137"/>
      <c r="AS46" s="1137"/>
      <c r="AT46" s="1137"/>
      <c r="AU46" s="1137"/>
      <c r="AV46" s="1137"/>
      <c r="AW46" s="1137"/>
      <c r="AX46" s="1137"/>
      <c r="AY46" s="1137"/>
      <c r="AZ46" s="1137"/>
      <c r="BA46" s="1137"/>
    </row>
    <row r="47" ht="39.75" customHeight="1">
      <c r="A47" s="1161" t="s">
        <v>165</v>
      </c>
      <c r="B47" s="1162" t="s">
        <v>166</v>
      </c>
      <c r="C47" s="1163"/>
      <c r="D47" s="1163"/>
      <c r="E47" s="1163"/>
      <c r="F47" s="1163"/>
      <c r="G47" s="1163"/>
      <c r="H47" s="1163"/>
      <c r="I47" s="1163"/>
      <c r="J47" s="1163"/>
      <c r="K47" s="1163"/>
      <c r="L47" s="1163"/>
      <c r="M47" s="1163"/>
      <c r="N47" s="1163"/>
      <c r="O47" s="1163"/>
      <c r="P47" s="1163"/>
      <c r="Q47" s="1163"/>
      <c r="R47" s="1163"/>
      <c r="S47" s="1163"/>
      <c r="T47" s="1163"/>
      <c r="U47" s="1163"/>
      <c r="V47" s="1163"/>
      <c r="W47" s="1163"/>
      <c r="X47" s="1163"/>
      <c r="Y47" s="1163"/>
      <c r="Z47" s="1163"/>
      <c r="AA47" s="1163"/>
      <c r="AB47" s="1163"/>
      <c r="AC47" s="1163"/>
      <c r="AD47" s="1163"/>
      <c r="AE47" s="1163"/>
      <c r="AF47" s="1163"/>
      <c r="AG47" s="1163"/>
      <c r="AH47" s="1164"/>
      <c r="AI47" s="1137"/>
      <c r="AJ47" s="1137"/>
      <c r="AK47" s="1137"/>
      <c r="AL47" s="1137"/>
      <c r="AM47" s="1137"/>
      <c r="AN47" s="1137"/>
      <c r="AO47" s="1137"/>
      <c r="AP47" s="1137"/>
      <c r="AQ47" s="1137"/>
      <c r="AR47" s="1137"/>
      <c r="AS47" s="1137"/>
      <c r="AT47" s="1137"/>
      <c r="AU47" s="1137"/>
      <c r="AV47" s="1137"/>
      <c r="AW47" s="1137"/>
      <c r="AX47" s="1137"/>
      <c r="AY47" s="1137"/>
      <c r="AZ47" s="1137"/>
      <c r="BA47" s="1137"/>
    </row>
    <row r="48" ht="39.75" customHeight="1">
      <c r="A48" s="1180" t="s">
        <v>167</v>
      </c>
      <c r="B48" s="1181" t="s">
        <v>168</v>
      </c>
      <c r="C48" s="1167"/>
      <c r="D48" s="1168"/>
      <c r="E48" s="1169"/>
      <c r="F48" s="1168"/>
      <c r="G48" s="1169"/>
      <c r="H48" s="1168"/>
      <c r="I48" s="1169"/>
      <c r="J48" s="1168"/>
      <c r="K48" s="1169"/>
      <c r="L48" s="1168"/>
      <c r="M48" s="1169"/>
      <c r="N48" s="1168"/>
      <c r="O48" s="1169"/>
      <c r="P48" s="1168"/>
      <c r="Q48" s="1169"/>
      <c r="R48" s="1168"/>
      <c r="S48" s="1169"/>
      <c r="T48" s="1168"/>
      <c r="U48" s="1169"/>
      <c r="V48" s="1168"/>
      <c r="W48" s="1169"/>
      <c r="X48" s="1168"/>
      <c r="Y48" s="1169"/>
      <c r="Z48" s="1168"/>
      <c r="AA48" s="1169"/>
      <c r="AB48" s="1171"/>
      <c r="AC48" s="1171"/>
      <c r="AD48" s="1171"/>
      <c r="AE48" s="1171"/>
      <c r="AF48" s="1168"/>
      <c r="AG48" s="1172"/>
      <c r="AH48" s="1173"/>
      <c r="AI48" s="1137"/>
      <c r="AJ48" s="1137"/>
      <c r="AK48" s="1137"/>
      <c r="AL48" s="1137"/>
      <c r="AM48" s="1137"/>
      <c r="AN48" s="1137"/>
      <c r="AO48" s="1137"/>
      <c r="AP48" s="1137"/>
      <c r="AQ48" s="1137"/>
      <c r="AR48" s="1137"/>
      <c r="AS48" s="1137"/>
      <c r="AT48" s="1137"/>
      <c r="AU48" s="1137"/>
      <c r="AV48" s="1137"/>
      <c r="AW48" s="1137"/>
      <c r="AX48" s="1137"/>
      <c r="AY48" s="1137"/>
      <c r="AZ48" s="1137"/>
      <c r="BA48" s="1137"/>
    </row>
    <row r="49" ht="39.75" customHeight="1">
      <c r="A49" s="1182" t="s">
        <v>169</v>
      </c>
      <c r="B49" s="1183" t="s">
        <v>170</v>
      </c>
      <c r="C49" s="1167" t="str">
        <f>'MANZ. A'!H51</f>
        <v/>
      </c>
      <c r="D49" s="1168"/>
      <c r="E49" s="1169">
        <f>'MANZ. B'!R45</f>
        <v>0</v>
      </c>
      <c r="F49" s="1168"/>
      <c r="G49" s="1170">
        <f>MANZ.C!AL44</f>
        <v>17</v>
      </c>
      <c r="H49" s="1168"/>
      <c r="I49" s="1170">
        <f>MANZ.D!Z44</f>
        <v>11</v>
      </c>
      <c r="J49" s="1168"/>
      <c r="K49" s="1169">
        <f>MANZ.E!AK45</f>
        <v>15</v>
      </c>
      <c r="L49" s="1168"/>
      <c r="M49" s="1170">
        <f>MANZ.F!AA44</f>
        <v>12</v>
      </c>
      <c r="N49" s="1168"/>
      <c r="O49" s="1169">
        <f>MANZ.G!AT43</f>
        <v>18</v>
      </c>
      <c r="P49" s="1168"/>
      <c r="Q49" s="1170">
        <f>MANZ.H!V45</f>
        <v>9</v>
      </c>
      <c r="R49" s="1168"/>
      <c r="S49" s="1169">
        <f>MANZ.I!AB45</f>
        <v>11</v>
      </c>
      <c r="T49" s="1168"/>
      <c r="U49" s="1169">
        <f>MANZ.J!AS48</f>
        <v>20</v>
      </c>
      <c r="V49" s="1168"/>
      <c r="W49" s="1169">
        <f>MANZ.K!AB45</f>
        <v>10</v>
      </c>
      <c r="X49" s="1168"/>
      <c r="Y49" s="1169">
        <f>MANZ.L!Z45</f>
        <v>7</v>
      </c>
      <c r="Z49" s="1168"/>
      <c r="AA49" s="1169" t="str">
        <f>'SALA MULTIUSO'!F54</f>
        <v/>
      </c>
      <c r="AB49" s="1171"/>
      <c r="AC49" s="1171"/>
      <c r="AD49" s="1171"/>
      <c r="AE49" s="1171"/>
      <c r="AF49" s="1168"/>
      <c r="AG49" s="1172">
        <f>SUM(C45:AA45)</f>
        <v>18</v>
      </c>
      <c r="AH49" s="1173"/>
      <c r="AI49" s="1137"/>
      <c r="AJ49" s="1137"/>
      <c r="AK49" s="1137"/>
      <c r="AL49" s="1137"/>
      <c r="AM49" s="1137"/>
      <c r="AN49" s="1137"/>
      <c r="AO49" s="1137"/>
      <c r="AP49" s="1137"/>
      <c r="AQ49" s="1137"/>
      <c r="AR49" s="1137"/>
      <c r="AS49" s="1137"/>
      <c r="AT49" s="1137"/>
      <c r="AU49" s="1137"/>
      <c r="AV49" s="1137"/>
      <c r="AW49" s="1137"/>
      <c r="AX49" s="1137"/>
      <c r="AY49" s="1137"/>
      <c r="AZ49" s="1137"/>
      <c r="BA49" s="1137"/>
    </row>
    <row r="50" ht="39.75" customHeight="1">
      <c r="A50" s="1182" t="s">
        <v>171</v>
      </c>
      <c r="B50" s="1183" t="s">
        <v>172</v>
      </c>
      <c r="C50" s="1167" t="str">
        <f>'MANZ. A'!H52</f>
        <v/>
      </c>
      <c r="D50" s="1168"/>
      <c r="E50" s="1169">
        <f>'MANZ. B'!R46</f>
        <v>0</v>
      </c>
      <c r="F50" s="1168"/>
      <c r="G50" s="1170">
        <f>MANZ.C!AL45</f>
        <v>17</v>
      </c>
      <c r="H50" s="1168"/>
      <c r="I50" s="1169">
        <f>MANZ.D!Z45</f>
        <v>11</v>
      </c>
      <c r="J50" s="1168"/>
      <c r="K50" s="1169">
        <f>MANZ.E!AL46</f>
        <v>15</v>
      </c>
      <c r="L50" s="1168"/>
      <c r="M50" s="1169">
        <f>MANZ.F!AB45</f>
        <v>12</v>
      </c>
      <c r="N50" s="1168"/>
      <c r="O50" s="1169">
        <f>MANZ.G!AT44</f>
        <v>0</v>
      </c>
      <c r="P50" s="1168"/>
      <c r="Q50" s="1170">
        <f>MANZ.H!V46</f>
        <v>9</v>
      </c>
      <c r="R50" s="1168"/>
      <c r="S50" s="1169">
        <f>MANZ.I!AB46</f>
        <v>11</v>
      </c>
      <c r="T50" s="1168"/>
      <c r="U50" s="1169">
        <f>MANZ.J!AT49</f>
        <v>20</v>
      </c>
      <c r="V50" s="1168"/>
      <c r="W50" s="1169">
        <f>MANZ.K!AB46</f>
        <v>10</v>
      </c>
      <c r="X50" s="1168"/>
      <c r="Y50" s="1169">
        <f>MANZ.L!Z46</f>
        <v>11</v>
      </c>
      <c r="Z50" s="1168"/>
      <c r="AA50" s="1169" t="str">
        <f>'SALA MULTIUSO'!F55</f>
        <v/>
      </c>
      <c r="AB50" s="1171"/>
      <c r="AC50" s="1171"/>
      <c r="AD50" s="1171"/>
      <c r="AE50" s="1171"/>
      <c r="AF50" s="1168"/>
      <c r="AG50" s="1172">
        <f>C46+E46+G46+I46+K46+M46+O46+Q46+S46+U46+W46+Y46</f>
        <v>53</v>
      </c>
      <c r="AH50" s="1173"/>
      <c r="AI50" s="1137"/>
      <c r="AJ50" s="1137"/>
      <c r="AK50" s="1137"/>
      <c r="AL50" s="1137"/>
      <c r="AM50" s="1137"/>
      <c r="AN50" s="1137"/>
      <c r="AO50" s="1137"/>
      <c r="AP50" s="1137"/>
      <c r="AQ50" s="1137"/>
      <c r="AR50" s="1137"/>
      <c r="AS50" s="1137"/>
      <c r="AT50" s="1137"/>
      <c r="AU50" s="1137"/>
      <c r="AV50" s="1137"/>
      <c r="AW50" s="1137"/>
      <c r="AX50" s="1137"/>
      <c r="AY50" s="1137"/>
      <c r="AZ50" s="1137"/>
      <c r="BA50" s="1137"/>
    </row>
    <row r="51" ht="39.75" customHeight="1">
      <c r="A51" s="1182" t="s">
        <v>173</v>
      </c>
      <c r="B51" s="1183" t="s">
        <v>174</v>
      </c>
      <c r="C51" s="1167"/>
      <c r="D51" s="1168"/>
      <c r="E51" s="1169"/>
      <c r="F51" s="1168"/>
      <c r="G51" s="1169"/>
      <c r="H51" s="1168"/>
      <c r="I51" s="1169"/>
      <c r="J51" s="1168"/>
      <c r="K51" s="1169"/>
      <c r="L51" s="1168"/>
      <c r="M51" s="1169"/>
      <c r="N51" s="1168"/>
      <c r="O51" s="1169"/>
      <c r="P51" s="1168"/>
      <c r="Q51" s="1169"/>
      <c r="R51" s="1168"/>
      <c r="S51" s="1169"/>
      <c r="T51" s="1168"/>
      <c r="U51" s="1169"/>
      <c r="V51" s="1168"/>
      <c r="W51" s="1169"/>
      <c r="X51" s="1168"/>
      <c r="Y51" s="1169"/>
      <c r="Z51" s="1168"/>
      <c r="AA51" s="1169"/>
      <c r="AB51" s="1171"/>
      <c r="AC51" s="1171"/>
      <c r="AD51" s="1171"/>
      <c r="AE51" s="1171"/>
      <c r="AF51" s="1168"/>
      <c r="AG51" s="1172"/>
      <c r="AH51" s="1173"/>
      <c r="AI51" s="1137"/>
      <c r="AJ51" s="1137"/>
      <c r="AK51" s="1137"/>
      <c r="AL51" s="1137"/>
      <c r="AM51" s="1137"/>
      <c r="AN51" s="1137"/>
      <c r="AO51" s="1137"/>
      <c r="AP51" s="1137"/>
      <c r="AQ51" s="1137"/>
      <c r="AR51" s="1137"/>
      <c r="AS51" s="1137"/>
      <c r="AT51" s="1137"/>
      <c r="AU51" s="1137"/>
      <c r="AV51" s="1137"/>
      <c r="AW51" s="1137"/>
      <c r="AX51" s="1137"/>
      <c r="AY51" s="1137"/>
      <c r="AZ51" s="1137"/>
      <c r="BA51" s="1137"/>
    </row>
    <row r="52" ht="39.75" customHeight="1">
      <c r="A52" s="1182" t="s">
        <v>175</v>
      </c>
      <c r="B52" s="1183" t="s">
        <v>176</v>
      </c>
      <c r="C52" s="1167" t="str">
        <f>'MANZ. A'!H54</f>
        <v/>
      </c>
      <c r="D52" s="1168"/>
      <c r="E52" s="1169">
        <f>'MANZ. B'!R48</f>
        <v>0</v>
      </c>
      <c r="F52" s="1168"/>
      <c r="G52" s="1170">
        <f>MANZ.C!AL47</f>
        <v>0</v>
      </c>
      <c r="H52" s="1168"/>
      <c r="I52" s="1169">
        <f>MANZ.D!Z47</f>
        <v>0</v>
      </c>
      <c r="J52" s="1168"/>
      <c r="K52" s="1169">
        <f>MANZ.E!AL48</f>
        <v>0</v>
      </c>
      <c r="L52" s="1168"/>
      <c r="M52" s="1169">
        <f>MANZ.F!AB47</f>
        <v>0</v>
      </c>
      <c r="N52" s="1168"/>
      <c r="O52" s="1169">
        <f>MANZ.G!AT46</f>
        <v>18</v>
      </c>
      <c r="P52" s="1168"/>
      <c r="Q52" s="1170" t="str">
        <f>MANZ.H!V48</f>
        <v/>
      </c>
      <c r="R52" s="1168"/>
      <c r="S52" s="1169" t="str">
        <f>MANZ.I!AB48</f>
        <v/>
      </c>
      <c r="T52" s="1168"/>
      <c r="U52" s="1169" t="str">
        <f>MANZ.J!AT51</f>
        <v/>
      </c>
      <c r="V52" s="1168"/>
      <c r="W52" s="1169" t="str">
        <f>MANZ.K!AB48</f>
        <v/>
      </c>
      <c r="X52" s="1168"/>
      <c r="Y52" s="1169" t="str">
        <f>MANZ.L!Z48</f>
        <v/>
      </c>
      <c r="Z52" s="1168"/>
      <c r="AA52" s="1169" t="str">
        <f>'SALA MULTIUSO'!F57</f>
        <v/>
      </c>
      <c r="AB52" s="1171"/>
      <c r="AC52" s="1171"/>
      <c r="AD52" s="1171"/>
      <c r="AE52" s="1171"/>
      <c r="AF52" s="1168"/>
      <c r="AG52" s="1172">
        <f t="shared" ref="AG52:AG53" si="4">SUM(C48:AA48)</f>
        <v>0</v>
      </c>
      <c r="AH52" s="1173"/>
      <c r="AI52" s="1137"/>
      <c r="AJ52" s="1137"/>
      <c r="AK52" s="1137"/>
      <c r="AL52" s="1137"/>
      <c r="AM52" s="1137"/>
      <c r="AN52" s="1137"/>
      <c r="AO52" s="1137"/>
      <c r="AP52" s="1137"/>
      <c r="AQ52" s="1137"/>
      <c r="AR52" s="1137"/>
      <c r="AS52" s="1137"/>
      <c r="AT52" s="1137"/>
      <c r="AU52" s="1137"/>
      <c r="AV52" s="1137"/>
      <c r="AW52" s="1137"/>
      <c r="AX52" s="1137"/>
      <c r="AY52" s="1137"/>
      <c r="AZ52" s="1137"/>
      <c r="BA52" s="1137"/>
    </row>
    <row r="53" ht="39.75" customHeight="1">
      <c r="A53" s="1182" t="s">
        <v>177</v>
      </c>
      <c r="B53" s="1183" t="s">
        <v>178</v>
      </c>
      <c r="C53" s="1167" t="str">
        <f>'MANZ. A'!H55</f>
        <v/>
      </c>
      <c r="D53" s="1168"/>
      <c r="E53" s="1169">
        <f>'MANZ. B'!R49</f>
        <v>0</v>
      </c>
      <c r="F53" s="1168"/>
      <c r="G53" s="1170">
        <f>MANZ.C!AL48</f>
        <v>17</v>
      </c>
      <c r="H53" s="1168"/>
      <c r="I53" s="1169">
        <f>MANZ.D!Z48</f>
        <v>11</v>
      </c>
      <c r="J53" s="1168"/>
      <c r="K53" s="1169">
        <f>MANZ.E!AL48</f>
        <v>0</v>
      </c>
      <c r="L53" s="1168"/>
      <c r="M53" s="1169">
        <f>MANZ.F!AB48</f>
        <v>12</v>
      </c>
      <c r="N53" s="1168"/>
      <c r="O53" s="1169">
        <f>MANZ.G!AT47</f>
        <v>18</v>
      </c>
      <c r="P53" s="1168"/>
      <c r="Q53" s="1170">
        <f>MANZ.H!V49</f>
        <v>9</v>
      </c>
      <c r="R53" s="1168"/>
      <c r="S53" s="1169">
        <f>MANZ.I!AB49</f>
        <v>11</v>
      </c>
      <c r="T53" s="1168"/>
      <c r="U53" s="1169">
        <f>MANZ.J!AT52</f>
        <v>20</v>
      </c>
      <c r="V53" s="1168"/>
      <c r="W53" s="1169">
        <f>MANZ.K!AB49</f>
        <v>10</v>
      </c>
      <c r="X53" s="1168"/>
      <c r="Y53" s="1169">
        <f>MANZ.L!Z49</f>
        <v>11</v>
      </c>
      <c r="Z53" s="1168"/>
      <c r="AA53" s="1169" t="str">
        <f>'SALA MULTIUSO'!F58</f>
        <v/>
      </c>
      <c r="AB53" s="1171"/>
      <c r="AC53" s="1171"/>
      <c r="AD53" s="1171"/>
      <c r="AE53" s="1171"/>
      <c r="AF53" s="1168"/>
      <c r="AG53" s="1172">
        <f t="shared" si="4"/>
        <v>130</v>
      </c>
      <c r="AH53" s="1173"/>
      <c r="AI53" s="1137"/>
      <c r="AJ53" s="1137"/>
      <c r="AK53" s="1137"/>
      <c r="AL53" s="1137"/>
      <c r="AM53" s="1137"/>
      <c r="AN53" s="1137"/>
      <c r="AO53" s="1137"/>
      <c r="AP53" s="1137"/>
      <c r="AQ53" s="1137"/>
      <c r="AR53" s="1137"/>
      <c r="AS53" s="1137"/>
      <c r="AT53" s="1137"/>
      <c r="AU53" s="1137"/>
      <c r="AV53" s="1137"/>
      <c r="AW53" s="1137"/>
      <c r="AX53" s="1137"/>
      <c r="AY53" s="1137"/>
      <c r="AZ53" s="1137"/>
      <c r="BA53" s="1137"/>
    </row>
    <row r="54" ht="39.75" customHeight="1">
      <c r="A54" s="1182" t="s">
        <v>179</v>
      </c>
      <c r="B54" s="1183" t="s">
        <v>180</v>
      </c>
      <c r="C54" s="1167"/>
      <c r="D54" s="1168"/>
      <c r="E54" s="1169"/>
      <c r="F54" s="1168"/>
      <c r="G54" s="1169"/>
      <c r="H54" s="1168"/>
      <c r="I54" s="1169"/>
      <c r="J54" s="1168"/>
      <c r="K54" s="1169"/>
      <c r="L54" s="1168"/>
      <c r="M54" s="1169"/>
      <c r="N54" s="1168"/>
      <c r="O54" s="1169"/>
      <c r="P54" s="1168"/>
      <c r="Q54" s="1169"/>
      <c r="R54" s="1168"/>
      <c r="S54" s="1169"/>
      <c r="T54" s="1168"/>
      <c r="U54" s="1169"/>
      <c r="V54" s="1168"/>
      <c r="W54" s="1169"/>
      <c r="X54" s="1168"/>
      <c r="Y54" s="1169"/>
      <c r="Z54" s="1168"/>
      <c r="AA54" s="1169"/>
      <c r="AB54" s="1171"/>
      <c r="AC54" s="1171"/>
      <c r="AD54" s="1171"/>
      <c r="AE54" s="1171"/>
      <c r="AF54" s="1168"/>
      <c r="AG54" s="1172"/>
      <c r="AH54" s="1173"/>
      <c r="AI54" s="1137"/>
      <c r="AJ54" s="1137"/>
      <c r="AK54" s="1137"/>
      <c r="AL54" s="1137"/>
      <c r="AM54" s="1137"/>
      <c r="AN54" s="1137"/>
      <c r="AO54" s="1137"/>
      <c r="AP54" s="1137"/>
      <c r="AQ54" s="1137"/>
      <c r="AR54" s="1137"/>
      <c r="AS54" s="1137"/>
      <c r="AT54" s="1137"/>
      <c r="AU54" s="1137"/>
      <c r="AV54" s="1137"/>
      <c r="AW54" s="1137"/>
      <c r="AX54" s="1137"/>
      <c r="AY54" s="1137"/>
      <c r="AZ54" s="1137"/>
      <c r="BA54" s="1137"/>
    </row>
    <row r="55" ht="39.75" customHeight="1">
      <c r="A55" s="1176" t="s">
        <v>181</v>
      </c>
      <c r="B55" s="1177" t="s">
        <v>182</v>
      </c>
      <c r="C55" s="1167"/>
      <c r="D55" s="1168"/>
      <c r="E55" s="1169"/>
      <c r="F55" s="1168"/>
      <c r="G55" s="1169"/>
      <c r="H55" s="1168"/>
      <c r="I55" s="1169"/>
      <c r="J55" s="1168"/>
      <c r="K55" s="1169"/>
      <c r="L55" s="1168"/>
      <c r="M55" s="1169"/>
      <c r="N55" s="1168"/>
      <c r="O55" s="1169">
        <f>MANZ.G!AS51</f>
        <v>18</v>
      </c>
      <c r="P55" s="1168"/>
      <c r="Q55" s="1169"/>
      <c r="R55" s="1168"/>
      <c r="S55" s="1169"/>
      <c r="T55" s="1168"/>
      <c r="U55" s="1169"/>
      <c r="V55" s="1168"/>
      <c r="W55" s="1169"/>
      <c r="X55" s="1168"/>
      <c r="Y55" s="1169"/>
      <c r="Z55" s="1168"/>
      <c r="AA55" s="1169"/>
      <c r="AB55" s="1171"/>
      <c r="AC55" s="1171"/>
      <c r="AD55" s="1171"/>
      <c r="AE55" s="1171"/>
      <c r="AF55" s="1168"/>
      <c r="AG55" s="1172">
        <f>SUM(C56:AA56)</f>
        <v>0</v>
      </c>
      <c r="AH55" s="1173"/>
    </row>
    <row r="56" ht="39.75" customHeight="1">
      <c r="A56" s="1184" t="s">
        <v>183</v>
      </c>
      <c r="B56" s="1185" t="s">
        <v>184</v>
      </c>
      <c r="C56" s="1163"/>
      <c r="D56" s="1163"/>
      <c r="E56" s="1163"/>
      <c r="F56" s="1163"/>
      <c r="G56" s="1163"/>
      <c r="H56" s="1163"/>
      <c r="I56" s="1163"/>
      <c r="J56" s="1163"/>
      <c r="K56" s="1163"/>
      <c r="L56" s="1163"/>
      <c r="M56" s="1163"/>
      <c r="N56" s="1163"/>
      <c r="O56" s="1163"/>
      <c r="P56" s="1163"/>
      <c r="Q56" s="1163"/>
      <c r="R56" s="1163"/>
      <c r="S56" s="1163"/>
      <c r="T56" s="1163"/>
      <c r="U56" s="1163"/>
      <c r="V56" s="1163"/>
      <c r="W56" s="1163"/>
      <c r="X56" s="1163"/>
      <c r="Y56" s="1163"/>
      <c r="Z56" s="1163"/>
      <c r="AA56" s="1163"/>
      <c r="AB56" s="1163"/>
      <c r="AC56" s="1163"/>
      <c r="AD56" s="1163"/>
      <c r="AE56" s="1163"/>
      <c r="AF56" s="1163"/>
      <c r="AG56" s="1163"/>
      <c r="AH56" s="1164"/>
      <c r="AI56" s="1138"/>
      <c r="AJ56" s="1137"/>
      <c r="AK56" s="1137"/>
      <c r="AL56" s="1137"/>
      <c r="AM56" s="1137"/>
      <c r="AN56" s="1137"/>
      <c r="AO56" s="1137"/>
      <c r="AP56" s="1137"/>
      <c r="AQ56" s="1137"/>
      <c r="AR56" s="1137"/>
      <c r="AS56" s="1137"/>
      <c r="AT56" s="1137"/>
      <c r="AU56" s="1137"/>
      <c r="AV56" s="1137"/>
      <c r="AW56" s="1137"/>
      <c r="AX56" s="1137"/>
      <c r="AY56" s="1137"/>
      <c r="AZ56" s="1137"/>
      <c r="BA56" s="1137"/>
    </row>
    <row r="57" ht="39.75" customHeight="1">
      <c r="A57" s="1165" t="s">
        <v>185</v>
      </c>
      <c r="B57" s="1166" t="s">
        <v>186</v>
      </c>
      <c r="C57" s="1167" t="str">
        <f>'MANZ. A'!H59</f>
        <v/>
      </c>
      <c r="D57" s="1168"/>
      <c r="E57" s="1169">
        <f>'MANZ. B'!R53</f>
        <v>0</v>
      </c>
      <c r="F57" s="1168"/>
      <c r="G57" s="1170">
        <f>MANZ.C!AL52</f>
        <v>17</v>
      </c>
      <c r="H57" s="1168"/>
      <c r="I57" s="1169">
        <f>MANZ.D!Z52</f>
        <v>7</v>
      </c>
      <c r="J57" s="1168"/>
      <c r="K57" s="1169">
        <f>MANZ.E!AL53</f>
        <v>6</v>
      </c>
      <c r="L57" s="1168"/>
      <c r="M57" s="1169">
        <f>MANZ.F!AB52</f>
        <v>8</v>
      </c>
      <c r="N57" s="1168"/>
      <c r="O57" s="1169">
        <f>MANZ.G!AT51</f>
        <v>18</v>
      </c>
      <c r="P57" s="1168"/>
      <c r="Q57" s="1170">
        <f>MANZ.H!V53</f>
        <v>9</v>
      </c>
      <c r="R57" s="1168"/>
      <c r="S57" s="1169">
        <f>MANZ.I!AB53</f>
        <v>10</v>
      </c>
      <c r="T57" s="1168"/>
      <c r="U57" s="1169">
        <f>MANZ.J!AT56</f>
        <v>16</v>
      </c>
      <c r="V57" s="1168"/>
      <c r="W57" s="1169">
        <f>MANZ.K!AB53</f>
        <v>10</v>
      </c>
      <c r="X57" s="1168"/>
      <c r="Y57" s="1169">
        <f>MANZ.L!Z53</f>
        <v>0</v>
      </c>
      <c r="Z57" s="1168"/>
      <c r="AA57" s="1169" t="str">
        <f>'SALA MULTIUSO'!F62</f>
        <v/>
      </c>
      <c r="AB57" s="1171"/>
      <c r="AC57" s="1171"/>
      <c r="AD57" s="1171"/>
      <c r="AE57" s="1171"/>
      <c r="AF57" s="1168"/>
      <c r="AG57" s="1172">
        <f t="shared" ref="AG57:AG58" si="5">SUM(C53:AA53)</f>
        <v>119</v>
      </c>
      <c r="AH57" s="1173"/>
      <c r="AJ57" s="1137"/>
      <c r="AK57" s="1137"/>
      <c r="AL57" s="1137"/>
      <c r="AM57" s="1137"/>
      <c r="AN57" s="1137"/>
      <c r="AO57" s="1137"/>
      <c r="AP57" s="1137"/>
      <c r="AQ57" s="1137"/>
      <c r="AR57" s="1137"/>
      <c r="AS57" s="1137"/>
      <c r="AT57" s="1137"/>
      <c r="AU57" s="1137"/>
      <c r="AV57" s="1137"/>
      <c r="AW57" s="1137"/>
      <c r="AX57" s="1137"/>
      <c r="AY57" s="1137"/>
      <c r="AZ57" s="1137"/>
      <c r="BA57" s="1137"/>
    </row>
    <row r="58" ht="39.75" customHeight="1">
      <c r="A58" s="1165" t="s">
        <v>187</v>
      </c>
      <c r="B58" s="1166" t="s">
        <v>188</v>
      </c>
      <c r="C58" s="1167" t="str">
        <f>'MANZ. A'!H60</f>
        <v/>
      </c>
      <c r="D58" s="1168"/>
      <c r="E58" s="1169">
        <f>'MANZ. B'!R54</f>
        <v>0</v>
      </c>
      <c r="F58" s="1168"/>
      <c r="G58" s="1170" t="str">
        <f>MANZ.C!AL53</f>
        <v/>
      </c>
      <c r="H58" s="1168"/>
      <c r="I58" s="1169">
        <f>MANZ.D!Z53</f>
        <v>0</v>
      </c>
      <c r="J58" s="1168"/>
      <c r="K58" s="1169"/>
      <c r="L58" s="1168"/>
      <c r="M58" s="1169">
        <f>MANZ.F!AB53</f>
        <v>0</v>
      </c>
      <c r="N58" s="1168"/>
      <c r="O58" s="1169">
        <f>MANZ.G!AT52</f>
        <v>18</v>
      </c>
      <c r="P58" s="1168"/>
      <c r="Q58" s="1169">
        <f>MANZ.H!V54</f>
        <v>0</v>
      </c>
      <c r="R58" s="1168"/>
      <c r="S58" s="1169">
        <f>MANZ.I!AB54</f>
        <v>0</v>
      </c>
      <c r="T58" s="1168"/>
      <c r="U58" s="1169" t="str">
        <f>MANZ.J!AT57</f>
        <v/>
      </c>
      <c r="V58" s="1168"/>
      <c r="W58" s="1169" t="str">
        <f>MANZ.K!AB54</f>
        <v/>
      </c>
      <c r="X58" s="1168"/>
      <c r="Y58" s="1169" t="str">
        <f>MANZ.L!Z54</f>
        <v/>
      </c>
      <c r="Z58" s="1168"/>
      <c r="AA58" s="1169" t="str">
        <f>'SALA MULTIUSO'!F63</f>
        <v/>
      </c>
      <c r="AB58" s="1171"/>
      <c r="AC58" s="1171"/>
      <c r="AD58" s="1171"/>
      <c r="AE58" s="1171"/>
      <c r="AF58" s="1168"/>
      <c r="AG58" s="1172">
        <f t="shared" si="5"/>
        <v>0</v>
      </c>
      <c r="AH58" s="1173"/>
      <c r="AJ58" s="1137"/>
      <c r="AK58" s="1137"/>
      <c r="AL58" s="1137"/>
      <c r="AM58" s="1137"/>
      <c r="AN58" s="1137"/>
      <c r="AO58" s="1137"/>
      <c r="AP58" s="1137"/>
      <c r="AQ58" s="1137"/>
      <c r="AR58" s="1137"/>
      <c r="AS58" s="1137"/>
      <c r="AT58" s="1137"/>
      <c r="AU58" s="1137"/>
      <c r="AV58" s="1137"/>
      <c r="AW58" s="1137"/>
      <c r="AX58" s="1137"/>
      <c r="AY58" s="1137"/>
      <c r="AZ58" s="1137"/>
      <c r="BA58" s="1137"/>
    </row>
    <row r="59" ht="39.75" customHeight="1">
      <c r="A59" s="1165" t="s">
        <v>189</v>
      </c>
      <c r="B59" s="1166" t="s">
        <v>190</v>
      </c>
      <c r="C59" s="1167" t="str">
        <f>'MANZ. A'!H61</f>
        <v/>
      </c>
      <c r="D59" s="1168"/>
      <c r="E59" s="1169" t="str">
        <f>'MANZ. B'!R56</f>
        <v/>
      </c>
      <c r="F59" s="1168"/>
      <c r="G59" s="1170" t="str">
        <f>MANZ.C!AL55</f>
        <v/>
      </c>
      <c r="H59" s="1168"/>
      <c r="I59" s="1169" t="str">
        <f>MANZ.D!Z55</f>
        <v/>
      </c>
      <c r="J59" s="1168"/>
      <c r="K59" s="1169" t="str">
        <f>MANZ.E!AL56</f>
        <v/>
      </c>
      <c r="L59" s="1168"/>
      <c r="M59" s="1169" t="str">
        <f>MANZ.F!AB55</f>
        <v/>
      </c>
      <c r="N59" s="1168"/>
      <c r="O59" s="1169">
        <f>MANZ.G!AT54</f>
        <v>18</v>
      </c>
      <c r="P59" s="1168"/>
      <c r="Q59" s="1170" t="str">
        <f>MANZ.H!V56</f>
        <v/>
      </c>
      <c r="R59" s="1168"/>
      <c r="S59" s="1169" t="str">
        <f>MANZ.I!AB56</f>
        <v/>
      </c>
      <c r="T59" s="1168"/>
      <c r="U59" s="1169" t="str">
        <f>MANZ.J!AT59</f>
        <v/>
      </c>
      <c r="V59" s="1168"/>
      <c r="W59" s="1169" t="str">
        <f>MANZ.K!AB56</f>
        <v/>
      </c>
      <c r="X59" s="1168"/>
      <c r="Y59" s="1169" t="str">
        <f>MANZ.L!Z56</f>
        <v/>
      </c>
      <c r="Z59" s="1168"/>
      <c r="AA59" s="1169" t="str">
        <f>'SALA MULTIUSO'!F65</f>
        <v/>
      </c>
      <c r="AB59" s="1171"/>
      <c r="AC59" s="1171"/>
      <c r="AD59" s="1171"/>
      <c r="AE59" s="1171"/>
      <c r="AF59" s="1168"/>
      <c r="AG59" s="1172">
        <f t="shared" ref="AG59:AG60" si="6">SUM(C56:AA56)</f>
        <v>0</v>
      </c>
      <c r="AH59" s="1173"/>
      <c r="AI59" s="1138"/>
    </row>
    <row r="60" ht="39.75" customHeight="1">
      <c r="A60" s="1165" t="s">
        <v>191</v>
      </c>
      <c r="B60" s="1166" t="s">
        <v>192</v>
      </c>
      <c r="C60" s="1167" t="str">
        <f>'MANZ. A'!H62</f>
        <v/>
      </c>
      <c r="D60" s="1168"/>
      <c r="E60" s="1169">
        <f>'MANZ. B'!R57</f>
        <v>0</v>
      </c>
      <c r="F60" s="1168"/>
      <c r="G60" s="1169">
        <f>MANZ.C!AL56</f>
        <v>17</v>
      </c>
      <c r="H60" s="1168"/>
      <c r="I60" s="1169">
        <f>MANZ.D!Z56</f>
        <v>7</v>
      </c>
      <c r="J60" s="1168"/>
      <c r="K60" s="1169"/>
      <c r="L60" s="1168"/>
      <c r="M60" s="1169">
        <f>MANZ.F!AB56</f>
        <v>10</v>
      </c>
      <c r="N60" s="1168"/>
      <c r="O60" s="1169">
        <f>MANZ.G!AT55</f>
        <v>18</v>
      </c>
      <c r="P60" s="1168"/>
      <c r="Q60" s="1169">
        <f>MANZ.H!V57</f>
        <v>9</v>
      </c>
      <c r="R60" s="1168"/>
      <c r="S60" s="1169">
        <f>MANZ.I!AB57</f>
        <v>10</v>
      </c>
      <c r="T60" s="1168"/>
      <c r="U60" s="1169">
        <f>MANZ.J!AT60</f>
        <v>17</v>
      </c>
      <c r="V60" s="1168"/>
      <c r="W60" s="1169">
        <f>MANZ.K!AB57</f>
        <v>11</v>
      </c>
      <c r="X60" s="1168"/>
      <c r="Y60" s="1169">
        <f>MANZ.L!Z57</f>
        <v>10</v>
      </c>
      <c r="Z60" s="1168"/>
      <c r="AA60" s="1169" t="str">
        <f>'SALA MULTIUSO'!F66</f>
        <v/>
      </c>
      <c r="AB60" s="1171"/>
      <c r="AC60" s="1171"/>
      <c r="AD60" s="1171"/>
      <c r="AE60" s="1171"/>
      <c r="AF60" s="1168"/>
      <c r="AG60" s="1172">
        <f t="shared" si="6"/>
        <v>101</v>
      </c>
      <c r="AH60" s="1173"/>
      <c r="AI60" s="1138"/>
      <c r="AJ60" s="1137"/>
      <c r="AK60" s="1137"/>
      <c r="AL60" s="1137"/>
      <c r="AM60" s="1137"/>
      <c r="AN60" s="1137"/>
      <c r="AO60" s="1137"/>
      <c r="AP60" s="1137"/>
      <c r="AQ60" s="1137"/>
      <c r="AR60" s="1137"/>
      <c r="AS60" s="1137"/>
      <c r="AT60" s="1137"/>
      <c r="AU60" s="1137"/>
      <c r="AV60" s="1137"/>
      <c r="AW60" s="1137"/>
      <c r="AX60" s="1137"/>
      <c r="AY60" s="1137"/>
      <c r="AZ60" s="1137"/>
      <c r="BA60" s="1137"/>
    </row>
    <row r="61" ht="39.75" customHeight="1">
      <c r="A61" s="1184" t="s">
        <v>193</v>
      </c>
      <c r="B61" s="1185" t="s">
        <v>194</v>
      </c>
      <c r="C61" s="1163"/>
      <c r="D61" s="1163"/>
      <c r="E61" s="1163"/>
      <c r="F61" s="1163"/>
      <c r="G61" s="1163"/>
      <c r="H61" s="1163"/>
      <c r="I61" s="1163"/>
      <c r="J61" s="1163"/>
      <c r="K61" s="1163"/>
      <c r="L61" s="1163"/>
      <c r="M61" s="1163"/>
      <c r="N61" s="1163"/>
      <c r="O61" s="1163"/>
      <c r="P61" s="1163"/>
      <c r="Q61" s="1163"/>
      <c r="R61" s="1163"/>
      <c r="S61" s="1163"/>
      <c r="T61" s="1163"/>
      <c r="U61" s="1163"/>
      <c r="V61" s="1163"/>
      <c r="W61" s="1163"/>
      <c r="X61" s="1163"/>
      <c r="Y61" s="1163"/>
      <c r="Z61" s="1163"/>
      <c r="AA61" s="1163"/>
      <c r="AB61" s="1163"/>
      <c r="AC61" s="1163"/>
      <c r="AD61" s="1163"/>
      <c r="AE61" s="1163"/>
      <c r="AF61" s="1163"/>
      <c r="AG61" s="1163"/>
      <c r="AH61" s="1164"/>
      <c r="AJ61" s="1137"/>
      <c r="AK61" s="1137"/>
      <c r="AL61" s="1137"/>
      <c r="AM61" s="1137"/>
      <c r="AN61" s="1137"/>
      <c r="AO61" s="1137"/>
      <c r="AP61" s="1137"/>
      <c r="AQ61" s="1137"/>
      <c r="AR61" s="1137"/>
      <c r="AS61" s="1137"/>
      <c r="AT61" s="1137"/>
      <c r="AU61" s="1137"/>
      <c r="AV61" s="1137"/>
      <c r="AW61" s="1137"/>
      <c r="AX61" s="1137"/>
      <c r="AY61" s="1137"/>
      <c r="AZ61" s="1137"/>
      <c r="BA61" s="1137"/>
    </row>
    <row r="62" ht="39.75" customHeight="1">
      <c r="A62" s="1182" t="s">
        <v>195</v>
      </c>
      <c r="B62" s="1183" t="s">
        <v>196</v>
      </c>
      <c r="C62" s="1167"/>
      <c r="D62" s="1168"/>
      <c r="E62" s="1169"/>
      <c r="F62" s="1168"/>
      <c r="G62" s="1169"/>
      <c r="H62" s="1168"/>
      <c r="I62" s="1169"/>
      <c r="J62" s="1168"/>
      <c r="K62" s="1169"/>
      <c r="L62" s="1168"/>
      <c r="M62" s="1169"/>
      <c r="N62" s="1168"/>
      <c r="O62" s="1169"/>
      <c r="P62" s="1168"/>
      <c r="Q62" s="1169"/>
      <c r="R62" s="1168"/>
      <c r="S62" s="1169"/>
      <c r="T62" s="1168"/>
      <c r="U62" s="1169"/>
      <c r="V62" s="1168"/>
      <c r="W62" s="1169"/>
      <c r="X62" s="1168"/>
      <c r="Y62" s="1169"/>
      <c r="Z62" s="1168"/>
      <c r="AA62" s="1169"/>
      <c r="AB62" s="1171"/>
      <c r="AC62" s="1171"/>
      <c r="AD62" s="1171"/>
      <c r="AE62" s="1171"/>
      <c r="AF62" s="1168"/>
      <c r="AG62" s="1172"/>
      <c r="AH62" s="1173"/>
      <c r="AI62" s="1138"/>
      <c r="AJ62" s="1137"/>
      <c r="AK62" s="1137"/>
      <c r="AL62" s="1137"/>
      <c r="AM62" s="1137"/>
      <c r="AN62" s="1137"/>
      <c r="AO62" s="1137"/>
      <c r="AP62" s="1137"/>
      <c r="AQ62" s="1137"/>
      <c r="AR62" s="1137"/>
      <c r="AS62" s="1137"/>
      <c r="AT62" s="1137"/>
      <c r="AU62" s="1137"/>
      <c r="AV62" s="1137"/>
      <c r="AW62" s="1137"/>
      <c r="AX62" s="1137"/>
      <c r="AY62" s="1137"/>
      <c r="AZ62" s="1137"/>
      <c r="BA62" s="1137"/>
    </row>
    <row r="63" ht="39.75" customHeight="1">
      <c r="A63" s="1182" t="s">
        <v>197</v>
      </c>
      <c r="B63" s="1183" t="s">
        <v>139</v>
      </c>
      <c r="C63" s="1167" t="str">
        <f>'MANZ. A'!H65</f>
        <v/>
      </c>
      <c r="D63" s="1168"/>
      <c r="E63" s="1169" t="str">
        <f>'MANZ. B'!#REF!</f>
        <v>#ERROR!</v>
      </c>
      <c r="F63" s="1168"/>
      <c r="G63" s="1170" t="str">
        <f>MANZ.C!#REF!</f>
        <v>#ERROR!</v>
      </c>
      <c r="H63" s="1168"/>
      <c r="I63" s="1169" t="str">
        <f>MANZ.D!#REF!</f>
        <v>#ERROR!</v>
      </c>
      <c r="J63" s="1168"/>
      <c r="K63" s="1169" t="str">
        <f>MANZ.E!#REF!</f>
        <v>#ERROR!</v>
      </c>
      <c r="L63" s="1168"/>
      <c r="M63" s="1169" t="str">
        <f>MANZ.F!#REF!</f>
        <v>#ERROR!</v>
      </c>
      <c r="N63" s="1168"/>
      <c r="O63" s="1169">
        <f>MANZ.G!AT59</f>
        <v>18</v>
      </c>
      <c r="P63" s="1168"/>
      <c r="Q63" s="1170" t="str">
        <f>MANZ.H!#REF!</f>
        <v>#ERROR!</v>
      </c>
      <c r="R63" s="1168"/>
      <c r="S63" s="1169" t="str">
        <f>MANZ.I!#REF!</f>
        <v>#ERROR!</v>
      </c>
      <c r="T63" s="1168"/>
      <c r="U63" s="1169" t="str">
        <f>MANZ.J!#REF!</f>
        <v>#ERROR!</v>
      </c>
      <c r="V63" s="1168"/>
      <c r="W63" s="1169" t="str">
        <f>MANZ.K!#REF!</f>
        <v>#ERROR!</v>
      </c>
      <c r="X63" s="1168"/>
      <c r="Y63" s="1169" t="str">
        <f>MANZ.L!#REF!</f>
        <v>#ERROR!</v>
      </c>
      <c r="Z63" s="1168"/>
      <c r="AA63" s="1169" t="str">
        <f>'SALA MULTIUSO'!F70</f>
        <v/>
      </c>
      <c r="AB63" s="1171"/>
      <c r="AC63" s="1171"/>
      <c r="AD63" s="1171"/>
      <c r="AE63" s="1171"/>
      <c r="AF63" s="1168"/>
      <c r="AG63" s="1172" t="str">
        <f>SUM(#REF!)</f>
        <v>#REF!</v>
      </c>
      <c r="AH63" s="1173"/>
      <c r="AJ63" s="1137"/>
      <c r="AK63" s="1137"/>
      <c r="AL63" s="1137"/>
      <c r="AM63" s="1137"/>
      <c r="AN63" s="1137"/>
      <c r="AO63" s="1137"/>
      <c r="AP63" s="1137"/>
      <c r="AQ63" s="1137"/>
      <c r="AR63" s="1137"/>
      <c r="AS63" s="1137"/>
      <c r="AT63" s="1137"/>
      <c r="AU63" s="1137"/>
      <c r="AV63" s="1137"/>
      <c r="AW63" s="1137"/>
      <c r="AX63" s="1137"/>
      <c r="AY63" s="1137"/>
      <c r="AZ63" s="1137"/>
      <c r="BA63" s="1137"/>
    </row>
    <row r="64" ht="39.75" customHeight="1">
      <c r="A64" s="1182" t="s">
        <v>198</v>
      </c>
      <c r="B64" s="1183" t="s">
        <v>199</v>
      </c>
      <c r="C64" s="1167"/>
      <c r="D64" s="1168"/>
      <c r="E64" s="1169"/>
      <c r="F64" s="1168"/>
      <c r="G64" s="1169"/>
      <c r="H64" s="1168"/>
      <c r="I64" s="1169"/>
      <c r="J64" s="1168"/>
      <c r="K64" s="1169"/>
      <c r="L64" s="1168"/>
      <c r="M64" s="1169"/>
      <c r="N64" s="1168"/>
      <c r="O64" s="1169"/>
      <c r="P64" s="1168"/>
      <c r="Q64" s="1169"/>
      <c r="R64" s="1168"/>
      <c r="S64" s="1169"/>
      <c r="T64" s="1168"/>
      <c r="U64" s="1169"/>
      <c r="V64" s="1168"/>
      <c r="W64" s="1169"/>
      <c r="X64" s="1168"/>
      <c r="Y64" s="1169"/>
      <c r="Z64" s="1168"/>
      <c r="AA64" s="1169"/>
      <c r="AB64" s="1171"/>
      <c r="AC64" s="1171"/>
      <c r="AD64" s="1171"/>
      <c r="AE64" s="1171"/>
      <c r="AF64" s="1168"/>
      <c r="AG64" s="1172"/>
      <c r="AH64" s="1173"/>
      <c r="AI64" s="1138"/>
      <c r="AJ64" s="1137"/>
      <c r="AK64" s="1137"/>
      <c r="AL64" s="1137"/>
      <c r="AM64" s="1137"/>
      <c r="AN64" s="1137"/>
      <c r="AO64" s="1137"/>
      <c r="AP64" s="1137"/>
      <c r="AQ64" s="1137"/>
      <c r="AR64" s="1137"/>
      <c r="AS64" s="1137"/>
      <c r="AT64" s="1137"/>
      <c r="AU64" s="1137"/>
      <c r="AV64" s="1137"/>
      <c r="AW64" s="1137"/>
      <c r="AX64" s="1137"/>
      <c r="AY64" s="1137"/>
      <c r="AZ64" s="1137"/>
      <c r="BA64" s="1137"/>
    </row>
    <row r="65" ht="39.75" customHeight="1">
      <c r="A65" s="1182" t="s">
        <v>200</v>
      </c>
      <c r="B65" s="1183" t="s">
        <v>176</v>
      </c>
      <c r="C65" s="1167" t="str">
        <f>'MANZ. A'!H67</f>
        <v/>
      </c>
      <c r="D65" s="1168"/>
      <c r="E65" s="1169">
        <f>'MANZ. B'!R62</f>
        <v>0</v>
      </c>
      <c r="F65" s="1168"/>
      <c r="G65" s="1169" t="str">
        <f>MANZ.C!AL61</f>
        <v/>
      </c>
      <c r="H65" s="1168"/>
      <c r="I65" s="1169">
        <f>MANZ.D!Z61</f>
        <v>0</v>
      </c>
      <c r="J65" s="1168"/>
      <c r="K65" s="1169">
        <f>MANZ.E!AL62</f>
        <v>0</v>
      </c>
      <c r="L65" s="1168"/>
      <c r="M65" s="1169">
        <f>MANZ.F!AB61</f>
        <v>0</v>
      </c>
      <c r="N65" s="1168"/>
      <c r="O65" s="1169">
        <f>MANZ.G!AT61</f>
        <v>18</v>
      </c>
      <c r="P65" s="1168"/>
      <c r="Q65" s="1169" t="str">
        <f>MANZ.H!V62</f>
        <v/>
      </c>
      <c r="R65" s="1168"/>
      <c r="S65" s="1169" t="str">
        <f>MANZ.I!AB62</f>
        <v/>
      </c>
      <c r="T65" s="1168"/>
      <c r="U65" s="1169" t="str">
        <f>MANZ.J!AT65</f>
        <v/>
      </c>
      <c r="V65" s="1168"/>
      <c r="W65" s="1169" t="str">
        <f>MANZ.K!AB62</f>
        <v/>
      </c>
      <c r="X65" s="1168"/>
      <c r="Y65" s="1169" t="str">
        <f>MANZ.L!Z62</f>
        <v/>
      </c>
      <c r="Z65" s="1168"/>
      <c r="AA65" s="1169" t="str">
        <f>'SALA MULTIUSO'!F72</f>
        <v/>
      </c>
      <c r="AB65" s="1171"/>
      <c r="AC65" s="1171"/>
      <c r="AD65" s="1171"/>
      <c r="AE65" s="1171"/>
      <c r="AF65" s="1168"/>
      <c r="AG65" s="1172">
        <f>SUM(C62:AA62)</f>
        <v>0</v>
      </c>
      <c r="AH65" s="1173"/>
      <c r="AJ65" s="1137"/>
      <c r="AK65" s="1137"/>
      <c r="AL65" s="1137"/>
      <c r="AM65" s="1137"/>
      <c r="AN65" s="1137"/>
      <c r="AO65" s="1137"/>
      <c r="AP65" s="1137"/>
      <c r="AQ65" s="1137"/>
      <c r="AR65" s="1137"/>
      <c r="AS65" s="1137"/>
      <c r="AT65" s="1137"/>
      <c r="AU65" s="1137"/>
      <c r="AV65" s="1137"/>
      <c r="AW65" s="1137"/>
      <c r="AX65" s="1137"/>
      <c r="AY65" s="1137"/>
      <c r="AZ65" s="1137"/>
      <c r="BA65" s="1137"/>
    </row>
    <row r="66" ht="39.75" customHeight="1">
      <c r="A66" s="1182" t="s">
        <v>201</v>
      </c>
      <c r="B66" s="1183" t="s">
        <v>202</v>
      </c>
      <c r="C66" s="1167"/>
      <c r="D66" s="1168"/>
      <c r="E66" s="1169"/>
      <c r="F66" s="1168"/>
      <c r="G66" s="1169"/>
      <c r="H66" s="1168"/>
      <c r="I66" s="1169"/>
      <c r="J66" s="1168"/>
      <c r="K66" s="1169"/>
      <c r="L66" s="1168"/>
      <c r="M66" s="1169"/>
      <c r="N66" s="1168"/>
      <c r="O66" s="1169"/>
      <c r="P66" s="1168"/>
      <c r="Q66" s="1169"/>
      <c r="R66" s="1168"/>
      <c r="S66" s="1169"/>
      <c r="T66" s="1168"/>
      <c r="U66" s="1169"/>
      <c r="V66" s="1168"/>
      <c r="W66" s="1169"/>
      <c r="X66" s="1168"/>
      <c r="Y66" s="1169"/>
      <c r="Z66" s="1168"/>
      <c r="AA66" s="1169"/>
      <c r="AB66" s="1171"/>
      <c r="AC66" s="1171"/>
      <c r="AD66" s="1171"/>
      <c r="AE66" s="1171"/>
      <c r="AF66" s="1168"/>
      <c r="AG66" s="1172"/>
      <c r="AH66" s="1173"/>
      <c r="AI66" s="1138"/>
      <c r="AJ66" s="1137"/>
      <c r="AK66" s="1137"/>
      <c r="AL66" s="1137"/>
      <c r="AM66" s="1137"/>
      <c r="AN66" s="1137"/>
      <c r="AO66" s="1137"/>
      <c r="AP66" s="1137"/>
      <c r="AQ66" s="1137"/>
      <c r="AR66" s="1137"/>
      <c r="AS66" s="1137"/>
      <c r="AT66" s="1137"/>
      <c r="AU66" s="1137"/>
      <c r="AV66" s="1137"/>
      <c r="AW66" s="1137"/>
      <c r="AX66" s="1137"/>
      <c r="AY66" s="1137"/>
      <c r="AZ66" s="1137"/>
      <c r="BA66" s="1137"/>
    </row>
    <row r="67" ht="39.75" customHeight="1">
      <c r="A67" s="1182" t="s">
        <v>203</v>
      </c>
      <c r="B67" s="1183" t="s">
        <v>204</v>
      </c>
      <c r="C67" s="1167" t="str">
        <f>'MANZ. A'!H69</f>
        <v/>
      </c>
      <c r="D67" s="1168"/>
      <c r="E67" s="1169">
        <f>'MANZ. B'!R66</f>
        <v>0</v>
      </c>
      <c r="F67" s="1168"/>
      <c r="G67" s="1169">
        <f>MANZ.C!AL65</f>
        <v>0</v>
      </c>
      <c r="H67" s="1168"/>
      <c r="I67" s="1169" t="str">
        <f>MANZ.D!Z65</f>
        <v/>
      </c>
      <c r="J67" s="1168"/>
      <c r="K67" s="1169">
        <f>MANZ.E!AL66</f>
        <v>0</v>
      </c>
      <c r="L67" s="1168"/>
      <c r="M67" s="1169" t="str">
        <f>MANZ.F!AB65</f>
        <v/>
      </c>
      <c r="N67" s="1168"/>
      <c r="O67" s="1169" t="str">
        <f>MANZ.G!#REF!</f>
        <v>#ERROR!</v>
      </c>
      <c r="P67" s="1168"/>
      <c r="Q67" s="1169" t="str">
        <f>MANZ.H!V66</f>
        <v/>
      </c>
      <c r="R67" s="1168"/>
      <c r="S67" s="1169" t="str">
        <f>MANZ.I!AB64</f>
        <v/>
      </c>
      <c r="T67" s="1168"/>
      <c r="U67" s="1169" t="str">
        <f>MANZ.J!AT69</f>
        <v/>
      </c>
      <c r="V67" s="1168"/>
      <c r="W67" s="1169" t="str">
        <f>MANZ.K!AB66</f>
        <v/>
      </c>
      <c r="X67" s="1168"/>
      <c r="Y67" s="1169" t="str">
        <f>MANZ.L!Z66</f>
        <v/>
      </c>
      <c r="Z67" s="1168"/>
      <c r="AA67" s="1169" t="str">
        <f>'SALA MULTIUSO'!F76</f>
        <v/>
      </c>
      <c r="AB67" s="1171"/>
      <c r="AC67" s="1171"/>
      <c r="AD67" s="1171"/>
      <c r="AE67" s="1171"/>
      <c r="AF67" s="1168"/>
      <c r="AG67" s="1172">
        <f>SUM(C64:AA64)</f>
        <v>0</v>
      </c>
      <c r="AH67" s="1173"/>
      <c r="AI67" s="1138"/>
      <c r="AJ67" s="1137"/>
      <c r="AK67" s="1137"/>
      <c r="AL67" s="1137"/>
      <c r="AM67" s="1137"/>
      <c r="AN67" s="1137"/>
      <c r="AO67" s="1137"/>
      <c r="AP67" s="1137"/>
      <c r="AQ67" s="1137"/>
      <c r="AR67" s="1137"/>
      <c r="AS67" s="1137"/>
      <c r="AT67" s="1137"/>
      <c r="AU67" s="1137"/>
      <c r="AV67" s="1137"/>
      <c r="AW67" s="1137"/>
      <c r="AX67" s="1137"/>
      <c r="AY67" s="1137"/>
      <c r="AZ67" s="1137"/>
      <c r="BA67" s="1137"/>
    </row>
    <row r="68" ht="39.75" customHeight="1">
      <c r="A68" s="1184" t="s">
        <v>205</v>
      </c>
      <c r="B68" s="1185" t="s">
        <v>206</v>
      </c>
      <c r="C68" s="1163"/>
      <c r="D68" s="1163"/>
      <c r="E68" s="1163"/>
      <c r="F68" s="1163"/>
      <c r="G68" s="1163"/>
      <c r="H68" s="1163"/>
      <c r="I68" s="1163"/>
      <c r="J68" s="1163"/>
      <c r="K68" s="1163"/>
      <c r="L68" s="1163"/>
      <c r="M68" s="1163"/>
      <c r="N68" s="1163"/>
      <c r="O68" s="1163"/>
      <c r="P68" s="1163"/>
      <c r="Q68" s="1163"/>
      <c r="R68" s="1163"/>
      <c r="S68" s="1163"/>
      <c r="T68" s="1163"/>
      <c r="U68" s="1163"/>
      <c r="V68" s="1163"/>
      <c r="W68" s="1163"/>
      <c r="X68" s="1163"/>
      <c r="Y68" s="1163"/>
      <c r="Z68" s="1163"/>
      <c r="AA68" s="1163"/>
      <c r="AB68" s="1163"/>
      <c r="AC68" s="1163"/>
      <c r="AD68" s="1163"/>
      <c r="AE68" s="1163"/>
      <c r="AF68" s="1163"/>
      <c r="AG68" s="1163"/>
      <c r="AH68" s="1164"/>
      <c r="AJ68" s="1137"/>
      <c r="AK68" s="1137"/>
      <c r="AL68" s="1137"/>
      <c r="AM68" s="1137"/>
      <c r="AN68" s="1137"/>
      <c r="AO68" s="1137"/>
      <c r="AP68" s="1137"/>
      <c r="AQ68" s="1137"/>
      <c r="AR68" s="1137"/>
      <c r="AS68" s="1137"/>
      <c r="AT68" s="1137"/>
      <c r="AU68" s="1137"/>
      <c r="AV68" s="1137"/>
      <c r="AW68" s="1137"/>
      <c r="AX68" s="1137"/>
      <c r="AY68" s="1137"/>
      <c r="AZ68" s="1137"/>
      <c r="BA68" s="1137"/>
    </row>
    <row r="69" ht="39.75" customHeight="1">
      <c r="A69" s="1165" t="s">
        <v>207</v>
      </c>
      <c r="B69" s="1166" t="s">
        <v>208</v>
      </c>
      <c r="C69" s="1167" t="str">
        <f>'MANZ. A'!H71</f>
        <v/>
      </c>
      <c r="D69" s="1168"/>
      <c r="E69" s="1169">
        <f>'MANZ. B'!R69</f>
        <v>0</v>
      </c>
      <c r="F69" s="1168"/>
      <c r="G69" s="1170">
        <f>MANZ.C!AL68</f>
        <v>17</v>
      </c>
      <c r="H69" s="1168"/>
      <c r="I69" s="1169">
        <f>MANZ.D!Z68</f>
        <v>7</v>
      </c>
      <c r="J69" s="1168"/>
      <c r="K69" s="1169">
        <f>MANZ.E!AL69</f>
        <v>10</v>
      </c>
      <c r="L69" s="1168"/>
      <c r="M69" s="1169">
        <f>MANZ.F!AB68</f>
        <v>8</v>
      </c>
      <c r="N69" s="1168"/>
      <c r="O69" s="1169">
        <f>MANZ.G!AS65</f>
        <v>18</v>
      </c>
      <c r="P69" s="1168"/>
      <c r="Q69" s="1170">
        <f>MANZ.H!V69</f>
        <v>9</v>
      </c>
      <c r="R69" s="1168"/>
      <c r="S69" s="1169">
        <f>MANZ.I!AB67</f>
        <v>10</v>
      </c>
      <c r="T69" s="1168"/>
      <c r="U69" s="1169">
        <f>MANZ.J!AT72</f>
        <v>20</v>
      </c>
      <c r="V69" s="1168"/>
      <c r="W69" s="1169">
        <f>MANZ.K!AB69</f>
        <v>10</v>
      </c>
      <c r="X69" s="1168"/>
      <c r="Y69" s="1169">
        <f>MANZ.L!Z69</f>
        <v>2</v>
      </c>
      <c r="Z69" s="1168"/>
      <c r="AA69" s="1169" t="str">
        <f>'SALA MULTIUSO'!F79</f>
        <v/>
      </c>
      <c r="AB69" s="1171"/>
      <c r="AC69" s="1171"/>
      <c r="AD69" s="1171"/>
      <c r="AE69" s="1171"/>
      <c r="AF69" s="1168"/>
      <c r="AG69" s="1172" t="str">
        <f>SUM(C67:AA67)</f>
        <v>#ERROR!</v>
      </c>
      <c r="AH69" s="1173"/>
      <c r="AI69" s="1137"/>
      <c r="AJ69" s="1137"/>
      <c r="AK69" s="1137"/>
      <c r="AL69" s="1137"/>
      <c r="AM69" s="1137"/>
      <c r="AN69" s="1137"/>
      <c r="AO69" s="1137"/>
      <c r="AP69" s="1137"/>
      <c r="AQ69" s="1137"/>
      <c r="AR69" s="1137"/>
      <c r="AS69" s="1137"/>
      <c r="AT69" s="1137"/>
      <c r="AU69" s="1137"/>
      <c r="AV69" s="1137"/>
      <c r="AW69" s="1137"/>
      <c r="AX69" s="1137"/>
      <c r="AY69" s="1137"/>
      <c r="AZ69" s="1137"/>
      <c r="BA69" s="1137"/>
    </row>
    <row r="70" ht="39.75" customHeight="1">
      <c r="A70" s="1184" t="s">
        <v>209</v>
      </c>
      <c r="B70" s="1185" t="s">
        <v>210</v>
      </c>
      <c r="C70" s="1163"/>
      <c r="D70" s="1163"/>
      <c r="E70" s="1163"/>
      <c r="F70" s="1163"/>
      <c r="G70" s="1163"/>
      <c r="H70" s="1163"/>
      <c r="I70" s="1163"/>
      <c r="J70" s="1163"/>
      <c r="K70" s="1163"/>
      <c r="L70" s="1163"/>
      <c r="M70" s="1163"/>
      <c r="N70" s="1163"/>
      <c r="O70" s="1163"/>
      <c r="P70" s="1163"/>
      <c r="Q70" s="1163"/>
      <c r="R70" s="1163"/>
      <c r="S70" s="1163"/>
      <c r="T70" s="1163"/>
      <c r="U70" s="1163"/>
      <c r="V70" s="1163"/>
      <c r="W70" s="1163"/>
      <c r="X70" s="1163"/>
      <c r="Y70" s="1163"/>
      <c r="Z70" s="1163"/>
      <c r="AA70" s="1163"/>
      <c r="AB70" s="1163"/>
      <c r="AC70" s="1163"/>
      <c r="AD70" s="1163"/>
      <c r="AE70" s="1163"/>
      <c r="AF70" s="1163"/>
      <c r="AG70" s="1163"/>
      <c r="AH70" s="1164"/>
      <c r="AI70" s="1137"/>
      <c r="AJ70" s="1137"/>
      <c r="AK70" s="1137"/>
      <c r="AL70" s="1137"/>
      <c r="AM70" s="1137"/>
      <c r="AN70" s="1137"/>
      <c r="AO70" s="1137"/>
      <c r="AP70" s="1137"/>
      <c r="AQ70" s="1137"/>
      <c r="AR70" s="1137"/>
      <c r="AS70" s="1137"/>
      <c r="AT70" s="1137"/>
      <c r="AU70" s="1137"/>
      <c r="AV70" s="1137"/>
      <c r="AW70" s="1137"/>
      <c r="AX70" s="1137"/>
      <c r="AY70" s="1137"/>
      <c r="AZ70" s="1137"/>
      <c r="BA70" s="1137"/>
    </row>
    <row r="71" ht="39.75" customHeight="1">
      <c r="A71" s="1165" t="s">
        <v>211</v>
      </c>
      <c r="B71" s="1166" t="s">
        <v>212</v>
      </c>
      <c r="C71" s="1167"/>
      <c r="D71" s="1168"/>
      <c r="E71" s="1169"/>
      <c r="F71" s="1168"/>
      <c r="G71" s="1170">
        <f>MANZ.C!AL71</f>
        <v>17</v>
      </c>
      <c r="H71" s="1168"/>
      <c r="I71" s="1169">
        <f>MANZ.D!Z71</f>
        <v>3</v>
      </c>
      <c r="J71" s="1168"/>
      <c r="K71" s="1169">
        <f>MANZ.E!AL72</f>
        <v>8</v>
      </c>
      <c r="L71" s="1168"/>
      <c r="M71" s="1169">
        <f>MANZ.F!AB71</f>
        <v>8</v>
      </c>
      <c r="N71" s="1168"/>
      <c r="O71" s="1169" t="str">
        <f>MANZ.G!AS68</f>
        <v/>
      </c>
      <c r="P71" s="1168"/>
      <c r="Q71" s="1169">
        <f>MANZ.H!V72</f>
        <v>9</v>
      </c>
      <c r="R71" s="1168"/>
      <c r="S71" s="1169" t="str">
        <f>MANZ.I!AB70</f>
        <v/>
      </c>
      <c r="T71" s="1168"/>
      <c r="U71" s="1169">
        <f>MANZ.J!AT75</f>
        <v>17</v>
      </c>
      <c r="V71" s="1168"/>
      <c r="W71" s="1169">
        <f>MANZ.K!AB72</f>
        <v>10</v>
      </c>
      <c r="X71" s="1168"/>
      <c r="Y71" s="1169">
        <f>MANZ.L!Z72</f>
        <v>0</v>
      </c>
      <c r="Z71" s="1168"/>
      <c r="AA71" s="1169"/>
      <c r="AB71" s="1171"/>
      <c r="AC71" s="1171"/>
      <c r="AD71" s="1171"/>
      <c r="AE71" s="1171"/>
      <c r="AF71" s="1168"/>
      <c r="AG71" s="1172">
        <f t="shared" ref="AG71:AG72" si="7">SUM(C70:AA70)</f>
        <v>0</v>
      </c>
      <c r="AH71" s="1173"/>
      <c r="AI71" s="1137"/>
      <c r="AJ71" s="1137"/>
      <c r="AK71" s="1137"/>
      <c r="AL71" s="1137"/>
      <c r="AM71" s="1137"/>
      <c r="AN71" s="1137"/>
      <c r="AO71" s="1137"/>
      <c r="AP71" s="1137"/>
      <c r="AQ71" s="1137"/>
      <c r="AR71" s="1137"/>
      <c r="AS71" s="1137"/>
      <c r="AT71" s="1137"/>
      <c r="AU71" s="1137"/>
      <c r="AV71" s="1137"/>
      <c r="AW71" s="1137"/>
      <c r="AX71" s="1137"/>
      <c r="AY71" s="1137"/>
      <c r="AZ71" s="1137"/>
      <c r="BA71" s="1137"/>
    </row>
    <row r="72" ht="39.75" customHeight="1">
      <c r="A72" s="1165" t="s">
        <v>213</v>
      </c>
      <c r="B72" s="1166" t="s">
        <v>214</v>
      </c>
      <c r="C72" s="1167"/>
      <c r="D72" s="1168"/>
      <c r="E72" s="1169"/>
      <c r="F72" s="1168"/>
      <c r="G72" s="1170" t="str">
        <f>MANZ.C!#REF!</f>
        <v>#ERROR!</v>
      </c>
      <c r="H72" s="1168"/>
      <c r="I72" s="1169" t="str">
        <f>MANZ.D!#REF!</f>
        <v>#ERROR!</v>
      </c>
      <c r="J72" s="1168"/>
      <c r="K72" s="1169"/>
      <c r="L72" s="1168"/>
      <c r="M72" s="1169" t="str">
        <f>MANZ.F!#REF!</f>
        <v>#ERROR!</v>
      </c>
      <c r="N72" s="1168"/>
      <c r="O72" s="1169">
        <f>MANZ.G!AS69</f>
        <v>17</v>
      </c>
      <c r="P72" s="1168"/>
      <c r="Q72" s="1169" t="str">
        <f>MANZ.H!#REF!</f>
        <v>#ERROR!</v>
      </c>
      <c r="R72" s="1168"/>
      <c r="S72" s="1169">
        <f>MANZ.I!AB71</f>
        <v>10</v>
      </c>
      <c r="T72" s="1168"/>
      <c r="U72" s="1169" t="str">
        <f>MANZ.J!#REF!</f>
        <v>#ERROR!</v>
      </c>
      <c r="V72" s="1168"/>
      <c r="W72" s="1169" t="str">
        <f>MANZ.K!#REF!</f>
        <v>#ERROR!</v>
      </c>
      <c r="X72" s="1168"/>
      <c r="Y72" s="1169"/>
      <c r="Z72" s="1168"/>
      <c r="AA72" s="1169"/>
      <c r="AB72" s="1171"/>
      <c r="AC72" s="1171"/>
      <c r="AD72" s="1171"/>
      <c r="AE72" s="1171"/>
      <c r="AF72" s="1168"/>
      <c r="AG72" s="1172">
        <f t="shared" si="7"/>
        <v>72</v>
      </c>
      <c r="AH72" s="1173"/>
      <c r="AI72" s="1137"/>
      <c r="AJ72" s="1137"/>
      <c r="AK72" s="1137"/>
      <c r="AL72" s="1137"/>
      <c r="AM72" s="1137"/>
      <c r="AN72" s="1137"/>
      <c r="AO72" s="1137"/>
      <c r="AP72" s="1137"/>
      <c r="AQ72" s="1137"/>
      <c r="AR72" s="1137"/>
      <c r="AS72" s="1137"/>
      <c r="AT72" s="1137"/>
      <c r="AU72" s="1137"/>
      <c r="AV72" s="1137"/>
      <c r="AW72" s="1137"/>
      <c r="AX72" s="1137"/>
      <c r="AY72" s="1137"/>
      <c r="AZ72" s="1137"/>
      <c r="BA72" s="1137"/>
    </row>
    <row r="73" ht="39.75" customHeight="1">
      <c r="A73" s="1184" t="s">
        <v>215</v>
      </c>
      <c r="B73" s="1185" t="s">
        <v>216</v>
      </c>
      <c r="C73" s="1163"/>
      <c r="D73" s="1163"/>
      <c r="E73" s="1163"/>
      <c r="F73" s="1163"/>
      <c r="G73" s="1163"/>
      <c r="H73" s="1163"/>
      <c r="I73" s="1163"/>
      <c r="J73" s="1163"/>
      <c r="K73" s="1163"/>
      <c r="L73" s="1163"/>
      <c r="M73" s="1163"/>
      <c r="N73" s="1163"/>
      <c r="O73" s="1163"/>
      <c r="P73" s="1163"/>
      <c r="Q73" s="1163"/>
      <c r="R73" s="1163"/>
      <c r="S73" s="1163"/>
      <c r="T73" s="1163"/>
      <c r="U73" s="1163"/>
      <c r="V73" s="1163"/>
      <c r="W73" s="1163"/>
      <c r="X73" s="1163"/>
      <c r="Y73" s="1163"/>
      <c r="Z73" s="1163"/>
      <c r="AA73" s="1163"/>
      <c r="AB73" s="1163"/>
      <c r="AC73" s="1163"/>
      <c r="AD73" s="1163"/>
      <c r="AE73" s="1163"/>
      <c r="AF73" s="1163"/>
      <c r="AG73" s="1163"/>
      <c r="AH73" s="1164"/>
      <c r="AI73" s="1137"/>
      <c r="AJ73" s="1137"/>
      <c r="AK73" s="1137"/>
      <c r="AL73" s="1137"/>
      <c r="AM73" s="1137"/>
      <c r="AN73" s="1137"/>
      <c r="AO73" s="1137"/>
      <c r="AP73" s="1137"/>
      <c r="AQ73" s="1137"/>
      <c r="AR73" s="1137"/>
      <c r="AS73" s="1137"/>
      <c r="AT73" s="1137"/>
      <c r="AU73" s="1137"/>
      <c r="AV73" s="1137"/>
      <c r="AW73" s="1137"/>
      <c r="AX73" s="1137"/>
      <c r="AY73" s="1137"/>
      <c r="AZ73" s="1137"/>
      <c r="BA73" s="1137"/>
    </row>
    <row r="74" ht="39.75" customHeight="1">
      <c r="A74" s="1165" t="s">
        <v>217</v>
      </c>
      <c r="B74" s="1166" t="s">
        <v>218</v>
      </c>
      <c r="C74" s="1167"/>
      <c r="D74" s="1168"/>
      <c r="E74" s="1169"/>
      <c r="F74" s="1168"/>
      <c r="G74" s="1170" t="str">
        <f>MANZ.C!AL74</f>
        <v/>
      </c>
      <c r="H74" s="1168"/>
      <c r="I74" s="1169"/>
      <c r="J74" s="1168"/>
      <c r="K74" s="1169" t="str">
        <f>MANZ.E!AL75</f>
        <v/>
      </c>
      <c r="L74" s="1168"/>
      <c r="M74" s="1169" t="str">
        <f>MANZ.F!AB74</f>
        <v/>
      </c>
      <c r="N74" s="1168"/>
      <c r="O74" s="1169">
        <f>MANZ.G!AS73</f>
        <v>17</v>
      </c>
      <c r="P74" s="1168"/>
      <c r="Q74" s="1169" t="str">
        <f>MANZ.H!V75</f>
        <v/>
      </c>
      <c r="R74" s="1168"/>
      <c r="S74" s="1169" t="str">
        <f>MANZ.I!AB73</f>
        <v/>
      </c>
      <c r="T74" s="1168"/>
      <c r="U74" s="1169" t="str">
        <f>MANZ.J!AT78</f>
        <v/>
      </c>
      <c r="V74" s="1168"/>
      <c r="W74" s="1169" t="str">
        <f>MANZ.K!AB75</f>
        <v/>
      </c>
      <c r="X74" s="1168"/>
      <c r="Y74" s="1169"/>
      <c r="Z74" s="1168"/>
      <c r="AA74" s="1169"/>
      <c r="AB74" s="1171"/>
      <c r="AC74" s="1171"/>
      <c r="AD74" s="1171"/>
      <c r="AE74" s="1171"/>
      <c r="AF74" s="1168"/>
      <c r="AG74" s="1172">
        <f>SUM(C73:AA73)</f>
        <v>0</v>
      </c>
      <c r="AH74" s="1173"/>
      <c r="AI74" s="1137"/>
      <c r="AJ74" s="1137"/>
      <c r="AK74" s="1137"/>
      <c r="AL74" s="1137"/>
      <c r="AM74" s="1137"/>
      <c r="AN74" s="1137"/>
      <c r="AO74" s="1137"/>
      <c r="AP74" s="1137"/>
      <c r="AQ74" s="1137"/>
      <c r="AR74" s="1137"/>
      <c r="AS74" s="1137"/>
      <c r="AT74" s="1137"/>
      <c r="AU74" s="1137"/>
      <c r="AV74" s="1137"/>
      <c r="AW74" s="1137"/>
      <c r="AX74" s="1137"/>
      <c r="AY74" s="1137"/>
      <c r="AZ74" s="1137"/>
      <c r="BA74" s="1137"/>
    </row>
    <row r="75" ht="39.75" customHeight="1">
      <c r="A75" s="1184" t="s">
        <v>219</v>
      </c>
      <c r="B75" s="1185" t="s">
        <v>220</v>
      </c>
      <c r="C75" s="1163"/>
      <c r="D75" s="1163"/>
      <c r="E75" s="1163"/>
      <c r="F75" s="1163"/>
      <c r="G75" s="1163"/>
      <c r="H75" s="1163"/>
      <c r="I75" s="1163"/>
      <c r="J75" s="1163"/>
      <c r="K75" s="1163"/>
      <c r="L75" s="1163"/>
      <c r="M75" s="1163"/>
      <c r="N75" s="1163"/>
      <c r="O75" s="1163"/>
      <c r="P75" s="1163"/>
      <c r="Q75" s="1163"/>
      <c r="R75" s="1163"/>
      <c r="S75" s="1163"/>
      <c r="T75" s="1163"/>
      <c r="U75" s="1163"/>
      <c r="V75" s="1163"/>
      <c r="W75" s="1163"/>
      <c r="X75" s="1163"/>
      <c r="Y75" s="1163"/>
      <c r="Z75" s="1163"/>
      <c r="AA75" s="1163"/>
      <c r="AB75" s="1163"/>
      <c r="AC75" s="1163"/>
      <c r="AD75" s="1163"/>
      <c r="AE75" s="1163"/>
      <c r="AF75" s="1163"/>
      <c r="AG75" s="1163"/>
      <c r="AH75" s="1164"/>
      <c r="AI75" s="1137"/>
      <c r="AJ75" s="1137"/>
      <c r="AK75" s="1137"/>
      <c r="AL75" s="1137"/>
      <c r="AM75" s="1137"/>
      <c r="AN75" s="1137"/>
      <c r="AO75" s="1137"/>
      <c r="AP75" s="1137"/>
      <c r="AQ75" s="1137"/>
      <c r="AR75" s="1137"/>
      <c r="AS75" s="1137"/>
      <c r="AT75" s="1137"/>
      <c r="AU75" s="1137"/>
      <c r="AV75" s="1137"/>
      <c r="AW75" s="1137"/>
      <c r="AX75" s="1137"/>
      <c r="AY75" s="1137"/>
      <c r="AZ75" s="1137"/>
      <c r="BA75" s="1137"/>
    </row>
    <row r="76" ht="39.75" customHeight="1">
      <c r="A76" s="1165" t="s">
        <v>221</v>
      </c>
      <c r="B76" s="1166" t="s">
        <v>222</v>
      </c>
      <c r="C76" s="1167"/>
      <c r="D76" s="1168"/>
      <c r="E76" s="1169"/>
      <c r="F76" s="1168"/>
      <c r="G76" s="1170">
        <f>MANZ.C!AL77</f>
        <v>17</v>
      </c>
      <c r="H76" s="1168"/>
      <c r="I76" s="1170">
        <f>MANZ.D!Y77</f>
        <v>11</v>
      </c>
      <c r="J76" s="1168"/>
      <c r="K76" s="1169">
        <f>MANZ.E!AK78</f>
        <v>12</v>
      </c>
      <c r="L76" s="1168"/>
      <c r="M76" s="1170">
        <f>MANZ.F!AA77</f>
        <v>12</v>
      </c>
      <c r="N76" s="1168"/>
      <c r="O76" s="1169" t="str">
        <f>MANZ.G!#REF!</f>
        <v>#ERROR!</v>
      </c>
      <c r="P76" s="1168"/>
      <c r="Q76" s="1170">
        <f>MANZ.H!V78</f>
        <v>9</v>
      </c>
      <c r="R76" s="1168"/>
      <c r="S76" s="1169">
        <f>MANZ.I!AB76</f>
        <v>11</v>
      </c>
      <c r="T76" s="1168"/>
      <c r="U76" s="1169">
        <f>MANZ.J!AS81</f>
        <v>20</v>
      </c>
      <c r="V76" s="1168"/>
      <c r="W76" s="1169">
        <f>MANZ.K!AB78</f>
        <v>10</v>
      </c>
      <c r="X76" s="1168"/>
      <c r="Y76" s="1169">
        <f>MANZ.L!Z78</f>
        <v>11</v>
      </c>
      <c r="Z76" s="1168"/>
      <c r="AA76" s="1169"/>
      <c r="AB76" s="1171"/>
      <c r="AC76" s="1171"/>
      <c r="AD76" s="1171"/>
      <c r="AE76" s="1171"/>
      <c r="AF76" s="1168"/>
      <c r="AG76" s="1172" t="str">
        <f>SUM(C76:AA76)</f>
        <v>#ERROR!</v>
      </c>
      <c r="AH76" s="1173"/>
      <c r="AI76" s="1137"/>
      <c r="AJ76" s="1137"/>
      <c r="AK76" s="1137"/>
      <c r="AL76" s="1137"/>
      <c r="AM76" s="1137"/>
      <c r="AN76" s="1137"/>
      <c r="AO76" s="1137"/>
      <c r="AP76" s="1137"/>
      <c r="AQ76" s="1137"/>
      <c r="AR76" s="1137"/>
      <c r="AS76" s="1137"/>
      <c r="AT76" s="1137"/>
      <c r="AU76" s="1137"/>
      <c r="AV76" s="1137"/>
      <c r="AW76" s="1137"/>
      <c r="AX76" s="1137"/>
      <c r="AY76" s="1137"/>
      <c r="AZ76" s="1137"/>
      <c r="BA76" s="1137"/>
    </row>
    <row r="77" ht="39.75" customHeight="1">
      <c r="A77" s="1165" t="s">
        <v>223</v>
      </c>
      <c r="B77" s="1166" t="s">
        <v>224</v>
      </c>
      <c r="C77" s="1167"/>
      <c r="D77" s="1168"/>
      <c r="E77" s="1169"/>
      <c r="F77" s="1168"/>
      <c r="G77" s="1169"/>
      <c r="H77" s="1168"/>
      <c r="I77" s="1169"/>
      <c r="J77" s="1168"/>
      <c r="K77" s="1169"/>
      <c r="L77" s="1168"/>
      <c r="M77" s="1169"/>
      <c r="N77" s="1168"/>
      <c r="O77" s="1169"/>
      <c r="P77" s="1168"/>
      <c r="Q77" s="1169"/>
      <c r="R77" s="1168"/>
      <c r="S77" s="1169"/>
      <c r="T77" s="1168"/>
      <c r="U77" s="1169"/>
      <c r="V77" s="1168"/>
      <c r="W77" s="1169"/>
      <c r="X77" s="1168"/>
      <c r="Y77" s="1169"/>
      <c r="Z77" s="1168"/>
      <c r="AA77" s="1169"/>
      <c r="AB77" s="1171"/>
      <c r="AC77" s="1171"/>
      <c r="AD77" s="1171"/>
      <c r="AE77" s="1171"/>
      <c r="AF77" s="1168"/>
      <c r="AG77" s="1172"/>
      <c r="AH77" s="1173"/>
      <c r="AI77" s="1137"/>
      <c r="AJ77" s="1137"/>
      <c r="AK77" s="1137"/>
      <c r="AL77" s="1137"/>
      <c r="AM77" s="1137"/>
      <c r="AN77" s="1137"/>
      <c r="AO77" s="1137"/>
      <c r="AP77" s="1137"/>
      <c r="AQ77" s="1137"/>
      <c r="AR77" s="1137"/>
      <c r="AS77" s="1137"/>
      <c r="AT77" s="1137"/>
      <c r="AU77" s="1137"/>
      <c r="AV77" s="1137"/>
      <c r="AW77" s="1137"/>
      <c r="AX77" s="1137"/>
      <c r="AY77" s="1137"/>
      <c r="AZ77" s="1137"/>
      <c r="BA77" s="1137"/>
    </row>
    <row r="78" ht="39.75" customHeight="1">
      <c r="A78" s="1186" t="s">
        <v>225</v>
      </c>
      <c r="B78" s="1187" t="s">
        <v>226</v>
      </c>
      <c r="C78" s="1167"/>
      <c r="D78" s="1168"/>
      <c r="E78" s="1169"/>
      <c r="F78" s="1168"/>
      <c r="G78" s="1170">
        <f>MANZ.C!AL79</f>
        <v>0</v>
      </c>
      <c r="H78" s="1168"/>
      <c r="I78" s="1170">
        <f>MANZ.D!Z44</f>
        <v>11</v>
      </c>
      <c r="J78" s="1168"/>
      <c r="K78" s="1169">
        <f>MANZ.E!AL45</f>
        <v>15</v>
      </c>
      <c r="L78" s="1168"/>
      <c r="M78" s="1170">
        <f>MANZ.F!AA79</f>
        <v>0</v>
      </c>
      <c r="N78" s="1168"/>
      <c r="O78" s="1169">
        <f>MANZ.G!AT76</f>
        <v>17</v>
      </c>
      <c r="P78" s="1168"/>
      <c r="Q78" s="1170">
        <f>MANZ.H!V80</f>
        <v>0</v>
      </c>
      <c r="R78" s="1168"/>
      <c r="S78" s="1169">
        <f>MANZ.I!AB45</f>
        <v>11</v>
      </c>
      <c r="T78" s="1168"/>
      <c r="U78" s="1169">
        <f>MANZ.J!AT48</f>
        <v>20</v>
      </c>
      <c r="V78" s="1168"/>
      <c r="W78" s="1169">
        <f>MANZ.K!AB45</f>
        <v>10</v>
      </c>
      <c r="X78" s="1168"/>
      <c r="Y78" s="1169">
        <f>MANZ.L!Z45</f>
        <v>7</v>
      </c>
      <c r="Z78" s="1168"/>
      <c r="AA78" s="1169"/>
      <c r="AB78" s="1171"/>
      <c r="AC78" s="1171"/>
      <c r="AD78" s="1171"/>
      <c r="AE78" s="1171"/>
      <c r="AF78" s="1168"/>
      <c r="AG78" s="1172">
        <f t="shared" ref="AG78:AG82" si="8">SUM(C78:AA78)</f>
        <v>91</v>
      </c>
      <c r="AH78" s="1173"/>
      <c r="AI78" s="1137"/>
      <c r="AJ78" s="1137"/>
      <c r="AK78" s="1137"/>
      <c r="AL78" s="1137"/>
      <c r="AM78" s="1137"/>
      <c r="AN78" s="1137"/>
      <c r="AO78" s="1137"/>
      <c r="AP78" s="1137"/>
      <c r="AQ78" s="1137"/>
      <c r="AR78" s="1137"/>
      <c r="AS78" s="1137"/>
      <c r="AT78" s="1137"/>
      <c r="AU78" s="1137"/>
      <c r="AV78" s="1137"/>
      <c r="AW78" s="1137"/>
      <c r="AX78" s="1137"/>
      <c r="AY78" s="1137"/>
      <c r="AZ78" s="1137"/>
      <c r="BA78" s="1137"/>
    </row>
    <row r="79" ht="39.75" customHeight="1">
      <c r="A79" s="1186" t="s">
        <v>227</v>
      </c>
      <c r="B79" s="1187" t="s">
        <v>228</v>
      </c>
      <c r="C79" s="1167"/>
      <c r="D79" s="1168"/>
      <c r="E79" s="1169"/>
      <c r="F79" s="1168"/>
      <c r="G79" s="1169"/>
      <c r="H79" s="1168"/>
      <c r="I79" s="1169"/>
      <c r="J79" s="1168"/>
      <c r="K79" s="1169"/>
      <c r="L79" s="1168"/>
      <c r="M79" s="1169"/>
      <c r="N79" s="1168"/>
      <c r="O79" s="1169" t="str">
        <f>MANZ.G!AS77</f>
        <v/>
      </c>
      <c r="P79" s="1168"/>
      <c r="Q79" s="1169"/>
      <c r="R79" s="1168"/>
      <c r="S79" s="1169"/>
      <c r="T79" s="1168"/>
      <c r="U79" s="1169"/>
      <c r="V79" s="1168"/>
      <c r="W79" s="1169"/>
      <c r="X79" s="1168"/>
      <c r="Y79" s="1169"/>
      <c r="Z79" s="1168"/>
      <c r="AA79" s="1169"/>
      <c r="AB79" s="1171"/>
      <c r="AC79" s="1171"/>
      <c r="AD79" s="1171"/>
      <c r="AE79" s="1171"/>
      <c r="AF79" s="1168"/>
      <c r="AG79" s="1172">
        <f t="shared" si="8"/>
        <v>0</v>
      </c>
      <c r="AH79" s="1173"/>
      <c r="AI79" s="1137"/>
      <c r="AJ79" s="1137"/>
      <c r="AK79" s="1137"/>
      <c r="AL79" s="1137"/>
      <c r="AM79" s="1137"/>
      <c r="AN79" s="1137"/>
      <c r="AO79" s="1137"/>
      <c r="AP79" s="1137"/>
      <c r="AQ79" s="1137"/>
      <c r="AR79" s="1137"/>
      <c r="AS79" s="1137"/>
      <c r="AT79" s="1137"/>
      <c r="AU79" s="1137"/>
      <c r="AV79" s="1137"/>
      <c r="AW79" s="1137"/>
      <c r="AX79" s="1137"/>
      <c r="AY79" s="1137"/>
      <c r="AZ79" s="1137"/>
      <c r="BA79" s="1137"/>
    </row>
    <row r="80" ht="39.75" customHeight="1">
      <c r="A80" s="1186" t="s">
        <v>229</v>
      </c>
      <c r="B80" s="1187" t="s">
        <v>230</v>
      </c>
      <c r="C80" s="1167"/>
      <c r="D80" s="1168"/>
      <c r="E80" s="1169">
        <f>'MANZ. B'!R86</f>
        <v>0</v>
      </c>
      <c r="F80" s="1168"/>
      <c r="G80" s="1169"/>
      <c r="H80" s="1168"/>
      <c r="I80" s="1169"/>
      <c r="J80" s="1168"/>
      <c r="K80" s="1169"/>
      <c r="L80" s="1168"/>
      <c r="M80" s="1169"/>
      <c r="N80" s="1168"/>
      <c r="O80" s="1169">
        <f>MANZ.G!AS78</f>
        <v>18</v>
      </c>
      <c r="P80" s="1168"/>
      <c r="Q80" s="1169"/>
      <c r="R80" s="1168"/>
      <c r="S80" s="1169"/>
      <c r="T80" s="1168"/>
      <c r="U80" s="1169"/>
      <c r="V80" s="1168"/>
      <c r="W80" s="1169"/>
      <c r="X80" s="1168"/>
      <c r="Y80" s="1169"/>
      <c r="Z80" s="1168"/>
      <c r="AA80" s="1169"/>
      <c r="AB80" s="1171"/>
      <c r="AC80" s="1171"/>
      <c r="AD80" s="1171"/>
      <c r="AE80" s="1171"/>
      <c r="AF80" s="1168"/>
      <c r="AG80" s="1172">
        <f t="shared" si="8"/>
        <v>18</v>
      </c>
      <c r="AH80" s="1173"/>
      <c r="AI80" s="1137"/>
      <c r="AJ80" s="1137"/>
      <c r="AK80" s="1137"/>
      <c r="AL80" s="1137"/>
      <c r="AM80" s="1137"/>
      <c r="AN80" s="1137"/>
      <c r="AO80" s="1137"/>
      <c r="AP80" s="1137"/>
      <c r="AQ80" s="1137"/>
      <c r="AR80" s="1137"/>
      <c r="AS80" s="1137"/>
      <c r="AT80" s="1137"/>
      <c r="AU80" s="1137"/>
      <c r="AV80" s="1137"/>
      <c r="AW80" s="1137"/>
      <c r="AX80" s="1137"/>
      <c r="AY80" s="1137"/>
      <c r="AZ80" s="1137"/>
      <c r="BA80" s="1137"/>
    </row>
    <row r="81" ht="39.75" customHeight="1">
      <c r="A81" s="1186" t="s">
        <v>231</v>
      </c>
      <c r="B81" s="1187" t="s">
        <v>232</v>
      </c>
      <c r="C81" s="1167" t="str">
        <f>'MANZ. A'!H83</f>
        <v/>
      </c>
      <c r="D81" s="1168"/>
      <c r="E81" s="1169"/>
      <c r="F81" s="1168"/>
      <c r="G81" s="1170" t="str">
        <f>MANZ.C!AL83</f>
        <v/>
      </c>
      <c r="H81" s="1168"/>
      <c r="I81" s="1170">
        <f>MANZ.D!Z83</f>
        <v>0</v>
      </c>
      <c r="J81" s="1168"/>
      <c r="K81" s="1169">
        <f>MANZ.E!AL84</f>
        <v>0</v>
      </c>
      <c r="L81" s="1168"/>
      <c r="M81" s="1170" t="str">
        <f>MANZ.F!AA83</f>
        <v/>
      </c>
      <c r="N81" s="1168"/>
      <c r="O81" s="1169" t="str">
        <f>MANZ.G!AS79</f>
        <v/>
      </c>
      <c r="P81" s="1168"/>
      <c r="Q81" s="1170" t="str">
        <f>MANZ.H!V84</f>
        <v/>
      </c>
      <c r="R81" s="1168"/>
      <c r="S81" s="1169">
        <f>MANZ.I!AB82</f>
        <v>11</v>
      </c>
      <c r="T81" s="1168"/>
      <c r="U81" s="1169" t="str">
        <f>MANZ.J!AT87</f>
        <v/>
      </c>
      <c r="V81" s="1168"/>
      <c r="W81" s="1169" t="str">
        <f>MANZ.K!AB84</f>
        <v/>
      </c>
      <c r="X81" s="1168"/>
      <c r="Y81" s="1169" t="str">
        <f>MANZ.L!Y84</f>
        <v/>
      </c>
      <c r="Z81" s="1168"/>
      <c r="AA81" s="1169"/>
      <c r="AB81" s="1171"/>
      <c r="AC81" s="1171"/>
      <c r="AD81" s="1171"/>
      <c r="AE81" s="1171"/>
      <c r="AF81" s="1168"/>
      <c r="AG81" s="1172">
        <f t="shared" si="8"/>
        <v>11</v>
      </c>
      <c r="AH81" s="1173"/>
      <c r="AI81" s="1137"/>
      <c r="AJ81" s="1137"/>
      <c r="AK81" s="1137"/>
      <c r="AL81" s="1137"/>
      <c r="AM81" s="1137"/>
      <c r="AN81" s="1137"/>
      <c r="AO81" s="1137"/>
      <c r="AP81" s="1137"/>
      <c r="AQ81" s="1137"/>
      <c r="AR81" s="1137"/>
      <c r="AS81" s="1137"/>
      <c r="AT81" s="1137"/>
      <c r="AU81" s="1137"/>
      <c r="AV81" s="1137"/>
      <c r="AW81" s="1137"/>
      <c r="AX81" s="1137"/>
      <c r="AY81" s="1137"/>
      <c r="AZ81" s="1137"/>
      <c r="BA81" s="1137"/>
    </row>
    <row r="82" ht="39.75" customHeight="1">
      <c r="A82" s="1186" t="s">
        <v>233</v>
      </c>
      <c r="B82" s="1187" t="s">
        <v>234</v>
      </c>
      <c r="C82" s="1167" t="str">
        <f>'MANZ. A'!#REF!</f>
        <v>#ERROR!</v>
      </c>
      <c r="D82" s="1168"/>
      <c r="E82" s="1169">
        <f>'MANZ. B'!R83</f>
        <v>0</v>
      </c>
      <c r="F82" s="1168"/>
      <c r="G82" s="1170">
        <f>MANZ.C!AL80</f>
        <v>17</v>
      </c>
      <c r="H82" s="1168"/>
      <c r="I82" s="1170">
        <f>MANZ.D!Z80</f>
        <v>11</v>
      </c>
      <c r="J82" s="1168"/>
      <c r="K82" s="1169">
        <f>MANZ.E!AL81</f>
        <v>12</v>
      </c>
      <c r="L82" s="1168"/>
      <c r="M82" s="1170">
        <f>MANZ.F!AA80</f>
        <v>12</v>
      </c>
      <c r="N82" s="1168"/>
      <c r="O82" s="1169">
        <f>MANZ.G!AS81</f>
        <v>1</v>
      </c>
      <c r="P82" s="1168"/>
      <c r="Q82" s="1170">
        <f>MANZ.H!V81</f>
        <v>9</v>
      </c>
      <c r="R82" s="1168"/>
      <c r="S82" s="1169">
        <f>MANZ.I!AB79</f>
        <v>0</v>
      </c>
      <c r="T82" s="1168"/>
      <c r="U82" s="1169">
        <f>MANZ.J!AT84</f>
        <v>20</v>
      </c>
      <c r="V82" s="1168"/>
      <c r="W82" s="1169">
        <f>MANZ.K!AB81</f>
        <v>10</v>
      </c>
      <c r="X82" s="1168"/>
      <c r="Y82" s="1169">
        <f>MANZ.L!Z81</f>
        <v>7</v>
      </c>
      <c r="Z82" s="1168"/>
      <c r="AA82" s="1169"/>
      <c r="AB82" s="1171"/>
      <c r="AC82" s="1171"/>
      <c r="AD82" s="1171"/>
      <c r="AE82" s="1171"/>
      <c r="AF82" s="1168"/>
      <c r="AG82" s="1172" t="str">
        <f t="shared" si="8"/>
        <v>#ERROR!</v>
      </c>
      <c r="AH82" s="1173"/>
      <c r="AI82" s="1137"/>
      <c r="AJ82" s="1137"/>
      <c r="AK82" s="1137"/>
      <c r="AL82" s="1137"/>
      <c r="AM82" s="1137"/>
      <c r="AN82" s="1137"/>
      <c r="AO82" s="1137"/>
      <c r="AP82" s="1137"/>
      <c r="AQ82" s="1137"/>
      <c r="AR82" s="1137"/>
      <c r="AS82" s="1137"/>
      <c r="AT82" s="1137"/>
      <c r="AU82" s="1137"/>
      <c r="AV82" s="1137"/>
      <c r="AW82" s="1137"/>
      <c r="AX82" s="1137"/>
      <c r="AY82" s="1137"/>
      <c r="AZ82" s="1137"/>
      <c r="BA82" s="1137"/>
    </row>
    <row r="83" ht="39.75" customHeight="1">
      <c r="A83" s="1188" t="s">
        <v>235</v>
      </c>
      <c r="B83" s="1189" t="s">
        <v>236</v>
      </c>
      <c r="C83" s="1163"/>
      <c r="D83" s="1163"/>
      <c r="E83" s="1163"/>
      <c r="F83" s="1163"/>
      <c r="G83" s="1163"/>
      <c r="H83" s="1163"/>
      <c r="I83" s="1163"/>
      <c r="J83" s="1163"/>
      <c r="K83" s="1163"/>
      <c r="L83" s="1163"/>
      <c r="M83" s="1163"/>
      <c r="N83" s="1163"/>
      <c r="O83" s="1163"/>
      <c r="P83" s="1163"/>
      <c r="Q83" s="1163"/>
      <c r="R83" s="1163"/>
      <c r="S83" s="1163"/>
      <c r="T83" s="1163"/>
      <c r="U83" s="1163"/>
      <c r="V83" s="1163"/>
      <c r="W83" s="1163"/>
      <c r="X83" s="1163"/>
      <c r="Y83" s="1163"/>
      <c r="Z83" s="1163"/>
      <c r="AA83" s="1163"/>
      <c r="AB83" s="1163"/>
      <c r="AC83" s="1163"/>
      <c r="AD83" s="1163"/>
      <c r="AE83" s="1163"/>
      <c r="AF83" s="1163"/>
      <c r="AG83" s="1163"/>
      <c r="AH83" s="1164"/>
    </row>
    <row r="84" ht="39.75" customHeight="1">
      <c r="A84" s="1182" t="s">
        <v>237</v>
      </c>
      <c r="B84" s="1183" t="s">
        <v>238</v>
      </c>
      <c r="C84" s="1167"/>
      <c r="D84" s="1168"/>
      <c r="E84" s="1169"/>
      <c r="F84" s="1168"/>
      <c r="G84" s="1169"/>
      <c r="H84" s="1168"/>
      <c r="I84" s="1169"/>
      <c r="J84" s="1168"/>
      <c r="K84" s="1169"/>
      <c r="L84" s="1168"/>
      <c r="M84" s="1169"/>
      <c r="N84" s="1168"/>
      <c r="O84" s="1169"/>
      <c r="P84" s="1168"/>
      <c r="Q84" s="1169"/>
      <c r="R84" s="1168"/>
      <c r="S84" s="1169"/>
      <c r="T84" s="1168"/>
      <c r="U84" s="1169"/>
      <c r="V84" s="1168"/>
      <c r="W84" s="1169"/>
      <c r="X84" s="1168"/>
      <c r="Y84" s="1169"/>
      <c r="Z84" s="1168"/>
      <c r="AA84" s="1169"/>
      <c r="AB84" s="1171"/>
      <c r="AC84" s="1171"/>
      <c r="AD84" s="1171"/>
      <c r="AE84" s="1171"/>
      <c r="AF84" s="1168"/>
      <c r="AG84" s="1172"/>
      <c r="AH84" s="1173"/>
      <c r="AI84" s="1137"/>
      <c r="AJ84" s="1137"/>
      <c r="AK84" s="1137"/>
      <c r="AL84" s="1137"/>
      <c r="AM84" s="1137"/>
      <c r="AN84" s="1137"/>
      <c r="AO84" s="1137"/>
      <c r="AP84" s="1137"/>
      <c r="AQ84" s="1137"/>
      <c r="AR84" s="1137"/>
      <c r="AS84" s="1137"/>
      <c r="AT84" s="1137"/>
      <c r="AU84" s="1137"/>
      <c r="AV84" s="1137"/>
      <c r="AW84" s="1137"/>
      <c r="AX84" s="1137"/>
      <c r="AY84" s="1137"/>
      <c r="AZ84" s="1137"/>
      <c r="BA84" s="1137"/>
    </row>
    <row r="85" ht="39.75" customHeight="1">
      <c r="A85" s="1165" t="s">
        <v>239</v>
      </c>
      <c r="B85" s="1166" t="s">
        <v>139</v>
      </c>
      <c r="C85" s="1167"/>
      <c r="D85" s="1168"/>
      <c r="E85" s="1169"/>
      <c r="F85" s="1168"/>
      <c r="G85" s="1170">
        <f>MANZ.C!AL86</f>
        <v>17</v>
      </c>
      <c r="H85" s="1168"/>
      <c r="I85" s="1169"/>
      <c r="J85" s="1168"/>
      <c r="K85" s="1169"/>
      <c r="L85" s="1168"/>
      <c r="M85" s="1169">
        <f>MANZ.F!AB86</f>
        <v>3</v>
      </c>
      <c r="N85" s="1168"/>
      <c r="O85" s="1169">
        <f>MANZ.G!AS84</f>
        <v>18</v>
      </c>
      <c r="P85" s="1168"/>
      <c r="Q85" s="1169">
        <f>MANZ.H!V87</f>
        <v>9</v>
      </c>
      <c r="R85" s="1168"/>
      <c r="S85" s="1169">
        <f>MANZ.I!AB85</f>
        <v>3</v>
      </c>
      <c r="T85" s="1168"/>
      <c r="U85" s="1169">
        <f>MANZ.J!AT90</f>
        <v>1</v>
      </c>
      <c r="V85" s="1168"/>
      <c r="W85" s="1169">
        <f>MANZ.K!AB87</f>
        <v>8</v>
      </c>
      <c r="X85" s="1168"/>
      <c r="Y85" s="1169"/>
      <c r="Z85" s="1168"/>
      <c r="AA85" s="1169"/>
      <c r="AB85" s="1171"/>
      <c r="AC85" s="1171"/>
      <c r="AD85" s="1171"/>
      <c r="AE85" s="1171"/>
      <c r="AF85" s="1168"/>
      <c r="AG85" s="1172">
        <f t="shared" ref="AG85:AG99" si="9">SUM(C84:AA84)</f>
        <v>0</v>
      </c>
      <c r="AH85" s="1173"/>
      <c r="AI85" s="1137"/>
      <c r="AJ85" s="1137"/>
      <c r="AK85" s="1137"/>
      <c r="AL85" s="1137"/>
      <c r="AM85" s="1137"/>
      <c r="AN85" s="1137"/>
      <c r="AO85" s="1137"/>
      <c r="AP85" s="1137"/>
      <c r="AQ85" s="1137"/>
      <c r="AR85" s="1137"/>
      <c r="AS85" s="1137"/>
      <c r="AT85" s="1137"/>
      <c r="AU85" s="1137"/>
      <c r="AV85" s="1137"/>
      <c r="AW85" s="1137"/>
      <c r="AX85" s="1137"/>
      <c r="AY85" s="1137"/>
      <c r="AZ85" s="1137"/>
      <c r="BA85" s="1137"/>
    </row>
    <row r="86" ht="39.75" customHeight="1">
      <c r="A86" s="1182" t="s">
        <v>240</v>
      </c>
      <c r="B86" s="1183" t="s">
        <v>241</v>
      </c>
      <c r="C86" s="1167"/>
      <c r="D86" s="1168"/>
      <c r="E86" s="1169"/>
      <c r="F86" s="1168"/>
      <c r="G86" s="1169"/>
      <c r="H86" s="1168"/>
      <c r="I86" s="1169"/>
      <c r="J86" s="1168"/>
      <c r="K86" s="1169"/>
      <c r="L86" s="1168"/>
      <c r="M86" s="1169"/>
      <c r="N86" s="1168"/>
      <c r="O86" s="1169" t="str">
        <f>MANZ.G!AS85</f>
        <v/>
      </c>
      <c r="P86" s="1168"/>
      <c r="Q86" s="1169"/>
      <c r="R86" s="1168"/>
      <c r="S86" s="1169"/>
      <c r="T86" s="1168"/>
      <c r="U86" s="1169"/>
      <c r="V86" s="1168"/>
      <c r="W86" s="1169"/>
      <c r="X86" s="1168"/>
      <c r="Y86" s="1169"/>
      <c r="Z86" s="1168"/>
      <c r="AA86" s="1169"/>
      <c r="AB86" s="1171"/>
      <c r="AC86" s="1171"/>
      <c r="AD86" s="1171"/>
      <c r="AE86" s="1171"/>
      <c r="AF86" s="1168"/>
      <c r="AG86" s="1172">
        <f t="shared" si="9"/>
        <v>59</v>
      </c>
      <c r="AH86" s="1173"/>
      <c r="AI86" s="1137"/>
      <c r="AJ86" s="1137"/>
      <c r="AK86" s="1137"/>
      <c r="AL86" s="1137"/>
      <c r="AM86" s="1137"/>
      <c r="AN86" s="1137"/>
      <c r="AO86" s="1137"/>
      <c r="AP86" s="1137"/>
      <c r="AQ86" s="1137"/>
      <c r="AR86" s="1137"/>
      <c r="AS86" s="1137"/>
      <c r="AT86" s="1137"/>
      <c r="AU86" s="1137"/>
      <c r="AV86" s="1137"/>
      <c r="AW86" s="1137"/>
      <c r="AX86" s="1137"/>
      <c r="AY86" s="1137"/>
      <c r="AZ86" s="1137"/>
      <c r="BA86" s="1137"/>
    </row>
    <row r="87" ht="39.75" customHeight="1">
      <c r="A87" s="1182" t="s">
        <v>242</v>
      </c>
      <c r="B87" s="1183" t="s">
        <v>243</v>
      </c>
      <c r="C87" s="1167"/>
      <c r="D87" s="1168"/>
      <c r="E87" s="1169"/>
      <c r="F87" s="1168"/>
      <c r="G87" s="1170">
        <f>MANZ.C!AL87</f>
        <v>0</v>
      </c>
      <c r="H87" s="1168"/>
      <c r="I87" s="1169"/>
      <c r="J87" s="1168"/>
      <c r="K87" s="1169"/>
      <c r="L87" s="1168"/>
      <c r="M87" s="1169">
        <f>MANZ.F!AB87</f>
        <v>0</v>
      </c>
      <c r="N87" s="1168"/>
      <c r="O87" s="1169" t="str">
        <f>MANZ.G!AS86</f>
        <v/>
      </c>
      <c r="P87" s="1168"/>
      <c r="Q87" s="1169">
        <f>MANZ.H!V88</f>
        <v>0</v>
      </c>
      <c r="R87" s="1168"/>
      <c r="S87" s="1169">
        <f>MANZ.I!AB87</f>
        <v>3</v>
      </c>
      <c r="T87" s="1168"/>
      <c r="U87" s="1169">
        <f>MANZ.J!AT91</f>
        <v>0</v>
      </c>
      <c r="V87" s="1168"/>
      <c r="W87" s="1169">
        <f>MANZ.K!AB88</f>
        <v>0</v>
      </c>
      <c r="X87" s="1168"/>
      <c r="Y87" s="1169"/>
      <c r="Z87" s="1168"/>
      <c r="AA87" s="1169"/>
      <c r="AB87" s="1171"/>
      <c r="AC87" s="1171"/>
      <c r="AD87" s="1171"/>
      <c r="AE87" s="1171"/>
      <c r="AF87" s="1168"/>
      <c r="AG87" s="1172">
        <f t="shared" si="9"/>
        <v>0</v>
      </c>
      <c r="AH87" s="1173"/>
      <c r="AI87" s="1137"/>
      <c r="AJ87" s="1137"/>
      <c r="AK87" s="1137"/>
      <c r="AL87" s="1137"/>
      <c r="AM87" s="1137"/>
      <c r="AN87" s="1137"/>
      <c r="AO87" s="1137"/>
      <c r="AP87" s="1137"/>
      <c r="AQ87" s="1137"/>
      <c r="AR87" s="1137"/>
      <c r="AS87" s="1137"/>
      <c r="AT87" s="1137"/>
      <c r="AU87" s="1137"/>
      <c r="AV87" s="1137"/>
      <c r="AW87" s="1137"/>
      <c r="AX87" s="1137"/>
      <c r="AY87" s="1137"/>
      <c r="AZ87" s="1137"/>
      <c r="BA87" s="1137"/>
    </row>
    <row r="88" ht="39.75" customHeight="1">
      <c r="A88" s="1182" t="s">
        <v>459</v>
      </c>
      <c r="B88" s="1183" t="s">
        <v>460</v>
      </c>
      <c r="C88" s="1167"/>
      <c r="D88" s="1168"/>
      <c r="E88" s="1169"/>
      <c r="F88" s="1168"/>
      <c r="G88" s="1169"/>
      <c r="H88" s="1168"/>
      <c r="I88" s="1169"/>
      <c r="J88" s="1168"/>
      <c r="K88" s="1169"/>
      <c r="L88" s="1168"/>
      <c r="M88" s="1169"/>
      <c r="N88" s="1168"/>
      <c r="O88" s="1169">
        <f>MANZ.G!AS87</f>
        <v>17</v>
      </c>
      <c r="P88" s="1168"/>
      <c r="Q88" s="1169"/>
      <c r="R88" s="1168"/>
      <c r="S88" s="1169"/>
      <c r="T88" s="1168"/>
      <c r="U88" s="1169"/>
      <c r="V88" s="1168"/>
      <c r="W88" s="1169"/>
      <c r="X88" s="1168"/>
      <c r="Y88" s="1169"/>
      <c r="Z88" s="1168"/>
      <c r="AA88" s="1169"/>
      <c r="AB88" s="1171"/>
      <c r="AC88" s="1171"/>
      <c r="AD88" s="1171"/>
      <c r="AE88" s="1171"/>
      <c r="AF88" s="1168"/>
      <c r="AG88" s="1172">
        <f t="shared" si="9"/>
        <v>3</v>
      </c>
      <c r="AH88" s="1173"/>
      <c r="AI88" s="1137"/>
      <c r="AJ88" s="1137"/>
      <c r="AK88" s="1137"/>
      <c r="AL88" s="1137"/>
      <c r="AM88" s="1137"/>
      <c r="AN88" s="1137"/>
      <c r="AO88" s="1137"/>
      <c r="AP88" s="1137"/>
      <c r="AQ88" s="1137"/>
      <c r="AR88" s="1137"/>
      <c r="AS88" s="1137"/>
      <c r="AT88" s="1137"/>
      <c r="AU88" s="1137"/>
      <c r="AV88" s="1137"/>
      <c r="AW88" s="1137"/>
      <c r="AX88" s="1137"/>
      <c r="AY88" s="1137"/>
      <c r="AZ88" s="1137"/>
      <c r="BA88" s="1137"/>
    </row>
    <row r="89" ht="39.75" customHeight="1">
      <c r="A89" s="1182" t="s">
        <v>244</v>
      </c>
      <c r="B89" s="1183" t="s">
        <v>245</v>
      </c>
      <c r="C89" s="1167"/>
      <c r="D89" s="1168"/>
      <c r="E89" s="1169"/>
      <c r="F89" s="1168"/>
      <c r="G89" s="1169"/>
      <c r="H89" s="1168"/>
      <c r="I89" s="1169"/>
      <c r="J89" s="1168"/>
      <c r="K89" s="1169"/>
      <c r="L89" s="1168"/>
      <c r="M89" s="1169"/>
      <c r="N89" s="1168"/>
      <c r="O89" s="1169" t="str">
        <f>MANZ.G!AS88</f>
        <v/>
      </c>
      <c r="P89" s="1168"/>
      <c r="Q89" s="1169"/>
      <c r="R89" s="1168"/>
      <c r="S89" s="1169"/>
      <c r="T89" s="1168"/>
      <c r="U89" s="1169"/>
      <c r="V89" s="1168"/>
      <c r="W89" s="1169"/>
      <c r="X89" s="1168"/>
      <c r="Y89" s="1169"/>
      <c r="Z89" s="1168"/>
      <c r="AA89" s="1169"/>
      <c r="AB89" s="1171"/>
      <c r="AC89" s="1171"/>
      <c r="AD89" s="1171"/>
      <c r="AE89" s="1171"/>
      <c r="AF89" s="1168"/>
      <c r="AG89" s="1172">
        <f t="shared" si="9"/>
        <v>17</v>
      </c>
      <c r="AH89" s="1173"/>
      <c r="AI89" s="1137"/>
      <c r="AJ89" s="1137"/>
      <c r="AK89" s="1137"/>
      <c r="AL89" s="1137"/>
      <c r="AM89" s="1137"/>
      <c r="AN89" s="1137"/>
      <c r="AO89" s="1137"/>
      <c r="AP89" s="1137"/>
      <c r="AQ89" s="1137"/>
      <c r="AR89" s="1137"/>
      <c r="AS89" s="1137"/>
      <c r="AT89" s="1137"/>
      <c r="AU89" s="1137"/>
      <c r="AV89" s="1137"/>
      <c r="AW89" s="1137"/>
      <c r="AX89" s="1137"/>
      <c r="AY89" s="1137"/>
      <c r="AZ89" s="1137"/>
      <c r="BA89" s="1137"/>
    </row>
    <row r="90" ht="39.75" customHeight="1">
      <c r="A90" s="1182" t="s">
        <v>246</v>
      </c>
      <c r="B90" s="1183" t="s">
        <v>247</v>
      </c>
      <c r="C90" s="1167"/>
      <c r="D90" s="1168"/>
      <c r="E90" s="1169"/>
      <c r="F90" s="1168"/>
      <c r="G90" s="1169"/>
      <c r="H90" s="1168"/>
      <c r="I90" s="1169"/>
      <c r="J90" s="1168"/>
      <c r="K90" s="1169"/>
      <c r="L90" s="1168"/>
      <c r="M90" s="1169"/>
      <c r="N90" s="1168"/>
      <c r="O90" s="1169">
        <f>MANZ.G!AS89</f>
        <v>17</v>
      </c>
      <c r="P90" s="1168"/>
      <c r="Q90" s="1169"/>
      <c r="R90" s="1168"/>
      <c r="S90" s="1169"/>
      <c r="T90" s="1168"/>
      <c r="U90" s="1169"/>
      <c r="V90" s="1168"/>
      <c r="W90" s="1169"/>
      <c r="X90" s="1168"/>
      <c r="Y90" s="1169"/>
      <c r="Z90" s="1168"/>
      <c r="AA90" s="1169"/>
      <c r="AB90" s="1171"/>
      <c r="AC90" s="1171"/>
      <c r="AD90" s="1171"/>
      <c r="AE90" s="1171"/>
      <c r="AF90" s="1168"/>
      <c r="AG90" s="1172">
        <f t="shared" si="9"/>
        <v>0</v>
      </c>
      <c r="AH90" s="1173"/>
      <c r="AI90" s="1137"/>
      <c r="AJ90" s="1137"/>
      <c r="AK90" s="1137"/>
      <c r="AL90" s="1137"/>
      <c r="AM90" s="1137"/>
      <c r="AN90" s="1137"/>
      <c r="AO90" s="1137"/>
      <c r="AP90" s="1137"/>
      <c r="AQ90" s="1137"/>
      <c r="AR90" s="1137"/>
      <c r="AS90" s="1137"/>
      <c r="AT90" s="1137"/>
      <c r="AU90" s="1137"/>
      <c r="AV90" s="1137"/>
      <c r="AW90" s="1137"/>
      <c r="AX90" s="1137"/>
      <c r="AY90" s="1137"/>
      <c r="AZ90" s="1137"/>
      <c r="BA90" s="1137"/>
    </row>
    <row r="91" ht="39.75" customHeight="1">
      <c r="A91" s="1182" t="s">
        <v>248</v>
      </c>
      <c r="B91" s="1183" t="s">
        <v>249</v>
      </c>
      <c r="C91" s="1167"/>
      <c r="D91" s="1168"/>
      <c r="E91" s="1169"/>
      <c r="F91" s="1168"/>
      <c r="G91" s="1170" t="str">
        <f>MANZ.C!AL91</f>
        <v/>
      </c>
      <c r="H91" s="1168"/>
      <c r="I91" s="1169" t="str">
        <f>MANZ.D!Z91</f>
        <v/>
      </c>
      <c r="J91" s="1168"/>
      <c r="K91" s="1169" t="str">
        <f>MANZ.E!AL92</f>
        <v/>
      </c>
      <c r="L91" s="1168"/>
      <c r="M91" s="1169" t="str">
        <f>MANZ.F!AB91</f>
        <v/>
      </c>
      <c r="N91" s="1168"/>
      <c r="O91" s="1169" t="str">
        <f>MANZ.G!#REF!</f>
        <v>#ERROR!</v>
      </c>
      <c r="P91" s="1168"/>
      <c r="Q91" s="1169" t="str">
        <f>MANZ.H!V92</f>
        <v/>
      </c>
      <c r="R91" s="1168"/>
      <c r="S91" s="1169">
        <f>MANZ.I!AB90</f>
        <v>10</v>
      </c>
      <c r="T91" s="1168"/>
      <c r="U91" s="1169" t="str">
        <f>MANZ.J!AT95</f>
        <v/>
      </c>
      <c r="V91" s="1168"/>
      <c r="W91" s="1169" t="str">
        <f>MANZ.K!AB92</f>
        <v/>
      </c>
      <c r="X91" s="1168"/>
      <c r="Y91" s="1169"/>
      <c r="Z91" s="1168"/>
      <c r="AA91" s="1169"/>
      <c r="AB91" s="1171"/>
      <c r="AC91" s="1171"/>
      <c r="AD91" s="1171"/>
      <c r="AE91" s="1171"/>
      <c r="AF91" s="1168"/>
      <c r="AG91" s="1172">
        <f t="shared" si="9"/>
        <v>17</v>
      </c>
      <c r="AH91" s="1173"/>
      <c r="AI91" s="1137"/>
      <c r="AJ91" s="1137"/>
      <c r="AK91" s="1137"/>
      <c r="AL91" s="1137"/>
      <c r="AM91" s="1137"/>
      <c r="AN91" s="1137"/>
      <c r="AO91" s="1137"/>
      <c r="AP91" s="1137"/>
      <c r="AQ91" s="1137"/>
      <c r="AR91" s="1137"/>
      <c r="AS91" s="1137"/>
      <c r="AT91" s="1137"/>
      <c r="AU91" s="1137"/>
      <c r="AV91" s="1137"/>
      <c r="AW91" s="1137"/>
      <c r="AX91" s="1137"/>
      <c r="AY91" s="1137"/>
      <c r="AZ91" s="1137"/>
      <c r="BA91" s="1137"/>
    </row>
    <row r="92" ht="39.75" customHeight="1">
      <c r="A92" s="1182" t="s">
        <v>250</v>
      </c>
      <c r="B92" s="1183" t="s">
        <v>251</v>
      </c>
      <c r="C92" s="1167"/>
      <c r="D92" s="1168"/>
      <c r="E92" s="1169"/>
      <c r="F92" s="1168"/>
      <c r="G92" s="1170">
        <f>MANZ.C!AL92</f>
        <v>17</v>
      </c>
      <c r="H92" s="1168"/>
      <c r="I92" s="1169">
        <f>MANZ.D!Z92</f>
        <v>7</v>
      </c>
      <c r="J92" s="1168"/>
      <c r="K92" s="1169">
        <f>MANZ.E!AL93</f>
        <v>0</v>
      </c>
      <c r="L92" s="1168"/>
      <c r="M92" s="1169">
        <f>MANZ.F!AB92</f>
        <v>8</v>
      </c>
      <c r="N92" s="1168"/>
      <c r="O92" s="1169" t="str">
        <f>MANZ.G!#REF!</f>
        <v>#ERROR!</v>
      </c>
      <c r="P92" s="1168"/>
      <c r="Q92" s="1169">
        <f>MANZ.H!V93</f>
        <v>9</v>
      </c>
      <c r="R92" s="1168"/>
      <c r="S92" s="1169">
        <f>MANZ.I!AB91</f>
        <v>10</v>
      </c>
      <c r="T92" s="1168"/>
      <c r="U92" s="1169">
        <f>MANZ.J!AT96</f>
        <v>12</v>
      </c>
      <c r="V92" s="1168"/>
      <c r="W92" s="1169">
        <f>MANZ.K!AB93</f>
        <v>10</v>
      </c>
      <c r="X92" s="1168"/>
      <c r="Y92" s="1169"/>
      <c r="Z92" s="1168"/>
      <c r="AA92" s="1169"/>
      <c r="AB92" s="1171"/>
      <c r="AC92" s="1171"/>
      <c r="AD92" s="1171"/>
      <c r="AE92" s="1171"/>
      <c r="AF92" s="1168"/>
      <c r="AG92" s="1172" t="str">
        <f t="shared" si="9"/>
        <v>#ERROR!</v>
      </c>
      <c r="AH92" s="1173"/>
      <c r="AI92" s="1137"/>
      <c r="AJ92" s="1137"/>
      <c r="AK92" s="1137"/>
      <c r="AL92" s="1137"/>
      <c r="AM92" s="1137"/>
      <c r="AN92" s="1137"/>
      <c r="AO92" s="1137"/>
      <c r="AP92" s="1137"/>
      <c r="AQ92" s="1137"/>
      <c r="AR92" s="1137"/>
      <c r="AS92" s="1137"/>
      <c r="AT92" s="1137"/>
      <c r="AU92" s="1137"/>
      <c r="AV92" s="1137"/>
      <c r="AW92" s="1137"/>
      <c r="AX92" s="1137"/>
      <c r="AY92" s="1137"/>
      <c r="AZ92" s="1137"/>
      <c r="BA92" s="1137"/>
    </row>
    <row r="93" ht="39.75" customHeight="1">
      <c r="A93" s="1182" t="s">
        <v>252</v>
      </c>
      <c r="B93" s="1183" t="s">
        <v>253</v>
      </c>
      <c r="C93" s="1167"/>
      <c r="D93" s="1168"/>
      <c r="E93" s="1169"/>
      <c r="F93" s="1168"/>
      <c r="G93" s="1169"/>
      <c r="H93" s="1168"/>
      <c r="I93" s="1169"/>
      <c r="J93" s="1168"/>
      <c r="K93" s="1169"/>
      <c r="L93" s="1168"/>
      <c r="M93" s="1169"/>
      <c r="N93" s="1168"/>
      <c r="O93" s="1169">
        <f>MANZ.G!AS90</f>
        <v>1</v>
      </c>
      <c r="P93" s="1168"/>
      <c r="Q93" s="1169"/>
      <c r="R93" s="1168"/>
      <c r="S93" s="1169"/>
      <c r="T93" s="1168"/>
      <c r="U93" s="1169"/>
      <c r="V93" s="1168"/>
      <c r="W93" s="1169"/>
      <c r="X93" s="1168"/>
      <c r="Y93" s="1169"/>
      <c r="Z93" s="1168"/>
      <c r="AA93" s="1169"/>
      <c r="AB93" s="1171"/>
      <c r="AC93" s="1171"/>
      <c r="AD93" s="1171"/>
      <c r="AE93" s="1171"/>
      <c r="AF93" s="1168"/>
      <c r="AG93" s="1172" t="str">
        <f t="shared" si="9"/>
        <v>#ERROR!</v>
      </c>
      <c r="AH93" s="1173"/>
      <c r="AI93" s="1137"/>
      <c r="AJ93" s="1137"/>
      <c r="AK93" s="1137"/>
      <c r="AL93" s="1137"/>
      <c r="AM93" s="1137"/>
      <c r="AN93" s="1137"/>
      <c r="AO93" s="1137"/>
      <c r="AP93" s="1137"/>
      <c r="AQ93" s="1137"/>
      <c r="AR93" s="1137"/>
      <c r="AS93" s="1137"/>
      <c r="AT93" s="1137"/>
      <c r="AU93" s="1137"/>
      <c r="AV93" s="1137"/>
      <c r="AW93" s="1137"/>
      <c r="AX93" s="1137"/>
      <c r="AY93" s="1137"/>
      <c r="AZ93" s="1137"/>
      <c r="BA93" s="1137"/>
    </row>
    <row r="94" ht="39.75" customHeight="1">
      <c r="A94" s="1165" t="s">
        <v>254</v>
      </c>
      <c r="B94" s="1166" t="s">
        <v>255</v>
      </c>
      <c r="C94" s="1167"/>
      <c r="D94" s="1168"/>
      <c r="E94" s="1169"/>
      <c r="F94" s="1168"/>
      <c r="G94" s="1170">
        <f>MANZ.C!AL94</f>
        <v>17</v>
      </c>
      <c r="H94" s="1168"/>
      <c r="I94" s="1169">
        <f>MANZ.D!Z94</f>
        <v>0</v>
      </c>
      <c r="J94" s="1168"/>
      <c r="K94" s="1169">
        <f>MANZ.I!AB93</f>
        <v>5</v>
      </c>
      <c r="L94" s="1168"/>
      <c r="M94" s="1169">
        <f>MANZ.F!AB94</f>
        <v>3</v>
      </c>
      <c r="N94" s="1168"/>
      <c r="O94" s="1169" t="str">
        <f>MANZ.G!AS91</f>
        <v/>
      </c>
      <c r="P94" s="1168"/>
      <c r="Q94" s="1169">
        <f>MANZ.H!V95</f>
        <v>9</v>
      </c>
      <c r="R94" s="1168"/>
      <c r="S94" s="1169">
        <f>MANZ.I!AB93</f>
        <v>5</v>
      </c>
      <c r="T94" s="1168"/>
      <c r="U94" s="1169">
        <f>MANZ.J!AT98</f>
        <v>1</v>
      </c>
      <c r="V94" s="1168"/>
      <c r="W94" s="1169">
        <f>MANZ.K!AB95</f>
        <v>10</v>
      </c>
      <c r="X94" s="1168"/>
      <c r="Y94" s="1169"/>
      <c r="Z94" s="1168"/>
      <c r="AA94" s="1169"/>
      <c r="AB94" s="1171"/>
      <c r="AC94" s="1171"/>
      <c r="AD94" s="1171"/>
      <c r="AE94" s="1171"/>
      <c r="AF94" s="1168"/>
      <c r="AG94" s="1172">
        <f t="shared" si="9"/>
        <v>1</v>
      </c>
      <c r="AH94" s="1173"/>
      <c r="AI94" s="1137"/>
      <c r="AJ94" s="1137"/>
      <c r="AK94" s="1137"/>
      <c r="AL94" s="1137"/>
      <c r="AM94" s="1137"/>
      <c r="AN94" s="1137"/>
      <c r="AO94" s="1137"/>
      <c r="AP94" s="1137"/>
      <c r="AQ94" s="1137"/>
      <c r="AR94" s="1137"/>
      <c r="AS94" s="1137"/>
      <c r="AT94" s="1137"/>
      <c r="AU94" s="1137"/>
      <c r="AV94" s="1137"/>
      <c r="AW94" s="1137"/>
      <c r="AX94" s="1137"/>
      <c r="AY94" s="1137"/>
      <c r="AZ94" s="1137"/>
      <c r="BA94" s="1137"/>
    </row>
    <row r="95" ht="39.75" customHeight="1">
      <c r="A95" s="1165" t="s">
        <v>256</v>
      </c>
      <c r="B95" s="1166" t="s">
        <v>257</v>
      </c>
      <c r="C95" s="1167"/>
      <c r="D95" s="1168"/>
      <c r="E95" s="1169"/>
      <c r="F95" s="1168"/>
      <c r="G95" s="1170">
        <f>MANZ.C!AL95</f>
        <v>17</v>
      </c>
      <c r="H95" s="1168"/>
      <c r="I95" s="1169">
        <f>MANZ.D!Z95</f>
        <v>7</v>
      </c>
      <c r="J95" s="1168"/>
      <c r="K95" s="1169">
        <f>MANZ.I!AB94</f>
        <v>3</v>
      </c>
      <c r="L95" s="1168"/>
      <c r="M95" s="1169">
        <f>MANZ.F!AB95</f>
        <v>7</v>
      </c>
      <c r="N95" s="1168"/>
      <c r="O95" s="1169">
        <f>MANZ.G!AS92</f>
        <v>18</v>
      </c>
      <c r="P95" s="1168"/>
      <c r="Q95" s="1169">
        <f>MANZ.H!V96</f>
        <v>9</v>
      </c>
      <c r="R95" s="1168"/>
      <c r="S95" s="1169">
        <f>MANZ.I!AB94</f>
        <v>3</v>
      </c>
      <c r="T95" s="1168"/>
      <c r="U95" s="1169">
        <f>MANZ.J!AT99</f>
        <v>12</v>
      </c>
      <c r="V95" s="1168"/>
      <c r="W95" s="1169">
        <f>MANZ.K!AB96</f>
        <v>10</v>
      </c>
      <c r="X95" s="1168"/>
      <c r="Y95" s="1169"/>
      <c r="Z95" s="1168"/>
      <c r="AA95" s="1169"/>
      <c r="AB95" s="1171"/>
      <c r="AC95" s="1171"/>
      <c r="AD95" s="1171"/>
      <c r="AE95" s="1171"/>
      <c r="AF95" s="1168"/>
      <c r="AG95" s="1172">
        <f t="shared" si="9"/>
        <v>50</v>
      </c>
      <c r="AH95" s="1173"/>
      <c r="AI95" s="1137"/>
      <c r="AJ95" s="1137"/>
      <c r="AK95" s="1137"/>
      <c r="AL95" s="1137"/>
      <c r="AM95" s="1137"/>
      <c r="AN95" s="1137"/>
      <c r="AO95" s="1137"/>
      <c r="AP95" s="1137"/>
      <c r="AQ95" s="1137"/>
      <c r="AR95" s="1137"/>
      <c r="AS95" s="1137"/>
      <c r="AT95" s="1137"/>
      <c r="AU95" s="1137"/>
      <c r="AV95" s="1137"/>
      <c r="AW95" s="1137"/>
      <c r="AX95" s="1137"/>
      <c r="AY95" s="1137"/>
      <c r="AZ95" s="1137"/>
      <c r="BA95" s="1137"/>
    </row>
    <row r="96" ht="39.75" customHeight="1">
      <c r="A96" s="1165" t="s">
        <v>258</v>
      </c>
      <c r="B96" s="1166" t="s">
        <v>259</v>
      </c>
      <c r="C96" s="1167"/>
      <c r="D96" s="1168"/>
      <c r="E96" s="1169"/>
      <c r="F96" s="1168"/>
      <c r="G96" s="1170" t="str">
        <f>MANZ.C!AL96</f>
        <v/>
      </c>
      <c r="H96" s="1168"/>
      <c r="I96" s="1169" t="str">
        <f>MANZ.D!Z96</f>
        <v/>
      </c>
      <c r="J96" s="1168"/>
      <c r="K96" s="1169">
        <f>MANZ.I!AB95</f>
        <v>3</v>
      </c>
      <c r="L96" s="1168"/>
      <c r="M96" s="1169" t="str">
        <f>MANZ.F!AB96</f>
        <v/>
      </c>
      <c r="N96" s="1168"/>
      <c r="O96" s="1169">
        <f>MANZ.G!AS93</f>
        <v>18</v>
      </c>
      <c r="P96" s="1168"/>
      <c r="Q96" s="1169" t="str">
        <f>MANZ.H!V97</f>
        <v/>
      </c>
      <c r="R96" s="1168"/>
      <c r="S96" s="1169">
        <f>MANZ.I!AB95</f>
        <v>3</v>
      </c>
      <c r="T96" s="1168"/>
      <c r="U96" s="1169" t="str">
        <f>MANZ.J!AT100</f>
        <v/>
      </c>
      <c r="V96" s="1168"/>
      <c r="W96" s="1169" t="str">
        <f>MANZ.K!AB97</f>
        <v/>
      </c>
      <c r="X96" s="1168"/>
      <c r="Y96" s="1169"/>
      <c r="Z96" s="1168"/>
      <c r="AA96" s="1169"/>
      <c r="AB96" s="1171"/>
      <c r="AC96" s="1171"/>
      <c r="AD96" s="1171"/>
      <c r="AE96" s="1171"/>
      <c r="AF96" s="1168"/>
      <c r="AG96" s="1172">
        <f t="shared" si="9"/>
        <v>86</v>
      </c>
      <c r="AH96" s="1173"/>
      <c r="AI96" s="1137"/>
      <c r="AJ96" s="1137"/>
      <c r="AK96" s="1137"/>
      <c r="AL96" s="1137"/>
      <c r="AM96" s="1137"/>
      <c r="AN96" s="1137"/>
      <c r="AO96" s="1137"/>
      <c r="AP96" s="1137"/>
      <c r="AQ96" s="1137"/>
      <c r="AR96" s="1137"/>
      <c r="AS96" s="1137"/>
      <c r="AT96" s="1137"/>
      <c r="AU96" s="1137"/>
      <c r="AV96" s="1137"/>
      <c r="AW96" s="1137"/>
      <c r="AX96" s="1137"/>
      <c r="AY96" s="1137"/>
      <c r="AZ96" s="1137"/>
      <c r="BA96" s="1137"/>
    </row>
    <row r="97" ht="39.75" customHeight="1">
      <c r="A97" s="1165" t="s">
        <v>260</v>
      </c>
      <c r="B97" s="1166" t="s">
        <v>261</v>
      </c>
      <c r="C97" s="1167"/>
      <c r="D97" s="1168"/>
      <c r="E97" s="1169"/>
      <c r="F97" s="1168"/>
      <c r="G97" s="1170">
        <f>MANZ.C!AL97</f>
        <v>17</v>
      </c>
      <c r="H97" s="1168"/>
      <c r="I97" s="1169">
        <f>MANZ.D!Z97</f>
        <v>10</v>
      </c>
      <c r="J97" s="1168"/>
      <c r="K97" s="1169">
        <f>MANZ.I!AB96</f>
        <v>5</v>
      </c>
      <c r="L97" s="1168"/>
      <c r="M97" s="1169">
        <f>MANZ.F!AB97</f>
        <v>12</v>
      </c>
      <c r="N97" s="1168"/>
      <c r="O97" s="1169" t="str">
        <f>MANZ.G!AS94</f>
        <v/>
      </c>
      <c r="P97" s="1168"/>
      <c r="Q97" s="1169">
        <f>MANZ.H!V98</f>
        <v>9</v>
      </c>
      <c r="R97" s="1168"/>
      <c r="S97" s="1169">
        <f>MANZ.I!AB96</f>
        <v>5</v>
      </c>
      <c r="T97" s="1168"/>
      <c r="U97" s="1169">
        <f>MANZ.J!AT101</f>
        <v>20</v>
      </c>
      <c r="V97" s="1168"/>
      <c r="W97" s="1169">
        <f>MANZ.K!AB98</f>
        <v>10</v>
      </c>
      <c r="X97" s="1168"/>
      <c r="Y97" s="1169"/>
      <c r="Z97" s="1168"/>
      <c r="AA97" s="1169"/>
      <c r="AB97" s="1171"/>
      <c r="AC97" s="1171"/>
      <c r="AD97" s="1171"/>
      <c r="AE97" s="1171"/>
      <c r="AF97" s="1168"/>
      <c r="AG97" s="1172">
        <f t="shared" si="9"/>
        <v>24</v>
      </c>
      <c r="AH97" s="1173"/>
      <c r="AI97" s="1137"/>
      <c r="AJ97" s="1137"/>
      <c r="AK97" s="1137"/>
      <c r="AL97" s="1137"/>
      <c r="AM97" s="1137"/>
      <c r="AN97" s="1137"/>
      <c r="AO97" s="1137"/>
      <c r="AP97" s="1137"/>
      <c r="AQ97" s="1137"/>
      <c r="AR97" s="1137"/>
      <c r="AS97" s="1137"/>
      <c r="AT97" s="1137"/>
      <c r="AU97" s="1137"/>
      <c r="AV97" s="1137"/>
      <c r="AW97" s="1137"/>
      <c r="AX97" s="1137"/>
      <c r="AY97" s="1137"/>
      <c r="AZ97" s="1137"/>
      <c r="BA97" s="1137"/>
    </row>
    <row r="98" ht="39.75" customHeight="1">
      <c r="A98" s="1182" t="s">
        <v>262</v>
      </c>
      <c r="B98" s="1183" t="s">
        <v>263</v>
      </c>
      <c r="C98" s="1167"/>
      <c r="D98" s="1168"/>
      <c r="E98" s="1169"/>
      <c r="F98" s="1168"/>
      <c r="G98" s="1169"/>
      <c r="H98" s="1168"/>
      <c r="I98" s="1169"/>
      <c r="J98" s="1168"/>
      <c r="K98" s="1169"/>
      <c r="L98" s="1168"/>
      <c r="M98" s="1169"/>
      <c r="N98" s="1168"/>
      <c r="O98" s="1169">
        <f>MANZ.G!AS95</f>
        <v>18</v>
      </c>
      <c r="P98" s="1168"/>
      <c r="Q98" s="1169"/>
      <c r="R98" s="1168"/>
      <c r="S98" s="1169"/>
      <c r="T98" s="1168"/>
      <c r="U98" s="1169"/>
      <c r="V98" s="1168"/>
      <c r="W98" s="1169"/>
      <c r="X98" s="1168"/>
      <c r="Y98" s="1169"/>
      <c r="Z98" s="1168"/>
      <c r="AA98" s="1169"/>
      <c r="AB98" s="1171"/>
      <c r="AC98" s="1171"/>
      <c r="AD98" s="1171"/>
      <c r="AE98" s="1171"/>
      <c r="AF98" s="1168"/>
      <c r="AG98" s="1172">
        <f t="shared" si="9"/>
        <v>88</v>
      </c>
      <c r="AH98" s="1173"/>
      <c r="AI98" s="1137"/>
      <c r="AJ98" s="1137"/>
      <c r="AK98" s="1137"/>
      <c r="AL98" s="1137"/>
      <c r="AM98" s="1137"/>
      <c r="AN98" s="1137"/>
      <c r="AO98" s="1137"/>
      <c r="AP98" s="1137"/>
      <c r="AQ98" s="1137"/>
      <c r="AR98" s="1137"/>
      <c r="AS98" s="1137"/>
      <c r="AT98" s="1137"/>
      <c r="AU98" s="1137"/>
      <c r="AV98" s="1137"/>
      <c r="AW98" s="1137"/>
      <c r="AX98" s="1137"/>
      <c r="AY98" s="1137"/>
      <c r="AZ98" s="1137"/>
      <c r="BA98" s="1137"/>
    </row>
    <row r="99" ht="39.75" customHeight="1">
      <c r="A99" s="1182" t="s">
        <v>264</v>
      </c>
      <c r="B99" s="1183" t="s">
        <v>265</v>
      </c>
      <c r="C99" s="1167" t="str">
        <f>'MANZ. A'!H100</f>
        <v/>
      </c>
      <c r="D99" s="1168"/>
      <c r="E99" s="1169">
        <f>'MANZ. B'!R102</f>
        <v>0</v>
      </c>
      <c r="F99" s="1168"/>
      <c r="G99" s="1170">
        <f>MANZ.C!AL99</f>
        <v>17</v>
      </c>
      <c r="H99" s="1168"/>
      <c r="I99" s="1169">
        <f>MANZ.D!Z99</f>
        <v>0</v>
      </c>
      <c r="J99" s="1168"/>
      <c r="K99" s="1169">
        <f>MANZ.E!AL100</f>
        <v>0</v>
      </c>
      <c r="L99" s="1168"/>
      <c r="M99" s="1170">
        <f>MANZ.F!AB99</f>
        <v>8</v>
      </c>
      <c r="N99" s="1168"/>
      <c r="O99" s="1169">
        <f>MANZ.G!AT96</f>
        <v>15</v>
      </c>
      <c r="P99" s="1168"/>
      <c r="Q99" s="1169">
        <f>MANZ.H!V100</f>
        <v>9</v>
      </c>
      <c r="R99" s="1168"/>
      <c r="S99" s="1169">
        <f>MANZ.I!AB98</f>
        <v>10</v>
      </c>
      <c r="T99" s="1168"/>
      <c r="U99" s="1169">
        <f>MANZ.J!AS103</f>
        <v>6</v>
      </c>
      <c r="V99" s="1168"/>
      <c r="W99" s="1169">
        <f>MANZ.K!AB100</f>
        <v>10</v>
      </c>
      <c r="X99" s="1168"/>
      <c r="Y99" s="1169">
        <f>MANZ.L!Z100</f>
        <v>0</v>
      </c>
      <c r="Z99" s="1168"/>
      <c r="AA99" s="1169" t="str">
        <f>'SALA MULTIUSO'!F113</f>
        <v/>
      </c>
      <c r="AB99" s="1171"/>
      <c r="AC99" s="1171"/>
      <c r="AD99" s="1171"/>
      <c r="AE99" s="1171"/>
      <c r="AF99" s="1168"/>
      <c r="AG99" s="1172">
        <f t="shared" si="9"/>
        <v>18</v>
      </c>
      <c r="AH99" s="1173"/>
      <c r="AI99" s="1137"/>
      <c r="AJ99" s="1137"/>
      <c r="AK99" s="1137"/>
      <c r="AL99" s="1137"/>
      <c r="AM99" s="1137"/>
      <c r="AN99" s="1137"/>
      <c r="AO99" s="1137"/>
      <c r="AP99" s="1137"/>
      <c r="AQ99" s="1137"/>
      <c r="AR99" s="1137"/>
      <c r="AS99" s="1137"/>
      <c r="AT99" s="1137"/>
      <c r="AU99" s="1137"/>
      <c r="AV99" s="1137"/>
      <c r="AW99" s="1137"/>
      <c r="AX99" s="1137"/>
      <c r="AY99" s="1137"/>
      <c r="AZ99" s="1137"/>
      <c r="BA99" s="1137"/>
    </row>
    <row r="100" ht="39.75" customHeight="1">
      <c r="A100" s="1184" t="s">
        <v>266</v>
      </c>
      <c r="B100" s="1185" t="s">
        <v>267</v>
      </c>
      <c r="C100" s="1163"/>
      <c r="D100" s="1163"/>
      <c r="E100" s="1163"/>
      <c r="F100" s="1163"/>
      <c r="G100" s="1163"/>
      <c r="H100" s="1163"/>
      <c r="I100" s="1163"/>
      <c r="J100" s="1163"/>
      <c r="K100" s="1163"/>
      <c r="L100" s="1163"/>
      <c r="M100" s="1163"/>
      <c r="N100" s="1163"/>
      <c r="O100" s="1163"/>
      <c r="P100" s="1163"/>
      <c r="Q100" s="1163"/>
      <c r="R100" s="1163"/>
      <c r="S100" s="1163"/>
      <c r="T100" s="1163"/>
      <c r="U100" s="1163"/>
      <c r="V100" s="1163"/>
      <c r="W100" s="1163"/>
      <c r="X100" s="1163"/>
      <c r="Y100" s="1163"/>
      <c r="Z100" s="1163"/>
      <c r="AA100" s="1163"/>
      <c r="AB100" s="1163"/>
      <c r="AC100" s="1163"/>
      <c r="AD100" s="1163"/>
      <c r="AE100" s="1163"/>
      <c r="AF100" s="1163"/>
      <c r="AG100" s="1163"/>
      <c r="AH100" s="1164"/>
      <c r="AI100" s="1137"/>
      <c r="AJ100" s="1137"/>
      <c r="AK100" s="1137"/>
      <c r="AL100" s="1137"/>
      <c r="AM100" s="1137"/>
      <c r="AN100" s="1137"/>
      <c r="AO100" s="1137"/>
      <c r="AP100" s="1137"/>
      <c r="AQ100" s="1137"/>
      <c r="AR100" s="1137"/>
      <c r="AS100" s="1137"/>
      <c r="AT100" s="1137"/>
      <c r="AU100" s="1137"/>
      <c r="AV100" s="1137"/>
      <c r="AW100" s="1137"/>
      <c r="AX100" s="1137"/>
      <c r="AY100" s="1137"/>
      <c r="AZ100" s="1137"/>
      <c r="BA100" s="1137"/>
    </row>
    <row r="101" ht="39.75" customHeight="1">
      <c r="A101" s="1165" t="s">
        <v>268</v>
      </c>
      <c r="B101" s="1166" t="s">
        <v>269</v>
      </c>
      <c r="C101" s="1167"/>
      <c r="D101" s="1168"/>
      <c r="E101" s="1169"/>
      <c r="F101" s="1168"/>
      <c r="G101" s="1170" t="str">
        <f>MANZ.C!AL101</f>
        <v/>
      </c>
      <c r="H101" s="1168"/>
      <c r="I101" s="1169"/>
      <c r="J101" s="1168"/>
      <c r="K101" s="1169"/>
      <c r="L101" s="1168"/>
      <c r="M101" s="1169" t="str">
        <f>MANZ.F!AB101</f>
        <v/>
      </c>
      <c r="N101" s="1168"/>
      <c r="O101" s="1169">
        <f>MANZ.G!AS98</f>
        <v>16</v>
      </c>
      <c r="P101" s="1168"/>
      <c r="Q101" s="1169" t="str">
        <f>MANZ.H!V102</f>
        <v/>
      </c>
      <c r="R101" s="1168"/>
      <c r="S101" s="1169"/>
      <c r="T101" s="1168"/>
      <c r="U101" s="1169" t="str">
        <f>MANZ.J!AT105</f>
        <v/>
      </c>
      <c r="V101" s="1168"/>
      <c r="W101" s="1169" t="str">
        <f>MANZ.K!AB102</f>
        <v/>
      </c>
      <c r="X101" s="1168"/>
      <c r="Y101" s="1169"/>
      <c r="Z101" s="1168"/>
      <c r="AA101" s="1169"/>
      <c r="AB101" s="1171"/>
      <c r="AC101" s="1171"/>
      <c r="AD101" s="1171"/>
      <c r="AE101" s="1171"/>
      <c r="AF101" s="1168"/>
      <c r="AG101" s="1172">
        <f t="shared" ref="AG101:AG102" si="10">SUM(C100:AA100)</f>
        <v>0</v>
      </c>
      <c r="AH101" s="1173"/>
      <c r="AI101" s="1137"/>
      <c r="AJ101" s="1137"/>
      <c r="AK101" s="1137"/>
      <c r="AL101" s="1137"/>
      <c r="AM101" s="1137"/>
      <c r="AN101" s="1137"/>
      <c r="AO101" s="1137"/>
      <c r="AP101" s="1137"/>
      <c r="AQ101" s="1137"/>
      <c r="AR101" s="1137"/>
      <c r="AS101" s="1137"/>
      <c r="AT101" s="1137"/>
      <c r="AU101" s="1137"/>
      <c r="AV101" s="1137"/>
      <c r="AW101" s="1137"/>
      <c r="AX101" s="1137"/>
      <c r="AY101" s="1137"/>
      <c r="AZ101" s="1137"/>
      <c r="BA101" s="1137"/>
    </row>
    <row r="102" ht="39.75" customHeight="1">
      <c r="A102" s="1165" t="s">
        <v>270</v>
      </c>
      <c r="B102" s="1166" t="s">
        <v>271</v>
      </c>
      <c r="C102" s="1167"/>
      <c r="D102" s="1168"/>
      <c r="E102" s="1169"/>
      <c r="F102" s="1168"/>
      <c r="G102" s="1170">
        <f>MANZ.C!AL102</f>
        <v>17</v>
      </c>
      <c r="H102" s="1168"/>
      <c r="I102" s="1169"/>
      <c r="J102" s="1168"/>
      <c r="K102" s="1169"/>
      <c r="L102" s="1168"/>
      <c r="M102" s="1169">
        <f>MANZ.F!AB102</f>
        <v>7</v>
      </c>
      <c r="N102" s="1168"/>
      <c r="O102" s="1169" t="str">
        <f>MANZ.G!AS99</f>
        <v/>
      </c>
      <c r="P102" s="1168"/>
      <c r="Q102" s="1169">
        <f>MANZ.H!V103</f>
        <v>9</v>
      </c>
      <c r="R102" s="1168"/>
      <c r="S102" s="1169"/>
      <c r="T102" s="1168"/>
      <c r="U102" s="1169">
        <f>MANZ.J!AT106</f>
        <v>0</v>
      </c>
      <c r="V102" s="1168"/>
      <c r="W102" s="1169">
        <f>MANZ.K!AB103</f>
        <v>0</v>
      </c>
      <c r="X102" s="1168"/>
      <c r="Y102" s="1169"/>
      <c r="Z102" s="1168"/>
      <c r="AA102" s="1169"/>
      <c r="AB102" s="1171"/>
      <c r="AC102" s="1171"/>
      <c r="AD102" s="1171"/>
      <c r="AE102" s="1171"/>
      <c r="AF102" s="1168"/>
      <c r="AG102" s="1172">
        <f t="shared" si="10"/>
        <v>16</v>
      </c>
      <c r="AH102" s="1173"/>
      <c r="AI102" s="1137"/>
      <c r="AJ102" s="1137"/>
      <c r="AK102" s="1137"/>
      <c r="AL102" s="1137"/>
      <c r="AM102" s="1137"/>
      <c r="AN102" s="1137"/>
      <c r="AO102" s="1137"/>
      <c r="AP102" s="1137"/>
      <c r="AQ102" s="1137"/>
      <c r="AR102" s="1137"/>
      <c r="AS102" s="1137"/>
      <c r="AT102" s="1137"/>
      <c r="AU102" s="1137"/>
      <c r="AV102" s="1137"/>
      <c r="AW102" s="1137"/>
      <c r="AX102" s="1137"/>
      <c r="AY102" s="1137"/>
      <c r="AZ102" s="1137"/>
      <c r="BA102" s="1137"/>
    </row>
    <row r="103" ht="39.75" customHeight="1">
      <c r="A103" s="1184" t="s">
        <v>272</v>
      </c>
      <c r="B103" s="1185" t="s">
        <v>273</v>
      </c>
      <c r="C103" s="1163"/>
      <c r="D103" s="1163"/>
      <c r="E103" s="1163"/>
      <c r="F103" s="1163"/>
      <c r="G103" s="1163"/>
      <c r="H103" s="1163"/>
      <c r="I103" s="1163"/>
      <c r="J103" s="1163"/>
      <c r="K103" s="1163"/>
      <c r="L103" s="1163"/>
      <c r="M103" s="1163"/>
      <c r="N103" s="1163"/>
      <c r="O103" s="1163"/>
      <c r="P103" s="1163"/>
      <c r="Q103" s="1163"/>
      <c r="R103" s="1163"/>
      <c r="S103" s="1163"/>
      <c r="T103" s="1163"/>
      <c r="U103" s="1163"/>
      <c r="V103" s="1163"/>
      <c r="W103" s="1163"/>
      <c r="X103" s="1163"/>
      <c r="Y103" s="1163"/>
      <c r="Z103" s="1163"/>
      <c r="AA103" s="1163"/>
      <c r="AB103" s="1163"/>
      <c r="AC103" s="1163"/>
      <c r="AD103" s="1163"/>
      <c r="AE103" s="1163"/>
      <c r="AF103" s="1163"/>
      <c r="AG103" s="1163"/>
      <c r="AH103" s="1164"/>
      <c r="AI103" s="1137"/>
      <c r="AJ103" s="1137"/>
      <c r="AK103" s="1137"/>
      <c r="AL103" s="1137"/>
      <c r="AM103" s="1137"/>
      <c r="AN103" s="1137"/>
      <c r="AO103" s="1137"/>
      <c r="AP103" s="1137"/>
      <c r="AQ103" s="1137"/>
      <c r="AR103" s="1137"/>
      <c r="AS103" s="1137"/>
      <c r="AT103" s="1137"/>
      <c r="AU103" s="1137"/>
      <c r="AV103" s="1137"/>
      <c r="AW103" s="1137"/>
      <c r="AX103" s="1137"/>
      <c r="AY103" s="1137"/>
      <c r="AZ103" s="1137"/>
      <c r="BA103" s="1137"/>
    </row>
    <row r="104" ht="39.75" customHeight="1">
      <c r="A104" s="1165" t="s">
        <v>274</v>
      </c>
      <c r="B104" s="1166" t="s">
        <v>275</v>
      </c>
      <c r="C104" s="1167"/>
      <c r="D104" s="1168"/>
      <c r="E104" s="1169"/>
      <c r="F104" s="1168"/>
      <c r="G104" s="1169"/>
      <c r="H104" s="1168"/>
      <c r="I104" s="1169"/>
      <c r="J104" s="1168"/>
      <c r="K104" s="1169"/>
      <c r="L104" s="1168"/>
      <c r="M104" s="1169"/>
      <c r="N104" s="1168"/>
      <c r="O104" s="1169"/>
      <c r="P104" s="1168"/>
      <c r="Q104" s="1169"/>
      <c r="R104" s="1168"/>
      <c r="S104" s="1169"/>
      <c r="T104" s="1168"/>
      <c r="U104" s="1169"/>
      <c r="V104" s="1168"/>
      <c r="W104" s="1169"/>
      <c r="X104" s="1168"/>
      <c r="Y104" s="1169"/>
      <c r="Z104" s="1168"/>
      <c r="AA104" s="1169"/>
      <c r="AB104" s="1171"/>
      <c r="AC104" s="1171"/>
      <c r="AD104" s="1171"/>
      <c r="AE104" s="1171"/>
      <c r="AF104" s="1168"/>
      <c r="AG104" s="1172">
        <f>SUM(C103:AA103)</f>
        <v>0</v>
      </c>
      <c r="AH104" s="1173"/>
      <c r="AI104" s="1137"/>
      <c r="AJ104" s="1137"/>
      <c r="AK104" s="1137"/>
      <c r="AL104" s="1137"/>
      <c r="AM104" s="1137"/>
      <c r="AN104" s="1137"/>
      <c r="AO104" s="1137"/>
      <c r="AP104" s="1137"/>
      <c r="AQ104" s="1137"/>
      <c r="AR104" s="1137"/>
      <c r="AS104" s="1137"/>
      <c r="AT104" s="1137"/>
      <c r="AU104" s="1137"/>
      <c r="AV104" s="1137"/>
      <c r="AW104" s="1137"/>
      <c r="AX104" s="1137"/>
      <c r="AY104" s="1137"/>
      <c r="AZ104" s="1137"/>
      <c r="BA104" s="1137"/>
    </row>
    <row r="105" ht="39.75" customHeight="1">
      <c r="A105" s="1165" t="s">
        <v>276</v>
      </c>
      <c r="B105" s="1166" t="s">
        <v>277</v>
      </c>
      <c r="C105" s="1167"/>
      <c r="D105" s="1168"/>
      <c r="E105" s="1169"/>
      <c r="F105" s="1168"/>
      <c r="G105" s="1169"/>
      <c r="H105" s="1168"/>
      <c r="I105" s="1169"/>
      <c r="J105" s="1168"/>
      <c r="K105" s="1169"/>
      <c r="L105" s="1168"/>
      <c r="M105" s="1169"/>
      <c r="N105" s="1168"/>
      <c r="O105" s="1169"/>
      <c r="P105" s="1168"/>
      <c r="Q105" s="1169"/>
      <c r="R105" s="1168"/>
      <c r="S105" s="1169"/>
      <c r="T105" s="1168"/>
      <c r="U105" s="1169"/>
      <c r="V105" s="1168"/>
      <c r="W105" s="1169"/>
      <c r="X105" s="1168"/>
      <c r="Y105" s="1169"/>
      <c r="Z105" s="1168"/>
      <c r="AA105" s="1169"/>
      <c r="AB105" s="1171"/>
      <c r="AC105" s="1171"/>
      <c r="AD105" s="1171"/>
      <c r="AE105" s="1171"/>
      <c r="AF105" s="1168"/>
      <c r="AG105" s="1172">
        <f>SUM(C105:AA105)</f>
        <v>0</v>
      </c>
      <c r="AH105" s="1173"/>
      <c r="AI105" s="1137"/>
      <c r="AJ105" s="1137"/>
      <c r="AK105" s="1137"/>
      <c r="AL105" s="1137"/>
      <c r="AM105" s="1137"/>
      <c r="AN105" s="1137"/>
      <c r="AO105" s="1137"/>
      <c r="AP105" s="1137"/>
      <c r="AQ105" s="1137"/>
      <c r="AR105" s="1137"/>
      <c r="AS105" s="1137"/>
      <c r="AT105" s="1137"/>
      <c r="AU105" s="1137"/>
      <c r="AV105" s="1137"/>
      <c r="AW105" s="1137"/>
      <c r="AX105" s="1137"/>
      <c r="AY105" s="1137"/>
      <c r="AZ105" s="1137"/>
      <c r="BA105" s="1137"/>
    </row>
    <row r="106" ht="39.75" customHeight="1">
      <c r="A106" s="1184" t="s">
        <v>278</v>
      </c>
      <c r="B106" s="1185" t="s">
        <v>279</v>
      </c>
      <c r="C106" s="1163"/>
      <c r="D106" s="1163"/>
      <c r="E106" s="1163"/>
      <c r="F106" s="1163"/>
      <c r="G106" s="1163"/>
      <c r="H106" s="1163"/>
      <c r="I106" s="1163"/>
      <c r="J106" s="1163"/>
      <c r="K106" s="1163"/>
      <c r="L106" s="1163"/>
      <c r="M106" s="1163"/>
      <c r="N106" s="1163"/>
      <c r="O106" s="1163"/>
      <c r="P106" s="1163"/>
      <c r="Q106" s="1163"/>
      <c r="R106" s="1163"/>
      <c r="S106" s="1163"/>
      <c r="T106" s="1163"/>
      <c r="U106" s="1163"/>
      <c r="V106" s="1163"/>
      <c r="W106" s="1163"/>
      <c r="X106" s="1163"/>
      <c r="Y106" s="1163"/>
      <c r="Z106" s="1163"/>
      <c r="AA106" s="1163"/>
      <c r="AB106" s="1163"/>
      <c r="AC106" s="1163"/>
      <c r="AD106" s="1163"/>
      <c r="AE106" s="1163"/>
      <c r="AF106" s="1163"/>
      <c r="AG106" s="1163"/>
      <c r="AH106" s="1164"/>
      <c r="AI106" s="1137"/>
      <c r="AJ106" s="1137"/>
      <c r="AK106" s="1137"/>
      <c r="AL106" s="1137"/>
      <c r="AM106" s="1137"/>
      <c r="AN106" s="1137"/>
      <c r="AO106" s="1137"/>
      <c r="AP106" s="1137"/>
      <c r="AQ106" s="1137"/>
      <c r="AR106" s="1137"/>
      <c r="AS106" s="1137"/>
      <c r="AT106" s="1137"/>
      <c r="AU106" s="1137"/>
      <c r="AV106" s="1137"/>
      <c r="AW106" s="1137"/>
      <c r="AX106" s="1137"/>
      <c r="AY106" s="1137"/>
      <c r="AZ106" s="1137"/>
      <c r="BA106" s="1137"/>
    </row>
    <row r="107" ht="39.75" customHeight="1">
      <c r="A107" s="1182" t="s">
        <v>280</v>
      </c>
      <c r="B107" s="1183" t="s">
        <v>281</v>
      </c>
      <c r="C107" s="1167"/>
      <c r="D107" s="1168"/>
      <c r="E107" s="1169"/>
      <c r="F107" s="1168"/>
      <c r="G107" s="1169"/>
      <c r="H107" s="1168"/>
      <c r="I107" s="1169"/>
      <c r="J107" s="1168"/>
      <c r="K107" s="1169"/>
      <c r="L107" s="1168"/>
      <c r="M107" s="1169"/>
      <c r="N107" s="1168"/>
      <c r="O107" s="1169"/>
      <c r="P107" s="1168"/>
      <c r="Q107" s="1169"/>
      <c r="R107" s="1168"/>
      <c r="S107" s="1169"/>
      <c r="T107" s="1168"/>
      <c r="U107" s="1169"/>
      <c r="V107" s="1168"/>
      <c r="W107" s="1169"/>
      <c r="X107" s="1168"/>
      <c r="Y107" s="1169"/>
      <c r="Z107" s="1168"/>
      <c r="AA107" s="1169"/>
      <c r="AB107" s="1171"/>
      <c r="AC107" s="1171"/>
      <c r="AD107" s="1171"/>
      <c r="AE107" s="1171"/>
      <c r="AF107" s="1168"/>
      <c r="AG107" s="1172">
        <f>SUM(C107:AA107)</f>
        <v>0</v>
      </c>
      <c r="AH107" s="1173"/>
      <c r="AI107" s="1137"/>
      <c r="AJ107" s="1137"/>
      <c r="AK107" s="1137"/>
      <c r="AL107" s="1137"/>
      <c r="AM107" s="1137"/>
      <c r="AN107" s="1137"/>
      <c r="AO107" s="1137"/>
      <c r="AP107" s="1137"/>
      <c r="AQ107" s="1137"/>
      <c r="AR107" s="1137"/>
      <c r="AS107" s="1137"/>
      <c r="AT107" s="1137"/>
      <c r="AU107" s="1137"/>
      <c r="AV107" s="1137"/>
      <c r="AW107" s="1137"/>
      <c r="AX107" s="1137"/>
      <c r="AY107" s="1137"/>
      <c r="AZ107" s="1137"/>
      <c r="BA107" s="1137"/>
    </row>
    <row r="108" ht="39.75" customHeight="1">
      <c r="A108" s="1176" t="s">
        <v>282</v>
      </c>
      <c r="B108" s="1177" t="s">
        <v>283</v>
      </c>
      <c r="C108" s="1167"/>
      <c r="D108" s="1168"/>
      <c r="E108" s="1169"/>
      <c r="F108" s="1168"/>
      <c r="G108" s="1169"/>
      <c r="H108" s="1168"/>
      <c r="I108" s="1169"/>
      <c r="J108" s="1168"/>
      <c r="K108" s="1169"/>
      <c r="L108" s="1168"/>
      <c r="M108" s="1169"/>
      <c r="N108" s="1168"/>
      <c r="O108" s="1169" t="str">
        <f>MANZ.G!AS107</f>
        <v/>
      </c>
      <c r="P108" s="1168"/>
      <c r="Q108" s="1169"/>
      <c r="R108" s="1168"/>
      <c r="S108" s="1169"/>
      <c r="T108" s="1168"/>
      <c r="U108" s="1169"/>
      <c r="V108" s="1168"/>
      <c r="W108" s="1169"/>
      <c r="X108" s="1168"/>
      <c r="Y108" s="1169"/>
      <c r="Z108" s="1168"/>
      <c r="AA108" s="1169"/>
      <c r="AB108" s="1171"/>
      <c r="AC108" s="1171"/>
      <c r="AD108" s="1171"/>
      <c r="AE108" s="1171"/>
      <c r="AF108" s="1168"/>
      <c r="AG108" s="1172">
        <f>SUM(C109:AA109)</f>
        <v>0</v>
      </c>
      <c r="AH108" s="1173"/>
    </row>
    <row r="109" ht="39.75" customHeight="1">
      <c r="A109" s="1182" t="s">
        <v>284</v>
      </c>
      <c r="B109" s="1183" t="s">
        <v>285</v>
      </c>
      <c r="C109" s="1167"/>
      <c r="D109" s="1168"/>
      <c r="E109" s="1169"/>
      <c r="F109" s="1168"/>
      <c r="G109" s="1169"/>
      <c r="H109" s="1168"/>
      <c r="I109" s="1169"/>
      <c r="J109" s="1168"/>
      <c r="K109" s="1169"/>
      <c r="L109" s="1168"/>
      <c r="M109" s="1169"/>
      <c r="N109" s="1168"/>
      <c r="O109" s="1169"/>
      <c r="P109" s="1168"/>
      <c r="Q109" s="1169"/>
      <c r="R109" s="1168"/>
      <c r="S109" s="1169"/>
      <c r="T109" s="1168"/>
      <c r="U109" s="1169"/>
      <c r="V109" s="1168"/>
      <c r="W109" s="1169"/>
      <c r="X109" s="1168"/>
      <c r="Y109" s="1169"/>
      <c r="Z109" s="1168"/>
      <c r="AA109" s="1169"/>
      <c r="AB109" s="1171"/>
      <c r="AC109" s="1171"/>
      <c r="AD109" s="1171"/>
      <c r="AE109" s="1171"/>
      <c r="AF109" s="1168"/>
      <c r="AG109" s="1172">
        <f t="shared" ref="AG109:AG112" si="11">SUM(C109:AA109)</f>
        <v>0</v>
      </c>
      <c r="AH109" s="1173"/>
      <c r="AI109" s="1137"/>
      <c r="AJ109" s="1137"/>
      <c r="AK109" s="1137"/>
      <c r="AL109" s="1137"/>
      <c r="AM109" s="1137"/>
      <c r="AN109" s="1137"/>
      <c r="AO109" s="1137"/>
      <c r="AP109" s="1137"/>
      <c r="AQ109" s="1137"/>
      <c r="AR109" s="1137"/>
      <c r="AS109" s="1137"/>
      <c r="AT109" s="1137"/>
      <c r="AU109" s="1137"/>
      <c r="AV109" s="1137"/>
      <c r="AW109" s="1137"/>
      <c r="AX109" s="1137"/>
      <c r="AY109" s="1137"/>
      <c r="AZ109" s="1137"/>
      <c r="BA109" s="1137"/>
    </row>
    <row r="110" ht="39.75" customHeight="1">
      <c r="A110" s="1182" t="s">
        <v>286</v>
      </c>
      <c r="B110" s="1183" t="s">
        <v>287</v>
      </c>
      <c r="C110" s="1167"/>
      <c r="D110" s="1168"/>
      <c r="E110" s="1169"/>
      <c r="F110" s="1168"/>
      <c r="G110" s="1169"/>
      <c r="H110" s="1168"/>
      <c r="I110" s="1169"/>
      <c r="J110" s="1168"/>
      <c r="K110" s="1169"/>
      <c r="L110" s="1168"/>
      <c r="M110" s="1169"/>
      <c r="N110" s="1168"/>
      <c r="O110" s="1169"/>
      <c r="P110" s="1168"/>
      <c r="Q110" s="1169"/>
      <c r="R110" s="1168"/>
      <c r="S110" s="1169"/>
      <c r="T110" s="1168"/>
      <c r="U110" s="1169"/>
      <c r="V110" s="1168"/>
      <c r="W110" s="1169"/>
      <c r="X110" s="1168"/>
      <c r="Y110" s="1169"/>
      <c r="Z110" s="1168"/>
      <c r="AA110" s="1169"/>
      <c r="AB110" s="1171"/>
      <c r="AC110" s="1171"/>
      <c r="AD110" s="1171"/>
      <c r="AE110" s="1171"/>
      <c r="AF110" s="1168"/>
      <c r="AG110" s="1172">
        <f t="shared" si="11"/>
        <v>0</v>
      </c>
      <c r="AH110" s="1173"/>
      <c r="AI110" s="1137"/>
      <c r="AJ110" s="1137"/>
      <c r="AK110" s="1137"/>
      <c r="AL110" s="1137"/>
      <c r="AM110" s="1137"/>
      <c r="AN110" s="1137"/>
      <c r="AO110" s="1137"/>
      <c r="AP110" s="1137"/>
      <c r="AQ110" s="1137"/>
      <c r="AR110" s="1137"/>
      <c r="AS110" s="1137"/>
      <c r="AT110" s="1137"/>
      <c r="AU110" s="1137"/>
      <c r="AV110" s="1137"/>
      <c r="AW110" s="1137"/>
      <c r="AX110" s="1137"/>
      <c r="AY110" s="1137"/>
      <c r="AZ110" s="1137"/>
      <c r="BA110" s="1137"/>
    </row>
    <row r="111" ht="39.75" customHeight="1">
      <c r="A111" s="1165" t="s">
        <v>288</v>
      </c>
      <c r="B111" s="1166" t="s">
        <v>289</v>
      </c>
      <c r="C111" s="1167"/>
      <c r="D111" s="1168"/>
      <c r="E111" s="1169"/>
      <c r="F111" s="1168"/>
      <c r="G111" s="1169"/>
      <c r="H111" s="1168"/>
      <c r="I111" s="1169"/>
      <c r="J111" s="1168"/>
      <c r="K111" s="1169"/>
      <c r="L111" s="1168"/>
      <c r="M111" s="1169"/>
      <c r="N111" s="1168"/>
      <c r="O111" s="1169"/>
      <c r="P111" s="1168"/>
      <c r="Q111" s="1169"/>
      <c r="R111" s="1168"/>
      <c r="S111" s="1169"/>
      <c r="T111" s="1168"/>
      <c r="U111" s="1169"/>
      <c r="V111" s="1168"/>
      <c r="W111" s="1169"/>
      <c r="X111" s="1168"/>
      <c r="Y111" s="1169"/>
      <c r="Z111" s="1168"/>
      <c r="AA111" s="1169"/>
      <c r="AB111" s="1171"/>
      <c r="AC111" s="1171"/>
      <c r="AD111" s="1171"/>
      <c r="AE111" s="1171"/>
      <c r="AF111" s="1168"/>
      <c r="AG111" s="1172">
        <f t="shared" si="11"/>
        <v>0</v>
      </c>
      <c r="AH111" s="1173"/>
      <c r="AI111" s="1137"/>
      <c r="AJ111" s="1137"/>
      <c r="AK111" s="1137"/>
      <c r="AL111" s="1137"/>
      <c r="AM111" s="1137"/>
      <c r="AN111" s="1137"/>
      <c r="AO111" s="1137"/>
      <c r="AP111" s="1137"/>
      <c r="AQ111" s="1137"/>
      <c r="AR111" s="1137"/>
      <c r="AS111" s="1137"/>
      <c r="AT111" s="1137"/>
      <c r="AU111" s="1137"/>
      <c r="AV111" s="1137"/>
      <c r="AW111" s="1137"/>
      <c r="AX111" s="1137"/>
      <c r="AY111" s="1137"/>
      <c r="AZ111" s="1137"/>
      <c r="BA111" s="1137"/>
    </row>
    <row r="112" ht="39.75" customHeight="1">
      <c r="A112" s="1165" t="s">
        <v>290</v>
      </c>
      <c r="B112" s="1166" t="s">
        <v>291</v>
      </c>
      <c r="C112" s="1167"/>
      <c r="D112" s="1168"/>
      <c r="E112" s="1169"/>
      <c r="F112" s="1168"/>
      <c r="G112" s="1169"/>
      <c r="H112" s="1168"/>
      <c r="I112" s="1169"/>
      <c r="J112" s="1168"/>
      <c r="K112" s="1169"/>
      <c r="L112" s="1168"/>
      <c r="M112" s="1169"/>
      <c r="N112" s="1168"/>
      <c r="O112" s="1169"/>
      <c r="P112" s="1168"/>
      <c r="Q112" s="1169"/>
      <c r="R112" s="1168"/>
      <c r="S112" s="1169"/>
      <c r="T112" s="1168"/>
      <c r="U112" s="1169"/>
      <c r="V112" s="1168"/>
      <c r="W112" s="1169"/>
      <c r="X112" s="1168"/>
      <c r="Y112" s="1169"/>
      <c r="Z112" s="1168"/>
      <c r="AA112" s="1169"/>
      <c r="AB112" s="1171"/>
      <c r="AC112" s="1171"/>
      <c r="AD112" s="1171"/>
      <c r="AE112" s="1171"/>
      <c r="AF112" s="1168"/>
      <c r="AG112" s="1172">
        <f t="shared" si="11"/>
        <v>0</v>
      </c>
      <c r="AH112" s="1173"/>
      <c r="AI112" s="1137"/>
      <c r="AJ112" s="1137"/>
      <c r="AK112" s="1137"/>
      <c r="AL112" s="1137"/>
      <c r="AM112" s="1137"/>
      <c r="AN112" s="1137"/>
      <c r="AO112" s="1137"/>
      <c r="AP112" s="1137"/>
      <c r="AQ112" s="1137"/>
      <c r="AR112" s="1137"/>
      <c r="AS112" s="1137"/>
      <c r="AT112" s="1137"/>
      <c r="AU112" s="1137"/>
      <c r="AV112" s="1137"/>
      <c r="AW112" s="1137"/>
      <c r="AX112" s="1137"/>
      <c r="AY112" s="1137"/>
      <c r="AZ112" s="1137"/>
      <c r="BA112" s="1137"/>
    </row>
    <row r="113" ht="39.75" customHeight="1">
      <c r="A113" s="1176" t="s">
        <v>292</v>
      </c>
      <c r="B113" s="1177" t="s">
        <v>293</v>
      </c>
      <c r="C113" s="1167"/>
      <c r="D113" s="1168"/>
      <c r="E113" s="1169"/>
      <c r="F113" s="1168"/>
      <c r="G113" s="1169"/>
      <c r="H113" s="1168"/>
      <c r="I113" s="1169"/>
      <c r="J113" s="1168"/>
      <c r="K113" s="1169"/>
      <c r="L113" s="1168"/>
      <c r="M113" s="1169"/>
      <c r="N113" s="1168"/>
      <c r="O113" s="1169">
        <f>MANZ.G!AS112</f>
        <v>1</v>
      </c>
      <c r="P113" s="1168"/>
      <c r="Q113" s="1169"/>
      <c r="R113" s="1168"/>
      <c r="S113" s="1169"/>
      <c r="T113" s="1168"/>
      <c r="U113" s="1169"/>
      <c r="V113" s="1168"/>
      <c r="W113" s="1169"/>
      <c r="X113" s="1168"/>
      <c r="Y113" s="1169"/>
      <c r="Z113" s="1168"/>
      <c r="AA113" s="1169"/>
      <c r="AB113" s="1171"/>
      <c r="AC113" s="1171"/>
      <c r="AD113" s="1171"/>
      <c r="AE113" s="1171"/>
      <c r="AF113" s="1168"/>
      <c r="AG113" s="1172">
        <f>SUM(C114:AA114)</f>
        <v>0</v>
      </c>
      <c r="AH113" s="1173"/>
    </row>
    <row r="114" ht="39.75" customHeight="1">
      <c r="A114" s="1184" t="s">
        <v>294</v>
      </c>
      <c r="B114" s="1185" t="s">
        <v>295</v>
      </c>
      <c r="C114" s="1163"/>
      <c r="D114" s="1163"/>
      <c r="E114" s="1163"/>
      <c r="F114" s="1163"/>
      <c r="G114" s="1163"/>
      <c r="H114" s="1163"/>
      <c r="I114" s="1163"/>
      <c r="J114" s="1163"/>
      <c r="K114" s="1163"/>
      <c r="L114" s="1163"/>
      <c r="M114" s="1163"/>
      <c r="N114" s="1163"/>
      <c r="O114" s="1163"/>
      <c r="P114" s="1163"/>
      <c r="Q114" s="1163"/>
      <c r="R114" s="1163"/>
      <c r="S114" s="1163"/>
      <c r="T114" s="1163"/>
      <c r="U114" s="1163"/>
      <c r="V114" s="1163"/>
      <c r="W114" s="1163"/>
      <c r="X114" s="1163"/>
      <c r="Y114" s="1163"/>
      <c r="Z114" s="1163"/>
      <c r="AA114" s="1163"/>
      <c r="AB114" s="1163"/>
      <c r="AC114" s="1163"/>
      <c r="AD114" s="1163"/>
      <c r="AE114" s="1163"/>
      <c r="AF114" s="1163"/>
      <c r="AG114" s="1163"/>
      <c r="AH114" s="1164"/>
      <c r="AI114" s="1137"/>
      <c r="AJ114" s="1137"/>
      <c r="AK114" s="1137"/>
      <c r="AL114" s="1137"/>
      <c r="AM114" s="1137"/>
      <c r="AN114" s="1137"/>
      <c r="AO114" s="1137"/>
      <c r="AP114" s="1137"/>
      <c r="AQ114" s="1137"/>
      <c r="AR114" s="1137"/>
      <c r="AS114" s="1137"/>
      <c r="AT114" s="1137"/>
      <c r="AU114" s="1137"/>
      <c r="AV114" s="1137"/>
      <c r="AW114" s="1137"/>
      <c r="AX114" s="1137"/>
      <c r="AY114" s="1137"/>
      <c r="AZ114" s="1137"/>
      <c r="BA114" s="1137"/>
    </row>
    <row r="115" ht="39.75" customHeight="1">
      <c r="A115" s="1165" t="s">
        <v>296</v>
      </c>
      <c r="B115" s="1166" t="s">
        <v>297</v>
      </c>
      <c r="C115" s="1167"/>
      <c r="D115" s="1168"/>
      <c r="E115" s="1169"/>
      <c r="F115" s="1168"/>
      <c r="G115" s="1170">
        <f>MANZ.C!AL117</f>
        <v>17</v>
      </c>
      <c r="H115" s="1168"/>
      <c r="I115" s="1169">
        <f>MANZ.D!Y117</f>
        <v>0</v>
      </c>
      <c r="J115" s="1168"/>
      <c r="K115" s="1169">
        <f>MANZ.E!AL118</f>
        <v>0</v>
      </c>
      <c r="L115" s="1168"/>
      <c r="M115" s="1169">
        <f>MANZ.F!AA117</f>
        <v>8</v>
      </c>
      <c r="N115" s="1168"/>
      <c r="O115" s="1169">
        <f>MANZ.G!AS113</f>
        <v>1</v>
      </c>
      <c r="P115" s="1168"/>
      <c r="Q115" s="1170">
        <f>MANZ.H!V118</f>
        <v>9</v>
      </c>
      <c r="R115" s="1168"/>
      <c r="S115" s="1169">
        <f>MANZ.I!AA116</f>
        <v>0</v>
      </c>
      <c r="T115" s="1168"/>
      <c r="U115" s="1169">
        <f>MANZ.J!AT121</f>
        <v>6</v>
      </c>
      <c r="V115" s="1168"/>
      <c r="W115" s="1169">
        <f>MANZ.K!AB118</f>
        <v>0</v>
      </c>
      <c r="X115" s="1168"/>
      <c r="Y115" s="1169"/>
      <c r="Z115" s="1168"/>
      <c r="AA115" s="1169"/>
      <c r="AB115" s="1171"/>
      <c r="AC115" s="1171"/>
      <c r="AD115" s="1171"/>
      <c r="AE115" s="1171"/>
      <c r="AF115" s="1168"/>
      <c r="AG115" s="1172">
        <f t="shared" ref="AG115:AG126" si="12">SUM(C115:AA115)</f>
        <v>41</v>
      </c>
      <c r="AH115" s="1173"/>
      <c r="AI115" s="1137"/>
      <c r="AJ115" s="1137"/>
      <c r="AK115" s="1137"/>
      <c r="AL115" s="1137"/>
      <c r="AM115" s="1137"/>
      <c r="AN115" s="1137"/>
      <c r="AO115" s="1137"/>
      <c r="AP115" s="1137"/>
      <c r="AQ115" s="1137"/>
      <c r="AR115" s="1137"/>
      <c r="AS115" s="1137"/>
      <c r="AT115" s="1137"/>
      <c r="AU115" s="1137"/>
      <c r="AV115" s="1137"/>
      <c r="AW115" s="1137"/>
      <c r="AX115" s="1137"/>
      <c r="AY115" s="1137"/>
      <c r="AZ115" s="1137"/>
      <c r="BA115" s="1137"/>
    </row>
    <row r="116" ht="39.75" customHeight="1">
      <c r="A116" s="1165" t="s">
        <v>298</v>
      </c>
      <c r="B116" s="1166" t="s">
        <v>299</v>
      </c>
      <c r="C116" s="1167"/>
      <c r="D116" s="1168"/>
      <c r="E116" s="1169"/>
      <c r="F116" s="1168"/>
      <c r="G116" s="1170">
        <f>MANZ.C!AL118</f>
        <v>17</v>
      </c>
      <c r="H116" s="1168"/>
      <c r="I116" s="1169">
        <f>MANZ.D!Y118</f>
        <v>0</v>
      </c>
      <c r="J116" s="1168"/>
      <c r="K116" s="1169">
        <f>MANZ.E!AK119</f>
        <v>0</v>
      </c>
      <c r="L116" s="1168"/>
      <c r="M116" s="1169">
        <f>MANZ.F!AA118</f>
        <v>8</v>
      </c>
      <c r="N116" s="1168"/>
      <c r="O116" s="1169">
        <f>MANZ.G!AS114</f>
        <v>0</v>
      </c>
      <c r="P116" s="1168"/>
      <c r="Q116" s="1170">
        <f>MANZ.H!U119</f>
        <v>9</v>
      </c>
      <c r="R116" s="1168"/>
      <c r="S116" s="1169">
        <f>MANZ.I!AA117</f>
        <v>0</v>
      </c>
      <c r="T116" s="1168"/>
      <c r="U116" s="1169">
        <f>MANZ.J!AT122</f>
        <v>6</v>
      </c>
      <c r="V116" s="1168"/>
      <c r="W116" s="1169">
        <f>MANZ.K!AA119</f>
        <v>10</v>
      </c>
      <c r="X116" s="1168"/>
      <c r="Y116" s="1169">
        <f>MANZ.L!Z119</f>
        <v>0</v>
      </c>
      <c r="Z116" s="1168"/>
      <c r="AA116" s="1169"/>
      <c r="AB116" s="1171"/>
      <c r="AC116" s="1171"/>
      <c r="AD116" s="1171"/>
      <c r="AE116" s="1171"/>
      <c r="AF116" s="1168"/>
      <c r="AG116" s="1172">
        <f t="shared" si="12"/>
        <v>50</v>
      </c>
      <c r="AH116" s="1173"/>
      <c r="AI116" s="1137"/>
      <c r="AJ116" s="1137"/>
      <c r="AK116" s="1137"/>
      <c r="AL116" s="1137"/>
      <c r="AM116" s="1137"/>
      <c r="AN116" s="1137"/>
      <c r="AO116" s="1137"/>
      <c r="AP116" s="1137"/>
      <c r="AQ116" s="1137"/>
      <c r="AR116" s="1137"/>
      <c r="AS116" s="1137"/>
      <c r="AT116" s="1137"/>
      <c r="AU116" s="1137"/>
      <c r="AV116" s="1137"/>
      <c r="AW116" s="1137"/>
      <c r="AX116" s="1137"/>
      <c r="AY116" s="1137"/>
      <c r="AZ116" s="1137"/>
      <c r="BA116" s="1137"/>
    </row>
    <row r="117" ht="39.75" customHeight="1">
      <c r="A117" s="1165" t="s">
        <v>300</v>
      </c>
      <c r="B117" s="1166" t="s">
        <v>301</v>
      </c>
      <c r="C117" s="1167"/>
      <c r="D117" s="1168"/>
      <c r="E117" s="1169"/>
      <c r="F117" s="1168"/>
      <c r="G117" s="1169"/>
      <c r="H117" s="1168"/>
      <c r="I117" s="1169"/>
      <c r="J117" s="1168"/>
      <c r="K117" s="1169"/>
      <c r="L117" s="1168"/>
      <c r="M117" s="1169"/>
      <c r="N117" s="1168"/>
      <c r="O117" s="1169"/>
      <c r="P117" s="1168"/>
      <c r="Q117" s="1169"/>
      <c r="R117" s="1168"/>
      <c r="S117" s="1169"/>
      <c r="T117" s="1168"/>
      <c r="U117" s="1169"/>
      <c r="V117" s="1168"/>
      <c r="W117" s="1169"/>
      <c r="X117" s="1168"/>
      <c r="Y117" s="1169"/>
      <c r="Z117" s="1168"/>
      <c r="AA117" s="1169"/>
      <c r="AB117" s="1171"/>
      <c r="AC117" s="1171"/>
      <c r="AD117" s="1171"/>
      <c r="AE117" s="1171"/>
      <c r="AF117" s="1168"/>
      <c r="AG117" s="1172">
        <f t="shared" si="12"/>
        <v>0</v>
      </c>
      <c r="AH117" s="1173"/>
      <c r="AI117" s="1137"/>
      <c r="AJ117" s="1137"/>
      <c r="AK117" s="1137"/>
      <c r="AL117" s="1137"/>
      <c r="AM117" s="1137"/>
      <c r="AN117" s="1137"/>
      <c r="AO117" s="1137"/>
      <c r="AP117" s="1137"/>
      <c r="AQ117" s="1137"/>
      <c r="AR117" s="1137"/>
      <c r="AS117" s="1137"/>
      <c r="AT117" s="1137"/>
      <c r="AU117" s="1137"/>
      <c r="AV117" s="1137"/>
      <c r="AW117" s="1137"/>
      <c r="AX117" s="1137"/>
      <c r="AY117" s="1137"/>
      <c r="AZ117" s="1137"/>
      <c r="BA117" s="1137"/>
    </row>
    <row r="118" ht="39.75" customHeight="1">
      <c r="A118" s="1165" t="s">
        <v>302</v>
      </c>
      <c r="B118" s="1166" t="s">
        <v>303</v>
      </c>
      <c r="C118" s="1167"/>
      <c r="D118" s="1168"/>
      <c r="E118" s="1169"/>
      <c r="F118" s="1168"/>
      <c r="G118" s="1169"/>
      <c r="H118" s="1168"/>
      <c r="I118" s="1169"/>
      <c r="J118" s="1168"/>
      <c r="K118" s="1169"/>
      <c r="L118" s="1168"/>
      <c r="M118" s="1169"/>
      <c r="N118" s="1168"/>
      <c r="O118" s="1169"/>
      <c r="P118" s="1168"/>
      <c r="Q118" s="1169"/>
      <c r="R118" s="1168"/>
      <c r="S118" s="1169"/>
      <c r="T118" s="1168"/>
      <c r="U118" s="1169"/>
      <c r="V118" s="1168"/>
      <c r="W118" s="1169"/>
      <c r="X118" s="1168"/>
      <c r="Y118" s="1169"/>
      <c r="Z118" s="1168"/>
      <c r="AA118" s="1169"/>
      <c r="AB118" s="1171"/>
      <c r="AC118" s="1171"/>
      <c r="AD118" s="1171"/>
      <c r="AE118" s="1171"/>
      <c r="AF118" s="1168"/>
      <c r="AG118" s="1172">
        <f t="shared" si="12"/>
        <v>0</v>
      </c>
      <c r="AH118" s="1173"/>
      <c r="AI118" s="1137"/>
      <c r="AJ118" s="1137"/>
      <c r="AK118" s="1137"/>
      <c r="AL118" s="1137"/>
      <c r="AM118" s="1137"/>
      <c r="AN118" s="1137"/>
      <c r="AO118" s="1137"/>
      <c r="AP118" s="1137"/>
      <c r="AQ118" s="1137"/>
      <c r="AR118" s="1137"/>
      <c r="AS118" s="1137"/>
      <c r="AT118" s="1137"/>
      <c r="AU118" s="1137"/>
      <c r="AV118" s="1137"/>
      <c r="AW118" s="1137"/>
      <c r="AX118" s="1137"/>
      <c r="AY118" s="1137"/>
      <c r="AZ118" s="1137"/>
      <c r="BA118" s="1137"/>
    </row>
    <row r="119" ht="39.75" customHeight="1">
      <c r="A119" s="1165" t="s">
        <v>304</v>
      </c>
      <c r="B119" s="1166" t="s">
        <v>305</v>
      </c>
      <c r="C119" s="1167"/>
      <c r="D119" s="1168"/>
      <c r="E119" s="1169"/>
      <c r="F119" s="1168"/>
      <c r="G119" s="1169"/>
      <c r="H119" s="1168"/>
      <c r="I119" s="1169"/>
      <c r="J119" s="1168"/>
      <c r="K119" s="1169"/>
      <c r="L119" s="1168"/>
      <c r="M119" s="1169">
        <f>MANZ.F!AB121</f>
        <v>0</v>
      </c>
      <c r="N119" s="1168"/>
      <c r="O119" s="1169"/>
      <c r="P119" s="1168"/>
      <c r="Q119" s="1169"/>
      <c r="R119" s="1168"/>
      <c r="S119" s="1169"/>
      <c r="T119" s="1168"/>
      <c r="U119" s="1169">
        <f>MANZ.J!AT125</f>
        <v>0</v>
      </c>
      <c r="V119" s="1168"/>
      <c r="W119" s="1169"/>
      <c r="X119" s="1168"/>
      <c r="Y119" s="1169"/>
      <c r="Z119" s="1168"/>
      <c r="AA119" s="1169"/>
      <c r="AB119" s="1171"/>
      <c r="AC119" s="1171"/>
      <c r="AD119" s="1171"/>
      <c r="AE119" s="1171"/>
      <c r="AF119" s="1168"/>
      <c r="AG119" s="1172">
        <f t="shared" si="12"/>
        <v>0</v>
      </c>
      <c r="AH119" s="1173"/>
      <c r="AI119" s="1137"/>
      <c r="AJ119" s="1137"/>
      <c r="AK119" s="1137"/>
      <c r="AL119" s="1137"/>
      <c r="AM119" s="1137"/>
      <c r="AN119" s="1137"/>
      <c r="AO119" s="1137"/>
      <c r="AP119" s="1137"/>
      <c r="AQ119" s="1137"/>
      <c r="AR119" s="1137"/>
      <c r="AS119" s="1137"/>
      <c r="AT119" s="1137"/>
      <c r="AU119" s="1137"/>
      <c r="AV119" s="1137"/>
      <c r="AW119" s="1137"/>
      <c r="AX119" s="1137"/>
      <c r="AY119" s="1137"/>
      <c r="AZ119" s="1137"/>
      <c r="BA119" s="1137"/>
    </row>
    <row r="120" ht="39.75" customHeight="1">
      <c r="A120" s="1165" t="s">
        <v>306</v>
      </c>
      <c r="B120" s="1166" t="s">
        <v>307</v>
      </c>
      <c r="C120" s="1167"/>
      <c r="D120" s="1168"/>
      <c r="E120" s="1169"/>
      <c r="F120" s="1168"/>
      <c r="G120" s="1170">
        <f>MANZ.C!AL122</f>
        <v>0</v>
      </c>
      <c r="H120" s="1168"/>
      <c r="I120" s="1169"/>
      <c r="J120" s="1168"/>
      <c r="K120" s="1169"/>
      <c r="L120" s="1168"/>
      <c r="M120" s="1169">
        <f>MANZ.F!AB122</f>
        <v>0</v>
      </c>
      <c r="N120" s="1168"/>
      <c r="O120" s="1169">
        <f>MANZ.G!AT118</f>
        <v>0</v>
      </c>
      <c r="P120" s="1168"/>
      <c r="Q120" s="1169">
        <f>MANZ.H!V123</f>
        <v>0</v>
      </c>
      <c r="R120" s="1168"/>
      <c r="S120" s="1169"/>
      <c r="T120" s="1168"/>
      <c r="U120" s="1169">
        <f>MANZ.J!AT126</f>
        <v>0</v>
      </c>
      <c r="V120" s="1168"/>
      <c r="W120" s="1169">
        <f>MANZ.K!AB123</f>
        <v>0</v>
      </c>
      <c r="X120" s="1168"/>
      <c r="Y120" s="1169"/>
      <c r="Z120" s="1168"/>
      <c r="AA120" s="1169"/>
      <c r="AB120" s="1171"/>
      <c r="AC120" s="1171"/>
      <c r="AD120" s="1171"/>
      <c r="AE120" s="1171"/>
      <c r="AF120" s="1168"/>
      <c r="AG120" s="1172">
        <f t="shared" si="12"/>
        <v>0</v>
      </c>
      <c r="AH120" s="1173"/>
      <c r="AI120" s="1137"/>
      <c r="AJ120" s="1137"/>
      <c r="AK120" s="1137"/>
      <c r="AL120" s="1137"/>
      <c r="AM120" s="1137"/>
      <c r="AN120" s="1137"/>
      <c r="AO120" s="1137"/>
      <c r="AP120" s="1137"/>
      <c r="AQ120" s="1137"/>
      <c r="AR120" s="1137"/>
      <c r="AS120" s="1137"/>
      <c r="AT120" s="1137"/>
      <c r="AU120" s="1137"/>
      <c r="AV120" s="1137"/>
      <c r="AW120" s="1137"/>
      <c r="AX120" s="1137"/>
      <c r="AY120" s="1137"/>
      <c r="AZ120" s="1137"/>
      <c r="BA120" s="1137"/>
    </row>
    <row r="121" ht="39.75" customHeight="1">
      <c r="A121" s="1165" t="s">
        <v>308</v>
      </c>
      <c r="B121" s="1166" t="s">
        <v>309</v>
      </c>
      <c r="C121" s="1167"/>
      <c r="D121" s="1168"/>
      <c r="E121" s="1169"/>
      <c r="F121" s="1168"/>
      <c r="G121" s="1169"/>
      <c r="H121" s="1168"/>
      <c r="I121" s="1169"/>
      <c r="J121" s="1168"/>
      <c r="K121" s="1169"/>
      <c r="L121" s="1168"/>
      <c r="M121" s="1169"/>
      <c r="N121" s="1168"/>
      <c r="O121" s="1169"/>
      <c r="P121" s="1168"/>
      <c r="Q121" s="1169"/>
      <c r="R121" s="1168"/>
      <c r="S121" s="1169"/>
      <c r="T121" s="1168"/>
      <c r="U121" s="1169"/>
      <c r="V121" s="1168"/>
      <c r="W121" s="1169"/>
      <c r="X121" s="1168"/>
      <c r="Y121" s="1169"/>
      <c r="Z121" s="1168"/>
      <c r="AA121" s="1169"/>
      <c r="AB121" s="1171"/>
      <c r="AC121" s="1171"/>
      <c r="AD121" s="1171"/>
      <c r="AE121" s="1171"/>
      <c r="AF121" s="1168"/>
      <c r="AG121" s="1172">
        <f t="shared" si="12"/>
        <v>0</v>
      </c>
      <c r="AH121" s="1173"/>
      <c r="AI121" s="1137"/>
      <c r="AJ121" s="1137"/>
      <c r="AK121" s="1137"/>
      <c r="AL121" s="1137"/>
      <c r="AM121" s="1137"/>
      <c r="AN121" s="1137"/>
      <c r="AO121" s="1137"/>
      <c r="AP121" s="1137"/>
      <c r="AQ121" s="1137"/>
      <c r="AR121" s="1137"/>
      <c r="AS121" s="1137"/>
      <c r="AT121" s="1137"/>
      <c r="AU121" s="1137"/>
      <c r="AV121" s="1137"/>
      <c r="AW121" s="1137"/>
      <c r="AX121" s="1137"/>
      <c r="AY121" s="1137"/>
      <c r="AZ121" s="1137"/>
      <c r="BA121" s="1137"/>
    </row>
    <row r="122" ht="39.75" customHeight="1">
      <c r="A122" s="1165" t="s">
        <v>310</v>
      </c>
      <c r="B122" s="1166" t="s">
        <v>311</v>
      </c>
      <c r="C122" s="1167"/>
      <c r="D122" s="1168"/>
      <c r="E122" s="1169"/>
      <c r="F122" s="1168"/>
      <c r="G122" s="1169"/>
      <c r="H122" s="1168"/>
      <c r="I122" s="1169"/>
      <c r="J122" s="1168"/>
      <c r="K122" s="1169"/>
      <c r="L122" s="1168"/>
      <c r="M122" s="1169"/>
      <c r="N122" s="1168"/>
      <c r="O122" s="1169"/>
      <c r="P122" s="1168"/>
      <c r="Q122" s="1169"/>
      <c r="R122" s="1168"/>
      <c r="S122" s="1169"/>
      <c r="T122" s="1168"/>
      <c r="U122" s="1169"/>
      <c r="V122" s="1168"/>
      <c r="W122" s="1169"/>
      <c r="X122" s="1168"/>
      <c r="Y122" s="1169"/>
      <c r="Z122" s="1168"/>
      <c r="AA122" s="1169"/>
      <c r="AB122" s="1171"/>
      <c r="AC122" s="1171"/>
      <c r="AD122" s="1171"/>
      <c r="AE122" s="1171"/>
      <c r="AF122" s="1168"/>
      <c r="AG122" s="1172">
        <f t="shared" si="12"/>
        <v>0</v>
      </c>
      <c r="AH122" s="1173"/>
      <c r="AI122" s="1137"/>
      <c r="AJ122" s="1137"/>
      <c r="AK122" s="1137"/>
      <c r="AL122" s="1137"/>
      <c r="AM122" s="1137"/>
      <c r="AN122" s="1137"/>
      <c r="AO122" s="1137"/>
      <c r="AP122" s="1137"/>
      <c r="AQ122" s="1137"/>
      <c r="AR122" s="1137"/>
      <c r="AS122" s="1137"/>
      <c r="AT122" s="1137"/>
      <c r="AU122" s="1137"/>
      <c r="AV122" s="1137"/>
      <c r="AW122" s="1137"/>
      <c r="AX122" s="1137"/>
      <c r="AY122" s="1137"/>
      <c r="AZ122" s="1137"/>
      <c r="BA122" s="1137"/>
    </row>
    <row r="123" ht="39.75" customHeight="1">
      <c r="A123" s="1165" t="s">
        <v>312</v>
      </c>
      <c r="B123" s="1166" t="s">
        <v>313</v>
      </c>
      <c r="C123" s="1167"/>
      <c r="D123" s="1168"/>
      <c r="E123" s="1169"/>
      <c r="F123" s="1168"/>
      <c r="G123" s="1169"/>
      <c r="H123" s="1168"/>
      <c r="I123" s="1169"/>
      <c r="J123" s="1168"/>
      <c r="K123" s="1169"/>
      <c r="L123" s="1168"/>
      <c r="M123" s="1169"/>
      <c r="N123" s="1168"/>
      <c r="O123" s="1169"/>
      <c r="P123" s="1168"/>
      <c r="Q123" s="1169"/>
      <c r="R123" s="1168"/>
      <c r="S123" s="1169"/>
      <c r="T123" s="1168"/>
      <c r="U123" s="1169"/>
      <c r="V123" s="1168"/>
      <c r="W123" s="1169"/>
      <c r="X123" s="1168"/>
      <c r="Y123" s="1169"/>
      <c r="Z123" s="1168"/>
      <c r="AA123" s="1169"/>
      <c r="AB123" s="1171"/>
      <c r="AC123" s="1171"/>
      <c r="AD123" s="1171"/>
      <c r="AE123" s="1171"/>
      <c r="AF123" s="1168"/>
      <c r="AG123" s="1172">
        <f t="shared" si="12"/>
        <v>0</v>
      </c>
      <c r="AH123" s="1173"/>
      <c r="AI123" s="1137"/>
      <c r="AJ123" s="1137"/>
      <c r="AK123" s="1137"/>
      <c r="AL123" s="1137"/>
      <c r="AM123" s="1137"/>
      <c r="AN123" s="1137"/>
      <c r="AO123" s="1137"/>
      <c r="AP123" s="1137"/>
      <c r="AQ123" s="1137"/>
      <c r="AR123" s="1137"/>
      <c r="AS123" s="1137"/>
      <c r="AT123" s="1137"/>
      <c r="AU123" s="1137"/>
      <c r="AV123" s="1137"/>
      <c r="AW123" s="1137"/>
      <c r="AX123" s="1137"/>
      <c r="AY123" s="1137"/>
      <c r="AZ123" s="1137"/>
      <c r="BA123" s="1137"/>
    </row>
    <row r="124" ht="39.75" customHeight="1">
      <c r="A124" s="1165" t="s">
        <v>314</v>
      </c>
      <c r="B124" s="1166" t="s">
        <v>315</v>
      </c>
      <c r="C124" s="1167"/>
      <c r="D124" s="1168"/>
      <c r="E124" s="1169"/>
      <c r="F124" s="1168"/>
      <c r="G124" s="1169"/>
      <c r="H124" s="1168"/>
      <c r="I124" s="1169"/>
      <c r="J124" s="1168"/>
      <c r="K124" s="1169"/>
      <c r="L124" s="1168"/>
      <c r="M124" s="1169"/>
      <c r="N124" s="1168"/>
      <c r="O124" s="1169"/>
      <c r="P124" s="1168"/>
      <c r="Q124" s="1169"/>
      <c r="R124" s="1168"/>
      <c r="S124" s="1169"/>
      <c r="T124" s="1168"/>
      <c r="U124" s="1169"/>
      <c r="V124" s="1168"/>
      <c r="W124" s="1169"/>
      <c r="X124" s="1168"/>
      <c r="Y124" s="1169"/>
      <c r="Z124" s="1168"/>
      <c r="AA124" s="1169"/>
      <c r="AB124" s="1171"/>
      <c r="AC124" s="1171"/>
      <c r="AD124" s="1171"/>
      <c r="AE124" s="1171"/>
      <c r="AF124" s="1168"/>
      <c r="AG124" s="1172">
        <f t="shared" si="12"/>
        <v>0</v>
      </c>
      <c r="AH124" s="1173"/>
      <c r="AI124" s="1137"/>
      <c r="AJ124" s="1137"/>
      <c r="AK124" s="1137"/>
      <c r="AL124" s="1137"/>
      <c r="AM124" s="1137"/>
      <c r="AN124" s="1137"/>
      <c r="AO124" s="1137"/>
      <c r="AP124" s="1137"/>
      <c r="AQ124" s="1137"/>
      <c r="AR124" s="1137"/>
      <c r="AS124" s="1137"/>
      <c r="AT124" s="1137"/>
      <c r="AU124" s="1137"/>
      <c r="AV124" s="1137"/>
      <c r="AW124" s="1137"/>
      <c r="AX124" s="1137"/>
      <c r="AY124" s="1137"/>
      <c r="AZ124" s="1137"/>
      <c r="BA124" s="1137"/>
    </row>
    <row r="125" ht="39.75" customHeight="1">
      <c r="A125" s="1165" t="s">
        <v>316</v>
      </c>
      <c r="B125" s="1166" t="s">
        <v>317</v>
      </c>
      <c r="C125" s="1167"/>
      <c r="D125" s="1168"/>
      <c r="E125" s="1169"/>
      <c r="F125" s="1168"/>
      <c r="G125" s="1169"/>
      <c r="H125" s="1168"/>
      <c r="I125" s="1169"/>
      <c r="J125" s="1168"/>
      <c r="K125" s="1169"/>
      <c r="L125" s="1168"/>
      <c r="M125" s="1169"/>
      <c r="N125" s="1168"/>
      <c r="O125" s="1169"/>
      <c r="P125" s="1168"/>
      <c r="Q125" s="1169"/>
      <c r="R125" s="1168"/>
      <c r="S125" s="1169"/>
      <c r="T125" s="1168"/>
      <c r="U125" s="1169"/>
      <c r="V125" s="1168"/>
      <c r="W125" s="1169"/>
      <c r="X125" s="1168"/>
      <c r="Y125" s="1169"/>
      <c r="Z125" s="1168"/>
      <c r="AA125" s="1169"/>
      <c r="AB125" s="1171"/>
      <c r="AC125" s="1171"/>
      <c r="AD125" s="1171"/>
      <c r="AE125" s="1171"/>
      <c r="AF125" s="1168"/>
      <c r="AG125" s="1172">
        <f t="shared" si="12"/>
        <v>0</v>
      </c>
      <c r="AH125" s="1173"/>
      <c r="AI125" s="1137"/>
      <c r="AJ125" s="1137"/>
      <c r="AK125" s="1137"/>
      <c r="AL125" s="1137"/>
      <c r="AM125" s="1137"/>
      <c r="AN125" s="1137"/>
      <c r="AO125" s="1137"/>
      <c r="AP125" s="1137"/>
      <c r="AQ125" s="1137"/>
      <c r="AR125" s="1137"/>
      <c r="AS125" s="1137"/>
      <c r="AT125" s="1137"/>
      <c r="AU125" s="1137"/>
      <c r="AV125" s="1137"/>
      <c r="AW125" s="1137"/>
      <c r="AX125" s="1137"/>
      <c r="AY125" s="1137"/>
      <c r="AZ125" s="1137"/>
      <c r="BA125" s="1137"/>
    </row>
    <row r="126" ht="39.75" customHeight="1">
      <c r="A126" s="1165" t="s">
        <v>318</v>
      </c>
      <c r="B126" s="1166" t="s">
        <v>319</v>
      </c>
      <c r="C126" s="1167"/>
      <c r="D126" s="1168"/>
      <c r="E126" s="1169"/>
      <c r="F126" s="1168"/>
      <c r="G126" s="1169"/>
      <c r="H126" s="1168"/>
      <c r="I126" s="1169"/>
      <c r="J126" s="1168"/>
      <c r="K126" s="1169"/>
      <c r="L126" s="1168"/>
      <c r="M126" s="1169"/>
      <c r="N126" s="1168"/>
      <c r="O126" s="1169"/>
      <c r="P126" s="1168"/>
      <c r="Q126" s="1169"/>
      <c r="R126" s="1168"/>
      <c r="S126" s="1169"/>
      <c r="T126" s="1168"/>
      <c r="U126" s="1169"/>
      <c r="V126" s="1168"/>
      <c r="W126" s="1169"/>
      <c r="X126" s="1168"/>
      <c r="Y126" s="1169"/>
      <c r="Z126" s="1168"/>
      <c r="AA126" s="1169"/>
      <c r="AB126" s="1171"/>
      <c r="AC126" s="1171"/>
      <c r="AD126" s="1171"/>
      <c r="AE126" s="1171"/>
      <c r="AF126" s="1168"/>
      <c r="AG126" s="1172">
        <f t="shared" si="12"/>
        <v>0</v>
      </c>
      <c r="AH126" s="1173"/>
      <c r="AI126" s="1137"/>
      <c r="AJ126" s="1137"/>
      <c r="AK126" s="1137"/>
      <c r="AL126" s="1137"/>
      <c r="AM126" s="1137"/>
      <c r="AN126" s="1137"/>
      <c r="AO126" s="1137"/>
      <c r="AP126" s="1137"/>
      <c r="AQ126" s="1137"/>
      <c r="AR126" s="1137"/>
      <c r="AS126" s="1137"/>
      <c r="AT126" s="1137"/>
      <c r="AU126" s="1137"/>
      <c r="AV126" s="1137"/>
      <c r="AW126" s="1137"/>
      <c r="AX126" s="1137"/>
      <c r="AY126" s="1137"/>
      <c r="AZ126" s="1137"/>
      <c r="BA126" s="1137"/>
    </row>
    <row r="127" ht="39.75" customHeight="1">
      <c r="A127" s="1190" t="s">
        <v>320</v>
      </c>
      <c r="B127" s="1191" t="s">
        <v>321</v>
      </c>
      <c r="C127" s="1163"/>
      <c r="D127" s="1163"/>
      <c r="E127" s="1163"/>
      <c r="F127" s="1163"/>
      <c r="G127" s="1163"/>
      <c r="H127" s="1163"/>
      <c r="I127" s="1163"/>
      <c r="J127" s="1163"/>
      <c r="K127" s="1163"/>
      <c r="L127" s="1163"/>
      <c r="M127" s="1163"/>
      <c r="N127" s="1163"/>
      <c r="O127" s="1163"/>
      <c r="P127" s="1163"/>
      <c r="Q127" s="1163"/>
      <c r="R127" s="1163"/>
      <c r="S127" s="1163"/>
      <c r="T127" s="1163"/>
      <c r="U127" s="1163"/>
      <c r="V127" s="1163"/>
      <c r="W127" s="1163"/>
      <c r="X127" s="1163"/>
      <c r="Y127" s="1163"/>
      <c r="Z127" s="1163"/>
      <c r="AA127" s="1163"/>
      <c r="AB127" s="1163"/>
      <c r="AC127" s="1163"/>
      <c r="AD127" s="1163"/>
      <c r="AE127" s="1163"/>
      <c r="AF127" s="1163"/>
      <c r="AG127" s="1163"/>
      <c r="AH127" s="1164"/>
      <c r="AI127" s="1137"/>
      <c r="AJ127" s="1137"/>
      <c r="AK127" s="1137"/>
      <c r="AL127" s="1137"/>
      <c r="AM127" s="1137"/>
      <c r="AN127" s="1137"/>
      <c r="AO127" s="1137"/>
      <c r="AP127" s="1137"/>
      <c r="AQ127" s="1137"/>
      <c r="AR127" s="1137"/>
      <c r="AS127" s="1137"/>
      <c r="AT127" s="1137"/>
      <c r="AU127" s="1137"/>
      <c r="AV127" s="1137"/>
      <c r="AW127" s="1137"/>
      <c r="AX127" s="1137"/>
      <c r="AY127" s="1137"/>
      <c r="AZ127" s="1137"/>
      <c r="BA127" s="1137"/>
    </row>
    <row r="128" ht="39.75" customHeight="1">
      <c r="A128" s="1192" t="s">
        <v>322</v>
      </c>
      <c r="B128" s="1193" t="s">
        <v>323</v>
      </c>
      <c r="C128" s="1163"/>
      <c r="D128" s="1163"/>
      <c r="E128" s="1163"/>
      <c r="F128" s="1163"/>
      <c r="G128" s="1163"/>
      <c r="H128" s="1163"/>
      <c r="I128" s="1163"/>
      <c r="J128" s="1163"/>
      <c r="K128" s="1163"/>
      <c r="L128" s="1163"/>
      <c r="M128" s="1163"/>
      <c r="N128" s="1163"/>
      <c r="O128" s="1163"/>
      <c r="P128" s="1163"/>
      <c r="Q128" s="1163"/>
      <c r="R128" s="1163"/>
      <c r="S128" s="1163"/>
      <c r="T128" s="1163"/>
      <c r="U128" s="1163"/>
      <c r="V128" s="1163"/>
      <c r="W128" s="1163"/>
      <c r="X128" s="1163"/>
      <c r="Y128" s="1163"/>
      <c r="Z128" s="1163"/>
      <c r="AA128" s="1163"/>
      <c r="AB128" s="1163"/>
      <c r="AC128" s="1163"/>
      <c r="AD128" s="1163"/>
      <c r="AE128" s="1163"/>
      <c r="AF128" s="1163"/>
      <c r="AG128" s="1163"/>
      <c r="AH128" s="1164"/>
      <c r="AI128" s="1137"/>
      <c r="AJ128" s="1137"/>
      <c r="AK128" s="1137"/>
      <c r="AL128" s="1137"/>
      <c r="AM128" s="1137"/>
      <c r="AN128" s="1137"/>
      <c r="AO128" s="1137"/>
      <c r="AP128" s="1137"/>
      <c r="AQ128" s="1137"/>
      <c r="AR128" s="1137"/>
      <c r="AS128" s="1137"/>
      <c r="AT128" s="1137"/>
      <c r="AU128" s="1137"/>
      <c r="AV128" s="1137"/>
      <c r="AW128" s="1137"/>
      <c r="AX128" s="1137"/>
      <c r="AY128" s="1137"/>
      <c r="AZ128" s="1137"/>
      <c r="BA128" s="1137"/>
    </row>
    <row r="129" ht="39.75" customHeight="1">
      <c r="A129" s="1182" t="s">
        <v>324</v>
      </c>
      <c r="B129" s="1183" t="s">
        <v>325</v>
      </c>
      <c r="C129" s="1167"/>
      <c r="D129" s="1168"/>
      <c r="E129" s="1169"/>
      <c r="F129" s="1168"/>
      <c r="G129" s="1170">
        <f>MANZ.C!AL131</f>
        <v>0</v>
      </c>
      <c r="H129" s="1168"/>
      <c r="I129" s="1169"/>
      <c r="J129" s="1168"/>
      <c r="K129" s="1169"/>
      <c r="L129" s="1168"/>
      <c r="M129" s="1169"/>
      <c r="N129" s="1168"/>
      <c r="O129" s="1169">
        <f>MANZ.G!AT127</f>
        <v>0</v>
      </c>
      <c r="P129" s="1168"/>
      <c r="Q129" s="1169"/>
      <c r="R129" s="1168"/>
      <c r="S129" s="1169"/>
      <c r="T129" s="1168"/>
      <c r="U129" s="1169"/>
      <c r="V129" s="1168"/>
      <c r="W129" s="1169"/>
      <c r="X129" s="1168"/>
      <c r="Y129" s="1169"/>
      <c r="Z129" s="1168"/>
      <c r="AA129" s="1169"/>
      <c r="AB129" s="1171"/>
      <c r="AC129" s="1171"/>
      <c r="AD129" s="1171"/>
      <c r="AE129" s="1171"/>
      <c r="AF129" s="1168"/>
      <c r="AG129" s="1172">
        <f t="shared" ref="AG129:AG140" si="13">SUM(C129:AA129)</f>
        <v>0</v>
      </c>
      <c r="AH129" s="1173"/>
      <c r="AI129" s="1137"/>
      <c r="AJ129" s="1137"/>
      <c r="AK129" s="1137"/>
      <c r="AL129" s="1137"/>
      <c r="AM129" s="1137"/>
      <c r="AN129" s="1137"/>
      <c r="AO129" s="1137"/>
      <c r="AP129" s="1137"/>
      <c r="AQ129" s="1137"/>
      <c r="AR129" s="1137"/>
      <c r="AS129" s="1137"/>
      <c r="AT129" s="1137"/>
      <c r="AU129" s="1137"/>
      <c r="AV129" s="1137"/>
      <c r="AW129" s="1137"/>
      <c r="AX129" s="1137"/>
      <c r="AY129" s="1137"/>
      <c r="AZ129" s="1137"/>
      <c r="BA129" s="1137"/>
    </row>
    <row r="130" ht="39.75" customHeight="1">
      <c r="A130" s="1180" t="s">
        <v>326</v>
      </c>
      <c r="B130" s="1181" t="s">
        <v>327</v>
      </c>
      <c r="C130" s="1167"/>
      <c r="D130" s="1168"/>
      <c r="E130" s="1169"/>
      <c r="F130" s="1168"/>
      <c r="G130" s="1170">
        <f>MANZ.C!AL132</f>
        <v>0</v>
      </c>
      <c r="H130" s="1168"/>
      <c r="I130" s="1169"/>
      <c r="J130" s="1168"/>
      <c r="K130" s="1169"/>
      <c r="L130" s="1168"/>
      <c r="M130" s="1169"/>
      <c r="N130" s="1168"/>
      <c r="O130" s="1169" t="str">
        <f>MANZ.G!AT128</f>
        <v/>
      </c>
      <c r="P130" s="1168"/>
      <c r="Q130" s="1169"/>
      <c r="R130" s="1168"/>
      <c r="S130" s="1169"/>
      <c r="T130" s="1168"/>
      <c r="U130" s="1169"/>
      <c r="V130" s="1168"/>
      <c r="W130" s="1169"/>
      <c r="X130" s="1168"/>
      <c r="Y130" s="1169"/>
      <c r="Z130" s="1168"/>
      <c r="AA130" s="1169"/>
      <c r="AB130" s="1171"/>
      <c r="AC130" s="1171"/>
      <c r="AD130" s="1171"/>
      <c r="AE130" s="1171"/>
      <c r="AF130" s="1168"/>
      <c r="AG130" s="1172">
        <f t="shared" si="13"/>
        <v>0</v>
      </c>
      <c r="AH130" s="1173"/>
      <c r="AI130" s="1137"/>
      <c r="AJ130" s="1137"/>
      <c r="AK130" s="1137"/>
      <c r="AL130" s="1137"/>
      <c r="AM130" s="1137"/>
      <c r="AN130" s="1137"/>
      <c r="AO130" s="1137"/>
      <c r="AP130" s="1137"/>
      <c r="AQ130" s="1137"/>
      <c r="AR130" s="1137"/>
      <c r="AS130" s="1137"/>
      <c r="AT130" s="1137"/>
      <c r="AU130" s="1137"/>
      <c r="AV130" s="1137"/>
      <c r="AW130" s="1137"/>
      <c r="AX130" s="1137"/>
      <c r="AY130" s="1137"/>
      <c r="AZ130" s="1137"/>
      <c r="BA130" s="1137"/>
    </row>
    <row r="131" ht="39.75" customHeight="1">
      <c r="A131" s="1182" t="s">
        <v>328</v>
      </c>
      <c r="B131" s="1183" t="s">
        <v>329</v>
      </c>
      <c r="C131" s="1167"/>
      <c r="D131" s="1168"/>
      <c r="E131" s="1169"/>
      <c r="F131" s="1168"/>
      <c r="G131" s="1169"/>
      <c r="H131" s="1168"/>
      <c r="I131" s="1169"/>
      <c r="J131" s="1168"/>
      <c r="K131" s="1169"/>
      <c r="L131" s="1168"/>
      <c r="M131" s="1169"/>
      <c r="N131" s="1168"/>
      <c r="O131" s="1169"/>
      <c r="P131" s="1168"/>
      <c r="Q131" s="1169"/>
      <c r="R131" s="1168"/>
      <c r="S131" s="1169"/>
      <c r="T131" s="1168"/>
      <c r="U131" s="1169"/>
      <c r="V131" s="1168"/>
      <c r="W131" s="1169"/>
      <c r="X131" s="1168"/>
      <c r="Y131" s="1169"/>
      <c r="Z131" s="1168"/>
      <c r="AA131" s="1169"/>
      <c r="AB131" s="1171"/>
      <c r="AC131" s="1171"/>
      <c r="AD131" s="1171"/>
      <c r="AE131" s="1171"/>
      <c r="AF131" s="1168"/>
      <c r="AG131" s="1172">
        <f t="shared" si="13"/>
        <v>0</v>
      </c>
      <c r="AH131" s="1173"/>
      <c r="AI131" s="1137"/>
      <c r="AJ131" s="1137"/>
      <c r="AK131" s="1137"/>
      <c r="AL131" s="1137"/>
      <c r="AM131" s="1137"/>
      <c r="AN131" s="1137"/>
      <c r="AO131" s="1137"/>
      <c r="AP131" s="1137"/>
      <c r="AQ131" s="1137"/>
      <c r="AR131" s="1137"/>
      <c r="AS131" s="1137"/>
      <c r="AT131" s="1137"/>
      <c r="AU131" s="1137"/>
      <c r="AV131" s="1137"/>
      <c r="AW131" s="1137"/>
      <c r="AX131" s="1137"/>
      <c r="AY131" s="1137"/>
      <c r="AZ131" s="1137"/>
      <c r="BA131" s="1137"/>
    </row>
    <row r="132" ht="39.75" customHeight="1">
      <c r="A132" s="1182" t="s">
        <v>330</v>
      </c>
      <c r="B132" s="1183" t="s">
        <v>331</v>
      </c>
      <c r="C132" s="1167"/>
      <c r="D132" s="1168"/>
      <c r="E132" s="1169"/>
      <c r="F132" s="1168"/>
      <c r="G132" s="1170">
        <f>MANZ.C!AK134</f>
        <v>0</v>
      </c>
      <c r="H132" s="1168"/>
      <c r="I132" s="1169"/>
      <c r="J132" s="1168"/>
      <c r="K132" s="1169"/>
      <c r="L132" s="1168"/>
      <c r="M132" s="1169"/>
      <c r="N132" s="1168"/>
      <c r="O132" s="1169">
        <f>MANZ.G!AS130</f>
        <v>16</v>
      </c>
      <c r="P132" s="1168"/>
      <c r="Q132" s="1169"/>
      <c r="R132" s="1168"/>
      <c r="S132" s="1169">
        <f>MANZ.I!AB133</f>
        <v>0</v>
      </c>
      <c r="T132" s="1168"/>
      <c r="U132" s="1169"/>
      <c r="V132" s="1168"/>
      <c r="W132" s="1169"/>
      <c r="X132" s="1168"/>
      <c r="Y132" s="1169"/>
      <c r="Z132" s="1168"/>
      <c r="AA132" s="1169"/>
      <c r="AB132" s="1171"/>
      <c r="AC132" s="1171"/>
      <c r="AD132" s="1171"/>
      <c r="AE132" s="1171"/>
      <c r="AF132" s="1168"/>
      <c r="AG132" s="1172">
        <f t="shared" si="13"/>
        <v>16</v>
      </c>
      <c r="AH132" s="1173"/>
      <c r="AI132" s="1137"/>
      <c r="AJ132" s="1137"/>
      <c r="AK132" s="1137"/>
      <c r="AL132" s="1137"/>
      <c r="AM132" s="1137"/>
      <c r="AN132" s="1137"/>
      <c r="AO132" s="1137"/>
      <c r="AP132" s="1137"/>
      <c r="AQ132" s="1137"/>
      <c r="AR132" s="1137"/>
      <c r="AS132" s="1137"/>
      <c r="AT132" s="1137"/>
      <c r="AU132" s="1137"/>
      <c r="AV132" s="1137"/>
      <c r="AW132" s="1137"/>
      <c r="AX132" s="1137"/>
      <c r="AY132" s="1137"/>
      <c r="AZ132" s="1137"/>
      <c r="BA132" s="1137"/>
    </row>
    <row r="133" ht="39.75" customHeight="1">
      <c r="A133" s="1182" t="s">
        <v>332</v>
      </c>
      <c r="B133" s="1183" t="s">
        <v>333</v>
      </c>
      <c r="C133" s="1167"/>
      <c r="D133" s="1168"/>
      <c r="E133" s="1169"/>
      <c r="F133" s="1168"/>
      <c r="G133" s="1169"/>
      <c r="H133" s="1168"/>
      <c r="I133" s="1169"/>
      <c r="J133" s="1168"/>
      <c r="K133" s="1169"/>
      <c r="L133" s="1168"/>
      <c r="M133" s="1169"/>
      <c r="N133" s="1168"/>
      <c r="O133" s="1169"/>
      <c r="P133" s="1168"/>
      <c r="Q133" s="1169"/>
      <c r="R133" s="1168"/>
      <c r="S133" s="1169"/>
      <c r="T133" s="1168"/>
      <c r="U133" s="1169"/>
      <c r="V133" s="1168"/>
      <c r="W133" s="1169"/>
      <c r="X133" s="1168"/>
      <c r="Y133" s="1169"/>
      <c r="Z133" s="1168"/>
      <c r="AA133" s="1169"/>
      <c r="AB133" s="1171"/>
      <c r="AC133" s="1171"/>
      <c r="AD133" s="1171"/>
      <c r="AE133" s="1171"/>
      <c r="AF133" s="1168"/>
      <c r="AG133" s="1172">
        <f t="shared" si="13"/>
        <v>0</v>
      </c>
      <c r="AH133" s="1173"/>
      <c r="AI133" s="1137"/>
      <c r="AJ133" s="1137"/>
      <c r="AK133" s="1137"/>
      <c r="AL133" s="1137"/>
      <c r="AM133" s="1137"/>
      <c r="AN133" s="1137"/>
      <c r="AO133" s="1137"/>
      <c r="AP133" s="1137"/>
      <c r="AQ133" s="1137"/>
      <c r="AR133" s="1137"/>
      <c r="AS133" s="1137"/>
      <c r="AT133" s="1137"/>
      <c r="AU133" s="1137"/>
      <c r="AV133" s="1137"/>
      <c r="AW133" s="1137"/>
      <c r="AX133" s="1137"/>
      <c r="AY133" s="1137"/>
      <c r="AZ133" s="1137"/>
      <c r="BA133" s="1137"/>
    </row>
    <row r="134" ht="39.75" customHeight="1">
      <c r="A134" s="1182" t="s">
        <v>334</v>
      </c>
      <c r="B134" s="1183" t="s">
        <v>335</v>
      </c>
      <c r="C134" s="1167"/>
      <c r="D134" s="1168"/>
      <c r="E134" s="1169"/>
      <c r="F134" s="1168"/>
      <c r="G134" s="1169"/>
      <c r="H134" s="1168"/>
      <c r="I134" s="1169"/>
      <c r="J134" s="1168"/>
      <c r="K134" s="1169"/>
      <c r="L134" s="1168"/>
      <c r="M134" s="1169"/>
      <c r="N134" s="1168"/>
      <c r="O134" s="1169"/>
      <c r="P134" s="1168"/>
      <c r="Q134" s="1169"/>
      <c r="R134" s="1168"/>
      <c r="S134" s="1169"/>
      <c r="T134" s="1168"/>
      <c r="U134" s="1169"/>
      <c r="V134" s="1168"/>
      <c r="W134" s="1169"/>
      <c r="X134" s="1168"/>
      <c r="Y134" s="1169"/>
      <c r="Z134" s="1168"/>
      <c r="AA134" s="1169"/>
      <c r="AB134" s="1171"/>
      <c r="AC134" s="1171"/>
      <c r="AD134" s="1171"/>
      <c r="AE134" s="1171"/>
      <c r="AF134" s="1168"/>
      <c r="AG134" s="1172">
        <f t="shared" si="13"/>
        <v>0</v>
      </c>
      <c r="AH134" s="1173"/>
      <c r="AI134" s="1137"/>
      <c r="AJ134" s="1137"/>
      <c r="AK134" s="1137"/>
      <c r="AL134" s="1137"/>
      <c r="AM134" s="1137"/>
      <c r="AN134" s="1137"/>
      <c r="AO134" s="1137"/>
      <c r="AP134" s="1137"/>
      <c r="AQ134" s="1137"/>
      <c r="AR134" s="1137"/>
      <c r="AS134" s="1137"/>
      <c r="AT134" s="1137"/>
      <c r="AU134" s="1137"/>
      <c r="AV134" s="1137"/>
      <c r="AW134" s="1137"/>
      <c r="AX134" s="1137"/>
      <c r="AY134" s="1137"/>
      <c r="AZ134" s="1137"/>
      <c r="BA134" s="1137"/>
    </row>
    <row r="135" ht="39.75" customHeight="1">
      <c r="A135" s="1182" t="s">
        <v>336</v>
      </c>
      <c r="B135" s="1183" t="s">
        <v>337</v>
      </c>
      <c r="C135" s="1167"/>
      <c r="D135" s="1168"/>
      <c r="E135" s="1169"/>
      <c r="F135" s="1168"/>
      <c r="G135" s="1169"/>
      <c r="H135" s="1168"/>
      <c r="I135" s="1169"/>
      <c r="J135" s="1168"/>
      <c r="K135" s="1169"/>
      <c r="L135" s="1168"/>
      <c r="M135" s="1169"/>
      <c r="N135" s="1168"/>
      <c r="O135" s="1169"/>
      <c r="P135" s="1168"/>
      <c r="Q135" s="1169"/>
      <c r="R135" s="1168"/>
      <c r="S135" s="1169"/>
      <c r="T135" s="1168"/>
      <c r="U135" s="1169"/>
      <c r="V135" s="1168"/>
      <c r="W135" s="1169"/>
      <c r="X135" s="1168"/>
      <c r="Y135" s="1169"/>
      <c r="Z135" s="1168"/>
      <c r="AA135" s="1169"/>
      <c r="AB135" s="1171"/>
      <c r="AC135" s="1171"/>
      <c r="AD135" s="1171"/>
      <c r="AE135" s="1171"/>
      <c r="AF135" s="1168"/>
      <c r="AG135" s="1172">
        <f t="shared" si="13"/>
        <v>0</v>
      </c>
      <c r="AH135" s="1173"/>
      <c r="AI135" s="1137"/>
      <c r="AJ135" s="1137"/>
      <c r="AK135" s="1137"/>
      <c r="AL135" s="1137"/>
      <c r="AM135" s="1137"/>
      <c r="AN135" s="1137"/>
      <c r="AO135" s="1137"/>
      <c r="AP135" s="1137"/>
      <c r="AQ135" s="1137"/>
      <c r="AR135" s="1137"/>
      <c r="AS135" s="1137"/>
      <c r="AT135" s="1137"/>
      <c r="AU135" s="1137"/>
      <c r="AV135" s="1137"/>
      <c r="AW135" s="1137"/>
      <c r="AX135" s="1137"/>
      <c r="AY135" s="1137"/>
      <c r="AZ135" s="1137"/>
      <c r="BA135" s="1137"/>
    </row>
    <row r="136" ht="39.75" customHeight="1">
      <c r="A136" s="1182" t="s">
        <v>338</v>
      </c>
      <c r="B136" s="1183" t="s">
        <v>339</v>
      </c>
      <c r="C136" s="1167"/>
      <c r="D136" s="1168"/>
      <c r="E136" s="1169"/>
      <c r="F136" s="1168"/>
      <c r="G136" s="1169"/>
      <c r="H136" s="1168"/>
      <c r="I136" s="1169"/>
      <c r="J136" s="1168"/>
      <c r="K136" s="1169"/>
      <c r="L136" s="1168"/>
      <c r="M136" s="1169"/>
      <c r="N136" s="1168"/>
      <c r="O136" s="1169"/>
      <c r="P136" s="1168"/>
      <c r="Q136" s="1169"/>
      <c r="R136" s="1168"/>
      <c r="S136" s="1169"/>
      <c r="T136" s="1168"/>
      <c r="U136" s="1169"/>
      <c r="V136" s="1168"/>
      <c r="W136" s="1169"/>
      <c r="X136" s="1168"/>
      <c r="Y136" s="1169"/>
      <c r="Z136" s="1168"/>
      <c r="AA136" s="1169"/>
      <c r="AB136" s="1171"/>
      <c r="AC136" s="1171"/>
      <c r="AD136" s="1171"/>
      <c r="AE136" s="1171"/>
      <c r="AF136" s="1168"/>
      <c r="AG136" s="1172">
        <f t="shared" si="13"/>
        <v>0</v>
      </c>
      <c r="AH136" s="1173"/>
      <c r="AI136" s="1137"/>
      <c r="AJ136" s="1137"/>
      <c r="AK136" s="1137"/>
      <c r="AL136" s="1137"/>
      <c r="AM136" s="1137"/>
      <c r="AN136" s="1137"/>
      <c r="AO136" s="1137"/>
      <c r="AP136" s="1137"/>
      <c r="AQ136" s="1137"/>
      <c r="AR136" s="1137"/>
      <c r="AS136" s="1137"/>
      <c r="AT136" s="1137"/>
      <c r="AU136" s="1137"/>
      <c r="AV136" s="1137"/>
      <c r="AW136" s="1137"/>
      <c r="AX136" s="1137"/>
      <c r="AY136" s="1137"/>
      <c r="AZ136" s="1137"/>
      <c r="BA136" s="1137"/>
    </row>
    <row r="137" ht="39.75" customHeight="1">
      <c r="A137" s="1182" t="s">
        <v>340</v>
      </c>
      <c r="B137" s="1183" t="s">
        <v>341</v>
      </c>
      <c r="C137" s="1167"/>
      <c r="D137" s="1168"/>
      <c r="E137" s="1169"/>
      <c r="F137" s="1168"/>
      <c r="G137" s="1169"/>
      <c r="H137" s="1168"/>
      <c r="I137" s="1169"/>
      <c r="J137" s="1168"/>
      <c r="K137" s="1169"/>
      <c r="L137" s="1168"/>
      <c r="M137" s="1169"/>
      <c r="N137" s="1168"/>
      <c r="O137" s="1169"/>
      <c r="P137" s="1168"/>
      <c r="Q137" s="1169"/>
      <c r="R137" s="1168"/>
      <c r="S137" s="1169"/>
      <c r="T137" s="1168"/>
      <c r="U137" s="1169"/>
      <c r="V137" s="1168"/>
      <c r="W137" s="1169"/>
      <c r="X137" s="1168"/>
      <c r="Y137" s="1169"/>
      <c r="Z137" s="1168"/>
      <c r="AA137" s="1169"/>
      <c r="AB137" s="1171"/>
      <c r="AC137" s="1171"/>
      <c r="AD137" s="1171"/>
      <c r="AE137" s="1171"/>
      <c r="AF137" s="1168"/>
      <c r="AG137" s="1172">
        <f t="shared" si="13"/>
        <v>0</v>
      </c>
      <c r="AH137" s="1173"/>
      <c r="AI137" s="1137"/>
      <c r="AJ137" s="1137"/>
      <c r="AK137" s="1137"/>
      <c r="AL137" s="1137"/>
      <c r="AM137" s="1137"/>
      <c r="AN137" s="1137"/>
      <c r="AO137" s="1137"/>
      <c r="AP137" s="1137"/>
      <c r="AQ137" s="1137"/>
      <c r="AR137" s="1137"/>
      <c r="AS137" s="1137"/>
      <c r="AT137" s="1137"/>
      <c r="AU137" s="1137"/>
      <c r="AV137" s="1137"/>
      <c r="AW137" s="1137"/>
      <c r="AX137" s="1137"/>
      <c r="AY137" s="1137"/>
      <c r="AZ137" s="1137"/>
      <c r="BA137" s="1137"/>
    </row>
    <row r="138" ht="39.75" customHeight="1">
      <c r="A138" s="1182" t="s">
        <v>342</v>
      </c>
      <c r="B138" s="1183" t="s">
        <v>343</v>
      </c>
      <c r="C138" s="1167"/>
      <c r="D138" s="1168"/>
      <c r="E138" s="1169"/>
      <c r="F138" s="1168"/>
      <c r="G138" s="1169"/>
      <c r="H138" s="1168"/>
      <c r="I138" s="1169"/>
      <c r="J138" s="1168"/>
      <c r="K138" s="1169"/>
      <c r="L138" s="1168"/>
      <c r="M138" s="1169"/>
      <c r="N138" s="1168"/>
      <c r="O138" s="1169"/>
      <c r="P138" s="1168"/>
      <c r="Q138" s="1169"/>
      <c r="R138" s="1168"/>
      <c r="S138" s="1169"/>
      <c r="T138" s="1168"/>
      <c r="U138" s="1169"/>
      <c r="V138" s="1168"/>
      <c r="W138" s="1169"/>
      <c r="X138" s="1168"/>
      <c r="Y138" s="1169"/>
      <c r="Z138" s="1168"/>
      <c r="AA138" s="1169"/>
      <c r="AB138" s="1171"/>
      <c r="AC138" s="1171"/>
      <c r="AD138" s="1171"/>
      <c r="AE138" s="1171"/>
      <c r="AF138" s="1168"/>
      <c r="AG138" s="1172">
        <f t="shared" si="13"/>
        <v>0</v>
      </c>
      <c r="AH138" s="1173"/>
      <c r="AI138" s="1137"/>
      <c r="AJ138" s="1137"/>
      <c r="AK138" s="1137"/>
      <c r="AL138" s="1137"/>
      <c r="AM138" s="1137"/>
      <c r="AN138" s="1137"/>
      <c r="AO138" s="1137"/>
      <c r="AP138" s="1137"/>
      <c r="AQ138" s="1137"/>
      <c r="AR138" s="1137"/>
      <c r="AS138" s="1137"/>
      <c r="AT138" s="1137"/>
      <c r="AU138" s="1137"/>
      <c r="AV138" s="1137"/>
      <c r="AW138" s="1137"/>
      <c r="AX138" s="1137"/>
      <c r="AY138" s="1137"/>
      <c r="AZ138" s="1137"/>
      <c r="BA138" s="1137"/>
    </row>
    <row r="139" ht="39.75" customHeight="1">
      <c r="A139" s="1182" t="s">
        <v>344</v>
      </c>
      <c r="B139" s="1183" t="s">
        <v>345</v>
      </c>
      <c r="C139" s="1167"/>
      <c r="D139" s="1168"/>
      <c r="E139" s="1169"/>
      <c r="F139" s="1168"/>
      <c r="G139" s="1169"/>
      <c r="H139" s="1168"/>
      <c r="I139" s="1169"/>
      <c r="J139" s="1168"/>
      <c r="K139" s="1169"/>
      <c r="L139" s="1168"/>
      <c r="M139" s="1169"/>
      <c r="N139" s="1168"/>
      <c r="O139" s="1169"/>
      <c r="P139" s="1168"/>
      <c r="Q139" s="1169"/>
      <c r="R139" s="1168"/>
      <c r="S139" s="1169"/>
      <c r="T139" s="1168"/>
      <c r="U139" s="1169"/>
      <c r="V139" s="1168"/>
      <c r="W139" s="1169"/>
      <c r="X139" s="1168"/>
      <c r="Y139" s="1169"/>
      <c r="Z139" s="1168"/>
      <c r="AA139" s="1169"/>
      <c r="AB139" s="1171"/>
      <c r="AC139" s="1171"/>
      <c r="AD139" s="1171"/>
      <c r="AE139" s="1171"/>
      <c r="AF139" s="1168"/>
      <c r="AG139" s="1172">
        <f t="shared" si="13"/>
        <v>0</v>
      </c>
      <c r="AH139" s="1173"/>
      <c r="AJ139" s="1137"/>
      <c r="AK139" s="1137"/>
      <c r="AL139" s="1137"/>
      <c r="AM139" s="1137"/>
      <c r="AN139" s="1137"/>
      <c r="AO139" s="1137"/>
      <c r="AP139" s="1137"/>
      <c r="AQ139" s="1137"/>
      <c r="AR139" s="1137"/>
      <c r="AS139" s="1137"/>
      <c r="AT139" s="1137"/>
      <c r="AU139" s="1137"/>
      <c r="AV139" s="1137"/>
      <c r="AW139" s="1137"/>
      <c r="AX139" s="1137"/>
      <c r="AY139" s="1137"/>
      <c r="AZ139" s="1137"/>
      <c r="BA139" s="1137"/>
    </row>
    <row r="140" ht="39.75" customHeight="1">
      <c r="A140" s="1182" t="s">
        <v>346</v>
      </c>
      <c r="B140" s="1183" t="s">
        <v>347</v>
      </c>
      <c r="C140" s="1167"/>
      <c r="D140" s="1168"/>
      <c r="E140" s="1169"/>
      <c r="F140" s="1168"/>
      <c r="G140" s="1169"/>
      <c r="H140" s="1168"/>
      <c r="I140" s="1169"/>
      <c r="J140" s="1168"/>
      <c r="K140" s="1169"/>
      <c r="L140" s="1168"/>
      <c r="M140" s="1169"/>
      <c r="N140" s="1168"/>
      <c r="O140" s="1169"/>
      <c r="P140" s="1168"/>
      <c r="Q140" s="1169"/>
      <c r="R140" s="1168"/>
      <c r="S140" s="1169"/>
      <c r="T140" s="1168"/>
      <c r="U140" s="1169"/>
      <c r="V140" s="1168"/>
      <c r="W140" s="1169"/>
      <c r="X140" s="1168"/>
      <c r="Y140" s="1169"/>
      <c r="Z140" s="1168"/>
      <c r="AA140" s="1169"/>
      <c r="AB140" s="1171"/>
      <c r="AC140" s="1171"/>
      <c r="AD140" s="1171"/>
      <c r="AE140" s="1171"/>
      <c r="AF140" s="1168"/>
      <c r="AG140" s="1172">
        <f t="shared" si="13"/>
        <v>0</v>
      </c>
      <c r="AH140" s="1173"/>
      <c r="AI140" s="1137"/>
      <c r="AJ140" s="1137"/>
      <c r="AK140" s="1137"/>
      <c r="AL140" s="1137"/>
      <c r="AM140" s="1137"/>
      <c r="AN140" s="1137"/>
      <c r="AO140" s="1137"/>
      <c r="AP140" s="1137"/>
      <c r="AQ140" s="1137"/>
      <c r="AR140" s="1137"/>
      <c r="AS140" s="1137"/>
      <c r="AT140" s="1137"/>
      <c r="AU140" s="1137"/>
      <c r="AV140" s="1137"/>
      <c r="AW140" s="1137"/>
      <c r="AX140" s="1137"/>
      <c r="AY140" s="1137"/>
      <c r="AZ140" s="1137"/>
      <c r="BA140" s="1137"/>
    </row>
    <row r="141" ht="39.75" customHeight="1">
      <c r="A141" s="1184" t="s">
        <v>348</v>
      </c>
      <c r="B141" s="1185" t="s">
        <v>349</v>
      </c>
      <c r="C141" s="1163"/>
      <c r="D141" s="1163"/>
      <c r="E141" s="1163"/>
      <c r="F141" s="1163"/>
      <c r="G141" s="1163"/>
      <c r="H141" s="1163"/>
      <c r="I141" s="1163"/>
      <c r="J141" s="1163"/>
      <c r="K141" s="1163"/>
      <c r="L141" s="1163"/>
      <c r="M141" s="1163"/>
      <c r="N141" s="1163"/>
      <c r="O141" s="1163"/>
      <c r="P141" s="1163"/>
      <c r="Q141" s="1163"/>
      <c r="R141" s="1163"/>
      <c r="S141" s="1163"/>
      <c r="T141" s="1163"/>
      <c r="U141" s="1163"/>
      <c r="V141" s="1163"/>
      <c r="W141" s="1163"/>
      <c r="X141" s="1163"/>
      <c r="Y141" s="1163"/>
      <c r="Z141" s="1163"/>
      <c r="AA141" s="1163"/>
      <c r="AB141" s="1163"/>
      <c r="AC141" s="1163"/>
      <c r="AD141" s="1163"/>
      <c r="AE141" s="1163"/>
      <c r="AF141" s="1163"/>
      <c r="AG141" s="1163"/>
      <c r="AH141" s="1164"/>
      <c r="AI141" s="1137"/>
      <c r="AJ141" s="1137"/>
      <c r="AK141" s="1137"/>
      <c r="AL141" s="1137"/>
      <c r="AM141" s="1137"/>
      <c r="AN141" s="1137"/>
      <c r="AO141" s="1137"/>
      <c r="AP141" s="1137"/>
      <c r="AQ141" s="1137"/>
      <c r="AR141" s="1137"/>
      <c r="AS141" s="1137"/>
      <c r="AT141" s="1137"/>
      <c r="AU141" s="1137"/>
      <c r="AV141" s="1137"/>
      <c r="AW141" s="1137"/>
      <c r="AX141" s="1137"/>
      <c r="AY141" s="1137"/>
      <c r="AZ141" s="1137"/>
      <c r="BA141" s="1137"/>
    </row>
    <row r="142" ht="39.75" customHeight="1">
      <c r="A142" s="1182" t="s">
        <v>350</v>
      </c>
      <c r="B142" s="1183" t="s">
        <v>351</v>
      </c>
      <c r="C142" s="1167"/>
      <c r="D142" s="1168"/>
      <c r="E142" s="1169"/>
      <c r="F142" s="1168"/>
      <c r="G142" s="1169"/>
      <c r="H142" s="1168"/>
      <c r="I142" s="1169"/>
      <c r="J142" s="1168"/>
      <c r="K142" s="1169"/>
      <c r="L142" s="1168"/>
      <c r="M142" s="1169"/>
      <c r="N142" s="1168"/>
      <c r="O142" s="1169"/>
      <c r="P142" s="1168"/>
      <c r="Q142" s="1169"/>
      <c r="R142" s="1168"/>
      <c r="S142" s="1169"/>
      <c r="T142" s="1168"/>
      <c r="U142" s="1169"/>
      <c r="V142" s="1168"/>
      <c r="W142" s="1169"/>
      <c r="X142" s="1168"/>
      <c r="Y142" s="1169"/>
      <c r="Z142" s="1168"/>
      <c r="AA142" s="1169"/>
      <c r="AB142" s="1171"/>
      <c r="AC142" s="1171"/>
      <c r="AD142" s="1171"/>
      <c r="AE142" s="1171"/>
      <c r="AF142" s="1168"/>
      <c r="AG142" s="1172">
        <f t="shared" ref="AG142:AG144" si="14">SUM(C142:AA142)</f>
        <v>0</v>
      </c>
      <c r="AH142" s="1173"/>
      <c r="AI142" s="1137"/>
      <c r="AJ142" s="1137"/>
      <c r="AK142" s="1137"/>
      <c r="AL142" s="1137"/>
      <c r="AM142" s="1137"/>
      <c r="AN142" s="1137"/>
      <c r="AO142" s="1137"/>
      <c r="AP142" s="1137"/>
      <c r="AQ142" s="1137"/>
      <c r="AR142" s="1137"/>
      <c r="AS142" s="1137"/>
      <c r="AT142" s="1137"/>
      <c r="AU142" s="1137"/>
      <c r="AV142" s="1137"/>
      <c r="AW142" s="1137"/>
      <c r="AX142" s="1137"/>
      <c r="AY142" s="1137"/>
      <c r="AZ142" s="1137"/>
      <c r="BA142" s="1137"/>
    </row>
    <row r="143" ht="39.75" customHeight="1">
      <c r="A143" s="1182" t="s">
        <v>352</v>
      </c>
      <c r="B143" s="1183" t="s">
        <v>353</v>
      </c>
      <c r="C143" s="1167"/>
      <c r="D143" s="1168"/>
      <c r="E143" s="1169"/>
      <c r="F143" s="1168"/>
      <c r="G143" s="1170">
        <f>MANZ.C!AL145</f>
        <v>17</v>
      </c>
      <c r="H143" s="1168"/>
      <c r="I143" s="1169">
        <f>MANZ.D!Z145</f>
        <v>11</v>
      </c>
      <c r="J143" s="1168"/>
      <c r="K143" s="1169">
        <f>MANZ.E!AK146</f>
        <v>17</v>
      </c>
      <c r="L143" s="1168"/>
      <c r="M143" s="1169">
        <f>MANZ.F!AA145</f>
        <v>12</v>
      </c>
      <c r="N143" s="1168"/>
      <c r="O143" s="1169">
        <f>MANZ.G!AS141</f>
        <v>0</v>
      </c>
      <c r="P143" s="1168"/>
      <c r="Q143" s="1170">
        <f>MANZ.H!V146</f>
        <v>9</v>
      </c>
      <c r="R143" s="1168"/>
      <c r="S143" s="1169" t="str">
        <f>MANZ.I!AA144</f>
        <v/>
      </c>
      <c r="T143" s="1168"/>
      <c r="U143" s="1169">
        <f>MANZ.J!AT149</f>
        <v>21</v>
      </c>
      <c r="V143" s="1168"/>
      <c r="W143" s="1169">
        <f>MANZ.K!AB147</f>
        <v>12</v>
      </c>
      <c r="X143" s="1168"/>
      <c r="Y143" s="1169">
        <f>MANZ.L!Z146</f>
        <v>11</v>
      </c>
      <c r="Z143" s="1168"/>
      <c r="AA143" s="1169"/>
      <c r="AB143" s="1171"/>
      <c r="AC143" s="1171"/>
      <c r="AD143" s="1171"/>
      <c r="AE143" s="1171"/>
      <c r="AF143" s="1168"/>
      <c r="AG143" s="1172">
        <f t="shared" si="14"/>
        <v>110</v>
      </c>
      <c r="AH143" s="1173"/>
      <c r="AI143" s="1137"/>
      <c r="AJ143" s="1137"/>
      <c r="AK143" s="1137"/>
      <c r="AL143" s="1137"/>
      <c r="AM143" s="1137"/>
      <c r="AN143" s="1137"/>
      <c r="AO143" s="1137"/>
      <c r="AP143" s="1137"/>
      <c r="AQ143" s="1137"/>
      <c r="AR143" s="1137"/>
      <c r="AS143" s="1137"/>
      <c r="AT143" s="1137"/>
      <c r="AU143" s="1137"/>
      <c r="AV143" s="1137"/>
      <c r="AW143" s="1137"/>
      <c r="AX143" s="1137"/>
      <c r="AY143" s="1137"/>
      <c r="AZ143" s="1137"/>
      <c r="BA143" s="1137"/>
    </row>
    <row r="144" ht="39.75" customHeight="1">
      <c r="A144" s="1182" t="s">
        <v>354</v>
      </c>
      <c r="B144" s="1183" t="s">
        <v>355</v>
      </c>
      <c r="C144" s="1167"/>
      <c r="D144" s="1168"/>
      <c r="E144" s="1169"/>
      <c r="F144" s="1168"/>
      <c r="G144" s="1170">
        <f>MANZ.C!AL146</f>
        <v>17</v>
      </c>
      <c r="H144" s="1168"/>
      <c r="I144" s="1169">
        <f>MANZ.D!Z146</f>
        <v>11</v>
      </c>
      <c r="J144" s="1168"/>
      <c r="K144" s="1169">
        <f>MANZ.E!AK147</f>
        <v>0</v>
      </c>
      <c r="L144" s="1168"/>
      <c r="M144" s="1169">
        <f>MANZ.F!AA146</f>
        <v>12</v>
      </c>
      <c r="N144" s="1168"/>
      <c r="O144" s="1169" t="str">
        <f>MANZ.G!AS142</f>
        <v/>
      </c>
      <c r="P144" s="1168"/>
      <c r="Q144" s="1170">
        <f>MANZ.H!V147</f>
        <v>9</v>
      </c>
      <c r="R144" s="1168"/>
      <c r="S144" s="1169">
        <f>MANZ.I!AA145</f>
        <v>12</v>
      </c>
      <c r="T144" s="1168"/>
      <c r="U144" s="1169">
        <f>MANZ.J!AT150</f>
        <v>0</v>
      </c>
      <c r="V144" s="1168"/>
      <c r="W144" s="1169">
        <f>MANZ.K!AB147</f>
        <v>12</v>
      </c>
      <c r="X144" s="1168"/>
      <c r="Y144" s="1169">
        <f>MANZ.L!Z147</f>
        <v>0</v>
      </c>
      <c r="Z144" s="1168"/>
      <c r="AA144" s="1169"/>
      <c r="AB144" s="1171"/>
      <c r="AC144" s="1171"/>
      <c r="AD144" s="1171"/>
      <c r="AE144" s="1171"/>
      <c r="AF144" s="1168"/>
      <c r="AG144" s="1172">
        <f t="shared" si="14"/>
        <v>73</v>
      </c>
      <c r="AH144" s="1173"/>
      <c r="AI144" s="1137"/>
      <c r="AJ144" s="1137"/>
      <c r="AK144" s="1137"/>
      <c r="AL144" s="1137"/>
      <c r="AM144" s="1137"/>
      <c r="AN144" s="1137"/>
      <c r="AO144" s="1137"/>
      <c r="AP144" s="1137"/>
      <c r="AQ144" s="1137"/>
      <c r="AR144" s="1137"/>
      <c r="AS144" s="1137"/>
      <c r="AT144" s="1137"/>
      <c r="AU144" s="1137"/>
      <c r="AV144" s="1137"/>
      <c r="AW144" s="1137"/>
      <c r="AX144" s="1137"/>
      <c r="AY144" s="1137"/>
      <c r="AZ144" s="1137"/>
      <c r="BA144" s="1137"/>
    </row>
    <row r="145" ht="39.75" customHeight="1">
      <c r="A145" s="1184" t="s">
        <v>356</v>
      </c>
      <c r="B145" s="1185" t="s">
        <v>357</v>
      </c>
      <c r="C145" s="1163"/>
      <c r="D145" s="1163"/>
      <c r="E145" s="1163"/>
      <c r="F145" s="1163"/>
      <c r="G145" s="1163"/>
      <c r="H145" s="1163"/>
      <c r="I145" s="1163"/>
      <c r="J145" s="1163"/>
      <c r="K145" s="1163"/>
      <c r="L145" s="1163"/>
      <c r="M145" s="1163"/>
      <c r="N145" s="1163"/>
      <c r="O145" s="1163"/>
      <c r="P145" s="1163"/>
      <c r="Q145" s="1163"/>
      <c r="R145" s="1163"/>
      <c r="S145" s="1163"/>
      <c r="T145" s="1163"/>
      <c r="U145" s="1163"/>
      <c r="V145" s="1163"/>
      <c r="W145" s="1163"/>
      <c r="X145" s="1163"/>
      <c r="Y145" s="1163"/>
      <c r="Z145" s="1163"/>
      <c r="AA145" s="1163"/>
      <c r="AB145" s="1163"/>
      <c r="AC145" s="1163"/>
      <c r="AD145" s="1163"/>
      <c r="AE145" s="1163"/>
      <c r="AF145" s="1163"/>
      <c r="AG145" s="1163"/>
      <c r="AH145" s="1164"/>
      <c r="AI145" s="1137"/>
      <c r="AJ145" s="1137"/>
      <c r="AK145" s="1137"/>
      <c r="AL145" s="1137"/>
      <c r="AM145" s="1137"/>
      <c r="AN145" s="1137"/>
      <c r="AO145" s="1137"/>
      <c r="AP145" s="1137"/>
      <c r="AQ145" s="1137"/>
      <c r="AR145" s="1137"/>
      <c r="AS145" s="1137"/>
      <c r="AT145" s="1137"/>
      <c r="AU145" s="1137"/>
      <c r="AV145" s="1137"/>
      <c r="AW145" s="1137"/>
      <c r="AX145" s="1137"/>
      <c r="AY145" s="1137"/>
      <c r="AZ145" s="1137"/>
      <c r="BA145" s="1137"/>
    </row>
    <row r="146" ht="39.75" customHeight="1">
      <c r="A146" s="1182" t="s">
        <v>358</v>
      </c>
      <c r="B146" s="1183" t="s">
        <v>359</v>
      </c>
      <c r="C146" s="1167"/>
      <c r="D146" s="1168"/>
      <c r="E146" s="1169"/>
      <c r="F146" s="1168"/>
      <c r="G146" s="1170">
        <f>MANZ.C!AK148</f>
        <v>0</v>
      </c>
      <c r="H146" s="1168"/>
      <c r="I146" s="1169">
        <f>MANZ.D!Y148</f>
        <v>0</v>
      </c>
      <c r="J146" s="1168"/>
      <c r="K146" s="1169">
        <f>MANZ.E!AK149</f>
        <v>0</v>
      </c>
      <c r="L146" s="1168"/>
      <c r="M146" s="1170">
        <f>MANZ.F!AA148</f>
        <v>0</v>
      </c>
      <c r="N146" s="1168"/>
      <c r="O146" s="1169">
        <f>MANZ.G!AT144</f>
        <v>18</v>
      </c>
      <c r="P146" s="1168"/>
      <c r="Q146" s="1170">
        <f>MANZ.H!V149</f>
        <v>0</v>
      </c>
      <c r="R146" s="1168"/>
      <c r="S146" s="1170">
        <f>MANZ.I!AB147</f>
        <v>4</v>
      </c>
      <c r="T146" s="1168"/>
      <c r="U146" s="1170">
        <f>MANZ.J!AT152</f>
        <v>0</v>
      </c>
      <c r="V146" s="1168"/>
      <c r="W146" s="1169">
        <f>MANZ.K!AA149</f>
        <v>0</v>
      </c>
      <c r="X146" s="1168"/>
      <c r="Y146" s="1169">
        <f>MANZ.L!Z149</f>
        <v>0</v>
      </c>
      <c r="Z146" s="1168"/>
      <c r="AA146" s="1169"/>
      <c r="AB146" s="1171"/>
      <c r="AC146" s="1171"/>
      <c r="AD146" s="1171"/>
      <c r="AE146" s="1171"/>
      <c r="AF146" s="1168"/>
      <c r="AG146" s="1172">
        <f t="shared" ref="AG146:AG148" si="15">SUM(C146:AA146)</f>
        <v>22</v>
      </c>
      <c r="AH146" s="1173"/>
      <c r="AI146" s="1137"/>
      <c r="AJ146" s="1137"/>
      <c r="AK146" s="1137"/>
      <c r="AL146" s="1137"/>
      <c r="AM146" s="1137"/>
      <c r="AN146" s="1137"/>
      <c r="AO146" s="1137"/>
      <c r="AP146" s="1137"/>
      <c r="AQ146" s="1137"/>
      <c r="AR146" s="1137"/>
      <c r="AS146" s="1137"/>
      <c r="AT146" s="1137"/>
      <c r="AU146" s="1137"/>
      <c r="AV146" s="1137"/>
      <c r="AW146" s="1137"/>
      <c r="AX146" s="1137"/>
      <c r="AY146" s="1137"/>
      <c r="AZ146" s="1137"/>
      <c r="BA146" s="1137"/>
    </row>
    <row r="147" ht="39.75" customHeight="1">
      <c r="A147" s="1182" t="s">
        <v>360</v>
      </c>
      <c r="B147" s="1183" t="s">
        <v>361</v>
      </c>
      <c r="C147" s="1167"/>
      <c r="D147" s="1168"/>
      <c r="E147" s="1169">
        <f>'MANZ. B'!R152</f>
        <v>0</v>
      </c>
      <c r="F147" s="1168"/>
      <c r="G147" s="1170">
        <f>MANZ.C!AK149</f>
        <v>0</v>
      </c>
      <c r="H147" s="1168"/>
      <c r="I147" s="1170">
        <f>MANZ.D!Y149</f>
        <v>0</v>
      </c>
      <c r="J147" s="1168"/>
      <c r="K147" s="1170">
        <f>MANZ.E!AK150</f>
        <v>0</v>
      </c>
      <c r="L147" s="1168"/>
      <c r="M147" s="1170">
        <f>MANZ.F!AA149</f>
        <v>0</v>
      </c>
      <c r="N147" s="1168"/>
      <c r="O147" s="1169">
        <f>MANZ.G!AS145</f>
        <v>18</v>
      </c>
      <c r="P147" s="1168"/>
      <c r="Q147" s="1170">
        <f>MANZ.H!U150</f>
        <v>0</v>
      </c>
      <c r="R147" s="1168"/>
      <c r="S147" s="1170" t="str">
        <f>MANZ.I!AA148</f>
        <v/>
      </c>
      <c r="T147" s="1168"/>
      <c r="U147" s="1170">
        <f>MANZ.J!AT153</f>
        <v>0</v>
      </c>
      <c r="V147" s="1168"/>
      <c r="W147" s="1170">
        <f>MANZ.K!AA150</f>
        <v>0</v>
      </c>
      <c r="X147" s="1168"/>
      <c r="Y147" s="1170">
        <f>MANZ.L!Y150</f>
        <v>0</v>
      </c>
      <c r="Z147" s="1168"/>
      <c r="AA147" s="1169"/>
      <c r="AB147" s="1171"/>
      <c r="AC147" s="1171"/>
      <c r="AD147" s="1171"/>
      <c r="AE147" s="1171"/>
      <c r="AF147" s="1168"/>
      <c r="AG147" s="1172">
        <f t="shared" si="15"/>
        <v>18</v>
      </c>
      <c r="AH147" s="1173"/>
      <c r="AI147" s="1137"/>
      <c r="AJ147" s="1137"/>
      <c r="AK147" s="1137"/>
      <c r="AL147" s="1137"/>
      <c r="AM147" s="1137"/>
      <c r="AN147" s="1137"/>
      <c r="AO147" s="1137"/>
      <c r="AP147" s="1137"/>
      <c r="AQ147" s="1137"/>
      <c r="AR147" s="1137"/>
      <c r="AS147" s="1137"/>
      <c r="AT147" s="1137"/>
      <c r="AU147" s="1137"/>
      <c r="AV147" s="1137"/>
      <c r="AW147" s="1137"/>
      <c r="AX147" s="1137"/>
      <c r="AY147" s="1137"/>
      <c r="AZ147" s="1137"/>
      <c r="BA147" s="1137"/>
    </row>
    <row r="148" ht="39.75" customHeight="1">
      <c r="A148" s="1182" t="s">
        <v>362</v>
      </c>
      <c r="B148" s="1183" t="s">
        <v>363</v>
      </c>
      <c r="C148" s="1167"/>
      <c r="D148" s="1168"/>
      <c r="E148" s="1169">
        <f>'MANZ. B'!Q153</f>
        <v>0</v>
      </c>
      <c r="F148" s="1168"/>
      <c r="G148" s="1170">
        <f>MANZ.C!AK150</f>
        <v>0</v>
      </c>
      <c r="H148" s="1168"/>
      <c r="I148" s="1170">
        <f>MANZ.D!Y150</f>
        <v>0</v>
      </c>
      <c r="J148" s="1168"/>
      <c r="K148" s="1169">
        <f>MANZ.E!AK151</f>
        <v>0</v>
      </c>
      <c r="L148" s="1168"/>
      <c r="M148" s="1169">
        <f>MANZ.F!AA150</f>
        <v>0</v>
      </c>
      <c r="N148" s="1168"/>
      <c r="O148" s="1169" t="str">
        <f>MANZ.G!AS146</f>
        <v/>
      </c>
      <c r="P148" s="1168"/>
      <c r="Q148" s="1169">
        <f>MANZ.H!U151</f>
        <v>0</v>
      </c>
      <c r="R148" s="1168"/>
      <c r="S148" s="1169">
        <f>MANZ.I!AA149</f>
        <v>0</v>
      </c>
      <c r="T148" s="1168"/>
      <c r="U148" s="1169"/>
      <c r="V148" s="1168"/>
      <c r="W148" s="1169">
        <f>MANZ.K!AA151</f>
        <v>0</v>
      </c>
      <c r="X148" s="1168"/>
      <c r="Y148" s="1169">
        <f>MANZ.L!Y151</f>
        <v>0</v>
      </c>
      <c r="Z148" s="1168"/>
      <c r="AA148" s="1169"/>
      <c r="AB148" s="1171"/>
      <c r="AC148" s="1171"/>
      <c r="AD148" s="1171"/>
      <c r="AE148" s="1171"/>
      <c r="AF148" s="1168"/>
      <c r="AG148" s="1172">
        <f t="shared" si="15"/>
        <v>0</v>
      </c>
      <c r="AH148" s="1173"/>
      <c r="AI148" s="1137"/>
      <c r="AJ148" s="1137"/>
      <c r="AK148" s="1137"/>
      <c r="AL148" s="1137"/>
      <c r="AM148" s="1137"/>
      <c r="AN148" s="1137"/>
      <c r="AO148" s="1137"/>
      <c r="AP148" s="1137"/>
      <c r="AQ148" s="1137"/>
      <c r="AR148" s="1137"/>
      <c r="AS148" s="1137"/>
      <c r="AT148" s="1137"/>
      <c r="AU148" s="1137"/>
      <c r="AV148" s="1137"/>
      <c r="AW148" s="1137"/>
      <c r="AX148" s="1137"/>
      <c r="AY148" s="1137"/>
      <c r="AZ148" s="1137"/>
      <c r="BA148" s="1137"/>
    </row>
    <row r="149" ht="39.75" customHeight="1">
      <c r="A149" s="1184" t="s">
        <v>364</v>
      </c>
      <c r="B149" s="1185" t="s">
        <v>365</v>
      </c>
      <c r="C149" s="1163"/>
      <c r="D149" s="1163"/>
      <c r="E149" s="1163"/>
      <c r="F149" s="1163"/>
      <c r="G149" s="1163"/>
      <c r="H149" s="1163"/>
      <c r="I149" s="1163"/>
      <c r="J149" s="1163"/>
      <c r="K149" s="1163"/>
      <c r="L149" s="1163"/>
      <c r="M149" s="1163"/>
      <c r="N149" s="1163"/>
      <c r="O149" s="1163"/>
      <c r="P149" s="1163"/>
      <c r="Q149" s="1163"/>
      <c r="R149" s="1163"/>
      <c r="S149" s="1163"/>
      <c r="T149" s="1163"/>
      <c r="U149" s="1163"/>
      <c r="V149" s="1163"/>
      <c r="W149" s="1163"/>
      <c r="X149" s="1163"/>
      <c r="Y149" s="1163"/>
      <c r="Z149" s="1163"/>
      <c r="AA149" s="1163"/>
      <c r="AB149" s="1163"/>
      <c r="AC149" s="1163"/>
      <c r="AD149" s="1163"/>
      <c r="AE149" s="1163"/>
      <c r="AF149" s="1163"/>
      <c r="AG149" s="1163"/>
      <c r="AH149" s="1164"/>
      <c r="AI149" s="1137"/>
      <c r="AJ149" s="1137"/>
      <c r="AK149" s="1137"/>
      <c r="AL149" s="1137"/>
      <c r="AM149" s="1137"/>
      <c r="AN149" s="1137"/>
      <c r="AO149" s="1137"/>
      <c r="AP149" s="1137"/>
      <c r="AQ149" s="1137"/>
      <c r="AR149" s="1137"/>
      <c r="AS149" s="1137"/>
      <c r="AT149" s="1137"/>
      <c r="AU149" s="1137"/>
      <c r="AV149" s="1137"/>
      <c r="AW149" s="1137"/>
      <c r="AX149" s="1137"/>
      <c r="AY149" s="1137"/>
      <c r="AZ149" s="1137"/>
      <c r="BA149" s="1137"/>
    </row>
    <row r="150" ht="39.75" customHeight="1">
      <c r="A150" s="1165" t="s">
        <v>366</v>
      </c>
      <c r="B150" s="1166" t="s">
        <v>367</v>
      </c>
      <c r="C150" s="1167"/>
      <c r="D150" s="1168"/>
      <c r="E150" s="1169"/>
      <c r="F150" s="1168"/>
      <c r="G150" s="1169"/>
      <c r="H150" s="1168"/>
      <c r="I150" s="1169"/>
      <c r="J150" s="1168"/>
      <c r="K150" s="1169"/>
      <c r="L150" s="1168"/>
      <c r="M150" s="1169"/>
      <c r="N150" s="1168"/>
      <c r="O150" s="1169"/>
      <c r="P150" s="1168"/>
      <c r="Q150" s="1169"/>
      <c r="R150" s="1168"/>
      <c r="S150" s="1169"/>
      <c r="T150" s="1168"/>
      <c r="U150" s="1169"/>
      <c r="V150" s="1168"/>
      <c r="W150" s="1169"/>
      <c r="X150" s="1168"/>
      <c r="Y150" s="1169"/>
      <c r="Z150" s="1168"/>
      <c r="AA150" s="1169"/>
      <c r="AB150" s="1171"/>
      <c r="AC150" s="1171"/>
      <c r="AD150" s="1171"/>
      <c r="AE150" s="1171"/>
      <c r="AF150" s="1168"/>
      <c r="AG150" s="1172">
        <f t="shared" ref="AG150:AG152" si="16">SUM(C150:AA150)</f>
        <v>0</v>
      </c>
      <c r="AH150" s="1173"/>
      <c r="AI150" s="1137"/>
      <c r="AJ150" s="1137"/>
      <c r="AK150" s="1137"/>
      <c r="AL150" s="1137"/>
      <c r="AM150" s="1137"/>
      <c r="AN150" s="1137"/>
      <c r="AO150" s="1137"/>
      <c r="AP150" s="1137"/>
      <c r="AQ150" s="1137"/>
      <c r="AR150" s="1137"/>
      <c r="AS150" s="1137"/>
      <c r="AT150" s="1137"/>
      <c r="AU150" s="1137"/>
      <c r="AV150" s="1137"/>
      <c r="AW150" s="1137"/>
      <c r="AX150" s="1137"/>
      <c r="AY150" s="1137"/>
      <c r="AZ150" s="1137"/>
      <c r="BA150" s="1137"/>
    </row>
    <row r="151" ht="39.75" customHeight="1">
      <c r="A151" s="1165" t="s">
        <v>368</v>
      </c>
      <c r="B151" s="1166" t="s">
        <v>369</v>
      </c>
      <c r="C151" s="1167"/>
      <c r="D151" s="1168"/>
      <c r="E151" s="1169"/>
      <c r="F151" s="1168"/>
      <c r="G151" s="1169"/>
      <c r="H151" s="1168"/>
      <c r="I151" s="1169"/>
      <c r="J151" s="1168"/>
      <c r="K151" s="1169"/>
      <c r="L151" s="1168"/>
      <c r="M151" s="1169"/>
      <c r="N151" s="1168"/>
      <c r="O151" s="1169"/>
      <c r="P151" s="1168"/>
      <c r="Q151" s="1169"/>
      <c r="R151" s="1168"/>
      <c r="S151" s="1169"/>
      <c r="T151" s="1168"/>
      <c r="U151" s="1169"/>
      <c r="V151" s="1168"/>
      <c r="W151" s="1169"/>
      <c r="X151" s="1168"/>
      <c r="Y151" s="1169"/>
      <c r="Z151" s="1168"/>
      <c r="AA151" s="1169"/>
      <c r="AB151" s="1171"/>
      <c r="AC151" s="1171"/>
      <c r="AD151" s="1171"/>
      <c r="AE151" s="1171"/>
      <c r="AF151" s="1168"/>
      <c r="AG151" s="1172">
        <f t="shared" si="16"/>
        <v>0</v>
      </c>
      <c r="AH151" s="1173"/>
      <c r="AI151" s="1137"/>
      <c r="AJ151" s="1137"/>
      <c r="AK151" s="1137"/>
      <c r="AL151" s="1137"/>
      <c r="AM151" s="1137"/>
      <c r="AN151" s="1137"/>
      <c r="AO151" s="1137"/>
      <c r="AP151" s="1137"/>
      <c r="AQ151" s="1137"/>
      <c r="AR151" s="1137"/>
      <c r="AS151" s="1137"/>
      <c r="AT151" s="1137"/>
      <c r="AU151" s="1137"/>
      <c r="AV151" s="1137"/>
      <c r="AW151" s="1137"/>
      <c r="AX151" s="1137"/>
      <c r="AY151" s="1137"/>
      <c r="AZ151" s="1137"/>
      <c r="BA151" s="1137"/>
    </row>
    <row r="152" ht="39.75" customHeight="1">
      <c r="A152" s="1165" t="s">
        <v>370</v>
      </c>
      <c r="B152" s="1166" t="s">
        <v>371</v>
      </c>
      <c r="C152" s="1167"/>
      <c r="D152" s="1168"/>
      <c r="E152" s="1169"/>
      <c r="F152" s="1168"/>
      <c r="G152" s="1169"/>
      <c r="H152" s="1168"/>
      <c r="I152" s="1169"/>
      <c r="J152" s="1168"/>
      <c r="K152" s="1169"/>
      <c r="L152" s="1168"/>
      <c r="M152" s="1169"/>
      <c r="N152" s="1168"/>
      <c r="O152" s="1169"/>
      <c r="P152" s="1168"/>
      <c r="Q152" s="1169"/>
      <c r="R152" s="1168"/>
      <c r="S152" s="1169"/>
      <c r="T152" s="1168"/>
      <c r="U152" s="1169"/>
      <c r="V152" s="1168"/>
      <c r="W152" s="1169"/>
      <c r="X152" s="1168"/>
      <c r="Y152" s="1169"/>
      <c r="Z152" s="1168"/>
      <c r="AA152" s="1169"/>
      <c r="AB152" s="1171"/>
      <c r="AC152" s="1171"/>
      <c r="AD152" s="1171"/>
      <c r="AE152" s="1171"/>
      <c r="AF152" s="1168"/>
      <c r="AG152" s="1172">
        <f t="shared" si="16"/>
        <v>0</v>
      </c>
      <c r="AH152" s="1173"/>
      <c r="AI152" s="1137"/>
      <c r="AJ152" s="1137"/>
      <c r="AK152" s="1137"/>
      <c r="AL152" s="1137"/>
      <c r="AM152" s="1137"/>
      <c r="AN152" s="1137"/>
      <c r="AO152" s="1137"/>
      <c r="AP152" s="1137"/>
      <c r="AQ152" s="1137"/>
      <c r="AR152" s="1137"/>
      <c r="AS152" s="1137"/>
      <c r="AT152" s="1137"/>
      <c r="AU152" s="1137"/>
      <c r="AV152" s="1137"/>
      <c r="AW152" s="1137"/>
      <c r="AX152" s="1137"/>
      <c r="AY152" s="1137"/>
      <c r="AZ152" s="1137"/>
      <c r="BA152" s="1137"/>
    </row>
    <row r="153" ht="39.75" customHeight="1">
      <c r="A153" s="1165" t="s">
        <v>372</v>
      </c>
      <c r="B153" s="1194" t="s">
        <v>373</v>
      </c>
      <c r="C153" s="1167"/>
      <c r="D153" s="1168"/>
      <c r="E153" s="1169"/>
      <c r="F153" s="1168"/>
      <c r="G153" s="1170" t="str">
        <f>MANZ.C!AL156</f>
        <v/>
      </c>
      <c r="H153" s="1168"/>
      <c r="I153" s="1169" t="str">
        <f>MANZ.D!Z156</f>
        <v/>
      </c>
      <c r="J153" s="1168"/>
      <c r="K153" s="1169" t="str">
        <f>MANZ.E!AL157</f>
        <v/>
      </c>
      <c r="L153" s="1168"/>
      <c r="M153" s="1169" t="str">
        <f>MANZ.F!AA156</f>
        <v/>
      </c>
      <c r="N153" s="1168"/>
      <c r="O153" s="1169">
        <f>MANZ.G!AS152</f>
        <v>1</v>
      </c>
      <c r="P153" s="1168"/>
      <c r="Q153" s="1170" t="str">
        <f>MANZ.H!V157</f>
        <v/>
      </c>
      <c r="R153" s="1168"/>
      <c r="S153" s="1169">
        <f>MANZ.I!AB155</f>
        <v>0</v>
      </c>
      <c r="T153" s="1168"/>
      <c r="U153" s="1169" t="str">
        <f>MANZ.J!AT160</f>
        <v/>
      </c>
      <c r="V153" s="1168"/>
      <c r="W153" s="1169" t="str">
        <f>MANZ.K!AA157</f>
        <v/>
      </c>
      <c r="X153" s="1168"/>
      <c r="Y153" s="1169" t="str">
        <f>MANZ.L!Y157</f>
        <v/>
      </c>
      <c r="Z153" s="1168"/>
      <c r="AA153" s="1169"/>
      <c r="AB153" s="1171"/>
      <c r="AC153" s="1171"/>
      <c r="AD153" s="1171"/>
      <c r="AE153" s="1171"/>
      <c r="AF153" s="1168"/>
      <c r="AG153" s="1172">
        <f t="shared" ref="AG153:AG157" si="17">SUM(C154:AA154)</f>
        <v>17</v>
      </c>
      <c r="AH153" s="1173"/>
      <c r="AI153" s="1137"/>
      <c r="AJ153" s="1137"/>
      <c r="AK153" s="1137"/>
      <c r="AL153" s="1137"/>
      <c r="AM153" s="1137"/>
      <c r="AN153" s="1137"/>
      <c r="AO153" s="1137"/>
      <c r="AP153" s="1137"/>
      <c r="AQ153" s="1137"/>
      <c r="AR153" s="1137"/>
      <c r="AS153" s="1137"/>
      <c r="AT153" s="1137"/>
      <c r="AU153" s="1137"/>
      <c r="AV153" s="1137"/>
      <c r="AW153" s="1137"/>
      <c r="AX153" s="1137"/>
      <c r="AY153" s="1137"/>
      <c r="AZ153" s="1137"/>
      <c r="BA153" s="1137"/>
    </row>
    <row r="154" ht="39.75" customHeight="1">
      <c r="A154" s="1165" t="s">
        <v>374</v>
      </c>
      <c r="B154" s="1194" t="s">
        <v>375</v>
      </c>
      <c r="C154" s="1167"/>
      <c r="D154" s="1168"/>
      <c r="E154" s="1169"/>
      <c r="F154" s="1168"/>
      <c r="G154" s="1170">
        <f>MANZ.C!AL157</f>
        <v>17</v>
      </c>
      <c r="H154" s="1168"/>
      <c r="I154" s="1169"/>
      <c r="J154" s="1168"/>
      <c r="K154" s="1169"/>
      <c r="L154" s="1168"/>
      <c r="M154" s="1169"/>
      <c r="N154" s="1168"/>
      <c r="O154" s="1169">
        <f>MANZ.G!AS153</f>
        <v>0</v>
      </c>
      <c r="P154" s="1168"/>
      <c r="Q154" s="1169"/>
      <c r="R154" s="1168"/>
      <c r="S154" s="1169"/>
      <c r="T154" s="1168"/>
      <c r="U154" s="1169"/>
      <c r="V154" s="1168"/>
      <c r="W154" s="1169"/>
      <c r="X154" s="1168"/>
      <c r="Y154" s="1169"/>
      <c r="Z154" s="1168"/>
      <c r="AA154" s="1169"/>
      <c r="AB154" s="1171"/>
      <c r="AC154" s="1171"/>
      <c r="AD154" s="1171"/>
      <c r="AE154" s="1171"/>
      <c r="AF154" s="1168"/>
      <c r="AG154" s="1172">
        <f t="shared" si="17"/>
        <v>18</v>
      </c>
      <c r="AH154" s="1173"/>
      <c r="AI154" s="1137"/>
      <c r="AJ154" s="1137"/>
      <c r="AK154" s="1137"/>
      <c r="AL154" s="1137"/>
      <c r="AM154" s="1137"/>
      <c r="AN154" s="1137"/>
      <c r="AO154" s="1137"/>
      <c r="AP154" s="1137"/>
      <c r="AQ154" s="1137"/>
      <c r="AR154" s="1137"/>
      <c r="AS154" s="1137"/>
      <c r="AT154" s="1137"/>
      <c r="AU154" s="1137"/>
      <c r="AV154" s="1137"/>
      <c r="AW154" s="1137"/>
      <c r="AX154" s="1137"/>
      <c r="AY154" s="1137"/>
      <c r="AZ154" s="1137"/>
      <c r="BA154" s="1137"/>
    </row>
    <row r="155" ht="39.75" customHeight="1">
      <c r="A155" s="1165" t="s">
        <v>376</v>
      </c>
      <c r="B155" s="1194" t="s">
        <v>377</v>
      </c>
      <c r="C155" s="1167"/>
      <c r="D155" s="1168"/>
      <c r="E155" s="1169"/>
      <c r="F155" s="1168"/>
      <c r="G155" s="1169">
        <f>MANZ.C!AL158</f>
        <v>0</v>
      </c>
      <c r="H155" s="1168"/>
      <c r="I155" s="1169"/>
      <c r="J155" s="1168"/>
      <c r="K155" s="1169"/>
      <c r="L155" s="1168"/>
      <c r="M155" s="1169"/>
      <c r="N155" s="1168"/>
      <c r="O155" s="1169">
        <f>MANZ.G!AS154</f>
        <v>18</v>
      </c>
      <c r="P155" s="1168"/>
      <c r="Q155" s="1169"/>
      <c r="R155" s="1168"/>
      <c r="S155" s="1169"/>
      <c r="T155" s="1168"/>
      <c r="U155" s="1169"/>
      <c r="V155" s="1168"/>
      <c r="W155" s="1169"/>
      <c r="X155" s="1168"/>
      <c r="Y155" s="1169"/>
      <c r="Z155" s="1168"/>
      <c r="AA155" s="1169"/>
      <c r="AB155" s="1171"/>
      <c r="AC155" s="1171"/>
      <c r="AD155" s="1171"/>
      <c r="AE155" s="1171"/>
      <c r="AF155" s="1168"/>
      <c r="AG155" s="1172">
        <f t="shared" si="17"/>
        <v>17</v>
      </c>
      <c r="AH155" s="1173"/>
      <c r="AI155" s="1137"/>
      <c r="AJ155" s="1137"/>
      <c r="AK155" s="1137"/>
      <c r="AL155" s="1137"/>
      <c r="AM155" s="1137"/>
      <c r="AN155" s="1137"/>
      <c r="AO155" s="1137"/>
      <c r="AP155" s="1137"/>
      <c r="AQ155" s="1137"/>
      <c r="AR155" s="1137"/>
      <c r="AS155" s="1137"/>
      <c r="AT155" s="1137"/>
      <c r="AU155" s="1137"/>
      <c r="AV155" s="1137"/>
      <c r="AW155" s="1137"/>
      <c r="AX155" s="1137"/>
      <c r="AY155" s="1137"/>
      <c r="AZ155" s="1137"/>
      <c r="BA155" s="1137"/>
    </row>
    <row r="156" ht="39.75" customHeight="1">
      <c r="A156" s="1165" t="s">
        <v>374</v>
      </c>
      <c r="B156" s="1166" t="s">
        <v>375</v>
      </c>
      <c r="C156" s="1167"/>
      <c r="D156" s="1168"/>
      <c r="E156" s="1169"/>
      <c r="F156" s="1168"/>
      <c r="G156" s="1169"/>
      <c r="H156" s="1168"/>
      <c r="I156" s="1169"/>
      <c r="J156" s="1168"/>
      <c r="K156" s="1169"/>
      <c r="L156" s="1168"/>
      <c r="M156" s="1169"/>
      <c r="N156" s="1168"/>
      <c r="O156" s="1169">
        <f>MANZ.G!AS155</f>
        <v>17</v>
      </c>
      <c r="P156" s="1168"/>
      <c r="Q156" s="1169"/>
      <c r="R156" s="1168"/>
      <c r="S156" s="1169"/>
      <c r="T156" s="1168"/>
      <c r="U156" s="1169"/>
      <c r="V156" s="1168"/>
      <c r="W156" s="1169"/>
      <c r="X156" s="1168"/>
      <c r="Y156" s="1169"/>
      <c r="Z156" s="1168"/>
      <c r="AA156" s="1169"/>
      <c r="AB156" s="1171"/>
      <c r="AC156" s="1171"/>
      <c r="AD156" s="1171"/>
      <c r="AE156" s="1171"/>
      <c r="AF156" s="1168"/>
      <c r="AG156" s="1172">
        <f t="shared" si="17"/>
        <v>4</v>
      </c>
      <c r="AH156" s="1173"/>
      <c r="AI156" s="1137"/>
      <c r="AJ156" s="1137"/>
      <c r="AK156" s="1137"/>
      <c r="AL156" s="1137"/>
      <c r="AM156" s="1137"/>
      <c r="AN156" s="1137"/>
      <c r="AO156" s="1137"/>
      <c r="AP156" s="1137"/>
      <c r="AQ156" s="1137"/>
      <c r="AR156" s="1137"/>
      <c r="AS156" s="1137"/>
      <c r="AT156" s="1137"/>
      <c r="AU156" s="1137"/>
      <c r="AV156" s="1137"/>
      <c r="AW156" s="1137"/>
      <c r="AX156" s="1137"/>
      <c r="AY156" s="1137"/>
      <c r="AZ156" s="1137"/>
      <c r="BA156" s="1137"/>
    </row>
    <row r="157" ht="39.75" customHeight="1">
      <c r="A157" s="1176" t="s">
        <v>378</v>
      </c>
      <c r="B157" s="1177" t="s">
        <v>379</v>
      </c>
      <c r="C157" s="1167"/>
      <c r="D157" s="1168"/>
      <c r="E157" s="1169"/>
      <c r="F157" s="1168"/>
      <c r="G157" s="1169"/>
      <c r="H157" s="1168"/>
      <c r="I157" s="1169"/>
      <c r="J157" s="1168"/>
      <c r="K157" s="1169"/>
      <c r="L157" s="1168"/>
      <c r="M157" s="1169"/>
      <c r="N157" s="1168"/>
      <c r="O157" s="1169">
        <f>MANZ.G!AS156</f>
        <v>4</v>
      </c>
      <c r="P157" s="1168"/>
      <c r="Q157" s="1169"/>
      <c r="R157" s="1168"/>
      <c r="S157" s="1169"/>
      <c r="T157" s="1168"/>
      <c r="U157" s="1169"/>
      <c r="V157" s="1168"/>
      <c r="W157" s="1169"/>
      <c r="X157" s="1168"/>
      <c r="Y157" s="1169"/>
      <c r="Z157" s="1168"/>
      <c r="AA157" s="1169"/>
      <c r="AB157" s="1171"/>
      <c r="AC157" s="1171"/>
      <c r="AD157" s="1171"/>
      <c r="AE157" s="1171"/>
      <c r="AF157" s="1168"/>
      <c r="AG157" s="1172">
        <f t="shared" si="17"/>
        <v>0</v>
      </c>
      <c r="AH157" s="1173"/>
    </row>
    <row r="158" ht="39.75" customHeight="1">
      <c r="A158" s="1184" t="s">
        <v>380</v>
      </c>
      <c r="B158" s="1185" t="s">
        <v>381</v>
      </c>
      <c r="C158" s="1163"/>
      <c r="D158" s="1163"/>
      <c r="E158" s="1163"/>
      <c r="F158" s="1163"/>
      <c r="G158" s="1163"/>
      <c r="H158" s="1163"/>
      <c r="I158" s="1163"/>
      <c r="J158" s="1163"/>
      <c r="K158" s="1163"/>
      <c r="L158" s="1163"/>
      <c r="M158" s="1163"/>
      <c r="N158" s="1163"/>
      <c r="O158" s="1163"/>
      <c r="P158" s="1163"/>
      <c r="Q158" s="1163"/>
      <c r="R158" s="1163"/>
      <c r="S158" s="1163"/>
      <c r="T158" s="1163"/>
      <c r="U158" s="1163"/>
      <c r="V158" s="1163"/>
      <c r="W158" s="1163"/>
      <c r="X158" s="1163"/>
      <c r="Y158" s="1163"/>
      <c r="Z158" s="1163"/>
      <c r="AA158" s="1163"/>
      <c r="AB158" s="1163"/>
      <c r="AC158" s="1163"/>
      <c r="AD158" s="1163"/>
      <c r="AE158" s="1163"/>
      <c r="AF158" s="1163"/>
      <c r="AG158" s="1163"/>
      <c r="AH158" s="1164"/>
      <c r="AK158" s="1137"/>
      <c r="AL158" s="1137"/>
      <c r="AM158" s="1137"/>
      <c r="AN158" s="1137"/>
      <c r="AO158" s="1137"/>
      <c r="AP158" s="1137"/>
      <c r="AQ158" s="1137"/>
      <c r="AR158" s="1137"/>
      <c r="AS158" s="1137"/>
      <c r="AT158" s="1137"/>
      <c r="AU158" s="1137"/>
      <c r="AV158" s="1137"/>
      <c r="AW158" s="1137"/>
      <c r="AX158" s="1137"/>
      <c r="AY158" s="1137"/>
      <c r="AZ158" s="1137"/>
      <c r="BA158" s="1137"/>
    </row>
    <row r="159" ht="39.75" customHeight="1">
      <c r="A159" s="1182" t="s">
        <v>382</v>
      </c>
      <c r="B159" s="1183" t="s">
        <v>383</v>
      </c>
      <c r="C159" s="1167"/>
      <c r="D159" s="1168"/>
      <c r="E159" s="1169"/>
      <c r="F159" s="1168"/>
      <c r="G159" s="1169"/>
      <c r="H159" s="1168"/>
      <c r="I159" s="1169"/>
      <c r="J159" s="1168"/>
      <c r="K159" s="1169"/>
      <c r="L159" s="1168"/>
      <c r="M159" s="1169"/>
      <c r="N159" s="1168"/>
      <c r="O159" s="1169">
        <f>MANZ.G!AS157</f>
        <v>17</v>
      </c>
      <c r="P159" s="1168"/>
      <c r="Q159" s="1169"/>
      <c r="R159" s="1168"/>
      <c r="S159" s="1169"/>
      <c r="T159" s="1168"/>
      <c r="U159" s="1169"/>
      <c r="V159" s="1168"/>
      <c r="W159" s="1169"/>
      <c r="X159" s="1168"/>
      <c r="Y159" s="1169"/>
      <c r="Z159" s="1168"/>
      <c r="AA159" s="1169"/>
      <c r="AB159" s="1171"/>
      <c r="AC159" s="1171"/>
      <c r="AD159" s="1171"/>
      <c r="AE159" s="1171"/>
      <c r="AF159" s="1168"/>
      <c r="AG159" s="1172">
        <f t="shared" ref="AG159:AG162" si="18">SUM(C159:AA159)</f>
        <v>17</v>
      </c>
      <c r="AH159" s="1173"/>
      <c r="AK159" s="1137"/>
      <c r="AL159" s="1137"/>
      <c r="AM159" s="1137"/>
      <c r="AN159" s="1137"/>
      <c r="AO159" s="1137"/>
      <c r="AP159" s="1137"/>
      <c r="AQ159" s="1137"/>
      <c r="AR159" s="1137"/>
      <c r="AS159" s="1137"/>
      <c r="AT159" s="1137"/>
      <c r="AU159" s="1137"/>
      <c r="AV159" s="1137"/>
      <c r="AW159" s="1137"/>
      <c r="AX159" s="1137"/>
      <c r="AY159" s="1137"/>
      <c r="AZ159" s="1137"/>
      <c r="BA159" s="1137"/>
    </row>
    <row r="160" ht="39.75" customHeight="1">
      <c r="A160" s="1182" t="s">
        <v>384</v>
      </c>
      <c r="B160" s="1183" t="s">
        <v>385</v>
      </c>
      <c r="C160" s="1167"/>
      <c r="D160" s="1168"/>
      <c r="E160" s="1169"/>
      <c r="F160" s="1168"/>
      <c r="G160" s="1169"/>
      <c r="H160" s="1168"/>
      <c r="I160" s="1169"/>
      <c r="J160" s="1168"/>
      <c r="K160" s="1169"/>
      <c r="L160" s="1168"/>
      <c r="M160" s="1169"/>
      <c r="N160" s="1168"/>
      <c r="O160" s="1169">
        <f>MANZ.G!AS158</f>
        <v>0</v>
      </c>
      <c r="P160" s="1168"/>
      <c r="Q160" s="1169"/>
      <c r="R160" s="1168"/>
      <c r="S160" s="1169"/>
      <c r="T160" s="1168"/>
      <c r="U160" s="1169"/>
      <c r="V160" s="1168"/>
      <c r="W160" s="1169"/>
      <c r="X160" s="1168"/>
      <c r="Y160" s="1169"/>
      <c r="Z160" s="1168"/>
      <c r="AA160" s="1169"/>
      <c r="AB160" s="1171"/>
      <c r="AC160" s="1171"/>
      <c r="AD160" s="1171"/>
      <c r="AE160" s="1171"/>
      <c r="AF160" s="1168"/>
      <c r="AG160" s="1172">
        <f t="shared" si="18"/>
        <v>0</v>
      </c>
      <c r="AH160" s="1173"/>
      <c r="AK160" s="1195"/>
      <c r="AL160" s="1195"/>
      <c r="AM160" s="1195"/>
      <c r="AN160" s="1195"/>
      <c r="AO160" s="1195"/>
      <c r="AP160" s="1195"/>
      <c r="AQ160" s="1195"/>
      <c r="AR160" s="1195"/>
      <c r="AS160" s="1195"/>
      <c r="AT160" s="1195"/>
      <c r="AU160" s="1195"/>
      <c r="AV160" s="1195"/>
      <c r="AW160" s="1195"/>
      <c r="AX160" s="1195"/>
      <c r="AY160" s="1195"/>
      <c r="AZ160" s="1195"/>
      <c r="BA160" s="1195"/>
    </row>
    <row r="161" ht="39.75" customHeight="1">
      <c r="A161" s="1182" t="s">
        <v>386</v>
      </c>
      <c r="B161" s="1183" t="s">
        <v>387</v>
      </c>
      <c r="C161" s="1167"/>
      <c r="D161" s="1168"/>
      <c r="E161" s="1169"/>
      <c r="F161" s="1168"/>
      <c r="G161" s="1169"/>
      <c r="H161" s="1168"/>
      <c r="I161" s="1169"/>
      <c r="J161" s="1168"/>
      <c r="K161" s="1169"/>
      <c r="L161" s="1168"/>
      <c r="M161" s="1169"/>
      <c r="N161" s="1168"/>
      <c r="O161" s="1169"/>
      <c r="P161" s="1168"/>
      <c r="Q161" s="1169"/>
      <c r="R161" s="1168"/>
      <c r="S161" s="1169"/>
      <c r="T161" s="1168"/>
      <c r="U161" s="1169"/>
      <c r="V161" s="1168"/>
      <c r="W161" s="1169"/>
      <c r="X161" s="1168"/>
      <c r="Y161" s="1169"/>
      <c r="Z161" s="1168"/>
      <c r="AA161" s="1169"/>
      <c r="AB161" s="1171"/>
      <c r="AC161" s="1171"/>
      <c r="AD161" s="1171"/>
      <c r="AE161" s="1171"/>
      <c r="AF161" s="1168"/>
      <c r="AG161" s="1172">
        <f t="shared" si="18"/>
        <v>0</v>
      </c>
      <c r="AH161" s="1173"/>
      <c r="AK161" s="847"/>
      <c r="AL161" s="847"/>
      <c r="AM161" s="847"/>
      <c r="AN161" s="847"/>
      <c r="AO161" s="847"/>
      <c r="AP161" s="847"/>
      <c r="AQ161" s="847"/>
      <c r="AR161" s="847"/>
      <c r="AS161" s="847"/>
      <c r="AT161" s="847"/>
      <c r="AU161" s="847"/>
      <c r="AV161" s="847"/>
      <c r="AW161" s="847"/>
      <c r="AX161" s="847"/>
      <c r="AY161" s="847"/>
      <c r="AZ161" s="847"/>
      <c r="BA161" s="847"/>
    </row>
    <row r="162" ht="39.75" customHeight="1">
      <c r="A162" s="1182" t="s">
        <v>388</v>
      </c>
      <c r="B162" s="1183" t="s">
        <v>389</v>
      </c>
      <c r="C162" s="1167"/>
      <c r="D162" s="1168"/>
      <c r="E162" s="1169"/>
      <c r="F162" s="1168"/>
      <c r="G162" s="1169"/>
      <c r="H162" s="1168"/>
      <c r="I162" s="1169"/>
      <c r="J162" s="1168"/>
      <c r="K162" s="1169"/>
      <c r="L162" s="1168"/>
      <c r="M162" s="1169"/>
      <c r="N162" s="1168"/>
      <c r="O162" s="1169">
        <f>MANZ.G!AS160</f>
        <v>17</v>
      </c>
      <c r="P162" s="1168"/>
      <c r="Q162" s="1169"/>
      <c r="R162" s="1168"/>
      <c r="S162" s="1169"/>
      <c r="T162" s="1168"/>
      <c r="U162" s="1169"/>
      <c r="V162" s="1168"/>
      <c r="W162" s="1169"/>
      <c r="X162" s="1168"/>
      <c r="Y162" s="1169"/>
      <c r="Z162" s="1168"/>
      <c r="AA162" s="1169"/>
      <c r="AB162" s="1171"/>
      <c r="AC162" s="1171"/>
      <c r="AD162" s="1171"/>
      <c r="AE162" s="1171"/>
      <c r="AF162" s="1168"/>
      <c r="AG162" s="1172">
        <f t="shared" si="18"/>
        <v>17</v>
      </c>
      <c r="AH162" s="1173"/>
      <c r="AK162" s="1137"/>
      <c r="AL162" s="1137"/>
      <c r="AM162" s="1137"/>
      <c r="AN162" s="1137"/>
      <c r="AO162" s="1137"/>
      <c r="AP162" s="1137"/>
      <c r="AQ162" s="1137"/>
      <c r="AR162" s="1137"/>
      <c r="AS162" s="1137"/>
      <c r="AT162" s="1137"/>
      <c r="AU162" s="1137"/>
      <c r="AV162" s="1137"/>
      <c r="AW162" s="1137"/>
      <c r="AX162" s="1137"/>
      <c r="AY162" s="1137"/>
      <c r="AZ162" s="1137"/>
      <c r="BA162" s="1137"/>
    </row>
    <row r="163" ht="39.75" customHeight="1">
      <c r="A163" s="1184" t="s">
        <v>390</v>
      </c>
      <c r="B163" s="1185" t="s">
        <v>391</v>
      </c>
      <c r="C163" s="1163"/>
      <c r="D163" s="1163"/>
      <c r="E163" s="1163"/>
      <c r="F163" s="1163"/>
      <c r="G163" s="1163"/>
      <c r="H163" s="1163"/>
      <c r="I163" s="1163"/>
      <c r="J163" s="1163"/>
      <c r="K163" s="1163"/>
      <c r="L163" s="1163"/>
      <c r="M163" s="1163"/>
      <c r="N163" s="1163"/>
      <c r="O163" s="1163"/>
      <c r="P163" s="1163"/>
      <c r="Q163" s="1163"/>
      <c r="R163" s="1163"/>
      <c r="S163" s="1163"/>
      <c r="T163" s="1163"/>
      <c r="U163" s="1163"/>
      <c r="V163" s="1163"/>
      <c r="W163" s="1163"/>
      <c r="X163" s="1163"/>
      <c r="Y163" s="1163"/>
      <c r="Z163" s="1163"/>
      <c r="AA163" s="1163"/>
      <c r="AB163" s="1163"/>
      <c r="AC163" s="1163"/>
      <c r="AD163" s="1163"/>
      <c r="AE163" s="1163"/>
      <c r="AF163" s="1163"/>
      <c r="AG163" s="1163"/>
      <c r="AH163" s="1164"/>
      <c r="AI163" s="1137"/>
      <c r="AJ163" s="1137"/>
      <c r="AK163" s="1137"/>
      <c r="AL163" s="1137"/>
      <c r="AM163" s="1137"/>
      <c r="AN163" s="1137"/>
      <c r="AO163" s="1137"/>
      <c r="AP163" s="1137"/>
      <c r="AQ163" s="1137"/>
      <c r="AR163" s="1137"/>
      <c r="AS163" s="1137"/>
      <c r="AT163" s="1137"/>
      <c r="AU163" s="1137"/>
      <c r="AV163" s="1137"/>
      <c r="AW163" s="1137"/>
      <c r="AX163" s="1137"/>
      <c r="AY163" s="1137"/>
      <c r="AZ163" s="1137"/>
      <c r="BA163" s="1137"/>
    </row>
    <row r="164" ht="39.75" customHeight="1">
      <c r="A164" s="1165" t="s">
        <v>392</v>
      </c>
      <c r="B164" s="1166" t="s">
        <v>393</v>
      </c>
      <c r="C164" s="1167"/>
      <c r="D164" s="1168"/>
      <c r="E164" s="1169"/>
      <c r="F164" s="1168"/>
      <c r="G164" s="1169"/>
      <c r="H164" s="1168"/>
      <c r="I164" s="1169"/>
      <c r="J164" s="1168"/>
      <c r="K164" s="1169"/>
      <c r="L164" s="1168"/>
      <c r="M164" s="1169"/>
      <c r="N164" s="1168"/>
      <c r="O164" s="1169"/>
      <c r="P164" s="1168"/>
      <c r="Q164" s="1169"/>
      <c r="R164" s="1168"/>
      <c r="S164" s="1169"/>
      <c r="T164" s="1168"/>
      <c r="U164" s="1169"/>
      <c r="V164" s="1168"/>
      <c r="W164" s="1169"/>
      <c r="X164" s="1168"/>
      <c r="Y164" s="1169"/>
      <c r="Z164" s="1168"/>
      <c r="AA164" s="1169"/>
      <c r="AB164" s="1171"/>
      <c r="AC164" s="1171"/>
      <c r="AD164" s="1171"/>
      <c r="AE164" s="1171"/>
      <c r="AF164" s="1168"/>
      <c r="AG164" s="1172">
        <f t="shared" ref="AG164:AG166" si="19">SUM(C164:AA164)</f>
        <v>0</v>
      </c>
      <c r="AH164" s="1173"/>
      <c r="AI164" s="1137"/>
      <c r="AJ164" s="1137"/>
      <c r="AK164" s="1137"/>
      <c r="AL164" s="1137"/>
      <c r="AM164" s="1137"/>
      <c r="AN164" s="1137"/>
      <c r="AO164" s="1137"/>
      <c r="AP164" s="1137"/>
      <c r="AQ164" s="1137"/>
      <c r="AR164" s="1137"/>
      <c r="AS164" s="1137"/>
      <c r="AT164" s="1137"/>
      <c r="AU164" s="1137"/>
      <c r="AV164" s="1137"/>
      <c r="AW164" s="1137"/>
      <c r="AX164" s="1137"/>
      <c r="AY164" s="1137"/>
      <c r="AZ164" s="1137"/>
      <c r="BA164" s="1137"/>
    </row>
    <row r="165" ht="39.75" customHeight="1">
      <c r="A165" s="1165" t="s">
        <v>394</v>
      </c>
      <c r="B165" s="1166" t="s">
        <v>395</v>
      </c>
      <c r="C165" s="1167"/>
      <c r="D165" s="1168"/>
      <c r="E165" s="1169"/>
      <c r="F165" s="1168"/>
      <c r="G165" s="1169"/>
      <c r="H165" s="1168"/>
      <c r="I165" s="1169"/>
      <c r="J165" s="1168"/>
      <c r="K165" s="1169"/>
      <c r="L165" s="1168"/>
      <c r="M165" s="1169"/>
      <c r="N165" s="1168"/>
      <c r="O165" s="1169"/>
      <c r="P165" s="1168"/>
      <c r="Q165" s="1169"/>
      <c r="R165" s="1168"/>
      <c r="S165" s="1169"/>
      <c r="T165" s="1168"/>
      <c r="U165" s="1169"/>
      <c r="V165" s="1168"/>
      <c r="W165" s="1169"/>
      <c r="X165" s="1168"/>
      <c r="Y165" s="1169"/>
      <c r="Z165" s="1168"/>
      <c r="AA165" s="1169"/>
      <c r="AB165" s="1171"/>
      <c r="AC165" s="1171"/>
      <c r="AD165" s="1171"/>
      <c r="AE165" s="1171"/>
      <c r="AF165" s="1168"/>
      <c r="AG165" s="1172">
        <f t="shared" si="19"/>
        <v>0</v>
      </c>
      <c r="AH165" s="1173"/>
      <c r="AI165" s="1137"/>
      <c r="AJ165" s="1137"/>
      <c r="AK165" s="1137"/>
      <c r="AL165" s="1137"/>
      <c r="AM165" s="1137"/>
      <c r="AN165" s="1137"/>
      <c r="AO165" s="1137"/>
      <c r="AP165" s="1137"/>
      <c r="AQ165" s="1137"/>
      <c r="AR165" s="1137"/>
      <c r="AS165" s="1137"/>
      <c r="AT165" s="1137"/>
      <c r="AU165" s="1137"/>
      <c r="AV165" s="1137"/>
      <c r="AW165" s="1137"/>
      <c r="AX165" s="1137"/>
      <c r="AY165" s="1137"/>
      <c r="AZ165" s="1137"/>
      <c r="BA165" s="1137"/>
    </row>
    <row r="166" ht="39.75" customHeight="1">
      <c r="A166" s="1196" t="s">
        <v>396</v>
      </c>
      <c r="B166" s="1197" t="s">
        <v>397</v>
      </c>
      <c r="C166" s="1167"/>
      <c r="D166" s="1168"/>
      <c r="E166" s="1169"/>
      <c r="F166" s="1168"/>
      <c r="G166" s="1169"/>
      <c r="H166" s="1168"/>
      <c r="I166" s="1169"/>
      <c r="J166" s="1168"/>
      <c r="K166" s="1169"/>
      <c r="L166" s="1168"/>
      <c r="M166" s="1169"/>
      <c r="N166" s="1168"/>
      <c r="O166" s="1169"/>
      <c r="P166" s="1168"/>
      <c r="Q166" s="1169"/>
      <c r="R166" s="1168"/>
      <c r="S166" s="1169"/>
      <c r="T166" s="1168"/>
      <c r="U166" s="1169"/>
      <c r="V166" s="1168"/>
      <c r="W166" s="1169"/>
      <c r="X166" s="1168"/>
      <c r="Y166" s="1169"/>
      <c r="Z166" s="1168"/>
      <c r="AA166" s="1169"/>
      <c r="AB166" s="1171"/>
      <c r="AC166" s="1171"/>
      <c r="AD166" s="1171"/>
      <c r="AE166" s="1171"/>
      <c r="AF166" s="1168"/>
      <c r="AG166" s="1172">
        <f t="shared" si="19"/>
        <v>0</v>
      </c>
      <c r="AH166" s="1173"/>
      <c r="AI166" s="1137"/>
      <c r="AJ166" s="1137"/>
      <c r="AK166" s="1137"/>
      <c r="AL166" s="1137"/>
      <c r="AM166" s="1137"/>
      <c r="AN166" s="1137"/>
      <c r="AO166" s="1137"/>
      <c r="AP166" s="1137"/>
      <c r="AQ166" s="1137"/>
      <c r="AR166" s="1137"/>
      <c r="AS166" s="1137"/>
      <c r="AT166" s="1137"/>
      <c r="AU166" s="1137"/>
      <c r="AV166" s="1137"/>
      <c r="AW166" s="1137"/>
      <c r="AX166" s="1137"/>
      <c r="AY166" s="1137"/>
      <c r="AZ166" s="1137"/>
      <c r="BA166" s="1137"/>
    </row>
    <row r="167" ht="25.5" customHeight="1">
      <c r="A167" s="1198"/>
      <c r="B167" s="1198"/>
      <c r="C167" s="1198"/>
      <c r="D167" s="1198"/>
      <c r="E167" s="1198"/>
      <c r="F167" s="1198"/>
      <c r="G167" s="1198"/>
      <c r="H167" s="1198"/>
      <c r="I167" s="1198"/>
      <c r="J167" s="1198"/>
      <c r="K167" s="1198"/>
      <c r="L167" s="1198"/>
      <c r="M167" s="1198"/>
      <c r="N167" s="1198"/>
      <c r="O167" s="1198"/>
      <c r="P167" s="1198"/>
      <c r="Q167" s="1198"/>
      <c r="R167" s="1198"/>
      <c r="S167" s="1198"/>
      <c r="T167" s="1198"/>
      <c r="U167" s="1198"/>
      <c r="V167" s="1198"/>
      <c r="W167" s="1198"/>
      <c r="X167" s="1198"/>
      <c r="Y167" s="1198"/>
      <c r="Z167" s="1198"/>
      <c r="AA167" s="1198"/>
      <c r="AB167" s="1198"/>
      <c r="AC167" s="1198"/>
      <c r="AD167" s="1198"/>
      <c r="AE167" s="1198"/>
      <c r="AF167" s="1198"/>
      <c r="AG167" s="1198"/>
      <c r="AH167" s="1198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5.5" customHeight="1">
      <c r="A168" s="1198"/>
      <c r="B168" s="1198"/>
      <c r="C168" s="1198"/>
      <c r="D168" s="1198"/>
      <c r="E168" s="1198"/>
      <c r="F168" s="1198"/>
      <c r="G168" s="1198"/>
      <c r="H168" s="1198"/>
      <c r="I168" s="1198"/>
      <c r="J168" s="1198"/>
      <c r="K168" s="1198"/>
      <c r="L168" s="1198"/>
      <c r="M168" s="1198"/>
      <c r="N168" s="1198"/>
      <c r="O168" s="1198"/>
      <c r="P168" s="1198"/>
      <c r="Q168" s="1198"/>
      <c r="R168" s="1198"/>
      <c r="S168" s="1198"/>
      <c r="T168" s="1198"/>
      <c r="U168" s="1198"/>
      <c r="V168" s="1198"/>
      <c r="W168" s="1198"/>
      <c r="X168" s="1198"/>
      <c r="Y168" s="1198"/>
      <c r="Z168" s="1198"/>
      <c r="AA168" s="1198"/>
      <c r="AB168" s="1198"/>
      <c r="AC168" s="1198"/>
      <c r="AD168" s="1198"/>
      <c r="AE168" s="1198"/>
      <c r="AF168" s="1198"/>
      <c r="AG168" s="1198"/>
      <c r="AH168" s="1198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5.5" customHeight="1">
      <c r="A169" s="1198"/>
      <c r="B169" s="1198"/>
      <c r="C169" s="1198"/>
      <c r="D169" s="1198"/>
      <c r="E169" s="1198"/>
      <c r="F169" s="1198"/>
      <c r="G169" s="1198"/>
      <c r="H169" s="1198"/>
      <c r="I169" s="1198"/>
      <c r="J169" s="1198"/>
      <c r="K169" s="1198"/>
      <c r="L169" s="1198"/>
      <c r="M169" s="1198"/>
      <c r="N169" s="1198"/>
      <c r="O169" s="1198"/>
      <c r="P169" s="1198"/>
      <c r="Q169" s="1198"/>
      <c r="R169" s="1198"/>
      <c r="S169" s="1198"/>
      <c r="T169" s="1198"/>
      <c r="U169" s="1198"/>
      <c r="V169" s="1198"/>
      <c r="W169" s="1198"/>
      <c r="X169" s="1198"/>
      <c r="Y169" s="1198"/>
      <c r="Z169" s="1198"/>
      <c r="AA169" s="1198"/>
      <c r="AB169" s="1198"/>
      <c r="AC169" s="1198"/>
      <c r="AD169" s="1198"/>
      <c r="AE169" s="1198"/>
      <c r="AF169" s="1198"/>
      <c r="AG169" s="1198"/>
      <c r="AH169" s="1198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5.5" customHeight="1">
      <c r="A170" s="1198"/>
      <c r="B170" s="1198"/>
      <c r="C170" s="1198"/>
      <c r="D170" s="1198"/>
      <c r="E170" s="1198"/>
      <c r="F170" s="1198"/>
      <c r="G170" s="1198"/>
      <c r="H170" s="1198"/>
      <c r="I170" s="1198"/>
      <c r="J170" s="1198"/>
      <c r="K170" s="1198"/>
      <c r="L170" s="1198"/>
      <c r="M170" s="1198"/>
      <c r="N170" s="1198"/>
      <c r="O170" s="1198"/>
      <c r="P170" s="1198"/>
      <c r="Q170" s="1198"/>
      <c r="R170" s="1198"/>
      <c r="S170" s="1198"/>
      <c r="T170" s="1198"/>
      <c r="U170" s="1198"/>
      <c r="V170" s="1198"/>
      <c r="W170" s="1198"/>
      <c r="X170" s="1198"/>
      <c r="Y170" s="1198"/>
      <c r="Z170" s="1198"/>
      <c r="AA170" s="1198"/>
      <c r="AB170" s="1198"/>
      <c r="AC170" s="1198"/>
      <c r="AD170" s="1198"/>
      <c r="AE170" s="1198"/>
      <c r="AF170" s="1198"/>
      <c r="AG170" s="1198"/>
      <c r="AH170" s="1198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5.5" customHeight="1">
      <c r="A171" s="1198"/>
      <c r="B171" s="1198"/>
      <c r="C171" s="1198"/>
      <c r="D171" s="1198"/>
      <c r="E171" s="1198"/>
      <c r="F171" s="1198"/>
      <c r="G171" s="1198"/>
      <c r="H171" s="1198"/>
      <c r="I171" s="1198"/>
      <c r="J171" s="1198"/>
      <c r="K171" s="1198"/>
      <c r="L171" s="1198"/>
      <c r="M171" s="1198"/>
      <c r="N171" s="1198"/>
      <c r="O171" s="1198"/>
      <c r="P171" s="1198"/>
      <c r="Q171" s="1198"/>
      <c r="R171" s="1198"/>
      <c r="S171" s="1198"/>
      <c r="T171" s="1198"/>
      <c r="U171" s="1198"/>
      <c r="V171" s="1198"/>
      <c r="W171" s="1198"/>
      <c r="X171" s="1198"/>
      <c r="Y171" s="1198"/>
      <c r="Z171" s="1198"/>
      <c r="AA171" s="1198"/>
      <c r="AB171" s="1198"/>
      <c r="AC171" s="1198"/>
      <c r="AD171" s="1198"/>
      <c r="AE171" s="1198"/>
      <c r="AF171" s="1198"/>
      <c r="AG171" s="1198"/>
      <c r="AH171" s="1198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5.5" customHeight="1">
      <c r="A172" s="1198"/>
      <c r="B172" s="1198"/>
      <c r="C172" s="1198"/>
      <c r="D172" s="1198"/>
      <c r="E172" s="1198"/>
      <c r="F172" s="1198"/>
      <c r="G172" s="1198"/>
      <c r="H172" s="1198"/>
      <c r="I172" s="1198"/>
      <c r="J172" s="1198"/>
      <c r="K172" s="1198"/>
      <c r="L172" s="1198"/>
      <c r="M172" s="1198"/>
      <c r="N172" s="1198"/>
      <c r="O172" s="1198"/>
      <c r="P172" s="1198"/>
      <c r="Q172" s="1198"/>
      <c r="R172" s="1198"/>
      <c r="S172" s="1198"/>
      <c r="T172" s="1198"/>
      <c r="U172" s="1198"/>
      <c r="V172" s="1198"/>
      <c r="W172" s="1198"/>
      <c r="X172" s="1198"/>
      <c r="Y172" s="1198"/>
      <c r="Z172" s="1198"/>
      <c r="AA172" s="1198"/>
      <c r="AB172" s="1198"/>
      <c r="AC172" s="1198"/>
      <c r="AD172" s="1198"/>
      <c r="AE172" s="1198"/>
      <c r="AF172" s="1198"/>
      <c r="AG172" s="1198"/>
      <c r="AH172" s="1198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5.5" customHeight="1">
      <c r="A173" s="1198"/>
      <c r="B173" s="1198"/>
      <c r="C173" s="1198"/>
      <c r="D173" s="1198"/>
      <c r="E173" s="1198"/>
      <c r="F173" s="1198"/>
      <c r="G173" s="1198"/>
      <c r="H173" s="1198"/>
      <c r="I173" s="1198"/>
      <c r="J173" s="1198"/>
      <c r="K173" s="1198"/>
      <c r="L173" s="1198"/>
      <c r="M173" s="1198"/>
      <c r="N173" s="1198"/>
      <c r="O173" s="1198"/>
      <c r="P173" s="1198"/>
      <c r="Q173" s="1198"/>
      <c r="R173" s="1198"/>
      <c r="S173" s="1198"/>
      <c r="T173" s="1198"/>
      <c r="U173" s="1198"/>
      <c r="V173" s="1198"/>
      <c r="W173" s="1198"/>
      <c r="X173" s="1198"/>
      <c r="Y173" s="1198"/>
      <c r="Z173" s="1198"/>
      <c r="AA173" s="1198"/>
      <c r="AB173" s="1198"/>
      <c r="AC173" s="1198"/>
      <c r="AD173" s="1198"/>
      <c r="AE173" s="1198"/>
      <c r="AF173" s="1198"/>
      <c r="AG173" s="1198"/>
      <c r="AH173" s="1198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5.5" customHeight="1">
      <c r="A174" s="1198"/>
      <c r="B174" s="1198"/>
      <c r="C174" s="1198"/>
      <c r="D174" s="1198"/>
      <c r="E174" s="1198"/>
      <c r="F174" s="1198"/>
      <c r="G174" s="1198"/>
      <c r="H174" s="1198"/>
      <c r="I174" s="1198"/>
      <c r="J174" s="1198"/>
      <c r="K174" s="1198"/>
      <c r="L174" s="1198"/>
      <c r="M174" s="1198"/>
      <c r="N174" s="1198"/>
      <c r="O174" s="1198"/>
      <c r="P174" s="1198"/>
      <c r="Q174" s="1198"/>
      <c r="R174" s="1198"/>
      <c r="S174" s="1198"/>
      <c r="T174" s="1198"/>
      <c r="U174" s="1198"/>
      <c r="V174" s="1198"/>
      <c r="W174" s="1198"/>
      <c r="X174" s="1198"/>
      <c r="Y174" s="1198"/>
      <c r="Z174" s="1198"/>
      <c r="AA174" s="1198"/>
      <c r="AB174" s="1198"/>
      <c r="AC174" s="1198"/>
      <c r="AD174" s="1198"/>
      <c r="AE174" s="1198"/>
      <c r="AF174" s="1198"/>
      <c r="AG174" s="1198"/>
      <c r="AH174" s="1198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5.5" customHeight="1">
      <c r="A175" s="1198"/>
      <c r="B175" s="1198"/>
      <c r="C175" s="1198"/>
      <c r="D175" s="1198"/>
      <c r="E175" s="1198"/>
      <c r="F175" s="1198"/>
      <c r="G175" s="1198"/>
      <c r="H175" s="1198"/>
      <c r="I175" s="1198"/>
      <c r="J175" s="1198"/>
      <c r="K175" s="1198"/>
      <c r="L175" s="1198"/>
      <c r="M175" s="1198"/>
      <c r="N175" s="1198"/>
      <c r="O175" s="1198"/>
      <c r="P175" s="1198"/>
      <c r="Q175" s="1198"/>
      <c r="R175" s="1198"/>
      <c r="S175" s="1198"/>
      <c r="T175" s="1198"/>
      <c r="U175" s="1198"/>
      <c r="V175" s="1198"/>
      <c r="W175" s="1198"/>
      <c r="X175" s="1198"/>
      <c r="Y175" s="1198"/>
      <c r="Z175" s="1198"/>
      <c r="AA175" s="1198"/>
      <c r="AB175" s="1198"/>
      <c r="AC175" s="1198"/>
      <c r="AD175" s="1198"/>
      <c r="AE175" s="1198"/>
      <c r="AF175" s="1198"/>
      <c r="AG175" s="1198"/>
      <c r="AH175" s="1198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5.5" customHeight="1">
      <c r="A176" s="1198"/>
      <c r="B176" s="1198"/>
      <c r="C176" s="1198"/>
      <c r="D176" s="1198"/>
      <c r="E176" s="1198"/>
      <c r="F176" s="1198"/>
      <c r="G176" s="1198"/>
      <c r="H176" s="1198"/>
      <c r="I176" s="1198"/>
      <c r="J176" s="1198"/>
      <c r="K176" s="1198"/>
      <c r="L176" s="1198"/>
      <c r="M176" s="1198"/>
      <c r="N176" s="1198"/>
      <c r="O176" s="1198"/>
      <c r="P176" s="1198"/>
      <c r="Q176" s="1198"/>
      <c r="R176" s="1198"/>
      <c r="S176" s="1198"/>
      <c r="T176" s="1198"/>
      <c r="U176" s="1198"/>
      <c r="V176" s="1198"/>
      <c r="W176" s="1198"/>
      <c r="X176" s="1198"/>
      <c r="Y176" s="1198"/>
      <c r="Z176" s="1198"/>
      <c r="AA176" s="1198"/>
      <c r="AB176" s="1198"/>
      <c r="AC176" s="1198"/>
      <c r="AD176" s="1198"/>
      <c r="AE176" s="1198"/>
      <c r="AF176" s="1198"/>
      <c r="AG176" s="1198"/>
      <c r="AH176" s="1198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5.5" customHeight="1">
      <c r="A177" s="1198"/>
      <c r="B177" s="1198"/>
      <c r="C177" s="1198"/>
      <c r="D177" s="1198"/>
      <c r="E177" s="1198"/>
      <c r="F177" s="1198"/>
      <c r="G177" s="1198"/>
      <c r="H177" s="1198"/>
      <c r="I177" s="1198"/>
      <c r="J177" s="1198"/>
      <c r="K177" s="1198"/>
      <c r="L177" s="1198"/>
      <c r="M177" s="1198"/>
      <c r="N177" s="1198"/>
      <c r="O177" s="1198"/>
      <c r="P177" s="1198"/>
      <c r="Q177" s="1198"/>
      <c r="R177" s="1198"/>
      <c r="S177" s="1198"/>
      <c r="T177" s="1198"/>
      <c r="U177" s="1198"/>
      <c r="V177" s="1198"/>
      <c r="W177" s="1198"/>
      <c r="X177" s="1198"/>
      <c r="Y177" s="1198"/>
      <c r="Z177" s="1198"/>
      <c r="AA177" s="1198"/>
      <c r="AB177" s="1198"/>
      <c r="AC177" s="1198"/>
      <c r="AD177" s="1198"/>
      <c r="AE177" s="1198"/>
      <c r="AF177" s="1198"/>
      <c r="AG177" s="1198"/>
      <c r="AH177" s="1198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5.5" customHeight="1">
      <c r="A178" s="1198"/>
      <c r="B178" s="1199"/>
      <c r="C178" s="1115"/>
      <c r="D178" s="1115"/>
      <c r="E178" s="1115"/>
      <c r="F178" s="1115"/>
      <c r="G178" s="1115"/>
      <c r="H178" s="1115"/>
      <c r="I178" s="1199"/>
      <c r="J178" s="1199"/>
      <c r="K178" s="1200"/>
      <c r="L178" s="1200"/>
      <c r="M178" s="1200"/>
      <c r="N178" s="1200"/>
      <c r="O178" s="1200"/>
      <c r="P178" s="1198"/>
      <c r="Q178" s="1198"/>
      <c r="R178" s="1199"/>
      <c r="S178" s="1199"/>
      <c r="T178" s="1199"/>
      <c r="U178" s="1199"/>
      <c r="V178" s="1200"/>
      <c r="W178" s="1200"/>
      <c r="X178" s="1200"/>
      <c r="Y178" s="1115"/>
      <c r="Z178" s="1115"/>
      <c r="AA178" s="1115"/>
      <c r="AL178" s="1201"/>
      <c r="AM178" s="1201"/>
      <c r="AN178" s="1"/>
      <c r="AO178" s="1"/>
      <c r="AP178" s="159"/>
      <c r="AQ178" s="159"/>
      <c r="AR178" s="159"/>
      <c r="AS178" s="159"/>
      <c r="AT178" s="159"/>
      <c r="AU178" s="159"/>
      <c r="AV178" s="159"/>
      <c r="AW178" s="1"/>
      <c r="AX178" s="1"/>
    </row>
    <row r="179" ht="25.5" customHeight="1">
      <c r="A179" s="1202"/>
      <c r="B179" s="1115" t="s">
        <v>398</v>
      </c>
      <c r="C179" s="1195"/>
      <c r="D179" s="1195"/>
      <c r="E179" s="1195"/>
      <c r="F179" s="1195"/>
      <c r="G179" s="1195"/>
      <c r="H179" s="1195"/>
      <c r="I179" s="1203" t="s">
        <v>44</v>
      </c>
      <c r="J179" s="1204"/>
      <c r="K179" s="1204"/>
      <c r="L179" s="1204"/>
      <c r="M179" s="1204"/>
      <c r="N179" s="1204"/>
      <c r="O179" s="1204"/>
      <c r="P179" s="1198"/>
      <c r="Q179" s="1198"/>
      <c r="R179" s="1203" t="s">
        <v>399</v>
      </c>
      <c r="S179" s="1204"/>
      <c r="T179" s="1204"/>
      <c r="U179" s="1204"/>
      <c r="V179" s="1204"/>
      <c r="W179" s="1204"/>
      <c r="X179" s="1204"/>
      <c r="Y179" s="1195"/>
      <c r="Z179" s="1195"/>
      <c r="AA179" s="1195"/>
      <c r="AB179" s="1203" t="s">
        <v>406</v>
      </c>
      <c r="AC179" s="1204"/>
      <c r="AD179" s="1204"/>
      <c r="AE179" s="1204"/>
      <c r="AF179" s="1204"/>
      <c r="AG179" s="1204"/>
      <c r="AH179" s="1204"/>
      <c r="AL179" s="1115"/>
      <c r="AM179" s="1"/>
      <c r="AP179" s="1203"/>
      <c r="AQ179" s="1204"/>
      <c r="AR179" s="1204"/>
      <c r="AS179" s="1204"/>
      <c r="AT179" s="1204"/>
      <c r="AU179" s="1204"/>
      <c r="AV179" s="1204"/>
      <c r="AX179" s="1"/>
    </row>
    <row r="180" ht="180.0" customHeight="1">
      <c r="A180" s="1202"/>
      <c r="B180" s="1205" t="s">
        <v>35</v>
      </c>
      <c r="C180" s="1206"/>
      <c r="D180" s="1206"/>
      <c r="E180" s="1206"/>
      <c r="G180" s="1206"/>
      <c r="H180" s="1206"/>
      <c r="I180" s="1205" t="s">
        <v>54</v>
      </c>
      <c r="P180" s="1206"/>
      <c r="Q180" s="1206"/>
      <c r="R180" s="1115" t="s">
        <v>400</v>
      </c>
      <c r="Y180" s="1206"/>
      <c r="Z180" s="1206"/>
      <c r="AA180" s="1206"/>
      <c r="AB180" s="1205" t="s">
        <v>74</v>
      </c>
      <c r="AI180" s="170"/>
      <c r="AJ180" s="170"/>
      <c r="AK180" s="170"/>
      <c r="AL180" s="170"/>
      <c r="AM180" s="1"/>
      <c r="AP180" s="168"/>
      <c r="AX180" s="1"/>
    </row>
    <row r="181" ht="25.5" customHeight="1">
      <c r="B181" s="1206"/>
      <c r="C181" s="1206"/>
      <c r="D181" s="1206"/>
      <c r="E181" s="1206"/>
      <c r="F181" s="1206"/>
      <c r="G181" s="1206"/>
      <c r="H181" s="1206"/>
      <c r="I181" s="1207"/>
      <c r="J181" s="1207"/>
      <c r="K181" s="1198"/>
      <c r="L181" s="1198"/>
      <c r="M181" s="1206"/>
      <c r="N181" s="1206"/>
      <c r="O181" s="1206"/>
      <c r="P181" s="1206"/>
      <c r="Q181" s="1206"/>
      <c r="R181" s="1206"/>
      <c r="S181" s="1206"/>
      <c r="T181" s="1206"/>
      <c r="U181" s="1206"/>
      <c r="V181" s="1206"/>
      <c r="W181" s="1206"/>
      <c r="X181" s="1206"/>
      <c r="Y181" s="1206"/>
      <c r="Z181" s="1206"/>
      <c r="AA181" s="1206"/>
      <c r="AB181" s="1206"/>
      <c r="AC181" s="1206"/>
      <c r="AD181" s="1206"/>
      <c r="AE181" s="1206"/>
      <c r="AF181" s="1206"/>
      <c r="AG181" s="1206"/>
      <c r="AH181" s="1206"/>
      <c r="AI181" s="170"/>
      <c r="AJ181" s="170"/>
      <c r="AK181" s="1"/>
      <c r="AL181" s="175"/>
      <c r="AM181" s="1"/>
      <c r="AR181" s="170"/>
      <c r="AS181" s="170"/>
      <c r="AT181" s="170"/>
      <c r="AU181" s="170"/>
      <c r="AX181" s="1"/>
    </row>
    <row r="182" ht="25.5" customHeight="1">
      <c r="A182" s="1198"/>
      <c r="B182" s="1205"/>
      <c r="C182" s="1205"/>
      <c r="D182" s="1205"/>
      <c r="E182" s="1205"/>
      <c r="F182" s="1205"/>
      <c r="G182" s="1205"/>
      <c r="H182" s="1205"/>
      <c r="I182" s="1205"/>
      <c r="J182" s="1205"/>
      <c r="K182" s="1198"/>
      <c r="L182" s="1198"/>
      <c r="M182" s="1205"/>
      <c r="N182" s="1205"/>
      <c r="O182" s="1198"/>
      <c r="P182" s="1205"/>
      <c r="Q182" s="1205"/>
      <c r="R182" s="1205"/>
      <c r="S182" s="1205"/>
      <c r="T182" s="1205"/>
      <c r="U182" s="1205"/>
      <c r="V182" s="1205"/>
      <c r="W182" s="1205"/>
      <c r="X182" s="1205"/>
      <c r="Y182" s="1205"/>
      <c r="Z182" s="1205"/>
      <c r="AA182" s="1205"/>
      <c r="AB182" s="1205"/>
      <c r="AC182" s="1205"/>
      <c r="AD182" s="1205"/>
      <c r="AE182" s="1205"/>
      <c r="AF182" s="1206"/>
      <c r="AG182" s="1206"/>
      <c r="AH182" s="1206"/>
      <c r="AI182" s="170"/>
      <c r="AJ182" s="170"/>
      <c r="AK182" s="1"/>
      <c r="AL182" s="176"/>
      <c r="AM182" s="176"/>
      <c r="AR182" s="170"/>
      <c r="AS182" s="170"/>
      <c r="AT182" s="170"/>
      <c r="AU182" s="170"/>
      <c r="AX182" s="1"/>
    </row>
    <row r="183" ht="25.5" customHeight="1">
      <c r="A183" s="1198"/>
      <c r="B183" s="1198"/>
      <c r="C183" s="1207"/>
      <c r="D183" s="1198"/>
      <c r="E183" s="1198"/>
      <c r="F183" s="1198"/>
      <c r="G183" s="1198"/>
      <c r="H183" s="1198"/>
      <c r="I183" s="1198"/>
      <c r="J183" s="1198"/>
      <c r="K183" s="1198"/>
      <c r="L183" s="1198"/>
      <c r="M183" s="1198"/>
      <c r="N183" s="1198"/>
      <c r="O183" s="1198"/>
      <c r="P183" s="1198"/>
      <c r="Q183" s="1198"/>
      <c r="R183" s="1198"/>
      <c r="S183" s="1198"/>
      <c r="T183" s="1198"/>
      <c r="U183" s="1198"/>
      <c r="V183" s="1198"/>
      <c r="W183" s="1198"/>
      <c r="X183" s="1198"/>
      <c r="Y183" s="1198"/>
      <c r="Z183" s="1198"/>
      <c r="AA183" s="1198"/>
      <c r="AB183" s="1198"/>
      <c r="AC183" s="1198"/>
      <c r="AD183" s="1198"/>
      <c r="AE183" s="1198"/>
      <c r="AF183" s="1198"/>
      <c r="AG183" s="1198"/>
      <c r="AH183" s="1198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5.5" customHeight="1">
      <c r="A184" s="1198"/>
      <c r="B184" s="1198"/>
      <c r="C184" s="1207"/>
      <c r="D184" s="1198"/>
      <c r="E184" s="1198"/>
      <c r="F184" s="1198"/>
      <c r="G184" s="1198"/>
      <c r="H184" s="1198"/>
      <c r="I184" s="1198"/>
      <c r="J184" s="1198"/>
      <c r="K184" s="1198"/>
      <c r="L184" s="1198"/>
      <c r="M184" s="1198"/>
      <c r="N184" s="1198"/>
      <c r="O184" s="1198"/>
      <c r="P184" s="1198"/>
      <c r="Q184" s="1198"/>
      <c r="R184" s="1198"/>
      <c r="S184" s="1198"/>
      <c r="T184" s="1198"/>
      <c r="U184" s="1198"/>
      <c r="V184" s="1198"/>
      <c r="W184" s="1198"/>
      <c r="X184" s="1198"/>
      <c r="Y184" s="1198"/>
      <c r="Z184" s="1198"/>
      <c r="AA184" s="1198"/>
      <c r="AB184" s="1198"/>
      <c r="AC184" s="1198"/>
      <c r="AD184" s="1198"/>
      <c r="AE184" s="1198"/>
      <c r="AF184" s="1198"/>
      <c r="AG184" s="1198"/>
      <c r="AH184" s="1198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5.5" customHeight="1">
      <c r="A185" s="1198"/>
      <c r="B185" s="1198"/>
      <c r="C185" s="1207"/>
      <c r="D185" s="1198"/>
      <c r="E185" s="1198"/>
      <c r="F185" s="1198"/>
      <c r="G185" s="1198"/>
      <c r="H185" s="1198"/>
      <c r="I185" s="1198"/>
      <c r="J185" s="1198"/>
      <c r="K185" s="1198"/>
      <c r="L185" s="1198"/>
      <c r="M185" s="1198"/>
      <c r="N185" s="1198"/>
      <c r="O185" s="1198"/>
      <c r="P185" s="1198"/>
      <c r="Q185" s="1198"/>
      <c r="R185" s="1198"/>
      <c r="S185" s="1198"/>
      <c r="T185" s="1198"/>
      <c r="U185" s="1198"/>
      <c r="V185" s="1198"/>
      <c r="W185" s="1198"/>
      <c r="X185" s="1198"/>
      <c r="Y185" s="1198"/>
      <c r="Z185" s="1198"/>
      <c r="AA185" s="1198"/>
      <c r="AB185" s="1198"/>
      <c r="AC185" s="1198"/>
      <c r="AD185" s="1198"/>
      <c r="AE185" s="1198"/>
      <c r="AF185" s="1198"/>
      <c r="AG185" s="1198"/>
      <c r="AH185" s="1198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5.5" customHeight="1">
      <c r="A186" s="1198"/>
      <c r="B186" s="1198"/>
      <c r="C186" s="1198"/>
      <c r="D186" s="1198"/>
      <c r="E186" s="1198"/>
      <c r="F186" s="1198"/>
      <c r="G186" s="1198"/>
      <c r="H186" s="1198"/>
      <c r="I186" s="1198"/>
      <c r="J186" s="1198"/>
      <c r="K186" s="1198"/>
      <c r="L186" s="1198"/>
      <c r="M186" s="1198"/>
      <c r="N186" s="1198"/>
      <c r="O186" s="1198"/>
      <c r="P186" s="1198"/>
      <c r="Q186" s="1198"/>
      <c r="R186" s="1198"/>
      <c r="S186" s="1198"/>
      <c r="T186" s="1198"/>
      <c r="U186" s="1198"/>
      <c r="V186" s="1198"/>
      <c r="W186" s="1198"/>
      <c r="X186" s="1198"/>
      <c r="Y186" s="1198"/>
      <c r="Z186" s="1198"/>
      <c r="AA186" s="1198"/>
      <c r="AB186" s="1198"/>
      <c r="AC186" s="1198"/>
      <c r="AD186" s="1198"/>
      <c r="AE186" s="1198"/>
      <c r="AF186" s="1198"/>
      <c r="AG186" s="1198"/>
      <c r="AH186" s="1198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5.5" customHeight="1">
      <c r="A187" s="1198"/>
      <c r="B187" s="1198"/>
      <c r="C187" s="1198"/>
      <c r="D187" s="1198"/>
      <c r="E187" s="1198"/>
      <c r="F187" s="1198"/>
      <c r="G187" s="1198"/>
      <c r="H187" s="1198"/>
      <c r="I187" s="1198"/>
      <c r="J187" s="1198"/>
      <c r="K187" s="1198"/>
      <c r="L187" s="1198"/>
      <c r="M187" s="1198"/>
      <c r="N187" s="1198"/>
      <c r="O187" s="1198"/>
      <c r="P187" s="1198"/>
      <c r="Q187" s="1198"/>
      <c r="R187" s="1198"/>
      <c r="S187" s="1198"/>
      <c r="T187" s="1198"/>
      <c r="U187" s="1198"/>
      <c r="V187" s="1198"/>
      <c r="W187" s="1198"/>
      <c r="X187" s="1198"/>
      <c r="Y187" s="1198"/>
      <c r="Z187" s="1198"/>
      <c r="AA187" s="1198"/>
      <c r="AB187" s="1198"/>
      <c r="AC187" s="1198"/>
      <c r="AD187" s="1198"/>
      <c r="AE187" s="1198"/>
      <c r="AF187" s="1198"/>
      <c r="AG187" s="1198"/>
      <c r="AH187" s="1198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5.5" customHeight="1">
      <c r="A188" s="1198"/>
      <c r="B188" s="1198"/>
      <c r="C188" s="1198"/>
      <c r="D188" s="1198"/>
      <c r="E188" s="1198"/>
      <c r="F188" s="1198"/>
      <c r="G188" s="1198"/>
      <c r="H188" s="1198"/>
      <c r="I188" s="1198"/>
      <c r="J188" s="1198"/>
      <c r="K188" s="1198"/>
      <c r="L188" s="1198"/>
      <c r="M188" s="1198"/>
      <c r="N188" s="1198"/>
      <c r="O188" s="1198"/>
      <c r="P188" s="1198"/>
      <c r="Q188" s="1198"/>
      <c r="R188" s="1198"/>
      <c r="S188" s="1198"/>
      <c r="T188" s="1198"/>
      <c r="U188" s="1198"/>
      <c r="V188" s="1198"/>
      <c r="W188" s="1198"/>
      <c r="X188" s="1198"/>
      <c r="Y188" s="1198"/>
      <c r="Z188" s="1198"/>
      <c r="AA188" s="1198"/>
      <c r="AB188" s="1198"/>
      <c r="AC188" s="1198"/>
      <c r="AD188" s="1198"/>
      <c r="AE188" s="1198"/>
      <c r="AF188" s="1198"/>
      <c r="AG188" s="1198"/>
      <c r="AH188" s="1198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AA4:AB4"/>
    <mergeCell ref="AD4:AE4"/>
    <mergeCell ref="AG4:AH4"/>
    <mergeCell ref="AJ4:AK4"/>
    <mergeCell ref="AM4:AN4"/>
    <mergeCell ref="AP4:AQ4"/>
    <mergeCell ref="AS4:AT4"/>
    <mergeCell ref="AV4:AW4"/>
    <mergeCell ref="AY4:AZ4"/>
    <mergeCell ref="P4:Q4"/>
    <mergeCell ref="P5:Q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M6:N6"/>
    <mergeCell ref="P6:Q6"/>
    <mergeCell ref="AA6:AB6"/>
    <mergeCell ref="AD6:AE6"/>
    <mergeCell ref="AM6:AN6"/>
    <mergeCell ref="AP6:AQ6"/>
    <mergeCell ref="AS6:AT6"/>
    <mergeCell ref="AV6:AW6"/>
    <mergeCell ref="AY6:AZ6"/>
    <mergeCell ref="AG6:AH6"/>
    <mergeCell ref="AJ6:AK6"/>
    <mergeCell ref="M7:N7"/>
    <mergeCell ref="P7:Q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M8:N8"/>
    <mergeCell ref="P8:Q8"/>
    <mergeCell ref="AA8:AB8"/>
    <mergeCell ref="AD8:AE8"/>
    <mergeCell ref="AG8:AH8"/>
    <mergeCell ref="AJ8:AK8"/>
    <mergeCell ref="AM8:AN8"/>
    <mergeCell ref="AP8:AQ8"/>
    <mergeCell ref="AS8:AT8"/>
    <mergeCell ref="AV8:AW8"/>
    <mergeCell ref="AY8:AZ8"/>
    <mergeCell ref="M11:N11"/>
    <mergeCell ref="M12:N12"/>
    <mergeCell ref="M10:N10"/>
    <mergeCell ref="M13:N13"/>
    <mergeCell ref="C10:F13"/>
    <mergeCell ref="A15:A17"/>
    <mergeCell ref="B15:B17"/>
    <mergeCell ref="C17:D17"/>
    <mergeCell ref="E17:F17"/>
    <mergeCell ref="C16:R16"/>
    <mergeCell ref="G17:H17"/>
    <mergeCell ref="I17:J17"/>
    <mergeCell ref="K17:L17"/>
    <mergeCell ref="M17:N17"/>
    <mergeCell ref="O17:P17"/>
    <mergeCell ref="Q17:R17"/>
    <mergeCell ref="M9:N9"/>
    <mergeCell ref="P9:Q9"/>
    <mergeCell ref="G10:K13"/>
    <mergeCell ref="P10:Q10"/>
    <mergeCell ref="P11:Q11"/>
    <mergeCell ref="P12:Q12"/>
    <mergeCell ref="P13:Q13"/>
    <mergeCell ref="AJ10:AK10"/>
    <mergeCell ref="AJ11:AK11"/>
    <mergeCell ref="AJ12:AK12"/>
    <mergeCell ref="AM12:AN12"/>
    <mergeCell ref="AP12:AQ12"/>
    <mergeCell ref="AS12:AT12"/>
    <mergeCell ref="AV12:AW12"/>
    <mergeCell ref="AY12:AZ12"/>
    <mergeCell ref="AG13:AH13"/>
    <mergeCell ref="AJ13:AK13"/>
    <mergeCell ref="AM13:AN13"/>
    <mergeCell ref="AP13:AQ13"/>
    <mergeCell ref="AS13:AT13"/>
    <mergeCell ref="AV13:AW13"/>
    <mergeCell ref="AY13:AZ13"/>
    <mergeCell ref="AG9:AH9"/>
    <mergeCell ref="AJ9:AK9"/>
    <mergeCell ref="AM9:AN9"/>
    <mergeCell ref="AP9:AQ9"/>
    <mergeCell ref="AS9:AT9"/>
    <mergeCell ref="AV9:AW9"/>
    <mergeCell ref="AY9:AZ9"/>
    <mergeCell ref="A1:A3"/>
    <mergeCell ref="B1:B3"/>
    <mergeCell ref="C1:AM3"/>
    <mergeCell ref="C4:F9"/>
    <mergeCell ref="G4:K9"/>
    <mergeCell ref="M4:N4"/>
    <mergeCell ref="M5:N5"/>
    <mergeCell ref="AP10:AQ10"/>
    <mergeCell ref="AS10:AT10"/>
    <mergeCell ref="AV10:AW10"/>
    <mergeCell ref="AY10:AZ10"/>
    <mergeCell ref="AM11:AN11"/>
    <mergeCell ref="AP11:AQ11"/>
    <mergeCell ref="AS11:AT11"/>
    <mergeCell ref="AV11:AW11"/>
    <mergeCell ref="AY11:AZ11"/>
    <mergeCell ref="AA9:AB9"/>
    <mergeCell ref="AD9:AE9"/>
    <mergeCell ref="AA10:AB10"/>
    <mergeCell ref="AG10:AH10"/>
    <mergeCell ref="AM10:AN10"/>
    <mergeCell ref="AA11:AB11"/>
    <mergeCell ref="AG11:AH11"/>
    <mergeCell ref="AY14:BA14"/>
    <mergeCell ref="AY15:BA15"/>
    <mergeCell ref="AA16:AF16"/>
    <mergeCell ref="AG16:AH17"/>
    <mergeCell ref="S17:T17"/>
    <mergeCell ref="U17:V17"/>
    <mergeCell ref="W17:X17"/>
    <mergeCell ref="Y17:Z17"/>
    <mergeCell ref="AA17:AF17"/>
    <mergeCell ref="AD10:AE10"/>
    <mergeCell ref="AD11:AE11"/>
    <mergeCell ref="AA12:AB12"/>
    <mergeCell ref="AD12:AE12"/>
    <mergeCell ref="AG12:AH12"/>
    <mergeCell ref="AA13:AB13"/>
    <mergeCell ref="AD13:AE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2023-04-11T21:18:08Z</dcterms:created>
  <dc:creator>Braulio Müller Cofré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0x01010061EFD7502E7E2B4FAC0E68959BFB409B</vt:lpwstr>
  </property>
</Properties>
</file>